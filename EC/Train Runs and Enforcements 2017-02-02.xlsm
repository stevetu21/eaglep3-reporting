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Enforcements!$A$6:$AC$35</definedName>
    <definedName name="_xlnm._FilterDatabase" localSheetId="2" hidden="1">'Missing Trips'!$A$2:$J$120</definedName>
    <definedName name="_xlnm._FilterDatabase" localSheetId="0" hidden="1">'Train Runs'!$A$12:$AG$229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5" i="9" l="1"/>
  <c r="C55" i="9" s="1"/>
  <c r="B56" i="9"/>
  <c r="B57" i="9"/>
  <c r="C57" i="9" s="1"/>
  <c r="B58" i="9"/>
  <c r="B59" i="9"/>
  <c r="C59" i="9" s="1"/>
  <c r="B60" i="9"/>
  <c r="B61" i="9"/>
  <c r="C61" i="9" s="1"/>
  <c r="B62" i="9"/>
  <c r="B63" i="9"/>
  <c r="C63" i="9" s="1"/>
  <c r="B64" i="9"/>
  <c r="B65" i="9"/>
  <c r="C65" i="9" s="1"/>
  <c r="B66" i="9"/>
  <c r="B67" i="9"/>
  <c r="C67" i="9" s="1"/>
  <c r="B68" i="9"/>
  <c r="B69" i="9"/>
  <c r="C69" i="9" s="1"/>
  <c r="B70" i="9"/>
  <c r="B71" i="9"/>
  <c r="C71" i="9" s="1"/>
  <c r="B72" i="9"/>
  <c r="B73" i="9"/>
  <c r="C73" i="9" s="1"/>
  <c r="B74" i="9"/>
  <c r="P85" i="1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6" i="3"/>
  <c r="W37" i="3"/>
  <c r="W35" i="3"/>
  <c r="W7" i="3"/>
  <c r="C74" i="9" l="1"/>
  <c r="C72" i="9"/>
  <c r="C70" i="9"/>
  <c r="C68" i="9"/>
  <c r="C66" i="9"/>
  <c r="C64" i="9"/>
  <c r="C62" i="9"/>
  <c r="C60" i="9"/>
  <c r="C58" i="9"/>
  <c r="C56" i="9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G14" i="1"/>
  <c r="U14" i="1" s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T16" i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G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AA28" i="1" s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I35" i="1" s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I39" i="1" s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T43" i="1"/>
  <c r="V43" i="1"/>
  <c r="Y43" i="1"/>
  <c r="AA43" i="1" s="1"/>
  <c r="W43" i="1" s="1"/>
  <c r="Z43" i="1"/>
  <c r="AB43" i="1"/>
  <c r="AC43" i="1"/>
  <c r="AD43" i="1"/>
  <c r="AG43" i="1" s="1"/>
  <c r="AE43" i="1"/>
  <c r="AF43" i="1"/>
  <c r="AH43" i="1"/>
  <c r="AI43" i="1"/>
  <c r="AM43" i="1"/>
  <c r="AN43" i="1"/>
  <c r="K44" i="1"/>
  <c r="L44" i="1"/>
  <c r="M44" i="1"/>
  <c r="N44" i="1" s="1"/>
  <c r="V44" i="1"/>
  <c r="Y44" i="1"/>
  <c r="AA44" i="1" s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W46" i="1" s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/>
  <c r="V51" i="1"/>
  <c r="Y51" i="1"/>
  <c r="AA51" i="1" s="1"/>
  <c r="Z51" i="1"/>
  <c r="AB51" i="1"/>
  <c r="AC51" i="1"/>
  <c r="AD51" i="1"/>
  <c r="AG51" i="1" s="1"/>
  <c r="AE51" i="1"/>
  <c r="AF51" i="1"/>
  <c r="AH51" i="1"/>
  <c r="AI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T55" i="1"/>
  <c r="V55" i="1"/>
  <c r="X55" i="1"/>
  <c r="Y55" i="1"/>
  <c r="Z55" i="1"/>
  <c r="AA55" i="1" s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AA58" i="1" s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T59" i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G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X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S8" i="3" s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/>
  <c r="V71" i="1"/>
  <c r="Y71" i="1"/>
  <c r="Z71" i="1"/>
  <c r="AA71" i="1" s="1"/>
  <c r="W71" i="1" s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W73" i="1" s="1"/>
  <c r="AB73" i="1"/>
  <c r="AC73" i="1"/>
  <c r="AD73" i="1"/>
  <c r="AG73" i="1" s="1"/>
  <c r="AE73" i="1"/>
  <c r="AF73" i="1"/>
  <c r="AH73" i="1"/>
  <c r="AI73" i="1"/>
  <c r="AM73" i="1"/>
  <c r="AN73" i="1"/>
  <c r="K74" i="1"/>
  <c r="L74" i="1"/>
  <c r="M74" i="1"/>
  <c r="N74" i="1" s="1"/>
  <c r="V74" i="1"/>
  <c r="Y74" i="1"/>
  <c r="Z74" i="1"/>
  <c r="AA74" i="1" s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X78" i="1"/>
  <c r="Y78" i="1"/>
  <c r="Z78" i="1"/>
  <c r="AB78" i="1"/>
  <c r="AC78" i="1"/>
  <c r="AD78" i="1"/>
  <c r="T78" i="1" s="1"/>
  <c r="AE78" i="1"/>
  <c r="AF78" i="1"/>
  <c r="AG78" i="1"/>
  <c r="AI78" i="1" s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T81" i="1"/>
  <c r="V81" i="1"/>
  <c r="Y81" i="1"/>
  <c r="Z81" i="1"/>
  <c r="AI81" i="1" s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X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G84" i="1"/>
  <c r="AH84" i="1"/>
  <c r="AM84" i="1"/>
  <c r="AN84" i="1"/>
  <c r="K85" i="1"/>
  <c r="L85" i="1"/>
  <c r="M85" i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/>
  <c r="V87" i="1"/>
  <c r="X87" i="1"/>
  <c r="Y87" i="1"/>
  <c r="Z87" i="1"/>
  <c r="AB87" i="1"/>
  <c r="AC87" i="1"/>
  <c r="AD87" i="1"/>
  <c r="T87" i="1" s="1"/>
  <c r="AE87" i="1"/>
  <c r="AF87" i="1"/>
  <c r="AG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G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I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I105" i="1" s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G106" i="1" s="1"/>
  <c r="AI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I109" i="1" s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X115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G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W121" i="1" s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I122" i="1" s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W123" i="1" s="1"/>
  <c r="AB123" i="1"/>
  <c r="AC123" i="1"/>
  <c r="AD123" i="1"/>
  <c r="AG123" i="1" s="1"/>
  <c r="AI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I126" i="1" s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I130" i="1"/>
  <c r="AM130" i="1"/>
  <c r="AN130" i="1"/>
  <c r="K131" i="1"/>
  <c r="L131" i="1"/>
  <c r="M131" i="1"/>
  <c r="N131" i="1" s="1"/>
  <c r="T131" i="1"/>
  <c r="V131" i="1"/>
  <c r="X131" i="1"/>
  <c r="Y131" i="1"/>
  <c r="Z131" i="1"/>
  <c r="AB131" i="1"/>
  <c r="AC131" i="1"/>
  <c r="AD131" i="1"/>
  <c r="AE131" i="1"/>
  <c r="AF131" i="1"/>
  <c r="AG131" i="1"/>
  <c r="U131" i="1" s="1"/>
  <c r="AH131" i="1"/>
  <c r="AM131" i="1"/>
  <c r="AN131" i="1"/>
  <c r="K132" i="1"/>
  <c r="L132" i="1"/>
  <c r="M132" i="1"/>
  <c r="N132" i="1" s="1"/>
  <c r="V132" i="1"/>
  <c r="X132" i="1"/>
  <c r="Y132" i="1"/>
  <c r="Z132" i="1"/>
  <c r="AA132" i="1" s="1"/>
  <c r="AB132" i="1"/>
  <c r="AC132" i="1"/>
  <c r="AD132" i="1"/>
  <c r="T132" i="1" s="1"/>
  <c r="AE132" i="1"/>
  <c r="AF132" i="1"/>
  <c r="AG132" i="1"/>
  <c r="U132" i="1" s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/>
  <c r="V138" i="1"/>
  <c r="X138" i="1"/>
  <c r="Y138" i="1"/>
  <c r="Z138" i="1"/>
  <c r="AA138" i="1" s="1"/>
  <c r="W138" i="1" s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R14" i="3" s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W142" i="1" s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W146" i="1" s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R24" i="3" s="1"/>
  <c r="AF148" i="1"/>
  <c r="AH148" i="1"/>
  <c r="AM148" i="1"/>
  <c r="AN148" i="1"/>
  <c r="K149" i="1"/>
  <c r="L149" i="1"/>
  <c r="M149" i="1"/>
  <c r="N149" i="1"/>
  <c r="V149" i="1"/>
  <c r="Y149" i="1"/>
  <c r="AA149" i="1" s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157" i="1"/>
  <c r="AM157" i="1"/>
  <c r="AN157" i="1"/>
  <c r="K205" i="1"/>
  <c r="L205" i="1"/>
  <c r="M205" i="1"/>
  <c r="N205" i="1"/>
  <c r="V205" i="1"/>
  <c r="Y205" i="1"/>
  <c r="Z205" i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A209" i="1" s="1"/>
  <c r="W209" i="1" s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X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5" i="1"/>
  <c r="AM165" i="1"/>
  <c r="AN165" i="1"/>
  <c r="K213" i="1"/>
  <c r="L213" i="1"/>
  <c r="M213" i="1"/>
  <c r="N213" i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AA214" i="1" s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69" i="1"/>
  <c r="AM169" i="1"/>
  <c r="AN169" i="1"/>
  <c r="K221" i="1"/>
  <c r="L221" i="1"/>
  <c r="M221" i="1"/>
  <c r="N221" i="1" s="1"/>
  <c r="V221" i="1"/>
  <c r="Y221" i="1"/>
  <c r="AA221" i="1" s="1"/>
  <c r="Z221" i="1"/>
  <c r="AB221" i="1"/>
  <c r="AC221" i="1"/>
  <c r="AD221" i="1"/>
  <c r="AG221" i="1" s="1"/>
  <c r="AE221" i="1"/>
  <c r="AF221" i="1"/>
  <c r="AH170" i="1"/>
  <c r="AM170" i="1"/>
  <c r="AN170" i="1"/>
  <c r="K222" i="1"/>
  <c r="L222" i="1"/>
  <c r="M222" i="1"/>
  <c r="N222" i="1" s="1"/>
  <c r="V222" i="1"/>
  <c r="Y222" i="1"/>
  <c r="AA222" i="1" s="1"/>
  <c r="Z222" i="1"/>
  <c r="AB222" i="1"/>
  <c r="AC222" i="1"/>
  <c r="AD222" i="1"/>
  <c r="T222" i="1" s="1"/>
  <c r="AE222" i="1"/>
  <c r="AF222" i="1"/>
  <c r="AH171" i="1"/>
  <c r="AM171" i="1"/>
  <c r="AN171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2" i="1"/>
  <c r="AM172" i="1"/>
  <c r="AN172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3" i="1"/>
  <c r="AM173" i="1"/>
  <c r="AN173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4" i="1"/>
  <c r="AM174" i="1"/>
  <c r="AN17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75" i="1"/>
  <c r="AM175" i="1"/>
  <c r="AN17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6" i="1"/>
  <c r="AM176" i="1"/>
  <c r="AN176" i="1"/>
  <c r="K159" i="1"/>
  <c r="L159" i="1"/>
  <c r="M159" i="1"/>
  <c r="N159" i="1" s="1"/>
  <c r="V159" i="1"/>
  <c r="Y159" i="1"/>
  <c r="Z159" i="1"/>
  <c r="AA159" i="1" s="1"/>
  <c r="AB159" i="1"/>
  <c r="AC159" i="1"/>
  <c r="AD159" i="1"/>
  <c r="AG159" i="1" s="1"/>
  <c r="AE159" i="1"/>
  <c r="AF159" i="1"/>
  <c r="AH177" i="1"/>
  <c r="AM177" i="1"/>
  <c r="AN177" i="1"/>
  <c r="K160" i="1"/>
  <c r="L160" i="1"/>
  <c r="M160" i="1"/>
  <c r="N160" i="1" s="1"/>
  <c r="V160" i="1"/>
  <c r="Y160" i="1"/>
  <c r="Z160" i="1"/>
  <c r="AA160" i="1" s="1"/>
  <c r="W160" i="1" s="1"/>
  <c r="AB160" i="1"/>
  <c r="AC160" i="1"/>
  <c r="AD160" i="1"/>
  <c r="AG160" i="1" s="1"/>
  <c r="AE160" i="1"/>
  <c r="AF160" i="1"/>
  <c r="AH178" i="1"/>
  <c r="AM178" i="1"/>
  <c r="AN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AM179" i="1"/>
  <c r="AN17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0" i="1"/>
  <c r="AM180" i="1"/>
  <c r="AN180" i="1"/>
  <c r="K163" i="1"/>
  <c r="L163" i="1"/>
  <c r="M163" i="1"/>
  <c r="N163" i="1"/>
  <c r="V163" i="1"/>
  <c r="Y163" i="1"/>
  <c r="Z163" i="1"/>
  <c r="AB163" i="1"/>
  <c r="AC163" i="1"/>
  <c r="AD163" i="1"/>
  <c r="AG163" i="1" s="1"/>
  <c r="AE163" i="1"/>
  <c r="AF163" i="1"/>
  <c r="AH181" i="1"/>
  <c r="AM181" i="1"/>
  <c r="AN181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2" i="1"/>
  <c r="AM182" i="1"/>
  <c r="AN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AM183" i="1"/>
  <c r="AN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5" i="1"/>
  <c r="AM185" i="1"/>
  <c r="AN185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R30" i="3" s="1"/>
  <c r="AF168" i="1"/>
  <c r="AH186" i="1"/>
  <c r="AM186" i="1"/>
  <c r="AN186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188" i="1"/>
  <c r="AM188" i="1"/>
  <c r="AN188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189" i="1"/>
  <c r="AM189" i="1"/>
  <c r="AN189" i="1"/>
  <c r="K172" i="1"/>
  <c r="L172" i="1"/>
  <c r="M172" i="1"/>
  <c r="N172" i="1" s="1"/>
  <c r="T172" i="1"/>
  <c r="V172" i="1"/>
  <c r="X172" i="1"/>
  <c r="Y172" i="1"/>
  <c r="Z172" i="1"/>
  <c r="AA172" i="1" s="1"/>
  <c r="W172" i="1" s="1"/>
  <c r="AB172" i="1"/>
  <c r="AC172" i="1"/>
  <c r="AD172" i="1"/>
  <c r="AG172" i="1" s="1"/>
  <c r="AE172" i="1"/>
  <c r="AF172" i="1"/>
  <c r="AH190" i="1"/>
  <c r="AM190" i="1"/>
  <c r="AN19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G173" i="1"/>
  <c r="AH191" i="1"/>
  <c r="AM191" i="1"/>
  <c r="AN191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2" i="1"/>
  <c r="AM192" i="1"/>
  <c r="AN192" i="1"/>
  <c r="K175" i="1"/>
  <c r="L175" i="1"/>
  <c r="M175" i="1"/>
  <c r="N175" i="1" s="1"/>
  <c r="V175" i="1"/>
  <c r="Y175" i="1"/>
  <c r="Z175" i="1"/>
  <c r="AB175" i="1"/>
  <c r="AC175" i="1"/>
  <c r="AD175" i="1"/>
  <c r="AG175" i="1" s="1"/>
  <c r="AI175" i="1" s="1"/>
  <c r="AE175" i="1"/>
  <c r="AF175" i="1"/>
  <c r="AH193" i="1"/>
  <c r="AM193" i="1"/>
  <c r="AN193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4" i="1"/>
  <c r="AM194" i="1"/>
  <c r="AN1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5" i="1"/>
  <c r="AM195" i="1"/>
  <c r="AN19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6" i="1"/>
  <c r="AM196" i="1"/>
  <c r="AN196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7" i="1"/>
  <c r="AM197" i="1"/>
  <c r="AN197" i="1"/>
  <c r="K180" i="1"/>
  <c r="L180" i="1"/>
  <c r="M180" i="1"/>
  <c r="N180" i="1" s="1"/>
  <c r="V180" i="1"/>
  <c r="Y180" i="1"/>
  <c r="Z180" i="1"/>
  <c r="AA180" i="1" s="1"/>
  <c r="W180" i="1" s="1"/>
  <c r="AB180" i="1"/>
  <c r="AC180" i="1"/>
  <c r="AD180" i="1"/>
  <c r="AG180" i="1" s="1"/>
  <c r="AE180" i="1"/>
  <c r="AF180" i="1"/>
  <c r="AH198" i="1"/>
  <c r="AM198" i="1"/>
  <c r="AN19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G181" i="1"/>
  <c r="AH199" i="1"/>
  <c r="AM199" i="1"/>
  <c r="AN199" i="1"/>
  <c r="K182" i="1"/>
  <c r="L182" i="1"/>
  <c r="M182" i="1"/>
  <c r="N182" i="1" s="1"/>
  <c r="V182" i="1"/>
  <c r="Y182" i="1"/>
  <c r="Z182" i="1"/>
  <c r="AB182" i="1"/>
  <c r="AC182" i="1"/>
  <c r="AD182" i="1"/>
  <c r="X182" i="1" s="1"/>
  <c r="AE182" i="1"/>
  <c r="AF182" i="1"/>
  <c r="AH200" i="1"/>
  <c r="AM200" i="1"/>
  <c r="AN20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1" i="1"/>
  <c r="AM201" i="1"/>
  <c r="AN201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2" i="1"/>
  <c r="AM202" i="1"/>
  <c r="AN202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3" i="1"/>
  <c r="AM203" i="1"/>
  <c r="AN20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4" i="1"/>
  <c r="AM204" i="1"/>
  <c r="AN204" i="1"/>
  <c r="K187" i="1"/>
  <c r="L187" i="1"/>
  <c r="M187" i="1"/>
  <c r="N187" i="1" s="1"/>
  <c r="V187" i="1"/>
  <c r="Y187" i="1"/>
  <c r="AA187" i="1" s="1"/>
  <c r="Z187" i="1"/>
  <c r="AB187" i="1"/>
  <c r="AC187" i="1"/>
  <c r="AD187" i="1"/>
  <c r="AE187" i="1"/>
  <c r="AF187" i="1"/>
  <c r="AH205" i="1"/>
  <c r="AM205" i="1"/>
  <c r="AN205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6" i="1"/>
  <c r="AM206" i="1"/>
  <c r="AN206" i="1"/>
  <c r="K189" i="1"/>
  <c r="L189" i="1"/>
  <c r="M189" i="1"/>
  <c r="N189" i="1" s="1"/>
  <c r="V189" i="1"/>
  <c r="S31" i="3" s="1"/>
  <c r="Y189" i="1"/>
  <c r="Z189" i="1"/>
  <c r="AB189" i="1"/>
  <c r="AC189" i="1"/>
  <c r="AD189" i="1"/>
  <c r="AE189" i="1"/>
  <c r="AF189" i="1"/>
  <c r="AH207" i="1"/>
  <c r="AM207" i="1"/>
  <c r="AN207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G190" i="1"/>
  <c r="AH208" i="1"/>
  <c r="AM208" i="1"/>
  <c r="AN20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09" i="1"/>
  <c r="AM209" i="1"/>
  <c r="AN209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0" i="1"/>
  <c r="AM210" i="1"/>
  <c r="AN210" i="1"/>
  <c r="K193" i="1"/>
  <c r="L193" i="1"/>
  <c r="M193" i="1"/>
  <c r="N193" i="1" s="1"/>
  <c r="V193" i="1"/>
  <c r="S32" i="3" s="1"/>
  <c r="Y193" i="1"/>
  <c r="Z193" i="1"/>
  <c r="AB193" i="1"/>
  <c r="AC193" i="1"/>
  <c r="AD193" i="1"/>
  <c r="T193" i="1" s="1"/>
  <c r="AE193" i="1"/>
  <c r="AF193" i="1"/>
  <c r="AH211" i="1"/>
  <c r="AM211" i="1"/>
  <c r="AN211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2" i="1"/>
  <c r="AM212" i="1"/>
  <c r="AN212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3" i="1"/>
  <c r="AM213" i="1"/>
  <c r="AN21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4" i="1"/>
  <c r="AM214" i="1"/>
  <c r="AN214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R36" i="3" s="1"/>
  <c r="AF226" i="1"/>
  <c r="AH215" i="1"/>
  <c r="AM215" i="1"/>
  <c r="AN21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6" i="1"/>
  <c r="AM216" i="1"/>
  <c r="AN216" i="1"/>
  <c r="K198" i="1"/>
  <c r="L198" i="1"/>
  <c r="M198" i="1"/>
  <c r="N198" i="1"/>
  <c r="V198" i="1"/>
  <c r="Y198" i="1"/>
  <c r="Z198" i="1"/>
  <c r="AB198" i="1"/>
  <c r="AC198" i="1"/>
  <c r="AD198" i="1"/>
  <c r="AE198" i="1"/>
  <c r="R34" i="3" s="1"/>
  <c r="AF198" i="1"/>
  <c r="AH217" i="1"/>
  <c r="AM217" i="1"/>
  <c r="AN217" i="1"/>
  <c r="K199" i="1"/>
  <c r="L199" i="1"/>
  <c r="M199" i="1"/>
  <c r="N199" i="1" s="1"/>
  <c r="V199" i="1"/>
  <c r="Y199" i="1"/>
  <c r="Z199" i="1"/>
  <c r="AB199" i="1"/>
  <c r="AC199" i="1"/>
  <c r="AD199" i="1"/>
  <c r="AG199" i="1" s="1"/>
  <c r="AI199" i="1" s="1"/>
  <c r="AE199" i="1"/>
  <c r="AF199" i="1"/>
  <c r="AH218" i="1"/>
  <c r="AM218" i="1"/>
  <c r="AN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AM219" i="1"/>
  <c r="AN219" i="1"/>
  <c r="K201" i="1"/>
  <c r="L201" i="1"/>
  <c r="M201" i="1"/>
  <c r="N201" i="1" s="1"/>
  <c r="V201" i="1"/>
  <c r="S33" i="3" s="1"/>
  <c r="Y201" i="1"/>
  <c r="Z201" i="1"/>
  <c r="AB201" i="1"/>
  <c r="AC201" i="1"/>
  <c r="AD201" i="1"/>
  <c r="T201" i="1" s="1"/>
  <c r="AE201" i="1"/>
  <c r="R33" i="3" s="1"/>
  <c r="AF201" i="1"/>
  <c r="AH220" i="1"/>
  <c r="AM220" i="1"/>
  <c r="AN220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1" i="1"/>
  <c r="AM221" i="1"/>
  <c r="AN22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2" i="1"/>
  <c r="AM222" i="1"/>
  <c r="AN222" i="1"/>
  <c r="K227" i="1"/>
  <c r="L227" i="1"/>
  <c r="M227" i="1"/>
  <c r="N227" i="1" s="1"/>
  <c r="V227" i="1"/>
  <c r="Y227" i="1"/>
  <c r="AA227" i="1" s="1"/>
  <c r="Z227" i="1"/>
  <c r="AB227" i="1"/>
  <c r="AC227" i="1"/>
  <c r="AD227" i="1"/>
  <c r="T227" i="1" s="1"/>
  <c r="AE227" i="1"/>
  <c r="AF227" i="1"/>
  <c r="AH223" i="1"/>
  <c r="AM223" i="1"/>
  <c r="AN223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4" i="1"/>
  <c r="AM224" i="1"/>
  <c r="AN224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25" i="1"/>
  <c r="AM225" i="1"/>
  <c r="AN225" i="1"/>
  <c r="K218" i="1"/>
  <c r="L218" i="1"/>
  <c r="M218" i="1"/>
  <c r="N218" i="1" s="1"/>
  <c r="V218" i="1"/>
  <c r="S37" i="3" s="1"/>
  <c r="Y218" i="1"/>
  <c r="Z218" i="1"/>
  <c r="AB218" i="1"/>
  <c r="AC218" i="1"/>
  <c r="AD218" i="1"/>
  <c r="AG218" i="1" s="1"/>
  <c r="AE218" i="1"/>
  <c r="R37" i="3" s="1"/>
  <c r="AF218" i="1"/>
  <c r="AH226" i="1"/>
  <c r="AM226" i="1"/>
  <c r="AN22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7" i="1"/>
  <c r="AM227" i="1"/>
  <c r="AN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28" i="1"/>
  <c r="AM228" i="1"/>
  <c r="AN228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29" i="1"/>
  <c r="AM229" i="1"/>
  <c r="AN229" i="1"/>
  <c r="K230" i="1"/>
  <c r="L230" i="1"/>
  <c r="M230" i="1"/>
  <c r="N230" i="1"/>
  <c r="V230" i="1"/>
  <c r="S35" i="3" s="1"/>
  <c r="Y230" i="1"/>
  <c r="Z230" i="1"/>
  <c r="AB230" i="1"/>
  <c r="AC230" i="1"/>
  <c r="AD230" i="1"/>
  <c r="AG230" i="1" s="1"/>
  <c r="AE230" i="1"/>
  <c r="R35" i="3" s="1"/>
  <c r="AF230" i="1"/>
  <c r="AH230" i="1"/>
  <c r="AM230" i="1"/>
  <c r="AN230" i="1"/>
  <c r="K231" i="1"/>
  <c r="L231" i="1"/>
  <c r="M231" i="1"/>
  <c r="N231" i="1" s="1"/>
  <c r="V231" i="1"/>
  <c r="X231" i="1"/>
  <c r="Y231" i="1"/>
  <c r="Z231" i="1"/>
  <c r="AB231" i="1"/>
  <c r="AC231" i="1"/>
  <c r="AD231" i="1"/>
  <c r="T231" i="1" s="1"/>
  <c r="AE231" i="1"/>
  <c r="AF231" i="1"/>
  <c r="AG231" i="1"/>
  <c r="AH231" i="1"/>
  <c r="AM231" i="1"/>
  <c r="AN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32" i="1"/>
  <c r="AM232" i="1"/>
  <c r="AN232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233" i="1"/>
  <c r="AM233" i="1"/>
  <c r="AN233" i="1"/>
  <c r="M20" i="3"/>
  <c r="R20" i="3"/>
  <c r="S20" i="3"/>
  <c r="U20" i="3"/>
  <c r="T20" i="3" s="1"/>
  <c r="V20" i="3"/>
  <c r="X20" i="3"/>
  <c r="M13" i="3"/>
  <c r="R13" i="3"/>
  <c r="S13" i="3"/>
  <c r="U13" i="3"/>
  <c r="Y13" i="3" s="1"/>
  <c r="V13" i="3"/>
  <c r="X13" i="3"/>
  <c r="M15" i="3"/>
  <c r="R15" i="3"/>
  <c r="S15" i="3"/>
  <c r="U15" i="3"/>
  <c r="AC15" i="3" s="1"/>
  <c r="V15" i="3"/>
  <c r="X15" i="3"/>
  <c r="M30" i="3"/>
  <c r="S30" i="3"/>
  <c r="U30" i="3"/>
  <c r="AC30" i="3" s="1"/>
  <c r="V30" i="3"/>
  <c r="X30" i="3"/>
  <c r="M7" i="3"/>
  <c r="R7" i="3"/>
  <c r="S7" i="3"/>
  <c r="U7" i="3"/>
  <c r="T7" i="3" s="1"/>
  <c r="V7" i="3"/>
  <c r="X7" i="3"/>
  <c r="M27" i="3"/>
  <c r="R27" i="3"/>
  <c r="S27" i="3"/>
  <c r="U27" i="3"/>
  <c r="Y27" i="3" s="1"/>
  <c r="V27" i="3"/>
  <c r="X27" i="3"/>
  <c r="AC27" i="3"/>
  <c r="M28" i="3"/>
  <c r="R28" i="3"/>
  <c r="S28" i="3"/>
  <c r="U28" i="3"/>
  <c r="AC28" i="3" s="1"/>
  <c r="V28" i="3"/>
  <c r="X28" i="3"/>
  <c r="M11" i="3"/>
  <c r="R11" i="3"/>
  <c r="S11" i="3"/>
  <c r="U11" i="3"/>
  <c r="AC11" i="3" s="1"/>
  <c r="V11" i="3"/>
  <c r="X11" i="3"/>
  <c r="M8" i="3"/>
  <c r="R8" i="3"/>
  <c r="U8" i="3"/>
  <c r="T8" i="3" s="1"/>
  <c r="V8" i="3"/>
  <c r="X8" i="3"/>
  <c r="M18" i="3"/>
  <c r="R18" i="3"/>
  <c r="S18" i="3"/>
  <c r="U18" i="3"/>
  <c r="AD18" i="3" s="1"/>
  <c r="V18" i="3"/>
  <c r="X18" i="3"/>
  <c r="M21" i="3"/>
  <c r="R21" i="3"/>
  <c r="S21" i="3"/>
  <c r="U21" i="3"/>
  <c r="AC21" i="3" s="1"/>
  <c r="V21" i="3"/>
  <c r="Y21" i="3"/>
  <c r="X21" i="3"/>
  <c r="M17" i="3"/>
  <c r="R17" i="3"/>
  <c r="S17" i="3"/>
  <c r="U17" i="3"/>
  <c r="AC17" i="3" s="1"/>
  <c r="V17" i="3"/>
  <c r="X17" i="3"/>
  <c r="M22" i="3"/>
  <c r="R22" i="3"/>
  <c r="S22" i="3"/>
  <c r="U22" i="3"/>
  <c r="Y22" i="3" s="1"/>
  <c r="V22" i="3"/>
  <c r="X22" i="3"/>
  <c r="M37" i="3"/>
  <c r="U37" i="3"/>
  <c r="AC37" i="3" s="1"/>
  <c r="V37" i="3"/>
  <c r="X37" i="3"/>
  <c r="M12" i="3"/>
  <c r="R12" i="3"/>
  <c r="S12" i="3"/>
  <c r="U12" i="3"/>
  <c r="AC12" i="3" s="1"/>
  <c r="V12" i="3"/>
  <c r="X12" i="3"/>
  <c r="M31" i="3"/>
  <c r="R31" i="3"/>
  <c r="U31" i="3"/>
  <c r="V31" i="3"/>
  <c r="X31" i="3"/>
  <c r="AC31" i="3"/>
  <c r="M32" i="3"/>
  <c r="R32" i="3"/>
  <c r="U32" i="3"/>
  <c r="Y32" i="3" s="1"/>
  <c r="V32" i="3"/>
  <c r="X32" i="3"/>
  <c r="M9" i="3"/>
  <c r="R9" i="3"/>
  <c r="S9" i="3"/>
  <c r="U9" i="3"/>
  <c r="AC9" i="3" s="1"/>
  <c r="V9" i="3"/>
  <c r="Y9" i="3"/>
  <c r="X9" i="3"/>
  <c r="M16" i="3"/>
  <c r="R16" i="3"/>
  <c r="S16" i="3"/>
  <c r="U16" i="3"/>
  <c r="AC16" i="3" s="1"/>
  <c r="V16" i="3"/>
  <c r="X16" i="3"/>
  <c r="M34" i="3"/>
  <c r="S34" i="3"/>
  <c r="U34" i="3"/>
  <c r="T34" i="3" s="1"/>
  <c r="V34" i="3"/>
  <c r="X34" i="3"/>
  <c r="AC34" i="3"/>
  <c r="M10" i="3"/>
  <c r="R10" i="3"/>
  <c r="S10" i="3"/>
  <c r="U10" i="3"/>
  <c r="AD10" i="3" s="1"/>
  <c r="V10" i="3"/>
  <c r="X10" i="3"/>
  <c r="AC10" i="3"/>
  <c r="M14" i="3"/>
  <c r="S14" i="3"/>
  <c r="U14" i="3"/>
  <c r="AC14" i="3" s="1"/>
  <c r="V14" i="3"/>
  <c r="X14" i="3"/>
  <c r="M36" i="3"/>
  <c r="S36" i="3"/>
  <c r="U36" i="3"/>
  <c r="AC36" i="3" s="1"/>
  <c r="V36" i="3"/>
  <c r="X36" i="3"/>
  <c r="M33" i="3"/>
  <c r="U33" i="3"/>
  <c r="AD33" i="3" s="1"/>
  <c r="V33" i="3"/>
  <c r="X33" i="3"/>
  <c r="M23" i="3"/>
  <c r="R23" i="3"/>
  <c r="S23" i="3"/>
  <c r="U23" i="3"/>
  <c r="AD23" i="3" s="1"/>
  <c r="V23" i="3"/>
  <c r="X23" i="3"/>
  <c r="M24" i="3"/>
  <c r="S24" i="3"/>
  <c r="U24" i="3"/>
  <c r="AC24" i="3" s="1"/>
  <c r="V24" i="3"/>
  <c r="X24" i="3"/>
  <c r="M35" i="3"/>
  <c r="U35" i="3"/>
  <c r="AC35" i="3" s="1"/>
  <c r="V35" i="3"/>
  <c r="X35" i="3"/>
  <c r="M25" i="3"/>
  <c r="R25" i="3"/>
  <c r="S25" i="3"/>
  <c r="U25" i="3"/>
  <c r="T25" i="3" s="1"/>
  <c r="V25" i="3"/>
  <c r="X25" i="3"/>
  <c r="M26" i="3"/>
  <c r="R26" i="3"/>
  <c r="S26" i="3"/>
  <c r="U26" i="3"/>
  <c r="Y26" i="3" s="1"/>
  <c r="V26" i="3"/>
  <c r="X26" i="3"/>
  <c r="M29" i="3"/>
  <c r="R29" i="3"/>
  <c r="S29" i="3"/>
  <c r="U29" i="3"/>
  <c r="AC29" i="3" s="1"/>
  <c r="V29" i="3"/>
  <c r="Y29" i="3"/>
  <c r="X29" i="3"/>
  <c r="AC7" i="3" l="1"/>
  <c r="Y15" i="3"/>
  <c r="AD36" i="3"/>
  <c r="AD12" i="3"/>
  <c r="AC8" i="3"/>
  <c r="AE12" i="3"/>
  <c r="AC25" i="3"/>
  <c r="AC23" i="3"/>
  <c r="AE35" i="3"/>
  <c r="Y14" i="3"/>
  <c r="AD11" i="3"/>
  <c r="Y28" i="3"/>
  <c r="AE11" i="3"/>
  <c r="AC20" i="3"/>
  <c r="W106" i="1"/>
  <c r="AC33" i="3"/>
  <c r="AA233" i="1"/>
  <c r="AA203" i="1"/>
  <c r="AA195" i="1"/>
  <c r="AA184" i="1"/>
  <c r="W184" i="1" s="1"/>
  <c r="T184" i="1"/>
  <c r="AA168" i="1"/>
  <c r="W168" i="1" s="1"/>
  <c r="AA164" i="1"/>
  <c r="W164" i="1" s="1"/>
  <c r="X223" i="1"/>
  <c r="AG222" i="1"/>
  <c r="W222" i="1" s="1"/>
  <c r="AA210" i="1"/>
  <c r="AG155" i="1"/>
  <c r="AA154" i="1"/>
  <c r="W154" i="1" s="1"/>
  <c r="X143" i="1"/>
  <c r="AG135" i="1"/>
  <c r="AA127" i="1"/>
  <c r="T123" i="1"/>
  <c r="T106" i="1"/>
  <c r="AA93" i="1"/>
  <c r="W93" i="1" s="1"/>
  <c r="AA88" i="1"/>
  <c r="AA86" i="1"/>
  <c r="AA83" i="1"/>
  <c r="T82" i="1"/>
  <c r="AA77" i="1"/>
  <c r="AI74" i="1"/>
  <c r="AA64" i="1"/>
  <c r="AA59" i="1"/>
  <c r="AA49" i="1"/>
  <c r="AA24" i="1"/>
  <c r="T20" i="1"/>
  <c r="U16" i="1"/>
  <c r="S16" i="1" s="1"/>
  <c r="AA16" i="1"/>
  <c r="T33" i="3"/>
  <c r="T36" i="3"/>
  <c r="Y25" i="3"/>
  <c r="AD35" i="3"/>
  <c r="Y24" i="3"/>
  <c r="Y37" i="3"/>
  <c r="X36" i="1"/>
  <c r="X33" i="1"/>
  <c r="T28" i="1"/>
  <c r="Y23" i="3"/>
  <c r="Y36" i="3"/>
  <c r="AD26" i="3"/>
  <c r="AD25" i="3"/>
  <c r="AE25" i="3"/>
  <c r="AE36" i="3"/>
  <c r="Y10" i="3"/>
  <c r="AD22" i="3"/>
  <c r="T11" i="3"/>
  <c r="Y30" i="3"/>
  <c r="Y20" i="3"/>
  <c r="AG219" i="1"/>
  <c r="X219" i="1"/>
  <c r="X218" i="1"/>
  <c r="AG216" i="1"/>
  <c r="AA194" i="1"/>
  <c r="X184" i="1"/>
  <c r="AA169" i="1"/>
  <c r="AA167" i="1"/>
  <c r="W167" i="1" s="1"/>
  <c r="AG157" i="1"/>
  <c r="X157" i="1"/>
  <c r="T151" i="1"/>
  <c r="AA143" i="1"/>
  <c r="AA125" i="1"/>
  <c r="X111" i="1"/>
  <c r="AG110" i="1"/>
  <c r="AA108" i="1"/>
  <c r="T102" i="1"/>
  <c r="AA101" i="1"/>
  <c r="AA98" i="1"/>
  <c r="T86" i="1"/>
  <c r="AA85" i="1"/>
  <c r="AG83" i="1"/>
  <c r="X83" i="1"/>
  <c r="AG82" i="1"/>
  <c r="AA79" i="1"/>
  <c r="AA78" i="1"/>
  <c r="W78" i="1" s="1"/>
  <c r="T71" i="1"/>
  <c r="AA63" i="1"/>
  <c r="AA50" i="1"/>
  <c r="AG49" i="1"/>
  <c r="X49" i="1"/>
  <c r="AI42" i="1"/>
  <c r="AG26" i="1"/>
  <c r="AG18" i="1"/>
  <c r="U18" i="1" s="1"/>
  <c r="U28" i="1"/>
  <c r="AI28" i="1"/>
  <c r="AG232" i="1"/>
  <c r="AA230" i="1"/>
  <c r="AG228" i="1"/>
  <c r="AA218" i="1"/>
  <c r="AI203" i="1"/>
  <c r="AG200" i="1"/>
  <c r="U200" i="1" s="1"/>
  <c r="X200" i="1"/>
  <c r="AG226" i="1"/>
  <c r="U226" i="1" s="1"/>
  <c r="X226" i="1"/>
  <c r="AA189" i="1"/>
  <c r="AA175" i="1"/>
  <c r="W175" i="1" s="1"/>
  <c r="AA173" i="1"/>
  <c r="W173" i="1" s="1"/>
  <c r="X170" i="1"/>
  <c r="AG169" i="1"/>
  <c r="W169" i="1" s="1"/>
  <c r="X169" i="1"/>
  <c r="X166" i="1"/>
  <c r="AG165" i="1"/>
  <c r="AG161" i="1"/>
  <c r="AA225" i="1"/>
  <c r="W225" i="1" s="1"/>
  <c r="T225" i="1"/>
  <c r="AA224" i="1"/>
  <c r="AA220" i="1"/>
  <c r="W220" i="1" s="1"/>
  <c r="T209" i="1"/>
  <c r="AG206" i="1"/>
  <c r="AI206" i="1" s="1"/>
  <c r="X206" i="1"/>
  <c r="AA155" i="1"/>
  <c r="W155" i="1" s="1"/>
  <c r="AI154" i="1"/>
  <c r="AA147" i="1"/>
  <c r="T146" i="1"/>
  <c r="X144" i="1"/>
  <c r="AG139" i="1"/>
  <c r="AI139" i="1" s="1"/>
  <c r="AI138" i="1"/>
  <c r="AA129" i="1"/>
  <c r="AG127" i="1"/>
  <c r="AI127" i="1" s="1"/>
  <c r="AA119" i="1"/>
  <c r="AA115" i="1"/>
  <c r="AA113" i="1"/>
  <c r="AG99" i="1"/>
  <c r="X99" i="1"/>
  <c r="AG98" i="1"/>
  <c r="X98" i="1"/>
  <c r="X93" i="1"/>
  <c r="AA76" i="1"/>
  <c r="AA72" i="1"/>
  <c r="AG60" i="1"/>
  <c r="U60" i="1" s="1"/>
  <c r="AG58" i="1"/>
  <c r="AA56" i="1"/>
  <c r="AG52" i="1"/>
  <c r="U52" i="1" s="1"/>
  <c r="AA48" i="1"/>
  <c r="AA19" i="1"/>
  <c r="AA18" i="1"/>
  <c r="X199" i="1"/>
  <c r="W190" i="1"/>
  <c r="W221" i="1"/>
  <c r="U155" i="1"/>
  <c r="S155" i="1" s="1"/>
  <c r="AA42" i="1"/>
  <c r="AG40" i="1"/>
  <c r="AI40" i="1" s="1"/>
  <c r="AA35" i="1"/>
  <c r="W35" i="1" s="1"/>
  <c r="AG32" i="1"/>
  <c r="AA31" i="1"/>
  <c r="AG25" i="1"/>
  <c r="W16" i="1"/>
  <c r="X186" i="1"/>
  <c r="T185" i="1"/>
  <c r="AA232" i="1"/>
  <c r="W232" i="1" s="1"/>
  <c r="AA231" i="1"/>
  <c r="AA219" i="1"/>
  <c r="AG227" i="1"/>
  <c r="X227" i="1"/>
  <c r="X203" i="1"/>
  <c r="AA199" i="1"/>
  <c r="AA193" i="1"/>
  <c r="W193" i="1" s="1"/>
  <c r="AA191" i="1"/>
  <c r="AA188" i="1"/>
  <c r="W188" i="1" s="1"/>
  <c r="AA185" i="1"/>
  <c r="W185" i="1" s="1"/>
  <c r="AG177" i="1"/>
  <c r="AI177" i="1" s="1"/>
  <c r="AA176" i="1"/>
  <c r="W176" i="1" s="1"/>
  <c r="AA157" i="1"/>
  <c r="W157" i="1" s="1"/>
  <c r="X225" i="1"/>
  <c r="AA223" i="1"/>
  <c r="X221" i="1"/>
  <c r="AA213" i="1"/>
  <c r="W213" i="1" s="1"/>
  <c r="AG211" i="1"/>
  <c r="AA205" i="1"/>
  <c r="W205" i="1" s="1"/>
  <c r="AA145" i="1"/>
  <c r="AI142" i="1"/>
  <c r="AA128" i="1"/>
  <c r="AA126" i="1"/>
  <c r="W126" i="1" s="1"/>
  <c r="X122" i="1"/>
  <c r="AA109" i="1"/>
  <c r="W109" i="1" s="1"/>
  <c r="X105" i="1"/>
  <c r="X95" i="1"/>
  <c r="AG94" i="1"/>
  <c r="X94" i="1"/>
  <c r="T74" i="1"/>
  <c r="U74" i="1" s="1"/>
  <c r="S74" i="1" s="1"/>
  <c r="X73" i="1"/>
  <c r="AA70" i="1"/>
  <c r="AA66" i="1"/>
  <c r="AG64" i="1"/>
  <c r="AI64" i="1" s="1"/>
  <c r="AA61" i="1"/>
  <c r="W51" i="1"/>
  <c r="T33" i="1"/>
  <c r="W28" i="1"/>
  <c r="U26" i="1"/>
  <c r="U102" i="1"/>
  <c r="W58" i="1"/>
  <c r="AA38" i="1"/>
  <c r="AA33" i="1"/>
  <c r="AA32" i="1"/>
  <c r="W32" i="1" s="1"/>
  <c r="AA30" i="1"/>
  <c r="AA25" i="1"/>
  <c r="AG21" i="1"/>
  <c r="X21" i="1"/>
  <c r="W17" i="1"/>
  <c r="AG201" i="1"/>
  <c r="AG197" i="1"/>
  <c r="AG193" i="1"/>
  <c r="X193" i="1"/>
  <c r="U169" i="1"/>
  <c r="S169" i="1" s="1"/>
  <c r="T230" i="1"/>
  <c r="T218" i="1"/>
  <c r="T203" i="1"/>
  <c r="T199" i="1"/>
  <c r="AA196" i="1"/>
  <c r="X196" i="1"/>
  <c r="AG194" i="1"/>
  <c r="AI194" i="1" s="1"/>
  <c r="AA192" i="1"/>
  <c r="AI190" i="1"/>
  <c r="U185" i="1"/>
  <c r="S185" i="1" s="1"/>
  <c r="W231" i="1"/>
  <c r="AA229" i="1"/>
  <c r="AA228" i="1"/>
  <c r="W228" i="1" s="1"/>
  <c r="W219" i="1"/>
  <c r="AA217" i="1"/>
  <c r="AA216" i="1"/>
  <c r="W216" i="1" s="1"/>
  <c r="W227" i="1"/>
  <c r="AA202" i="1"/>
  <c r="AA201" i="1"/>
  <c r="W201" i="1" s="1"/>
  <c r="AA200" i="1"/>
  <c r="W200" i="1" s="1"/>
  <c r="AA198" i="1"/>
  <c r="AA197" i="1"/>
  <c r="AA226" i="1"/>
  <c r="W226" i="1" s="1"/>
  <c r="AG196" i="1"/>
  <c r="T196" i="1"/>
  <c r="AG192" i="1"/>
  <c r="T192" i="1"/>
  <c r="X189" i="1"/>
  <c r="AG189" i="1"/>
  <c r="W189" i="1" s="1"/>
  <c r="T189" i="1"/>
  <c r="X185" i="1"/>
  <c r="T174" i="1"/>
  <c r="X174" i="1"/>
  <c r="AG174" i="1"/>
  <c r="AI174" i="1" s="1"/>
  <c r="U231" i="1"/>
  <c r="X230" i="1"/>
  <c r="U219" i="1"/>
  <c r="U227" i="1"/>
  <c r="T178" i="1"/>
  <c r="X178" i="1"/>
  <c r="AG178" i="1"/>
  <c r="AI178" i="1" s="1"/>
  <c r="U173" i="1"/>
  <c r="S173" i="1" s="1"/>
  <c r="W159" i="1"/>
  <c r="T188" i="1"/>
  <c r="AA186" i="1"/>
  <c r="AA183" i="1"/>
  <c r="AA181" i="1"/>
  <c r="W181" i="1" s="1"/>
  <c r="AA179" i="1"/>
  <c r="W179" i="1" s="1"/>
  <c r="AA174" i="1"/>
  <c r="X173" i="1"/>
  <c r="X168" i="1"/>
  <c r="AG162" i="1"/>
  <c r="AI162" i="1" s="1"/>
  <c r="X162" i="1"/>
  <c r="AA161" i="1"/>
  <c r="W161" i="1" s="1"/>
  <c r="AG158" i="1"/>
  <c r="AI158" i="1" s="1"/>
  <c r="X158" i="1"/>
  <c r="X222" i="1"/>
  <c r="T221" i="1"/>
  <c r="AG214" i="1"/>
  <c r="U214" i="1" s="1"/>
  <c r="X214" i="1"/>
  <c r="T213" i="1"/>
  <c r="T210" i="1"/>
  <c r="AG207" i="1"/>
  <c r="AG152" i="1"/>
  <c r="X152" i="1"/>
  <c r="AA151" i="1"/>
  <c r="AG148" i="1"/>
  <c r="X148" i="1"/>
  <c r="AG147" i="1"/>
  <c r="X147" i="1"/>
  <c r="AI146" i="1"/>
  <c r="AG143" i="1"/>
  <c r="AA134" i="1"/>
  <c r="AA133" i="1"/>
  <c r="W133" i="1" s="1"/>
  <c r="X127" i="1"/>
  <c r="AG119" i="1"/>
  <c r="X119" i="1"/>
  <c r="T112" i="1"/>
  <c r="AG112" i="1"/>
  <c r="AA110" i="1"/>
  <c r="W110" i="1" s="1"/>
  <c r="T109" i="1"/>
  <c r="AA105" i="1"/>
  <c r="W105" i="1" s="1"/>
  <c r="AA94" i="1"/>
  <c r="W94" i="1" s="1"/>
  <c r="T72" i="1"/>
  <c r="AG72" i="1"/>
  <c r="W72" i="1" s="1"/>
  <c r="T69" i="1"/>
  <c r="X69" i="1"/>
  <c r="U157" i="1"/>
  <c r="S157" i="1" s="1"/>
  <c r="T142" i="1"/>
  <c r="U90" i="1"/>
  <c r="S90" i="1" s="1"/>
  <c r="AI90" i="1"/>
  <c r="W54" i="1"/>
  <c r="W42" i="1"/>
  <c r="AI36" i="1"/>
  <c r="U20" i="1"/>
  <c r="S20" i="1" s="1"/>
  <c r="AI20" i="1"/>
  <c r="X192" i="1"/>
  <c r="AA177" i="1"/>
  <c r="T168" i="1"/>
  <c r="AA165" i="1"/>
  <c r="W165" i="1" s="1"/>
  <c r="AA163" i="1"/>
  <c r="W163" i="1" s="1"/>
  <c r="AA158" i="1"/>
  <c r="AG210" i="1"/>
  <c r="U210" i="1" s="1"/>
  <c r="U209" i="1"/>
  <c r="AA208" i="1"/>
  <c r="AA206" i="1"/>
  <c r="W206" i="1" s="1"/>
  <c r="T205" i="1"/>
  <c r="AA153" i="1"/>
  <c r="W153" i="1" s="1"/>
  <c r="AA150" i="1"/>
  <c r="AA148" i="1"/>
  <c r="AA144" i="1"/>
  <c r="AA141" i="1"/>
  <c r="AG136" i="1"/>
  <c r="X136" i="1"/>
  <c r="AA135" i="1"/>
  <c r="W135" i="1" s="1"/>
  <c r="T126" i="1"/>
  <c r="AA122" i="1"/>
  <c r="W122" i="1" s="1"/>
  <c r="AA114" i="1"/>
  <c r="U110" i="1"/>
  <c r="S110" i="1" s="1"/>
  <c r="AI110" i="1"/>
  <c r="X110" i="1"/>
  <c r="T103" i="1"/>
  <c r="X103" i="1"/>
  <c r="AG103" i="1"/>
  <c r="AG97" i="1"/>
  <c r="AI97" i="1" s="1"/>
  <c r="T97" i="1"/>
  <c r="U94" i="1"/>
  <c r="S94" i="1" s="1"/>
  <c r="AI94" i="1"/>
  <c r="AA80" i="1"/>
  <c r="AG77" i="1"/>
  <c r="AI77" i="1" s="1"/>
  <c r="T77" i="1"/>
  <c r="W74" i="1"/>
  <c r="T70" i="1"/>
  <c r="AG70" i="1"/>
  <c r="W70" i="1" s="1"/>
  <c r="T66" i="1"/>
  <c r="AG66" i="1"/>
  <c r="W66" i="1" s="1"/>
  <c r="AI54" i="1"/>
  <c r="U158" i="1"/>
  <c r="U222" i="1"/>
  <c r="S222" i="1" s="1"/>
  <c r="U206" i="1"/>
  <c r="U205" i="1"/>
  <c r="AI155" i="1"/>
  <c r="X154" i="1"/>
  <c r="W149" i="1"/>
  <c r="W147" i="1"/>
  <c r="X142" i="1"/>
  <c r="U139" i="1"/>
  <c r="S139" i="1" s="1"/>
  <c r="T130" i="1"/>
  <c r="W119" i="1"/>
  <c r="AG118" i="1"/>
  <c r="AI118" i="1" s="1"/>
  <c r="X118" i="1"/>
  <c r="AG114" i="1"/>
  <c r="T114" i="1"/>
  <c r="AA90" i="1"/>
  <c r="W90" i="1" s="1"/>
  <c r="AG89" i="1"/>
  <c r="AI89" i="1" s="1"/>
  <c r="X89" i="1"/>
  <c r="X77" i="1"/>
  <c r="AA68" i="1"/>
  <c r="U58" i="1"/>
  <c r="S58" i="1" s="1"/>
  <c r="W36" i="1"/>
  <c r="U32" i="1"/>
  <c r="S32" i="1" s="1"/>
  <c r="W20" i="1"/>
  <c r="AA131" i="1"/>
  <c r="W131" i="1" s="1"/>
  <c r="AA130" i="1"/>
  <c r="W130" i="1" s="1"/>
  <c r="AA117" i="1"/>
  <c r="AA116" i="1"/>
  <c r="AA111" i="1"/>
  <c r="X109" i="1"/>
  <c r="AA102" i="1"/>
  <c r="AA100" i="1"/>
  <c r="W100" i="1" s="1"/>
  <c r="AA99" i="1"/>
  <c r="AA95" i="1"/>
  <c r="T93" i="1"/>
  <c r="AA84" i="1"/>
  <c r="W84" i="1" s="1"/>
  <c r="AA82" i="1"/>
  <c r="W82" i="1" s="1"/>
  <c r="AA81" i="1"/>
  <c r="W81" i="1" s="1"/>
  <c r="AG68" i="1"/>
  <c r="AA65" i="1"/>
  <c r="U64" i="1"/>
  <c r="X63" i="1"/>
  <c r="AA62" i="1"/>
  <c r="W62" i="1" s="1"/>
  <c r="AA60" i="1"/>
  <c r="X59" i="1"/>
  <c r="AG56" i="1"/>
  <c r="U56" i="1" s="1"/>
  <c r="X51" i="1"/>
  <c r="T48" i="1"/>
  <c r="U48" i="1" s="1"/>
  <c r="S48" i="1" s="1"/>
  <c r="AA47" i="1"/>
  <c r="AG44" i="1"/>
  <c r="W44" i="1" s="1"/>
  <c r="X44" i="1"/>
  <c r="AG41" i="1"/>
  <c r="X41" i="1"/>
  <c r="T36" i="1"/>
  <c r="U36" i="1" s="1"/>
  <c r="S36" i="1" s="1"/>
  <c r="X35" i="1"/>
  <c r="X32" i="1"/>
  <c r="AG29" i="1"/>
  <c r="X29" i="1"/>
  <c r="W25" i="1"/>
  <c r="AG24" i="1"/>
  <c r="W24" i="1" s="1"/>
  <c r="AG22" i="1"/>
  <c r="U22" i="1" s="1"/>
  <c r="W18" i="1"/>
  <c r="U127" i="1"/>
  <c r="S127" i="1" s="1"/>
  <c r="U123" i="1"/>
  <c r="S123" i="1" s="1"/>
  <c r="U106" i="1"/>
  <c r="S106" i="1" s="1"/>
  <c r="W98" i="1"/>
  <c r="AA97" i="1"/>
  <c r="W97" i="1" s="1"/>
  <c r="AA92" i="1"/>
  <c r="W86" i="1"/>
  <c r="U83" i="1"/>
  <c r="U82" i="1"/>
  <c r="U78" i="1"/>
  <c r="S78" i="1" s="1"/>
  <c r="AA69" i="1"/>
  <c r="AA67" i="1"/>
  <c r="S64" i="1"/>
  <c r="U62" i="1"/>
  <c r="S62" i="1" s="1"/>
  <c r="AI58" i="1"/>
  <c r="T54" i="1"/>
  <c r="U54" i="1" s="1"/>
  <c r="S54" i="1" s="1"/>
  <c r="W50" i="1"/>
  <c r="AA39" i="1"/>
  <c r="W39" i="1" s="1"/>
  <c r="AA34" i="1"/>
  <c r="AG33" i="1"/>
  <c r="AI32" i="1"/>
  <c r="AG30" i="1"/>
  <c r="U30" i="1" s="1"/>
  <c r="S28" i="1"/>
  <c r="AA27" i="1"/>
  <c r="AA26" i="1"/>
  <c r="W26" i="1" s="1"/>
  <c r="AA21" i="1"/>
  <c r="W21" i="1" s="1"/>
  <c r="AI16" i="1"/>
  <c r="AA15" i="1"/>
  <c r="W14" i="1"/>
  <c r="AA57" i="1"/>
  <c r="AA52" i="1"/>
  <c r="W52" i="1" s="1"/>
  <c r="T51" i="1"/>
  <c r="AA41" i="1"/>
  <c r="W41" i="1" s="1"/>
  <c r="U40" i="1"/>
  <c r="S40" i="1" s="1"/>
  <c r="T35" i="1"/>
  <c r="AA29" i="1"/>
  <c r="X25" i="1"/>
  <c r="AA23" i="1"/>
  <c r="AA22" i="1"/>
  <c r="AI169" i="1"/>
  <c r="U230" i="1"/>
  <c r="S230" i="1" s="1"/>
  <c r="AI230" i="1"/>
  <c r="U218" i="1"/>
  <c r="S218" i="1" s="1"/>
  <c r="AI226" i="1"/>
  <c r="U203" i="1"/>
  <c r="S203" i="1" s="1"/>
  <c r="AI222" i="1"/>
  <c r="U196" i="1"/>
  <c r="S196" i="1" s="1"/>
  <c r="AI214" i="1"/>
  <c r="U192" i="1"/>
  <c r="S192" i="1" s="1"/>
  <c r="AI210" i="1"/>
  <c r="U199" i="1"/>
  <c r="S199" i="1" s="1"/>
  <c r="AI218" i="1"/>
  <c r="W230" i="1"/>
  <c r="W218" i="1"/>
  <c r="W203" i="1"/>
  <c r="W199" i="1"/>
  <c r="W196" i="1"/>
  <c r="W192" i="1"/>
  <c r="AI185" i="1"/>
  <c r="U232" i="1"/>
  <c r="S232" i="1" s="1"/>
  <c r="T182" i="1"/>
  <c r="AI196" i="1"/>
  <c r="T166" i="1"/>
  <c r="AI180" i="1"/>
  <c r="T215" i="1"/>
  <c r="X215" i="1"/>
  <c r="T212" i="1"/>
  <c r="X212" i="1"/>
  <c r="AG212" i="1"/>
  <c r="AI151" i="1"/>
  <c r="AI137" i="1"/>
  <c r="X114" i="1"/>
  <c r="T113" i="1"/>
  <c r="X113" i="1"/>
  <c r="AG113" i="1"/>
  <c r="S87" i="1"/>
  <c r="AI87" i="1"/>
  <c r="U87" i="1"/>
  <c r="AG233" i="1"/>
  <c r="X232" i="1"/>
  <c r="AI231" i="1"/>
  <c r="S231" i="1"/>
  <c r="S227" i="1"/>
  <c r="S200" i="1"/>
  <c r="X188" i="1"/>
  <c r="T171" i="1"/>
  <c r="X171" i="1"/>
  <c r="T170" i="1"/>
  <c r="AG166" i="1"/>
  <c r="AI166" i="1" s="1"/>
  <c r="U165" i="1"/>
  <c r="S165" i="1" s="1"/>
  <c r="X161" i="1"/>
  <c r="T160" i="1"/>
  <c r="U160" i="1" s="1"/>
  <c r="S160" i="1" s="1"/>
  <c r="T224" i="1"/>
  <c r="X224" i="1"/>
  <c r="T223" i="1"/>
  <c r="AG215" i="1"/>
  <c r="AI215" i="1" s="1"/>
  <c r="X213" i="1"/>
  <c r="AI164" i="1"/>
  <c r="AI160" i="1"/>
  <c r="U151" i="1"/>
  <c r="S151" i="1" s="1"/>
  <c r="X140" i="1"/>
  <c r="AG140" i="1"/>
  <c r="AI136" i="1"/>
  <c r="U136" i="1"/>
  <c r="S136" i="1" s="1"/>
  <c r="U228" i="1"/>
  <c r="S228" i="1" s="1"/>
  <c r="U216" i="1"/>
  <c r="S216" i="1" s="1"/>
  <c r="U201" i="1"/>
  <c r="S201" i="1" s="1"/>
  <c r="U197" i="1"/>
  <c r="S197" i="1" s="1"/>
  <c r="U194" i="1"/>
  <c r="S194" i="1" s="1"/>
  <c r="U190" i="1"/>
  <c r="S190" i="1" s="1"/>
  <c r="T183" i="1"/>
  <c r="X183" i="1"/>
  <c r="U177" i="1"/>
  <c r="S177" i="1" s="1"/>
  <c r="T167" i="1"/>
  <c r="U167" i="1" s="1"/>
  <c r="S167" i="1" s="1"/>
  <c r="X167" i="1"/>
  <c r="U161" i="1"/>
  <c r="S161" i="1" s="1"/>
  <c r="T220" i="1"/>
  <c r="U220" i="1" s="1"/>
  <c r="S220" i="1" s="1"/>
  <c r="X220" i="1"/>
  <c r="X209" i="1"/>
  <c r="T208" i="1"/>
  <c r="X208" i="1"/>
  <c r="AG208" i="1"/>
  <c r="T204" i="1"/>
  <c r="X204" i="1"/>
  <c r="X205" i="1"/>
  <c r="AG204" i="1"/>
  <c r="AG150" i="1"/>
  <c r="X150" i="1"/>
  <c r="T150" i="1"/>
  <c r="X151" i="1"/>
  <c r="T125" i="1"/>
  <c r="X125" i="1"/>
  <c r="AG125" i="1"/>
  <c r="W125" i="1" s="1"/>
  <c r="AG229" i="1"/>
  <c r="W229" i="1" s="1"/>
  <c r="X228" i="1"/>
  <c r="AI227" i="1"/>
  <c r="S219" i="1"/>
  <c r="AG217" i="1"/>
  <c r="W217" i="1" s="1"/>
  <c r="X216" i="1"/>
  <c r="AG202" i="1"/>
  <c r="X201" i="1"/>
  <c r="AI219" i="1"/>
  <c r="AG198" i="1"/>
  <c r="AI198" i="1" s="1"/>
  <c r="X197" i="1"/>
  <c r="S226" i="1"/>
  <c r="AG195" i="1"/>
  <c r="X194" i="1"/>
  <c r="AI211" i="1"/>
  <c r="AG191" i="1"/>
  <c r="AI191" i="1" s="1"/>
  <c r="X190" i="1"/>
  <c r="AI207" i="1"/>
  <c r="T187" i="1"/>
  <c r="X187" i="1"/>
  <c r="T186" i="1"/>
  <c r="AG183" i="1"/>
  <c r="AG182" i="1"/>
  <c r="AI182" i="1" s="1"/>
  <c r="U181" i="1"/>
  <c r="S181" i="1" s="1"/>
  <c r="X177" i="1"/>
  <c r="T176" i="1"/>
  <c r="U176" i="1" s="1"/>
  <c r="S176" i="1" s="1"/>
  <c r="X233" i="1"/>
  <c r="AI232" i="1"/>
  <c r="X229" i="1"/>
  <c r="T229" i="1"/>
  <c r="AI228" i="1"/>
  <c r="X217" i="1"/>
  <c r="T217" i="1"/>
  <c r="X202" i="1"/>
  <c r="T202" i="1"/>
  <c r="AI220" i="1"/>
  <c r="X198" i="1"/>
  <c r="T198" i="1"/>
  <c r="AI216" i="1"/>
  <c r="X195" i="1"/>
  <c r="T195" i="1"/>
  <c r="AI212" i="1"/>
  <c r="X191" i="1"/>
  <c r="T191" i="1"/>
  <c r="AI208" i="1"/>
  <c r="AG187" i="1"/>
  <c r="AI187" i="1" s="1"/>
  <c r="AG186" i="1"/>
  <c r="AI186" i="1" s="1"/>
  <c r="U184" i="1"/>
  <c r="S184" i="1" s="1"/>
  <c r="X181" i="1"/>
  <c r="T180" i="1"/>
  <c r="U180" i="1" s="1"/>
  <c r="S180" i="1" s="1"/>
  <c r="AI197" i="1"/>
  <c r="AA178" i="1"/>
  <c r="W178" i="1" s="1"/>
  <c r="U178" i="1"/>
  <c r="S178" i="1" s="1"/>
  <c r="AI195" i="1"/>
  <c r="X176" i="1"/>
  <c r="T175" i="1"/>
  <c r="U175" i="1" s="1"/>
  <c r="S175" i="1" s="1"/>
  <c r="X175" i="1"/>
  <c r="AG171" i="1"/>
  <c r="AI171" i="1" s="1"/>
  <c r="AG170" i="1"/>
  <c r="U168" i="1"/>
  <c r="S168" i="1" s="1"/>
  <c r="X165" i="1"/>
  <c r="T164" i="1"/>
  <c r="U164" i="1" s="1"/>
  <c r="S164" i="1" s="1"/>
  <c r="AI181" i="1"/>
  <c r="AA162" i="1"/>
  <c r="W162" i="1" s="1"/>
  <c r="U162" i="1"/>
  <c r="S162" i="1" s="1"/>
  <c r="AI179" i="1"/>
  <c r="X160" i="1"/>
  <c r="T159" i="1"/>
  <c r="X159" i="1"/>
  <c r="U159" i="1"/>
  <c r="S159" i="1" s="1"/>
  <c r="AG224" i="1"/>
  <c r="W224" i="1" s="1"/>
  <c r="AG223" i="1"/>
  <c r="AI223" i="1" s="1"/>
  <c r="U221" i="1"/>
  <c r="S221" i="1" s="1"/>
  <c r="S214" i="1"/>
  <c r="AI167" i="1"/>
  <c r="U211" i="1"/>
  <c r="S211" i="1" s="1"/>
  <c r="S209" i="1"/>
  <c r="U207" i="1"/>
  <c r="S207" i="1" s="1"/>
  <c r="S205" i="1"/>
  <c r="AI153" i="1"/>
  <c r="U148" i="1"/>
  <c r="U147" i="1"/>
  <c r="S147" i="1" s="1"/>
  <c r="T141" i="1"/>
  <c r="X141" i="1"/>
  <c r="AG141" i="1"/>
  <c r="AA137" i="1"/>
  <c r="W137" i="1" s="1"/>
  <c r="AI135" i="1"/>
  <c r="AG134" i="1"/>
  <c r="W134" i="1" s="1"/>
  <c r="X134" i="1"/>
  <c r="T134" i="1"/>
  <c r="X135" i="1"/>
  <c r="AI121" i="1"/>
  <c r="X91" i="1"/>
  <c r="AG91" i="1"/>
  <c r="T91" i="1"/>
  <c r="U188" i="1"/>
  <c r="S188" i="1" s="1"/>
  <c r="AA182" i="1"/>
  <c r="X180" i="1"/>
  <c r="T179" i="1"/>
  <c r="U179" i="1" s="1"/>
  <c r="S179" i="1" s="1"/>
  <c r="X179" i="1"/>
  <c r="AI192" i="1"/>
  <c r="U172" i="1"/>
  <c r="S172" i="1" s="1"/>
  <c r="AA166" i="1"/>
  <c r="AI183" i="1"/>
  <c r="X164" i="1"/>
  <c r="T163" i="1"/>
  <c r="U163" i="1" s="1"/>
  <c r="S163" i="1" s="1"/>
  <c r="X163" i="1"/>
  <c r="S158" i="1"/>
  <c r="AI176" i="1"/>
  <c r="U225" i="1"/>
  <c r="S225" i="1" s="1"/>
  <c r="AA215" i="1"/>
  <c r="W215" i="1" s="1"/>
  <c r="U213" i="1"/>
  <c r="S213" i="1" s="1"/>
  <c r="W212" i="1"/>
  <c r="AA211" i="1"/>
  <c r="W211" i="1" s="1"/>
  <c r="W208" i="1"/>
  <c r="AA207" i="1"/>
  <c r="W207" i="1" s="1"/>
  <c r="X156" i="1"/>
  <c r="AG156" i="1"/>
  <c r="AI152" i="1"/>
  <c r="U152" i="1"/>
  <c r="S152" i="1" s="1"/>
  <c r="W151" i="1"/>
  <c r="W150" i="1"/>
  <c r="T140" i="1"/>
  <c r="U135" i="1"/>
  <c r="S135" i="1" s="1"/>
  <c r="X126" i="1"/>
  <c r="X124" i="1"/>
  <c r="AG124" i="1"/>
  <c r="AI120" i="1"/>
  <c r="AI115" i="1"/>
  <c r="U115" i="1"/>
  <c r="S115" i="1" s="1"/>
  <c r="X211" i="1"/>
  <c r="AI163" i="1"/>
  <c r="S210" i="1"/>
  <c r="X207" i="1"/>
  <c r="AI159" i="1"/>
  <c r="S206" i="1"/>
  <c r="AI149" i="1"/>
  <c r="W148" i="1"/>
  <c r="AI147" i="1"/>
  <c r="X146" i="1"/>
  <c r="T145" i="1"/>
  <c r="X145" i="1"/>
  <c r="T144" i="1"/>
  <c r="AI133" i="1"/>
  <c r="W132" i="1"/>
  <c r="AI131" i="1"/>
  <c r="S131" i="1"/>
  <c r="X130" i="1"/>
  <c r="T129" i="1"/>
  <c r="X129" i="1"/>
  <c r="T128" i="1"/>
  <c r="AI119" i="1"/>
  <c r="W116" i="1"/>
  <c r="AI112" i="1"/>
  <c r="AI104" i="1"/>
  <c r="U99" i="1"/>
  <c r="U98" i="1"/>
  <c r="S98" i="1" s="1"/>
  <c r="T92" i="1"/>
  <c r="X92" i="1"/>
  <c r="AG92" i="1"/>
  <c r="W88" i="1"/>
  <c r="AI86" i="1"/>
  <c r="AG85" i="1"/>
  <c r="X85" i="1"/>
  <c r="T85" i="1"/>
  <c r="X86" i="1"/>
  <c r="U72" i="1"/>
  <c r="S72" i="1" s="1"/>
  <c r="AI72" i="1"/>
  <c r="AG67" i="1"/>
  <c r="T67" i="1"/>
  <c r="X67" i="1"/>
  <c r="U41" i="1"/>
  <c r="X37" i="1"/>
  <c r="AG37" i="1"/>
  <c r="T37" i="1"/>
  <c r="X155" i="1"/>
  <c r="T154" i="1"/>
  <c r="U154" i="1" s="1"/>
  <c r="S154" i="1" s="1"/>
  <c r="AA152" i="1"/>
  <c r="W152" i="1" s="1"/>
  <c r="T149" i="1"/>
  <c r="U149" i="1" s="1"/>
  <c r="S149" i="1" s="1"/>
  <c r="X149" i="1"/>
  <c r="AG145" i="1"/>
  <c r="W145" i="1" s="1"/>
  <c r="AG144" i="1"/>
  <c r="W144" i="1" s="1"/>
  <c r="U142" i="1"/>
  <c r="S142" i="1" s="1"/>
  <c r="X139" i="1"/>
  <c r="T138" i="1"/>
  <c r="U138" i="1" s="1"/>
  <c r="S138" i="1" s="1"/>
  <c r="AA136" i="1"/>
  <c r="W136" i="1" s="1"/>
  <c r="T133" i="1"/>
  <c r="U133" i="1" s="1"/>
  <c r="S133" i="1" s="1"/>
  <c r="X133" i="1"/>
  <c r="AG129" i="1"/>
  <c r="AG128" i="1"/>
  <c r="U126" i="1"/>
  <c r="S126" i="1" s="1"/>
  <c r="X123" i="1"/>
  <c r="T122" i="1"/>
  <c r="U122" i="1" s="1"/>
  <c r="S122" i="1" s="1"/>
  <c r="AA120" i="1"/>
  <c r="W120" i="1" s="1"/>
  <c r="U118" i="1"/>
  <c r="S118" i="1" s="1"/>
  <c r="T116" i="1"/>
  <c r="U116" i="1" s="1"/>
  <c r="S116" i="1" s="1"/>
  <c r="X116" i="1"/>
  <c r="U112" i="1"/>
  <c r="S112" i="1" s="1"/>
  <c r="X107" i="1"/>
  <c r="AG107" i="1"/>
  <c r="AI103" i="1"/>
  <c r="U103" i="1"/>
  <c r="S103" i="1" s="1"/>
  <c r="W102" i="1"/>
  <c r="U86" i="1"/>
  <c r="S86" i="1" s="1"/>
  <c r="X75" i="1"/>
  <c r="AG75" i="1"/>
  <c r="U66" i="1"/>
  <c r="S66" i="1" s="1"/>
  <c r="AI66" i="1"/>
  <c r="T38" i="1"/>
  <c r="X38" i="1"/>
  <c r="AG38" i="1"/>
  <c r="AI33" i="1"/>
  <c r="U33" i="1"/>
  <c r="S33" i="1" s="1"/>
  <c r="AA156" i="1"/>
  <c r="W156" i="1" s="1"/>
  <c r="T153" i="1"/>
  <c r="U153" i="1" s="1"/>
  <c r="S153" i="1" s="1"/>
  <c r="X153" i="1"/>
  <c r="S148" i="1"/>
  <c r="AI148" i="1"/>
  <c r="U146" i="1"/>
  <c r="S146" i="1" s="1"/>
  <c r="AA140" i="1"/>
  <c r="W140" i="1" s="1"/>
  <c r="T137" i="1"/>
  <c r="U137" i="1" s="1"/>
  <c r="S137" i="1" s="1"/>
  <c r="X137" i="1"/>
  <c r="S132" i="1"/>
  <c r="AI132" i="1"/>
  <c r="U130" i="1"/>
  <c r="S130" i="1" s="1"/>
  <c r="AA124" i="1"/>
  <c r="W124" i="1" s="1"/>
  <c r="T121" i="1"/>
  <c r="U121" i="1" s="1"/>
  <c r="S121" i="1" s="1"/>
  <c r="X121" i="1"/>
  <c r="T120" i="1"/>
  <c r="U120" i="1" s="1"/>
  <c r="S120" i="1" s="1"/>
  <c r="X120" i="1"/>
  <c r="U119" i="1"/>
  <c r="S119" i="1" s="1"/>
  <c r="T117" i="1"/>
  <c r="X117" i="1"/>
  <c r="AG117" i="1"/>
  <c r="AI116" i="1"/>
  <c r="W115" i="1"/>
  <c r="W113" i="1"/>
  <c r="AA112" i="1"/>
  <c r="W112" i="1" s="1"/>
  <c r="T108" i="1"/>
  <c r="X108" i="1"/>
  <c r="AG108" i="1"/>
  <c r="AA104" i="1"/>
  <c r="W104" i="1" s="1"/>
  <c r="S102" i="1"/>
  <c r="AI102" i="1"/>
  <c r="AG101" i="1"/>
  <c r="X101" i="1"/>
  <c r="T101" i="1"/>
  <c r="X102" i="1"/>
  <c r="AI88" i="1"/>
  <c r="T76" i="1"/>
  <c r="X76" i="1"/>
  <c r="AG76" i="1"/>
  <c r="W76" i="1" s="1"/>
  <c r="AI59" i="1"/>
  <c r="U59" i="1"/>
  <c r="S59" i="1" s="1"/>
  <c r="AI55" i="1"/>
  <c r="U55" i="1"/>
  <c r="S55" i="1" s="1"/>
  <c r="X39" i="1"/>
  <c r="AI34" i="1"/>
  <c r="X112" i="1"/>
  <c r="T111" i="1"/>
  <c r="AI100" i="1"/>
  <c r="W99" i="1"/>
  <c r="AI98" i="1"/>
  <c r="X97" i="1"/>
  <c r="T96" i="1"/>
  <c r="X96" i="1"/>
  <c r="T95" i="1"/>
  <c r="AI84" i="1"/>
  <c r="W83" i="1"/>
  <c r="AI82" i="1"/>
  <c r="S82" i="1"/>
  <c r="X81" i="1"/>
  <c r="T80" i="1"/>
  <c r="X80" i="1"/>
  <c r="T79" i="1"/>
  <c r="AI71" i="1"/>
  <c r="U71" i="1"/>
  <c r="S71" i="1" s="1"/>
  <c r="AI68" i="1"/>
  <c r="AI62" i="1"/>
  <c r="T61" i="1"/>
  <c r="X61" i="1"/>
  <c r="AG61" i="1"/>
  <c r="W61" i="1" s="1"/>
  <c r="X62" i="1"/>
  <c r="W60" i="1"/>
  <c r="T57" i="1"/>
  <c r="X57" i="1"/>
  <c r="AG57" i="1"/>
  <c r="W57" i="1" s="1"/>
  <c r="X58" i="1"/>
  <c r="T53" i="1"/>
  <c r="X53" i="1"/>
  <c r="AG53" i="1"/>
  <c r="W53" i="1" s="1"/>
  <c r="X54" i="1"/>
  <c r="AG111" i="1"/>
  <c r="W111" i="1" s="1"/>
  <c r="U109" i="1"/>
  <c r="S109" i="1" s="1"/>
  <c r="X106" i="1"/>
  <c r="T105" i="1"/>
  <c r="U105" i="1" s="1"/>
  <c r="S105" i="1" s="1"/>
  <c r="AA103" i="1"/>
  <c r="W103" i="1" s="1"/>
  <c r="T100" i="1"/>
  <c r="U100" i="1" s="1"/>
  <c r="S100" i="1" s="1"/>
  <c r="X100" i="1"/>
  <c r="AG96" i="1"/>
  <c r="AG95" i="1"/>
  <c r="U93" i="1"/>
  <c r="S93" i="1" s="1"/>
  <c r="X90" i="1"/>
  <c r="T89" i="1"/>
  <c r="U89" i="1" s="1"/>
  <c r="S89" i="1" s="1"/>
  <c r="AA87" i="1"/>
  <c r="W87" i="1" s="1"/>
  <c r="T84" i="1"/>
  <c r="X84" i="1"/>
  <c r="U84" i="1"/>
  <c r="S84" i="1" s="1"/>
  <c r="AG80" i="1"/>
  <c r="W80" i="1" s="1"/>
  <c r="AG79" i="1"/>
  <c r="W79" i="1" s="1"/>
  <c r="U77" i="1"/>
  <c r="S77" i="1" s="1"/>
  <c r="X74" i="1"/>
  <c r="T73" i="1"/>
  <c r="U73" i="1" s="1"/>
  <c r="S73" i="1" s="1"/>
  <c r="X71" i="1"/>
  <c r="U68" i="1"/>
  <c r="S68" i="1" s="1"/>
  <c r="AG65" i="1"/>
  <c r="X66" i="1"/>
  <c r="W63" i="1"/>
  <c r="T63" i="1"/>
  <c r="U63" i="1" s="1"/>
  <c r="S63" i="1" s="1"/>
  <c r="S60" i="1"/>
  <c r="AI60" i="1"/>
  <c r="S56" i="1"/>
  <c r="AI56" i="1"/>
  <c r="S52" i="1"/>
  <c r="AI52" i="1"/>
  <c r="AI50" i="1"/>
  <c r="AI49" i="1"/>
  <c r="U49" i="1"/>
  <c r="S49" i="1" s="1"/>
  <c r="W48" i="1"/>
  <c r="AI46" i="1"/>
  <c r="AA107" i="1"/>
  <c r="W107" i="1" s="1"/>
  <c r="T104" i="1"/>
  <c r="U104" i="1" s="1"/>
  <c r="S104" i="1" s="1"/>
  <c r="X104" i="1"/>
  <c r="S99" i="1"/>
  <c r="AI99" i="1"/>
  <c r="U97" i="1"/>
  <c r="S97" i="1" s="1"/>
  <c r="AA91" i="1"/>
  <c r="W91" i="1" s="1"/>
  <c r="T88" i="1"/>
  <c r="U88" i="1" s="1"/>
  <c r="S88" i="1" s="1"/>
  <c r="X88" i="1"/>
  <c r="S83" i="1"/>
  <c r="AI83" i="1"/>
  <c r="U81" i="1"/>
  <c r="S81" i="1" s="1"/>
  <c r="AA75" i="1"/>
  <c r="W75" i="1" s="1"/>
  <c r="AG69" i="1"/>
  <c r="X70" i="1"/>
  <c r="W67" i="1"/>
  <c r="AI63" i="1"/>
  <c r="W59" i="1"/>
  <c r="W55" i="1"/>
  <c r="AI48" i="1"/>
  <c r="AG47" i="1"/>
  <c r="X47" i="1"/>
  <c r="T47" i="1"/>
  <c r="X48" i="1"/>
  <c r="W38" i="1"/>
  <c r="W34" i="1"/>
  <c r="T50" i="1"/>
  <c r="U50" i="1" s="1"/>
  <c r="S50" i="1" s="1"/>
  <c r="X50" i="1"/>
  <c r="AG45" i="1"/>
  <c r="X45" i="1"/>
  <c r="U44" i="1"/>
  <c r="S44" i="1" s="1"/>
  <c r="U43" i="1"/>
  <c r="X40" i="1"/>
  <c r="T39" i="1"/>
  <c r="U39" i="1" s="1"/>
  <c r="S39" i="1" s="1"/>
  <c r="AA37" i="1"/>
  <c r="W37" i="1" s="1"/>
  <c r="T34" i="1"/>
  <c r="U34" i="1" s="1"/>
  <c r="S34" i="1" s="1"/>
  <c r="X34" i="1"/>
  <c r="X72" i="1"/>
  <c r="X68" i="1"/>
  <c r="X64" i="1"/>
  <c r="X60" i="1"/>
  <c r="X56" i="1"/>
  <c r="X52" i="1"/>
  <c r="U51" i="1"/>
  <c r="S51" i="1" s="1"/>
  <c r="AA45" i="1"/>
  <c r="W45" i="1" s="1"/>
  <c r="AI44" i="1"/>
  <c r="X43" i="1"/>
  <c r="S43" i="1"/>
  <c r="T42" i="1"/>
  <c r="X42" i="1"/>
  <c r="U42" i="1"/>
  <c r="S42" i="1" s="1"/>
  <c r="U35" i="1"/>
  <c r="S35" i="1" s="1"/>
  <c r="T31" i="1"/>
  <c r="X31" i="1"/>
  <c r="AG31" i="1"/>
  <c r="W31" i="1" s="1"/>
  <c r="T27" i="1"/>
  <c r="X27" i="1"/>
  <c r="AG27" i="1"/>
  <c r="W27" i="1" s="1"/>
  <c r="X28" i="1"/>
  <c r="T23" i="1"/>
  <c r="X23" i="1"/>
  <c r="AG23" i="1"/>
  <c r="X24" i="1"/>
  <c r="T19" i="1"/>
  <c r="X19" i="1"/>
  <c r="AG19" i="1"/>
  <c r="X20" i="1"/>
  <c r="T15" i="1"/>
  <c r="X15" i="1"/>
  <c r="AG15" i="1"/>
  <c r="X16" i="1"/>
  <c r="W49" i="1"/>
  <c r="T46" i="1"/>
  <c r="U46" i="1" s="1"/>
  <c r="S46" i="1" s="1"/>
  <c r="X46" i="1"/>
  <c r="S41" i="1"/>
  <c r="AI41" i="1"/>
  <c r="W33" i="1"/>
  <c r="S30" i="1"/>
  <c r="AI30" i="1"/>
  <c r="S26" i="1"/>
  <c r="AI26" i="1"/>
  <c r="S22" i="1"/>
  <c r="AI22" i="1"/>
  <c r="S18" i="1"/>
  <c r="AI18" i="1"/>
  <c r="S14" i="1"/>
  <c r="AI14" i="1"/>
  <c r="U29" i="1"/>
  <c r="S29" i="1" s="1"/>
  <c r="U25" i="1"/>
  <c r="S25" i="1" s="1"/>
  <c r="U21" i="1"/>
  <c r="S21" i="1" s="1"/>
  <c r="U17" i="1"/>
  <c r="S17" i="1" s="1"/>
  <c r="X30" i="1"/>
  <c r="AI29" i="1"/>
  <c r="X26" i="1"/>
  <c r="AI25" i="1"/>
  <c r="X22" i="1"/>
  <c r="AI21" i="1"/>
  <c r="X18" i="1"/>
  <c r="AI17" i="1"/>
  <c r="AD16" i="3"/>
  <c r="AD21" i="3"/>
  <c r="AD7" i="3"/>
  <c r="AE7" i="3"/>
  <c r="AD13" i="3"/>
  <c r="Y16" i="3"/>
  <c r="AD32" i="3"/>
  <c r="T12" i="3"/>
  <c r="Y17" i="3"/>
  <c r="Y11" i="3"/>
  <c r="AD20" i="3"/>
  <c r="Y35" i="3"/>
  <c r="AD31" i="3"/>
  <c r="AC22" i="3"/>
  <c r="Y18" i="3"/>
  <c r="AD27" i="3"/>
  <c r="AD30" i="3"/>
  <c r="Y33" i="3"/>
  <c r="T35" i="3"/>
  <c r="AE33" i="3"/>
  <c r="Y34" i="3"/>
  <c r="AE16" i="3"/>
  <c r="AC32" i="3"/>
  <c r="T31" i="3"/>
  <c r="Y12" i="3"/>
  <c r="T17" i="3"/>
  <c r="AD8" i="3"/>
  <c r="AE8" i="3"/>
  <c r="Y7" i="3"/>
  <c r="AE30" i="3"/>
  <c r="AC13" i="3"/>
  <c r="AC26" i="3"/>
  <c r="AD34" i="3"/>
  <c r="AE34" i="3"/>
  <c r="Y31" i="3"/>
  <c r="T16" i="3"/>
  <c r="AE31" i="3"/>
  <c r="AE21" i="3"/>
  <c r="AC18" i="3"/>
  <c r="T30" i="3"/>
  <c r="Y8" i="3"/>
  <c r="AE15" i="3"/>
  <c r="T15" i="3"/>
  <c r="AD29" i="3"/>
  <c r="AE26" i="3"/>
  <c r="T26" i="3"/>
  <c r="AD24" i="3"/>
  <c r="AE23" i="3"/>
  <c r="T23" i="3"/>
  <c r="AD14" i="3"/>
  <c r="AE10" i="3"/>
  <c r="T10" i="3"/>
  <c r="AD9" i="3"/>
  <c r="AE32" i="3"/>
  <c r="T32" i="3"/>
  <c r="AD37" i="3"/>
  <c r="AE22" i="3"/>
  <c r="T22" i="3"/>
  <c r="AE18" i="3"/>
  <c r="T18" i="3"/>
  <c r="AD28" i="3"/>
  <c r="AE27" i="3"/>
  <c r="T27" i="3"/>
  <c r="AD15" i="3"/>
  <c r="AE13" i="3"/>
  <c r="T13" i="3"/>
  <c r="AE29" i="3"/>
  <c r="T29" i="3"/>
  <c r="AE24" i="3"/>
  <c r="T24" i="3"/>
  <c r="AE14" i="3"/>
  <c r="T14" i="3"/>
  <c r="AE9" i="3"/>
  <c r="T9" i="3"/>
  <c r="AE37" i="3"/>
  <c r="T37" i="3"/>
  <c r="T21" i="3"/>
  <c r="AE28" i="3"/>
  <c r="T28" i="3"/>
  <c r="AE20" i="3"/>
  <c r="W214" i="1" l="1"/>
  <c r="W197" i="1"/>
  <c r="W182" i="1"/>
  <c r="W158" i="1"/>
  <c r="W177" i="1"/>
  <c r="U174" i="1"/>
  <c r="S174" i="1" s="1"/>
  <c r="W64" i="1"/>
  <c r="W77" i="1"/>
  <c r="W210" i="1"/>
  <c r="W174" i="1"/>
  <c r="W194" i="1"/>
  <c r="W127" i="1"/>
  <c r="W139" i="1"/>
  <c r="W68" i="1"/>
  <c r="W40" i="1"/>
  <c r="W170" i="1"/>
  <c r="AI170" i="1"/>
  <c r="W22" i="1"/>
  <c r="W56" i="1"/>
  <c r="U114" i="1"/>
  <c r="S114" i="1" s="1"/>
  <c r="AI114" i="1"/>
  <c r="W114" i="1"/>
  <c r="U143" i="1"/>
  <c r="S143" i="1" s="1"/>
  <c r="AI143" i="1"/>
  <c r="W143" i="1"/>
  <c r="W89" i="1"/>
  <c r="U193" i="1"/>
  <c r="S193" i="1" s="1"/>
  <c r="AI193" i="1"/>
  <c r="AI224" i="1"/>
  <c r="W202" i="1"/>
  <c r="AI202" i="1"/>
  <c r="W198" i="1"/>
  <c r="U24" i="1"/>
  <c r="S24" i="1" s="1"/>
  <c r="AI24" i="1"/>
  <c r="W29" i="1"/>
  <c r="W30" i="1"/>
  <c r="AI70" i="1"/>
  <c r="U70" i="1"/>
  <c r="S70" i="1" s="1"/>
  <c r="U189" i="1"/>
  <c r="S189" i="1" s="1"/>
  <c r="W118" i="1"/>
  <c r="U101" i="1"/>
  <c r="S101" i="1" s="1"/>
  <c r="AI101" i="1"/>
  <c r="AI108" i="1"/>
  <c r="U108" i="1"/>
  <c r="S108" i="1" s="1"/>
  <c r="U117" i="1"/>
  <c r="S117" i="1" s="1"/>
  <c r="AI117" i="1"/>
  <c r="AI201" i="1"/>
  <c r="U183" i="1"/>
  <c r="S183" i="1" s="1"/>
  <c r="AI161" i="1"/>
  <c r="U208" i="1"/>
  <c r="S208" i="1" s="1"/>
  <c r="AI233" i="1"/>
  <c r="U233" i="1"/>
  <c r="S233" i="1" s="1"/>
  <c r="U15" i="1"/>
  <c r="S15" i="1" s="1"/>
  <c r="AI15" i="1"/>
  <c r="AI79" i="1"/>
  <c r="U79" i="1"/>
  <c r="S79" i="1" s="1"/>
  <c r="U53" i="1"/>
  <c r="S53" i="1" s="1"/>
  <c r="AI53" i="1"/>
  <c r="U57" i="1"/>
  <c r="S57" i="1" s="1"/>
  <c r="AI57" i="1"/>
  <c r="AI38" i="1"/>
  <c r="U38" i="1"/>
  <c r="S38" i="1" s="1"/>
  <c r="AI75" i="1"/>
  <c r="U75" i="1"/>
  <c r="S75" i="1" s="1"/>
  <c r="AI107" i="1"/>
  <c r="U107" i="1"/>
  <c r="S107" i="1" s="1"/>
  <c r="AI37" i="1"/>
  <c r="U37" i="1"/>
  <c r="S37" i="1" s="1"/>
  <c r="W166" i="1"/>
  <c r="AI91" i="1"/>
  <c r="U91" i="1"/>
  <c r="S91" i="1" s="1"/>
  <c r="U134" i="1"/>
  <c r="S134" i="1" s="1"/>
  <c r="AI134" i="1"/>
  <c r="AI141" i="1"/>
  <c r="U141" i="1"/>
  <c r="S141" i="1" s="1"/>
  <c r="AI172" i="1"/>
  <c r="U223" i="1"/>
  <c r="S223" i="1" s="1"/>
  <c r="AI204" i="1"/>
  <c r="U186" i="1"/>
  <c r="S186" i="1" s="1"/>
  <c r="AI213" i="1"/>
  <c r="U195" i="1"/>
  <c r="S195" i="1" s="1"/>
  <c r="AI217" i="1"/>
  <c r="U198" i="1"/>
  <c r="S198" i="1" s="1"/>
  <c r="W186" i="1"/>
  <c r="AI140" i="1"/>
  <c r="U140" i="1"/>
  <c r="S140" i="1" s="1"/>
  <c r="W183" i="1"/>
  <c r="U31" i="1"/>
  <c r="S31" i="1"/>
  <c r="AI31" i="1"/>
  <c r="U69" i="1"/>
  <c r="S69" i="1" s="1"/>
  <c r="AI69" i="1"/>
  <c r="U145" i="1"/>
  <c r="S145" i="1" s="1"/>
  <c r="AI145" i="1"/>
  <c r="U85" i="1"/>
  <c r="S85" i="1" s="1"/>
  <c r="AI85" i="1"/>
  <c r="AI92" i="1"/>
  <c r="U92" i="1"/>
  <c r="S92" i="1" s="1"/>
  <c r="AI156" i="1"/>
  <c r="U156" i="1"/>
  <c r="S156" i="1" s="1"/>
  <c r="U171" i="1"/>
  <c r="S171" i="1" s="1"/>
  <c r="AI189" i="1"/>
  <c r="AI221" i="1"/>
  <c r="U202" i="1"/>
  <c r="S202" i="1" s="1"/>
  <c r="AI125" i="1"/>
  <c r="U125" i="1"/>
  <c r="S125" i="1" s="1"/>
  <c r="AI157" i="1"/>
  <c r="U204" i="1"/>
  <c r="S204" i="1" s="1"/>
  <c r="AI168" i="1"/>
  <c r="U215" i="1"/>
  <c r="S215" i="1" s="1"/>
  <c r="AI184" i="1"/>
  <c r="U166" i="1"/>
  <c r="S166" i="1" s="1"/>
  <c r="AI113" i="1"/>
  <c r="U113" i="1"/>
  <c r="S113" i="1" s="1"/>
  <c r="W117" i="1"/>
  <c r="W233" i="1"/>
  <c r="U19" i="1"/>
  <c r="S19" i="1" s="1"/>
  <c r="AI19" i="1"/>
  <c r="U23" i="1"/>
  <c r="S23" i="1"/>
  <c r="AI23" i="1"/>
  <c r="U27" i="1"/>
  <c r="S27" i="1" s="1"/>
  <c r="AI27" i="1"/>
  <c r="AI45" i="1"/>
  <c r="U45" i="1"/>
  <c r="S45" i="1" s="1"/>
  <c r="U47" i="1"/>
  <c r="S47" i="1" s="1"/>
  <c r="AI47" i="1"/>
  <c r="W15" i="1"/>
  <c r="W47" i="1"/>
  <c r="U65" i="1"/>
  <c r="S65" i="1" s="1"/>
  <c r="AI65" i="1"/>
  <c r="U80" i="1"/>
  <c r="S80" i="1" s="1"/>
  <c r="AI80" i="1"/>
  <c r="AI95" i="1"/>
  <c r="U95" i="1"/>
  <c r="S95" i="1" s="1"/>
  <c r="U61" i="1"/>
  <c r="S61" i="1" s="1"/>
  <c r="AI61" i="1"/>
  <c r="W65" i="1"/>
  <c r="AI76" i="1"/>
  <c r="U76" i="1"/>
  <c r="S76" i="1" s="1"/>
  <c r="AI128" i="1"/>
  <c r="U128" i="1"/>
  <c r="S128" i="1" s="1"/>
  <c r="AI67" i="1"/>
  <c r="U67" i="1"/>
  <c r="S67" i="1" s="1"/>
  <c r="W204" i="1"/>
  <c r="U224" i="1"/>
  <c r="S224" i="1" s="1"/>
  <c r="AI173" i="1"/>
  <c r="U187" i="1"/>
  <c r="S187" i="1" s="1"/>
  <c r="AI205" i="1"/>
  <c r="AI209" i="1"/>
  <c r="U191" i="1"/>
  <c r="S191" i="1" s="1"/>
  <c r="U212" i="1"/>
  <c r="S212" i="1" s="1"/>
  <c r="AI165" i="1"/>
  <c r="W191" i="1"/>
  <c r="W187" i="1"/>
  <c r="W69" i="1"/>
  <c r="W23" i="1"/>
  <c r="U96" i="1"/>
  <c r="S96" i="1" s="1"/>
  <c r="AI96" i="1"/>
  <c r="AI111" i="1"/>
  <c r="U111" i="1"/>
  <c r="S111" i="1" s="1"/>
  <c r="W101" i="1"/>
  <c r="W108" i="1"/>
  <c r="U129" i="1"/>
  <c r="S129" i="1" s="1"/>
  <c r="AI129" i="1"/>
  <c r="AI144" i="1"/>
  <c r="U144" i="1"/>
  <c r="S144" i="1" s="1"/>
  <c r="W19" i="1"/>
  <c r="W96" i="1"/>
  <c r="W92" i="1"/>
  <c r="AI124" i="1"/>
  <c r="U124" i="1"/>
  <c r="S124" i="1" s="1"/>
  <c r="W128" i="1"/>
  <c r="W85" i="1"/>
  <c r="W95" i="1"/>
  <c r="AI188" i="1"/>
  <c r="U170" i="1"/>
  <c r="S170" i="1" s="1"/>
  <c r="AI200" i="1"/>
  <c r="U182" i="1"/>
  <c r="S182" i="1" s="1"/>
  <c r="AI225" i="1"/>
  <c r="U217" i="1"/>
  <c r="S217" i="1" s="1"/>
  <c r="AI229" i="1"/>
  <c r="U229" i="1"/>
  <c r="S229" i="1" s="1"/>
  <c r="W129" i="1"/>
  <c r="U150" i="1"/>
  <c r="S150" i="1" s="1"/>
  <c r="AI150" i="1"/>
  <c r="W141" i="1"/>
  <c r="W223" i="1"/>
  <c r="W171" i="1"/>
  <c r="W195" i="1"/>
  <c r="B50" i="9"/>
  <c r="B51" i="9"/>
  <c r="B52" i="9"/>
  <c r="C52" i="9" s="1"/>
  <c r="B53" i="9"/>
  <c r="B54" i="9"/>
  <c r="C54" i="9" s="1"/>
  <c r="M19" i="3"/>
  <c r="R19" i="3"/>
  <c r="S19" i="3"/>
  <c r="U19" i="3"/>
  <c r="V19" i="3"/>
  <c r="X19" i="3"/>
  <c r="AD17" i="3" l="1"/>
  <c r="AE17" i="3"/>
  <c r="C53" i="9"/>
  <c r="C51" i="9"/>
  <c r="Y19" i="3"/>
  <c r="AD19" i="3"/>
  <c r="AC19" i="3"/>
  <c r="AE19" i="3"/>
  <c r="T19" i="3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20" i="3" s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N30" i="3" s="1"/>
  <c r="G65" i="4"/>
  <c r="G66" i="4"/>
  <c r="N7" i="3" s="1"/>
  <c r="G67" i="4"/>
  <c r="G68" i="4"/>
  <c r="G69" i="4"/>
  <c r="G70" i="4"/>
  <c r="G71" i="4"/>
  <c r="G72" i="4"/>
  <c r="G73" i="4"/>
  <c r="G74" i="4"/>
  <c r="N11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N8" i="3" s="1"/>
  <c r="G91" i="4"/>
  <c r="G92" i="4"/>
  <c r="G93" i="4"/>
  <c r="G94" i="4"/>
  <c r="N18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22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12" i="3" s="1"/>
  <c r="G140" i="4"/>
  <c r="G141" i="4"/>
  <c r="N37" i="3" s="1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N31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32" i="3" s="1"/>
  <c r="G176" i="4"/>
  <c r="G177" i="4"/>
  <c r="G178" i="4"/>
  <c r="G179" i="4"/>
  <c r="G180" i="4"/>
  <c r="G181" i="4"/>
  <c r="G182" i="4"/>
  <c r="N9" i="3" s="1"/>
  <c r="G183" i="4"/>
  <c r="G184" i="4"/>
  <c r="G185" i="4"/>
  <c r="G186" i="4"/>
  <c r="G187" i="4"/>
  <c r="G188" i="4"/>
  <c r="G189" i="4"/>
  <c r="G190" i="4"/>
  <c r="G191" i="4"/>
  <c r="G192" i="4"/>
  <c r="N34" i="3" s="1"/>
  <c r="G193" i="4"/>
  <c r="N16" i="3" s="1"/>
  <c r="G194" i="4"/>
  <c r="G195" i="4"/>
  <c r="G196" i="4"/>
  <c r="G197" i="4"/>
  <c r="G198" i="4"/>
  <c r="N10" i="3" s="1"/>
  <c r="G199" i="4"/>
  <c r="G200" i="4"/>
  <c r="N14" i="3" s="1"/>
  <c r="G201" i="4"/>
  <c r="G202" i="4"/>
  <c r="G203" i="4"/>
  <c r="N36" i="3" s="1"/>
  <c r="G204" i="4"/>
  <c r="G205" i="4"/>
  <c r="G206" i="4"/>
  <c r="G207" i="4"/>
  <c r="G208" i="4"/>
  <c r="N23" i="3" s="1"/>
  <c r="G209" i="4"/>
  <c r="G210" i="4"/>
  <c r="G211" i="4"/>
  <c r="G212" i="4"/>
  <c r="G213" i="4"/>
  <c r="G214" i="4"/>
  <c r="N33" i="3" s="1"/>
  <c r="G215" i="4"/>
  <c r="G216" i="4"/>
  <c r="G217" i="4"/>
  <c r="G218" i="4"/>
  <c r="G219" i="4"/>
  <c r="G220" i="4"/>
  <c r="N35" i="3" s="1"/>
  <c r="G221" i="4"/>
  <c r="G222" i="4"/>
  <c r="G223" i="4"/>
  <c r="G224" i="4"/>
  <c r="N24" i="3" s="1"/>
  <c r="G225" i="4"/>
  <c r="G226" i="4"/>
  <c r="G227" i="4"/>
  <c r="N25" i="3" s="1"/>
  <c r="G228" i="4"/>
  <c r="G229" i="4"/>
  <c r="N29" i="3" s="1"/>
  <c r="G230" i="4"/>
  <c r="G231" i="4"/>
  <c r="N26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19" i="3"/>
  <c r="N21" i="3"/>
  <c r="N27" i="3"/>
  <c r="N28" i="3"/>
  <c r="N13" i="3"/>
  <c r="N15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5" i="6" l="1"/>
  <c r="I5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6" i="6" l="1"/>
  <c r="I6" i="6" s="1"/>
  <c r="F5" i="6"/>
  <c r="J5" i="6"/>
  <c r="G5" i="6"/>
  <c r="H5" i="6"/>
  <c r="G259" i="4"/>
  <c r="G260" i="4"/>
  <c r="G261" i="4"/>
  <c r="G262" i="4"/>
  <c r="G263" i="4"/>
  <c r="G264" i="4"/>
  <c r="G265" i="4"/>
  <c r="F6" i="6" l="1"/>
  <c r="J6" i="6"/>
  <c r="G6" i="6"/>
  <c r="H6" i="6"/>
  <c r="B7" i="6"/>
  <c r="I7" i="6" s="1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H7" i="6"/>
  <c r="J7" i="6"/>
  <c r="G7" i="6"/>
  <c r="B8" i="6"/>
  <c r="I8" i="6" s="1"/>
  <c r="O2" i="3"/>
  <c r="O3" i="3" s="1"/>
  <c r="F8" i="6" l="1"/>
  <c r="J8" i="6"/>
  <c r="G8" i="6"/>
  <c r="H8" i="6"/>
  <c r="B9" i="6"/>
  <c r="I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9" i="6" l="1"/>
  <c r="F9" i="6"/>
  <c r="G9" i="6"/>
  <c r="H9" i="6"/>
  <c r="B10" i="6"/>
  <c r="I10" i="6" s="1"/>
  <c r="J8" i="1"/>
  <c r="J4" i="1"/>
  <c r="S8" i="1"/>
  <c r="S4" i="1"/>
  <c r="F10" i="6" l="1"/>
  <c r="J10" i="6"/>
  <c r="H10" i="6"/>
  <c r="G10" i="6"/>
  <c r="B11" i="6"/>
  <c r="I11" i="6" s="1"/>
  <c r="S9" i="1"/>
  <c r="J9" i="1"/>
  <c r="B12" i="6" l="1"/>
  <c r="I12" i="6" s="1"/>
  <c r="F11" i="6"/>
  <c r="G11" i="6"/>
  <c r="J11" i="6"/>
  <c r="H11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<sst xmlns="http://schemas.openxmlformats.org/spreadsheetml/2006/main" count="2608" uniqueCount="926">
  <si>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</si>
  <si>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</si>
  <si>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</si>
  <si>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</si>
  <si>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</si>
  <si>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</si>
  <si>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</si>
  <si>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</si>
  <si>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</si>
  <si>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</si>
  <si>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</si>
  <si>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</si>
  <si>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</si>
  <si>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</si>
  <si>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</si>
  <si>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</si>
  <si>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</si>
  <si>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</si>
  <si>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</si>
  <si>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</si>
  <si>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</si>
  <si>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</si>
  <si>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</si>
  <si>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</si>
  <si>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</si>
  <si>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</si>
  <si>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</si>
  <si>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</si>
  <si>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</si>
  <si>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</si>
  <si>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</si>
  <si>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</si>
  <si>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</si>
  <si>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</si>
  <si>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</si>
  <si>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</si>
  <si>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</si>
  <si>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</si>
  <si>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</si>
  <si>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</si>
  <si>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</si>
  <si>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</si>
  <si>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</si>
  <si>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</si>
  <si>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</si>
  <si>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</si>
  <si>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</si>
  <si>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</si>
  <si>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</si>
  <si>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</si>
  <si>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</si>
  <si>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</si>
  <si>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</si>
  <si>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</si>
  <si>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</si>
  <si>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</si>
  <si>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</si>
  <si>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</si>
  <si>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</si>
  <si>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</si>
  <si>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</si>
  <si>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</si>
  <si>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</si>
  <si>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</si>
  <si>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</si>
  <si>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</si>
  <si>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</si>
  <si>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</si>
  <si>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</si>
  <si>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</si>
  <si>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</si>
  <si>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</si>
  <si>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</si>
  <si>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</si>
  <si>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</si>
  <si>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</si>
  <si>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</si>
  <si>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</si>
  <si>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</si>
  <si>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</si>
  <si>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</si>
  <si>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</si>
  <si>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</si>
  <si>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</si>
  <si>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</si>
  <si>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</si>
  <si>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</si>
  <si>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</si>
  <si>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</si>
  <si>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</si>
  <si>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</si>
  <si>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</si>
  <si>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</si>
  <si>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</si>
  <si>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</si>
  <si>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</si>
  <si>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</si>
  <si>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</si>
  <si>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</si>
  <si>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</si>
  <si>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</si>
  <si>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</si>
  <si>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</si>
  <si>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</si>
  <si>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</si>
  <si>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</si>
  <si>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</si>
  <si>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</si>
  <si>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</si>
  <si>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</si>
  <si>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</si>
  <si>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</si>
  <si>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</si>
  <si>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</si>
  <si>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</si>
  <si>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</si>
  <si>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</si>
  <si>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</si>
  <si>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</si>
  <si>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</si>
  <si>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</si>
  <si>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</si>
  <si>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</si>
  <si>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</si>
  <si>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</si>
  <si>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</si>
  <si>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</si>
  <si>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</si>
  <si>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</si>
  <si>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</si>
  <si>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</si>
  <si>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</si>
  <si>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</si>
  <si>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</si>
  <si>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</si>
  <si>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</si>
  <si>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</si>
  <si>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</si>
  <si>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</si>
  <si>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</si>
  <si>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</si>
  <si>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</si>
  <si>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</si>
  <si>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</si>
  <si>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</si>
  <si>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</si>
  <si>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</si>
  <si>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</si>
  <si>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</si>
  <si>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</si>
  <si>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</si>
  <si>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</si>
  <si>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</si>
  <si>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</si>
  <si>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</si>
  <si>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</si>
  <si>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</si>
  <si>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</si>
  <si>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</si>
  <si>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</si>
  <si>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</si>
  <si>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</si>
  <si>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</si>
  <si>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</si>
  <si>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</si>
  <si>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</si>
  <si>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</si>
  <si>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</si>
  <si>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</si>
  <si>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</si>
  <si>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</si>
  <si>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</si>
  <si>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</si>
  <si>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</si>
  <si>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</si>
  <si>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</si>
  <si>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</si>
  <si>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</si>
  <si>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</si>
  <si>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</si>
  <si>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</si>
  <si>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</si>
  <si>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</si>
  <si>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</si>
  <si>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</si>
  <si>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</si>
  <si>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</si>
  <si>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</si>
  <si>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</si>
  <si>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</si>
  <si>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</si>
  <si>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</si>
  <si>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</si>
  <si>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</si>
  <si>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</si>
  <si>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rtdc.l.rtdc.4012:itc</t>
  </si>
  <si>
    <t>204:150</t>
  </si>
  <si>
    <t>rtdc.l.rtdc.4022:itc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</si>
  <si>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</si>
  <si>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</si>
  <si>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</si>
  <si>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</si>
  <si>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</si>
  <si>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</si>
  <si>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</si>
  <si>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</si>
  <si>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</si>
  <si>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</si>
  <si>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</si>
  <si>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</si>
  <si>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</si>
  <si>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</si>
  <si>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</si>
  <si>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</si>
  <si>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</si>
  <si>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</si>
  <si>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</si>
  <si>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</si>
  <si>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</si>
  <si>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</si>
  <si>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</si>
  <si>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</si>
  <si>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</si>
  <si>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</si>
  <si>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</si>
  <si>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</si>
  <si>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</si>
  <si>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</si>
  <si>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</si>
  <si>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</si>
  <si>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</si>
  <si>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</si>
  <si>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</si>
  <si>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</si>
  <si>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</si>
  <si>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</si>
  <si>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</si>
  <si>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</si>
  <si>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</si>
  <si>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</si>
  <si>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</si>
  <si>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</si>
  <si>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</si>
  <si>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</si>
  <si>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</si>
  <si>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</si>
  <si>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</si>
  <si>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</si>
  <si>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</si>
  <si>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</si>
  <si>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</si>
  <si>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</si>
  <si>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</si>
  <si>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</si>
  <si>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</si>
  <si>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</si>
  <si>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</si>
  <si>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</si>
  <si>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</si>
  <si>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</si>
  <si>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</si>
  <si>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</si>
  <si>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</si>
  <si>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</si>
  <si>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</si>
  <si>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</si>
  <si>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</si>
  <si>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</si>
  <si>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</si>
  <si>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</si>
  <si>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</si>
  <si>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</si>
  <si>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</si>
  <si>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</si>
  <si>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</si>
  <si>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</si>
  <si>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</si>
  <si>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</si>
  <si>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</si>
  <si>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</si>
  <si>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</si>
  <si>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</si>
  <si>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</si>
  <si>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</si>
  <si>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204:136</t>
  </si>
  <si>
    <t>204:232982</t>
  </si>
  <si>
    <t>204:233301</t>
  </si>
  <si>
    <t>204:232994</t>
  </si>
  <si>
    <t>204:467</t>
  </si>
  <si>
    <t>rtdc.l.rtdc.4002:itc</t>
  </si>
  <si>
    <t>204:233307</t>
  </si>
  <si>
    <t>204:156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</si>
  <si>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</si>
  <si>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</si>
  <si>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</si>
  <si>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</si>
  <si>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</si>
  <si>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</si>
  <si>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</si>
  <si>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</si>
  <si>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</si>
  <si>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</si>
  <si>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</si>
  <si>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</si>
  <si>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</si>
  <si>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</si>
  <si>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</si>
  <si>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204:233311</t>
  </si>
  <si>
    <t>204:233308</t>
  </si>
  <si>
    <t>204:139</t>
  </si>
  <si>
    <t>204:232998</t>
  </si>
  <si>
    <t>204:232979</t>
  </si>
  <si>
    <t>204:170</t>
  </si>
  <si>
    <t>204:233323</t>
  </si>
  <si>
    <t>204:232992</t>
  </si>
  <si>
    <t>204:437</t>
  </si>
  <si>
    <t>204:233278</t>
  </si>
  <si>
    <t>204:233304</t>
  </si>
  <si>
    <t>204:232976</t>
  </si>
  <si>
    <t>Early arrival</t>
  </si>
  <si>
    <t>rtdc.l.rtdc.4016:itc</t>
  </si>
  <si>
    <t>STARKS</t>
  </si>
  <si>
    <t>ANGELINA</t>
  </si>
  <si>
    <t>BONDS</t>
  </si>
  <si>
    <t>REYNALDO</t>
  </si>
  <si>
    <t>CLARK</t>
  </si>
  <si>
    <t>KATHLEEN</t>
  </si>
  <si>
    <t>LEVERE</t>
  </si>
  <si>
    <t>CRAIG</t>
  </si>
  <si>
    <t>Mostly Cloudy</t>
  </si>
  <si>
    <t>204:447</t>
  </si>
  <si>
    <t>204:232993</t>
  </si>
  <si>
    <t>204:233317</t>
  </si>
  <si>
    <t>204:233291</t>
  </si>
  <si>
    <t>rtdc.l.rtdc.4010:itc</t>
  </si>
  <si>
    <t>rtdc.l.rtdc.4009:itc</t>
  </si>
  <si>
    <t>LOZA</t>
  </si>
  <si>
    <t>FIDEL</t>
  </si>
  <si>
    <t>BRANNON</t>
  </si>
  <si>
    <t>JEFFREY</t>
  </si>
  <si>
    <t>204:232977</t>
  </si>
  <si>
    <t>204:138</t>
  </si>
  <si>
    <t>204:232986</t>
  </si>
  <si>
    <t>204:232981</t>
  </si>
  <si>
    <t>204:167</t>
  </si>
  <si>
    <t>204:233309</t>
  </si>
  <si>
    <t>204:233303</t>
  </si>
  <si>
    <t>204:233272</t>
  </si>
  <si>
    <t>204:233281</t>
  </si>
  <si>
    <t>204:233306</t>
  </si>
  <si>
    <t>204:232985</t>
  </si>
  <si>
    <t>204:232953</t>
  </si>
  <si>
    <t>204:233274</t>
  </si>
  <si>
    <t>204:174</t>
  </si>
  <si>
    <t>300:23346</t>
  </si>
  <si>
    <t>300:58649</t>
  </si>
  <si>
    <t>300:58950</t>
  </si>
  <si>
    <t>300:58946</t>
  </si>
  <si>
    <t>300:58944</t>
  </si>
  <si>
    <t>300:58624</t>
  </si>
  <si>
    <t>300:58643</t>
  </si>
  <si>
    <t>300:58975</t>
  </si>
  <si>
    <t>rtdc.l.rtdc.4055:itc</t>
  </si>
  <si>
    <t>GEBRETEKLE</t>
  </si>
  <si>
    <t>DAGNEW</t>
  </si>
  <si>
    <t>YORK</t>
  </si>
  <si>
    <t>EDGAR</t>
  </si>
  <si>
    <t>BADERTSCHER</t>
  </si>
  <si>
    <t>DIANE</t>
  </si>
  <si>
    <t>HELVIE</t>
  </si>
  <si>
    <t>ADAM</t>
  </si>
  <si>
    <t>BRUDER</t>
  </si>
  <si>
    <t>RICHARD</t>
  </si>
  <si>
    <t>DELGADO</t>
  </si>
  <si>
    <t>DIANAH</t>
  </si>
  <si>
    <t>WHITED</t>
  </si>
  <si>
    <t>rtdc.l.rtdc.4057:itc</t>
  </si>
  <si>
    <t>242-01</t>
  </si>
  <si>
    <t>309-01</t>
  </si>
  <si>
    <t>244-01</t>
  </si>
  <si>
    <t>NORTH55-01</t>
  </si>
  <si>
    <t>311-01</t>
  </si>
  <si>
    <t>313-01</t>
  </si>
  <si>
    <t>315-01</t>
  </si>
  <si>
    <t>precipAccumulation</t>
  </si>
  <si>
    <t>precipType</t>
  </si>
  <si>
    <t>snow</t>
  </si>
  <si>
    <t>Flurries</t>
  </si>
  <si>
    <t>204:129</t>
  </si>
  <si>
    <t>204:750</t>
  </si>
  <si>
    <t>204:232677</t>
  </si>
  <si>
    <t>204:232963</t>
  </si>
  <si>
    <t>204:127</t>
  </si>
  <si>
    <t>204:735</t>
  </si>
  <si>
    <t>204:232978</t>
  </si>
  <si>
    <t>204:433</t>
  </si>
  <si>
    <t>204:233302</t>
  </si>
  <si>
    <t>204:232991</t>
  </si>
  <si>
    <t>204:233328</t>
  </si>
  <si>
    <t>204:233015</t>
  </si>
  <si>
    <t>204:233318</t>
  </si>
  <si>
    <t>204:232988</t>
  </si>
  <si>
    <t>204:438</t>
  </si>
  <si>
    <t>204:232983</t>
  </si>
  <si>
    <t>204:233293</t>
  </si>
  <si>
    <t>204:442</t>
  </si>
  <si>
    <t>204:233321</t>
  </si>
  <si>
    <t>204:232980</t>
  </si>
  <si>
    <t>204:232967</t>
  </si>
  <si>
    <t>204:444</t>
  </si>
  <si>
    <t>204:232959</t>
  </si>
  <si>
    <t>204:233270</t>
  </si>
  <si>
    <t>204:233004</t>
  </si>
  <si>
    <t>204:232975</t>
  </si>
  <si>
    <t>204:475</t>
  </si>
  <si>
    <t>204:484</t>
  </si>
  <si>
    <t>204:233289</t>
  </si>
  <si>
    <t>204:477</t>
  </si>
  <si>
    <t>204:232996</t>
  </si>
  <si>
    <t>204:233316</t>
  </si>
  <si>
    <t>204:233027</t>
  </si>
  <si>
    <t>204:233288</t>
  </si>
  <si>
    <t>300:23302</t>
  </si>
  <si>
    <t>204:1010</t>
  </si>
  <si>
    <t>204:748</t>
  </si>
  <si>
    <t>204:678</t>
  </si>
  <si>
    <t>204:1032</t>
  </si>
  <si>
    <t>204:955</t>
  </si>
  <si>
    <t>204:687</t>
  </si>
  <si>
    <t>300:58954</t>
  </si>
  <si>
    <t>204:960</t>
  </si>
  <si>
    <t>300:58948</t>
  </si>
  <si>
    <t>204:971</t>
  </si>
  <si>
    <t>300:58963</t>
  </si>
  <si>
    <t>204:979</t>
  </si>
  <si>
    <t>204:668</t>
  </si>
  <si>
    <t>300:58655</t>
  </si>
  <si>
    <t>204:976</t>
  </si>
  <si>
    <t>300:58619</t>
  </si>
  <si>
    <t>300:58623</t>
  </si>
  <si>
    <t>204:978</t>
  </si>
  <si>
    <t>300:23338</t>
  </si>
  <si>
    <t>110-02</t>
  </si>
  <si>
    <t>116-02</t>
  </si>
  <si>
    <t>129-02</t>
  </si>
  <si>
    <t>811-02</t>
  </si>
  <si>
    <t>139-02</t>
  </si>
  <si>
    <t>145-02</t>
  </si>
  <si>
    <t>140-02</t>
  </si>
  <si>
    <t>157-02</t>
  </si>
  <si>
    <t>159-02</t>
  </si>
  <si>
    <t>152-02</t>
  </si>
  <si>
    <t>173-02</t>
  </si>
  <si>
    <t>168-02</t>
  </si>
  <si>
    <t>rtdc.l.rtdc.4019:itc</t>
  </si>
  <si>
    <t>904-02</t>
  </si>
  <si>
    <t>195-02</t>
  </si>
  <si>
    <t>832-02</t>
  </si>
  <si>
    <t>836-02</t>
  </si>
  <si>
    <t>219-02</t>
  </si>
  <si>
    <t>220-02</t>
  </si>
  <si>
    <t>841-02</t>
  </si>
  <si>
    <t>225-02</t>
  </si>
  <si>
    <t>227-02</t>
  </si>
  <si>
    <t>84-02</t>
  </si>
  <si>
    <t>844-02</t>
  </si>
  <si>
    <t>228-02</t>
  </si>
  <si>
    <t>236-02</t>
  </si>
  <si>
    <t>SOUTH57-02</t>
  </si>
  <si>
    <t>238-02</t>
  </si>
  <si>
    <t>240-02</t>
  </si>
  <si>
    <t>243-02</t>
  </si>
  <si>
    <t>302-02</t>
  </si>
  <si>
    <t>101-02</t>
  </si>
  <si>
    <t>304-02</t>
  </si>
  <si>
    <t>103-02</t>
  </si>
  <si>
    <t>rtdc.l.rtdc.4017:itc</t>
  </si>
  <si>
    <t>306-02</t>
  </si>
  <si>
    <t>ROBINSON</t>
  </si>
  <si>
    <t>KADDIBA</t>
  </si>
  <si>
    <t>105-02</t>
  </si>
  <si>
    <t>308-02</t>
  </si>
  <si>
    <t>102-02</t>
  </si>
  <si>
    <t>107-02</t>
  </si>
  <si>
    <t>310-02</t>
  </si>
  <si>
    <t>ACKERMAN</t>
  </si>
  <si>
    <t>JARED</t>
  </si>
  <si>
    <t>104-02</t>
  </si>
  <si>
    <t>109-02</t>
  </si>
  <si>
    <t>111-02</t>
  </si>
  <si>
    <t>800-02</t>
  </si>
  <si>
    <t>SHOOK</t>
  </si>
  <si>
    <t>JOHN</t>
  </si>
  <si>
    <t>106-02</t>
  </si>
  <si>
    <t>113-02</t>
  </si>
  <si>
    <t>108-02</t>
  </si>
  <si>
    <t>115-02</t>
  </si>
  <si>
    <t>rtdc.l.rtdc.4020:itc</t>
  </si>
  <si>
    <t>801-02</t>
  </si>
  <si>
    <t>117-02</t>
  </si>
  <si>
    <t>112-02</t>
  </si>
  <si>
    <t>902-02</t>
  </si>
  <si>
    <t>119-02</t>
  </si>
  <si>
    <t>114-02</t>
  </si>
  <si>
    <t>802-02</t>
  </si>
  <si>
    <t>121-02</t>
  </si>
  <si>
    <t>803-02</t>
  </si>
  <si>
    <t>123-02</t>
  </si>
  <si>
    <t>805-02</t>
  </si>
  <si>
    <t>118-02</t>
  </si>
  <si>
    <t>125-02</t>
  </si>
  <si>
    <t>804-02</t>
  </si>
  <si>
    <t>120-02</t>
  </si>
  <si>
    <t>127-02</t>
  </si>
  <si>
    <t>122-02</t>
  </si>
  <si>
    <t>806-02</t>
  </si>
  <si>
    <t>807-02</t>
  </si>
  <si>
    <t>124-02</t>
  </si>
  <si>
    <t>126-02</t>
  </si>
  <si>
    <t>131-02</t>
  </si>
  <si>
    <t>809-02</t>
  </si>
  <si>
    <t>808-02</t>
  </si>
  <si>
    <t>133-02</t>
  </si>
  <si>
    <t>128-02</t>
  </si>
  <si>
    <t>135-02</t>
  </si>
  <si>
    <t>810-02</t>
  </si>
  <si>
    <t>130-02</t>
  </si>
  <si>
    <t>137-02</t>
  </si>
  <si>
    <t>132-02</t>
  </si>
  <si>
    <t>903-02</t>
  </si>
  <si>
    <t>134-02</t>
  </si>
  <si>
    <t>812-02</t>
  </si>
  <si>
    <t>141-02</t>
  </si>
  <si>
    <t>136-02</t>
  </si>
  <si>
    <t>143-02</t>
  </si>
  <si>
    <t>138-02</t>
  </si>
  <si>
    <t>813-02</t>
  </si>
  <si>
    <t>147-02</t>
  </si>
  <si>
    <t>142-02</t>
  </si>
  <si>
    <t>814-02</t>
  </si>
  <si>
    <t>149-02</t>
  </si>
  <si>
    <t>144-02</t>
  </si>
  <si>
    <t>151-02</t>
  </si>
  <si>
    <t>146-02</t>
  </si>
  <si>
    <t>153-02</t>
  </si>
  <si>
    <t>815-02</t>
  </si>
  <si>
    <t>148-02</t>
  </si>
  <si>
    <t>155-02</t>
  </si>
  <si>
    <t>150-02</t>
  </si>
  <si>
    <t>816-02</t>
  </si>
  <si>
    <t>154-02</t>
  </si>
  <si>
    <t>rtdc.l.rtdc.4001:itc</t>
  </si>
  <si>
    <t>52-02</t>
  </si>
  <si>
    <t>SMITH</t>
  </si>
  <si>
    <t>161-02</t>
  </si>
  <si>
    <t>SWANSON</t>
  </si>
  <si>
    <t>BRYCE</t>
  </si>
  <si>
    <t>156-02</t>
  </si>
  <si>
    <t>817-02</t>
  </si>
  <si>
    <t>163-02</t>
  </si>
  <si>
    <t>158-02</t>
  </si>
  <si>
    <t>818-02</t>
  </si>
  <si>
    <t>53-02</t>
  </si>
  <si>
    <t>165-02</t>
  </si>
  <si>
    <t>160-02</t>
  </si>
  <si>
    <t>167-02</t>
  </si>
  <si>
    <t>162-02</t>
  </si>
  <si>
    <t>169-02</t>
  </si>
  <si>
    <t>819-02</t>
  </si>
  <si>
    <t>164-02</t>
  </si>
  <si>
    <t>171-02</t>
  </si>
  <si>
    <t>166-02</t>
  </si>
  <si>
    <t>820-02</t>
  </si>
  <si>
    <t>175-02</t>
  </si>
  <si>
    <t>821-02</t>
  </si>
  <si>
    <t>170-02</t>
  </si>
  <si>
    <t>177-02</t>
  </si>
  <si>
    <t>172-02</t>
  </si>
  <si>
    <t>179-02</t>
  </si>
  <si>
    <t>174-02</t>
  </si>
  <si>
    <t>822-02</t>
  </si>
  <si>
    <t>181-02</t>
  </si>
  <si>
    <t>176-02</t>
  </si>
  <si>
    <t>183-02</t>
  </si>
  <si>
    <t>178-02</t>
  </si>
  <si>
    <t>185-02</t>
  </si>
  <si>
    <t>180-02</t>
  </si>
  <si>
    <t>823-02</t>
  </si>
  <si>
    <t>187-02</t>
  </si>
  <si>
    <t>182-02</t>
  </si>
  <si>
    <t>824-02</t>
  </si>
  <si>
    <t>189-02</t>
  </si>
  <si>
    <t>184-02</t>
  </si>
  <si>
    <t>191-02</t>
  </si>
  <si>
    <t>186-02</t>
  </si>
  <si>
    <t>193-02</t>
  </si>
  <si>
    <t>825-02</t>
  </si>
  <si>
    <t>188-02</t>
  </si>
  <si>
    <t>190-02</t>
  </si>
  <si>
    <t>826-02</t>
  </si>
  <si>
    <t>197-02</t>
  </si>
  <si>
    <t>827-02</t>
  </si>
  <si>
    <t>199-02</t>
  </si>
  <si>
    <t>192-02</t>
  </si>
  <si>
    <t>194-02</t>
  </si>
  <si>
    <t>828-02</t>
  </si>
  <si>
    <t>201-02</t>
  </si>
  <si>
    <t>829-02</t>
  </si>
  <si>
    <t>196-02</t>
  </si>
  <si>
    <t>203-02</t>
  </si>
  <si>
    <t>198-02</t>
  </si>
  <si>
    <t>830-02</t>
  </si>
  <si>
    <t>831-02</t>
  </si>
  <si>
    <t>200-02</t>
  </si>
  <si>
    <t>205-02</t>
  </si>
  <si>
    <t>207-02</t>
  </si>
  <si>
    <t>202-02</t>
  </si>
  <si>
    <t>204-02</t>
  </si>
  <si>
    <t>833-02</t>
  </si>
  <si>
    <t>209-02</t>
  </si>
  <si>
    <t>rtdc.l.rtdc.4018:itc</t>
  </si>
  <si>
    <t>75-02</t>
  </si>
  <si>
    <t>MOSES</t>
  </si>
  <si>
    <t>BRADLEY</t>
  </si>
  <si>
    <t>211-02</t>
  </si>
  <si>
    <t>206-02</t>
  </si>
  <si>
    <t>835-02</t>
  </si>
  <si>
    <t>213-02</t>
  </si>
  <si>
    <t>834-02</t>
  </si>
  <si>
    <t>208-02</t>
  </si>
  <si>
    <t>74-02</t>
  </si>
  <si>
    <t>MACDONALD</t>
  </si>
  <si>
    <t>THOMAS</t>
  </si>
  <si>
    <t>215-02</t>
  </si>
  <si>
    <t>210-02</t>
  </si>
  <si>
    <t>212-02</t>
  </si>
  <si>
    <t>217-02</t>
  </si>
  <si>
    <t>76-02</t>
  </si>
  <si>
    <t>YANG</t>
  </si>
  <si>
    <t>JAN</t>
  </si>
  <si>
    <t>77-02</t>
  </si>
  <si>
    <t>837-02</t>
  </si>
  <si>
    <t>214-02</t>
  </si>
  <si>
    <t>838-02</t>
  </si>
  <si>
    <t>303-02</t>
  </si>
  <si>
    <t>839-02</t>
  </si>
  <si>
    <t>216-02</t>
  </si>
  <si>
    <t>221-02</t>
  </si>
  <si>
    <t>906-02</t>
  </si>
  <si>
    <t>218-02</t>
  </si>
  <si>
    <t>305-02</t>
  </si>
  <si>
    <t>223-02</t>
  </si>
  <si>
    <t>840-02</t>
  </si>
  <si>
    <t>307-02</t>
  </si>
  <si>
    <t>222-02</t>
  </si>
  <si>
    <t>843-02</t>
  </si>
  <si>
    <t>224-02</t>
  </si>
  <si>
    <t>842-02</t>
  </si>
  <si>
    <t>SIMMONS</t>
  </si>
  <si>
    <t>SHYHESHA</t>
  </si>
  <si>
    <t>226-02</t>
  </si>
  <si>
    <t>229-02</t>
  </si>
  <si>
    <t>GRASTON</t>
  </si>
  <si>
    <t>MATHEU</t>
  </si>
  <si>
    <t>845-02</t>
  </si>
  <si>
    <t>231-02</t>
  </si>
  <si>
    <t>85-02</t>
  </si>
  <si>
    <t>233-02</t>
  </si>
  <si>
    <t>230-02</t>
  </si>
  <si>
    <t>847-02</t>
  </si>
  <si>
    <t>235-02</t>
  </si>
  <si>
    <t>232-02</t>
  </si>
  <si>
    <t>908-02</t>
  </si>
  <si>
    <t>234-02</t>
  </si>
  <si>
    <t>237-02</t>
  </si>
  <si>
    <t>239-02</t>
  </si>
  <si>
    <t>NORTH55-02</t>
  </si>
  <si>
    <t>241-02</t>
  </si>
  <si>
    <t>309-02</t>
  </si>
  <si>
    <t>242-02</t>
  </si>
  <si>
    <t>311-02</t>
  </si>
  <si>
    <t>244-02</t>
  </si>
  <si>
    <t>313-02</t>
  </si>
  <si>
    <t>315-02</t>
  </si>
  <si>
    <t>Light Snow</t>
  </si>
  <si>
    <t>fog</t>
  </si>
  <si>
    <t>Foggy</t>
  </si>
  <si>
    <t>204:713</t>
  </si>
  <si>
    <t>204:232662</t>
  </si>
  <si>
    <t>204:763</t>
  </si>
  <si>
    <t>204:232648</t>
  </si>
  <si>
    <t>204:739</t>
  </si>
  <si>
    <t>204:233445</t>
  </si>
  <si>
    <t>204:232804</t>
  </si>
  <si>
    <t>204:233334</t>
  </si>
  <si>
    <t>204:233006</t>
  </si>
  <si>
    <t>204:233282</t>
  </si>
  <si>
    <t>204:424</t>
  </si>
  <si>
    <t>204:233266</t>
  </si>
  <si>
    <t>204:703</t>
  </si>
  <si>
    <t>204:233310</t>
  </si>
  <si>
    <t>204:232957</t>
  </si>
  <si>
    <t>204:233002</t>
  </si>
  <si>
    <t>204:464</t>
  </si>
  <si>
    <t>204:232965</t>
  </si>
  <si>
    <t>204:233312</t>
  </si>
  <si>
    <t>204:233315</t>
  </si>
  <si>
    <t>204:165</t>
  </si>
  <si>
    <t>204:431</t>
  </si>
  <si>
    <t>204:169</t>
  </si>
  <si>
    <t>204:232990</t>
  </si>
  <si>
    <t>204:466</t>
  </si>
  <si>
    <t>204:233366</t>
  </si>
  <si>
    <t>204:130</t>
  </si>
  <si>
    <t>204:233285</t>
  </si>
  <si>
    <t>204:232964</t>
  </si>
  <si>
    <t>204:426</t>
  </si>
  <si>
    <t>204:233268</t>
  </si>
  <si>
    <t>204:232946</t>
  </si>
  <si>
    <t>204:482</t>
  </si>
  <si>
    <t>204:233300</t>
  </si>
  <si>
    <t>204:36694</t>
  </si>
  <si>
    <t>204:187</t>
  </si>
  <si>
    <t>204:435</t>
  </si>
  <si>
    <t>204:232987</t>
  </si>
  <si>
    <t>204:495</t>
  </si>
  <si>
    <t>204:233345</t>
  </si>
  <si>
    <t>204:233010</t>
  </si>
  <si>
    <t>204:233364</t>
  </si>
  <si>
    <t>204:478</t>
  </si>
  <si>
    <t>204:232971</t>
  </si>
  <si>
    <t>204:191</t>
  </si>
  <si>
    <t>204:233280</t>
  </si>
  <si>
    <t>204:172</t>
  </si>
  <si>
    <t>204:233372</t>
  </si>
  <si>
    <t>204:233094</t>
  </si>
  <si>
    <t>204:488</t>
  </si>
  <si>
    <t>204:233314</t>
  </si>
  <si>
    <t>204:233378</t>
  </si>
  <si>
    <t>204:119</t>
  </si>
  <si>
    <t>204:232972</t>
  </si>
  <si>
    <t>204:233298</t>
  </si>
  <si>
    <t>204:232970</t>
  </si>
  <si>
    <t>204:413</t>
  </si>
  <si>
    <t>204:233456</t>
  </si>
  <si>
    <t>204:943</t>
  </si>
  <si>
    <t>204:907</t>
  </si>
  <si>
    <t>204:1164</t>
  </si>
  <si>
    <t>204:930</t>
  </si>
  <si>
    <t>204:232960</t>
  </si>
  <si>
    <t>204:1282</t>
  </si>
  <si>
    <t>204:233339</t>
  </si>
  <si>
    <t>300:23110</t>
  </si>
  <si>
    <t>300:23301</t>
  </si>
  <si>
    <t>300:22039</t>
  </si>
  <si>
    <t>300:23312</t>
  </si>
  <si>
    <t>300:22123</t>
  </si>
  <si>
    <t>300:23411</t>
  </si>
  <si>
    <t>204:1228</t>
  </si>
  <si>
    <t>300:22620</t>
  </si>
  <si>
    <t>300:23320</t>
  </si>
  <si>
    <t>300:21844</t>
  </si>
  <si>
    <t>204:79</t>
  </si>
  <si>
    <t>204:1229</t>
  </si>
  <si>
    <t>300:24248</t>
  </si>
  <si>
    <t>300:23169</t>
  </si>
  <si>
    <t>204:1481</t>
  </si>
  <si>
    <t>300:23297</t>
  </si>
  <si>
    <t>300:21975</t>
  </si>
  <si>
    <t>204:977</t>
  </si>
  <si>
    <t>204:372</t>
  </si>
  <si>
    <t>300:58688</t>
  </si>
  <si>
    <t>204:1014</t>
  </si>
  <si>
    <t>300:58971</t>
  </si>
  <si>
    <t>300:58670</t>
  </si>
  <si>
    <t>204:738</t>
  </si>
  <si>
    <t>204:937</t>
  </si>
  <si>
    <t>300:58965</t>
  </si>
  <si>
    <t>300:58656</t>
  </si>
  <si>
    <t>300:58988</t>
  </si>
  <si>
    <t>204:972</t>
  </si>
  <si>
    <t>300:58952</t>
  </si>
  <si>
    <t>204:712</t>
  </si>
  <si>
    <t>204:1027</t>
  </si>
  <si>
    <t>300:58990</t>
  </si>
  <si>
    <t>300:58681</t>
  </si>
  <si>
    <t>204:144</t>
  </si>
  <si>
    <t>204:990</t>
  </si>
  <si>
    <t>300:58636</t>
  </si>
  <si>
    <t>204:680</t>
  </si>
  <si>
    <t>300:58960</t>
  </si>
  <si>
    <t>204:684</t>
  </si>
  <si>
    <t>300:58645</t>
  </si>
  <si>
    <t>204:974</t>
  </si>
  <si>
    <t>204:689</t>
  </si>
  <si>
    <t>300:58651</t>
  </si>
  <si>
    <t>300:58973</t>
  </si>
  <si>
    <t>204:670</t>
  </si>
  <si>
    <t>204:698</t>
  </si>
  <si>
    <t>204:992</t>
  </si>
  <si>
    <t>204:677</t>
  </si>
  <si>
    <t>300:58642</t>
  </si>
  <si>
    <t>204:705</t>
  </si>
  <si>
    <t>204:981</t>
  </si>
  <si>
    <t>300:58661</t>
  </si>
  <si>
    <t>204:999</t>
  </si>
  <si>
    <t>204:727</t>
  </si>
  <si>
    <t>204:1030</t>
  </si>
  <si>
    <t>300:21549</t>
  </si>
  <si>
    <t>300:58581</t>
  </si>
  <si>
    <t>300:58890</t>
  </si>
  <si>
    <t>204:986</t>
  </si>
  <si>
    <t>300:58640</t>
  </si>
  <si>
    <t>204:694</t>
  </si>
  <si>
    <t>204:985</t>
  </si>
  <si>
    <t>300:58958</t>
  </si>
  <si>
    <t>300:58912</t>
  </si>
  <si>
    <t>204:614</t>
  </si>
  <si>
    <t>204:656</t>
  </si>
  <si>
    <t>300:24227</t>
  </si>
  <si>
    <t>300:23228</t>
  </si>
  <si>
    <t>204:650</t>
  </si>
  <si>
    <t>300:21384</t>
  </si>
  <si>
    <t>204:10371</t>
  </si>
  <si>
    <t>204:777</t>
  </si>
  <si>
    <t>204:168845</t>
  </si>
  <si>
    <t>204:153920</t>
  </si>
  <si>
    <t>204:9901</t>
  </si>
  <si>
    <t>204:168263</t>
  </si>
  <si>
    <t>204:162833</t>
  </si>
  <si>
    <t>204:125434</t>
  </si>
  <si>
    <t>start /low /b %USERPROFILE%\Documents\GitHub\eaglep3\Utilities\DownloadLogsFromS3.py --loco 4009 --day 2017-02-02</t>
  </si>
  <si>
    <t>start /low /b %USERPROFILE%\Documents\GitHub\eaglep3\Utilities\DownloadLogsFromS3.py --loco 4027 --day 2017-02-02</t>
  </si>
  <si>
    <t>start /low /b %USERPROFILE%\Documents\GitHub\eaglep3\Utilities\DownloadLogsFromS3.py --loco 4016 --day 2017-02-02</t>
  </si>
  <si>
    <t>start /low /b %USERPROFILE%\Documents\GitHub\eaglep3\Utilities\DownloadLogsFromS3.py --loco 4051 --day 2017-02-03</t>
  </si>
  <si>
    <t>start /low /b %USERPROFILE%\Documents\GitHub\eaglep3\Utilities\DownloadLogsFromS3.py --loco 4011 --day 2017-02-03</t>
  </si>
  <si>
    <t>start /low /b %USERPROFILE%\Documents\GitHub\eaglep3\Utilities\DownloadLogsFromS3.py --loco 4028 --day 2017-02-02</t>
  </si>
  <si>
    <t>start /low /b %USERPROFILE%\Documents\GitHub\eaglep3\Utilities\DownloadLogsFromS3.py --loco 4052 --day 2017-02-03</t>
  </si>
  <si>
    <t>start /low /b %USERPROFILE%\Documents\GitHub\eaglep3\Utilities\DownloadLogsFromS3.py --loco 4026 --day 2017-02-02</t>
  </si>
  <si>
    <t>start /low /b %USERPROFILE%\Documents\GitHub\eaglep3\Utilities\DownloadLogsFromS3.py --loco 4015 --day 2017-02-02</t>
  </si>
  <si>
    <t>start /low /b %USERPROFILE%\Documents\GitHub\eaglep3\Utilities\DownloadLogsFromS3.py --loco 4028 --day 2017-02-03</t>
  </si>
  <si>
    <t>start /low /b %USERPROFILE%\Documents\GitHub\eaglep3\Utilities\DownloadLogsFromS3.py --loco 4045 --day 2017-02-03</t>
  </si>
  <si>
    <t>start /low /b %USERPROFILE%\Documents\GitHub\eaglep3\Utilities\DownloadLogsFromS3.py --loco 4003 --day 2017-02-02</t>
  </si>
  <si>
    <t>start /low /b %USERPROFILE%\Documents\GitHub\eaglep3\Utilities\DownloadLogsFromS3.py --loco 4019 --day 2017-02-03</t>
  </si>
  <si>
    <t>start /low /b %USERPROFILE%\Documents\GitHub\eaglep3\Utilities\DownloadLogsFromS3.py --loco 4004 --day 2017-02-03</t>
  </si>
  <si>
    <t>start /low /b %USERPROFILE%\Documents\GitHub\eaglep3\Utilities\DownloadLogsFromS3.py --loco 4003 --day 2017-02-03</t>
  </si>
  <si>
    <t>http://stevetu21.github.io/eaglep3/load_kml.html?kml=http://rtdc.gmaps-snips.s3.amazonaws.com/591dfbbc-4b8f-4600-ace9-f535907ea8bb.kml</t>
  </si>
  <si>
    <t>Wi-MAX data drop</t>
  </si>
  <si>
    <t>Premature downgrade at EC0816RH 75-1T 1N (false occupancy at 81-1T?)</t>
  </si>
  <si>
    <t>At 11:17:01, EC0816RH 75-1T dropped from 270 to STOP &amp; PROCEED. Another false occupancy at 81-1T?</t>
  </si>
  <si>
    <t>SYS :2017/02/02 13:23:38.347:ENFORCEMENT:Predictive Enforcement Action:  Target Number: 00001005  Target Speed:   0.0  Current Speed:   7.1</t>
  </si>
  <si>
    <t>SYS :2017/02/02 13:23:38.509:ENFORCEMENT:Predictive Enforcement Action:  Target Number: 00001005  Target Speed:   0.0  Current Speed:   7.1</t>
  </si>
  <si>
    <t>SYS :2017/02/02 14:04:28.693:ENFORCEMENT:Predictive Enforcement Action:  Target Number: 00001003  Target Speed:   0.0  Current Speed:   9.0</t>
  </si>
  <si>
    <t>SYS :2017/02/02 14:04:28.994:ENFORCEMENT:Predictive Enforcement Action:  Target Number: 00001003  Target Speed:   0.0  Current Speed:   9.0</t>
  </si>
  <si>
    <t>SYS :2017/02/02 14:04:29.154:ENFORCEMENT:Predictive Enforcement Action:  Target Number: 00001003  Target Speed:   0.0  Current Speed:   9.0</t>
  </si>
  <si>
    <t>SYS :2017/02/02 14:21:42.185:ENFORCEMENT:Predictive Enforcement Action:  Target Number: 00010055  Target Speed:  20.0  Current Speed:  45.8</t>
  </si>
  <si>
    <t>SYS :2017/02/02 14:21:42.222:ENFORCEMENT:Predictive Enforcement Action:  Target Number: 00010009  Target Speed:  20.0  Current Speed:  45.8</t>
  </si>
  <si>
    <t>SYS :2017/02/02 14:21:42.756:ENFORCEMENT:Predictive Enforcement Action:  Target Number: 00010055  Target Speed:  20.0  Current Speed:  45.8</t>
  </si>
  <si>
    <t>SYS :2017/02/02 14:48:20.986:ENFORCEMENT:Predictive Enforcement Action:  Target Number: 00010016  Target Speed:  55.0  Current Speed:  79.5</t>
  </si>
  <si>
    <t>SYS :2017/02/02 14:48:21.182:ENFORCEMENT:Predictive Enforcement Action:  Target Number: 00010069  Target Speed:  55.0  Current Speed:  79.5</t>
  </si>
  <si>
    <t>SYS :2017/02/02 14:48:21.752:ENFORCEMENT:Predictive Enforcement Action:  Target Number: 00010068  Target Speed:  55.0  Current Speed:  79.5</t>
  </si>
  <si>
    <t>SYS :2017/02/02 15:26:15.951:ENFORCEMENT:Predictive Enforcement Action:  Target Number: 00010088  Target Speed:  30.0  Current Speed:  39.5</t>
  </si>
  <si>
    <t>SYS :2017/02/02 15:26:15.964:ENFORCEMENT:Predictive Enforcement Action:  Target Number: 00010088  Target Speed:  30.0  Current Speed:  39.9</t>
  </si>
  <si>
    <t>SYS :2017/02/02 15:26:16.086:ENFORCEMENT:Predictive Enforcement Action:  Target Number: 00010080  Target Speed:  30.0  Current Speed:  39.9</t>
  </si>
  <si>
    <t>SYS :2017/02/02 15:36:15.778:ENFORCEMENT:Predictive Enforcement Action:  Target Number: 00017038  Target Speed:   0.0  Current Speed:  23.6</t>
  </si>
  <si>
    <t>SYS :2017/02/02 15:36:16.920:ENFORCEMENT:Predictive Enforcement Action:  Target Number: 00017044  Target Speed:   0.0  Current Speed:  22.4</t>
  </si>
  <si>
    <t>SYS :2017/02/02 15:36:17.400:ENFORCEMENT:Predictive Enforcement Action:  Target Number: 00017044  Target Speed:   0.0  Current Speed:  22.4</t>
  </si>
  <si>
    <t>SYS :2017/02/02 16:51:30.559:ENFORCEMENT:Predictive Enforcement Action:  Target Number: 0000102B  Target Speed:   0.0  Current Speed:   9.7</t>
  </si>
  <si>
    <t>SYS :2017/02/02 16:51:30.912:ENFORCEMENT:Predictive Enforcement Action:  Target Number: 0000102B  Target Speed:   0.0  Current Speed:   9.7</t>
  </si>
  <si>
    <t>SYS :2017/02/02 16:51:31.380:ENFORCEMENT:Predictive Enforcement Action:  Target Number: 0000102B  Target Speed:   0.0  Current Speed:   9.7</t>
  </si>
  <si>
    <t>SYS :2017/02/02 16:52:05.919:ENFORCEMENT:Predictive Enforcement Action:  Target Number: 0000102B  Target Speed:   0.0  Current Speed:   4.2</t>
  </si>
  <si>
    <t>SYS :2017/02/02 16:52:06.371:ENFORCEMENT:Predictive Enforcement Action:  Target Number: 0000102B  Target Speed:   0.0  Current Speed:   4.2</t>
  </si>
  <si>
    <t>SYS :2017/02/02 16:52:08.554:ENFORCEMENT:Predictive Enforcement Action:  Target Number: 0000102B  Target Speed:   0.0  Current Speed:   4.1</t>
  </si>
  <si>
    <t>SYS :2017/02/02 16:55:07.476:ENFORCEMENT:Predictive Enforcement Action:  Target Number: 00017045  Target Speed:  24.0  Current Speed:  35.5</t>
  </si>
  <si>
    <t>SYS :2017/02/02 16:55:07.641:ENFORCEMENT:Predictive Enforcement Action:  Target Number: 00017045  Target Speed:  24.0  Current Speed:  35.6</t>
  </si>
  <si>
    <t>SYS :2017/02/02 17:23:18.412:ENFORCEMENT:Reactive Enforcement Action:  Target Number: 00017057  Target Speed:  15.0  Current Speed:  20.2</t>
  </si>
  <si>
    <t>SYS :2017/02/02 17:47:02.206:ENFORCEMENT:Predictive Enforcement Action:  Target Number: 00006116  Target Speed:   0.0  Current Speed:   6.4</t>
  </si>
  <si>
    <t>SYS :2017/02/02 17:51:41.353:ENFORCEMENT:Predictive Enforcement Action:  Target Number: 00010009  Target Speed:  20.0  Current Speed:  25.8</t>
  </si>
  <si>
    <t>SYS :2017/02/02 17:52:57.736:ENFORCEMENT:Predictive Enforcement Action:  Target Number: 00017062  Target Speed:   0.0  Current Speed:  18.0</t>
  </si>
  <si>
    <t>SYS :2017/02/02 17:52:57.779:ENFORCEMENT:Predictive Enforcement Action:  Target Number: 0001703E  Target Speed:   0.0  Current Speed:  17.0</t>
  </si>
  <si>
    <t>SYS :2017/02/02 18:17:02.566:ENFORCEMENT:Reactive Enforcement Action:  Target Number: 000063AD  Target Speed:   0.0  Current Speed:  47.8</t>
  </si>
  <si>
    <t>SYS :2017/02/02 18:17:03.367:ENFORCEMENT:Reactive Enforcement Action:  Target Number: 00006369  Target Speed:   0.0  Current Speed:  47.8</t>
  </si>
  <si>
    <t>SYS :2017/02/02 18:36:23.340:ENFORCEMENT:Predictive Enforcement Action:  Target Number: 0000100C  Target Speed:   0.0  Current Speed:   4.3</t>
  </si>
  <si>
    <t>SYS :2017/02/02 18:36:23.507:ENFORCEMENT:Predictive Enforcement Action:  Target Number: 0000100C  Target Speed:   0.0  Current Speed:   4.3</t>
  </si>
  <si>
    <t>SYS :2017/02/02 18:36:23.897:ENFORCEMENT:Predictive Enforcement Action:  Target Number: 0000100C  Target Speed:   0.0  Current Speed:   4.3</t>
  </si>
  <si>
    <t>SYS :2017/02/02 19:53:50.567:ENFORCEMENT:Predictive Enforcement Action:  Target Number: 000063F6  Target Speed:   0.0  Current Speed:  37.5</t>
  </si>
  <si>
    <t>SYS :2017/02/02 19:53:51.381:ENFORCEMENT:Predictive Enforcement Action:  Target Number: 000063B2  Target Speed:   0.0  Current Speed:  36.5</t>
  </si>
  <si>
    <t>SYS :2017/02/02 19:54:47.379:ENFORCEMENT:Reactive Enforcement Action:  Target Number: 000063B2  Target Speed:   0.0  Current Speed:   0.6</t>
  </si>
  <si>
    <t>SYS :2017/02/02 20:35:40.453:ENFORCEMENT:Predictive Enforcement Action:  Target Number: 0000100D  Target Speed:   0.0  Current Speed:   4.0</t>
  </si>
  <si>
    <t>SYS :2017/02/02 22:43:32.781:ENFORCEMENT:Predictive Enforcement Action:  Target Number: 00017095  Target Speed:   0.0  Current Speed:  49.1</t>
  </si>
  <si>
    <t>SYS :2017/02/02 22:43:34.398:ENFORCEMENT:Predictive Enforcement Action:  Target Number: 000170A1  Target Speed:   0.0  Current Speed:  45.8</t>
  </si>
  <si>
    <t>SYS :2017/02/03 00:27:13.281:ENFORCEMENT:Predictive Enforcement Action:  Target Number: 00001012  Target Speed:   0.0  Current Speed:   4.4</t>
  </si>
  <si>
    <t>SYS :2017/02/03 00:27:13.461:ENFORCEMENT:Predictive Enforcement Action:  Target Number: 0000100E  Target Speed:   0.0  Current Speed:   4.4</t>
  </si>
  <si>
    <t>SYS :2017/02/03 00:27:14.083:ENFORCEMENT:Predictive Enforcement Action:  Target Number: 00001012  Target Speed:   0.0  Current Speed:   4.4</t>
  </si>
  <si>
    <t>SYS :2017/02/03 01:27:26.085:ENFORCEMENT:Predictive Enforcement Action:  Target Number: 00001017  Target Speed:   0.0  Current Speed:   5.9</t>
  </si>
  <si>
    <t>SYS :2017/02/03 01:27:26.460:ENFORCEMENT:Predictive Enforcement Action:  Target Number: 00001013  Target Speed:   0.0  Current Speed:   5.9</t>
  </si>
  <si>
    <t>SYS :2017/02/03 01:27:27.274:ENFORCEMENT:Predictive Enforcement Action:  Target Number: 00001017  Target Speed:   0.0  Current Speed:   5.9</t>
  </si>
  <si>
    <t>SYS :2017/02/03 01:36:14.411:ENFORCEMENT:Predictive Enforcement Action:  Target Number: 00017173  Target Speed:   0.0  Current Speed:  20.3</t>
  </si>
  <si>
    <t>SYS :2017/02/03 01:36:14.993:ENFORCEMENT:Predictive Enforcement Action:  Target Number: 00017173  Target Speed:   0.0  Current Speed:  20.3</t>
  </si>
  <si>
    <t>SYS :2017/02/03 01:36:15.019:ENFORCEMENT:Predictive Enforcement Action:  Target Number: 0001716C  Target Speed:   0.0  Current Speed:  20.3</t>
  </si>
  <si>
    <t>SYS :2017/02/03 02:28:20.686:ENFORCEMENT:Reactive Enforcement Action:  Target Number: 000101D4  Target Speed:  35.0  Current Speed:  40.1</t>
  </si>
  <si>
    <t>SYS :2017/02/03 02:28:21.331:ENFORCEMENT:Reactive Enforcement Action:  Target Number: 00010366  Target Speed:  35.0  Current Speed:  40.1</t>
  </si>
  <si>
    <t>SYS :2017/02/03 02:28:21.373:ENFORCEMENT:Reactive Enforcement Action:  Target Number: 000100F6  Target Speed:  35.0  Current Speed:  40.1</t>
  </si>
  <si>
    <t>SYS :2017/02/03 02:35:37.922:ENFORCEMENT:Predictive Enforcement Action:  Target Number: 00001029  Target Speed:   0.0  Current Speed:   5.1</t>
  </si>
  <si>
    <t>SYS :2017/02/03 02:35:37.943:ENFORCEMENT:Predictive Enforcement Action:  Target Number: 00001029  Target Speed:   0.0  Current Speed:   5.1</t>
  </si>
  <si>
    <t>SYS :2017/02/03 03:08:06.796:ENFORCEMENT:Predictive Enforcement Action:  Target Number: 000170D5  Target Speed:   0.0  Current Speed:  16.8</t>
  </si>
  <si>
    <t>SYS :2017/02/03 03:08:06.975:ENFORCEMENT:Predictive Enforcement Action:  Target Number: 000170D5  Target Speed:   0.0  Current Speed:  16.8</t>
  </si>
  <si>
    <t>SYS :2017/02/03 03:08:07.140:ENFORCEMENT:Predictive Enforcement Action:  Target Number: 000170D5  Target Speed:   0.0  Current Speed:  16.8</t>
  </si>
  <si>
    <t>SYS :2017/02/03 03:36:46.408:ENFORCEMENT:Reactive Enforcement Action:  Target Number: 000103EF  Target Speed:  20.0  Current Speed:  25.6</t>
  </si>
  <si>
    <t>SYS :2017/02/03 03:36:46.999:ENFORCEMENT:Reactive Enforcement Action:  Target Number: 0001040A  Target Speed:  20.0  Current Speed:  25.6</t>
  </si>
  <si>
    <t>SYS :2017/02/03 03:36:47.034:ENFORCEMENT:Reactive Enforcement Action:  Target Number: 00010400  Target Speed:  20.0  Current Speed:  25.6</t>
  </si>
  <si>
    <t>SYS :2017/02/03 04:55:49.662:ENFORCEMENT:Predictive Enforcement Action:  Target Number: 0000103C  Target Speed:   0.0  Current Speed:   3.8</t>
  </si>
  <si>
    <t>SYS :2017/02/03 04:55:50.376:ENFORCEMENT:Predictive Enforcement Action:  Target Number: 0000103C  Target Speed:   0.0  Current Speed:   3.8</t>
  </si>
  <si>
    <t>SYS :2017/02/03 05:03:14.671:ENFORCEMENT:Predictive Enforcement Action:  Target Number: 0000101F  Target Speed:   0.0  Current Speed:   7.0</t>
  </si>
  <si>
    <t>SYS :2017/02/03 05:03:16.315:ENFORCEMENT:Predictive Enforcement Action:  Target Number: 0000103F  Target Speed:   0.0  Current Speed:   6.9</t>
  </si>
  <si>
    <t>SYS :2017/02/03 05:03:16.362:ENFORCEMENT:Predictive Enforcement Action:  Target Number: 00001010  Target Speed:   0.0  Current Speed:   6.9</t>
  </si>
  <si>
    <t>SYS :2017/02/03 06:51:53.709:ENFORCEMENT:Predictive Enforcement Action:  Target Number: 00017156  Target Speed:  53.0  Current Speed:  61.9</t>
  </si>
  <si>
    <t>SYS :2017/02/03 07:03:32.365:ENFORCEMENT:Predictive Enforcement Action:  Target Number: 00001012  Target Speed:   0.0  Current Speed:   4.6</t>
  </si>
  <si>
    <t>SYS :2017/02/03 07:03:32.827:ENFORCEMENT:Predictive Enforcement Action:  Target Number: 00001001  Target Speed:   0.0  Current Speed:   4.6</t>
  </si>
  <si>
    <t>SYS :2017/02/03 08:03:54.498:ENFORCEMENT:Predictive Enforcement Action:  Target Number: 00001021  Target Speed:   0.0  Current Speed:   3.0</t>
  </si>
  <si>
    <t>SYS :2017/02/03 08:03:54.854:ENFORCEMENT:Predictive Enforcement Action:  Target Number: 00001020  Target Speed:   0.0  Current Speed:   3.0</t>
  </si>
  <si>
    <t>SYS :2017/02/03 08:04:07.975:ENFORCEMENT:Predictive Enforcement Action:  Target Number: 00001045  Target Speed:   0.0  Current Speed:   6.4</t>
  </si>
  <si>
    <t>SYS :2017/02/03 08:04:08.013:ENFORCEMENT:Predictive Enforcement Action:  Target Number: 00001044  Target Speed:   0.0  Current Speed:   6.4</t>
  </si>
  <si>
    <t>SYS :2017/02/03 08:04:08.394:ENFORCEMENT:Predictive Enforcement Action:  Target Number: 00001044  Target Speed:   0.0  Current Speed:   6.4</t>
  </si>
  <si>
    <t>Banner w/o braking</t>
  </si>
  <si>
    <t>Unhealthy XING due to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</si>
</sst>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5" xfId="0" applyNumberFormat="1" applyFill="1" applyBorder="1"/>
    <xf numFmtId="169" fontId="0" fillId="0" borderId="0" xfId="0" applyNumberFormat="1" applyAlignment="1"/>
    <xf numFmtId="169" fontId="0" fillId="0" borderId="0" xfId="0" applyNumberFormat="1" applyBorder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2"/>
  <sheetViews>
    <sheetView tabSelected="1" zoomScaleNormal="100" workbookViewId="0">
      <selection activeCell="R115" sqref="R115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73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6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4"/>
      <c r="V1" s="175"/>
      <c r="W1" s="174"/>
      <c r="X1" s="173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6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42768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42768</v>
      </c>
      <c r="S2" s="66"/>
      <c r="T2" s="67"/>
      <c r="U2" s="176"/>
      <c r="V2" s="177" t="s">
        <v>8</v>
      </c>
      <c r="W2" s="178"/>
      <c r="X2" s="179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6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80"/>
      <c r="V3" s="181" t="s">
        <v>11</v>
      </c>
      <c r="W3" s="182" t="s">
        <v>12</v>
      </c>
      <c r="X3" s="183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6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46</v>
      </c>
      <c r="T4" s="40"/>
      <c r="U4" s="184"/>
      <c r="V4" s="181" t="s">
        <v>15</v>
      </c>
      <c r="W4" s="182" t="s">
        <v>15</v>
      </c>
      <c r="X4" s="183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6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COUNTIFS($N$13:$N$9356,"&gt;0",$AG$13:$AG$9356,I1)</f>
        <v>143</v>
      </c>
      <c r="K5" s="40"/>
      <c r="L5" s="40"/>
      <c r="M5" s="41">
        <f>AVERAGEIFS($N$13:$N$9356,$AG$13:$AG$9356,I1)</f>
        <v>37.698834499033246</v>
      </c>
      <c r="N5" s="39">
        <f t="array" ref="N5">MIN(IF($AG$13:$AG$9356=I1,IF(ISNUMBER($N$13:$N$9356),IF($N$13:$N$9356&gt;0,$N$13:$N$9356))))</f>
        <v>30.699999999487773</v>
      </c>
      <c r="O5" s="3">
        <f t="array" ref="O5">MAX(IF($AG$13:$AG$9356=I1,IF(ISNUMBER($N$13:$N$9356),IF($N$13:$N$9356&gt;0,$N$13:$N$9356))))</f>
        <v>45.533333332277834</v>
      </c>
      <c r="P5" s="2"/>
      <c r="R5" s="74" t="s">
        <v>17</v>
      </c>
      <c r="S5" s="50">
        <f>COUNTIFS($N$13:$N$9356,"&gt;0",$AG$13:$AG$9356,R1)</f>
        <v>46</v>
      </c>
      <c r="T5" s="40"/>
      <c r="U5" s="184"/>
      <c r="V5" s="181">
        <f>AVERAGEIFS($N$13:$N$9356,$AG$13:$AG$9356,R1)</f>
        <v>15.069503546147509</v>
      </c>
      <c r="W5" s="182">
        <f t="array" ref="W5">MIN(IF($AG$13:$AG$9356=R1,IF(ISNUMBER($N$13:$N$9356),IF($N$13:$N$9356&gt;0,$N$13:$N$9356))))</f>
        <v>12.849999996833503</v>
      </c>
      <c r="X5" s="183">
        <f t="array" ref="X5">MAX(IF($AG$13:$AG$9356=R1,IF(ISNUMBER($N$13:$N$9356),IF($N$13:$N$9356&gt;0,$N$13:$N$9356))))</f>
        <v>21.183333329390734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6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COUNT($O$13:$O$114)</f>
        <v>0</v>
      </c>
      <c r="K6" s="40"/>
      <c r="L6" s="40"/>
      <c r="M6" s="41">
        <f>IFERROR(AVERAGE($O$13:$O$114),0)</f>
        <v>0</v>
      </c>
      <c r="N6" s="39">
        <f>MIN($O$13:$O$114)</f>
        <v>0</v>
      </c>
      <c r="O6" s="3">
        <f>MAX($O$13:$O$114)</f>
        <v>0</v>
      </c>
      <c r="P6" s="2"/>
      <c r="R6" s="75" t="s">
        <v>43</v>
      </c>
      <c r="S6" s="50">
        <f>COUNT($O$13:$O$114)</f>
        <v>0</v>
      </c>
      <c r="T6" s="40"/>
      <c r="U6" s="184"/>
      <c r="V6" s="181">
        <f>IFERROR(AVERAGE($O$13:$O$114),0)</f>
        <v>0</v>
      </c>
      <c r="W6" s="182">
        <f>MIN($O$13:$O$114)</f>
        <v>0</v>
      </c>
      <c r="X6" s="183">
        <f>MAX($O$13:$O$114)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6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COUNTIFS($P$13:$P$9356,"&gt;0",$AG$13:$AG$9356,I1)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COUNTIFS($P$13:$P$9356,"&gt;0",$AG$13:$AG$9356,R1)</f>
        <v>0</v>
      </c>
      <c r="T7" s="40"/>
      <c r="U7" s="184"/>
      <c r="V7" s="181" t="s">
        <v>15</v>
      </c>
      <c r="W7" s="182" t="s">
        <v>15</v>
      </c>
      <c r="X7" s="183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6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37.698834499033246</v>
      </c>
      <c r="N8" s="39">
        <f>N5</f>
        <v>30.699999999487773</v>
      </c>
      <c r="O8" s="3">
        <f>O5</f>
        <v>45.533333332277834</v>
      </c>
      <c r="P8" s="2"/>
      <c r="R8" s="74" t="s">
        <v>16</v>
      </c>
      <c r="S8" s="50">
        <f>S5</f>
        <v>46</v>
      </c>
      <c r="T8" s="40"/>
      <c r="U8" s="184"/>
      <c r="V8" s="181">
        <f>V5</f>
        <v>15.069503546147509</v>
      </c>
      <c r="W8" s="182">
        <f>W5</f>
        <v>12.849999996833503</v>
      </c>
      <c r="X8" s="183">
        <f>X5</f>
        <v>21.183333329390734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6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4"/>
      <c r="V9" s="185"/>
      <c r="W9" s="174"/>
      <c r="X9" s="186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6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3"/>
      <c r="V10" s="187"/>
      <c r="W10" s="188"/>
      <c r="X10" s="188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60"/>
    </row>
    <row r="11" spans="1:91" ht="16.5" thickBot="1" x14ac:dyDescent="0.3">
      <c r="A11" s="196" t="str">
        <f>"Eagle P3 System Performance - "&amp;TEXT(Variables!A2,"yyyy-mm-dd")</f>
        <v>Eagle P3 System Performance - 2017-02-02</v>
      </c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S11" s="64">
        <f>AVERAGE(S13:S81)</f>
        <v>1</v>
      </c>
      <c r="V11" s="187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61" t="s">
        <v>215</v>
      </c>
      <c r="AN12" s="47" t="s">
        <v>232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473</v>
      </c>
      <c r="B13" s="7">
        <v>4027</v>
      </c>
      <c r="C13" s="21" t="s">
        <v>193</v>
      </c>
      <c r="D13" s="21" t="s">
        <v>687</v>
      </c>
      <c r="E13" s="13">
        <v>42768.13585648148</v>
      </c>
      <c r="F13" s="13">
        <v>42768.139016203706</v>
      </c>
      <c r="G13" s="7">
        <v>2</v>
      </c>
      <c r="H13" s="21" t="s">
        <v>223</v>
      </c>
      <c r="I13" s="13">
        <v>42768.166689814818</v>
      </c>
      <c r="J13" s="7">
        <v>0</v>
      </c>
      <c r="K13" s="98" t="str">
        <f t="shared" ref="K13:K76" si="0">IF(ISEVEN(B13),(B13-1)&amp;"/"&amp;B13,B13&amp;"/"&amp;(B13+1))</f>
        <v>4027/4028</v>
      </c>
      <c r="L13" s="21" t="str">
        <f>VLOOKUP(A13,'Trips&amp;Operators'!$C$1:$G$99999,5,FALSE)</f>
        <v>BADERTSCHER DIANE</v>
      </c>
      <c r="M13" s="6">
        <f t="shared" ref="M13:M76" si="1">I13-F13</f>
        <v>2.7673611111822538E-2</v>
      </c>
      <c r="N13" s="7">
        <f t="shared" ref="N13:N76" si="2">24*60*SUM($M13:$M13)</f>
        <v>39.850000001024455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-02T02:15:38-0700',mode:absolute,to:'2017-02-02T05:00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" s="194" t="str">
        <f t="shared" ref="W13:W76" si="6">IF(AA13&lt;IF(AG13="EC",23,5.65),"Y","N")</f>
        <v>N</v>
      </c>
      <c r="X13" s="194" t="e">
        <f t="shared" ref="X13:X76" si="7">VALUE(LEFT(AD13,4))-VALUE(LEFT(AD12,4))</f>
        <v>#VALUE!</v>
      </c>
      <c r="Y13" s="62">
        <f t="shared" ref="Y13:Y76" si="8">RIGHT(D13,LEN(D13)-4)/10000</f>
        <v>7.1300000000000002E-2</v>
      </c>
      <c r="Z13" s="62">
        <f t="shared" ref="Z13:Z76" si="9">RIGHT(H13,LEN(H13)-4)/10000</f>
        <v>23.329899999999999</v>
      </c>
      <c r="AA13" s="62">
        <f t="shared" ref="AA13:AA76" si="10">ABS(Z13-Y13)</f>
        <v>23.258599999999998</v>
      </c>
      <c r="AB13" s="59" t="e">
        <f>VLOOKUP(A13,Enforcements!$C$7:$K$16,8,0)</f>
        <v>#N/A</v>
      </c>
      <c r="AC13" s="55" t="e">
        <f>VLOOKUP(A13,Enforcements!$C$7:$E$16,3,0)</f>
        <v>#N/A</v>
      </c>
      <c r="AD13" s="56" t="str">
        <f t="shared" ref="AD13:AD76" si="11">IF(LEN(A13)=6,"0"&amp;A13,A13)</f>
        <v>0101-02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/stypes="app*4027*20170202*" /stext=" 11:.+((SYSTEM_STATE.+slice.+state.+changed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4027 --swversion DE.1.0.8.0 --startMP 204:713 --initTime 2017-02-02T03:15:38 --startdatetime 2017-02-02T03:20:11 --delay 2 --endMP 204:233299 --enddatetime 2017-02-02T04:00:02 --enforcementcount 0 &gt;&gt;C:\Users\stu\Documents\GitHub\eaglep3-reporting\EC\2017-02-02-refined-times.txt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{"issue":{"subject":"","project_id":79,"tracker_id":40,"status_id":1,"priority_id":2,"assigned_to_id":23,"start_date":"2017-02-02","description":"","custom_fields":[{"id":1,"name":"Subdivision","value":"EC"},{"id":4,"name":"Milepost","value":"23.3299"},{"id":17,"name":"Train ID","value":"101-02"},{"id":16,"name":"Locomotive ID","value":"4027"},{"id":130,"name":"Impact","value":""},{"id":150,"name":"Time of Event (Mountain Time)","value":"04:00:02"},{"id":151,"name":"Denver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60" t="str">
        <f t="shared" ref="AM13" si="17">"start /low /b "&amp;dls3logs&amp;" --loco "&amp;B13&amp;" --day "&amp;TEXT(F13,"YYYY-MM-DD")</f>
        <v>start /low /b %USERPROFILE%\Documents\GitHub\eaglep3\Utilities\DownloadLogsFromS3.py --loco 4027 --day 2017-02-02</v>
      </c>
      <c r="AN13" s="169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482</v>
      </c>
      <c r="B14" s="7">
        <v>4021</v>
      </c>
      <c r="C14" s="21" t="s">
        <v>193</v>
      </c>
      <c r="D14" s="21" t="s">
        <v>688</v>
      </c>
      <c r="E14" s="13">
        <v>42768.169502314813</v>
      </c>
      <c r="F14" s="13">
        <v>42768.17459490741</v>
      </c>
      <c r="G14" s="7">
        <v>1</v>
      </c>
      <c r="H14" s="21" t="s">
        <v>184</v>
      </c>
      <c r="I14" s="13">
        <v>42768.205081018517</v>
      </c>
      <c r="J14" s="7">
        <v>0</v>
      </c>
      <c r="K14" s="98" t="str">
        <f t="shared" si="0"/>
        <v>4021/4022</v>
      </c>
      <c r="L14" s="21" t="str">
        <f>VLOOKUP(A14,'Trips&amp;Operators'!$C$1:$G$99999,5,FALSE)</f>
        <v>BADERTSCHER DIANE</v>
      </c>
      <c r="M14" s="6">
        <f t="shared" si="1"/>
        <v>3.0486111107165925E-2</v>
      </c>
      <c r="N14" s="7">
        <f t="shared" si="2"/>
        <v>43.899999994318932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 t="shared" si="5"/>
        <v>https://d0f6bd738d7f1b3e5a7ca70fe4ff75f0.us-east-1.aws.found.io/app/kibana#/discover/Steve-Slow-Train-Analysis-(2080s-and-2083s)?_g=(refreshInterval:(display:Off,pause:!f,section:0,value:0),time:(from:'2017-02-02T03:04:05-0700',mode:absolute,to:'2017-02-02T05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94" t="str">
        <f t="shared" si="6"/>
        <v>N</v>
      </c>
      <c r="X14" s="194">
        <f t="shared" si="7"/>
        <v>1</v>
      </c>
      <c r="Y14" s="62">
        <f t="shared" si="8"/>
        <v>23.266200000000001</v>
      </c>
      <c r="Z14" s="62">
        <f t="shared" si="9"/>
        <v>1.49E-2</v>
      </c>
      <c r="AA14" s="62">
        <f t="shared" si="10"/>
        <v>23.251300000000001</v>
      </c>
      <c r="AB14" s="59" t="e">
        <f>VLOOKUP(A14,Enforcements!$C$7:$K$16,8,0)</f>
        <v>#N/A</v>
      </c>
      <c r="AC14" s="55" t="e">
        <f>VLOOKUP(A14,Enforcements!$C$7:$E$16,3,0)</f>
        <v>#N/A</v>
      </c>
      <c r="AD14" s="56" t="str">
        <f t="shared" si="11"/>
        <v>0102-02</v>
      </c>
      <c r="AE14" s="85" t="str">
        <f t="shared" si="12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14" s="82" t="str">
        <f t="shared" si="13"/>
        <v>"C:\Program Files (x86)\AstroGrep\AstroGrep.exe" /spath="%USERPROFILE%\AppData\Local\Temp\OnboardLogs" /stypes="app*4021*20170202*"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4021 --swversion DE.1.0.8.0 --startMP 204:232662 --initTime 2017-02-02T04:04:05 --startdatetime 2017-02-02T04:11:25 --delay 1 --endMP 204:149 --enddatetime 2017-02-02T04:55:19 --enforcementcount 0 &gt;&gt;C:\Users\stu\Documents\GitHub\eaglep3-reporting\EC\2017-02-02-refined-times.txt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ID","value":"102-02"},{"id":16,"name":"Locomotive ID","value":"4021"},{"id":130,"name":"Impact","value":""},{"id":150,"name":"Time of Event (Mountain Time)","value":"04:55:19"},{"id":151,"name":"Denver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60" t="str">
        <f t="shared" ref="AM14:AM77" si="20">"start /low /b "&amp;dls3logs&amp;" --loco "&amp;B14&amp;" --day "&amp;TEXT(F14,"YYYY-MM-DD")</f>
        <v>start /low /b %USERPROFILE%\Documents\GitHub\eaglep3\Utilities\DownloadLogsFromS3.py --loco 4021 --day 2017-02-02</v>
      </c>
      <c r="AN14" s="169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475</v>
      </c>
      <c r="B15" s="7">
        <v>4016</v>
      </c>
      <c r="C15" s="21" t="s">
        <v>193</v>
      </c>
      <c r="D15" s="21" t="s">
        <v>689</v>
      </c>
      <c r="E15" s="13">
        <v>42768.147372685184</v>
      </c>
      <c r="F15" s="13">
        <v>42768.156446759262</v>
      </c>
      <c r="G15" s="7">
        <v>1</v>
      </c>
      <c r="H15" s="21" t="s">
        <v>352</v>
      </c>
      <c r="I15" s="13">
        <v>42768.183240740742</v>
      </c>
      <c r="J15" s="7">
        <v>0</v>
      </c>
      <c r="K15" s="98" t="str">
        <f t="shared" si="0"/>
        <v>4015/4016</v>
      </c>
      <c r="L15" s="21" t="str">
        <f>VLOOKUP(A15,'Trips&amp;Operators'!$C$1:$G$99999,5,FALSE)</f>
        <v>BONDS REYNALDO</v>
      </c>
      <c r="M15" s="6">
        <f t="shared" si="1"/>
        <v>2.679398148029577E-2</v>
      </c>
      <c r="N15" s="7">
        <f t="shared" si="2"/>
        <v>38.583333331625909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 t="shared" si="5"/>
        <v>https://d0f6bd738d7f1b3e5a7ca70fe4ff75f0.us-east-1.aws.found.io/app/kibana#/discover/Steve-Slow-Train-Analysis-(2080s-and-2083s)?_g=(refreshInterval:(display:Off,pause:!f,section:0,value:0),time:(from:'2017-02-02T02:32:13-0700',mode:absolute,to:'2017-02-02T05:23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194" t="str">
        <f t="shared" si="6"/>
        <v>N</v>
      </c>
      <c r="X15" s="194">
        <f t="shared" si="7"/>
        <v>1</v>
      </c>
      <c r="Y15" s="62">
        <f t="shared" si="8"/>
        <v>7.6300000000000007E-2</v>
      </c>
      <c r="Z15" s="62">
        <f t="shared" si="9"/>
        <v>23.327400000000001</v>
      </c>
      <c r="AA15" s="62">
        <f t="shared" si="10"/>
        <v>23.251100000000001</v>
      </c>
      <c r="AB15" s="59" t="e">
        <f>VLOOKUP(A15,Enforcements!$C$7:$K$16,8,0)</f>
        <v>#N/A</v>
      </c>
      <c r="AC15" s="55" t="e">
        <f>VLOOKUP(A15,Enforcements!$C$7:$E$16,3,0)</f>
        <v>#N/A</v>
      </c>
      <c r="AD15" s="56" t="str">
        <f t="shared" si="11"/>
        <v>0103-02</v>
      </c>
      <c r="AE15" s="85" t="str">
        <f t="shared" si="12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15" s="82" t="str">
        <f t="shared" si="13"/>
        <v>"C:\Program Files (x86)\AstroGrep\AstroGrep.exe" /spath="%USERPROFILE%\AppData\Local\Temp\OnboardLogs" /stypes="app*4016*20170202*"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103-02 --locoid 4016 --swversion DE.1.0.8.0 --startMP 204:763 --initTime 2017-02-02T03:32:13 --startdatetime 2017-02-02T03:45:17 --delay 1 --endMP 204:233274 --enddatetime 2017-02-02T04:23:52 --enforcementcount 0 &gt;&gt;C:\Users\stu\Documents\GitHub\eaglep3-reporting\EC\2017-02-02-refined-times.txt</v>
      </c>
      <c r="AI1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{"issue":{"subject":"","project_id":79,"tracker_id":40,"status_id":1,"priority_id":2,"assigned_to_id":23,"start_date":"2017-02-02","description":"","custom_fields":[{"id":1,"name":"Subdivision","value":"EC"},{"id":4,"name":"Milepost","value":"23.3274"},{"id":17,"name":"Train ID","value":"103-02"},{"id":16,"name":"Locomotive ID","value":"4016"},{"id":130,"name":"Impact","value":""},{"id":150,"name":"Time of Event (Mountain Time)","value":"04:23:52"},{"id":151,"name":"Denver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60" t="str">
        <f t="shared" si="20"/>
        <v>start /low /b %USERPROFILE%\Documents\GitHub\eaglep3\Utilities\DownloadLogsFromS3.py --loco 4016 --day 2017-02-02</v>
      </c>
      <c r="AN15" s="169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487</v>
      </c>
      <c r="B16" s="7">
        <v>4010</v>
      </c>
      <c r="C16" s="21" t="s">
        <v>193</v>
      </c>
      <c r="D16" s="21" t="s">
        <v>690</v>
      </c>
      <c r="E16" s="13">
        <v>42768.186099537037</v>
      </c>
      <c r="F16" s="13">
        <v>42768.195347222223</v>
      </c>
      <c r="G16" s="7">
        <v>1</v>
      </c>
      <c r="H16" s="21" t="s">
        <v>200</v>
      </c>
      <c r="I16" s="13">
        <v>42768.223425925928</v>
      </c>
      <c r="J16" s="7">
        <v>0</v>
      </c>
      <c r="K16" s="98" t="str">
        <f t="shared" si="0"/>
        <v>4009/4010</v>
      </c>
      <c r="L16" s="21" t="str">
        <f>VLOOKUP(A16,'Trips&amp;Operators'!$C$1:$G$99999,5,FALSE)</f>
        <v>BONDS REYNALDO</v>
      </c>
      <c r="M16" s="6">
        <f t="shared" si="1"/>
        <v>2.8078703704522923E-2</v>
      </c>
      <c r="N16" s="7">
        <f t="shared" si="2"/>
        <v>40.433333334513009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 t="shared" si="5"/>
        <v>https://d0f6bd738d7f1b3e5a7ca70fe4ff75f0.us-east-1.aws.found.io/app/kibana#/discover/Steve-Slow-Train-Analysis-(2080s-and-2083s)?_g=(refreshInterval:(display:Off,pause:!f,section:0,value:0),time:(from:'2017-02-02T03:27:59-0700',mode:absolute,to:'2017-02-02T06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" s="194" t="str">
        <f t="shared" si="6"/>
        <v>N</v>
      </c>
      <c r="X16" s="194">
        <f t="shared" si="7"/>
        <v>1</v>
      </c>
      <c r="Y16" s="62">
        <f t="shared" si="8"/>
        <v>23.264800000000001</v>
      </c>
      <c r="Z16" s="62">
        <f t="shared" si="9"/>
        <v>1.4500000000000001E-2</v>
      </c>
      <c r="AA16" s="62">
        <f t="shared" si="10"/>
        <v>23.250299999999999</v>
      </c>
      <c r="AB16" s="59" t="e">
        <f>VLOOKUP(A16,Enforcements!$C$7:$K$16,8,0)</f>
        <v>#N/A</v>
      </c>
      <c r="AC16" s="55" t="e">
        <f>VLOOKUP(A16,Enforcements!$C$7:$E$16,3,0)</f>
        <v>#N/A</v>
      </c>
      <c r="AD16" s="56" t="str">
        <f t="shared" si="11"/>
        <v>0104-02</v>
      </c>
      <c r="AE16" s="85" t="str">
        <f t="shared" si="12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16" s="82" t="str">
        <f t="shared" si="13"/>
        <v>"C:\Program Files (x86)\AstroGrep\AstroGrep.exe" /spath="%USERPROFILE%\AppData\Local\Temp\OnboardLogs" /stypes="app*4010*20170202*"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104-02 --locoid 4010 --swversion DE.1.0.8.0 --startMP 204:232648 --initTime 2017-02-02T04:27:59 --startdatetime 2017-02-02T04:41:18 --delay 1 --endMP 204:145 --enddatetime 2017-02-02T05:21:44 --enforcementcount 0 &gt;&gt;C:\Users\stu\Documents\GitHub\eaglep3-reporting\EC\2017-02-02-refined-times.txt</v>
      </c>
      <c r="AI1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{"issue":{"subject":"","project_id":79,"tracker_id":40,"status_id":1,"priority_id":2,"assigned_to_id":23,"start_date":"2017-02-02","description":"","custom_fields":[{"id":1,"name":"Subdivision","value":"EC"},{"id":4,"name":"Milepost","value":"0.0145"},{"id":17,"name":"Train ID","value":"104-02"},{"id":16,"name":"Locomotive ID","value":"4010"},{"id":130,"name":"Impact","value":""},{"id":150,"name":"Time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60" t="str">
        <f t="shared" si="20"/>
        <v>start /low /b %USERPROFILE%\Documents\GitHub\eaglep3\Utilities\DownloadLogsFromS3.py --loco 4010 --day 2017-02-02</v>
      </c>
      <c r="AN16" s="169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480</v>
      </c>
      <c r="B17" s="7">
        <v>4011</v>
      </c>
      <c r="C17" s="21" t="s">
        <v>193</v>
      </c>
      <c r="D17" s="21" t="s">
        <v>691</v>
      </c>
      <c r="E17" s="13">
        <v>42768.166087962964</v>
      </c>
      <c r="F17" s="13">
        <v>42768.177245370367</v>
      </c>
      <c r="G17" s="7">
        <v>1</v>
      </c>
      <c r="H17" s="21" t="s">
        <v>692</v>
      </c>
      <c r="I17" s="13">
        <v>42768.203009259261</v>
      </c>
      <c r="J17" s="7">
        <v>0</v>
      </c>
      <c r="K17" s="98" t="str">
        <f t="shared" si="0"/>
        <v>4011/4012</v>
      </c>
      <c r="L17" s="21" t="str">
        <f>VLOOKUP(A17,'Trips&amp;Operators'!$C$1:$G$99999,5,FALSE)</f>
        <v>ROBINSON KADDIBA</v>
      </c>
      <c r="M17" s="6">
        <f t="shared" si="1"/>
        <v>2.5763888894289266E-2</v>
      </c>
      <c r="N17" s="7">
        <f t="shared" si="2"/>
        <v>37.100000007776543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 t="shared" si="5"/>
        <v>https://d0f6bd738d7f1b3e5a7ca70fe4ff75f0.us-east-1.aws.found.io/app/kibana#/discover/Steve-Slow-Train-Analysis-(2080s-and-2083s)?_g=(refreshInterval:(display:Off,pause:!f,section:0,value:0),time:(from:'2017-02-02T02:59:10-0700',mode:absolute,to:'2017-02-02T05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" s="194" t="str">
        <f t="shared" si="6"/>
        <v>N</v>
      </c>
      <c r="X17" s="194">
        <f t="shared" si="7"/>
        <v>1</v>
      </c>
      <c r="Y17" s="62">
        <f t="shared" si="8"/>
        <v>7.3899999999999993E-2</v>
      </c>
      <c r="Z17" s="62">
        <f t="shared" si="9"/>
        <v>23.3445</v>
      </c>
      <c r="AA17" s="62">
        <f t="shared" si="10"/>
        <v>23.270600000000002</v>
      </c>
      <c r="AB17" s="59" t="e">
        <f>VLOOKUP(A17,Enforcements!$C$7:$K$16,8,0)</f>
        <v>#N/A</v>
      </c>
      <c r="AC17" s="55" t="e">
        <f>VLOOKUP(A17,Enforcements!$C$7:$E$16,3,0)</f>
        <v>#N/A</v>
      </c>
      <c r="AD17" s="56" t="str">
        <f t="shared" si="11"/>
        <v>0105-02</v>
      </c>
      <c r="AE17" s="85" t="str">
        <f t="shared" si="12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7" s="82" t="str">
        <f t="shared" si="13"/>
        <v>"C:\Program Files (x86)\AstroGrep\AstroGrep.exe" /spath="%USERPROFILE%\AppData\Local\Temp\OnboardLogs" /stypes="app*4011*20170202*"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105-02 --locoid 4011 --swversion DE.1.0.8.0 --startMP 204:739 --initTime 2017-02-02T03:59:10 --startdatetime 2017-02-02T04:15:14 --delay 1 --endMP 204:233445 --enddatetime 2017-02-02T04:52:20 --enforcementcount 0 &gt;&gt;C:\Users\stu\Documents\GitHub\eaglep3-reporting\EC\2017-02-02-refined-times.txt</v>
      </c>
      <c r="AI1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{"issue":{"subject":"","project_id":79,"tracker_id":40,"status_id":1,"priority_id":2,"assigned_to_id":23,"start_date":"2017-02-02","description":"","custom_fields":[{"id":1,"name":"Subdivision","value":"EC"},{"id":4,"name":"Milepost","value":"23.3445"},{"id":17,"name":"Train ID","value":"105-02"},{"id":16,"name":"Locomotive ID","value":"4011"},{"id":130,"name":"Impact","value":""},{"id":150,"name":"Time of Event (Mountain Time)","value":"04:52:20"},{"id":151,"name":"Denver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60" t="str">
        <f t="shared" si="20"/>
        <v>start /low /b %USERPROFILE%\Documents\GitHub\eaglep3\Utilities\DownloadLogsFromS3.py --loco 4011 --day 2017-02-02</v>
      </c>
      <c r="AN17" s="169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493</v>
      </c>
      <c r="B18" s="7">
        <v>4017</v>
      </c>
      <c r="C18" s="21" t="s">
        <v>193</v>
      </c>
      <c r="D18" s="21" t="s">
        <v>693</v>
      </c>
      <c r="E18" s="13">
        <v>42768.210104166668</v>
      </c>
      <c r="F18" s="13">
        <v>42768.216145833336</v>
      </c>
      <c r="G18" s="7">
        <v>1</v>
      </c>
      <c r="H18" s="21" t="s">
        <v>206</v>
      </c>
      <c r="I18" s="13">
        <v>42768.243321759262</v>
      </c>
      <c r="J18" s="7">
        <v>0</v>
      </c>
      <c r="K18" s="98" t="str">
        <f t="shared" si="0"/>
        <v>4017/4018</v>
      </c>
      <c r="L18" s="21" t="str">
        <f>VLOOKUP(A18,'Trips&amp;Operators'!$C$1:$G$99999,5,FALSE)</f>
        <v>ROBINSON KADDIBA</v>
      </c>
      <c r="M18" s="6">
        <f t="shared" si="1"/>
        <v>2.7175925926712807E-2</v>
      </c>
      <c r="N18" s="7">
        <f t="shared" si="2"/>
        <v>39.133333334466442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 t="shared" si="5"/>
        <v>https://d0f6bd738d7f1b3e5a7ca70fe4ff75f0.us-east-1.aws.found.io/app/kibana#/discover/Steve-Slow-Train-Analysis-(2080s-and-2083s)?_g=(refreshInterval:(display:Off,pause:!f,section:0,value:0),time:(from:'2017-02-02T04:02:33-0700',mode:absolute,to:'2017-02-02T06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94" t="str">
        <f t="shared" si="6"/>
        <v>N</v>
      </c>
      <c r="X18" s="194">
        <f t="shared" si="7"/>
        <v>1</v>
      </c>
      <c r="Y18" s="62">
        <f t="shared" si="8"/>
        <v>23.2804</v>
      </c>
      <c r="Z18" s="62">
        <f t="shared" si="9"/>
        <v>1.47E-2</v>
      </c>
      <c r="AA18" s="62">
        <f t="shared" si="10"/>
        <v>23.265699999999999</v>
      </c>
      <c r="AB18" s="59" t="e">
        <f>VLOOKUP(A18,Enforcements!$C$7:$K$16,8,0)</f>
        <v>#N/A</v>
      </c>
      <c r="AC18" s="55" t="e">
        <f>VLOOKUP(A18,Enforcements!$C$7:$E$16,3,0)</f>
        <v>#N/A</v>
      </c>
      <c r="AD18" s="56" t="str">
        <f t="shared" si="11"/>
        <v>0106-02</v>
      </c>
      <c r="AE18" s="85" t="str">
        <f t="shared" si="12"/>
        <v>aws s3 cp s3://rtdc.mdm.uploadarchive.raw/RTDC4017/ "%USERPROFILE%\AppData\Local\Temp\OnboardLogs"\RTDC4017\2017-02-02 --exclude "*" --recursive --include "*20170202*" &amp; "%USERPROFILE%\Documents\GitHub\mrs-test-scripts\Headless Mode &amp; Sideloading\WalkAndUnGZ.bat" "%USERPROFILE%\AppData\Local\Temp\OnboardLogs"\RTDC4017\2017-02-02 &amp; 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</v>
      </c>
      <c r="AF18" s="82" t="str">
        <f t="shared" si="13"/>
        <v>"C:\Program Files (x86)\AstroGrep\AstroGrep.exe" /spath="%USERPROFILE%\AppData\Local\Temp\OnboardLogs" /stypes="app*4017*20170202*"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106-02 --locoid 4017 --swversion DE.1.0.8.0 --startMP 204:232804 --initTime 2017-02-02T05:02:33 --startdatetime 2017-02-02T05:11:15 --delay 1 --endMP 204:147 --enddatetime 2017-02-02T05:50:23 --enforcementcount 0 &gt;&gt;C:\Users\stu\Documents\GitHub\eaglep3-reporting\EC\2017-02-02-refined-times.txt</v>
      </c>
      <c r="AI1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ID","value":"106-02"},{"id":16,"name":"Locomotive ID","value":"4017"},{"id":130,"name":"Impact","value":""},{"id":150,"name":"Time of Event (Mountain Time)","value":"05:50:23"},{"id":151,"name":"Denver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60" t="str">
        <f t="shared" si="20"/>
        <v>start /low /b %USERPROFILE%\Documents\GitHub\eaglep3\Utilities\DownloadLogsFromS3.py --loco 4017 --day 2017-02-02</v>
      </c>
      <c r="AN18" s="169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"%USERPROFILE%\AppData\Local\Temp\OnboardLogs"\RTDC4017\*4017*20170202* | grep -SE "(Enforcement Action)|(\[TIMEOUT)|(CHR.+\|PRM\|1\|D.+(SWITCH|SIGNAL).+UNKNOWN)" - &gt;&gt; 2017-02-02-UncaughtWiMAX.txt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483</v>
      </c>
      <c r="B19" s="7">
        <v>4051</v>
      </c>
      <c r="C19" s="21" t="s">
        <v>193</v>
      </c>
      <c r="D19" s="21" t="s">
        <v>226</v>
      </c>
      <c r="E19" s="13">
        <v>42768.184479166666</v>
      </c>
      <c r="F19" s="13">
        <v>42768.187719907408</v>
      </c>
      <c r="G19" s="7">
        <v>1</v>
      </c>
      <c r="H19" s="21" t="s">
        <v>694</v>
      </c>
      <c r="I19" s="13">
        <v>42768.213761574072</v>
      </c>
      <c r="J19" s="7">
        <v>0</v>
      </c>
      <c r="K19" s="98" t="str">
        <f t="shared" si="0"/>
        <v>4051/4052</v>
      </c>
      <c r="L19" s="21" t="str">
        <f>VLOOKUP(A19,'Trips&amp;Operators'!$C$1:$G$99999,5,FALSE)</f>
        <v>GEBRETEKLE DAGNEW</v>
      </c>
      <c r="M19" s="6">
        <f t="shared" si="1"/>
        <v>2.6041666664241347E-2</v>
      </c>
      <c r="N19" s="7">
        <f t="shared" si="2"/>
        <v>37.49999999650754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 t="shared" si="5"/>
        <v>https://d0f6bd738d7f1b3e5a7ca70fe4ff75f0.us-east-1.aws.found.io/app/kibana#/discover/Steve-Slow-Train-Analysis-(2080s-and-2083s)?_g=(refreshInterval:(display:Off,pause:!f,section:0,value:0),time:(from:'2017-02-02T03:25:39-0700',mode:absolute,to:'2017-02-02T06:07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" s="194" t="str">
        <f t="shared" si="6"/>
        <v>N</v>
      </c>
      <c r="X19" s="194">
        <f t="shared" si="7"/>
        <v>1</v>
      </c>
      <c r="Y19" s="62">
        <f t="shared" si="8"/>
        <v>4.58E-2</v>
      </c>
      <c r="Z19" s="62">
        <f t="shared" si="9"/>
        <v>23.333400000000001</v>
      </c>
      <c r="AA19" s="62">
        <f t="shared" si="10"/>
        <v>23.287600000000001</v>
      </c>
      <c r="AB19" s="59" t="e">
        <f>VLOOKUP(A19,Enforcements!$C$7:$K$16,8,0)</f>
        <v>#N/A</v>
      </c>
      <c r="AC19" s="55" t="e">
        <f>VLOOKUP(A19,Enforcements!$C$7:$E$16,3,0)</f>
        <v>#N/A</v>
      </c>
      <c r="AD19" s="56" t="str">
        <f t="shared" si="11"/>
        <v>0107-02</v>
      </c>
      <c r="AE19" s="85" t="str">
        <f t="shared" si="12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9" s="82" t="str">
        <f t="shared" si="13"/>
        <v>"C:\Program Files (x86)\AstroGrep\AstroGrep.exe" /spath="%USERPROFILE%\AppData\Local\Temp\OnboardLogs" /stypes="app*4051*20170202*"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107-02 --locoid 4051 --swversion DE.1.0.8.0 --startMP 204:458 --initTime 2017-02-02T04:25:39 --startdatetime 2017-02-02T04:30:19 --delay 1 --endMP 204:233334 --enddatetime 2017-02-02T05:07:49 --enforcementcount 0 &gt;&gt;C:\Users\stu\Documents\GitHub\eaglep3-reporting\EC\2017-02-02-refined-times.txt</v>
      </c>
      <c r="AI1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{"issue":{"subject":"","project_id":79,"tracker_id":40,"status_id":1,"priority_id":2,"assigned_to_id":23,"start_date":"2017-02-02","description":"","custom_fields":[{"id":1,"name":"Subdivision","value":"EC"},{"id":4,"name":"Milepost","value":"23.3334"},{"id":17,"name":"Train ID","value":"107-02"},{"id":16,"name":"Locomotive ID","value":"4051"},{"id":130,"name":"Impact","value":""},{"id":150,"name":"Time of Event (Mountain Time)","value":"05:07:49"},{"id":151,"name":"Denver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60" t="str">
        <f t="shared" si="20"/>
        <v>start /low /b %USERPROFILE%\Documents\GitHub\eaglep3\Utilities\DownloadLogsFromS3.py --loco 4051 --day 2017-02-02</v>
      </c>
      <c r="AN19" s="169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495</v>
      </c>
      <c r="B20" s="7">
        <v>4052</v>
      </c>
      <c r="C20" s="21" t="s">
        <v>193</v>
      </c>
      <c r="D20" s="21" t="s">
        <v>403</v>
      </c>
      <c r="E20" s="13">
        <v>42768.224120370367</v>
      </c>
      <c r="F20" s="13">
        <v>42768.226597222223</v>
      </c>
      <c r="G20" s="7">
        <v>1</v>
      </c>
      <c r="H20" s="21" t="s">
        <v>206</v>
      </c>
      <c r="I20" s="13">
        <v>42768.253518518519</v>
      </c>
      <c r="J20" s="7">
        <v>0</v>
      </c>
      <c r="K20" s="98" t="str">
        <f t="shared" si="0"/>
        <v>4051/4052</v>
      </c>
      <c r="L20" s="21" t="str">
        <f>VLOOKUP(A20,'Trips&amp;Operators'!$C$1:$G$99999,5,FALSE)</f>
        <v>GEBRETEKLE DAGNEW</v>
      </c>
      <c r="M20" s="6">
        <f t="shared" si="1"/>
        <v>2.6921296295768116E-2</v>
      </c>
      <c r="N20" s="7">
        <f t="shared" si="2"/>
        <v>38.766666665906087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 t="shared" si="5"/>
        <v>https://d0f6bd738d7f1b3e5a7ca70fe4ff75f0.us-east-1.aws.found.io/app/kibana#/discover/Steve-Slow-Train-Analysis-(2080s-and-2083s)?_g=(refreshInterval:(display:Off,pause:!f,section:0,value:0),time:(from:'2017-02-02T04:22:44-0700',mode:absolute,to:'2017-02-02T07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" s="194" t="str">
        <f t="shared" si="6"/>
        <v>N</v>
      </c>
      <c r="X20" s="194">
        <f t="shared" si="7"/>
        <v>1</v>
      </c>
      <c r="Y20" s="62">
        <f t="shared" si="8"/>
        <v>23.298300000000001</v>
      </c>
      <c r="Z20" s="62">
        <f t="shared" si="9"/>
        <v>1.47E-2</v>
      </c>
      <c r="AA20" s="62">
        <f t="shared" si="10"/>
        <v>23.2836</v>
      </c>
      <c r="AB20" s="59" t="e">
        <f>VLOOKUP(A20,Enforcements!$C$7:$K$16,8,0)</f>
        <v>#N/A</v>
      </c>
      <c r="AC20" s="55" t="e">
        <f>VLOOKUP(A20,Enforcements!$C$7:$E$16,3,0)</f>
        <v>#N/A</v>
      </c>
      <c r="AD20" s="56" t="str">
        <f t="shared" si="11"/>
        <v>0108-02</v>
      </c>
      <c r="AE20" s="85" t="str">
        <f t="shared" si="12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20" s="82" t="str">
        <f t="shared" si="13"/>
        <v>"C:\Program Files (x86)\AstroGrep\AstroGrep.exe" /spath="%USERPROFILE%\AppData\Local\Temp\OnboardLogs" /stypes="app*4052*20170202*"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108-02 --locoid 4052 --swversion DE.1.0.8.0 --startMP 204:232983 --initTime 2017-02-02T05:22:44 --startdatetime 2017-02-02T05:26:18 --delay 1 --endMP 204:147 --enddatetime 2017-02-02T06:05:04 --enforcementcount 0 &gt;&gt;C:\Users\stu\Documents\GitHub\eaglep3-reporting\EC\2017-02-02-refined-times.txt</v>
      </c>
      <c r="AI2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ID","value":"108-02"},{"id":16,"name":"Locomotive ID","value":"4052"},{"id":130,"name":"Impact","value":""},{"id":150,"name":"Time of Event (Mountain Time)","value":"06:05:04"},{"id":151,"name":"Denver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60" t="str">
        <f t="shared" si="20"/>
        <v>start /low /b %USERPROFILE%\Documents\GitHub\eaglep3\Utilities\DownloadLogsFromS3.py --loco 4052 --day 2017-02-02</v>
      </c>
      <c r="AN20" s="169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488</v>
      </c>
      <c r="B21" s="7">
        <v>4025</v>
      </c>
      <c r="C21" s="21" t="s">
        <v>193</v>
      </c>
      <c r="D21" s="21" t="s">
        <v>293</v>
      </c>
      <c r="E21" s="13">
        <v>42768.194328703707</v>
      </c>
      <c r="F21" s="13">
        <v>42768.198125000003</v>
      </c>
      <c r="G21" s="7">
        <v>2</v>
      </c>
      <c r="H21" s="21" t="s">
        <v>421</v>
      </c>
      <c r="I21" s="13">
        <v>42768.223668981482</v>
      </c>
      <c r="J21" s="7">
        <v>0</v>
      </c>
      <c r="K21" s="98" t="str">
        <f t="shared" si="0"/>
        <v>4025/4026</v>
      </c>
      <c r="L21" s="21" t="str">
        <f>VLOOKUP(A21,'Trips&amp;Operators'!$C$1:$G$99999,5,FALSE)</f>
        <v>ACKERMAN JARED</v>
      </c>
      <c r="M21" s="6">
        <f t="shared" si="1"/>
        <v>2.5543981479131617E-2</v>
      </c>
      <c r="N21" s="7">
        <f t="shared" si="2"/>
        <v>36.783333329949528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 t="shared" si="5"/>
        <v>https://d0f6bd738d7f1b3e5a7ca70fe4ff75f0.us-east-1.aws.found.io/app/kibana#/discover/Steve-Slow-Train-Analysis-(2080s-and-2083s)?_g=(refreshInterval:(display:Off,pause:!f,section:0,value:0),time:(from:'2017-02-02T03:39:50-0700',mode:absolute,to:'2017-02-02T06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" s="194" t="str">
        <f t="shared" si="6"/>
        <v>N</v>
      </c>
      <c r="X21" s="194">
        <f t="shared" si="7"/>
        <v>1</v>
      </c>
      <c r="Y21" s="62">
        <f t="shared" si="8"/>
        <v>4.5499999999999999E-2</v>
      </c>
      <c r="Z21" s="62">
        <f t="shared" si="9"/>
        <v>23.328800000000001</v>
      </c>
      <c r="AA21" s="62">
        <f t="shared" si="10"/>
        <v>23.283300000000001</v>
      </c>
      <c r="AB21" s="59" t="e">
        <f>VLOOKUP(A21,Enforcements!$C$7:$K$16,8,0)</f>
        <v>#N/A</v>
      </c>
      <c r="AC21" s="55" t="e">
        <f>VLOOKUP(A21,Enforcements!$C$7:$E$16,3,0)</f>
        <v>#N/A</v>
      </c>
      <c r="AD21" s="56" t="str">
        <f t="shared" si="11"/>
        <v>0109-02</v>
      </c>
      <c r="AE21" s="85" t="str">
        <f t="shared" si="12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21" s="82" t="str">
        <f t="shared" si="13"/>
        <v>"C:\Program Files (x86)\AstroGrep\AstroGrep.exe" /spath="%USERPROFILE%\AppData\Local\Temp\OnboardLogs" /stypes="app*4025*20170202*"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109-02 --locoid 4025 --swversion DE.1.0.8.0 --startMP 204:455 --initTime 2017-02-02T04:39:50 --startdatetime 2017-02-02T04:45:18 --delay 2 --endMP 204:233288 --enddatetime 2017-02-02T05:22:05 --enforcementcount 0 &gt;&gt;C:\Users\stu\Documents\GitHub\eaglep3-reporting\EC\2017-02-02-refined-times.txt</v>
      </c>
      <c r="AI2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{"issue":{"subject":"","project_id":79,"tracker_id":40,"status_id":1,"priority_id":2,"assigned_to_id":23,"start_date":"2017-02-02","description":"","custom_fields":[{"id":1,"name":"Subdivision","value":"EC"},{"id":4,"name":"Milepost","value":"23.3288"},{"id":17,"name":"Train ID","value":"109-02"},{"id":16,"name":"Locomotive ID","value":"4025"},{"id":130,"name":"Impact","value":""},{"id":150,"name":"Time of Event (Mountain Time)","value":"05:22:05"},{"id":151,"name":"Denver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60" t="str">
        <f t="shared" si="20"/>
        <v>start /low /b %USERPROFILE%\Documents\GitHub\eaglep3\Utilities\DownloadLogsFromS3.py --loco 4025 --day 2017-02-02</v>
      </c>
      <c r="AN21" s="169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442</v>
      </c>
      <c r="B22" s="7">
        <v>4026</v>
      </c>
      <c r="C22" s="21" t="s">
        <v>193</v>
      </c>
      <c r="D22" s="21" t="s">
        <v>340</v>
      </c>
      <c r="E22" s="13">
        <v>42768.229618055557</v>
      </c>
      <c r="F22" s="13">
        <v>42768.27175925926</v>
      </c>
      <c r="G22" s="7">
        <v>1</v>
      </c>
      <c r="H22" s="21" t="s">
        <v>264</v>
      </c>
      <c r="I22" s="13">
        <v>42768.296400462961</v>
      </c>
      <c r="J22" s="7">
        <v>0</v>
      </c>
      <c r="K22" s="98" t="str">
        <f t="shared" si="0"/>
        <v>4025/4026</v>
      </c>
      <c r="L22" s="21" t="str">
        <f>VLOOKUP(A22,'Trips&amp;Operators'!$C$1:$G$99999,5,FALSE)</f>
        <v>ACKERMAN JARED</v>
      </c>
      <c r="M22" s="6">
        <f t="shared" si="1"/>
        <v>2.4641203701321501E-2</v>
      </c>
      <c r="N22" s="7">
        <f t="shared" si="2"/>
        <v>35.483333329902962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 t="shared" si="5"/>
        <v>https://d0f6bd738d7f1b3e5a7ca70fe4ff75f0.us-east-1.aws.found.io/app/kibana#/discover/Steve-Slow-Train-Analysis-(2080s-and-2083s)?_g=(refreshInterval:(display:Off,pause:!f,section:0,value:0),time:(from:'2017-02-02T04:30:39-0700',mode:absolute,to:'2017-02-02T08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" s="194" t="str">
        <f t="shared" si="6"/>
        <v>N</v>
      </c>
      <c r="X22" s="194">
        <f t="shared" si="7"/>
        <v>1</v>
      </c>
      <c r="Y22" s="62">
        <f t="shared" si="8"/>
        <v>23.297699999999999</v>
      </c>
      <c r="Z22" s="62">
        <f t="shared" si="9"/>
        <v>1.41E-2</v>
      </c>
      <c r="AA22" s="62">
        <f t="shared" si="10"/>
        <v>23.2836</v>
      </c>
      <c r="AB22" s="59" t="e">
        <f>VLOOKUP(A22,Enforcements!$C$7:$K$16,8,0)</f>
        <v>#N/A</v>
      </c>
      <c r="AC22" s="55" t="e">
        <f>VLOOKUP(A22,Enforcements!$C$7:$E$16,3,0)</f>
        <v>#N/A</v>
      </c>
      <c r="AD22" s="56" t="str">
        <f t="shared" si="11"/>
        <v>0110-02</v>
      </c>
      <c r="AE22" s="85" t="str">
        <f t="shared" si="12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22" s="82" t="str">
        <f t="shared" si="13"/>
        <v>"C:\Program Files (x86)\AstroGrep\AstroGrep.exe" /spath="%USERPROFILE%\AppData\Local\Temp\OnboardLogs" /stypes="app*4026*20170202*" /stext=" 14:.+((SYSTEM_STATE.+slice.+state.+changed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110-02 --locoid 4026 --swversion DE.1.0.8.0 --startMP 204:232977 --initTime 2017-02-02T05:30:39 --startdatetime 2017-02-02T06:31:20 --delay 1 --endMP 204:141 --enddatetime 2017-02-02T07:06:49 --enforcementcount 0 &gt;&gt;C:\Users\stu\Documents\GitHub\eaglep3-reporting\EC\2017-02-02-refined-times.txt</v>
      </c>
      <c r="AI2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{"issue":{"subject":"","project_id":79,"tracker_id":40,"status_id":1,"priority_id":2,"assigned_to_id":23,"start_date":"2017-02-02","description":"","custom_fields":[{"id":1,"name":"Subdivision","value":"EC"},{"id":4,"name":"Milepost","value":"0.0141"},{"id":17,"name":"Train ID","value":"110-02"},{"id":16,"name":"Locomotive ID","value":"4026"},{"id":130,"name":"Impact","value":""},{"id":150,"name":"Time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60" t="str">
        <f t="shared" si="20"/>
        <v>start /low /b %USERPROFILE%\Documents\GitHub\eaglep3\Utilities\DownloadLogsFromS3.py --loco 4026 --day 2017-02-02</v>
      </c>
      <c r="AN22" s="169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489</v>
      </c>
      <c r="B23" s="7">
        <v>4027</v>
      </c>
      <c r="C23" s="21" t="s">
        <v>193</v>
      </c>
      <c r="D23" s="21" t="s">
        <v>393</v>
      </c>
      <c r="E23" s="13">
        <v>42768.206944444442</v>
      </c>
      <c r="F23" s="13">
        <v>42768.209166666667</v>
      </c>
      <c r="G23" s="7">
        <v>2</v>
      </c>
      <c r="H23" s="21" t="s">
        <v>406</v>
      </c>
      <c r="I23" s="13">
        <v>42768.234502314815</v>
      </c>
      <c r="J23" s="7">
        <v>0</v>
      </c>
      <c r="K23" s="98" t="str">
        <f t="shared" si="0"/>
        <v>4027/4028</v>
      </c>
      <c r="L23" s="21" t="str">
        <f>VLOOKUP(A23,'Trips&amp;Operators'!$C$1:$G$99999,5,FALSE)</f>
        <v>YORK EDGAR</v>
      </c>
      <c r="M23" s="6">
        <f t="shared" si="1"/>
        <v>2.5335648148029577E-2</v>
      </c>
      <c r="N23" s="7">
        <f t="shared" si="2"/>
        <v>36.483333333162591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 t="shared" si="5"/>
        <v>https://d0f6bd738d7f1b3e5a7ca70fe4ff75f0.us-east-1.aws.found.io/app/kibana#/discover/Steve-Slow-Train-Analysis-(2080s-and-2083s)?_g=(refreshInterval:(display:Off,pause:!f,section:0,value:0),time:(from:'2017-02-02T03:58:00-0700',mode:absolute,to:'2017-02-02T06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" s="194" t="str">
        <f t="shared" si="6"/>
        <v>N</v>
      </c>
      <c r="X23" s="194">
        <f t="shared" si="7"/>
        <v>1</v>
      </c>
      <c r="Y23" s="62">
        <f t="shared" si="8"/>
        <v>7.3499999999999996E-2</v>
      </c>
      <c r="Z23" s="62">
        <f t="shared" si="9"/>
        <v>23.332100000000001</v>
      </c>
      <c r="AA23" s="62">
        <f t="shared" si="10"/>
        <v>23.258600000000001</v>
      </c>
      <c r="AB23" s="59" t="e">
        <f>VLOOKUP(A23,Enforcements!$C$7:$K$16,8,0)</f>
        <v>#N/A</v>
      </c>
      <c r="AC23" s="55" t="e">
        <f>VLOOKUP(A23,Enforcements!$C$7:$E$16,3,0)</f>
        <v>#N/A</v>
      </c>
      <c r="AD23" s="56" t="str">
        <f t="shared" si="11"/>
        <v>0111-02</v>
      </c>
      <c r="AE23" s="85" t="str">
        <f t="shared" si="12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23" s="82" t="str">
        <f t="shared" si="13"/>
        <v>"C:\Program Files (x86)\AstroGrep\AstroGrep.exe" /spath="%USERPROFILE%\AppData\Local\Temp\OnboardLogs" /stypes="app*4027*20170202*"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111-02 --locoid 4027 --swversion DE.1.0.8.0 --startMP 204:735 --initTime 2017-02-02T04:58:00 --startdatetime 2017-02-02T05:01:12 --delay 2 --endMP 204:233321 --enddatetime 2017-02-02T05:37:41 --enforcementcount 0 &gt;&gt;C:\Users\stu\Documents\GitHub\eaglep3-reporting\EC\2017-02-02-refined-times.txt</v>
      </c>
      <c r="AI2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{"issue":{"subject":"","project_id":79,"tracker_id":40,"status_id":1,"priority_id":2,"assigned_to_id":23,"start_date":"2017-02-02","description":"","custom_fields":[{"id":1,"name":"Subdivision","value":"EC"},{"id":4,"name":"Milepost","value":"23.3321"},{"id":17,"name":"Train ID","value":"111-02"},{"id":16,"name":"Locomotive ID","value":"4027"},{"id":130,"name":"Impact","value":""},{"id":150,"name":"Time of Event (Mountain Time)","value":"05:37:41"},{"id":151,"name":"Denver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60" t="str">
        <f t="shared" si="20"/>
        <v>start /low /b %USERPROFILE%\Documents\GitHub\eaglep3\Utilities\DownloadLogsFromS3.py --loco 4027 --day 2017-02-02</v>
      </c>
      <c r="AN23" s="169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500</v>
      </c>
      <c r="B24" s="7">
        <v>4028</v>
      </c>
      <c r="C24" s="21" t="s">
        <v>193</v>
      </c>
      <c r="D24" s="21" t="s">
        <v>695</v>
      </c>
      <c r="E24" s="13">
        <v>42768.235555555555</v>
      </c>
      <c r="F24" s="13">
        <v>42768.247534722221</v>
      </c>
      <c r="G24" s="7">
        <v>1</v>
      </c>
      <c r="H24" s="21" t="s">
        <v>184</v>
      </c>
      <c r="I24" s="13">
        <v>42768.2731712963</v>
      </c>
      <c r="J24" s="7">
        <v>0</v>
      </c>
      <c r="K24" s="98" t="str">
        <f t="shared" si="0"/>
        <v>4027/4028</v>
      </c>
      <c r="L24" s="21" t="str">
        <f>VLOOKUP(A24,'Trips&amp;Operators'!$C$1:$G$99999,5,FALSE)</f>
        <v>YORK EDGAR</v>
      </c>
      <c r="M24" s="6">
        <f t="shared" si="1"/>
        <v>2.5636574078816921E-2</v>
      </c>
      <c r="N24" s="7">
        <f t="shared" si="2"/>
        <v>36.916666673496366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 t="shared" si="5"/>
        <v>https://d0f6bd738d7f1b3e5a7ca70fe4ff75f0.us-east-1.aws.found.io/app/kibana#/discover/Steve-Slow-Train-Analysis-(2080s-and-2083s)?_g=(refreshInterval:(display:Off,pause:!f,section:0,value:0),time:(from:'2017-02-02T04:39:12-0700',mode:absolute,to:'2017-02-02T07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" s="194" t="str">
        <f t="shared" si="6"/>
        <v>N</v>
      </c>
      <c r="X24" s="194">
        <f t="shared" si="7"/>
        <v>1</v>
      </c>
      <c r="Y24" s="62">
        <f t="shared" si="8"/>
        <v>23.300599999999999</v>
      </c>
      <c r="Z24" s="62">
        <f t="shared" si="9"/>
        <v>1.49E-2</v>
      </c>
      <c r="AA24" s="62">
        <f t="shared" si="10"/>
        <v>23.285699999999999</v>
      </c>
      <c r="AB24" s="59" t="e">
        <f>VLOOKUP(A24,Enforcements!$C$7:$K$16,8,0)</f>
        <v>#N/A</v>
      </c>
      <c r="AC24" s="55" t="e">
        <f>VLOOKUP(A24,Enforcements!$C$7:$E$16,3,0)</f>
        <v>#N/A</v>
      </c>
      <c r="AD24" s="56" t="str">
        <f t="shared" si="11"/>
        <v>0112-02</v>
      </c>
      <c r="AE24" s="85" t="str">
        <f t="shared" si="12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24" s="82" t="str">
        <f t="shared" si="13"/>
        <v>"C:\Program Files (x86)\AstroGrep\AstroGrep.exe" /spath="%USERPROFILE%\AppData\Local\Temp\OnboardLogs" /stypes="app*4028*20170202*"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112-02 --locoid 4028 --swversion DE.1.0.8.0 --startMP 204:233006 --initTime 2017-02-02T05:39:12 --startdatetime 2017-02-02T05:56:27 --delay 1 --endMP 204:149 --enddatetime 2017-02-02T06:33:22 --enforcementcount 0 &gt;&gt;C:\Users\stu\Documents\GitHub\eaglep3-reporting\EC\2017-02-02-refined-times.txt</v>
      </c>
      <c r="AI2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ID","value":"112-02"},{"id":16,"name":"Locomotive ID","value":"4028"},{"id":130,"name":"Impact","value":""},{"id":150,"name":"Time of Event (Mountain Time)","value":"06:33:22"},{"id":151,"name":"Denver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60" t="str">
        <f t="shared" si="20"/>
        <v>start /low /b %USERPROFILE%\Documents\GitHub\eaglep3\Utilities\DownloadLogsFromS3.py --loco 4028 --day 2017-02-02</v>
      </c>
      <c r="AN24" s="169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494</v>
      </c>
      <c r="B25" s="7">
        <v>4022</v>
      </c>
      <c r="C25" s="21" t="s">
        <v>193</v>
      </c>
      <c r="D25" s="21" t="s">
        <v>395</v>
      </c>
      <c r="E25" s="13">
        <v>42768.215914351851</v>
      </c>
      <c r="F25" s="13">
        <v>42768.219004629631</v>
      </c>
      <c r="G25" s="7">
        <v>1</v>
      </c>
      <c r="H25" s="21" t="s">
        <v>696</v>
      </c>
      <c r="I25" s="13">
        <v>42768.246793981481</v>
      </c>
      <c r="J25" s="7">
        <v>0</v>
      </c>
      <c r="K25" s="98" t="str">
        <f t="shared" si="0"/>
        <v>4021/4022</v>
      </c>
      <c r="L25" s="21" t="str">
        <f>VLOOKUP(A25,'Trips&amp;Operators'!$C$1:$G$99999,5,FALSE)</f>
        <v>BADERTSCHER DIANE</v>
      </c>
      <c r="M25" s="6">
        <f t="shared" si="1"/>
        <v>2.7789351850515231E-2</v>
      </c>
      <c r="N25" s="7">
        <f t="shared" si="2"/>
        <v>40.016666664741933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 t="shared" si="5"/>
        <v>https://d0f6bd738d7f1b3e5a7ca70fe4ff75f0.us-east-1.aws.found.io/app/kibana#/discover/Steve-Slow-Train-Analysis-(2080s-and-2083s)?_g=(refreshInterval:(display:Off,pause:!f,section:0,value:0),time:(from:'2017-02-02T04:10:55-0700',mode:absolute,to:'2017-02-02T06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94" t="str">
        <f t="shared" si="6"/>
        <v>N</v>
      </c>
      <c r="X25" s="194">
        <f t="shared" si="7"/>
        <v>1</v>
      </c>
      <c r="Y25" s="62">
        <f t="shared" si="8"/>
        <v>4.3299999999999998E-2</v>
      </c>
      <c r="Z25" s="62">
        <f t="shared" si="9"/>
        <v>23.328199999999999</v>
      </c>
      <c r="AA25" s="62">
        <f t="shared" si="10"/>
        <v>23.2849</v>
      </c>
      <c r="AB25" s="59" t="e">
        <f>VLOOKUP(A25,Enforcements!$C$7:$K$16,8,0)</f>
        <v>#N/A</v>
      </c>
      <c r="AC25" s="55" t="e">
        <f>VLOOKUP(A25,Enforcements!$C$7:$E$16,3,0)</f>
        <v>#N/A</v>
      </c>
      <c r="AD25" s="56" t="str">
        <f t="shared" si="11"/>
        <v>0113-02</v>
      </c>
      <c r="AE25" s="85" t="str">
        <f t="shared" si="12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25" s="82" t="str">
        <f t="shared" si="13"/>
        <v>"C:\Program Files (x86)\AstroGrep\AstroGrep.exe" /spath="%USERPROFILE%\AppData\Local\Temp\OnboardLogs" /stypes="app*4022*20170202*"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113-02 --locoid 4022 --swversion DE.1.0.8.0 --startMP 204:433 --initTime 2017-02-02T05:10:55 --startdatetime 2017-02-02T05:15:22 --delay 1 --endMP 204:233282 --enddatetime 2017-02-02T05:55:23 --enforcementcount 0 &gt;&gt;C:\Users\stu\Documents\GitHub\eaglep3-reporting\EC\2017-02-02-refined-times.txt</v>
      </c>
      <c r="AI2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{"issue":{"subject":"","project_id":79,"tracker_id":40,"status_id":1,"priority_id":2,"assigned_to_id":23,"start_date":"2017-02-02","description":"","custom_fields":[{"id":1,"name":"Subdivision","value":"EC"},{"id":4,"name":"Milepost","value":"23.3282"},{"id":17,"name":"Train ID","value":"113-02"},{"id":16,"name":"Locomotive ID","value":"4022"},{"id":130,"name":"Impact","value":""},{"id":150,"name":"Time of Event (Mountain Time)","value":"05:55:23"},{"id":151,"name":"Denver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60" t="str">
        <f t="shared" si="20"/>
        <v>start /low /b %USERPROFILE%\Documents\GitHub\eaglep3\Utilities\DownloadLogsFromS3.py --loco 4022 --day 2017-02-02</v>
      </c>
      <c r="AN25" s="169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503</v>
      </c>
      <c r="B26" s="7">
        <v>4021</v>
      </c>
      <c r="C26" s="21" t="s">
        <v>193</v>
      </c>
      <c r="D26" s="21" t="s">
        <v>407</v>
      </c>
      <c r="E26" s="13">
        <v>42768.249490740738</v>
      </c>
      <c r="F26" s="13">
        <v>42768.2578125</v>
      </c>
      <c r="G26" s="7">
        <v>1</v>
      </c>
      <c r="H26" s="21" t="s">
        <v>196</v>
      </c>
      <c r="I26" s="13">
        <v>42768.287615740737</v>
      </c>
      <c r="J26" s="7">
        <v>0</v>
      </c>
      <c r="K26" s="98" t="str">
        <f t="shared" si="0"/>
        <v>4021/4022</v>
      </c>
      <c r="L26" s="21" t="str">
        <f>VLOOKUP(A26,'Trips&amp;Operators'!$C$1:$G$99999,5,FALSE)</f>
        <v>BADERTSCHER DIANE</v>
      </c>
      <c r="M26" s="6">
        <f t="shared" si="1"/>
        <v>2.9803240737237502E-2</v>
      </c>
      <c r="N26" s="7">
        <f t="shared" si="2"/>
        <v>42.916666661622003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 t="shared" si="5"/>
        <v>https://d0f6bd738d7f1b3e5a7ca70fe4ff75f0.us-east-1.aws.found.io/app/kibana#/discover/Steve-Slow-Train-Analysis-(2080s-and-2083s)?_g=(refreshInterval:(display:Off,pause:!f,section:0,value:0),time:(from:'2017-02-02T04:59:16-0700',mode:absolute,to:'2017-02-02T07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94" t="str">
        <f t="shared" si="6"/>
        <v>N</v>
      </c>
      <c r="X26" s="194">
        <f t="shared" si="7"/>
        <v>1</v>
      </c>
      <c r="Y26" s="62">
        <f t="shared" si="8"/>
        <v>23.297999999999998</v>
      </c>
      <c r="Z26" s="62">
        <f t="shared" si="9"/>
        <v>1.4999999999999999E-2</v>
      </c>
      <c r="AA26" s="62">
        <f t="shared" si="10"/>
        <v>23.282999999999998</v>
      </c>
      <c r="AB26" s="59" t="e">
        <f>VLOOKUP(A26,Enforcements!$C$7:$K$16,8,0)</f>
        <v>#N/A</v>
      </c>
      <c r="AC26" s="55" t="e">
        <f>VLOOKUP(A26,Enforcements!$C$7:$E$16,3,0)</f>
        <v>#N/A</v>
      </c>
      <c r="AD26" s="56" t="str">
        <f t="shared" si="11"/>
        <v>0114-02</v>
      </c>
      <c r="AE26" s="85" t="str">
        <f t="shared" si="12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26" s="82" t="str">
        <f t="shared" si="13"/>
        <v>"C:\Program Files (x86)\AstroGrep\AstroGrep.exe" /spath="%USERPROFILE%\AppData\Local\Temp\OnboardLogs" /stypes="app*4021*20170202*"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114-02 --locoid 4021 --swversion DE.1.0.8.0 --startMP 204:232980 --initTime 2017-02-02T05:59:16 --startdatetime 2017-02-02T06:11:15 --delay 1 --endMP 204:150 --enddatetime 2017-02-02T06:54:10 --enforcementcount 0 &gt;&gt;C:\Users\stu\Documents\GitHub\eaglep3-reporting\EC\2017-02-02-refined-times.txt</v>
      </c>
      <c r="AI2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{"issue":{"subject":"","project_id":79,"tracker_id":40,"status_id":1,"priority_id":2,"assigned_to_id":23,"start_date":"2017-02-02","description":"","custom_fields":[{"id":1,"name":"Subdivision","value":"EC"},{"id":4,"name":"Milepost","value":"0.015"},{"id":17,"name":"Train ID","value":"114-02"},{"id":16,"name":"Locomotive ID","value":"4021"},{"id":130,"name":"Impact","value":""},{"id":150,"name":"Time of Event (Mountain Time)","value":"06:54:10"},{"id":151,"name":"Denver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60" t="str">
        <f t="shared" si="20"/>
        <v>start /low /b %USERPROFILE%\Documents\GitHub\eaglep3\Utilities\DownloadLogsFromS3.py --loco 4021 --day 2017-02-02</v>
      </c>
      <c r="AN26" s="169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496</v>
      </c>
      <c r="B27" s="7">
        <v>4016</v>
      </c>
      <c r="C27" s="21" t="s">
        <v>193</v>
      </c>
      <c r="D27" s="21" t="s">
        <v>689</v>
      </c>
      <c r="E27" s="13">
        <v>42768.225694444445</v>
      </c>
      <c r="F27" s="13">
        <v>42768.229525462964</v>
      </c>
      <c r="G27" s="7">
        <v>2</v>
      </c>
      <c r="H27" s="21" t="s">
        <v>313</v>
      </c>
      <c r="I27" s="13">
        <v>42768.254560185182</v>
      </c>
      <c r="J27" s="7">
        <v>0</v>
      </c>
      <c r="K27" s="98" t="str">
        <f t="shared" si="0"/>
        <v>4015/4016</v>
      </c>
      <c r="L27" s="21" t="str">
        <f>VLOOKUP(A27,'Trips&amp;Operators'!$C$1:$G$99999,5,FALSE)</f>
        <v>STARKS ANGELINA</v>
      </c>
      <c r="M27" s="6">
        <f t="shared" si="1"/>
        <v>2.5034722217242233E-2</v>
      </c>
      <c r="N27" s="7">
        <f t="shared" si="2"/>
        <v>36.049999992828816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 t="shared" si="5"/>
        <v>https://d0f6bd738d7f1b3e5a7ca70fe4ff75f0.us-east-1.aws.found.io/app/kibana#/discover/Steve-Slow-Train-Analysis-(2080s-and-2083s)?_g=(refreshInterval:(display:Off,pause:!f,section:0,value:0),time:(from:'2017-02-02T04:25:00-0700',mode:absolute,to:'2017-02-02T07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194" t="str">
        <f t="shared" si="6"/>
        <v>N</v>
      </c>
      <c r="X27" s="194">
        <f t="shared" si="7"/>
        <v>1</v>
      </c>
      <c r="Y27" s="62">
        <f t="shared" si="8"/>
        <v>7.6300000000000007E-2</v>
      </c>
      <c r="Z27" s="62">
        <f t="shared" si="9"/>
        <v>23.3323</v>
      </c>
      <c r="AA27" s="62">
        <f t="shared" si="10"/>
        <v>23.256</v>
      </c>
      <c r="AB27" s="59" t="e">
        <f>VLOOKUP(A27,Enforcements!$C$7:$K$16,8,0)</f>
        <v>#N/A</v>
      </c>
      <c r="AC27" s="55" t="e">
        <f>VLOOKUP(A27,Enforcements!$C$7:$E$16,3,0)</f>
        <v>#N/A</v>
      </c>
      <c r="AD27" s="56" t="str">
        <f t="shared" si="11"/>
        <v>0115-02</v>
      </c>
      <c r="AE27" s="85" t="str">
        <f t="shared" si="12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27" s="82" t="str">
        <f t="shared" si="13"/>
        <v>"C:\Program Files (x86)\AstroGrep\AstroGrep.exe" /spath="%USERPROFILE%\AppData\Local\Temp\OnboardLogs" /stypes="app*4016*20170202*"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115-02 --locoid 4016 --swversion DE.1.0.8.0 --startMP 204:763 --initTime 2017-02-02T05:25:00 --startdatetime 2017-02-02T05:30:31 --delay 2 --endMP 204:233323 --enddatetime 2017-02-02T06:06:34 --enforcementcount 0 &gt;&gt;C:\Users\stu\Documents\GitHub\eaglep3-reporting\EC\2017-02-02-refined-times.txt</v>
      </c>
      <c r="AI2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{"issue":{"subject":"","project_id":79,"tracker_id":40,"status_id":1,"priority_id":2,"assigned_to_id":23,"start_date":"2017-02-02","description":"","custom_fields":[{"id":1,"name":"Subdivision","value":"EC"},{"id":4,"name":"Milepost","value":"23.3323"},{"id":17,"name":"Train ID","value":"115-02"},{"id":16,"name":"Locomotive ID","value":"4016"},{"id":130,"name":"Impact","value":""},{"id":150,"name":"Time of Event (Mountain Time)","value":"06:06:34"},{"id":151,"name":"Denver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60" t="str">
        <f t="shared" si="20"/>
        <v>start /low /b %USERPROFILE%\Documents\GitHub\eaglep3\Utilities\DownloadLogsFromS3.py --loco 4016 --day 2017-02-02</v>
      </c>
      <c r="AN27" s="169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443</v>
      </c>
      <c r="B28" s="7">
        <v>4015</v>
      </c>
      <c r="C28" s="21" t="s">
        <v>193</v>
      </c>
      <c r="D28" s="21" t="s">
        <v>412</v>
      </c>
      <c r="E28" s="13">
        <v>42768.266331018516</v>
      </c>
      <c r="F28" s="13">
        <v>42768.268206018518</v>
      </c>
      <c r="G28" s="7">
        <v>1</v>
      </c>
      <c r="H28" s="21" t="s">
        <v>200</v>
      </c>
      <c r="I28" s="13">
        <v>42768.294872685183</v>
      </c>
      <c r="J28" s="7">
        <v>0</v>
      </c>
      <c r="K28" s="98" t="str">
        <f t="shared" si="0"/>
        <v>4015/4016</v>
      </c>
      <c r="L28" s="21" t="str">
        <f>VLOOKUP(A28,'Trips&amp;Operators'!$C$1:$G$99999,5,FALSE)</f>
        <v>STARKS ANGELINA</v>
      </c>
      <c r="M28" s="6">
        <f t="shared" si="1"/>
        <v>2.6666666664823424E-2</v>
      </c>
      <c r="N28" s="7">
        <f t="shared" si="2"/>
        <v>38.399999997345731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 t="shared" si="5"/>
        <v>https://d0f6bd738d7f1b3e5a7ca70fe4ff75f0.us-east-1.aws.found.io/app/kibana#/discover/Steve-Slow-Train-Analysis-(2080s-and-2083s)?_g=(refreshInterval:(display:Off,pause:!f,section:0,value:0),time:(from:'2017-02-02T05:23:31-0700',mode:absolute,to:'2017-02-02T08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194" t="str">
        <f t="shared" si="6"/>
        <v>N</v>
      </c>
      <c r="X28" s="194">
        <f t="shared" si="7"/>
        <v>1</v>
      </c>
      <c r="Y28" s="62">
        <f t="shared" si="8"/>
        <v>23.3004</v>
      </c>
      <c r="Z28" s="62">
        <f t="shared" si="9"/>
        <v>1.4500000000000001E-2</v>
      </c>
      <c r="AA28" s="62">
        <f t="shared" si="10"/>
        <v>23.285899999999998</v>
      </c>
      <c r="AB28" s="59" t="e">
        <f>VLOOKUP(A28,Enforcements!$C$7:$K$16,8,0)</f>
        <v>#N/A</v>
      </c>
      <c r="AC28" s="55" t="e">
        <f>VLOOKUP(A28,Enforcements!$C$7:$E$16,3,0)</f>
        <v>#N/A</v>
      </c>
      <c r="AD28" s="56" t="str">
        <f t="shared" si="11"/>
        <v>0116-02</v>
      </c>
      <c r="AE28" s="85" t="str">
        <f t="shared" si="12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28" s="82" t="str">
        <f t="shared" si="13"/>
        <v>"C:\Program Files (x86)\AstroGrep\AstroGrep.exe" /spath="%USERPROFILE%\AppData\Local\Temp\OnboardLogs" /stypes="app*4015*20170202*"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116-02 --locoid 4015 --swversion DE.1.0.8.0 --startMP 204:233004 --initTime 2017-02-02T06:23:31 --startdatetime 2017-02-02T06:26:13 --delay 1 --endMP 204:145 --enddatetime 2017-02-02T07:04:37 --enforcementcount 0 &gt;&gt;C:\Users\stu\Documents\GitHub\eaglep3-reporting\EC\2017-02-02-refined-times.txt</v>
      </c>
      <c r="AI2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{"issue":{"subject":"","project_id":79,"tracker_id":40,"status_id":1,"priority_id":2,"assigned_to_id":23,"start_date":"2017-02-02","description":"","custom_fields":[{"id":1,"name":"Subdivision","value":"EC"},{"id":4,"name":"Milepost","value":"0.0145"},{"id":17,"name":"Train ID","value":"116-02"},{"id":16,"name":"Locomotive ID","value":"4015"},{"id":130,"name":"Impact","value":""},{"id":150,"name":"Time of Event (Mountain Time)","value":"07:04:37"},{"id":151,"name":"Denver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60" t="str">
        <f t="shared" si="20"/>
        <v>start /low /b %USERPROFILE%\Documents\GitHub\eaglep3\Utilities\DownloadLogsFromS3.py --loco 4015 --day 2017-02-02</v>
      </c>
      <c r="AN28" s="169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499</v>
      </c>
      <c r="B29" s="7">
        <v>4009</v>
      </c>
      <c r="C29" s="21" t="s">
        <v>193</v>
      </c>
      <c r="D29" s="21" t="s">
        <v>697</v>
      </c>
      <c r="E29" s="13">
        <v>42768.23128472222</v>
      </c>
      <c r="F29" s="13">
        <v>42768.239849537036</v>
      </c>
      <c r="G29" s="7">
        <v>1</v>
      </c>
      <c r="H29" s="21" t="s">
        <v>698</v>
      </c>
      <c r="I29" s="13">
        <v>42768.265659722223</v>
      </c>
      <c r="J29" s="7">
        <v>0</v>
      </c>
      <c r="K29" s="98" t="str">
        <f t="shared" si="0"/>
        <v>4009/4010</v>
      </c>
      <c r="L29" s="21" t="str">
        <f>VLOOKUP(A29,'Trips&amp;Operators'!$C$1:$G$99999,5,FALSE)</f>
        <v>BONDS REYNALDO</v>
      </c>
      <c r="M29" s="6">
        <f t="shared" si="1"/>
        <v>2.5810185186855961E-2</v>
      </c>
      <c r="N29" s="7">
        <f t="shared" si="2"/>
        <v>37.166666669072583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 t="shared" si="5"/>
        <v>https://d0f6bd738d7f1b3e5a7ca70fe4ff75f0.us-east-1.aws.found.io/app/kibana#/discover/Steve-Slow-Train-Analysis-(2080s-and-2083s)?_g=(refreshInterval:(display:Off,pause:!f,section:0,value:0),time:(from:'2017-02-02T04:33:03-0700',mode:absolute,to:'2017-02-02T07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9" s="194" t="str">
        <f t="shared" si="6"/>
        <v>N</v>
      </c>
      <c r="X29" s="194">
        <f t="shared" si="7"/>
        <v>1</v>
      </c>
      <c r="Y29" s="62">
        <f t="shared" si="8"/>
        <v>4.24E-2</v>
      </c>
      <c r="Z29" s="62">
        <f t="shared" si="9"/>
        <v>23.326599999999999</v>
      </c>
      <c r="AA29" s="62">
        <f t="shared" si="10"/>
        <v>23.284199999999998</v>
      </c>
      <c r="AB29" s="59" t="e">
        <f>VLOOKUP(A29,Enforcements!$C$7:$K$16,8,0)</f>
        <v>#N/A</v>
      </c>
      <c r="AC29" s="55" t="e">
        <f>VLOOKUP(A29,Enforcements!$C$7:$E$16,3,0)</f>
        <v>#N/A</v>
      </c>
      <c r="AD29" s="56" t="str">
        <f t="shared" si="11"/>
        <v>0117-02</v>
      </c>
      <c r="AE29" s="85" t="str">
        <f t="shared" si="12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29" s="82" t="str">
        <f t="shared" si="13"/>
        <v>"C:\Program Files (x86)\AstroGrep\AstroGrep.exe" /spath="%USERPROFILE%\AppData\Local\Temp\OnboardLogs" /stypes="app*4009*20170202*"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117-02 --locoid 4009 --swversion DE.1.0.8.0 --startMP 204:424 --initTime 2017-02-02T05:33:03 --startdatetime 2017-02-02T05:45:23 --delay 1 --endMP 204:233266 --enddatetime 2017-02-02T06:22:33 --enforcementcount 0 &gt;&gt;C:\Users\stu\Documents\GitHub\eaglep3-reporting\EC\2017-02-02-refined-times.txt</v>
      </c>
      <c r="AI2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{"issue":{"subject":"","project_id":79,"tracker_id":40,"status_id":1,"priority_id":2,"assigned_to_id":23,"start_date":"2017-02-02","description":"","custom_fields":[{"id":1,"name":"Subdivision","value":"EC"},{"id":4,"name":"Milepost","value":"23.3266"},{"id":17,"name":"Train ID","value":"117-02"},{"id":16,"name":"Locomotive ID","value":"4009"},{"id":130,"name":"Impact","value":""},{"id":150,"name":"Time of Event (Mountain Time)","value":"06:22:33"},{"id":151,"name":"Denver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60" t="str">
        <f t="shared" si="20"/>
        <v>start /low /b %USERPROFILE%\Documents\GitHub\eaglep3\Utilities\DownloadLogsFromS3.py --loco 4009 --day 2017-02-02</v>
      </c>
      <c r="AN29" s="169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509</v>
      </c>
      <c r="B30" s="7">
        <v>4010</v>
      </c>
      <c r="C30" s="21" t="s">
        <v>193</v>
      </c>
      <c r="D30" s="21" t="s">
        <v>413</v>
      </c>
      <c r="E30" s="13">
        <v>42768.273935185185</v>
      </c>
      <c r="F30" s="13">
        <v>42768.278703703705</v>
      </c>
      <c r="G30" s="7">
        <v>1</v>
      </c>
      <c r="H30" s="21" t="s">
        <v>206</v>
      </c>
      <c r="I30" s="13">
        <v>42768.306608796294</v>
      </c>
      <c r="J30" s="7">
        <v>0</v>
      </c>
      <c r="K30" s="98" t="str">
        <f t="shared" si="0"/>
        <v>4009/4010</v>
      </c>
      <c r="L30" s="21" t="str">
        <f>VLOOKUP(A30,'Trips&amp;Operators'!$C$1:$G$99999,5,FALSE)</f>
        <v>BONDS REYNALDO</v>
      </c>
      <c r="M30" s="6">
        <f t="shared" si="1"/>
        <v>2.7905092589207925E-2</v>
      </c>
      <c r="N30" s="7">
        <f t="shared" si="2"/>
        <v>40.183333328459412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 t="shared" si="5"/>
        <v>https://d0f6bd738d7f1b3e5a7ca70fe4ff75f0.us-east-1.aws.found.io/app/kibana#/discover/Steve-Slow-Train-Analysis-(2080s-and-2083s)?_g=(refreshInterval:(display:Off,pause:!f,section:0,value:0),time:(from:'2017-02-02T05:34:28-0700',mode:absolute,to:'2017-02-02T08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0" s="194" t="str">
        <f t="shared" si="6"/>
        <v>N</v>
      </c>
      <c r="X30" s="194">
        <f t="shared" si="7"/>
        <v>1</v>
      </c>
      <c r="Y30" s="62">
        <f t="shared" si="8"/>
        <v>23.297499999999999</v>
      </c>
      <c r="Z30" s="62">
        <f t="shared" si="9"/>
        <v>1.47E-2</v>
      </c>
      <c r="AA30" s="62">
        <f t="shared" si="10"/>
        <v>23.282799999999998</v>
      </c>
      <c r="AB30" s="59" t="e">
        <f>VLOOKUP(A30,Enforcements!$C$7:$K$16,8,0)</f>
        <v>#N/A</v>
      </c>
      <c r="AC30" s="55" t="e">
        <f>VLOOKUP(A30,Enforcements!$C$7:$E$16,3,0)</f>
        <v>#N/A</v>
      </c>
      <c r="AD30" s="56" t="str">
        <f t="shared" si="11"/>
        <v>0118-02</v>
      </c>
      <c r="AE30" s="85" t="str">
        <f t="shared" si="12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30" s="82" t="str">
        <f t="shared" si="13"/>
        <v>"C:\Program Files (x86)\AstroGrep\AstroGrep.exe" /spath="%USERPROFILE%\AppData\Local\Temp\OnboardLogs" /stypes="app*4010*20170202*"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118-02 --locoid 4010 --swversion DE.1.0.8.0 --startMP 204:232975 --initTime 2017-02-02T06:34:28 --startdatetime 2017-02-02T06:41:20 --delay 1 --endMP 204:147 --enddatetime 2017-02-02T07:21:31 --enforcementcount 0 &gt;&gt;C:\Users\stu\Documents\GitHub\eaglep3-reporting\EC\2017-02-02-refined-times.txt</v>
      </c>
      <c r="AI3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ID","value":"118-02"},{"id":16,"name":"Locomotive ID","value":"4010"},{"id":130,"name":"Impact","value":""},{"id":150,"name":"Time of Event (Mountain Time)","value":"07:21:31"},{"id":151,"name":"Denver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60" t="str">
        <f t="shared" si="20"/>
        <v>start /low /b %USERPROFILE%\Documents\GitHub\eaglep3\Utilities\DownloadLogsFromS3.py --loco 4010 --day 2017-02-02</v>
      </c>
      <c r="AN30" s="169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502</v>
      </c>
      <c r="B31" s="7">
        <v>4011</v>
      </c>
      <c r="C31" s="21" t="s">
        <v>193</v>
      </c>
      <c r="D31" s="21" t="s">
        <v>699</v>
      </c>
      <c r="E31" s="13">
        <v>42768.248263888891</v>
      </c>
      <c r="F31" s="13">
        <v>42768.250150462962</v>
      </c>
      <c r="G31" s="7">
        <v>0</v>
      </c>
      <c r="H31" s="21" t="s">
        <v>700</v>
      </c>
      <c r="I31" s="13">
        <v>42768.276261574072</v>
      </c>
      <c r="J31" s="7">
        <v>0</v>
      </c>
      <c r="K31" s="98" t="str">
        <f t="shared" si="0"/>
        <v>4011/4012</v>
      </c>
      <c r="L31" s="21" t="str">
        <f>VLOOKUP(A31,'Trips&amp;Operators'!$C$1:$G$99999,5,FALSE)</f>
        <v>ROBINSON KADDIBA</v>
      </c>
      <c r="M31" s="6">
        <f t="shared" si="1"/>
        <v>2.6111111110367347E-2</v>
      </c>
      <c r="N31" s="7">
        <f t="shared" si="2"/>
        <v>37.599999998928979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 t="shared" si="5"/>
        <v>https://d0f6bd738d7f1b3e5a7ca70fe4ff75f0.us-east-1.aws.found.io/app/kibana#/discover/Steve-Slow-Train-Analysis-(2080s-and-2083s)?_g=(refreshInterval:(display:Off,pause:!f,section:0,value:0),time:(from:'2017-02-02T04:57:30-0700',mode:absolute,to:'2017-02-02T07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1" s="194" t="str">
        <f t="shared" si="6"/>
        <v>N</v>
      </c>
      <c r="X31" s="194">
        <f t="shared" si="7"/>
        <v>1</v>
      </c>
      <c r="Y31" s="62">
        <f t="shared" si="8"/>
        <v>7.0300000000000001E-2</v>
      </c>
      <c r="Z31" s="62">
        <f t="shared" si="9"/>
        <v>23.331</v>
      </c>
      <c r="AA31" s="62">
        <f t="shared" si="10"/>
        <v>23.2607</v>
      </c>
      <c r="AB31" s="59" t="e">
        <f>VLOOKUP(A31,Enforcements!$C$7:$K$16,8,0)</f>
        <v>#N/A</v>
      </c>
      <c r="AC31" s="55" t="e">
        <f>VLOOKUP(A31,Enforcements!$C$7:$E$16,3,0)</f>
        <v>#N/A</v>
      </c>
      <c r="AD31" s="56" t="str">
        <f t="shared" si="11"/>
        <v>0119-02</v>
      </c>
      <c r="AE31" s="85" t="str">
        <f t="shared" si="12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31" s="82" t="str">
        <f t="shared" si="13"/>
        <v>"C:\Program Files (x86)\AstroGrep\AstroGrep.exe" /spath="%USERPROFILE%\AppData\Local\Temp\OnboardLogs" /stypes="app*4011*20170202*"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119-02 --locoid 4011 --swversion DE.1.0.8.0 --startMP 204:703 --initTime 2017-02-02T05:57:30 --startdatetime 2017-02-02T06:00:13 --delay 0 --endMP 204:233310 --enddatetime 2017-02-02T06:37:49 --enforcementcount 0 &gt;&gt;C:\Users\stu\Documents\GitHub\eaglep3-reporting\EC\2017-02-02-refined-times.txt</v>
      </c>
      <c r="AI3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{"issue":{"subject":"","project_id":79,"tracker_id":40,"status_id":1,"priority_id":2,"assigned_to_id":23,"start_date":"2017-02-02","description":"","custom_fields":[{"id":1,"name":"Subdivision","value":"EC"},{"id":4,"name":"Milepost","value":"23.331"},{"id":17,"name":"Train ID","value":"119-02"},{"id":16,"name":"Locomotive ID","value":"4011"},{"id":130,"name":"Impact","value":""},{"id":150,"name":"Time of Event (Mountain Time)","value":"06:37:49"},{"id":151,"name":"Denver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60" t="str">
        <f t="shared" si="20"/>
        <v>start /low /b %USERPROFILE%\Documents\GitHub\eaglep3\Utilities\DownloadLogsFromS3.py --loco 4011 --day 2017-02-02</v>
      </c>
      <c r="AN31" s="169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512</v>
      </c>
      <c r="B32" s="7">
        <v>4012</v>
      </c>
      <c r="C32" s="21" t="s">
        <v>193</v>
      </c>
      <c r="D32" s="21" t="s">
        <v>331</v>
      </c>
      <c r="E32" s="13">
        <v>42768.285104166665</v>
      </c>
      <c r="F32" s="13">
        <v>42768.2890625</v>
      </c>
      <c r="G32" s="7">
        <v>1</v>
      </c>
      <c r="H32" s="21" t="s">
        <v>344</v>
      </c>
      <c r="I32" s="13">
        <v>42768.315648148149</v>
      </c>
      <c r="J32" s="7">
        <v>0</v>
      </c>
      <c r="K32" s="98" t="str">
        <f t="shared" si="0"/>
        <v>4011/4012</v>
      </c>
      <c r="L32" s="21" t="str">
        <f>VLOOKUP(A32,'Trips&amp;Operators'!$C$1:$G$99999,5,FALSE)</f>
        <v>ROBINSON KADDIBA</v>
      </c>
      <c r="M32" s="6">
        <f t="shared" si="1"/>
        <v>2.658564814919373E-2</v>
      </c>
      <c r="N32" s="7">
        <f t="shared" si="2"/>
        <v>38.283333334838971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 t="shared" si="5"/>
        <v>https://d0f6bd738d7f1b3e5a7ca70fe4ff75f0.us-east-1.aws.found.io/app/kibana#/discover/Steve-Slow-Train-Analysis-(2080s-and-2083s)?_g=(refreshInterval:(display:Off,pause:!f,section:0,value:0),time:(from:'2017-02-02T05:50:33-0700',mode:absolute,to:'2017-02-02T08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2" s="194" t="str">
        <f t="shared" si="6"/>
        <v>N</v>
      </c>
      <c r="X32" s="194">
        <f t="shared" si="7"/>
        <v>1</v>
      </c>
      <c r="Y32" s="62">
        <f t="shared" si="8"/>
        <v>23.299299999999999</v>
      </c>
      <c r="Z32" s="62">
        <f t="shared" si="9"/>
        <v>1.67E-2</v>
      </c>
      <c r="AA32" s="62">
        <f t="shared" si="10"/>
        <v>23.282599999999999</v>
      </c>
      <c r="AB32" s="59" t="e">
        <f>VLOOKUP(A32,Enforcements!$C$7:$K$16,8,0)</f>
        <v>#N/A</v>
      </c>
      <c r="AC32" s="55" t="e">
        <f>VLOOKUP(A32,Enforcements!$C$7:$E$16,3,0)</f>
        <v>#N/A</v>
      </c>
      <c r="AD32" s="56" t="str">
        <f t="shared" si="11"/>
        <v>0120-02</v>
      </c>
      <c r="AE32" s="85" t="str">
        <f t="shared" si="12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32" s="82" t="str">
        <f t="shared" si="13"/>
        <v>"C:\Program Files (x86)\AstroGrep\AstroGrep.exe" /spath="%USERPROFILE%\AppData\Local\Temp\OnboardLogs" /stypes="app*4012*20170202*"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120-02 --locoid 4012 --swversion DE.1.0.8.0 --startMP 204:232993 --initTime 2017-02-02T06:50:33 --startdatetime 2017-02-02T06:56:15 --delay 1 --endMP 204:167 --enddatetime 2017-02-02T07:34:32 --enforcementcount 0 &gt;&gt;C:\Users\stu\Documents\GitHub\eaglep3-reporting\EC\2017-02-02-refined-times.txt</v>
      </c>
      <c r="AI3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{"issue":{"subject":"","project_id":79,"tracker_id":40,"status_id":1,"priority_id":2,"assigned_to_id":23,"start_date":"2017-02-02","description":"","custom_fields":[{"id":1,"name":"Subdivision","value":"EC"},{"id":4,"name":"Milepost","value":"0.0167"},{"id":17,"name":"Train ID","value":"120-02"},{"id":16,"name":"Locomotive ID","value":"4012"},{"id":130,"name":"Impact","value":""},{"id":150,"name":"Time of Event (Mountain Time)","value":"07:34:32"},{"id":151,"name":"Denver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60" t="str">
        <f t="shared" si="20"/>
        <v>start /low /b %USERPROFILE%\Documents\GitHub\eaglep3\Utilities\DownloadLogsFromS3.py --loco 4012 --day 2017-02-02</v>
      </c>
      <c r="AN32" s="169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505</v>
      </c>
      <c r="B33" s="7">
        <v>4051</v>
      </c>
      <c r="C33" s="21" t="s">
        <v>193</v>
      </c>
      <c r="D33" s="21" t="s">
        <v>276</v>
      </c>
      <c r="E33" s="13">
        <v>42768.255810185183</v>
      </c>
      <c r="F33" s="13">
        <v>42768.26085648148</v>
      </c>
      <c r="G33" s="7">
        <v>1</v>
      </c>
      <c r="H33" s="21" t="s">
        <v>316</v>
      </c>
      <c r="I33" s="13">
        <v>42768.285312499997</v>
      </c>
      <c r="J33" s="7">
        <v>0</v>
      </c>
      <c r="K33" s="98" t="str">
        <f t="shared" si="0"/>
        <v>4051/4052</v>
      </c>
      <c r="L33" s="21" t="str">
        <f>VLOOKUP(A33,'Trips&amp;Operators'!$C$1:$G$99999,5,FALSE)</f>
        <v>GEBRETEKLE DAGNEW</v>
      </c>
      <c r="M33" s="6">
        <f t="shared" si="1"/>
        <v>2.4456018516502809E-2</v>
      </c>
      <c r="N33" s="7">
        <f t="shared" si="2"/>
        <v>35.216666663764045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 t="shared" si="5"/>
        <v>https://d0f6bd738d7f1b3e5a7ca70fe4ff75f0.us-east-1.aws.found.io/app/kibana#/discover/Steve-Slow-Train-Analysis-(2080s-and-2083s)?_g=(refreshInterval:(display:Off,pause:!f,section:0,value:0),time:(from:'2017-02-02T05:08:22-0700',mode:absolute,to:'2017-02-02T07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3" s="194" t="str">
        <f t="shared" si="6"/>
        <v>N</v>
      </c>
      <c r="X33" s="194">
        <f t="shared" si="7"/>
        <v>1</v>
      </c>
      <c r="Y33" s="62">
        <f t="shared" si="8"/>
        <v>4.53E-2</v>
      </c>
      <c r="Z33" s="62">
        <f t="shared" si="9"/>
        <v>23.3278</v>
      </c>
      <c r="AA33" s="62">
        <f t="shared" si="10"/>
        <v>23.282499999999999</v>
      </c>
      <c r="AB33" s="59" t="e">
        <f>VLOOKUP(A33,Enforcements!$C$7:$K$16,8,0)</f>
        <v>#N/A</v>
      </c>
      <c r="AC33" s="55" t="e">
        <f>VLOOKUP(A33,Enforcements!$C$7:$E$16,3,0)</f>
        <v>#N/A</v>
      </c>
      <c r="AD33" s="56" t="str">
        <f t="shared" si="11"/>
        <v>0121-02</v>
      </c>
      <c r="AE33" s="85" t="str">
        <f t="shared" si="12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33" s="82" t="str">
        <f t="shared" si="13"/>
        <v>"C:\Program Files (x86)\AstroGrep\AstroGrep.exe" /spath="%USERPROFILE%\AppData\Local\Temp\OnboardLogs" /stypes="app*4051*20170202*"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121-02 --locoid 4051 --swversion DE.1.0.8.0 --startMP 204:453 --initTime 2017-02-02T06:08:22 --startdatetime 2017-02-02T06:15:38 --delay 1 --endMP 204:233278 --enddatetime 2017-02-02T06:50:51 --enforcementcount 0 &gt;&gt;C:\Users\stu\Documents\GitHub\eaglep3-reporting\EC\2017-02-02-refined-times.txt</v>
      </c>
      <c r="AI3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{"issue":{"subject":"","project_id":79,"tracker_id":40,"status_id":1,"priority_id":2,"assigned_to_id":23,"start_date":"2017-02-02","description":"","custom_fields":[{"id":1,"name":"Subdivision","value":"EC"},{"id":4,"name":"Milepost","value":"23.3278"},{"id":17,"name":"Train ID","value":"121-02"},{"id":16,"name":"Locomotive ID","value":"4051"},{"id":130,"name":"Impact","value":""},{"id":150,"name":"Time of Event (Mountain Time)","value":"06:50:51"},{"id":151,"name":"Denver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60" t="str">
        <f t="shared" si="20"/>
        <v>start /low /b %USERPROFILE%\Documents\GitHub\eaglep3\Utilities\DownloadLogsFromS3.py --loco 4051 --day 2017-02-02</v>
      </c>
      <c r="AN33" s="169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514</v>
      </c>
      <c r="B34" s="7">
        <v>4052</v>
      </c>
      <c r="C34" s="21" t="s">
        <v>193</v>
      </c>
      <c r="D34" s="21" t="s">
        <v>701</v>
      </c>
      <c r="E34" s="13">
        <v>42768.29582175926</v>
      </c>
      <c r="F34" s="13">
        <v>42768.299537037034</v>
      </c>
      <c r="G34" s="7">
        <v>1</v>
      </c>
      <c r="H34" s="21" t="s">
        <v>213</v>
      </c>
      <c r="I34" s="13">
        <v>42768.326956018522</v>
      </c>
      <c r="J34" s="7">
        <v>0</v>
      </c>
      <c r="K34" s="98" t="str">
        <f t="shared" si="0"/>
        <v>4051/4052</v>
      </c>
      <c r="L34" s="21" t="str">
        <f>VLOOKUP(A34,'Trips&amp;Operators'!$C$1:$G$99999,5,FALSE)</f>
        <v>GEBRETEKLE DAGNEW</v>
      </c>
      <c r="M34" s="6">
        <f t="shared" si="1"/>
        <v>2.7418981488153804E-2</v>
      </c>
      <c r="N34" s="7">
        <f t="shared" si="2"/>
        <v>39.483333342941478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 t="shared" si="5"/>
        <v>https://d0f6bd738d7f1b3e5a7ca70fe4ff75f0.us-east-1.aws.found.io/app/kibana#/discover/Steve-Slow-Train-Analysis-(2080s-and-2083s)?_g=(refreshInterval:(display:Off,pause:!f,section:0,value:0),time:(from:'2017-02-02T06:05:59-0700',mode:absolute,to:'2017-02-02T08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4" s="194" t="str">
        <f t="shared" si="6"/>
        <v>N</v>
      </c>
      <c r="X34" s="194">
        <f t="shared" si="7"/>
        <v>1</v>
      </c>
      <c r="Y34" s="62">
        <f t="shared" si="8"/>
        <v>23.2957</v>
      </c>
      <c r="Z34" s="62">
        <f t="shared" si="9"/>
        <v>1.5800000000000002E-2</v>
      </c>
      <c r="AA34" s="62">
        <f t="shared" si="10"/>
        <v>23.279900000000001</v>
      </c>
      <c r="AB34" s="59" t="e">
        <f>VLOOKUP(A34,Enforcements!$C$7:$K$16,8,0)</f>
        <v>#N/A</v>
      </c>
      <c r="AC34" s="55" t="e">
        <f>VLOOKUP(A34,Enforcements!$C$7:$E$16,3,0)</f>
        <v>#N/A</v>
      </c>
      <c r="AD34" s="56" t="str">
        <f t="shared" si="11"/>
        <v>0122-02</v>
      </c>
      <c r="AE34" s="85" t="str">
        <f t="shared" si="12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34" s="82" t="str">
        <f t="shared" si="13"/>
        <v>"C:\Program Files (x86)\AstroGrep\AstroGrep.exe" /spath="%USERPROFILE%\AppData\Local\Temp\OnboardLogs" /stypes="app*4052*20170202*"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122-02 --locoid 4052 --swversion DE.1.0.8.0 --startMP 204:232957 --initTime 2017-02-02T07:05:59 --startdatetime 2017-02-02T07:11:20 --delay 1 --endMP 204:158 --enddatetime 2017-02-02T07:50:49 --enforcementcount 0 &gt;&gt;C:\Users\stu\Documents\GitHub\eaglep3-reporting\EC\2017-02-02-refined-times.txt</v>
      </c>
      <c r="AI3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{"issue":{"subject":"","project_id":79,"tracker_id":40,"status_id":1,"priority_id":2,"assigned_to_id":23,"start_date":"2017-02-02","description":"","custom_fields":[{"id":1,"name":"Subdivision","value":"EC"},{"id":4,"name":"Milepost","value":"0.0158"},{"id":17,"name":"Train ID","value":"122-02"},{"id":16,"name":"Locomotive ID","value":"4052"},{"id":130,"name":"Impact","value":""},{"id":150,"name":"Time of Event (Mountain Time)","value":"07:50:49"},{"id":151,"name":"Denver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60" t="str">
        <f t="shared" si="20"/>
        <v>start /low /b %USERPROFILE%\Documents\GitHub\eaglep3\Utilities\DownloadLogsFromS3.py --loco 4052 --day 2017-02-02</v>
      </c>
      <c r="AN34" s="169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507</v>
      </c>
      <c r="B35" s="7">
        <v>4025</v>
      </c>
      <c r="C35" s="21" t="s">
        <v>193</v>
      </c>
      <c r="D35" s="21" t="s">
        <v>222</v>
      </c>
      <c r="E35" s="13">
        <v>42768.269965277781</v>
      </c>
      <c r="F35" s="13">
        <v>42768.27175925926</v>
      </c>
      <c r="G35" s="7">
        <v>1</v>
      </c>
      <c r="H35" s="21" t="s">
        <v>406</v>
      </c>
      <c r="I35" s="13">
        <v>42768.296400462961</v>
      </c>
      <c r="J35" s="7">
        <v>0</v>
      </c>
      <c r="K35" s="98" t="str">
        <f t="shared" si="0"/>
        <v>4025/4026</v>
      </c>
      <c r="L35" s="21" t="str">
        <f>VLOOKUP(A35,'Trips&amp;Operators'!$C$1:$G$99999,5,FALSE)</f>
        <v>ACKERMAN JARED</v>
      </c>
      <c r="M35" s="6">
        <f t="shared" si="1"/>
        <v>2.4641203701321501E-2</v>
      </c>
      <c r="N35" s="7">
        <f t="shared" si="2"/>
        <v>35.483333329902962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 t="shared" si="5"/>
        <v>https://d0f6bd738d7f1b3e5a7ca70fe4ff75f0.us-east-1.aws.found.io/app/kibana#/discover/Steve-Slow-Train-Analysis-(2080s-and-2083s)?_g=(refreshInterval:(display:Off,pause:!f,section:0,value:0),time:(from:'2017-02-02T05:28:45-0700',mode:absolute,to:'2017-02-02T08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5" s="194" t="str">
        <f t="shared" si="6"/>
        <v>N</v>
      </c>
      <c r="X35" s="194">
        <f t="shared" si="7"/>
        <v>1</v>
      </c>
      <c r="Y35" s="62">
        <f t="shared" si="8"/>
        <v>4.6899999999999997E-2</v>
      </c>
      <c r="Z35" s="62">
        <f t="shared" si="9"/>
        <v>23.332100000000001</v>
      </c>
      <c r="AA35" s="62">
        <f t="shared" si="10"/>
        <v>23.2852</v>
      </c>
      <c r="AB35" s="59" t="e">
        <f>VLOOKUP(A35,Enforcements!$C$7:$K$16,8,0)</f>
        <v>#N/A</v>
      </c>
      <c r="AC35" s="55" t="e">
        <f>VLOOKUP(A35,Enforcements!$C$7:$E$16,3,0)</f>
        <v>#N/A</v>
      </c>
      <c r="AD35" s="56" t="str">
        <f t="shared" si="11"/>
        <v>0123-02</v>
      </c>
      <c r="AE35" s="85" t="str">
        <f t="shared" si="12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35" s="82" t="str">
        <f t="shared" si="13"/>
        <v>"C:\Program Files (x86)\AstroGrep\AstroGrep.exe" /spath="%USERPROFILE%\AppData\Local\Temp\OnboardLogs" /stypes="app*4025*20170202*"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123-02 --locoid 4025 --swversion DE.1.0.8.0 --startMP 204:469 --initTime 2017-02-02T06:28:45 --startdatetime 2017-02-02T06:31:20 --delay 1 --endMP 204:233321 --enddatetime 2017-02-02T07:06:49 --enforcementcount 0 &gt;&gt;C:\Users\stu\Documents\GitHub\eaglep3-reporting\EC\2017-02-02-refined-times.txt</v>
      </c>
      <c r="AI3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{"issue":{"subject":"","project_id":79,"tracker_id":40,"status_id":1,"priority_id":2,"assigned_to_id":23,"start_date":"2017-02-02","description":"","custom_fields":[{"id":1,"name":"Subdivision","value":"EC"},{"id":4,"name":"Milepost","value":"23.3321"},{"id":17,"name":"Train ID","value":"123-02"},{"id":16,"name":"Locomotive ID","value":"4025"},{"id":130,"name":"Impact","value":""},{"id":150,"name":"Time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60" t="str">
        <f t="shared" si="20"/>
        <v>start /low /b %USERPROFILE%\Documents\GitHub\eaglep3\Utilities\DownloadLogsFromS3.py --loco 4025 --day 2017-02-02</v>
      </c>
      <c r="AN35" s="169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517</v>
      </c>
      <c r="B36" s="7">
        <v>4026</v>
      </c>
      <c r="C36" s="21" t="s">
        <v>193</v>
      </c>
      <c r="D36" s="21" t="s">
        <v>702</v>
      </c>
      <c r="E36" s="13">
        <v>42768.304201388892</v>
      </c>
      <c r="F36" s="13">
        <v>42768.309942129628</v>
      </c>
      <c r="G36" s="7">
        <v>1</v>
      </c>
      <c r="H36" s="21" t="s">
        <v>184</v>
      </c>
      <c r="I36" s="13">
        <v>42768.33898148148</v>
      </c>
      <c r="J36" s="7">
        <v>0</v>
      </c>
      <c r="K36" s="98" t="str">
        <f t="shared" si="0"/>
        <v>4025/4026</v>
      </c>
      <c r="L36" s="21" t="str">
        <f>VLOOKUP(A36,'Trips&amp;Operators'!$C$1:$G$99999,5,FALSE)</f>
        <v>ACKERMAN JARED</v>
      </c>
      <c r="M36" s="6">
        <f t="shared" si="1"/>
        <v>2.9039351851679385E-2</v>
      </c>
      <c r="N36" s="7">
        <f t="shared" si="2"/>
        <v>41.816666666418314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 t="shared" si="5"/>
        <v>https://d0f6bd738d7f1b3e5a7ca70fe4ff75f0.us-east-1.aws.found.io/app/kibana#/discover/Steve-Slow-Train-Analysis-(2080s-and-2083s)?_g=(refreshInterval:(display:Off,pause:!f,section:0,value:0),time:(from:'2017-02-02T06:18:03-0700',mode:absolute,to:'2017-02-02T09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6" s="194" t="str">
        <f t="shared" si="6"/>
        <v>N</v>
      </c>
      <c r="X36" s="194">
        <f t="shared" si="7"/>
        <v>1</v>
      </c>
      <c r="Y36" s="62">
        <f t="shared" si="8"/>
        <v>23.3002</v>
      </c>
      <c r="Z36" s="62">
        <f t="shared" si="9"/>
        <v>1.49E-2</v>
      </c>
      <c r="AA36" s="62">
        <f t="shared" si="10"/>
        <v>23.285299999999999</v>
      </c>
      <c r="AB36" s="59" t="e">
        <f>VLOOKUP(A36,Enforcements!$C$7:$K$16,8,0)</f>
        <v>#N/A</v>
      </c>
      <c r="AC36" s="55" t="e">
        <f>VLOOKUP(A36,Enforcements!$C$7:$E$16,3,0)</f>
        <v>#N/A</v>
      </c>
      <c r="AD36" s="56" t="str">
        <f t="shared" si="11"/>
        <v>0124-02</v>
      </c>
      <c r="AE36" s="85" t="str">
        <f t="shared" si="12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36" s="82" t="str">
        <f t="shared" si="13"/>
        <v>"C:\Program Files (x86)\AstroGrep\AstroGrep.exe" /spath="%USERPROFILE%\AppData\Local\Temp\OnboardLogs" /stypes="app*4026*20170202*"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124-02 --locoid 4026 --swversion DE.1.0.8.0 --startMP 204:233002 --initTime 2017-02-02T07:18:03 --startdatetime 2017-02-02T07:26:19 --delay 1 --endMP 204:149 --enddatetime 2017-02-02T08:08:08 --enforcementcount 0 &gt;&gt;C:\Users\stu\Documents\GitHub\eaglep3-reporting\EC\2017-02-02-refined-times.txt</v>
      </c>
      <c r="AI3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ID","value":"124-02"},{"id":16,"name":"Locomotive ID","value":"4026"},{"id":130,"name":"Impact","value":""},{"id":150,"name":"Time of Event (Mountain Time)","value":"08:08:08"},{"id":151,"name":"Denver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60" t="str">
        <f t="shared" si="20"/>
        <v>start /low /b %USERPROFILE%\Documents\GitHub\eaglep3\Utilities\DownloadLogsFromS3.py --loco 4026 --day 2017-02-02</v>
      </c>
      <c r="AN36" s="169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510</v>
      </c>
      <c r="B37" s="7">
        <v>4027</v>
      </c>
      <c r="C37" s="21" t="s">
        <v>193</v>
      </c>
      <c r="D37" s="21" t="s">
        <v>241</v>
      </c>
      <c r="E37" s="13">
        <v>42768.274212962962</v>
      </c>
      <c r="F37" s="13">
        <v>42768.281423611108</v>
      </c>
      <c r="G37" s="7">
        <v>1</v>
      </c>
      <c r="H37" s="21" t="s">
        <v>416</v>
      </c>
      <c r="I37" s="13">
        <v>42768.305601851855</v>
      </c>
      <c r="J37" s="7">
        <v>0</v>
      </c>
      <c r="K37" s="98" t="str">
        <f t="shared" si="0"/>
        <v>4027/4028</v>
      </c>
      <c r="L37" s="21" t="str">
        <f>VLOOKUP(A37,'Trips&amp;Operators'!$C$1:$G$99999,5,FALSE)</f>
        <v>YORK EDGAR</v>
      </c>
      <c r="M37" s="6">
        <f t="shared" si="1"/>
        <v>2.4178240746550728E-2</v>
      </c>
      <c r="N37" s="7">
        <f t="shared" si="2"/>
        <v>34.816666675033048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 t="shared" si="5"/>
        <v>https://d0f6bd738d7f1b3e5a7ca70fe4ff75f0.us-east-1.aws.found.io/app/kibana#/discover/Steve-Slow-Train-Analysis-(2080s-and-2083s)?_g=(refreshInterval:(display:Off,pause:!f,section:0,value:0),time:(from:'2017-02-02T05:34:52-0700',mode:absolute,to:'2017-02-02T08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7" s="194" t="str">
        <f t="shared" si="6"/>
        <v>N</v>
      </c>
      <c r="X37" s="194">
        <f t="shared" si="7"/>
        <v>1</v>
      </c>
      <c r="Y37" s="62">
        <f t="shared" si="8"/>
        <v>4.5699999999999998E-2</v>
      </c>
      <c r="Z37" s="62">
        <f t="shared" si="9"/>
        <v>23.328900000000001</v>
      </c>
      <c r="AA37" s="62">
        <f t="shared" si="10"/>
        <v>23.283200000000001</v>
      </c>
      <c r="AB37" s="59" t="e">
        <f>VLOOKUP(A37,Enforcements!$C$7:$K$16,8,0)</f>
        <v>#N/A</v>
      </c>
      <c r="AC37" s="55" t="e">
        <f>VLOOKUP(A37,Enforcements!$C$7:$E$16,3,0)</f>
        <v>#N/A</v>
      </c>
      <c r="AD37" s="56" t="str">
        <f t="shared" si="11"/>
        <v>0125-02</v>
      </c>
      <c r="AE37" s="85" t="str">
        <f t="shared" si="12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37" s="82" t="str">
        <f t="shared" si="13"/>
        <v>"C:\Program Files (x86)\AstroGrep\AstroGrep.exe" /spath="%USERPROFILE%\AppData\Local\Temp\OnboardLogs" /stypes="app*4027*20170202*"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125-02 --locoid 4027 --swversion DE.1.0.8.0 --startMP 204:457 --initTime 2017-02-02T06:34:52 --startdatetime 2017-02-02T06:45:15 --delay 1 --endMP 204:233289 --enddatetime 2017-02-02T07:20:04 --enforcementcount 0 &gt;&gt;C:\Users\stu\Documents\GitHub\eaglep3-reporting\EC\2017-02-02-refined-times.txt</v>
      </c>
      <c r="AI3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{"issue":{"subject":"","project_id":79,"tracker_id":40,"status_id":1,"priority_id":2,"assigned_to_id":23,"start_date":"2017-02-02","description":"","custom_fields":[{"id":1,"name":"Subdivision","value":"EC"},{"id":4,"name":"Milepost","value":"23.3289"},{"id":17,"name":"Train ID","value":"125-02"},{"id":16,"name":"Locomotive ID","value":"4027"},{"id":130,"name":"Impact","value":""},{"id":150,"name":"Time of Event (Mountain Time)","value":"07:20:04"},{"id":151,"name":"Denver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60" t="str">
        <f t="shared" si="20"/>
        <v>start /low /b %USERPROFILE%\Documents\GitHub\eaglep3\Utilities\DownloadLogsFromS3.py --loco 4027 --day 2017-02-02</v>
      </c>
      <c r="AN37" s="169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518</v>
      </c>
      <c r="B38" s="7">
        <v>4028</v>
      </c>
      <c r="C38" s="21" t="s">
        <v>193</v>
      </c>
      <c r="D38" s="21" t="s">
        <v>413</v>
      </c>
      <c r="E38" s="13">
        <v>42768.306608796294</v>
      </c>
      <c r="F38" s="13">
        <v>42768.320648148147</v>
      </c>
      <c r="G38" s="7">
        <v>1</v>
      </c>
      <c r="H38" s="21" t="s">
        <v>225</v>
      </c>
      <c r="I38" s="13">
        <v>42768.346770833334</v>
      </c>
      <c r="J38" s="7">
        <v>0</v>
      </c>
      <c r="K38" s="98" t="str">
        <f t="shared" si="0"/>
        <v>4027/4028</v>
      </c>
      <c r="L38" s="21" t="str">
        <f>VLOOKUP(A38,'Trips&amp;Operators'!$C$1:$G$99999,5,FALSE)</f>
        <v>YORK EDGAR</v>
      </c>
      <c r="M38" s="6">
        <f t="shared" si="1"/>
        <v>2.6122685187146999E-2</v>
      </c>
      <c r="N38" s="7">
        <f t="shared" si="2"/>
        <v>37.616666669491678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 t="shared" si="5"/>
        <v>https://d0f6bd738d7f1b3e5a7ca70fe4ff75f0.us-east-1.aws.found.io/app/kibana#/discover/Steve-Slow-Train-Analysis-(2080s-and-2083s)?_g=(refreshInterval:(display:Off,pause:!f,section:0,value:0),time:(from:'2017-02-02T06:21:31-0700',mode:absolute,to:'2017-02-02T09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8" s="194" t="str">
        <f t="shared" si="6"/>
        <v>N</v>
      </c>
      <c r="X38" s="194">
        <f t="shared" si="7"/>
        <v>1</v>
      </c>
      <c r="Y38" s="62">
        <f t="shared" si="8"/>
        <v>23.297499999999999</v>
      </c>
      <c r="Z38" s="62">
        <f t="shared" si="9"/>
        <v>1.54E-2</v>
      </c>
      <c r="AA38" s="62">
        <f t="shared" si="10"/>
        <v>23.2821</v>
      </c>
      <c r="AB38" s="59" t="e">
        <f>VLOOKUP(A38,Enforcements!$C$7:$K$16,8,0)</f>
        <v>#N/A</v>
      </c>
      <c r="AC38" s="55" t="e">
        <f>VLOOKUP(A38,Enforcements!$C$7:$E$16,3,0)</f>
        <v>#N/A</v>
      </c>
      <c r="AD38" s="56" t="str">
        <f t="shared" si="11"/>
        <v>0126-02</v>
      </c>
      <c r="AE38" s="85" t="str">
        <f t="shared" si="12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38" s="82" t="str">
        <f t="shared" si="13"/>
        <v>"C:\Program Files (x86)\AstroGrep\AstroGrep.exe" /spath="%USERPROFILE%\AppData\Local\Temp\OnboardLogs" /stypes="app*4028*20170202*"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126-02 --locoid 4028 --swversion DE.1.0.8.0 --startMP 204:232975 --initTime 2017-02-02T07:21:31 --startdatetime 2017-02-02T07:41:44 --delay 1 --endMP 204:154 --enddatetime 2017-02-02T08:19:21 --enforcementcount 0 &gt;&gt;C:\Users\stu\Documents\GitHub\eaglep3-reporting\EC\2017-02-02-refined-times.txt</v>
      </c>
      <c r="AI3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{"issue":{"subject":"","project_id":79,"tracker_id":40,"status_id":1,"priority_id":2,"assigned_to_id":23,"start_date":"2017-02-02","description":"","custom_fields":[{"id":1,"name":"Subdivision","value":"EC"},{"id":4,"name":"Milepost","value":"0.0154"},{"id":17,"name":"Train ID","value":"126-02"},{"id":16,"name":"Locomotive ID","value":"4028"},{"id":130,"name":"Impact","value":""},{"id":150,"name":"Time of Event (Mountain Time)","value":"08:19:21"},{"id":151,"name":"Denver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60" t="str">
        <f t="shared" si="20"/>
        <v>start /low /b %USERPROFILE%\Documents\GitHub\eaglep3\Utilities\DownloadLogsFromS3.py --loco 4028 --day 2017-02-02</v>
      </c>
      <c r="AN38" s="169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513</v>
      </c>
      <c r="B39" s="7">
        <v>4022</v>
      </c>
      <c r="C39" s="21" t="s">
        <v>193</v>
      </c>
      <c r="D39" s="21" t="s">
        <v>241</v>
      </c>
      <c r="E39" s="13">
        <v>42768.290277777778</v>
      </c>
      <c r="F39" s="13">
        <v>42768.292430555557</v>
      </c>
      <c r="G39" s="7">
        <v>1</v>
      </c>
      <c r="H39" s="21" t="s">
        <v>313</v>
      </c>
      <c r="I39" s="13">
        <v>42768.319004629629</v>
      </c>
      <c r="J39" s="7">
        <v>0</v>
      </c>
      <c r="K39" s="98" t="str">
        <f t="shared" si="0"/>
        <v>4021/4022</v>
      </c>
      <c r="L39" s="21" t="str">
        <f>VLOOKUP(A39,'Trips&amp;Operators'!$C$1:$G$99999,5,FALSE)</f>
        <v>BADERTSCHER DIANE</v>
      </c>
      <c r="M39" s="6">
        <f t="shared" si="1"/>
        <v>2.6574074072414078E-2</v>
      </c>
      <c r="N39" s="7">
        <f t="shared" si="2"/>
        <v>38.266666664276272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 t="shared" si="5"/>
        <v>https://d0f6bd738d7f1b3e5a7ca70fe4ff75f0.us-east-1.aws.found.io/app/kibana#/discover/Steve-Slow-Train-Analysis-(2080s-and-2083s)?_g=(refreshInterval:(display:Off,pause:!f,section:0,value:0),time:(from:'2017-02-02T05:58:00-0700',mode:absolute,to:'2017-02-02T08:39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94" t="str">
        <f t="shared" si="6"/>
        <v>N</v>
      </c>
      <c r="X39" s="194">
        <f t="shared" si="7"/>
        <v>1</v>
      </c>
      <c r="Y39" s="62">
        <f t="shared" si="8"/>
        <v>4.5699999999999998E-2</v>
      </c>
      <c r="Z39" s="62">
        <f t="shared" si="9"/>
        <v>23.3323</v>
      </c>
      <c r="AA39" s="62">
        <f t="shared" si="10"/>
        <v>23.2866</v>
      </c>
      <c r="AB39" s="59" t="e">
        <f>VLOOKUP(A39,Enforcements!$C$7:$K$16,8,0)</f>
        <v>#N/A</v>
      </c>
      <c r="AC39" s="55" t="e">
        <f>VLOOKUP(A39,Enforcements!$C$7:$E$16,3,0)</f>
        <v>#N/A</v>
      </c>
      <c r="AD39" s="56" t="str">
        <f t="shared" si="11"/>
        <v>0127-02</v>
      </c>
      <c r="AE39" s="85" t="str">
        <f t="shared" si="12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39" s="82" t="str">
        <f t="shared" si="13"/>
        <v>"C:\Program Files (x86)\AstroGrep\AstroGrep.exe" /spath="%USERPROFILE%\AppData\Local\Temp\OnboardLogs" /stypes="app*4022*20170202*"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127-02 --locoid 4022 --swversion DE.1.0.8.0 --startMP 204:457 --initTime 2017-02-02T06:58:00 --startdatetime 2017-02-02T07:01:06 --delay 1 --endMP 204:233323 --enddatetime 2017-02-02T07:39:22 --enforcementcount 0 &gt;&gt;C:\Users\stu\Documents\GitHub\eaglep3-reporting\EC\2017-02-02-refined-times.txt</v>
      </c>
      <c r="AI3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{"issue":{"subject":"","project_id":79,"tracker_id":40,"status_id":1,"priority_id":2,"assigned_to_id":23,"start_date":"2017-02-02","description":"","custom_fields":[{"id":1,"name":"Subdivision","value":"EC"},{"id":4,"name":"Milepost","value":"23.3323"},{"id":17,"name":"Train ID","value":"127-02"},{"id":16,"name":"Locomotive ID","value":"4022"},{"id":130,"name":"Impact","value":""},{"id":150,"name":"Time of Event (Mountain Time)","value":"07:39:22"},{"id":151,"name":"Denver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60" t="str">
        <f t="shared" si="20"/>
        <v>start /low /b %USERPROFILE%\Documents\GitHub\eaglep3\Utilities\DownloadLogsFromS3.py --loco 4022 --day 2017-02-02</v>
      </c>
      <c r="AN39" s="169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523</v>
      </c>
      <c r="B40" s="7">
        <v>4021</v>
      </c>
      <c r="C40" s="21" t="s">
        <v>193</v>
      </c>
      <c r="D40" s="21" t="s">
        <v>403</v>
      </c>
      <c r="E40" s="13">
        <v>42768.322280092594</v>
      </c>
      <c r="F40" s="13">
        <v>42768.330740740741</v>
      </c>
      <c r="G40" s="7">
        <v>1</v>
      </c>
      <c r="H40" s="21" t="s">
        <v>206</v>
      </c>
      <c r="I40" s="13">
        <v>42768.359884259262</v>
      </c>
      <c r="J40" s="7">
        <v>0</v>
      </c>
      <c r="K40" s="98" t="str">
        <f t="shared" si="0"/>
        <v>4021/4022</v>
      </c>
      <c r="L40" s="21" t="str">
        <f>VLOOKUP(A40,'Trips&amp;Operators'!$C$1:$G$99999,5,FALSE)</f>
        <v>BADERTSCHER DIANE</v>
      </c>
      <c r="M40" s="6">
        <f t="shared" si="1"/>
        <v>2.9143518520868383E-2</v>
      </c>
      <c r="N40" s="7">
        <f t="shared" si="2"/>
        <v>41.966666670050472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 t="shared" si="5"/>
        <v>https://d0f6bd738d7f1b3e5a7ca70fe4ff75f0.us-east-1.aws.found.io/app/kibana#/discover/Steve-Slow-Train-Analysis-(2080s-and-2083s)?_g=(refreshInterval:(display:Off,pause:!f,section:0,value:0),time:(from:'2017-02-02T06:44:05-0700',mode:absolute,to:'2017-02-02T09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94" t="str">
        <f t="shared" si="6"/>
        <v>N</v>
      </c>
      <c r="X40" s="194">
        <f t="shared" si="7"/>
        <v>1</v>
      </c>
      <c r="Y40" s="62">
        <f t="shared" si="8"/>
        <v>23.298300000000001</v>
      </c>
      <c r="Z40" s="62">
        <f t="shared" si="9"/>
        <v>1.47E-2</v>
      </c>
      <c r="AA40" s="62">
        <f t="shared" si="10"/>
        <v>23.2836</v>
      </c>
      <c r="AB40" s="59" t="e">
        <f>VLOOKUP(A40,Enforcements!$C$7:$K$16,8,0)</f>
        <v>#N/A</v>
      </c>
      <c r="AC40" s="55" t="e">
        <f>VLOOKUP(A40,Enforcements!$C$7:$E$16,3,0)</f>
        <v>#N/A</v>
      </c>
      <c r="AD40" s="56" t="str">
        <f t="shared" si="11"/>
        <v>0128-02</v>
      </c>
      <c r="AE40" s="85" t="str">
        <f t="shared" si="12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40" s="82" t="str">
        <f t="shared" si="13"/>
        <v>"C:\Program Files (x86)\AstroGrep\AstroGrep.exe" /spath="%USERPROFILE%\AppData\Local\Temp\OnboardLogs" /stypes="app*4021*20170202*"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128-02 --locoid 4021 --swversion DE.1.0.8.0 --startMP 204:232983 --initTime 2017-02-02T07:44:05 --startdatetime 2017-02-02T07:56:16 --delay 1 --endMP 204:147 --enddatetime 2017-02-02T08:38:14 --enforcementcount 0 &gt;&gt;C:\Users\stu\Documents\GitHub\eaglep3-reporting\EC\2017-02-02-refined-times.txt</v>
      </c>
      <c r="AI4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ID","value":"128-02"},{"id":16,"name":"Locomotive ID","value":"4021"},{"id":130,"name":"Impact","value":""},{"id":150,"name":"Time of Event (Mountain Time)","value":"08:38:14"},{"id":151,"name":"Denver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60" t="str">
        <f t="shared" si="20"/>
        <v>start /low /b %USERPROFILE%\Documents\GitHub\eaglep3\Utilities\DownloadLogsFromS3.py --loco 4021 --day 2017-02-02</v>
      </c>
      <c r="AN40" s="169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444</v>
      </c>
      <c r="B41" s="7">
        <v>4016</v>
      </c>
      <c r="C41" s="21" t="s">
        <v>193</v>
      </c>
      <c r="D41" s="21" t="s">
        <v>703</v>
      </c>
      <c r="E41" s="13">
        <v>42768.298784722225</v>
      </c>
      <c r="F41" s="13">
        <v>42768.302372685182</v>
      </c>
      <c r="G41" s="7">
        <v>2</v>
      </c>
      <c r="H41" s="21" t="s">
        <v>404</v>
      </c>
      <c r="I41" s="13">
        <v>42768.328483796293</v>
      </c>
      <c r="J41" s="7">
        <v>0</v>
      </c>
      <c r="K41" s="98" t="str">
        <f t="shared" si="0"/>
        <v>4015/4016</v>
      </c>
      <c r="L41" s="21" t="str">
        <f>VLOOKUP(A41,'Trips&amp;Operators'!$C$1:$G$99999,5,FALSE)</f>
        <v>STARKS ANGELINA</v>
      </c>
      <c r="M41" s="6">
        <f t="shared" si="1"/>
        <v>2.6111111110367347E-2</v>
      </c>
      <c r="N41" s="7">
        <f t="shared" si="2"/>
        <v>37.599999998928979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 t="shared" si="5"/>
        <v>https://d0f6bd738d7f1b3e5a7ca70fe4ff75f0.us-east-1.aws.found.io/app/kibana#/discover/Steve-Slow-Train-Analysis-(2080s-and-2083s)?_g=(refreshInterval:(display:Off,pause:!f,section:0,value:0),time:(from:'2017-02-02T06:10:15-0700',mode:absolute,to:'2017-02-02T08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194" t="str">
        <f t="shared" si="6"/>
        <v>N</v>
      </c>
      <c r="X41" s="194">
        <f t="shared" si="7"/>
        <v>1</v>
      </c>
      <c r="Y41" s="62">
        <f t="shared" si="8"/>
        <v>4.6399999999999997E-2</v>
      </c>
      <c r="Z41" s="62">
        <f t="shared" si="9"/>
        <v>23.3293</v>
      </c>
      <c r="AA41" s="62">
        <f t="shared" si="10"/>
        <v>23.282900000000001</v>
      </c>
      <c r="AB41" s="59" t="str">
        <f>VLOOKUP(A41,Enforcements!$C$7:$K$16,8,0)</f>
        <v>Speed (6)</v>
      </c>
      <c r="AC41" s="55" t="str">
        <f>VLOOKUP(A41,Enforcements!$C$7:$E$16,3,0)</f>
        <v>PERMANENT SPEED RESTRICTION</v>
      </c>
      <c r="AD41" s="56" t="str">
        <f t="shared" si="11"/>
        <v>0129-02</v>
      </c>
      <c r="AE41" s="85" t="str">
        <f t="shared" si="12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41" s="82" t="str">
        <f t="shared" si="13"/>
        <v>"C:\Program Files (x86)\AstroGrep\AstroGrep.exe" /spath="%USERPROFILE%\AppData\Local\Temp\OnboardLogs" /stypes="app*4016*20170202*"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129-02 --locoid 4016 --swversion DE.1.0.8.0 --startMP 204:464 --initTime 2017-02-02T07:10:15 --startdatetime 2017-02-02T07:15:25 --delay 2 --endMP 204:233293 --enddatetime 2017-02-02T07:53:01 --enforcementcount 0 &gt;&gt;C:\Users\stu\Documents\GitHub\eaglep3-reporting\EC\2017-02-02-refined-times.txt</v>
      </c>
      <c r="AI4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{"issue":{"subject":"","project_id":79,"tracker_id":40,"status_id":1,"priority_id":2,"assigned_to_id":23,"start_date":"2017-02-02","description":"","custom_fields":[{"id":1,"name":"Subdivision","value":"EC"},{"id":4,"name":"Milepost","value":"23.3293"},{"id":17,"name":"Train ID","value":"129-02"},{"id":16,"name":"Locomotive ID","value":"4016"},{"id":130,"name":"Impact","value":""},{"id":150,"name":"Time of Event (Mountain Time)","value":"07:53:01"},{"id":151,"name":"Denver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60" t="str">
        <f t="shared" si="20"/>
        <v>start /low /b %USERPROFILE%\Documents\GitHub\eaglep3\Utilities\DownloadLogsFromS3.py --loco 4016 --day 2017-02-02</v>
      </c>
      <c r="AN41" s="169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526</v>
      </c>
      <c r="B42" s="7">
        <v>4015</v>
      </c>
      <c r="C42" s="21" t="s">
        <v>193</v>
      </c>
      <c r="D42" s="21" t="s">
        <v>704</v>
      </c>
      <c r="E42" s="13">
        <v>42768.339548611111</v>
      </c>
      <c r="F42" s="13">
        <v>42768.341331018521</v>
      </c>
      <c r="G42" s="7">
        <v>1</v>
      </c>
      <c r="H42" s="21" t="s">
        <v>264</v>
      </c>
      <c r="I42" s="13">
        <v>42768.368460648147</v>
      </c>
      <c r="J42" s="7">
        <v>0</v>
      </c>
      <c r="K42" s="98" t="str">
        <f t="shared" si="0"/>
        <v>4015/4016</v>
      </c>
      <c r="L42" s="21" t="str">
        <f>VLOOKUP(A42,'Trips&amp;Operators'!$C$1:$G$99999,5,FALSE)</f>
        <v>STARKS ANGELINA</v>
      </c>
      <c r="M42" s="6">
        <f t="shared" si="1"/>
        <v>2.7129629626870155E-2</v>
      </c>
      <c r="N42" s="7">
        <f t="shared" si="2"/>
        <v>39.066666662693024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 t="shared" si="5"/>
        <v>https://d0f6bd738d7f1b3e5a7ca70fe4ff75f0.us-east-1.aws.found.io/app/kibana#/discover/Steve-Slow-Train-Analysis-(2080s-and-2083s)?_g=(refreshInterval:(display:Off,pause:!f,section:0,value:0),time:(from:'2017-02-02T07:08:57-0700',mode:absolute,to:'2017-02-02T09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194" t="str">
        <f t="shared" si="6"/>
        <v>N</v>
      </c>
      <c r="X42" s="194">
        <f t="shared" si="7"/>
        <v>1</v>
      </c>
      <c r="Y42" s="62">
        <f t="shared" si="8"/>
        <v>23.296500000000002</v>
      </c>
      <c r="Z42" s="62">
        <f t="shared" si="9"/>
        <v>1.41E-2</v>
      </c>
      <c r="AA42" s="62">
        <f t="shared" si="10"/>
        <v>23.282400000000003</v>
      </c>
      <c r="AB42" s="59" t="e">
        <f>VLOOKUP(A42,Enforcements!$C$7:$K$16,8,0)</f>
        <v>#N/A</v>
      </c>
      <c r="AC42" s="55" t="e">
        <f>VLOOKUP(A42,Enforcements!$C$7:$E$16,3,0)</f>
        <v>#N/A</v>
      </c>
      <c r="AD42" s="56" t="str">
        <f t="shared" si="11"/>
        <v>0130-02</v>
      </c>
      <c r="AE42" s="85" t="str">
        <f t="shared" si="12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42" s="82" t="str">
        <f t="shared" si="13"/>
        <v>"C:\Program Files (x86)\AstroGrep\AstroGrep.exe" /spath="%USERPROFILE%\AppData\Local\Temp\OnboardLogs" /stypes="app*4015*20170202*"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130-02 --locoid 4015 --swversion DE.1.0.8.0 --startMP 204:232965 --initTime 2017-02-02T08:08:57 --startdatetime 2017-02-02T08:11:31 --delay 1 --endMP 204:141 --enddatetime 2017-02-02T08:50:35 --enforcementcount 0 &gt;&gt;C:\Users\stu\Documents\GitHub\eaglep3-reporting\EC\2017-02-02-refined-times.txt</v>
      </c>
      <c r="AI4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{"issue":{"subject":"","project_id":79,"tracker_id":40,"status_id":1,"priority_id":2,"assigned_to_id":23,"start_date":"2017-02-02","description":"","custom_fields":[{"id":1,"name":"Subdivision","value":"EC"},{"id":4,"name":"Milepost","value":"0.0141"},{"id":17,"name":"Train ID","value":"130-02"},{"id":16,"name":"Locomotive ID","value":"4015"},{"id":130,"name":"Impact","value":""},{"id":150,"name":"Time of Event (Mountain Time)","value":"08:50:35"},{"id":151,"name":"Denver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60" t="str">
        <f t="shared" si="20"/>
        <v>start /low /b %USERPROFILE%\Documents\GitHub\eaglep3\Utilities\DownloadLogsFromS3.py --loco 4015 --day 2017-02-02</v>
      </c>
      <c r="AN42" s="169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519</v>
      </c>
      <c r="B43" s="7">
        <v>4009</v>
      </c>
      <c r="C43" s="21" t="s">
        <v>193</v>
      </c>
      <c r="D43" s="21" t="s">
        <v>409</v>
      </c>
      <c r="E43" s="13">
        <v>42768.308449074073</v>
      </c>
      <c r="F43" s="13">
        <v>42768.312673611108</v>
      </c>
      <c r="G43" s="7">
        <v>1</v>
      </c>
      <c r="H43" s="21" t="s">
        <v>705</v>
      </c>
      <c r="I43" s="13">
        <v>42768.338240740741</v>
      </c>
      <c r="J43" s="7">
        <v>0</v>
      </c>
      <c r="K43" s="98" t="str">
        <f t="shared" si="0"/>
        <v>4009/4010</v>
      </c>
      <c r="L43" s="21" t="str">
        <f>VLOOKUP(A43,'Trips&amp;Operators'!$C$1:$G$99999,5,FALSE)</f>
        <v>BONDS REYNALDO</v>
      </c>
      <c r="M43" s="6">
        <f t="shared" si="1"/>
        <v>2.5567129632690921E-2</v>
      </c>
      <c r="N43" s="7">
        <f t="shared" si="2"/>
        <v>36.816666671074927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 t="shared" si="5"/>
        <v>https://d0f6bd738d7f1b3e5a7ca70fe4ff75f0.us-east-1.aws.found.io/app/kibana#/discover/Steve-Slow-Train-Analysis-(2080s-and-2083s)?_g=(refreshInterval:(display:Off,pause:!f,section:0,value:0),time:(from:'2017-02-02T06:24:10-0700',mode:absolute,to:'2017-02-02T09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3" s="194" t="str">
        <f t="shared" si="6"/>
        <v>N</v>
      </c>
      <c r="X43" s="194">
        <f t="shared" si="7"/>
        <v>1</v>
      </c>
      <c r="Y43" s="62">
        <f t="shared" si="8"/>
        <v>4.4400000000000002E-2</v>
      </c>
      <c r="Z43" s="62">
        <f t="shared" si="9"/>
        <v>23.331199999999999</v>
      </c>
      <c r="AA43" s="62">
        <f t="shared" si="10"/>
        <v>23.286799999999999</v>
      </c>
      <c r="AB43" s="59" t="e">
        <f>VLOOKUP(A43,Enforcements!$C$7:$K$16,8,0)</f>
        <v>#N/A</v>
      </c>
      <c r="AC43" s="55" t="e">
        <f>VLOOKUP(A43,Enforcements!$C$7:$E$16,3,0)</f>
        <v>#N/A</v>
      </c>
      <c r="AD43" s="56" t="str">
        <f t="shared" si="11"/>
        <v>0131-02</v>
      </c>
      <c r="AE43" s="85" t="str">
        <f t="shared" si="12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43" s="82" t="str">
        <f t="shared" si="13"/>
        <v>"C:\Program Files (x86)\AstroGrep\AstroGrep.exe" /spath="%USERPROFILE%\AppData\Local\Temp\OnboardLogs" /stypes="app*4009*20170202*"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131-02 --locoid 4009 --swversion DE.1.0.8.0 --startMP 204:444 --initTime 2017-02-02T07:24:10 --startdatetime 2017-02-02T07:30:15 --delay 1 --endMP 204:233312 --enddatetime 2017-02-02T08:07:04 --enforcementcount 0 &gt;&gt;C:\Users\stu\Documents\GitHub\eaglep3-reporting\EC\2017-02-02-refined-times.txt</v>
      </c>
      <c r="AI4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{"issue":{"subject":"","project_id":79,"tracker_id":40,"status_id":1,"priority_id":2,"assigned_to_id":23,"start_date":"2017-02-02","description":"","custom_fields":[{"id":1,"name":"Subdivision","value":"EC"},{"id":4,"name":"Milepost","value":"23.3312"},{"id":17,"name":"Train ID","value":"131-02"},{"id":16,"name":"Locomotive ID","value":"4009"},{"id":130,"name":"Impact","value":""},{"id":150,"name":"Time of Event (Mountain Time)","value":"08:07:04"},{"id":151,"name":"Denver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60" t="str">
        <f t="shared" si="20"/>
        <v>start /low /b %USERPROFILE%\Documents\GitHub\eaglep3\Utilities\DownloadLogsFromS3.py --loco 4009 --day 2017-02-02</v>
      </c>
      <c r="AN43" s="169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528</v>
      </c>
      <c r="B44" s="7">
        <v>4010</v>
      </c>
      <c r="C44" s="21" t="s">
        <v>193</v>
      </c>
      <c r="D44" s="21" t="s">
        <v>310</v>
      </c>
      <c r="E44" s="13">
        <v>42768.347592592596</v>
      </c>
      <c r="F44" s="13">
        <v>42768.351550925923</v>
      </c>
      <c r="G44" s="7">
        <v>1</v>
      </c>
      <c r="H44" s="21" t="s">
        <v>225</v>
      </c>
      <c r="I44" s="13">
        <v>42768.379363425927</v>
      </c>
      <c r="J44" s="7">
        <v>0</v>
      </c>
      <c r="K44" s="98" t="str">
        <f t="shared" si="0"/>
        <v>4009/4010</v>
      </c>
      <c r="L44" s="21" t="str">
        <f>VLOOKUP(A44,'Trips&amp;Operators'!$C$1:$G$99999,5,FALSE)</f>
        <v>BONDS REYNALDO</v>
      </c>
      <c r="M44" s="6">
        <f t="shared" si="1"/>
        <v>2.7812500004074536E-2</v>
      </c>
      <c r="N44" s="7">
        <f t="shared" si="2"/>
        <v>40.050000005867332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 t="shared" si="5"/>
        <v>https://d0f6bd738d7f1b3e5a7ca70fe4ff75f0.us-east-1.aws.found.io/app/kibana#/discover/Steve-Slow-Train-Analysis-(2080s-and-2083s)?_g=(refreshInterval:(display:Off,pause:!f,section:0,value:0),time:(from:'2017-02-02T07:20:32-0700',mode:absolute,to:'2017-02-02T10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4" s="194" t="str">
        <f t="shared" si="6"/>
        <v>N</v>
      </c>
      <c r="X44" s="194">
        <f t="shared" si="7"/>
        <v>1</v>
      </c>
      <c r="Y44" s="62">
        <f t="shared" si="8"/>
        <v>23.299800000000001</v>
      </c>
      <c r="Z44" s="62">
        <f t="shared" si="9"/>
        <v>1.54E-2</v>
      </c>
      <c r="AA44" s="62">
        <f t="shared" si="10"/>
        <v>23.284400000000002</v>
      </c>
      <c r="AB44" s="59" t="e">
        <f>VLOOKUP(A44,Enforcements!$C$7:$K$16,8,0)</f>
        <v>#N/A</v>
      </c>
      <c r="AC44" s="55" t="e">
        <f>VLOOKUP(A44,Enforcements!$C$7:$E$16,3,0)</f>
        <v>#N/A</v>
      </c>
      <c r="AD44" s="56" t="str">
        <f t="shared" si="11"/>
        <v>0132-02</v>
      </c>
      <c r="AE44" s="85" t="str">
        <f t="shared" si="12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44" s="82" t="str">
        <f t="shared" si="13"/>
        <v>"C:\Program Files (x86)\AstroGrep\AstroGrep.exe" /spath="%USERPROFILE%\AppData\Local\Temp\OnboardLogs" /stypes="app*4010*20170202*"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132-02 --locoid 4010 --swversion DE.1.0.8.0 --startMP 204:232998 --initTime 2017-02-02T08:20:32 --startdatetime 2017-02-02T08:26:14 --delay 1 --endMP 204:154 --enddatetime 2017-02-02T09:06:17 --enforcementcount 0 &gt;&gt;C:\Users\stu\Documents\GitHub\eaglep3-reporting\EC\2017-02-02-refined-times.txt</v>
      </c>
      <c r="AI4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{"issue":{"subject":"","project_id":79,"tracker_id":40,"status_id":1,"priority_id":2,"assigned_to_id":23,"start_date":"2017-02-02","description":"","custom_fields":[{"id":1,"name":"Subdivision","value":"EC"},{"id":4,"name":"Milepost","value":"0.0154"},{"id":17,"name":"Train ID","value":"132-02"},{"id":16,"name":"Locomotive ID","value":"4010"},{"id":130,"name":"Impact","value":""},{"id":150,"name":"Time of Event (Mountain Time)","value":"09:06:17"},{"id":151,"name":"Denver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60" t="str">
        <f t="shared" si="20"/>
        <v>start /low /b %USERPROFILE%\Documents\GitHub\eaglep3\Utilities\DownloadLogsFromS3.py --loco 4010 --day 2017-02-02</v>
      </c>
      <c r="AN44" s="169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522</v>
      </c>
      <c r="B45" s="7">
        <v>4011</v>
      </c>
      <c r="C45" s="21" t="s">
        <v>193</v>
      </c>
      <c r="D45" s="21" t="s">
        <v>330</v>
      </c>
      <c r="E45" s="13">
        <v>42768.317916666667</v>
      </c>
      <c r="F45" s="13">
        <v>42768.32309027778</v>
      </c>
      <c r="G45" s="7">
        <v>1</v>
      </c>
      <c r="H45" s="21" t="s">
        <v>307</v>
      </c>
      <c r="I45" s="13">
        <v>42768.347997685189</v>
      </c>
      <c r="J45" s="7">
        <v>0</v>
      </c>
      <c r="K45" s="98" t="str">
        <f t="shared" si="0"/>
        <v>4011/4012</v>
      </c>
      <c r="L45" s="21" t="str">
        <f>VLOOKUP(A45,'Trips&amp;Operators'!$C$1:$G$99999,5,FALSE)</f>
        <v>ROBINSON KADDIBA</v>
      </c>
      <c r="M45" s="6">
        <f t="shared" si="1"/>
        <v>2.4907407409045845E-2</v>
      </c>
      <c r="N45" s="7">
        <f t="shared" si="2"/>
        <v>35.866666669026017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 t="shared" si="5"/>
        <v>https://d0f6bd738d7f1b3e5a7ca70fe4ff75f0.us-east-1.aws.found.io/app/kibana#/discover/Steve-Slow-Train-Analysis-(2080s-and-2083s)?_g=(refreshInterval:(display:Off,pause:!f,section:0,value:0),time:(from:'2017-02-02T06:37:48-0700',mode:absolute,to:'2017-02-02T09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5" s="194" t="str">
        <f t="shared" si="6"/>
        <v>N</v>
      </c>
      <c r="X45" s="194">
        <f t="shared" si="7"/>
        <v>1</v>
      </c>
      <c r="Y45" s="62">
        <f t="shared" si="8"/>
        <v>4.4699999999999997E-2</v>
      </c>
      <c r="Z45" s="62">
        <f t="shared" si="9"/>
        <v>23.331099999999999</v>
      </c>
      <c r="AA45" s="62">
        <f t="shared" si="10"/>
        <v>23.2864</v>
      </c>
      <c r="AB45" s="59" t="e">
        <f>VLOOKUP(A45,Enforcements!$C$7:$K$16,8,0)</f>
        <v>#N/A</v>
      </c>
      <c r="AC45" s="55" t="e">
        <f>VLOOKUP(A45,Enforcements!$C$7:$E$16,3,0)</f>
        <v>#N/A</v>
      </c>
      <c r="AD45" s="56" t="str">
        <f t="shared" si="11"/>
        <v>0133-02</v>
      </c>
      <c r="AE45" s="85" t="str">
        <f t="shared" si="12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45" s="82" t="str">
        <f t="shared" si="13"/>
        <v>"C:\Program Files (x86)\AstroGrep\AstroGrep.exe" /spath="%USERPROFILE%\AppData\Local\Temp\OnboardLogs" /stypes="app*4011*20170202*"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133-02 --locoid 4011 --swversion DE.1.0.8.0 --startMP 204:447 --initTime 2017-02-02T07:37:48 --startdatetime 2017-02-02T07:45:15 --delay 1 --endMP 204:233311 --enddatetime 2017-02-02T08:21:07 --enforcementcount 0 &gt;&gt;C:\Users\stu\Documents\GitHub\eaglep3-reporting\EC\2017-02-02-refined-times.txt</v>
      </c>
      <c r="AI4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{"issue":{"subject":"","project_id":79,"tracker_id":40,"status_id":1,"priority_id":2,"assigned_to_id":23,"start_date":"2017-02-02","description":"","custom_fields":[{"id":1,"name":"Subdivision","value":"EC"},{"id":4,"name":"Milepost","value":"23.3311"},{"id":17,"name":"Train ID","value":"133-02"},{"id":16,"name":"Locomotive ID","value":"4011"},{"id":130,"name":"Impact","value":""},{"id":150,"name":"Time of Event (Mountain Time)","value":"08:21:07"},{"id":151,"name":"Denver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60" t="str">
        <f t="shared" si="20"/>
        <v>start /low /b %USERPROFILE%\Documents\GitHub\eaglep3\Utilities\DownloadLogsFromS3.py --loco 4011 --day 2017-02-02</v>
      </c>
      <c r="AN45" s="169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530</v>
      </c>
      <c r="B46" s="7">
        <v>4012</v>
      </c>
      <c r="C46" s="21" t="s">
        <v>193</v>
      </c>
      <c r="D46" s="21" t="s">
        <v>418</v>
      </c>
      <c r="E46" s="13">
        <v>42768.355381944442</v>
      </c>
      <c r="F46" s="13">
        <v>42768.361967592595</v>
      </c>
      <c r="G46" s="7">
        <v>1</v>
      </c>
      <c r="H46" s="21" t="s">
        <v>206</v>
      </c>
      <c r="I46" s="13">
        <v>42768.388449074075</v>
      </c>
      <c r="J46" s="7">
        <v>0</v>
      </c>
      <c r="K46" s="98" t="str">
        <f t="shared" si="0"/>
        <v>4011/4012</v>
      </c>
      <c r="L46" s="21" t="str">
        <f>VLOOKUP(A46,'Trips&amp;Operators'!$C$1:$G$99999,5,FALSE)</f>
        <v>ROBINSON KADDIBA</v>
      </c>
      <c r="M46" s="6">
        <f t="shared" si="1"/>
        <v>2.6481481480004732E-2</v>
      </c>
      <c r="N46" s="7">
        <f t="shared" si="2"/>
        <v>38.133333331206813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 t="shared" si="5"/>
        <v>https://d0f6bd738d7f1b3e5a7ca70fe4ff75f0.us-east-1.aws.found.io/app/kibana#/discover/Steve-Slow-Train-Analysis-(2080s-and-2083s)?_g=(refreshInterval:(display:Off,pause:!f,section:0,value:0),time:(from:'2017-02-02T07:31:45-0700',mode:absolute,to:'2017-02-02T10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6" s="194" t="str">
        <f t="shared" si="6"/>
        <v>N</v>
      </c>
      <c r="X46" s="194">
        <f t="shared" si="7"/>
        <v>1</v>
      </c>
      <c r="Y46" s="62">
        <f t="shared" si="8"/>
        <v>23.299600000000002</v>
      </c>
      <c r="Z46" s="62">
        <f t="shared" si="9"/>
        <v>1.47E-2</v>
      </c>
      <c r="AA46" s="62">
        <f t="shared" si="10"/>
        <v>23.2849</v>
      </c>
      <c r="AB46" s="59" t="e">
        <f>VLOOKUP(A46,Enforcements!$C$7:$K$16,8,0)</f>
        <v>#N/A</v>
      </c>
      <c r="AC46" s="55" t="e">
        <f>VLOOKUP(A46,Enforcements!$C$7:$E$16,3,0)</f>
        <v>#N/A</v>
      </c>
      <c r="AD46" s="56" t="str">
        <f t="shared" si="11"/>
        <v>0134-02</v>
      </c>
      <c r="AE46" s="85" t="str">
        <f t="shared" si="12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46" s="82" t="str">
        <f t="shared" si="13"/>
        <v>"C:\Program Files (x86)\AstroGrep\AstroGrep.exe" /spath="%USERPROFILE%\AppData\Local\Temp\OnboardLogs" /stypes="app*4012*20170202*"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134-02 --locoid 4012 --swversion DE.1.0.8.0 --startMP 204:232996 --initTime 2017-02-02T08:31:45 --startdatetime 2017-02-02T08:41:14 --delay 1 --endMP 204:147 --enddatetime 2017-02-02T09:19:22 --enforcementcount 0 &gt;&gt;C:\Users\stu\Documents\GitHub\eaglep3-reporting\EC\2017-02-02-refined-times.txt</v>
      </c>
      <c r="AI4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ID","value":"134-02"},{"id":16,"name":"Locomotive ID","value":"4012"},{"id":130,"name":"Impact","value":""},{"id":150,"name":"Time of Event (Mountain Time)","value":"09:19:22"},{"id":151,"name":"Denver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60" t="str">
        <f t="shared" si="20"/>
        <v>start /low /b %USERPROFILE%\Documents\GitHub\eaglep3\Utilities\DownloadLogsFromS3.py --loco 4012 --day 2017-02-02</v>
      </c>
      <c r="AN46" s="169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524</v>
      </c>
      <c r="B47" s="7">
        <v>4051</v>
      </c>
      <c r="C47" s="21" t="s">
        <v>193</v>
      </c>
      <c r="D47" s="21" t="s">
        <v>209</v>
      </c>
      <c r="E47" s="13">
        <v>42768.329340277778</v>
      </c>
      <c r="F47" s="13">
        <v>42768.333518518521</v>
      </c>
      <c r="G47" s="7">
        <v>1</v>
      </c>
      <c r="H47" s="21" t="s">
        <v>706</v>
      </c>
      <c r="I47" s="13">
        <v>42768.358541666668</v>
      </c>
      <c r="J47" s="7">
        <v>0</v>
      </c>
      <c r="K47" s="98" t="str">
        <f t="shared" si="0"/>
        <v>4051/4052</v>
      </c>
      <c r="L47" s="21" t="str">
        <f>VLOOKUP(A47,'Trips&amp;Operators'!$C$1:$G$99999,5,FALSE)</f>
        <v>GEBRETEKLE DAGNEW</v>
      </c>
      <c r="M47" s="6">
        <f t="shared" si="1"/>
        <v>2.5023148147738539E-2</v>
      </c>
      <c r="N47" s="7">
        <f t="shared" si="2"/>
        <v>36.033333332743496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 t="shared" si="5"/>
        <v>https://d0f6bd738d7f1b3e5a7ca70fe4ff75f0.us-east-1.aws.found.io/app/kibana#/discover/Steve-Slow-Train-Analysis-(2080s-and-2083s)?_g=(refreshInterval:(display:Off,pause:!f,section:0,value:0),time:(from:'2017-02-02T06:54:15-0700',mode:absolute,to:'2017-02-02T09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7" s="194" t="str">
        <f t="shared" si="6"/>
        <v>N</v>
      </c>
      <c r="X47" s="194">
        <f t="shared" si="7"/>
        <v>1</v>
      </c>
      <c r="Y47" s="62">
        <f t="shared" si="8"/>
        <v>4.6199999999999998E-2</v>
      </c>
      <c r="Z47" s="62">
        <f t="shared" si="9"/>
        <v>23.331499999999998</v>
      </c>
      <c r="AA47" s="62">
        <f t="shared" si="10"/>
        <v>23.285299999999999</v>
      </c>
      <c r="AB47" s="59" t="e">
        <f>VLOOKUP(A47,Enforcements!$C$7:$K$16,8,0)</f>
        <v>#N/A</v>
      </c>
      <c r="AC47" s="55" t="e">
        <f>VLOOKUP(A47,Enforcements!$C$7:$E$16,3,0)</f>
        <v>#N/A</v>
      </c>
      <c r="AD47" s="56" t="str">
        <f t="shared" si="11"/>
        <v>0135-02</v>
      </c>
      <c r="AE47" s="85" t="str">
        <f t="shared" si="12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47" s="82" t="str">
        <f t="shared" si="13"/>
        <v>"C:\Program Files (x86)\AstroGrep\AstroGrep.exe" /spath="%USERPROFILE%\AppData\Local\Temp\OnboardLogs" /stypes="app*4051*20170202*"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135-02 --locoid 4051 --swversion DE.1.0.8.0 --startMP 204:462 --initTime 2017-02-02T07:54:15 --startdatetime 2017-02-02T08:00:16 --delay 1 --endMP 204:233315 --enddatetime 2017-02-02T08:36:18 --enforcementcount 0 &gt;&gt;C:\Users\stu\Documents\GitHub\eaglep3-reporting\EC\2017-02-02-refined-times.txt</v>
      </c>
      <c r="AI4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{"issue":{"subject":"","project_id":79,"tracker_id":40,"status_id":1,"priority_id":2,"assigned_to_id":23,"start_date":"2017-02-02","description":"","custom_fields":[{"id":1,"name":"Subdivision","value":"EC"},{"id":4,"name":"Milepost","value":"23.3315"},{"id":17,"name":"Train ID","value":"135-02"},{"id":16,"name":"Locomotive ID","value":"4051"},{"id":130,"name":"Impact","value":""},{"id":150,"name":"Time of Event (Mountain Time)","value":"08:36:18"},{"id":151,"name":"Denver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60" t="str">
        <f t="shared" si="20"/>
        <v>start /low /b %USERPROFILE%\Documents\GitHub\eaglep3\Utilities\DownloadLogsFromS3.py --loco 4051 --day 2017-02-02</v>
      </c>
      <c r="AN47" s="169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533</v>
      </c>
      <c r="B48" s="7">
        <v>4052</v>
      </c>
      <c r="C48" s="21" t="s">
        <v>193</v>
      </c>
      <c r="D48" s="21" t="s">
        <v>397</v>
      </c>
      <c r="E48" s="13">
        <v>42768.367777777778</v>
      </c>
      <c r="F48" s="13">
        <v>42768.372418981482</v>
      </c>
      <c r="G48" s="7">
        <v>1</v>
      </c>
      <c r="H48" s="21" t="s">
        <v>196</v>
      </c>
      <c r="I48" s="13">
        <v>42768.398726851854</v>
      </c>
      <c r="J48" s="7">
        <v>0</v>
      </c>
      <c r="K48" s="98" t="str">
        <f t="shared" si="0"/>
        <v>4051/4052</v>
      </c>
      <c r="L48" s="21" t="str">
        <f>VLOOKUP(A48,'Trips&amp;Operators'!$C$1:$G$99999,5,FALSE)</f>
        <v>GEBRETEKLE DAGNEW</v>
      </c>
      <c r="M48" s="6">
        <f t="shared" si="1"/>
        <v>2.6307870371965691E-2</v>
      </c>
      <c r="N48" s="7">
        <f t="shared" si="2"/>
        <v>37.883333335630596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 t="shared" si="5"/>
        <v>https://d0f6bd738d7f1b3e5a7ca70fe4ff75f0.us-east-1.aws.found.io/app/kibana#/discover/Steve-Slow-Train-Analysis-(2080s-and-2083s)?_g=(refreshInterval:(display:Off,pause:!f,section:0,value:0),time:(from:'2017-02-02T07:49:36-0700',mode:absolute,to:'2017-02-02T10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8" s="194" t="str">
        <f t="shared" si="6"/>
        <v>N</v>
      </c>
      <c r="X48" s="194">
        <f t="shared" si="7"/>
        <v>1</v>
      </c>
      <c r="Y48" s="62">
        <f t="shared" si="8"/>
        <v>23.299099999999999</v>
      </c>
      <c r="Z48" s="62">
        <f t="shared" si="9"/>
        <v>1.4999999999999999E-2</v>
      </c>
      <c r="AA48" s="62">
        <f t="shared" si="10"/>
        <v>23.284099999999999</v>
      </c>
      <c r="AB48" s="59" t="e">
        <f>VLOOKUP(A48,Enforcements!$C$7:$K$16,8,0)</f>
        <v>#N/A</v>
      </c>
      <c r="AC48" s="55" t="e">
        <f>VLOOKUP(A48,Enforcements!$C$7:$E$16,3,0)</f>
        <v>#N/A</v>
      </c>
      <c r="AD48" s="56" t="str">
        <f t="shared" si="11"/>
        <v>0136-02</v>
      </c>
      <c r="AE48" s="85" t="str">
        <f t="shared" si="12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48" s="82" t="str">
        <f t="shared" si="13"/>
        <v>"C:\Program Files (x86)\AstroGrep\AstroGrep.exe" /spath="%USERPROFILE%\AppData\Local\Temp\OnboardLogs" /stypes="app*4052*20170202*"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136-02 --locoid 4052 --swversion DE.1.0.8.0 --startMP 204:232991 --initTime 2017-02-02T08:49:36 --startdatetime 2017-02-02T08:56:17 --delay 1 --endMP 204:150 --enddatetime 2017-02-02T09:34:10 --enforcementcount 0 &gt;&gt;C:\Users\stu\Documents\GitHub\eaglep3-reporting\EC\2017-02-02-refined-times.txt</v>
      </c>
      <c r="AI4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{"issue":{"subject":"","project_id":79,"tracker_id":40,"status_id":1,"priority_id":2,"assigned_to_id":23,"start_date":"2017-02-02","description":"","custom_fields":[{"id":1,"name":"Subdivision","value":"EC"},{"id":4,"name":"Milepost","value":"0.015"},{"id":17,"name":"Train ID","value":"136-02"},{"id":16,"name":"Locomotive ID","value":"4052"},{"id":130,"name":"Impact","value":""},{"id":150,"name":"Time of Event (Mountain Time)","value":"09:34:10"},{"id":151,"name":"Denver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60" t="str">
        <f t="shared" si="20"/>
        <v>start /low /b %USERPROFILE%\Documents\GitHub\eaglep3\Utilities\DownloadLogsFromS3.py --loco 4052 --day 2017-02-02</v>
      </c>
      <c r="AN48" s="169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527</v>
      </c>
      <c r="B49" s="7">
        <v>4025</v>
      </c>
      <c r="C49" s="21" t="s">
        <v>193</v>
      </c>
      <c r="D49" s="21" t="s">
        <v>240</v>
      </c>
      <c r="E49" s="13">
        <v>42768.340486111112</v>
      </c>
      <c r="F49" s="13">
        <v>42768.343935185185</v>
      </c>
      <c r="G49" s="7">
        <v>2</v>
      </c>
      <c r="H49" s="21" t="s">
        <v>346</v>
      </c>
      <c r="I49" s="13">
        <v>42768.368819444448</v>
      </c>
      <c r="J49" s="7">
        <v>0</v>
      </c>
      <c r="K49" s="98" t="str">
        <f t="shared" si="0"/>
        <v>4025/4026</v>
      </c>
      <c r="L49" s="21" t="str">
        <f>VLOOKUP(A49,'Trips&amp;Operators'!$C$1:$G$99999,5,FALSE)</f>
        <v>ACKERMAN JARED</v>
      </c>
      <c r="M49" s="6">
        <f t="shared" si="1"/>
        <v>2.4884259262762498E-2</v>
      </c>
      <c r="N49" s="7">
        <f t="shared" si="2"/>
        <v>35.833333338377997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 t="shared" si="5"/>
        <v>https://d0f6bd738d7f1b3e5a7ca70fe4ff75f0.us-east-1.aws.found.io/app/kibana#/discover/Steve-Slow-Train-Analysis-(2080s-and-2083s)?_g=(refreshInterval:(display:Off,pause:!f,section:0,value:0),time:(from:'2017-02-02T07:10:18-0700',mode:absolute,to:'2017-02-02T09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9" s="194" t="str">
        <f t="shared" si="6"/>
        <v>N</v>
      </c>
      <c r="X49" s="194">
        <f t="shared" si="7"/>
        <v>1</v>
      </c>
      <c r="Y49" s="62">
        <f t="shared" si="8"/>
        <v>4.5100000000000001E-2</v>
      </c>
      <c r="Z49" s="62">
        <f t="shared" si="9"/>
        <v>23.330300000000001</v>
      </c>
      <c r="AA49" s="62">
        <f t="shared" si="10"/>
        <v>23.2852</v>
      </c>
      <c r="AB49" s="59" t="e">
        <f>VLOOKUP(A49,Enforcements!$C$7:$K$16,8,0)</f>
        <v>#N/A</v>
      </c>
      <c r="AC49" s="55" t="e">
        <f>VLOOKUP(A49,Enforcements!$C$7:$E$16,3,0)</f>
        <v>#N/A</v>
      </c>
      <c r="AD49" s="56" t="str">
        <f t="shared" si="11"/>
        <v>0137-02</v>
      </c>
      <c r="AE49" s="85" t="str">
        <f t="shared" si="12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49" s="82" t="str">
        <f t="shared" si="13"/>
        <v>"C:\Program Files (x86)\AstroGrep\AstroGrep.exe" /spath="%USERPROFILE%\AppData\Local\Temp\OnboardLogs" /stypes="app*4025*20170202*"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137-02 --locoid 4025 --swversion DE.1.0.8.0 --startMP 204:451 --initTime 2017-02-02T08:10:18 --startdatetime 2017-02-02T08:15:16 --delay 2 --endMP 204:233303 --enddatetime 2017-02-02T08:51:06 --enforcementcount 0 &gt;&gt;C:\Users\stu\Documents\GitHub\eaglep3-reporting\EC\2017-02-02-refined-times.txt</v>
      </c>
      <c r="AI4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{"issue":{"subject":"","project_id":79,"tracker_id":40,"status_id":1,"priority_id":2,"assigned_to_id":23,"start_date":"2017-02-02","description":"","custom_fields":[{"id":1,"name":"Subdivision","value":"EC"},{"id":4,"name":"Milepost","value":"23.3303"},{"id":17,"name":"Train ID","value":"137-02"},{"id":16,"name":"Locomotive ID","value":"4025"},{"id":130,"name":"Impact","value":""},{"id":150,"name":"Time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60" t="str">
        <f t="shared" si="20"/>
        <v>start /low /b %USERPROFILE%\Documents\GitHub\eaglep3\Utilities\DownloadLogsFromS3.py --loco 4025 --day 2017-02-02</v>
      </c>
      <c r="AN49" s="169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535</v>
      </c>
      <c r="B50" s="7">
        <v>4026</v>
      </c>
      <c r="C50" s="21" t="s">
        <v>193</v>
      </c>
      <c r="D50" s="21" t="s">
        <v>418</v>
      </c>
      <c r="E50" s="13">
        <v>42768.374606481484</v>
      </c>
      <c r="F50" s="13">
        <v>42768.3828125</v>
      </c>
      <c r="G50" s="7">
        <v>1</v>
      </c>
      <c r="H50" s="21" t="s">
        <v>206</v>
      </c>
      <c r="I50" s="13">
        <v>42768.410277777781</v>
      </c>
      <c r="J50" s="7">
        <v>0</v>
      </c>
      <c r="K50" s="98" t="str">
        <f t="shared" si="0"/>
        <v>4025/4026</v>
      </c>
      <c r="L50" s="21" t="str">
        <f>VLOOKUP(A50,'Trips&amp;Operators'!$C$1:$G$99999,5,FALSE)</f>
        <v>ACKERMAN JARED</v>
      </c>
      <c r="M50" s="6">
        <f t="shared" si="1"/>
        <v>2.7465277780720498E-2</v>
      </c>
      <c r="N50" s="7">
        <f t="shared" si="2"/>
        <v>39.550000004237518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 t="shared" si="5"/>
        <v>https://d0f6bd738d7f1b3e5a7ca70fe4ff75f0.us-east-1.aws.found.io/app/kibana#/discover/Steve-Slow-Train-Analysis-(2080s-and-2083s)?_g=(refreshInterval:(display:Off,pause:!f,section:0,value:0),time:(from:'2017-02-02T07:59:26-0700',mode:absolute,to:'2017-02-02T10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0" s="194" t="str">
        <f t="shared" si="6"/>
        <v>N</v>
      </c>
      <c r="X50" s="194">
        <f t="shared" si="7"/>
        <v>1</v>
      </c>
      <c r="Y50" s="62">
        <f t="shared" si="8"/>
        <v>23.299600000000002</v>
      </c>
      <c r="Z50" s="62">
        <f t="shared" si="9"/>
        <v>1.47E-2</v>
      </c>
      <c r="AA50" s="62">
        <f t="shared" si="10"/>
        <v>23.2849</v>
      </c>
      <c r="AB50" s="59" t="e">
        <f>VLOOKUP(A50,Enforcements!$C$7:$K$16,8,0)</f>
        <v>#N/A</v>
      </c>
      <c r="AC50" s="55" t="e">
        <f>VLOOKUP(A50,Enforcements!$C$7:$E$16,3,0)</f>
        <v>#N/A</v>
      </c>
      <c r="AD50" s="56" t="str">
        <f t="shared" si="11"/>
        <v>0138-02</v>
      </c>
      <c r="AE50" s="85" t="str">
        <f t="shared" si="12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50" s="82" t="str">
        <f t="shared" si="13"/>
        <v>"C:\Program Files (x86)\AstroGrep\AstroGrep.exe" /spath="%USERPROFILE%\AppData\Local\Temp\OnboardLogs" /stypes="app*4026*20170202*"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138-02 --locoid 4026 --swversion DE.1.0.8.0 --startMP 204:232996 --initTime 2017-02-02T08:59:26 --startdatetime 2017-02-02T09:11:15 --delay 1 --endMP 204:147 --enddatetime 2017-02-02T09:50:48 --enforcementcount 0 &gt;&gt;C:\Users\stu\Documents\GitHub\eaglep3-reporting\EC\2017-02-02-refined-times.txt</v>
      </c>
      <c r="AI5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ID","value":"138-02"},{"id":16,"name":"Locomotive ID","value":"4026"},{"id":130,"name":"Impact","value":""},{"id":150,"name":"Time of Event (Mountain Time)","value":"09:50:48"},{"id":151,"name":"Denver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60" t="str">
        <f t="shared" si="20"/>
        <v>start /low /b %USERPROFILE%\Documents\GitHub\eaglep3\Utilities\DownloadLogsFromS3.py --loco 4026 --day 2017-02-02</v>
      </c>
      <c r="AN50" s="169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446</v>
      </c>
      <c r="B51" s="7">
        <v>4027</v>
      </c>
      <c r="C51" s="21" t="s">
        <v>193</v>
      </c>
      <c r="D51" s="21" t="s">
        <v>292</v>
      </c>
      <c r="E51" s="13">
        <v>42768.34783564815</v>
      </c>
      <c r="F51" s="13">
        <v>42768.35434027778</v>
      </c>
      <c r="G51" s="7">
        <v>1</v>
      </c>
      <c r="H51" s="21" t="s">
        <v>333</v>
      </c>
      <c r="I51" s="13">
        <v>42768.379143518519</v>
      </c>
      <c r="J51" s="7">
        <v>0</v>
      </c>
      <c r="K51" s="98" t="str">
        <f t="shared" si="0"/>
        <v>4027/4028</v>
      </c>
      <c r="L51" s="21" t="str">
        <f>VLOOKUP(A51,'Trips&amp;Operators'!$C$1:$G$99999,5,FALSE)</f>
        <v>YORK EDGAR</v>
      </c>
      <c r="M51" s="6">
        <f t="shared" si="1"/>
        <v>2.4803240739856847E-2</v>
      </c>
      <c r="N51" s="7">
        <f t="shared" si="2"/>
        <v>35.716666665393859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 t="shared" si="5"/>
        <v>https://d0f6bd738d7f1b3e5a7ca70fe4ff75f0.us-east-1.aws.found.io/app/kibana#/discover/Steve-Slow-Train-Analysis-(2080s-and-2083s)?_g=(refreshInterval:(display:Off,pause:!f,section:0,value:0),time:(from:'2017-02-02T07:20:53-0700',mode:absolute,to:'2017-02-02T10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1" s="194" t="str">
        <f t="shared" si="6"/>
        <v>N</v>
      </c>
      <c r="X51" s="194">
        <f t="shared" si="7"/>
        <v>1</v>
      </c>
      <c r="Y51" s="62">
        <f t="shared" si="8"/>
        <v>4.4600000000000001E-2</v>
      </c>
      <c r="Z51" s="62">
        <f t="shared" si="9"/>
        <v>23.3291</v>
      </c>
      <c r="AA51" s="62">
        <f t="shared" si="10"/>
        <v>23.284500000000001</v>
      </c>
      <c r="AB51" s="59" t="str">
        <f>VLOOKUP(A51,Enforcements!$C$7:$K$16,8,0)</f>
        <v>Bulletin (2)</v>
      </c>
      <c r="AC51" s="55" t="str">
        <f>VLOOKUP(A51,Enforcements!$C$7:$E$16,3,0)</f>
        <v>GRADE CROSSING</v>
      </c>
      <c r="AD51" s="56" t="str">
        <f t="shared" si="11"/>
        <v>0139-02</v>
      </c>
      <c r="AE51" s="85" t="str">
        <f t="shared" si="12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51" s="82" t="str">
        <f t="shared" si="13"/>
        <v>"C:\Program Files (x86)\AstroGrep\AstroGrep.exe" /spath="%USERPROFILE%\AppData\Local\Temp\OnboardLogs" /stypes="app*4027*20170202*"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139-02 --locoid 4027 --swversion DE.1.0.8.0 --startMP 204:446 --initTime 2017-02-02T08:20:53 --startdatetime 2017-02-02T08:30:15 --delay 1 --endMP 204:233291 --enddatetime 2017-02-02T09:05:58 --enforcementcount 0 &gt;&gt;C:\Users\stu\Documents\GitHub\eaglep3-reporting\EC\2017-02-02-refined-times.txt</v>
      </c>
      <c r="AI5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{"issue":{"subject":"","project_id":79,"tracker_id":40,"status_id":1,"priority_id":2,"assigned_to_id":23,"start_date":"2017-02-02","description":"","custom_fields":[{"id":1,"name":"Subdivision","value":"EC"},{"id":4,"name":"Milepost","value":"23.3291"},{"id":17,"name":"Train ID","value":"139-02"},{"id":16,"name":"Locomotive ID","value":"4027"},{"id":130,"name":"Impact","value":""},{"id":150,"name":"Time of Event (Mountain Time)","value":"09:05:58"},{"id":151,"name":"Denver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60" t="str">
        <f t="shared" si="20"/>
        <v>start /low /b %USERPROFILE%\Documents\GitHub\eaglep3\Utilities\DownloadLogsFromS3.py --loco 4027 --day 2017-02-02</v>
      </c>
      <c r="AN51" s="169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448</v>
      </c>
      <c r="B52" s="7">
        <v>4028</v>
      </c>
      <c r="C52" s="21" t="s">
        <v>193</v>
      </c>
      <c r="D52" s="21" t="s">
        <v>318</v>
      </c>
      <c r="E52" s="13">
        <v>42768.380023148151</v>
      </c>
      <c r="F52" s="13">
        <v>42768.393530092595</v>
      </c>
      <c r="G52" s="7">
        <v>0</v>
      </c>
      <c r="H52" s="21" t="s">
        <v>707</v>
      </c>
      <c r="I52" s="13">
        <v>42768.420138888891</v>
      </c>
      <c r="J52" s="7">
        <v>0</v>
      </c>
      <c r="K52" s="98" t="str">
        <f t="shared" si="0"/>
        <v>4027/4028</v>
      </c>
      <c r="L52" s="21" t="str">
        <f>VLOOKUP(A52,'Trips&amp;Operators'!$C$1:$G$99999,5,FALSE)</f>
        <v>YORK EDGAR</v>
      </c>
      <c r="M52" s="6">
        <f t="shared" si="1"/>
        <v>2.6608796295477077E-2</v>
      </c>
      <c r="N52" s="7">
        <f t="shared" si="2"/>
        <v>38.316666665486991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 t="shared" si="5"/>
        <v>https://d0f6bd738d7f1b3e5a7ca70fe4ff75f0.us-east-1.aws.found.io/app/kibana#/discover/Steve-Slow-Train-Analysis-(2080s-and-2083s)?_g=(refreshInterval:(display:Off,pause:!f,section:0,value:0),time:(from:'2017-02-02T08:07:14-0700',mode:absolute,to:'2017-02-02T11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2" s="194" t="str">
        <f t="shared" si="6"/>
        <v>N</v>
      </c>
      <c r="X52" s="194">
        <f t="shared" si="7"/>
        <v>1</v>
      </c>
      <c r="Y52" s="62">
        <f t="shared" si="8"/>
        <v>23.297599999999999</v>
      </c>
      <c r="Z52" s="62">
        <f t="shared" si="9"/>
        <v>1.6500000000000001E-2</v>
      </c>
      <c r="AA52" s="62">
        <f t="shared" si="10"/>
        <v>23.281099999999999</v>
      </c>
      <c r="AB52" s="59" t="str">
        <f>VLOOKUP(A52,Enforcements!$C$7:$K$16,8,0)</f>
        <v>Bulletin (2)</v>
      </c>
      <c r="AC52" s="55" t="str">
        <f>VLOOKUP(A52,Enforcements!$C$7:$E$16,3,0)</f>
        <v>GRADE CROSSING</v>
      </c>
      <c r="AD52" s="56" t="str">
        <f t="shared" si="11"/>
        <v>0140-02</v>
      </c>
      <c r="AE52" s="85" t="str">
        <f t="shared" si="12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52" s="82" t="str">
        <f t="shared" si="13"/>
        <v>"C:\Program Files (x86)\AstroGrep\AstroGrep.exe" /spath="%USERPROFILE%\AppData\Local\Temp\OnboardLogs" /stypes="app*4028*20170202*"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140-02 --locoid 4028 --swversion DE.1.0.8.0 --startMP 204:232976 --initTime 2017-02-02T09:07:14 --startdatetime 2017-02-02T09:26:41 --delay 0 --endMP 204:165 --enddatetime 2017-02-02T10:05:00 --enforcementcount 0 &gt;&gt;C:\Users\stu\Documents\GitHub\eaglep3-reporting\EC\2017-02-02-refined-times.txt</v>
      </c>
      <c r="AI5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{"issue":{"subject":"","project_id":79,"tracker_id":40,"status_id":1,"priority_id":2,"assigned_to_id":23,"start_date":"2017-02-02","description":"","custom_fields":[{"id":1,"name":"Subdivision","value":"EC"},{"id":4,"name":"Milepost","value":"0.0165"},{"id":17,"name":"Train ID","value":"140-02"},{"id":16,"name":"Locomotive ID","value":"4028"},{"id":130,"name":"Impact","value":""},{"id":150,"name":"Time of Event (Mountain Time)","value":"10:05:00"},{"id":151,"name":"Denver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60" t="str">
        <f t="shared" si="20"/>
        <v>start /low /b %USERPROFILE%\Documents\GitHub\eaglep3\Utilities\DownloadLogsFromS3.py --loco 4028 --day 2017-02-02</v>
      </c>
      <c r="AN52" s="169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532</v>
      </c>
      <c r="B53" s="7">
        <v>4022</v>
      </c>
      <c r="C53" s="21" t="s">
        <v>193</v>
      </c>
      <c r="D53" s="21" t="s">
        <v>708</v>
      </c>
      <c r="E53" s="13">
        <v>42768.363310185188</v>
      </c>
      <c r="F53" s="13">
        <v>42768.365324074075</v>
      </c>
      <c r="G53" s="7">
        <v>1</v>
      </c>
      <c r="H53" s="21" t="s">
        <v>347</v>
      </c>
      <c r="I53" s="13">
        <v>42768.391030092593</v>
      </c>
      <c r="J53" s="7">
        <v>0</v>
      </c>
      <c r="K53" s="98" t="str">
        <f t="shared" si="0"/>
        <v>4021/4022</v>
      </c>
      <c r="L53" s="21" t="str">
        <f>VLOOKUP(A53,'Trips&amp;Operators'!$C$1:$G$99999,5,FALSE)</f>
        <v>BADERTSCHER DIANE</v>
      </c>
      <c r="M53" s="6">
        <f t="shared" si="1"/>
        <v>2.5706018517666962E-2</v>
      </c>
      <c r="N53" s="7">
        <f t="shared" si="2"/>
        <v>37.016666665440425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 t="shared" si="5"/>
        <v>https://d0f6bd738d7f1b3e5a7ca70fe4ff75f0.us-east-1.aws.found.io/app/kibana#/discover/Steve-Slow-Train-Analysis-(2080s-and-2083s)?_g=(refreshInterval:(display:Off,pause:!f,section:0,value:0),time:(from:'2017-02-02T07:43:10-0700',mode:absolute,to:'2017-02-02T10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94" t="str">
        <f t="shared" si="6"/>
        <v>N</v>
      </c>
      <c r="X53" s="194">
        <f t="shared" si="7"/>
        <v>1</v>
      </c>
      <c r="Y53" s="62">
        <f t="shared" si="8"/>
        <v>4.3099999999999999E-2</v>
      </c>
      <c r="Z53" s="62">
        <f t="shared" si="9"/>
        <v>23.327200000000001</v>
      </c>
      <c r="AA53" s="62">
        <f t="shared" si="10"/>
        <v>23.284100000000002</v>
      </c>
      <c r="AB53" s="59" t="e">
        <f>VLOOKUP(A53,Enforcements!$C$7:$K$16,8,0)</f>
        <v>#N/A</v>
      </c>
      <c r="AC53" s="55" t="e">
        <f>VLOOKUP(A53,Enforcements!$C$7:$E$16,3,0)</f>
        <v>#N/A</v>
      </c>
      <c r="AD53" s="56" t="str">
        <f t="shared" si="11"/>
        <v>0141-02</v>
      </c>
      <c r="AE53" s="85" t="str">
        <f t="shared" si="12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53" s="82" t="str">
        <f t="shared" si="13"/>
        <v>"C:\Program Files (x86)\AstroGrep\AstroGrep.exe" /spath="%USERPROFILE%\AppData\Local\Temp\OnboardLogs" /stypes="app*4022*20170202*"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141-02 --locoid 4022 --swversion DE.1.0.8.0 --startMP 204:431 --initTime 2017-02-02T08:43:10 --startdatetime 2017-02-02T08:46:04 --delay 1 --endMP 204:233272 --enddatetime 2017-02-02T09:23:05 --enforcementcount 0 &gt;&gt;C:\Users\stu\Documents\GitHub\eaglep3-reporting\EC\2017-02-02-refined-times.txt</v>
      </c>
      <c r="AI5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{"issue":{"subject":"","project_id":79,"tracker_id":40,"status_id":1,"priority_id":2,"assigned_to_id":23,"start_date":"2017-02-02","description":"","custom_fields":[{"id":1,"name":"Subdivision","value":"EC"},{"id":4,"name":"Milepost","value":"23.3272"},{"id":17,"name":"Train ID","value":"141-02"},{"id":16,"name":"Locomotive ID","value":"4022"},{"id":130,"name":"Impact","value":""},{"id":150,"name":"Time of Event (Mountain Time)","value":"09:23:05"},{"id":151,"name":"Denver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60" t="str">
        <f t="shared" si="20"/>
        <v>start /low /b %USERPROFILE%\Documents\GitHub\eaglep3\Utilities\DownloadLogsFromS3.py --loco 4022 --day 2017-02-02</v>
      </c>
      <c r="AN53" s="169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538</v>
      </c>
      <c r="B54" s="7">
        <v>4021</v>
      </c>
      <c r="C54" s="21" t="s">
        <v>193</v>
      </c>
      <c r="D54" s="21" t="s">
        <v>340</v>
      </c>
      <c r="E54" s="13">
        <v>42768.394050925926</v>
      </c>
      <c r="F54" s="13">
        <v>42768.404016203705</v>
      </c>
      <c r="G54" s="7">
        <v>1</v>
      </c>
      <c r="H54" s="21" t="s">
        <v>709</v>
      </c>
      <c r="I54" s="13">
        <v>42768.432604166665</v>
      </c>
      <c r="J54" s="7">
        <v>0</v>
      </c>
      <c r="K54" s="98" t="str">
        <f t="shared" si="0"/>
        <v>4021/4022</v>
      </c>
      <c r="L54" s="21" t="str">
        <f>VLOOKUP(A54,'Trips&amp;Operators'!$C$1:$G$99999,5,FALSE)</f>
        <v>BADERTSCHER DIANE</v>
      </c>
      <c r="M54" s="6">
        <f t="shared" si="1"/>
        <v>2.8587962959136348E-2</v>
      </c>
      <c r="N54" s="7">
        <f t="shared" si="2"/>
        <v>41.166666661156341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 t="shared" si="5"/>
        <v>https://d0f6bd738d7f1b3e5a7ca70fe4ff75f0.us-east-1.aws.found.io/app/kibana#/discover/Steve-Slow-Train-Analysis-(2080s-and-2083s)?_g=(refreshInterval:(display:Off,pause:!f,section:0,value:0),time:(from:'2017-02-02T08:27:26-0700',mode:absolute,to:'2017-02-02T11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94" t="str">
        <f t="shared" si="6"/>
        <v>N</v>
      </c>
      <c r="X54" s="194">
        <f t="shared" si="7"/>
        <v>1</v>
      </c>
      <c r="Y54" s="62">
        <f t="shared" si="8"/>
        <v>23.297699999999999</v>
      </c>
      <c r="Z54" s="62">
        <f t="shared" si="9"/>
        <v>1.6899999999999998E-2</v>
      </c>
      <c r="AA54" s="62">
        <f t="shared" si="10"/>
        <v>23.280799999999999</v>
      </c>
      <c r="AB54" s="59" t="e">
        <f>VLOOKUP(A54,Enforcements!$C$7:$K$16,8,0)</f>
        <v>#N/A</v>
      </c>
      <c r="AC54" s="55" t="e">
        <f>VLOOKUP(A54,Enforcements!$C$7:$E$16,3,0)</f>
        <v>#N/A</v>
      </c>
      <c r="AD54" s="56" t="str">
        <f t="shared" si="11"/>
        <v>0142-02</v>
      </c>
      <c r="AE54" s="85" t="str">
        <f t="shared" si="12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54" s="82" t="str">
        <f t="shared" si="13"/>
        <v>"C:\Program Files (x86)\AstroGrep\AstroGrep.exe" /spath="%USERPROFILE%\AppData\Local\Temp\OnboardLogs" /stypes="app*4021*20170202*"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142-02 --locoid 4021 --swversion DE.1.0.8.0 --startMP 204:232977 --initTime 2017-02-02T09:27:26 --startdatetime 2017-02-02T09:41:47 --delay 1 --endMP 204:169 --enddatetime 2017-02-02T10:22:57 --enforcementcount 0 &gt;&gt;C:\Users\stu\Documents\GitHub\eaglep3-reporting\EC\2017-02-02-refined-times.txt</v>
      </c>
      <c r="AI5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{"issue":{"subject":"","project_id":79,"tracker_id":40,"status_id":1,"priority_id":2,"assigned_to_id":23,"start_date":"2017-02-02","description":"","custom_fields":[{"id":1,"name":"Subdivision","value":"EC"},{"id":4,"name":"Milepost","value":"0.0169"},{"id":17,"name":"Train ID","value":"142-02"},{"id":16,"name":"Locomotive ID","value":"4021"},{"id":130,"name":"Impact","value":""},{"id":150,"name":"Time of Event (Mountain Time)","value":"10:22:57"},{"id":151,"name":"Denver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60" t="str">
        <f t="shared" si="20"/>
        <v>start /low /b %USERPROFILE%\Documents\GitHub\eaglep3\Utilities\DownloadLogsFromS3.py --loco 4021 --day 2017-02-02</v>
      </c>
      <c r="AN54" s="169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534</v>
      </c>
      <c r="B55" s="7">
        <v>4016</v>
      </c>
      <c r="C55" s="21" t="s">
        <v>193</v>
      </c>
      <c r="D55" s="21" t="s">
        <v>293</v>
      </c>
      <c r="E55" s="13">
        <v>42768.370949074073</v>
      </c>
      <c r="F55" s="13">
        <v>42768.375439814816</v>
      </c>
      <c r="G55" s="7">
        <v>1</v>
      </c>
      <c r="H55" s="21" t="s">
        <v>316</v>
      </c>
      <c r="I55" s="13">
        <v>42768.400219907409</v>
      </c>
      <c r="J55" s="7">
        <v>0</v>
      </c>
      <c r="K55" s="98" t="str">
        <f t="shared" si="0"/>
        <v>4015/4016</v>
      </c>
      <c r="L55" s="21" t="str">
        <f>VLOOKUP(A55,'Trips&amp;Operators'!$C$1:$G$99999,5,FALSE)</f>
        <v>STARKS ANGELINA</v>
      </c>
      <c r="M55" s="6">
        <f t="shared" si="1"/>
        <v>2.4780092593573499E-2</v>
      </c>
      <c r="N55" s="7">
        <f t="shared" si="2"/>
        <v>35.683333334745839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 t="shared" si="5"/>
        <v>https://d0f6bd738d7f1b3e5a7ca70fe4ff75f0.us-east-1.aws.found.io/app/kibana#/discover/Steve-Slow-Train-Analysis-(2080s-and-2083s)?_g=(refreshInterval:(display:Off,pause:!f,section:0,value:0),time:(from:'2017-02-02T07:54:10-0700',mode:absolute,to:'2017-02-02T10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5" s="194" t="str">
        <f t="shared" si="6"/>
        <v>N</v>
      </c>
      <c r="X55" s="194">
        <f t="shared" si="7"/>
        <v>1</v>
      </c>
      <c r="Y55" s="62">
        <f t="shared" si="8"/>
        <v>4.5499999999999999E-2</v>
      </c>
      <c r="Z55" s="62">
        <f t="shared" si="9"/>
        <v>23.3278</v>
      </c>
      <c r="AA55" s="62">
        <f t="shared" si="10"/>
        <v>23.282299999999999</v>
      </c>
      <c r="AB55" s="59" t="e">
        <f>VLOOKUP(A55,Enforcements!$C$7:$K$16,8,0)</f>
        <v>#N/A</v>
      </c>
      <c r="AC55" s="55" t="e">
        <f>VLOOKUP(A55,Enforcements!$C$7:$E$16,3,0)</f>
        <v>#N/A</v>
      </c>
      <c r="AD55" s="56" t="str">
        <f t="shared" si="11"/>
        <v>0143-02</v>
      </c>
      <c r="AE55" s="85" t="str">
        <f t="shared" si="12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55" s="82" t="str">
        <f t="shared" si="13"/>
        <v>"C:\Program Files (x86)\AstroGrep\AstroGrep.exe" /spath="%USERPROFILE%\AppData\Local\Temp\OnboardLogs" /stypes="app*4016*20170202*"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143-02 --locoid 4016 --swversion DE.1.0.8.0 --startMP 204:455 --initTime 2017-02-02T08:54:10 --startdatetime 2017-02-02T09:00:38 --delay 1 --endMP 204:233278 --enddatetime 2017-02-02T09:36:19 --enforcementcount 0 &gt;&gt;C:\Users\stu\Documents\GitHub\eaglep3-reporting\EC\2017-02-02-refined-times.txt</v>
      </c>
      <c r="AI5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{"issue":{"subject":"","project_id":79,"tracker_id":40,"status_id":1,"priority_id":2,"assigned_to_id":23,"start_date":"2017-02-02","description":"","custom_fields":[{"id":1,"name":"Subdivision","value":"EC"},{"id":4,"name":"Milepost","value":"23.3278"},{"id":17,"name":"Train ID","value":"143-02"},{"id":16,"name":"Locomotive ID","value":"4016"},{"id":130,"name":"Impact","value":""},{"id":150,"name":"Time of Event (Mountain Time)","value":"09:36:19"},{"id":151,"name":"Denver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60" t="str">
        <f t="shared" si="20"/>
        <v>start /low /b %USERPROFILE%\Documents\GitHub\eaglep3\Utilities\DownloadLogsFromS3.py --loco 4016 --day 2017-02-02</v>
      </c>
      <c r="AN55" s="169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541</v>
      </c>
      <c r="B56" s="7">
        <v>4015</v>
      </c>
      <c r="C56" s="21" t="s">
        <v>193</v>
      </c>
      <c r="D56" s="21" t="s">
        <v>318</v>
      </c>
      <c r="E56" s="13">
        <v>42768.412291666667</v>
      </c>
      <c r="F56" s="13">
        <v>42768.414039351854</v>
      </c>
      <c r="G56" s="7">
        <v>1</v>
      </c>
      <c r="H56" s="21" t="s">
        <v>225</v>
      </c>
      <c r="I56" s="13">
        <v>42768.440879629627</v>
      </c>
      <c r="J56" s="7">
        <v>0</v>
      </c>
      <c r="K56" s="98" t="str">
        <f t="shared" si="0"/>
        <v>4015/4016</v>
      </c>
      <c r="L56" s="21" t="str">
        <f>VLOOKUP(A56,'Trips&amp;Operators'!$C$1:$G$99999,5,FALSE)</f>
        <v>STARKS ANGELINA</v>
      </c>
      <c r="M56" s="6">
        <f t="shared" si="1"/>
        <v>2.6840277772862464E-2</v>
      </c>
      <c r="N56" s="7">
        <f t="shared" si="2"/>
        <v>38.649999992921948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 t="shared" si="5"/>
        <v>https://d0f6bd738d7f1b3e5a7ca70fe4ff75f0.us-east-1.aws.found.io/app/kibana#/discover/Steve-Slow-Train-Analysis-(2080s-and-2083s)?_g=(refreshInterval:(display:Off,pause:!f,section:0,value:0),time:(from:'2017-02-02T08:53:42-0700',mode:absolute,to:'2017-02-02T11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6" s="194" t="str">
        <f t="shared" si="6"/>
        <v>N</v>
      </c>
      <c r="X56" s="194">
        <f t="shared" si="7"/>
        <v>1</v>
      </c>
      <c r="Y56" s="62">
        <f t="shared" si="8"/>
        <v>23.297599999999999</v>
      </c>
      <c r="Z56" s="62">
        <f t="shared" si="9"/>
        <v>1.54E-2</v>
      </c>
      <c r="AA56" s="62">
        <f t="shared" si="10"/>
        <v>23.2822</v>
      </c>
      <c r="AB56" s="59" t="e">
        <f>VLOOKUP(A56,Enforcements!$C$7:$K$16,8,0)</f>
        <v>#N/A</v>
      </c>
      <c r="AC56" s="55" t="e">
        <f>VLOOKUP(A56,Enforcements!$C$7:$E$16,3,0)</f>
        <v>#N/A</v>
      </c>
      <c r="AD56" s="56" t="str">
        <f t="shared" si="11"/>
        <v>0144-02</v>
      </c>
      <c r="AE56" s="85" t="str">
        <f t="shared" si="12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56" s="82" t="str">
        <f t="shared" si="13"/>
        <v>"C:\Program Files (x86)\AstroGrep\AstroGrep.exe" /spath="%USERPROFILE%\AppData\Local\Temp\OnboardLogs" /stypes="app*4015*20170202*"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144-02 --locoid 4015 --swversion DE.1.0.8.0 --startMP 204:232976 --initTime 2017-02-02T09:53:42 --startdatetime 2017-02-02T09:56:13 --delay 1 --endMP 204:154 --enddatetime 2017-02-02T10:34:52 --enforcementcount 0 &gt;&gt;C:\Users\stu\Documents\GitHub\eaglep3-reporting\EC\2017-02-02-refined-times.txt</v>
      </c>
      <c r="AI5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{"issue":{"subject":"","project_id":79,"tracker_id":40,"status_id":1,"priority_id":2,"assigned_to_id":23,"start_date":"2017-02-02","description":"","custom_fields":[{"id":1,"name":"Subdivision","value":"EC"},{"id":4,"name":"Milepost","value":"0.0154"},{"id":17,"name":"Train ID","value":"144-02"},{"id":16,"name":"Locomotive ID","value":"4015"},{"id":130,"name":"Impact","value":""},{"id":150,"name":"Time of Event (Mountain Time)","value":"10:34:52"},{"id":151,"name":"Denver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60" t="str">
        <f t="shared" si="20"/>
        <v>start /low /b %USERPROFILE%\Documents\GitHub\eaglep3\Utilities\DownloadLogsFromS3.py --loco 4015 --day 2017-02-02</v>
      </c>
      <c r="AN56" s="169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447</v>
      </c>
      <c r="B57" s="7">
        <v>4009</v>
      </c>
      <c r="C57" s="21" t="s">
        <v>193</v>
      </c>
      <c r="D57" s="21" t="s">
        <v>211</v>
      </c>
      <c r="E57" s="13">
        <v>42768.381157407406</v>
      </c>
      <c r="F57" s="13">
        <v>42768.385601851849</v>
      </c>
      <c r="G57" s="7">
        <v>1</v>
      </c>
      <c r="H57" s="21" t="s">
        <v>411</v>
      </c>
      <c r="I57" s="13">
        <v>42768.410844907405</v>
      </c>
      <c r="J57" s="7">
        <v>0</v>
      </c>
      <c r="K57" s="98" t="str">
        <f t="shared" si="0"/>
        <v>4009/4010</v>
      </c>
      <c r="L57" s="21" t="str">
        <f>VLOOKUP(A57,'Trips&amp;Operators'!$C$1:$G$99999,5,FALSE)</f>
        <v>BONDS REYNALDO</v>
      </c>
      <c r="M57" s="6">
        <f t="shared" si="1"/>
        <v>2.5243055555620231E-2</v>
      </c>
      <c r="N57" s="7">
        <f t="shared" si="2"/>
        <v>36.350000000093132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 t="shared" si="5"/>
        <v>https://d0f6bd738d7f1b3e5a7ca70fe4ff75f0.us-east-1.aws.found.io/app/kibana#/discover/Steve-Slow-Train-Analysis-(2080s-and-2083s)?_g=(refreshInterval:(display:Off,pause:!f,section:0,value:0),time:(from:'2017-02-02T08:08:52-0700',mode:absolute,to:'2017-02-02T10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194" t="str">
        <f t="shared" si="6"/>
        <v>N</v>
      </c>
      <c r="X57" s="194">
        <f t="shared" si="7"/>
        <v>1</v>
      </c>
      <c r="Y57" s="62">
        <f t="shared" si="8"/>
        <v>4.4900000000000002E-2</v>
      </c>
      <c r="Z57" s="62">
        <f t="shared" si="9"/>
        <v>23.327000000000002</v>
      </c>
      <c r="AA57" s="62">
        <f t="shared" si="10"/>
        <v>23.282100000000003</v>
      </c>
      <c r="AB57" s="59" t="e">
        <f>VLOOKUP(A57,Enforcements!$C$7:$K$16,8,0)</f>
        <v>#N/A</v>
      </c>
      <c r="AC57" s="55" t="e">
        <f>VLOOKUP(A57,Enforcements!$C$7:$E$16,3,0)</f>
        <v>#N/A</v>
      </c>
      <c r="AD57" s="56" t="str">
        <f t="shared" si="11"/>
        <v>0145-02</v>
      </c>
      <c r="AE57" s="85" t="str">
        <f t="shared" si="12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57" s="82" t="str">
        <f t="shared" si="13"/>
        <v>"C:\Program Files (x86)\AstroGrep\AstroGrep.exe" /spath="%USERPROFILE%\AppData\Local\Temp\OnboardLogs" /stypes="app*4009*20170202*"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145-02 --locoid 4009 --swversion DE.1.0.8.0 --startMP 204:449 --initTime 2017-02-02T09:08:52 --startdatetime 2017-02-02T09:15:16 --delay 1 --endMP 204:233270 --enddatetime 2017-02-02T09:51:37 --enforcementcount 0 &gt;&gt;C:\Users\stu\Documents\GitHub\eaglep3-reporting\EC\2017-02-02-refined-times.txt</v>
      </c>
      <c r="AI5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{"issue":{"subject":"","project_id":79,"tracker_id":40,"status_id":1,"priority_id":2,"assigned_to_id":23,"start_date":"2017-02-02","description":"","custom_fields":[{"id":1,"name":"Subdivision","value":"EC"},{"id":4,"name":"Milepost","value":"23.327"},{"id":17,"name":"Train ID","value":"145-02"},{"id":16,"name":"Locomotive ID","value":"4009"},{"id":130,"name":"Impact","value":""},{"id":150,"name":"Time of Event (Mountain Time)","value":"09:51:37"},{"id":151,"name":"Denver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60" t="str">
        <f t="shared" si="20"/>
        <v>start /low /b %USERPROFILE%\Documents\GitHub\eaglep3\Utilities\DownloadLogsFromS3.py --loco 4009 --day 2017-02-02</v>
      </c>
      <c r="AN57" s="169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543</v>
      </c>
      <c r="B58" s="7">
        <v>4010</v>
      </c>
      <c r="C58" s="21" t="s">
        <v>193</v>
      </c>
      <c r="D58" s="21" t="s">
        <v>394</v>
      </c>
      <c r="E58" s="13">
        <v>42768.420960648145</v>
      </c>
      <c r="F58" s="13">
        <v>42768.424537037034</v>
      </c>
      <c r="G58" s="7">
        <v>1</v>
      </c>
      <c r="H58" s="21" t="s">
        <v>212</v>
      </c>
      <c r="I58" s="13">
        <v>42768.452060185184</v>
      </c>
      <c r="J58" s="7">
        <v>0</v>
      </c>
      <c r="K58" s="98" t="str">
        <f t="shared" si="0"/>
        <v>4009/4010</v>
      </c>
      <c r="L58" s="21" t="str">
        <f>VLOOKUP(A58,'Trips&amp;Operators'!$C$1:$G$99999,5,FALSE)</f>
        <v>BONDS REYNALDO</v>
      </c>
      <c r="M58" s="6">
        <f t="shared" si="1"/>
        <v>2.7523148150066845E-2</v>
      </c>
      <c r="N58" s="7">
        <f t="shared" si="2"/>
        <v>39.633333336096257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 t="shared" si="5"/>
        <v>https://d0f6bd738d7f1b3e5a7ca70fe4ff75f0.us-east-1.aws.found.io/app/kibana#/discover/Steve-Slow-Train-Analysis-(2080s-and-2083s)?_g=(refreshInterval:(display:Off,pause:!f,section:0,value:0),time:(from:'2017-02-02T09:06:11-0700',mode:absolute,to:'2017-02-02T11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8" s="194" t="str">
        <f t="shared" si="6"/>
        <v>N</v>
      </c>
      <c r="X58" s="194">
        <f t="shared" si="7"/>
        <v>1</v>
      </c>
      <c r="Y58" s="62">
        <f t="shared" si="8"/>
        <v>23.297799999999999</v>
      </c>
      <c r="Z58" s="62">
        <f t="shared" si="9"/>
        <v>1.52E-2</v>
      </c>
      <c r="AA58" s="62">
        <f t="shared" si="10"/>
        <v>23.282599999999999</v>
      </c>
      <c r="AB58" s="59" t="e">
        <f>VLOOKUP(A58,Enforcements!$C$7:$K$16,8,0)</f>
        <v>#N/A</v>
      </c>
      <c r="AC58" s="55" t="e">
        <f>VLOOKUP(A58,Enforcements!$C$7:$E$16,3,0)</f>
        <v>#N/A</v>
      </c>
      <c r="AD58" s="56" t="str">
        <f t="shared" si="11"/>
        <v>0146-02</v>
      </c>
      <c r="AE58" s="85" t="str">
        <f t="shared" si="12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58" s="82" t="str">
        <f t="shared" si="13"/>
        <v>"C:\Program Files (x86)\AstroGrep\AstroGrep.exe" /spath="%USERPROFILE%\AppData\Local\Temp\OnboardLogs" /stypes="app*4010*20170202*"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146-02 --locoid 4010 --swversion DE.1.0.8.0 --startMP 204:232978 --initTime 2017-02-02T10:06:11 --startdatetime 2017-02-02T10:11:20 --delay 1 --endMP 204:152 --enddatetime 2017-02-02T10:50:58 --enforcementcount 0 &gt;&gt;C:\Users\stu\Documents\GitHub\eaglep3-reporting\EC\2017-02-02-refined-times.txt</v>
      </c>
      <c r="AI5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{"issue":{"subject":"","project_id":79,"tracker_id":40,"status_id":1,"priority_id":2,"assigned_to_id":23,"start_date":"2017-02-02","description":"","custom_fields":[{"id":1,"name":"Subdivision","value":"EC"},{"id":4,"name":"Milepost","value":"0.0152"},{"id":17,"name":"Train ID","value":"146-02"},{"id":16,"name":"Locomotive ID","value":"4010"},{"id":130,"name":"Impact","value":""},{"id":150,"name":"Time of Event (Mountain Time)","value":"10:50:58"},{"id":151,"name":"Denver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60" t="str">
        <f t="shared" si="20"/>
        <v>start /low /b %USERPROFILE%\Documents\GitHub\eaglep3\Utilities\DownloadLogsFromS3.py --loco 4010 --day 2017-02-02</v>
      </c>
      <c r="AN58" s="169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537</v>
      </c>
      <c r="B59" s="7">
        <v>4011</v>
      </c>
      <c r="C59" s="21" t="s">
        <v>193</v>
      </c>
      <c r="D59" s="21" t="s">
        <v>276</v>
      </c>
      <c r="E59" s="13">
        <v>42768.390497685185</v>
      </c>
      <c r="F59" s="13">
        <v>42768.396006944444</v>
      </c>
      <c r="G59" s="7">
        <v>1</v>
      </c>
      <c r="H59" s="21" t="s">
        <v>396</v>
      </c>
      <c r="I59" s="13">
        <v>42768.421006944445</v>
      </c>
      <c r="J59" s="7">
        <v>0</v>
      </c>
      <c r="K59" s="98" t="str">
        <f t="shared" si="0"/>
        <v>4011/4012</v>
      </c>
      <c r="L59" s="21" t="str">
        <f>VLOOKUP(A59,'Trips&amp;Operators'!$C$1:$G$99999,5,FALSE)</f>
        <v>ROBINSON KADDIBA</v>
      </c>
      <c r="M59" s="6">
        <f t="shared" si="1"/>
        <v>2.5000000001455192E-2</v>
      </c>
      <c r="N59" s="7">
        <f t="shared" si="2"/>
        <v>36.000000002095476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 t="shared" si="5"/>
        <v>https://d0f6bd738d7f1b3e5a7ca70fe4ff75f0.us-east-1.aws.found.io/app/kibana#/discover/Steve-Slow-Train-Analysis-(2080s-and-2083s)?_g=(refreshInterval:(display:Off,pause:!f,section:0,value:0),time:(from:'2017-02-02T08:22:19-0700',mode:absolute,to:'2017-02-02T11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9" s="194" t="str">
        <f t="shared" si="6"/>
        <v>N</v>
      </c>
      <c r="X59" s="194">
        <f t="shared" si="7"/>
        <v>1</v>
      </c>
      <c r="Y59" s="62">
        <f t="shared" si="8"/>
        <v>4.53E-2</v>
      </c>
      <c r="Z59" s="62">
        <f t="shared" si="9"/>
        <v>23.330200000000001</v>
      </c>
      <c r="AA59" s="62">
        <f t="shared" si="10"/>
        <v>23.2849</v>
      </c>
      <c r="AB59" s="59" t="e">
        <f>VLOOKUP(A59,Enforcements!$C$7:$K$16,8,0)</f>
        <v>#N/A</v>
      </c>
      <c r="AC59" s="55" t="e">
        <f>VLOOKUP(A59,Enforcements!$C$7:$E$16,3,0)</f>
        <v>#N/A</v>
      </c>
      <c r="AD59" s="56" t="str">
        <f t="shared" si="11"/>
        <v>0147-02</v>
      </c>
      <c r="AE59" s="85" t="str">
        <f t="shared" si="12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59" s="82" t="str">
        <f t="shared" si="13"/>
        <v>"C:\Program Files (x86)\AstroGrep\AstroGrep.exe" /spath="%USERPROFILE%\AppData\Local\Temp\OnboardLogs" /stypes="app*4011*20170202*"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147-02 --locoid 4011 --swversion DE.1.0.8.0 --startMP 204:453 --initTime 2017-02-02T09:22:19 --startdatetime 2017-02-02T09:30:15 --delay 1 --endMP 204:233302 --enddatetime 2017-02-02T10:06:15 --enforcementcount 0 &gt;&gt;C:\Users\stu\Documents\GitHub\eaglep3-reporting\EC\2017-02-02-refined-times.txt</v>
      </c>
      <c r="AI5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{"issue":{"subject":"","project_id":79,"tracker_id":40,"status_id":1,"priority_id":2,"assigned_to_id":23,"start_date":"2017-02-02","description":"","custom_fields":[{"id":1,"name":"Subdivision","value":"EC"},{"id":4,"name":"Milepost","value":"23.3302"},{"id":17,"name":"Train ID","value":"147-02"},{"id":16,"name":"Locomotive ID","value":"4011"},{"id":130,"name":"Impact","value":""},{"id":150,"name":"Time of Event (Mountain Time)","value":"10:06:15"},{"id":151,"name":"Denver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60" t="str">
        <f t="shared" si="20"/>
        <v>start /low /b %USERPROFILE%\Documents\GitHub\eaglep3\Utilities\DownloadLogsFromS3.py --loco 4011 --day 2017-02-02</v>
      </c>
      <c r="AN59" s="169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546</v>
      </c>
      <c r="B60" s="7">
        <v>4012</v>
      </c>
      <c r="C60" s="21" t="s">
        <v>193</v>
      </c>
      <c r="D60" s="21" t="s">
        <v>311</v>
      </c>
      <c r="E60" s="13">
        <v>42768.428518518522</v>
      </c>
      <c r="F60" s="13">
        <v>42768.435069444444</v>
      </c>
      <c r="G60" s="7">
        <v>1</v>
      </c>
      <c r="H60" s="21" t="s">
        <v>184</v>
      </c>
      <c r="I60" s="13">
        <v>42768.462152777778</v>
      </c>
      <c r="J60" s="7">
        <v>0</v>
      </c>
      <c r="K60" s="98" t="str">
        <f t="shared" si="0"/>
        <v>4011/4012</v>
      </c>
      <c r="L60" s="21" t="str">
        <f>VLOOKUP(A60,'Trips&amp;Operators'!$C$1:$G$99999,5,FALSE)</f>
        <v>ROBINSON KADDIBA</v>
      </c>
      <c r="M60" s="6">
        <f t="shared" si="1"/>
        <v>2.7083333334303461E-2</v>
      </c>
      <c r="N60" s="7">
        <f t="shared" si="2"/>
        <v>39.000000001396984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 t="shared" si="5"/>
        <v>https://d0f6bd738d7f1b3e5a7ca70fe4ff75f0.us-east-1.aws.found.io/app/kibana#/discover/Steve-Slow-Train-Analysis-(2080s-and-2083s)?_g=(refreshInterval:(display:Off,pause:!f,section:0,value:0),time:(from:'2017-02-02T09:17:04-0700',mode:absolute,to:'2017-02-02T12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0" s="194" t="str">
        <f t="shared" si="6"/>
        <v>N</v>
      </c>
      <c r="X60" s="194">
        <f t="shared" si="7"/>
        <v>1</v>
      </c>
      <c r="Y60" s="62">
        <f t="shared" si="8"/>
        <v>23.297899999999998</v>
      </c>
      <c r="Z60" s="62">
        <f t="shared" si="9"/>
        <v>1.49E-2</v>
      </c>
      <c r="AA60" s="62">
        <f t="shared" si="10"/>
        <v>23.282999999999998</v>
      </c>
      <c r="AB60" s="59" t="e">
        <f>VLOOKUP(A60,Enforcements!$C$7:$K$16,8,0)</f>
        <v>#N/A</v>
      </c>
      <c r="AC60" s="55" t="e">
        <f>VLOOKUP(A60,Enforcements!$C$7:$E$16,3,0)</f>
        <v>#N/A</v>
      </c>
      <c r="AD60" s="56" t="str">
        <f t="shared" si="11"/>
        <v>0148-02</v>
      </c>
      <c r="AE60" s="85" t="str">
        <f t="shared" si="12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60" s="82" t="str">
        <f t="shared" si="13"/>
        <v>"C:\Program Files (x86)\AstroGrep\AstroGrep.exe" /spath="%USERPROFILE%\AppData\Local\Temp\OnboardLogs" /stypes="app*4012*20170202*"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148-02 --locoid 4012 --swversion DE.1.0.8.0 --startMP 204:232979 --initTime 2017-02-02T10:17:04 --startdatetime 2017-02-02T10:26:30 --delay 1 --endMP 204:149 --enddatetime 2017-02-02T11:05:30 --enforcementcount 0 &gt;&gt;C:\Users\stu\Documents\GitHub\eaglep3-reporting\EC\2017-02-02-refined-times.txt</v>
      </c>
      <c r="AI6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ID","value":"148-02"},{"id":16,"name":"Locomotive ID","value":"4012"},{"id":130,"name":"Impact","value":""},{"id":150,"name":"Time of Event (Mountain Time)","value":"11:05:30"},{"id":151,"name":"Denver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60" t="str">
        <f t="shared" si="20"/>
        <v>start /low /b %USERPROFILE%\Documents\GitHub\eaglep3\Utilities\DownloadLogsFromS3.py --loco 4012 --day 2017-02-02</v>
      </c>
      <c r="AN60" s="169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540</v>
      </c>
      <c r="B61" s="7">
        <v>4051</v>
      </c>
      <c r="C61" s="21" t="s">
        <v>193</v>
      </c>
      <c r="D61" s="21" t="s">
        <v>315</v>
      </c>
      <c r="E61" s="13">
        <v>42768.401423611111</v>
      </c>
      <c r="F61" s="13">
        <v>42768.406435185185</v>
      </c>
      <c r="G61" s="7">
        <v>1</v>
      </c>
      <c r="H61" s="21" t="s">
        <v>345</v>
      </c>
      <c r="I61" s="13">
        <v>42768.430833333332</v>
      </c>
      <c r="J61" s="7">
        <v>0</v>
      </c>
      <c r="K61" s="98" t="str">
        <f t="shared" si="0"/>
        <v>4051/4052</v>
      </c>
      <c r="L61" s="21" t="str">
        <f>VLOOKUP(A61,'Trips&amp;Operators'!$C$1:$G$99999,5,FALSE)</f>
        <v>GEBRETEKLE DAGNEW</v>
      </c>
      <c r="M61" s="6">
        <f t="shared" si="1"/>
        <v>2.4398148147156462E-2</v>
      </c>
      <c r="N61" s="7">
        <f t="shared" si="2"/>
        <v>35.133333331905305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 t="shared" si="5"/>
        <v>https://d0f6bd738d7f1b3e5a7ca70fe4ff75f0.us-east-1.aws.found.io/app/kibana#/discover/Steve-Slow-Train-Analysis-(2080s-and-2083s)?_g=(refreshInterval:(display:Off,pause:!f,section:0,value:0),time:(from:'2017-02-02T08:38:03-0700',mode:absolute,to:'2017-02-02T11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1" s="194" t="str">
        <f t="shared" si="6"/>
        <v>N</v>
      </c>
      <c r="X61" s="194">
        <f t="shared" si="7"/>
        <v>1</v>
      </c>
      <c r="Y61" s="62">
        <f t="shared" si="8"/>
        <v>4.3700000000000003E-2</v>
      </c>
      <c r="Z61" s="62">
        <f t="shared" si="9"/>
        <v>23.3309</v>
      </c>
      <c r="AA61" s="62">
        <f t="shared" si="10"/>
        <v>23.287199999999999</v>
      </c>
      <c r="AB61" s="59" t="e">
        <f>VLOOKUP(A61,Enforcements!$C$7:$K$16,8,0)</f>
        <v>#N/A</v>
      </c>
      <c r="AC61" s="55" t="e">
        <f>VLOOKUP(A61,Enforcements!$C$7:$E$16,3,0)</f>
        <v>#N/A</v>
      </c>
      <c r="AD61" s="56" t="str">
        <f t="shared" si="11"/>
        <v>0149-02</v>
      </c>
      <c r="AE61" s="85" t="str">
        <f t="shared" si="12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61" s="82" t="str">
        <f t="shared" si="13"/>
        <v>"C:\Program Files (x86)\AstroGrep\AstroGrep.exe" /spath="%USERPROFILE%\AppData\Local\Temp\OnboardLogs" /stypes="app*4051*20170202*"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149-02 --locoid 4051 --swversion DE.1.0.8.0 --startMP 204:437 --initTime 2017-02-02T09:38:03 --startdatetime 2017-02-02T09:45:16 --delay 1 --endMP 204:233309 --enddatetime 2017-02-02T10:20:24 --enforcementcount 0 &gt;&gt;C:\Users\stu\Documents\GitHub\eaglep3-reporting\EC\2017-02-02-refined-times.txt</v>
      </c>
      <c r="AI6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{"issue":{"subject":"","project_id":79,"tracker_id":40,"status_id":1,"priority_id":2,"assigned_to_id":23,"start_date":"2017-02-02","description":"","custom_fields":[{"id":1,"name":"Subdivision","value":"EC"},{"id":4,"name":"Milepost","value":"23.3309"},{"id":17,"name":"Train ID","value":"149-02"},{"id":16,"name":"Locomotive ID","value":"4051"},{"id":130,"name":"Impact","value":""},{"id":150,"name":"Time of Event (Mountain Time)","value":"10:20:24"},{"id":151,"name":"Denver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60" t="str">
        <f t="shared" si="20"/>
        <v>start /low /b %USERPROFILE%\Documents\GitHub\eaglep3\Utilities\DownloadLogsFromS3.py --loco 4051 --day 2017-02-02</v>
      </c>
      <c r="AN61" s="169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548</v>
      </c>
      <c r="B62" s="7">
        <v>4052</v>
      </c>
      <c r="C62" s="21" t="s">
        <v>193</v>
      </c>
      <c r="D62" s="21" t="s">
        <v>710</v>
      </c>
      <c r="E62" s="13">
        <v>42768.441863425927</v>
      </c>
      <c r="F62" s="13">
        <v>42768.4453587963</v>
      </c>
      <c r="G62" s="7">
        <v>1</v>
      </c>
      <c r="H62" s="21" t="s">
        <v>208</v>
      </c>
      <c r="I62" s="13">
        <v>42768.472083333334</v>
      </c>
      <c r="J62" s="7">
        <v>0</v>
      </c>
      <c r="K62" s="98" t="str">
        <f t="shared" si="0"/>
        <v>4051/4052</v>
      </c>
      <c r="L62" s="21" t="str">
        <f>VLOOKUP(A62,'Trips&amp;Operators'!$C$1:$G$99999,5,FALSE)</f>
        <v>GEBRETEKLE DAGNEW</v>
      </c>
      <c r="M62" s="6">
        <f t="shared" si="1"/>
        <v>2.6724537034169771E-2</v>
      </c>
      <c r="N62" s="7">
        <f t="shared" si="2"/>
        <v>38.48333332920447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 t="shared" si="5"/>
        <v>https://d0f6bd738d7f1b3e5a7ca70fe4ff75f0.us-east-1.aws.found.io/app/kibana#/discover/Steve-Slow-Train-Analysis-(2080s-and-2083s)?_g=(refreshInterval:(display:Off,pause:!f,section:0,value:0),time:(from:'2017-02-02T09:36:17-0700',mode:absolute,to:'2017-02-02T12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2" s="194" t="str">
        <f t="shared" si="6"/>
        <v>N</v>
      </c>
      <c r="X62" s="194">
        <f t="shared" si="7"/>
        <v>1</v>
      </c>
      <c r="Y62" s="62">
        <f t="shared" si="8"/>
        <v>23.298999999999999</v>
      </c>
      <c r="Z62" s="62">
        <f t="shared" si="9"/>
        <v>1.6E-2</v>
      </c>
      <c r="AA62" s="62">
        <f t="shared" si="10"/>
        <v>23.283000000000001</v>
      </c>
      <c r="AB62" s="59" t="e">
        <f>VLOOKUP(A62,Enforcements!$C$7:$K$16,8,0)</f>
        <v>#N/A</v>
      </c>
      <c r="AC62" s="55" t="e">
        <f>VLOOKUP(A62,Enforcements!$C$7:$E$16,3,0)</f>
        <v>#N/A</v>
      </c>
      <c r="AD62" s="56" t="str">
        <f t="shared" si="11"/>
        <v>0150-02</v>
      </c>
      <c r="AE62" s="85" t="str">
        <f t="shared" si="12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62" s="82" t="str">
        <f t="shared" si="13"/>
        <v>"C:\Program Files (x86)\AstroGrep\AstroGrep.exe" /spath="%USERPROFILE%\AppData\Local\Temp\OnboardLogs" /stypes="app*4052*20170202*"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150-02 --locoid 4052 --swversion DE.1.0.8.0 --startMP 204:232990 --initTime 2017-02-02T10:36:17 --startdatetime 2017-02-02T10:41:19 --delay 1 --endMP 204:160 --enddatetime 2017-02-02T11:19:48 --enforcementcount 0 &gt;&gt;C:\Users\stu\Documents\GitHub\eaglep3-reporting\EC\2017-02-02-refined-times.txt</v>
      </c>
      <c r="AI6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{"issue":{"subject":"","project_id":79,"tracker_id":40,"status_id":1,"priority_id":2,"assigned_to_id":23,"start_date":"2017-02-02","description":"","custom_fields":[{"id":1,"name":"Subdivision","value":"EC"},{"id":4,"name":"Milepost","value":"0.016"},{"id":17,"name":"Train ID","value":"150-02"},{"id":16,"name":"Locomotive ID","value":"4052"},{"id":130,"name":"Impact","value":""},{"id":150,"name":"Time of Event (Mountain Time)","value":"11:19:48"},{"id":151,"name":"Denver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60" t="str">
        <f t="shared" si="20"/>
        <v>start /low /b %USERPROFILE%\Documents\GitHub\eaglep3\Utilities\DownloadLogsFromS3.py --loco 4052 --day 2017-02-02</v>
      </c>
      <c r="AN62" s="169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542</v>
      </c>
      <c r="B63" s="7">
        <v>4025</v>
      </c>
      <c r="C63" s="21" t="s">
        <v>193</v>
      </c>
      <c r="D63" s="21" t="s">
        <v>711</v>
      </c>
      <c r="E63" s="13">
        <v>42768.411886574075</v>
      </c>
      <c r="F63" s="13">
        <v>42768.418240740742</v>
      </c>
      <c r="G63" s="7">
        <v>1</v>
      </c>
      <c r="H63" s="21" t="s">
        <v>712</v>
      </c>
      <c r="I63" s="13">
        <v>42768.442743055559</v>
      </c>
      <c r="J63" s="7">
        <v>0</v>
      </c>
      <c r="K63" s="98" t="str">
        <f t="shared" si="0"/>
        <v>4025/4026</v>
      </c>
      <c r="L63" s="21" t="str">
        <f>VLOOKUP(A63,'Trips&amp;Operators'!$C$1:$G$99999,5,FALSE)</f>
        <v>ACKERMAN JARED</v>
      </c>
      <c r="M63" s="6">
        <f t="shared" si="1"/>
        <v>2.4502314816345461E-2</v>
      </c>
      <c r="N63" s="7">
        <f t="shared" si="2"/>
        <v>35.283333335537463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 t="shared" si="5"/>
        <v>https://d0f6bd738d7f1b3e5a7ca70fe4ff75f0.us-east-1.aws.found.io/app/kibana#/discover/Steve-Slow-Train-Analysis-(2080s-and-2083s)?_g=(refreshInterval:(display:Off,pause:!f,section:0,value:0),time:(from:'2017-02-02T08:53:07-0700',mode:absolute,to:'2017-02-02T11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3" s="194" t="str">
        <f t="shared" si="6"/>
        <v>N</v>
      </c>
      <c r="X63" s="194">
        <f t="shared" si="7"/>
        <v>1</v>
      </c>
      <c r="Y63" s="62">
        <f t="shared" si="8"/>
        <v>4.6600000000000003E-2</v>
      </c>
      <c r="Z63" s="62">
        <f t="shared" si="9"/>
        <v>23.336600000000001</v>
      </c>
      <c r="AA63" s="62">
        <f t="shared" si="10"/>
        <v>23.29</v>
      </c>
      <c r="AB63" s="59" t="e">
        <f>VLOOKUP(A63,Enforcements!$C$7:$K$16,8,0)</f>
        <v>#N/A</v>
      </c>
      <c r="AC63" s="55" t="e">
        <f>VLOOKUP(A63,Enforcements!$C$7:$E$16,3,0)</f>
        <v>#N/A</v>
      </c>
      <c r="AD63" s="56" t="str">
        <f t="shared" si="11"/>
        <v>0151-02</v>
      </c>
      <c r="AE63" s="85" t="str">
        <f t="shared" si="12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63" s="82" t="str">
        <f t="shared" si="13"/>
        <v>"C:\Program Files (x86)\AstroGrep\AstroGrep.exe" /spath="%USERPROFILE%\AppData\Local\Temp\OnboardLogs" /stypes="app*4025*20170202*"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151-02 --locoid 4025 --swversion DE.1.0.8.0 --startMP 204:466 --initTime 2017-02-02T09:53:07 --startdatetime 2017-02-02T10:02:16 --delay 1 --endMP 204:233366 --enddatetime 2017-02-02T10:37:33 --enforcementcount 0 &gt;&gt;C:\Users\stu\Documents\GitHub\eaglep3-reporting\EC\2017-02-02-refined-times.txt</v>
      </c>
      <c r="AI6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{"issue":{"subject":"","project_id":79,"tracker_id":40,"status_id":1,"priority_id":2,"assigned_to_id":23,"start_date":"2017-02-02","description":"","custom_fields":[{"id":1,"name":"Subdivision","value":"EC"},{"id":4,"name":"Milepost","value":"23.3366"},{"id":17,"name":"Train ID","value":"151-02"},{"id":16,"name":"Locomotive ID","value":"4025"},{"id":130,"name":"Impact","value":""},{"id":150,"name":"Time of Event (Mountain Time)","value":"10:37:33"},{"id":151,"name":"Denver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60" t="str">
        <f t="shared" si="20"/>
        <v>start /low /b %USERPROFILE%\Documents\GitHub\eaglep3\Utilities\DownloadLogsFromS3.py --loco 4025 --day 2017-02-02</v>
      </c>
      <c r="AN63" s="169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451</v>
      </c>
      <c r="B64" s="7">
        <v>4026</v>
      </c>
      <c r="C64" s="21" t="s">
        <v>193</v>
      </c>
      <c r="D64" s="21" t="s">
        <v>420</v>
      </c>
      <c r="E64" s="13">
        <v>42768.448877314811</v>
      </c>
      <c r="F64" s="13">
        <v>42768.455821759257</v>
      </c>
      <c r="G64" s="7">
        <v>1</v>
      </c>
      <c r="H64" s="21" t="s">
        <v>713</v>
      </c>
      <c r="I64" s="13">
        <v>42768.48364583333</v>
      </c>
      <c r="J64" s="7">
        <v>0</v>
      </c>
      <c r="K64" s="98" t="str">
        <f t="shared" si="0"/>
        <v>4025/4026</v>
      </c>
      <c r="L64" s="21" t="str">
        <f>VLOOKUP(A64,'Trips&amp;Operators'!$C$1:$G$99999,5,FALSE)</f>
        <v>ACKERMAN JARED</v>
      </c>
      <c r="M64" s="6">
        <f t="shared" si="1"/>
        <v>2.7824074073578231E-2</v>
      </c>
      <c r="N64" s="7">
        <f t="shared" si="2"/>
        <v>40.066666665952653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 t="shared" si="5"/>
        <v>https://d0f6bd738d7f1b3e5a7ca70fe4ff75f0.us-east-1.aws.found.io/app/kibana#/discover/Steve-Slow-Train-Analysis-(2080s-and-2083s)?_g=(refreshInterval:(display:Off,pause:!f,section:0,value:0),time:(from:'2017-02-02T09:46:23-0700',mode:absolute,to:'2017-02-02T12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4" s="194" t="str">
        <f t="shared" si="6"/>
        <v>N</v>
      </c>
      <c r="X64" s="194">
        <f t="shared" si="7"/>
        <v>1</v>
      </c>
      <c r="Y64" s="62">
        <f t="shared" si="8"/>
        <v>23.302700000000002</v>
      </c>
      <c r="Z64" s="62">
        <f t="shared" si="9"/>
        <v>1.2999999999999999E-2</v>
      </c>
      <c r="AA64" s="62">
        <f t="shared" si="10"/>
        <v>23.2897</v>
      </c>
      <c r="AB64" s="59" t="e">
        <f>VLOOKUP(A64,Enforcements!$C$7:$K$16,8,0)</f>
        <v>#N/A</v>
      </c>
      <c r="AC64" s="55" t="e">
        <f>VLOOKUP(A64,Enforcements!$C$7:$E$16,3,0)</f>
        <v>#N/A</v>
      </c>
      <c r="AD64" s="56" t="str">
        <f t="shared" si="11"/>
        <v>0152-02</v>
      </c>
      <c r="AE64" s="85" t="str">
        <f t="shared" si="12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64" s="82" t="str">
        <f t="shared" si="13"/>
        <v>"C:\Program Files (x86)\AstroGrep\AstroGrep.exe" /spath="%USERPROFILE%\AppData\Local\Temp\OnboardLogs" /stypes="app*4026*20170202*"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152-02 --locoid 4026 --swversion DE.1.0.8.0 --startMP 204:233027 --initTime 2017-02-02T10:46:23 --startdatetime 2017-02-02T10:56:23 --delay 1 --endMP 204:130 --enddatetime 2017-02-02T11:36:27 --enforcementcount 0 &gt;&gt;C:\Users\stu\Documents\GitHub\eaglep3-reporting\EC\2017-02-02-refined-times.txt</v>
      </c>
      <c r="AI6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{"issue":{"subject":"","project_id":79,"tracker_id":40,"status_id":1,"priority_id":2,"assigned_to_id":23,"start_date":"2017-02-02","description":"","custom_fields":[{"id":1,"name":"Subdivision","value":"EC"},{"id":4,"name":"Milepost","value":"0.013"},{"id":17,"name":"Train ID","value":"152-02"},{"id":16,"name":"Locomotive ID","value":"4026"},{"id":130,"name":"Impact","value":""},{"id":150,"name":"Time of Event (Mountain Time)","value":"11:36:27"},{"id":151,"name":"Denver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60" t="str">
        <f t="shared" si="20"/>
        <v>start /low /b %USERPROFILE%\Documents\GitHub\eaglep3\Utilities\DownloadLogsFromS3.py --loco 4026 --day 2017-02-02</v>
      </c>
      <c r="AN64" s="169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544</v>
      </c>
      <c r="B65" s="7">
        <v>4027</v>
      </c>
      <c r="C65" s="21" t="s">
        <v>193</v>
      </c>
      <c r="D65" s="21" t="s">
        <v>703</v>
      </c>
      <c r="E65" s="13">
        <v>42768.421296296299</v>
      </c>
      <c r="F65" s="13">
        <v>42768.427847222221</v>
      </c>
      <c r="G65" s="7">
        <v>1</v>
      </c>
      <c r="H65" s="21" t="s">
        <v>411</v>
      </c>
      <c r="I65" s="13">
        <v>42768.451435185183</v>
      </c>
      <c r="J65" s="7">
        <v>0</v>
      </c>
      <c r="K65" s="98" t="str">
        <f t="shared" si="0"/>
        <v>4027/4028</v>
      </c>
      <c r="L65" s="21" t="str">
        <f>VLOOKUP(A65,'Trips&amp;Operators'!$C$1:$G$99999,5,FALSE)</f>
        <v>YORK EDGAR</v>
      </c>
      <c r="M65" s="6">
        <f t="shared" si="1"/>
        <v>2.3587962961755693E-2</v>
      </c>
      <c r="N65" s="7">
        <f t="shared" si="2"/>
        <v>33.966666664928198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 t="shared" si="5"/>
        <v>https://d0f6bd738d7f1b3e5a7ca70fe4ff75f0.us-east-1.aws.found.io/app/kibana#/discover/Steve-Slow-Train-Analysis-(2080s-and-2083s)?_g=(refreshInterval:(display:Off,pause:!f,section:0,value:0),time:(from:'2017-02-02T09:06:40-0700',mode:absolute,to:'2017-02-02T11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5" s="194" t="str">
        <f t="shared" si="6"/>
        <v>N</v>
      </c>
      <c r="X65" s="194">
        <f t="shared" si="7"/>
        <v>1</v>
      </c>
      <c r="Y65" s="62">
        <f t="shared" si="8"/>
        <v>4.6399999999999997E-2</v>
      </c>
      <c r="Z65" s="62">
        <f t="shared" si="9"/>
        <v>23.327000000000002</v>
      </c>
      <c r="AA65" s="62">
        <f t="shared" si="10"/>
        <v>23.280600000000003</v>
      </c>
      <c r="AB65" s="59" t="e">
        <f>VLOOKUP(A65,Enforcements!$C$7:$K$16,8,0)</f>
        <v>#N/A</v>
      </c>
      <c r="AC65" s="55" t="e">
        <f>VLOOKUP(A65,Enforcements!$C$7:$E$16,3,0)</f>
        <v>#N/A</v>
      </c>
      <c r="AD65" s="56" t="str">
        <f t="shared" si="11"/>
        <v>0153-02</v>
      </c>
      <c r="AE65" s="85" t="str">
        <f t="shared" si="12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65" s="82" t="str">
        <f t="shared" si="13"/>
        <v>"C:\Program Files (x86)\AstroGrep\AstroGrep.exe" /spath="%USERPROFILE%\AppData\Local\Temp\OnboardLogs" /stypes="app*4027*20170202*"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153-02 --locoid 4027 --swversion DE.1.0.8.0 --startMP 204:464 --initTime 2017-02-02T10:06:40 --startdatetime 2017-02-02T10:16:06 --delay 1 --endMP 204:233270 --enddatetime 2017-02-02T10:50:04 --enforcementcount 0 &gt;&gt;C:\Users\stu\Documents\GitHub\eaglep3-reporting\EC\2017-02-02-refined-times.txt</v>
      </c>
      <c r="AI6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{"issue":{"subject":"","project_id":79,"tracker_id":40,"status_id":1,"priority_id":2,"assigned_to_id":23,"start_date":"2017-02-02","description":"","custom_fields":[{"id":1,"name":"Subdivision","value":"EC"},{"id":4,"name":"Milepost","value":"23.327"},{"id":17,"name":"Train ID","value":"153-02"},{"id":16,"name":"Locomotive ID","value":"4027"},{"id":130,"name":"Impact","value":""},{"id":150,"name":"Time of Event (Mountain Time)","value":"10:50:04"},{"id":151,"name":"Denver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60" t="str">
        <f t="shared" si="20"/>
        <v>start /low /b %USERPROFILE%\Documents\GitHub\eaglep3\Utilities\DownloadLogsFromS3.py --loco 4027 --day 2017-02-02</v>
      </c>
      <c r="AN65" s="169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550</v>
      </c>
      <c r="B66" s="7">
        <v>4028</v>
      </c>
      <c r="C66" s="21" t="s">
        <v>193</v>
      </c>
      <c r="D66" s="21" t="s">
        <v>410</v>
      </c>
      <c r="E66" s="13">
        <v>42768.452268518522</v>
      </c>
      <c r="F66" s="13">
        <v>42768.466377314813</v>
      </c>
      <c r="G66" s="7">
        <v>0</v>
      </c>
      <c r="H66" s="21" t="s">
        <v>213</v>
      </c>
      <c r="I66" s="13">
        <v>42768.493541666663</v>
      </c>
      <c r="J66" s="7">
        <v>0</v>
      </c>
      <c r="K66" s="98" t="str">
        <f t="shared" si="0"/>
        <v>4027/4028</v>
      </c>
      <c r="L66" s="21" t="str">
        <f>VLOOKUP(A66,'Trips&amp;Operators'!$C$1:$G$99999,5,FALSE)</f>
        <v>YORK EDGAR</v>
      </c>
      <c r="M66" s="6">
        <f t="shared" si="1"/>
        <v>2.7164351849933155E-2</v>
      </c>
      <c r="N66" s="7">
        <f t="shared" si="2"/>
        <v>39.116666663903743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 t="shared" si="5"/>
        <v>https://d0f6bd738d7f1b3e5a7ca70fe4ff75f0.us-east-1.aws.found.io/app/kibana#/discover/Steve-Slow-Train-Analysis-(2080s-and-2083s)?_g=(refreshInterval:(display:Off,pause:!f,section:0,value:0),time:(from:'2017-02-02T09:51:16-0700',mode:absolute,to:'2017-02-02T12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194" t="str">
        <f t="shared" si="6"/>
        <v>N</v>
      </c>
      <c r="X66" s="194">
        <f t="shared" si="7"/>
        <v>1</v>
      </c>
      <c r="Y66" s="62">
        <f t="shared" si="8"/>
        <v>23.2959</v>
      </c>
      <c r="Z66" s="62">
        <f t="shared" si="9"/>
        <v>1.5800000000000002E-2</v>
      </c>
      <c r="AA66" s="62">
        <f t="shared" si="10"/>
        <v>23.280100000000001</v>
      </c>
      <c r="AB66" s="59" t="e">
        <f>VLOOKUP(A66,Enforcements!$C$7:$K$16,8,0)</f>
        <v>#N/A</v>
      </c>
      <c r="AC66" s="55" t="e">
        <f>VLOOKUP(A66,Enforcements!$C$7:$E$16,3,0)</f>
        <v>#N/A</v>
      </c>
      <c r="AD66" s="56" t="str">
        <f t="shared" si="11"/>
        <v>0154-02</v>
      </c>
      <c r="AE66" s="85" t="str">
        <f t="shared" si="12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66" s="82" t="str">
        <f t="shared" si="13"/>
        <v>"C:\Program Files (x86)\AstroGrep\AstroGrep.exe" /spath="%USERPROFILE%\AppData\Local\Temp\OnboardLogs" /stypes="app*4028*20170202*"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154-02 --locoid 4028 --swversion DE.1.0.8.0 --startMP 204:232959 --initTime 2017-02-02T10:51:16 --startdatetime 2017-02-02T11:11:35 --delay 0 --endMP 204:158 --enddatetime 2017-02-02T11:50:42 --enforcementcount 0 &gt;&gt;C:\Users\stu\Documents\GitHub\eaglep3-reporting\EC\2017-02-02-refined-times.txt</v>
      </c>
      <c r="AI6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{"issue":{"subject":"","project_id":79,"tracker_id":40,"status_id":1,"priority_id":2,"assigned_to_id":23,"start_date":"2017-02-02","description":"","custom_fields":[{"id":1,"name":"Subdivision","value":"EC"},{"id":4,"name":"Milepost","value":"0.0158"},{"id":17,"name":"Train ID","value":"154-02"},{"id":16,"name":"Locomotive ID","value":"4028"},{"id":130,"name":"Impact","value":""},{"id":150,"name":"Time of Event (Mountain Time)","value":"11:50:42"},{"id":151,"name":"Denver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60" t="str">
        <f t="shared" si="20"/>
        <v>start /low /b %USERPROFILE%\Documents\GitHub\eaglep3\Utilities\DownloadLogsFromS3.py --loco 4028 --day 2017-02-02</v>
      </c>
      <c r="AN66" s="169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547</v>
      </c>
      <c r="B67" s="7">
        <v>4022</v>
      </c>
      <c r="C67" s="21" t="s">
        <v>193</v>
      </c>
      <c r="D67" s="21" t="s">
        <v>277</v>
      </c>
      <c r="E67" s="13">
        <v>42768.437534722223</v>
      </c>
      <c r="F67" s="13">
        <v>42768.438888888886</v>
      </c>
      <c r="G67" s="7">
        <v>1</v>
      </c>
      <c r="H67" s="21" t="s">
        <v>714</v>
      </c>
      <c r="I67" s="13">
        <v>42768.46466435185</v>
      </c>
      <c r="J67" s="7">
        <v>0</v>
      </c>
      <c r="K67" s="98" t="str">
        <f t="shared" si="0"/>
        <v>4021/4022</v>
      </c>
      <c r="L67" s="21" t="str">
        <f>VLOOKUP(A67,'Trips&amp;Operators'!$C$1:$G$99999,5,FALSE)</f>
        <v>SHOOK JOHN</v>
      </c>
      <c r="M67" s="6">
        <f t="shared" si="1"/>
        <v>2.5775462963792961E-2</v>
      </c>
      <c r="N67" s="7">
        <f t="shared" si="2"/>
        <v>37.116666667861864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 t="shared" si="5"/>
        <v>https://d0f6bd738d7f1b3e5a7ca70fe4ff75f0.us-east-1.aws.found.io/app/kibana#/discover/Steve-Slow-Train-Analysis-(2080s-and-2083s)?_g=(refreshInterval:(display:Off,pause:!f,section:0,value:0),time:(from:'2017-02-02T09:30:03-0700',mode:absolute,to:'2017-02-02T12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194" t="str">
        <f t="shared" si="6"/>
        <v>N</v>
      </c>
      <c r="X67" s="194">
        <f t="shared" si="7"/>
        <v>1</v>
      </c>
      <c r="Y67" s="62">
        <f t="shared" si="8"/>
        <v>4.7100000000000003E-2</v>
      </c>
      <c r="Z67" s="62">
        <f t="shared" si="9"/>
        <v>23.328499999999998</v>
      </c>
      <c r="AA67" s="62">
        <f t="shared" si="10"/>
        <v>23.281399999999998</v>
      </c>
      <c r="AB67" s="59" t="e">
        <f>VLOOKUP(A67,Enforcements!$C$7:$K$16,8,0)</f>
        <v>#N/A</v>
      </c>
      <c r="AC67" s="55" t="e">
        <f>VLOOKUP(A67,Enforcements!$C$7:$E$16,3,0)</f>
        <v>#N/A</v>
      </c>
      <c r="AD67" s="56" t="str">
        <f t="shared" si="11"/>
        <v>0155-02</v>
      </c>
      <c r="AE67" s="85" t="str">
        <f t="shared" si="12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67" s="82" t="str">
        <f t="shared" si="13"/>
        <v>"C:\Program Files (x86)\AstroGrep\AstroGrep.exe" /spath="%USERPROFILE%\AppData\Local\Temp\OnboardLogs" /stypes="app*4022*20170202*"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155-02 --locoid 4022 --swversion DE.1.0.8.0 --startMP 204:471 --initTime 2017-02-02T10:30:03 --startdatetime 2017-02-02T10:32:00 --delay 1 --endMP 204:233285 --enddatetime 2017-02-02T11:09:07 --enforcementcount 0 &gt;&gt;C:\Users\stu\Documents\GitHub\eaglep3-reporting\EC\2017-02-02-refined-times.txt</v>
      </c>
      <c r="AI6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{"issue":{"subject":"","project_id":79,"tracker_id":40,"status_id":1,"priority_id":2,"assigned_to_id":23,"start_date":"2017-02-02","description":"","custom_fields":[{"id":1,"name":"Subdivision","value":"EC"},{"id":4,"name":"Milepost","value":"23.3285"},{"id":17,"name":"Train ID","value":"155-02"},{"id":16,"name":"Locomotive ID","value":"4022"},{"id":130,"name":"Impact","value":""},{"id":150,"name":"Time of Event (Mountain Time)","value":"11:09:07"},{"id":151,"name":"Denver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60" t="str">
        <f t="shared" si="20"/>
        <v>start /low /b %USERPROFILE%\Documents\GitHub\eaglep3\Utilities\DownloadLogsFromS3.py --loco 4022 --day 2017-02-02</v>
      </c>
      <c r="AN67" s="169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557</v>
      </c>
      <c r="B68" s="7">
        <v>4021</v>
      </c>
      <c r="C68" s="21" t="s">
        <v>193</v>
      </c>
      <c r="D68" s="21" t="s">
        <v>350</v>
      </c>
      <c r="E68" s="13">
        <v>42768.46707175926</v>
      </c>
      <c r="F68" s="13">
        <v>42768.476574074077</v>
      </c>
      <c r="G68" s="7">
        <v>1</v>
      </c>
      <c r="H68" s="21" t="s">
        <v>206</v>
      </c>
      <c r="I68" s="13">
        <v>42768.50677083333</v>
      </c>
      <c r="J68" s="7">
        <v>0</v>
      </c>
      <c r="K68" s="98" t="str">
        <f t="shared" si="0"/>
        <v>4021/4022</v>
      </c>
      <c r="L68" s="21" t="str">
        <f>VLOOKUP(A68,'Trips&amp;Operators'!$C$1:$G$99999,5,FALSE)</f>
        <v>SHOOK JOHN</v>
      </c>
      <c r="M68" s="6">
        <f t="shared" si="1"/>
        <v>3.0196759253158234E-2</v>
      </c>
      <c r="N68" s="7">
        <f t="shared" si="2"/>
        <v>43.483333324547857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 t="shared" si="5"/>
        <v>https://d0f6bd738d7f1b3e5a7ca70fe4ff75f0.us-east-1.aws.found.io/app/kibana#/discover/Steve-Slow-Train-Analysis-(2080s-and-2083s)?_g=(refreshInterval:(display:Off,pause:!f,section:0,value:0),time:(from:'2017-02-02T10:12:35-0700',mode:absolute,to:'2017-02-02T13:09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194" t="str">
        <f t="shared" si="6"/>
        <v>N</v>
      </c>
      <c r="X68" s="194">
        <f t="shared" si="7"/>
        <v>1</v>
      </c>
      <c r="Y68" s="62">
        <f t="shared" si="8"/>
        <v>23.298500000000001</v>
      </c>
      <c r="Z68" s="62">
        <f t="shared" si="9"/>
        <v>1.47E-2</v>
      </c>
      <c r="AA68" s="62">
        <f t="shared" si="10"/>
        <v>23.283799999999999</v>
      </c>
      <c r="AB68" s="59" t="e">
        <f>VLOOKUP(A68,Enforcements!$C$7:$K$16,8,0)</f>
        <v>#N/A</v>
      </c>
      <c r="AC68" s="55" t="e">
        <f>VLOOKUP(A68,Enforcements!$C$7:$E$16,3,0)</f>
        <v>#N/A</v>
      </c>
      <c r="AD68" s="56" t="str">
        <f t="shared" si="11"/>
        <v>0156-02</v>
      </c>
      <c r="AE68" s="85" t="str">
        <f t="shared" si="12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68" s="82" t="str">
        <f t="shared" si="13"/>
        <v>"C:\Program Files (x86)\AstroGrep\AstroGrep.exe" /spath="%USERPROFILE%\AppData\Local\Temp\OnboardLogs" /stypes="app*4021*20170202*"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156-02 --locoid 4021 --swversion DE.1.0.8.0 --startMP 204:232985 --initTime 2017-02-02T11:12:35 --startdatetime 2017-02-02T11:26:16 --delay 1 --endMP 204:147 --enddatetime 2017-02-02T12:09:45 --enforcementcount 0 &gt;&gt;C:\Users\stu\Documents\GitHub\eaglep3-reporting\EC\2017-02-02-refined-times.txt</v>
      </c>
      <c r="AI68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ID","value":"156-02"},{"id":16,"name":"Locomotive ID","value":"4021"},{"id":130,"name":"Impact","value":""},{"id":150,"name":"Time of Event (Mountain Time)","value":"12:09:45"},{"id":151,"name":"Denver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60" t="str">
        <f t="shared" si="20"/>
        <v>start /low /b %USERPROFILE%\Documents\GitHub\eaglep3\Utilities\DownloadLogsFromS3.py --loco 4021 --day 2017-02-02</v>
      </c>
      <c r="AN68" s="169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449</v>
      </c>
      <c r="B69" s="7">
        <v>4016</v>
      </c>
      <c r="C69" s="21" t="s">
        <v>193</v>
      </c>
      <c r="D69" s="21" t="s">
        <v>293</v>
      </c>
      <c r="E69" s="13">
        <v>42768.442569444444</v>
      </c>
      <c r="F69" s="13">
        <v>42768.449016203704</v>
      </c>
      <c r="G69" s="7">
        <v>1</v>
      </c>
      <c r="H69" s="21" t="s">
        <v>404</v>
      </c>
      <c r="I69" s="13">
        <v>42768.474224537036</v>
      </c>
      <c r="J69" s="7">
        <v>0</v>
      </c>
      <c r="K69" s="98" t="str">
        <f t="shared" si="0"/>
        <v>4015/4016</v>
      </c>
      <c r="L69" s="21" t="str">
        <f>VLOOKUP(A69,'Trips&amp;Operators'!$C$1:$G$99999,5,FALSE)</f>
        <v>STARKS ANGELINA</v>
      </c>
      <c r="M69" s="6">
        <f t="shared" si="1"/>
        <v>2.5208333332557231E-2</v>
      </c>
      <c r="N69" s="7">
        <f t="shared" si="2"/>
        <v>36.299999998882413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 t="shared" si="5"/>
        <v>https://d0f6bd738d7f1b3e5a7ca70fe4ff75f0.us-east-1.aws.found.io/app/kibana#/discover/Steve-Slow-Train-Analysis-(2080s-and-2083s)?_g=(refreshInterval:(display:Off,pause:!f,section:0,value:0),time:(from:'2017-02-02T09:37:18-0700',mode:absolute,to:'2017-02-02T12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9" s="194" t="str">
        <f t="shared" si="6"/>
        <v>N</v>
      </c>
      <c r="X69" s="194">
        <f t="shared" si="7"/>
        <v>1</v>
      </c>
      <c r="Y69" s="62">
        <f t="shared" si="8"/>
        <v>4.5499999999999999E-2</v>
      </c>
      <c r="Z69" s="62">
        <f t="shared" si="9"/>
        <v>23.3293</v>
      </c>
      <c r="AA69" s="62">
        <f t="shared" si="10"/>
        <v>23.283799999999999</v>
      </c>
      <c r="AB69" s="59" t="str">
        <f>VLOOKUP(A69,Enforcements!$C$7:$K$16,8,0)</f>
        <v>Bulletin (2)</v>
      </c>
      <c r="AC69" s="55" t="str">
        <f>VLOOKUP(A69,Enforcements!$C$7:$E$16,3,0)</f>
        <v>GRADE CROSSING</v>
      </c>
      <c r="AD69" s="56" t="str">
        <f t="shared" si="11"/>
        <v>0157-02</v>
      </c>
      <c r="AE69" s="85" t="str">
        <f t="shared" si="12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69" s="82" t="str">
        <f t="shared" si="13"/>
        <v>"C:\Program Files (x86)\AstroGrep\AstroGrep.exe" /spath="%USERPROFILE%\AppData\Local\Temp\OnboardLogs" /stypes="app*4016*20170202*"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157-02 --locoid 4016 --swversion DE.1.0.8.0 --startMP 204:455 --initTime 2017-02-02T10:37:18 --startdatetime 2017-02-02T10:46:35 --delay 1 --endMP 204:233293 --enddatetime 2017-02-02T11:22:53 --enforcementcount 0 &gt;&gt;C:\Users\stu\Documents\GitHub\eaglep3-reporting\EC\2017-02-02-refined-times.txt</v>
      </c>
      <c r="AI69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{"issue":{"subject":"","project_id":79,"tracker_id":40,"status_id":1,"priority_id":2,"assigned_to_id":23,"start_date":"2017-02-02","description":"","custom_fields":[{"id":1,"name":"Subdivision","value":"EC"},{"id":4,"name":"Milepost","value":"23.3293"},{"id":17,"name":"Train ID","value":"157-02"},{"id":16,"name":"Locomotive ID","value":"4016"},{"id":130,"name":"Impact","value":""},{"id":150,"name":"Time of Event (Mountain Time)","value":"11:22:53"},{"id":151,"name":"Denver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60" t="str">
        <f t="shared" si="20"/>
        <v>start /low /b %USERPROFILE%\Documents\GitHub\eaglep3\Utilities\DownloadLogsFromS3.py --loco 4016 --day 2017-02-02</v>
      </c>
      <c r="AN69" s="169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560</v>
      </c>
      <c r="B70" s="7">
        <v>4015</v>
      </c>
      <c r="C70" s="21" t="s">
        <v>193</v>
      </c>
      <c r="D70" s="21" t="s">
        <v>408</v>
      </c>
      <c r="E70" s="13">
        <v>42768.483298611114</v>
      </c>
      <c r="F70" s="13">
        <v>42768.487083333333</v>
      </c>
      <c r="G70" s="7">
        <v>1</v>
      </c>
      <c r="H70" s="21" t="s">
        <v>291</v>
      </c>
      <c r="I70" s="13">
        <v>42768.513287037036</v>
      </c>
      <c r="J70" s="7">
        <v>0</v>
      </c>
      <c r="K70" s="98" t="str">
        <f t="shared" si="0"/>
        <v>4015/4016</v>
      </c>
      <c r="L70" s="21" t="str">
        <f>VLOOKUP(A70,'Trips&amp;Operators'!$C$1:$G$99999,5,FALSE)</f>
        <v>STARKS ANGELINA</v>
      </c>
      <c r="M70" s="6">
        <f t="shared" si="1"/>
        <v>2.6203703702776693E-2</v>
      </c>
      <c r="N70" s="7">
        <f t="shared" si="2"/>
        <v>37.733333331998438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 t="shared" si="5"/>
        <v>https://d0f6bd738d7f1b3e5a7ca70fe4ff75f0.us-east-1.aws.found.io/app/kibana#/discover/Steve-Slow-Train-Analysis-(2080s-and-2083s)?_g=(refreshInterval:(display:Off,pause:!f,section:0,value:0),time:(from:'2017-02-02T10:35:57-0700',mode:absolute,to:'2017-02-02T13:19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0" s="194" t="str">
        <f t="shared" si="6"/>
        <v>N</v>
      </c>
      <c r="X70" s="194">
        <f t="shared" si="7"/>
        <v>1</v>
      </c>
      <c r="Y70" s="62">
        <f t="shared" si="8"/>
        <v>23.296700000000001</v>
      </c>
      <c r="Z70" s="62">
        <f t="shared" si="9"/>
        <v>1.5599999999999999E-2</v>
      </c>
      <c r="AA70" s="62">
        <f t="shared" si="10"/>
        <v>23.281100000000002</v>
      </c>
      <c r="AB70" s="59" t="e">
        <f>VLOOKUP(A70,Enforcements!$C$7:$K$16,8,0)</f>
        <v>#N/A</v>
      </c>
      <c r="AC70" s="55" t="e">
        <f>VLOOKUP(A70,Enforcements!$C$7:$E$16,3,0)</f>
        <v>#N/A</v>
      </c>
      <c r="AD70" s="56" t="str">
        <f t="shared" si="11"/>
        <v>0158-02</v>
      </c>
      <c r="AE70" s="85" t="str">
        <f t="shared" si="12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70" s="82" t="str">
        <f t="shared" si="13"/>
        <v>"C:\Program Files (x86)\AstroGrep\AstroGrep.exe" /spath="%USERPROFILE%\AppData\Local\Temp\OnboardLogs" /stypes="app*4015*20170202*"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158-02 --locoid 4015 --swversion DE.1.0.8.0 --startMP 204:232967 --initTime 2017-02-02T11:35:57 --startdatetime 2017-02-02T11:41:24 --delay 1 --endMP 204:156 --enddatetime 2017-02-02T12:19:08 --enforcementcount 0 &gt;&gt;C:\Users\stu\Documents\GitHub\eaglep3-reporting\EC\2017-02-02-refined-times.txt</v>
      </c>
      <c r="AI70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{"issue":{"subject":"","project_id":79,"tracker_id":40,"status_id":1,"priority_id":2,"assigned_to_id":23,"start_date":"2017-02-02","description":"","custom_fields":[{"id":1,"name":"Subdivision","value":"EC"},{"id":4,"name":"Milepost","value":"0.0156"},{"id":17,"name":"Train ID","value":"158-02"},{"id":16,"name":"Locomotive ID","value":"4015"},{"id":130,"name":"Impact","value":""},{"id":150,"name":"Time of Event (Mountain Time)","value":"12:19:08"},{"id":151,"name":"Denver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60" t="str">
        <f t="shared" si="20"/>
        <v>start /low /b %USERPROFILE%\Documents\GitHub\eaglep3\Utilities\DownloadLogsFromS3.py --loco 4015 --day 2017-02-02</v>
      </c>
      <c r="AN70" s="169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450</v>
      </c>
      <c r="B71" s="7">
        <v>4009</v>
      </c>
      <c r="C71" s="21" t="s">
        <v>193</v>
      </c>
      <c r="D71" s="21" t="s">
        <v>244</v>
      </c>
      <c r="E71" s="13">
        <v>42768.454942129632</v>
      </c>
      <c r="F71" s="13">
        <v>42768.458506944444</v>
      </c>
      <c r="G71" s="7">
        <v>1</v>
      </c>
      <c r="H71" s="21" t="s">
        <v>347</v>
      </c>
      <c r="I71" s="13">
        <v>42768.486898148149</v>
      </c>
      <c r="J71" s="7">
        <v>0</v>
      </c>
      <c r="K71" s="98" t="str">
        <f t="shared" si="0"/>
        <v>4009/4010</v>
      </c>
      <c r="L71" s="21" t="str">
        <f>VLOOKUP(A71,'Trips&amp;Operators'!$C$1:$G$99999,5,FALSE)</f>
        <v>CLARK KATHLEEN</v>
      </c>
      <c r="M71" s="6">
        <f t="shared" si="1"/>
        <v>2.8391203704813961E-2</v>
      </c>
      <c r="N71" s="7">
        <f t="shared" si="2"/>
        <v>40.883333334932104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 t="shared" si="5"/>
        <v>https://d0f6bd738d7f1b3e5a7ca70fe4ff75f0.us-east-1.aws.found.io/app/kibana#/discover/Steve-Slow-Train-Analysis-(2080s-and-2083s)?_g=(refreshInterval:(display:Off,pause:!f,section:0,value:0),time:(from:'2017-02-02T09:55:07-0700',mode:absolute,to:'2017-02-02T12:41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194" t="str">
        <f t="shared" si="6"/>
        <v>N</v>
      </c>
      <c r="X71" s="194">
        <f t="shared" si="7"/>
        <v>1</v>
      </c>
      <c r="Y71" s="62">
        <f t="shared" si="8"/>
        <v>4.5999999999999999E-2</v>
      </c>
      <c r="Z71" s="62">
        <f t="shared" si="9"/>
        <v>23.327200000000001</v>
      </c>
      <c r="AA71" s="62">
        <f t="shared" si="10"/>
        <v>23.281200000000002</v>
      </c>
      <c r="AB71" s="59" t="e">
        <f>VLOOKUP(A71,Enforcements!$C$7:$K$16,8,0)</f>
        <v>#N/A</v>
      </c>
      <c r="AC71" s="55" t="e">
        <f>VLOOKUP(A71,Enforcements!$C$7:$E$16,3,0)</f>
        <v>#N/A</v>
      </c>
      <c r="AD71" s="56" t="str">
        <f t="shared" si="11"/>
        <v>0159-02</v>
      </c>
      <c r="AE71" s="85" t="str">
        <f t="shared" si="12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71" s="82" t="str">
        <f t="shared" si="13"/>
        <v>"C:\Program Files (x86)\AstroGrep\AstroGrep.exe" /spath="%USERPROFILE%\AppData\Local\Temp\OnboardLogs" /stypes="app*4009*20170202*"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159-02 --locoid 4009 --swversion DE.1.0.8.0 --startMP 204:460 --initTime 2017-02-02T10:55:07 --startdatetime 2017-02-02T11:00:15 --delay 1 --endMP 204:233272 --enddatetime 2017-02-02T11:41:08 --enforcementcount 0 &gt;&gt;C:\Users\stu\Documents\GitHub\eaglep3-reporting\EC\2017-02-02-refined-times.txt</v>
      </c>
      <c r="AI71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{"issue":{"subject":"","project_id":79,"tracker_id":40,"status_id":1,"priority_id":2,"assigned_to_id":23,"start_date":"2017-02-02","description":"","custom_fields":[{"id":1,"name":"Subdivision","value":"EC"},{"id":4,"name":"Milepost","value":"23.3272"},{"id":17,"name":"Train ID","value":"159-02"},{"id":16,"name":"Locomotive ID","value":"4009"},{"id":130,"name":"Impact","value":""},{"id":150,"name":"Time of Event (Mountain Time)","value":"11:41:08"},{"id":151,"name":"Denver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60" t="str">
        <f t="shared" si="20"/>
        <v>start /low /b %USERPROFILE%\Documents\GitHub\eaglep3\Utilities\DownloadLogsFromS3.py --loco 4009 --day 2017-02-02</v>
      </c>
      <c r="AN71" s="169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564</v>
      </c>
      <c r="B72" s="7">
        <v>4010</v>
      </c>
      <c r="C72" s="21" t="s">
        <v>193</v>
      </c>
      <c r="D72" s="21" t="s">
        <v>715</v>
      </c>
      <c r="E72" s="13">
        <v>42768.492418981485</v>
      </c>
      <c r="F72" s="13">
        <v>42768.497384259259</v>
      </c>
      <c r="G72" s="7">
        <v>1</v>
      </c>
      <c r="H72" s="21" t="s">
        <v>312</v>
      </c>
      <c r="I72" s="13">
        <v>42768.525740740741</v>
      </c>
      <c r="J72" s="7">
        <v>0</v>
      </c>
      <c r="K72" s="98" t="str">
        <f t="shared" si="0"/>
        <v>4009/4010</v>
      </c>
      <c r="L72" s="21" t="str">
        <f>VLOOKUP(A72,'Trips&amp;Operators'!$C$1:$G$99999,5,FALSE)</f>
        <v>CLARK KATHLEEN</v>
      </c>
      <c r="M72" s="6">
        <f t="shared" si="1"/>
        <v>2.8356481481750961E-2</v>
      </c>
      <c r="N72" s="7">
        <f t="shared" si="2"/>
        <v>40.833333333721384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 t="shared" si="5"/>
        <v>https://d0f6bd738d7f1b3e5a7ca70fe4ff75f0.us-east-1.aws.found.io/app/kibana#/discover/Steve-Slow-Train-Analysis-(2080s-and-2083s)?_g=(refreshInterval:(display:Off,pause:!f,section:0,value:0),time:(from:'2017-02-02T10:49:05-0700',mode:absolute,to:'2017-02-02T13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2" s="194" t="str">
        <f t="shared" si="6"/>
        <v>N</v>
      </c>
      <c r="X72" s="194">
        <f t="shared" si="7"/>
        <v>1</v>
      </c>
      <c r="Y72" s="62">
        <f t="shared" si="8"/>
        <v>23.296399999999998</v>
      </c>
      <c r="Z72" s="62">
        <f t="shared" si="9"/>
        <v>1.7000000000000001E-2</v>
      </c>
      <c r="AA72" s="62">
        <f t="shared" si="10"/>
        <v>23.279399999999999</v>
      </c>
      <c r="AB72" s="59" t="e">
        <f>VLOOKUP(A72,Enforcements!$C$7:$K$16,8,0)</f>
        <v>#N/A</v>
      </c>
      <c r="AC72" s="55" t="e">
        <f>VLOOKUP(A72,Enforcements!$C$7:$E$16,3,0)</f>
        <v>#N/A</v>
      </c>
      <c r="AD72" s="56" t="str">
        <f t="shared" si="11"/>
        <v>0160-02</v>
      </c>
      <c r="AE72" s="85" t="str">
        <f t="shared" si="12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72" s="82" t="str">
        <f t="shared" si="13"/>
        <v>"C:\Program Files (x86)\AstroGrep\AstroGrep.exe" /spath="%USERPROFILE%\AppData\Local\Temp\OnboardLogs" /stypes="app*4010*20170202*"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160-02 --locoid 4010 --swversion DE.1.0.8.0 --startMP 204:232964 --initTime 2017-02-02T11:49:05 --startdatetime 2017-02-02T11:56:14 --delay 1 --endMP 204:170 --enddatetime 2017-02-02T12:37:04 --enforcementcount 0 &gt;&gt;C:\Users\stu\Documents\GitHub\eaglep3-reporting\EC\2017-02-02-refined-times.txt</v>
      </c>
      <c r="AI72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{"issue":{"subject":"","project_id":79,"tracker_id":40,"status_id":1,"priority_id":2,"assigned_to_id":23,"start_date":"2017-02-02","description":"","custom_fields":[{"id":1,"name":"Subdivision","value":"EC"},{"id":4,"name":"Milepost","value":"0.017"},{"id":17,"name":"Train ID","value":"160-02"},{"id":16,"name":"Locomotive ID","value":"4010"},{"id":130,"name":"Impact","value":""},{"id":150,"name":"Time of Event (Mountain Time)","value":"12:37:04"},{"id":151,"name":"Denver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60" t="str">
        <f t="shared" si="20"/>
        <v>start /low /b %USERPROFILE%\Documents\GitHub\eaglep3\Utilities\DownloadLogsFromS3.py --loco 4010 --day 2017-02-02</v>
      </c>
      <c r="AN72" s="169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554</v>
      </c>
      <c r="B73" s="7">
        <v>4011</v>
      </c>
      <c r="C73" s="21" t="s">
        <v>193</v>
      </c>
      <c r="D73" s="21" t="s">
        <v>716</v>
      </c>
      <c r="E73" s="13">
        <v>42768.465046296296</v>
      </c>
      <c r="F73" s="13">
        <v>42768.468935185185</v>
      </c>
      <c r="G73" s="7">
        <v>1</v>
      </c>
      <c r="H73" s="21" t="s">
        <v>717</v>
      </c>
      <c r="I73" s="13">
        <v>42768.494155092594</v>
      </c>
      <c r="J73" s="7">
        <v>0</v>
      </c>
      <c r="K73" s="98" t="str">
        <f t="shared" si="0"/>
        <v>4011/4012</v>
      </c>
      <c r="L73" s="21" t="str">
        <f>VLOOKUP(A73,'Trips&amp;Operators'!$C$1:$G$99999,5,FALSE)</f>
        <v>SWANSON BRYCE</v>
      </c>
      <c r="M73" s="6">
        <f t="shared" si="1"/>
        <v>2.5219907409336884E-2</v>
      </c>
      <c r="N73" s="7">
        <f t="shared" si="2"/>
        <v>36.316666669445112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 t="shared" si="5"/>
        <v>https://d0f6bd738d7f1b3e5a7ca70fe4ff75f0.us-east-1.aws.found.io/app/kibana#/discover/Steve-Slow-Train-Analysis-(2080s-and-2083s)?_g=(refreshInterval:(display:Off,pause:!f,section:0,value:0),time:(from:'2017-02-02T10:09:40-0700',mode:absolute,to:'2017-02-02T12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3" s="194" t="str">
        <f t="shared" si="6"/>
        <v>N</v>
      </c>
      <c r="X73" s="194">
        <f t="shared" si="7"/>
        <v>1</v>
      </c>
      <c r="Y73" s="62">
        <f t="shared" si="8"/>
        <v>4.2599999999999999E-2</v>
      </c>
      <c r="Z73" s="62">
        <f t="shared" si="9"/>
        <v>23.326799999999999</v>
      </c>
      <c r="AA73" s="62">
        <f t="shared" si="10"/>
        <v>23.284199999999998</v>
      </c>
      <c r="AB73" s="59" t="e">
        <f>VLOOKUP(A73,Enforcements!$C$7:$K$16,8,0)</f>
        <v>#N/A</v>
      </c>
      <c r="AC73" s="55" t="e">
        <f>VLOOKUP(A73,Enforcements!$C$7:$E$16,3,0)</f>
        <v>#N/A</v>
      </c>
      <c r="AD73" s="56" t="str">
        <f t="shared" si="11"/>
        <v>0161-02</v>
      </c>
      <c r="AE73" s="85" t="str">
        <f t="shared" si="12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73" s="82" t="str">
        <f t="shared" si="13"/>
        <v>"C:\Program Files (x86)\AstroGrep\AstroGrep.exe" /spath="%USERPROFILE%\AppData\Local\Temp\OnboardLogs" /stypes="app*4011*20170202*"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161-02 --locoid 4011 --swversion DE.1.0.8.0 --startMP 204:426 --initTime 2017-02-02T11:09:40 --startdatetime 2017-02-02T11:15:16 --delay 1 --endMP 204:233268 --enddatetime 2017-02-02T11:51:35 --enforcementcount 0 &gt;&gt;C:\Users\stu\Documents\GitHub\eaglep3-reporting\EC\2017-02-02-refined-times.txt</v>
      </c>
      <c r="AI73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{"issue":{"subject":"","project_id":79,"tracker_id":40,"status_id":1,"priority_id":2,"assigned_to_id":23,"start_date":"2017-02-02","description":"","custom_fields":[{"id":1,"name":"Subdivision","value":"EC"},{"id":4,"name":"Milepost","value":"23.3268"},{"id":17,"name":"Train ID","value":"161-02"},{"id":16,"name":"Locomotive ID","value":"4011"},{"id":130,"name":"Impact","value":""},{"id":150,"name":"Time of Event (Mountain Time)","value":"11:51:35"},{"id":151,"name":"Denver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60" t="str">
        <f t="shared" si="20"/>
        <v>start /low /b %USERPROFILE%\Documents\GitHub\eaglep3\Utilities\DownloadLogsFromS3.py --loco 4011 --day 2017-02-02</v>
      </c>
      <c r="AN73" s="169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566</v>
      </c>
      <c r="B74" s="7">
        <v>4012</v>
      </c>
      <c r="C74" s="21" t="s">
        <v>193</v>
      </c>
      <c r="D74" s="21" t="s">
        <v>718</v>
      </c>
      <c r="E74" s="13">
        <v>42768.496412037035</v>
      </c>
      <c r="F74" s="13">
        <v>42768.507974537039</v>
      </c>
      <c r="G74" s="7">
        <v>1</v>
      </c>
      <c r="H74" s="21" t="s">
        <v>196</v>
      </c>
      <c r="I74" s="13">
        <v>42768.53565972222</v>
      </c>
      <c r="J74" s="7">
        <v>0</v>
      </c>
      <c r="K74" s="98" t="str">
        <f t="shared" si="0"/>
        <v>4011/4012</v>
      </c>
      <c r="L74" s="21" t="str">
        <f>VLOOKUP(A74,'Trips&amp;Operators'!$C$1:$G$99999,5,FALSE)</f>
        <v>SWANSON BRYCE</v>
      </c>
      <c r="M74" s="6">
        <f t="shared" si="1"/>
        <v>2.7685185181326233E-2</v>
      </c>
      <c r="N74" s="7">
        <f t="shared" si="2"/>
        <v>39.866666661109775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 t="shared" si="5"/>
        <v>https://d0f6bd738d7f1b3e5a7ca70fe4ff75f0.us-east-1.aws.found.io/app/kibana#/discover/Steve-Slow-Train-Analysis-(2080s-and-2083s)?_g=(refreshInterval:(display:Off,pause:!f,section:0,value:0),time:(from:'2017-02-02T10:54:50-0700',mode:absolute,to:'2017-02-02T13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4" s="194" t="str">
        <f t="shared" si="6"/>
        <v>N</v>
      </c>
      <c r="X74" s="194">
        <f t="shared" si="7"/>
        <v>1</v>
      </c>
      <c r="Y74" s="62">
        <f t="shared" si="8"/>
        <v>23.294599999999999</v>
      </c>
      <c r="Z74" s="62">
        <f t="shared" si="9"/>
        <v>1.4999999999999999E-2</v>
      </c>
      <c r="AA74" s="62">
        <f t="shared" si="10"/>
        <v>23.279599999999999</v>
      </c>
      <c r="AB74" s="59" t="e">
        <f>VLOOKUP(A74,Enforcements!$C$7:$K$16,8,0)</f>
        <v>#N/A</v>
      </c>
      <c r="AC74" s="55" t="e">
        <f>VLOOKUP(A74,Enforcements!$C$7:$E$16,3,0)</f>
        <v>#N/A</v>
      </c>
      <c r="AD74" s="56" t="str">
        <f t="shared" si="11"/>
        <v>0162-02</v>
      </c>
      <c r="AE74" s="85" t="str">
        <f t="shared" si="12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74" s="82" t="str">
        <f t="shared" si="13"/>
        <v>"C:\Program Files (x86)\AstroGrep\AstroGrep.exe" /spath="%USERPROFILE%\AppData\Local\Temp\OnboardLogs" /stypes="app*4012*20170202*"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162-02 --locoid 4012 --swversion DE.1.0.8.0 --startMP 204:232946 --initTime 2017-02-02T11:54:50 --startdatetime 2017-02-02T12:11:29 --delay 1 --endMP 204:150 --enddatetime 2017-02-02T12:51:21 --enforcementcount 0 &gt;&gt;C:\Users\stu\Documents\GitHub\eaglep3-reporting\EC\2017-02-02-refined-times.txt</v>
      </c>
      <c r="AI74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{"issue":{"subject":"","project_id":79,"tracker_id":40,"status_id":1,"priority_id":2,"assigned_to_id":23,"start_date":"2017-02-02","description":"","custom_fields":[{"id":1,"name":"Subdivision","value":"EC"},{"id":4,"name":"Milepost","value":"0.015"},{"id":17,"name":"Train ID","value":"162-02"},{"id":16,"name":"Locomotive ID","value":"4012"},{"id":130,"name":"Impact","value":""},{"id":150,"name":"Time of Event (Mountain Time)","value":"12:51:21"},{"id":151,"name":"Denver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60" t="str">
        <f t="shared" si="20"/>
        <v>start /low /b %USERPROFILE%\Documents\GitHub\eaglep3\Utilities\DownloadLogsFromS3.py --loco 4012 --day 2017-02-02</v>
      </c>
      <c r="AN74" s="169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559</v>
      </c>
      <c r="B75" s="7">
        <v>4051</v>
      </c>
      <c r="C75" s="21" t="s">
        <v>193</v>
      </c>
      <c r="D75" s="21" t="s">
        <v>711</v>
      </c>
      <c r="E75" s="13">
        <v>42768.476307870369</v>
      </c>
      <c r="F75" s="13">
        <v>42768.47934027778</v>
      </c>
      <c r="G75" s="7">
        <v>1</v>
      </c>
      <c r="H75" s="21" t="s">
        <v>349</v>
      </c>
      <c r="I75" s="13">
        <v>42768.505752314813</v>
      </c>
      <c r="J75" s="7">
        <v>0</v>
      </c>
      <c r="K75" s="98" t="str">
        <f t="shared" si="0"/>
        <v>4051/4052</v>
      </c>
      <c r="L75" s="21" t="str">
        <f>VLOOKUP(A75,'Trips&amp;Operators'!$C$1:$G$99999,5,FALSE)</f>
        <v>BRUDER RICHARD</v>
      </c>
      <c r="M75" s="6">
        <f t="shared" si="1"/>
        <v>2.6412037033878732E-2</v>
      </c>
      <c r="N75" s="7">
        <f t="shared" si="2"/>
        <v>38.033333328785375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 t="shared" si="5"/>
        <v>https://d0f6bd738d7f1b3e5a7ca70fe4ff75f0.us-east-1.aws.found.io/app/kibana#/discover/Steve-Slow-Train-Analysis-(2080s-and-2083s)?_g=(refreshInterval:(display:Off,pause:!f,section:0,value:0),time:(from:'2017-02-02T10:25:53-0700',mode:absolute,to:'2017-02-02T13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5" s="194" t="str">
        <f t="shared" si="6"/>
        <v>N</v>
      </c>
      <c r="X75" s="194">
        <f t="shared" si="7"/>
        <v>1</v>
      </c>
      <c r="Y75" s="62">
        <f t="shared" si="8"/>
        <v>4.6600000000000003E-2</v>
      </c>
      <c r="Z75" s="62">
        <f t="shared" si="9"/>
        <v>23.3306</v>
      </c>
      <c r="AA75" s="62">
        <f t="shared" si="10"/>
        <v>23.283999999999999</v>
      </c>
      <c r="AB75" s="59" t="e">
        <f>VLOOKUP(A75,Enforcements!$C$7:$K$16,8,0)</f>
        <v>#N/A</v>
      </c>
      <c r="AC75" s="55" t="e">
        <f>VLOOKUP(A75,Enforcements!$C$7:$E$16,3,0)</f>
        <v>#N/A</v>
      </c>
      <c r="AD75" s="56" t="str">
        <f t="shared" si="11"/>
        <v>0163-02</v>
      </c>
      <c r="AE75" s="85" t="str">
        <f t="shared" si="12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75" s="82" t="str">
        <f t="shared" si="13"/>
        <v>"C:\Program Files (x86)\AstroGrep\AstroGrep.exe" /spath="%USERPROFILE%\AppData\Local\Temp\OnboardLogs" /stypes="app*4051*20170202*"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163-02 --locoid 4051 --swversion DE.1.0.8.0 --startMP 204:466 --initTime 2017-02-02T11:25:53 --startdatetime 2017-02-02T11:30:15 --delay 1 --endMP 204:233306 --enddatetime 2017-02-02T12:08:17 --enforcementcount 0 &gt;&gt;C:\Users\stu\Documents\GitHub\eaglep3-reporting\EC\2017-02-02-refined-times.txt</v>
      </c>
      <c r="AI75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{"issue":{"subject":"","project_id":79,"tracker_id":40,"status_id":1,"priority_id":2,"assigned_to_id":23,"start_date":"2017-02-02","description":"","custom_fields":[{"id":1,"name":"Subdivision","value":"EC"},{"id":4,"name":"Milepost","value":"23.3306"},{"id":17,"name":"Train ID","value":"163-02"},{"id":16,"name":"Locomotive ID","value":"4051"},{"id":130,"name":"Impact","value":""},{"id":150,"name":"Time of Event (Mountain Time)","value":"12:08:17"},{"id":151,"name":"Denver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60" t="str">
        <f t="shared" si="20"/>
        <v>start /low /b %USERPROFILE%\Documents\GitHub\eaglep3\Utilities\DownloadLogsFromS3.py --loco 4051 --day 2017-02-02</v>
      </c>
      <c r="AN75" s="169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569</v>
      </c>
      <c r="B76" s="7">
        <v>4052</v>
      </c>
      <c r="C76" s="21" t="s">
        <v>193</v>
      </c>
      <c r="D76" s="21" t="s">
        <v>397</v>
      </c>
      <c r="E76" s="13">
        <v>42768.51358796296</v>
      </c>
      <c r="F76" s="13">
        <v>42768.518252314818</v>
      </c>
      <c r="G76" s="7">
        <v>4</v>
      </c>
      <c r="H76" s="21" t="s">
        <v>208</v>
      </c>
      <c r="I76" s="13">
        <v>42768.544930555552</v>
      </c>
      <c r="J76" s="7">
        <v>0</v>
      </c>
      <c r="K76" s="98" t="str">
        <f t="shared" si="0"/>
        <v>4051/4052</v>
      </c>
      <c r="L76" s="21" t="str">
        <f>VLOOKUP(A76,'Trips&amp;Operators'!$C$1:$G$99999,5,FALSE)</f>
        <v>BRUDER RICHARD</v>
      </c>
      <c r="M76" s="6">
        <f t="shared" si="1"/>
        <v>2.6678240734327119E-2</v>
      </c>
      <c r="N76" s="7">
        <f t="shared" si="2"/>
        <v>38.416666657431051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 t="shared" si="5"/>
        <v>https://d0f6bd738d7f1b3e5a7ca70fe4ff75f0.us-east-1.aws.found.io/app/kibana#/discover/Steve-Slow-Train-Analysis-(2080s-and-2083s)?_g=(refreshInterval:(display:Off,pause:!f,section:0,value:0),time:(from:'2017-02-02T11:19:34-0700',mode:absolute,to:'2017-02-02T14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6" s="194" t="str">
        <f t="shared" si="6"/>
        <v>N</v>
      </c>
      <c r="X76" s="194">
        <f t="shared" si="7"/>
        <v>1</v>
      </c>
      <c r="Y76" s="62">
        <f t="shared" si="8"/>
        <v>23.299099999999999</v>
      </c>
      <c r="Z76" s="62">
        <f t="shared" si="9"/>
        <v>1.6E-2</v>
      </c>
      <c r="AA76" s="62">
        <f t="shared" si="10"/>
        <v>23.283100000000001</v>
      </c>
      <c r="AB76" s="59" t="e">
        <f>VLOOKUP(A76,Enforcements!$C$7:$K$16,8,0)</f>
        <v>#N/A</v>
      </c>
      <c r="AC76" s="55" t="e">
        <f>VLOOKUP(A76,Enforcements!$C$7:$E$16,3,0)</f>
        <v>#N/A</v>
      </c>
      <c r="AD76" s="56" t="str">
        <f t="shared" si="11"/>
        <v>0164-02</v>
      </c>
      <c r="AE76" s="85" t="str">
        <f t="shared" si="12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76" s="82" t="str">
        <f t="shared" si="13"/>
        <v>"C:\Program Files (x86)\AstroGrep\AstroGrep.exe" /spath="%USERPROFILE%\AppData\Local\Temp\OnboardLogs" /stypes="app*4052*20170202*"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164-02 --locoid 4052 --swversion DE.1.0.8.0 --startMP 204:232991 --initTime 2017-02-02T12:19:34 --startdatetime 2017-02-02T12:26:17 --delay 4 --endMP 204:160 --enddatetime 2017-02-02T13:04:42 --enforcementcount 0 &gt;&gt;C:\Users\stu\Documents\GitHub\eaglep3-reporting\EC\2017-02-02-refined-times.txt</v>
      </c>
      <c r="AI76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{"issue":{"subject":"","project_id":79,"tracker_id":40,"status_id":1,"priority_id":2,"assigned_to_id":23,"start_date":"2017-02-02","description":"","custom_fields":[{"id":1,"name":"Subdivision","value":"EC"},{"id":4,"name":"Milepost","value":"0.016"},{"id":17,"name":"Train ID","value":"164-02"},{"id":16,"name":"Locomotive ID","value":"4052"},{"id":130,"name":"Impact","value":""},{"id":150,"name":"Time of Event (Mountain Time)","value":"13:04:42"},{"id":151,"name":"Denver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60" t="str">
        <f t="shared" si="20"/>
        <v>start /low /b %USERPROFILE%\Documents\GitHub\eaglep3\Utilities\DownloadLogsFromS3.py --loco 4052 --day 2017-02-02</v>
      </c>
      <c r="AN76" s="169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563</v>
      </c>
      <c r="B77" s="7">
        <v>4025</v>
      </c>
      <c r="C77" s="21" t="s">
        <v>193</v>
      </c>
      <c r="D77" s="21" t="s">
        <v>222</v>
      </c>
      <c r="E77" s="13">
        <v>42768.485833333332</v>
      </c>
      <c r="F77" s="13">
        <v>42768.489849537036</v>
      </c>
      <c r="G77" s="7">
        <v>1</v>
      </c>
      <c r="H77" s="21" t="s">
        <v>398</v>
      </c>
      <c r="I77" s="13">
        <v>42768.514490740738</v>
      </c>
      <c r="J77" s="7">
        <v>0</v>
      </c>
      <c r="K77" s="98" t="str">
        <f t="shared" ref="K77:K140" si="21">IF(ISEVEN(B77),(B77-1)&amp;"/"&amp;B77,B77&amp;"/"&amp;(B77+1))</f>
        <v>4025/4026</v>
      </c>
      <c r="L77" s="21" t="str">
        <f>VLOOKUP(A77,'Trips&amp;Operators'!$C$1:$G$99999,5,FALSE)</f>
        <v>SMITH MICHAEL</v>
      </c>
      <c r="M77" s="6">
        <f t="shared" ref="M77:M140" si="22">I77-F77</f>
        <v>2.4641203701321501E-2</v>
      </c>
      <c r="N77" s="7">
        <f t="shared" ref="N77:P140" si="23">24*60*SUM($M77:$M77)</f>
        <v>35.483333329902962</v>
      </c>
      <c r="O77" s="7"/>
      <c r="P77" s="7"/>
      <c r="Q77" s="22"/>
      <c r="R77" s="22"/>
      <c r="S77" s="31">
        <f t="shared" ref="S77:S140" si="24">SUM(U77:U77)/IF(AG77="EC",12,1)</f>
        <v>1</v>
      </c>
      <c r="T77" s="46" t="str">
        <f t="shared" ref="T77:T140" si="25">IF(ISEVEN(LEFT(AD77,4)),"Southbound","NorthBound")</f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-02T10:39:36-0700',mode:absolute,to:'2017-02-02T13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7" s="194" t="str">
        <f t="shared" ref="W77:W140" si="27">IF(AA77&lt;IF(AG77="EC",23,5.65),"Y","N")</f>
        <v>N</v>
      </c>
      <c r="X77" s="194">
        <f t="shared" ref="X77:X140" si="28">VALUE(LEFT(AD77,4))-VALUE(LEFT(AD76,4))</f>
        <v>1</v>
      </c>
      <c r="Y77" s="62">
        <f t="shared" ref="Y77:Y140" si="29">RIGHT(D77,LEN(D77)-4)/10000</f>
        <v>4.6899999999999997E-2</v>
      </c>
      <c r="Z77" s="62">
        <f t="shared" ref="Z77:Z140" si="30">RIGHT(H77,LEN(H77)-4)/10000</f>
        <v>23.332799999999999</v>
      </c>
      <c r="AA77" s="62">
        <f t="shared" ref="AA77:AA140" si="31">ABS(Z77-Y77)</f>
        <v>23.285899999999998</v>
      </c>
      <c r="AB77" s="59" t="e">
        <f>VLOOKUP(A77,Enforcements!$C$7:$K$16,8,0)</f>
        <v>#N/A</v>
      </c>
      <c r="AC77" s="55" t="e">
        <f>VLOOKUP(A77,Enforcements!$C$7:$E$16,3,0)</f>
        <v>#N/A</v>
      </c>
      <c r="AD77" s="56" t="str">
        <f t="shared" ref="AD77:AD140" si="32">IF(LEN(A77)=6,"0"&amp;A77,A77)</f>
        <v>0165-02</v>
      </c>
      <c r="AE77" s="85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77" s="82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/stypes="app*4025*20170202*" /stext=" 19:.+((SYSTEM_STATE.+slice.+state.+changed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165-02 --locoid 4025 --swversion DE.1.0.8.0 --startMP 204:469 --initTime 2017-02-02T11:39:36 --startdatetime 2017-02-02T11:45:23 --delay 1 --endMP 204:233328 --enddatetime 2017-02-02T12:20:52 --enforcementcount 0 &gt;&gt;C:\Users\stu\Documents\GitHub\eaglep3-reporting\EC\2017-02-02-refined-times.txt</v>
      </c>
      <c r="AI77" s="108" t="str">
        <f t="shared" si="19"/>
        <v>echo {"issue":{"subject":"","project_id":79,"tracker_id":40,"status_id":1,"priority_id":2,"assigned_to_id":23,"start_date":"2017-02-02","description":"","custom_fields":[{"id":1,"name":"Subdivision","value":"EC"},{"id":4,"name":"Milepost","value":"23.3328"},{"id":17,"name":"Train ID","value":"165-02"},{"id":16,"name":"Locomotive ID","value":"4025"},{"id":130,"name":"Impact","value":""},{"id":150,"name":"Time of Event (Mountain Time)","value":"12:20:52"},{"id":151,"name":"Denver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60" t="str">
        <f t="shared" si="20"/>
        <v>start /low /b %USERPROFILE%\Documents\GitHub\eaglep3\Utilities\DownloadLogsFromS3.py --loco 4025 --day 2017-02-02</v>
      </c>
      <c r="AN77" s="169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571</v>
      </c>
      <c r="B78" s="7">
        <v>4026</v>
      </c>
      <c r="C78" s="21" t="s">
        <v>193</v>
      </c>
      <c r="D78" s="21" t="s">
        <v>407</v>
      </c>
      <c r="E78" s="13">
        <v>42768.516504629632</v>
      </c>
      <c r="F78" s="13">
        <v>42768.528738425928</v>
      </c>
      <c r="G78" s="7">
        <v>1</v>
      </c>
      <c r="H78" s="21" t="s">
        <v>707</v>
      </c>
      <c r="I78" s="13">
        <v>42768.555578703701</v>
      </c>
      <c r="J78" s="7">
        <v>0</v>
      </c>
      <c r="K78" s="98" t="str">
        <f t="shared" si="21"/>
        <v>4025/4026</v>
      </c>
      <c r="L78" s="21" t="str">
        <f>VLOOKUP(A78,'Trips&amp;Operators'!$C$1:$G$99999,5,FALSE)</f>
        <v>SMITH MICHAEL</v>
      </c>
      <c r="M78" s="6">
        <f t="shared" si="22"/>
        <v>2.6840277772862464E-2</v>
      </c>
      <c r="N78" s="7">
        <f t="shared" si="23"/>
        <v>38.649999992921948</v>
      </c>
      <c r="O78" s="7"/>
      <c r="P78" s="7"/>
      <c r="Q78" s="22"/>
      <c r="R78" s="22"/>
      <c r="S78" s="31">
        <f t="shared" si="24"/>
        <v>1</v>
      </c>
      <c r="T78" s="46" t="str">
        <f t="shared" si="25"/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 t="shared" si="26"/>
        <v>https://d0f6bd738d7f1b3e5a7ca70fe4ff75f0.us-east-1.aws.found.io/app/kibana#/discover/Steve-Slow-Train-Analysis-(2080s-and-2083s)?_g=(refreshInterval:(display:Off,pause:!f,section:0,value:0),time:(from:'2017-02-02T11:23:46-0700',mode:absolute,to:'2017-02-02T14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194" t="str">
        <f t="shared" si="27"/>
        <v>N</v>
      </c>
      <c r="X78" s="194">
        <f t="shared" si="28"/>
        <v>1</v>
      </c>
      <c r="Y78" s="62">
        <f t="shared" si="29"/>
        <v>23.297999999999998</v>
      </c>
      <c r="Z78" s="62">
        <f t="shared" si="30"/>
        <v>1.6500000000000001E-2</v>
      </c>
      <c r="AA78" s="62">
        <f t="shared" si="31"/>
        <v>23.281499999999998</v>
      </c>
      <c r="AB78" s="59" t="e">
        <f>VLOOKUP(A78,Enforcements!$C$7:$K$16,8,0)</f>
        <v>#N/A</v>
      </c>
      <c r="AC78" s="55" t="e">
        <f>VLOOKUP(A78,Enforcements!$C$7:$E$16,3,0)</f>
        <v>#N/A</v>
      </c>
      <c r="AD78" s="56" t="str">
        <f t="shared" si="32"/>
        <v>0166-02</v>
      </c>
      <c r="AE78" s="85" t="str">
        <f t="shared" si="33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78" s="82" t="str">
        <f t="shared" si="34"/>
        <v>"C:\Program Files (x86)\AstroGrep\AstroGrep.exe" /spath="%USERPROFILE%\AppData\Local\Temp\OnboardLogs" /stypes="app*4026*20170202*"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6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166-02 --locoid 4026 --swversion DE.1.0.8.0 --startMP 204:232980 --initTime 2017-02-02T12:23:46 --startdatetime 2017-02-02T12:41:23 --delay 1 --endMP 204:165 --enddatetime 2017-02-02T13:20:02 --enforcementcount 0 &gt;&gt;C:\Users\stu\Documents\GitHub\eaglep3-reporting\EC\2017-02-02-refined-times.txt</v>
      </c>
      <c r="AI78" s="108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{"issue":{"subject":"","project_id":79,"tracker_id":40,"status_id":1,"priority_id":2,"assigned_to_id":23,"start_date":"2017-02-02","description":"","custom_fields":[{"id":1,"name":"Subdivision","value":"EC"},{"id":4,"name":"Milepost","value":"0.0165"},{"id":17,"name":"Train ID","value":"166-02"},{"id":16,"name":"Locomotive ID","value":"4026"},{"id":130,"name":"Impact","value":""},{"id":150,"name":"Time of Event (Mountain Time)","value":"13:20:02"},{"id":151,"name":"Denver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60" t="str">
        <f t="shared" ref="AM78:AM141" si="38">"start /low /b "&amp;dls3logs&amp;" --loco "&amp;B78&amp;" --day "&amp;TEXT(F78,"YYYY-MM-DD")</f>
        <v>start /low /b %USERPROFILE%\Documents\GitHub\eaglep3\Utilities\DownloadLogsFromS3.py --loco 4026 --day 2017-02-02</v>
      </c>
      <c r="AN78" s="169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</row>
    <row r="79" spans="1:91" x14ac:dyDescent="0.25">
      <c r="A79" s="33" t="s">
        <v>565</v>
      </c>
      <c r="B79" s="7">
        <v>4027</v>
      </c>
      <c r="C79" s="21" t="s">
        <v>193</v>
      </c>
      <c r="D79" s="21" t="s">
        <v>719</v>
      </c>
      <c r="E79" s="13">
        <v>42768.495243055557</v>
      </c>
      <c r="F79" s="13">
        <v>42768.500196759262</v>
      </c>
      <c r="G79" s="7">
        <v>1</v>
      </c>
      <c r="H79" s="21" t="s">
        <v>313</v>
      </c>
      <c r="I79" s="13">
        <v>42768.525590277779</v>
      </c>
      <c r="J79" s="7">
        <v>0</v>
      </c>
      <c r="K79" s="98" t="str">
        <f t="shared" si="21"/>
        <v>4027/4028</v>
      </c>
      <c r="L79" s="21" t="str">
        <f>VLOOKUP(A79,'Trips&amp;Operators'!$C$1:$G$99999,5,FALSE)</f>
        <v>DELGADO DIANAH</v>
      </c>
      <c r="M79" s="6">
        <f t="shared" si="22"/>
        <v>2.5393518517375924E-2</v>
      </c>
      <c r="N79" s="7">
        <f t="shared" si="23"/>
        <v>36.56666666502133</v>
      </c>
      <c r="O79" s="7"/>
      <c r="P79" s="7"/>
      <c r="Q79" s="22"/>
      <c r="R79" s="22"/>
      <c r="S79" s="31">
        <f t="shared" si="24"/>
        <v>1</v>
      </c>
      <c r="T79" s="46" t="str">
        <f t="shared" si="25"/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 t="shared" si="26"/>
        <v>https://d0f6bd738d7f1b3e5a7ca70fe4ff75f0.us-east-1.aws.found.io/app/kibana#/discover/Steve-Slow-Train-Analysis-(2080s-and-2083s)?_g=(refreshInterval:(display:Off,pause:!f,section:0,value:0),time:(from:'2017-02-02T10:53:09-0700',mode:absolute,to:'2017-02-02T13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194" t="str">
        <f t="shared" si="27"/>
        <v>N</v>
      </c>
      <c r="X79" s="194">
        <f t="shared" si="28"/>
        <v>1</v>
      </c>
      <c r="Y79" s="62">
        <f t="shared" si="29"/>
        <v>4.82E-2</v>
      </c>
      <c r="Z79" s="62">
        <f t="shared" si="30"/>
        <v>23.3323</v>
      </c>
      <c r="AA79" s="62">
        <f t="shared" si="31"/>
        <v>23.284099999999999</v>
      </c>
      <c r="AB79" s="59" t="e">
        <f>VLOOKUP(A79,Enforcements!$C$7:$K$16,8,0)</f>
        <v>#N/A</v>
      </c>
      <c r="AC79" s="55" t="e">
        <f>VLOOKUP(A79,Enforcements!$C$7:$E$16,3,0)</f>
        <v>#N/A</v>
      </c>
      <c r="AD79" s="56" t="str">
        <f t="shared" si="32"/>
        <v>0167-02</v>
      </c>
      <c r="AE79" s="85" t="str">
        <f t="shared" si="33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79" s="82" t="str">
        <f t="shared" si="34"/>
        <v>"C:\Program Files (x86)\AstroGrep\AstroGrep.exe" /spath="%USERPROFILE%\AppData\Local\Temp\OnboardLogs" /stypes="app*4027*20170202*"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6" t="str">
        <f t="shared" si="36"/>
        <v>"%USERPROFILE%\Documents\GitHub\eaglep3\Utilities\RefineRTDCRunTimes.py" --tripid 167-02 --locoid 4027 --swversion DE.1.0.8.0 --startMP 204:482 --initTime 2017-02-02T11:53:09 --startdatetime 2017-02-02T12:00:17 --delay 1 --endMP 204:233323 --enddatetime 2017-02-02T12:36:51 --enforcementcount 0 &gt;&gt;C:\Users\stu\Documents\GitHub\eaglep3-reporting\EC\2017-02-02-refined-times.txt</v>
      </c>
      <c r="AI7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{"issue":{"subject":"","project_id":79,"tracker_id":40,"status_id":1,"priority_id":2,"assigned_to_id":23,"start_date":"2017-02-02","description":"","custom_fields":[{"id":1,"name":"Subdivision","value":"EC"},{"id":4,"name":"Milepost","value":"23.3323"},{"id":17,"name":"Train ID","value":"167-02"},{"id":16,"name":"Locomotive ID","value":"4027"},{"id":130,"name":"Impact","value":""},{"id":150,"name":"Time of Event (Mountain Time)","value":"12:36:51"},{"id":151,"name":"Denver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60" t="str">
        <f t="shared" si="38"/>
        <v>start /low /b %USERPROFILE%\Documents\GitHub\eaglep3\Utilities\DownloadLogsFromS3.py --loco 4027 --day 2017-02-02</v>
      </c>
      <c r="AN79" s="169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</row>
    <row r="80" spans="1:91" s="20" customFormat="1" x14ac:dyDescent="0.25">
      <c r="A80" s="33" t="s">
        <v>453</v>
      </c>
      <c r="B80" s="7">
        <v>4028</v>
      </c>
      <c r="C80" s="21" t="s">
        <v>193</v>
      </c>
      <c r="D80" s="21" t="s">
        <v>399</v>
      </c>
      <c r="E80" s="13">
        <v>42768.527442129627</v>
      </c>
      <c r="F80" s="13">
        <v>42768.5390625</v>
      </c>
      <c r="G80" s="7">
        <v>6</v>
      </c>
      <c r="H80" s="21" t="s">
        <v>237</v>
      </c>
      <c r="I80" s="13">
        <v>42768.566493055558</v>
      </c>
      <c r="J80" s="7">
        <v>0</v>
      </c>
      <c r="K80" s="98" t="str">
        <f t="shared" si="21"/>
        <v>4027/4028</v>
      </c>
      <c r="L80" s="21" t="str">
        <f>VLOOKUP(A80,'Trips&amp;Operators'!$C$1:$G$99999,5,FALSE)</f>
        <v>DELGADO DIANAH</v>
      </c>
      <c r="M80" s="6">
        <f t="shared" si="22"/>
        <v>2.7430555557657499E-2</v>
      </c>
      <c r="N80" s="7">
        <f t="shared" si="23"/>
        <v>39.500000003026798</v>
      </c>
      <c r="O80" s="7"/>
      <c r="P80" s="7"/>
      <c r="Q80" s="22"/>
      <c r="R80" s="22"/>
      <c r="S80" s="31">
        <f t="shared" si="24"/>
        <v>1</v>
      </c>
      <c r="T80" s="46" t="str">
        <f t="shared" si="25"/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 t="shared" si="26"/>
        <v>https://d0f6bd738d7f1b3e5a7ca70fe4ff75f0.us-east-1.aws.found.io/app/kibana#/discover/Steve-Slow-Train-Analysis-(2080s-and-2083s)?_g=(refreshInterval:(display:Off,pause:!f,section:0,value:0),time:(from:'2017-02-02T11:39:31-0700',mode:absolute,to:'2017-02-02T14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0" s="194" t="str">
        <f t="shared" si="27"/>
        <v>N</v>
      </c>
      <c r="X80" s="194">
        <f t="shared" si="28"/>
        <v>1</v>
      </c>
      <c r="Y80" s="62">
        <f t="shared" si="29"/>
        <v>23.301500000000001</v>
      </c>
      <c r="Z80" s="62">
        <f t="shared" si="30"/>
        <v>1.43E-2</v>
      </c>
      <c r="AA80" s="62">
        <f t="shared" si="31"/>
        <v>23.287200000000002</v>
      </c>
      <c r="AB80" s="59" t="e">
        <f>VLOOKUP(A80,Enforcements!$C$7:$K$16,8,0)</f>
        <v>#N/A</v>
      </c>
      <c r="AC80" s="55" t="e">
        <f>VLOOKUP(A80,Enforcements!$C$7:$E$16,3,0)</f>
        <v>#N/A</v>
      </c>
      <c r="AD80" s="56" t="str">
        <f t="shared" si="32"/>
        <v>0168-02</v>
      </c>
      <c r="AE80" s="85" t="str">
        <f t="shared" si="33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80" s="82" t="str">
        <f t="shared" si="34"/>
        <v>"C:\Program Files (x86)\AstroGrep\AstroGrep.exe" /spath="%USERPROFILE%\AppData\Local\Temp\OnboardLogs" /stypes="app*4028*20170202*"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6" t="str">
        <f t="shared" si="36"/>
        <v>"%USERPROFILE%\Documents\GitHub\eaglep3\Utilities\RefineRTDCRunTimes.py" --tripid 168-02 --locoid 4028 --swversion DE.1.0.8.0 --startMP 204:233015 --initTime 2017-02-02T12:39:31 --startdatetime 2017-02-02T12:56:15 --delay 6 --endMP 204:143 --enddatetime 2017-02-02T13:35:45 --enforcementcount 0 &gt;&gt;C:\Users\stu\Documents\GitHub\eaglep3-reporting\EC\2017-02-02-refined-times.txt</v>
      </c>
      <c r="AI8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{"issue":{"subject":"","project_id":79,"tracker_id":40,"status_id":1,"priority_id":2,"assigned_to_id":23,"start_date":"2017-02-02","description":"","custom_fields":[{"id":1,"name":"Subdivision","value":"EC"},{"id":4,"name":"Milepost","value":"0.0143"},{"id":17,"name":"Train ID","value":"168-02"},{"id":16,"name":"Locomotive ID","value":"4028"},{"id":130,"name":"Impact","value":""},{"id":150,"name":"Time of Event (Mountain Time)","value":"13:35:45"},{"id":151,"name":"Denver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60" t="str">
        <f t="shared" si="38"/>
        <v>start /low /b %USERPROFILE%\Documents\GitHub\eaglep3\Utilities\DownloadLogsFromS3.py --loco 4028 --day 2017-02-02</v>
      </c>
      <c r="AN80" s="169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567</v>
      </c>
      <c r="B81" s="7">
        <v>4022</v>
      </c>
      <c r="C81" s="21" t="s">
        <v>193</v>
      </c>
      <c r="D81" s="21" t="s">
        <v>211</v>
      </c>
      <c r="E81" s="13">
        <v>42768.508969907409</v>
      </c>
      <c r="F81" s="13">
        <v>42768.511261574073</v>
      </c>
      <c r="G81" s="7">
        <v>1</v>
      </c>
      <c r="H81" s="21" t="s">
        <v>286</v>
      </c>
      <c r="I81" s="13">
        <v>42768.535057870373</v>
      </c>
      <c r="J81" s="7">
        <v>0</v>
      </c>
      <c r="K81" s="98" t="str">
        <f t="shared" si="21"/>
        <v>4021/4022</v>
      </c>
      <c r="L81" s="21" t="str">
        <f>VLOOKUP(A81,'Trips&amp;Operators'!$C$1:$G$99999,5,FALSE)</f>
        <v>HELVIE ADAM</v>
      </c>
      <c r="M81" s="6">
        <f t="shared" si="22"/>
        <v>2.379629630013369E-2</v>
      </c>
      <c r="N81" s="7">
        <f t="shared" si="23"/>
        <v>34.266666672192514</v>
      </c>
      <c r="O81" s="7"/>
      <c r="P81" s="7"/>
      <c r="Q81" s="22"/>
      <c r="R81" s="22"/>
      <c r="S81" s="31">
        <f t="shared" si="24"/>
        <v>1</v>
      </c>
      <c r="T81" s="46" t="str">
        <f t="shared" si="25"/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 t="shared" si="26"/>
        <v>https://d0f6bd738d7f1b3e5a7ca70fe4ff75f0.us-east-1.aws.found.io/app/kibana#/discover/Steve-Slow-Train-Analysis-(2080s-and-2083s)?_g=(refreshInterval:(display:Off,pause:!f,section:0,value:0),time:(from:'2017-02-02T11:12:55-0700',mode:absolute,to:'2017-02-02T13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194" t="str">
        <f t="shared" si="27"/>
        <v>N</v>
      </c>
      <c r="X81" s="194">
        <f t="shared" si="28"/>
        <v>1</v>
      </c>
      <c r="Y81" s="62">
        <f t="shared" si="29"/>
        <v>4.4900000000000002E-2</v>
      </c>
      <c r="Z81" s="62">
        <f t="shared" si="30"/>
        <v>23.330100000000002</v>
      </c>
      <c r="AA81" s="62">
        <f t="shared" si="31"/>
        <v>23.285200000000003</v>
      </c>
      <c r="AB81" s="59" t="e">
        <f>VLOOKUP(A81,Enforcements!$C$7:$K$16,8,0)</f>
        <v>#N/A</v>
      </c>
      <c r="AC81" s="55" t="e">
        <f>VLOOKUP(A81,Enforcements!$C$7:$E$16,3,0)</f>
        <v>#N/A</v>
      </c>
      <c r="AD81" s="56" t="str">
        <f t="shared" si="32"/>
        <v>0169-02</v>
      </c>
      <c r="AE81" s="85" t="str">
        <f t="shared" si="33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81" s="82" t="str">
        <f t="shared" si="34"/>
        <v>"C:\Program Files (x86)\AstroGrep\AstroGrep.exe" /spath="%USERPROFILE%\AppData\Local\Temp\OnboardLogs" /stypes="app*4022*20170202*" /stext=" 19:.+((SYSTEM_STATE.+slice.+state.+changed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6" t="str">
        <f t="shared" si="36"/>
        <v>"%USERPROFILE%\Documents\GitHub\eaglep3\Utilities\RefineRTDCRunTimes.py" --tripid 169-02 --locoid 4022 --swversion DE.1.0.8.0 --startMP 204:449 --initTime 2017-02-02T12:12:55 --startdatetime 2017-02-02T12:16:13 --delay 1 --endMP 204:233301 --enddatetime 2017-02-02T12:50:29 --enforcementcount 0 &gt;&gt;C:\Users\stu\Documents\GitHub\eaglep3-reporting\EC\2017-02-02-refined-times.txt</v>
      </c>
      <c r="AI8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{"issue":{"subject":"","project_id":79,"tracker_id":40,"status_id":1,"priority_id":2,"assigned_to_id":23,"start_date":"2017-02-02","description":"","custom_fields":[{"id":1,"name":"Subdivision","value":"EC"},{"id":4,"name":"Milepost","value":"23.3301"},{"id":17,"name":"Train ID","value":"169-02"},{"id":16,"name":"Locomotive ID","value":"4022"},{"id":130,"name":"Impact","value":""},{"id":150,"name":"Time of Event (Mountain Time)","value":"12:50:29"},{"id":151,"name":"Denver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60" t="str">
        <f t="shared" si="38"/>
        <v>start /low /b %USERPROFILE%\Documents\GitHub\eaglep3\Utilities\DownloadLogsFromS3.py --loco 4022 --day 2017-02-02</v>
      </c>
      <c r="AN81" s="169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575</v>
      </c>
      <c r="B82" s="7">
        <v>4021</v>
      </c>
      <c r="C82" s="21" t="s">
        <v>193</v>
      </c>
      <c r="D82" s="21" t="s">
        <v>401</v>
      </c>
      <c r="E82" s="13">
        <v>42768.545555555553</v>
      </c>
      <c r="F82" s="13">
        <v>42768.549479166664</v>
      </c>
      <c r="G82" s="7">
        <v>1</v>
      </c>
      <c r="H82" s="21" t="s">
        <v>341</v>
      </c>
      <c r="I82" s="13">
        <v>42768.576863425929</v>
      </c>
      <c r="J82" s="7">
        <v>0</v>
      </c>
      <c r="K82" s="98" t="str">
        <f t="shared" si="21"/>
        <v>4021/4022</v>
      </c>
      <c r="L82" s="21" t="str">
        <f>VLOOKUP(A82,'Trips&amp;Operators'!$C$1:$G$99999,5,FALSE)</f>
        <v>HELVIE ADAM</v>
      </c>
      <c r="M82" s="6">
        <f t="shared" si="22"/>
        <v>2.7384259265090805E-2</v>
      </c>
      <c r="N82" s="7">
        <f t="shared" si="23"/>
        <v>39.433333341730759</v>
      </c>
      <c r="O82" s="7"/>
      <c r="P82" s="7"/>
      <c r="Q82" s="22"/>
      <c r="R82" s="22"/>
      <c r="S82" s="31">
        <f t="shared" si="24"/>
        <v>1</v>
      </c>
      <c r="T82" s="46" t="str">
        <f t="shared" si="25"/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 t="shared" si="26"/>
        <v>https://d0f6bd738d7f1b3e5a7ca70fe4ff75f0.us-east-1.aws.found.io/app/kibana#/discover/Steve-Slow-Train-Analysis-(2080s-and-2083s)?_g=(refreshInterval:(display:Off,pause:!f,section:0,value:0),time:(from:'2017-02-02T12:05:36-0700',mode:absolute,to:'2017-02-02T14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194" t="str">
        <f t="shared" si="27"/>
        <v>N</v>
      </c>
      <c r="X82" s="194">
        <f t="shared" si="28"/>
        <v>1</v>
      </c>
      <c r="Y82" s="62">
        <f t="shared" si="29"/>
        <v>23.2988</v>
      </c>
      <c r="Z82" s="62">
        <f t="shared" si="30"/>
        <v>1.38E-2</v>
      </c>
      <c r="AA82" s="62">
        <f t="shared" si="31"/>
        <v>23.285</v>
      </c>
      <c r="AB82" s="59" t="e">
        <f>VLOOKUP(A82,Enforcements!$C$7:$K$16,8,0)</f>
        <v>#N/A</v>
      </c>
      <c r="AC82" s="55" t="e">
        <f>VLOOKUP(A82,Enforcements!$C$7:$E$16,3,0)</f>
        <v>#N/A</v>
      </c>
      <c r="AD82" s="56" t="str">
        <f t="shared" si="32"/>
        <v>0170-02</v>
      </c>
      <c r="AE82" s="85" t="str">
        <f t="shared" si="33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82" s="82" t="str">
        <f t="shared" si="34"/>
        <v>"C:\Program Files (x86)\AstroGrep\AstroGrep.exe" /spath="%USERPROFILE%\AppData\Local\Temp\OnboardLogs" /stypes="app*4021*20170202*"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6" t="str">
        <f t="shared" si="36"/>
        <v>"%USERPROFILE%\Documents\GitHub\eaglep3\Utilities\RefineRTDCRunTimes.py" --tripid 170-02 --locoid 4021 --swversion DE.1.0.8.0 --startMP 204:232988 --initTime 2017-02-02T13:05:36 --startdatetime 2017-02-02T13:11:15 --delay 1 --endMP 204:138 --enddatetime 2017-02-02T13:50:41 --enforcementcount 0 &gt;&gt;C:\Users\stu\Documents\GitHub\eaglep3-reporting\EC\2017-02-02-refined-times.txt</v>
      </c>
      <c r="AI8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{"issue":{"subject":"","project_id":79,"tracker_id":40,"status_id":1,"priority_id":2,"assigned_to_id":23,"start_date":"2017-02-02","description":"","custom_fields":[{"id":1,"name":"Subdivision","value":"EC"},{"id":4,"name":"Milepost","value":"0.0138"},{"id":17,"name":"Train ID","value":"170-02"},{"id":16,"name":"Locomotive ID","value":"4021"},{"id":130,"name":"Impact","value":""},{"id":150,"name":"Time of Event (Mountain Time)","value":"13:50:41"},{"id":151,"name":"Denver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60" t="str">
        <f t="shared" si="38"/>
        <v>start /low /b %USERPROFILE%\Documents\GitHub\eaglep3\Utilities\DownloadLogsFromS3.py --loco 4021 --day 2017-02-02</v>
      </c>
      <c r="AN82" s="169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570</v>
      </c>
      <c r="B83" s="7">
        <v>4016</v>
      </c>
      <c r="C83" s="21" t="s">
        <v>193</v>
      </c>
      <c r="D83" s="21" t="s">
        <v>293</v>
      </c>
      <c r="E83" s="13">
        <v>42768.515335648146</v>
      </c>
      <c r="F83" s="13">
        <v>42768.521006944444</v>
      </c>
      <c r="G83" s="7">
        <v>1</v>
      </c>
      <c r="H83" s="21" t="s">
        <v>720</v>
      </c>
      <c r="I83" s="13">
        <v>42768.546736111108</v>
      </c>
      <c r="J83" s="7">
        <v>0</v>
      </c>
      <c r="K83" s="98" t="str">
        <f t="shared" si="21"/>
        <v>4015/4016</v>
      </c>
      <c r="L83" s="21" t="str">
        <f>VLOOKUP(A83,'Trips&amp;Operators'!$C$1:$G$99999,5,FALSE)</f>
        <v>BRANNON JEFFREY</v>
      </c>
      <c r="M83" s="6">
        <f t="shared" si="22"/>
        <v>2.5729166663950309E-2</v>
      </c>
      <c r="N83" s="7">
        <f t="shared" si="23"/>
        <v>37.049999996088445</v>
      </c>
      <c r="O83" s="7"/>
      <c r="P83" s="7"/>
      <c r="Q83" s="22"/>
      <c r="R83" s="22"/>
      <c r="S83" s="31">
        <f t="shared" si="24"/>
        <v>1</v>
      </c>
      <c r="T83" s="46" t="str">
        <f t="shared" si="25"/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 t="shared" si="26"/>
        <v>https://d0f6bd738d7f1b3e5a7ca70fe4ff75f0.us-east-1.aws.found.io/app/kibana#/discover/Steve-Slow-Train-Analysis-(2080s-and-2083s)?_g=(refreshInterval:(display:Off,pause:!f,section:0,value:0),time:(from:'2017-02-02T11:22:05-0700',mode:absolute,to:'2017-02-02T14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3" s="194" t="str">
        <f t="shared" si="27"/>
        <v>N</v>
      </c>
      <c r="X83" s="194">
        <f t="shared" si="28"/>
        <v>1</v>
      </c>
      <c r="Y83" s="62">
        <f t="shared" si="29"/>
        <v>4.5499999999999999E-2</v>
      </c>
      <c r="Z83" s="62">
        <f t="shared" si="30"/>
        <v>23.33</v>
      </c>
      <c r="AA83" s="62">
        <f t="shared" si="31"/>
        <v>23.284499999999998</v>
      </c>
      <c r="AB83" s="59" t="e">
        <f>VLOOKUP(A83,Enforcements!$C$7:$K$16,8,0)</f>
        <v>#N/A</v>
      </c>
      <c r="AC83" s="55" t="e">
        <f>VLOOKUP(A83,Enforcements!$C$7:$E$16,3,0)</f>
        <v>#N/A</v>
      </c>
      <c r="AD83" s="56" t="str">
        <f t="shared" si="32"/>
        <v>0171-02</v>
      </c>
      <c r="AE83" s="85" t="str">
        <f t="shared" si="33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83" s="82" t="str">
        <f t="shared" si="34"/>
        <v>"C:\Program Files (x86)\AstroGrep\AstroGrep.exe" /spath="%USERPROFILE%\AppData\Local\Temp\OnboardLogs" /stypes="app*4016*20170202*"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6" t="str">
        <f t="shared" si="36"/>
        <v>"%USERPROFILE%\Documents\GitHub\eaglep3\Utilities\RefineRTDCRunTimes.py" --tripid 171-02 --locoid 4016 --swversion DE.1.0.8.0 --startMP 204:455 --initTime 2017-02-02T12:22:05 --startdatetime 2017-02-02T12:30:15 --delay 1 --endMP 204:233300 --enddatetime 2017-02-02T13:07:18 --enforcementcount 0 &gt;&gt;C:\Users\stu\Documents\GitHub\eaglep3-reporting\EC\2017-02-02-refined-times.txt</v>
      </c>
      <c r="AI8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{"issue":{"subject":"","project_id":79,"tracker_id":40,"status_id":1,"priority_id":2,"assigned_to_id":23,"start_date":"2017-02-02","description":"","custom_fields":[{"id":1,"name":"Subdivision","value":"EC"},{"id":4,"name":"Milepost","value":"23.33"},{"id":17,"name":"Train ID","value":"171-02"},{"id":16,"name":"Locomotive ID","value":"4016"},{"id":130,"name":"Impact","value":""},{"id":150,"name":"Time of Event (Mountain Time)","value":"13:07:18"},{"id":151,"name":"Denver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60" t="str">
        <f t="shared" si="38"/>
        <v>start /low /b %USERPROFILE%\Documents\GitHub\eaglep3\Utilities\DownloadLogsFromS3.py --loco 4016 --day 2017-02-02</v>
      </c>
      <c r="AN83" s="169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577</v>
      </c>
      <c r="B84" s="7">
        <v>4015</v>
      </c>
      <c r="C84" s="21" t="s">
        <v>193</v>
      </c>
      <c r="D84" s="21" t="s">
        <v>287</v>
      </c>
      <c r="E84" s="13">
        <v>42768.549490740741</v>
      </c>
      <c r="F84" s="13">
        <v>42768.559872685182</v>
      </c>
      <c r="G84" s="7">
        <v>1</v>
      </c>
      <c r="H84" s="21" t="s">
        <v>184</v>
      </c>
      <c r="I84" s="13">
        <v>42768.587210648147</v>
      </c>
      <c r="J84" s="7">
        <v>0</v>
      </c>
      <c r="K84" s="98" t="str">
        <f t="shared" si="21"/>
        <v>4015/4016</v>
      </c>
      <c r="L84" s="21" t="str">
        <f>VLOOKUP(A84,'Trips&amp;Operators'!$C$1:$G$99999,5,FALSE)</f>
        <v>BRANNON JEFFREY</v>
      </c>
      <c r="M84" s="6">
        <f t="shared" si="22"/>
        <v>2.7337962965248153E-2</v>
      </c>
      <c r="N84" s="7">
        <f t="shared" si="23"/>
        <v>39.36666666995734</v>
      </c>
      <c r="O84" s="7"/>
      <c r="P84" s="7"/>
      <c r="Q84" s="22"/>
      <c r="R84" s="22"/>
      <c r="S84" s="31">
        <f t="shared" si="24"/>
        <v>1</v>
      </c>
      <c r="T84" s="46" t="str">
        <f t="shared" si="25"/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 t="shared" si="26"/>
        <v>https://d0f6bd738d7f1b3e5a7ca70fe4ff75f0.us-east-1.aws.found.io/app/kibana#/discover/Steve-Slow-Train-Analysis-(2080s-and-2083s)?_g=(refreshInterval:(display:Off,pause:!f,section:0,value:0),time:(from:'2017-02-02T12:11:16-0700',mode:absolute,to:'2017-02-02T15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4" s="194" t="str">
        <f t="shared" si="27"/>
        <v>N</v>
      </c>
      <c r="X84" s="194">
        <f t="shared" si="28"/>
        <v>1</v>
      </c>
      <c r="Y84" s="62">
        <f t="shared" si="29"/>
        <v>23.299399999999999</v>
      </c>
      <c r="Z84" s="62">
        <f t="shared" si="30"/>
        <v>1.49E-2</v>
      </c>
      <c r="AA84" s="62">
        <f t="shared" si="31"/>
        <v>23.284499999999998</v>
      </c>
      <c r="AB84" s="59" t="e">
        <f>VLOOKUP(A84,Enforcements!$C$7:$K$16,8,0)</f>
        <v>#N/A</v>
      </c>
      <c r="AC84" s="55" t="e">
        <f>VLOOKUP(A84,Enforcements!$C$7:$E$16,3,0)</f>
        <v>#N/A</v>
      </c>
      <c r="AD84" s="56" t="str">
        <f t="shared" si="32"/>
        <v>0172-02</v>
      </c>
      <c r="AE84" s="85" t="str">
        <f t="shared" si="33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84" s="82" t="str">
        <f t="shared" si="34"/>
        <v>"C:\Program Files (x86)\AstroGrep\AstroGrep.exe" /spath="%USERPROFILE%\AppData\Local\Temp\OnboardLogs" /stypes="app*4015*20170202*" /stext=" 21:.+((SYSTEM_STATE.+slice.+state.+changed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6" t="str">
        <f t="shared" si="36"/>
        <v>"%USERPROFILE%\Documents\GitHub\eaglep3\Utilities\RefineRTDCRunTimes.py" --tripid 172-02 --locoid 4015 --swversion DE.1.0.8.0 --startMP 204:232994 --initTime 2017-02-02T13:11:16 --startdatetime 2017-02-02T13:26:13 --delay 1 --endMP 204:149 --enddatetime 2017-02-02T14:05:35 --enforcementcount 0 &gt;&gt;C:\Users\stu\Documents\GitHub\eaglep3-reporting\EC\2017-02-02-refined-times.txt</v>
      </c>
      <c r="AI8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ID","value":"172-02"},{"id":16,"name":"Locomotive ID","value":"4015"},{"id":130,"name":"Impact","value":""},{"id":150,"name":"Time of Event (Mountain Time)","value":"14:05:35"},{"id":151,"name":"Denver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60" t="str">
        <f t="shared" si="38"/>
        <v>start /low /b %USERPROFILE%\Documents\GitHub\eaglep3\Utilities\DownloadLogsFromS3.py --loco 4015 --day 2017-02-02</v>
      </c>
      <c r="AN84" s="169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452</v>
      </c>
      <c r="B85" s="7">
        <v>4009</v>
      </c>
      <c r="C85" s="21" t="s">
        <v>193</v>
      </c>
      <c r="D85" s="21" t="s">
        <v>330</v>
      </c>
      <c r="E85" s="13">
        <v>42768.527025462965</v>
      </c>
      <c r="F85" s="13">
        <v>42768.531435185185</v>
      </c>
      <c r="G85" s="7">
        <v>1</v>
      </c>
      <c r="H85" s="21" t="s">
        <v>721</v>
      </c>
      <c r="I85" s="13">
        <v>42768.538124999999</v>
      </c>
      <c r="J85" s="7">
        <v>0</v>
      </c>
      <c r="K85" s="98" t="str">
        <f t="shared" si="21"/>
        <v>4009/4010</v>
      </c>
      <c r="L85" s="21" t="str">
        <f>VLOOKUP(A85,'Trips&amp;Operators'!$C$1:$G$99999,5,FALSE)</f>
        <v>CLARK KATHLEEN</v>
      </c>
      <c r="M85" s="6">
        <f t="shared" si="22"/>
        <v>6.6898148143081926E-3</v>
      </c>
      <c r="N85" s="7"/>
      <c r="O85" s="7"/>
      <c r="P85" s="7">
        <f t="shared" si="23"/>
        <v>9.6333333326037973</v>
      </c>
      <c r="Q85" s="22"/>
      <c r="R85" s="22" t="s">
        <v>847</v>
      </c>
      <c r="S85" s="31">
        <f t="shared" si="24"/>
        <v>0.25</v>
      </c>
      <c r="T85" s="46" t="str">
        <f t="shared" si="25"/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3</v>
      </c>
      <c r="V85" s="193" t="str">
        <f t="shared" si="26"/>
        <v>https://d0f6bd738d7f1b3e5a7ca70fe4ff75f0.us-east-1.aws.found.io/app/kibana#/discover/Steve-Slow-Train-Analysis-(2080s-and-2083s)?_g=(refreshInterval:(display:Off,pause:!f,section:0,value:0),time:(from:'2017-02-02T11:38:55-0700',mode:absolute,to:'2017-02-02T13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5" s="194" t="str">
        <f t="shared" si="27"/>
        <v>Y</v>
      </c>
      <c r="X85" s="194">
        <f t="shared" si="28"/>
        <v>1</v>
      </c>
      <c r="Y85" s="62">
        <f t="shared" si="29"/>
        <v>4.4699999999999997E-2</v>
      </c>
      <c r="Z85" s="62">
        <f t="shared" si="30"/>
        <v>3.6694</v>
      </c>
      <c r="AA85" s="62">
        <f t="shared" si="31"/>
        <v>3.6246999999999998</v>
      </c>
      <c r="AB85" s="59" t="e">
        <f>VLOOKUP(A85,Enforcements!$C$7:$K$16,8,0)</f>
        <v>#N/A</v>
      </c>
      <c r="AC85" s="55" t="e">
        <f>VLOOKUP(A85,Enforcements!$C$7:$E$16,3,0)</f>
        <v>#N/A</v>
      </c>
      <c r="AD85" s="56" t="str">
        <f t="shared" si="32"/>
        <v>0173-02</v>
      </c>
      <c r="AE85" s="85" t="str">
        <f t="shared" si="33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85" s="82" t="str">
        <f t="shared" si="34"/>
        <v>"C:\Program Files (x86)\AstroGrep\AstroGrep.exe" /spath="%USERPROFILE%\AppData\Local\Temp\OnboardLogs" /stypes="app*4009*20170202*" /stext=" 19:.+((SYSTEM_STATE.+slice.+state.+changed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6" t="str">
        <f t="shared" si="36"/>
        <v>"%USERPROFILE%\Documents\GitHub\eaglep3\Utilities\RefineRTDCRunTimes.py" --tripid 173-02 --locoid 4009 --swversion DE.1.0.8.0 --startMP 204:447 --initTime 2017-02-02T12:38:55 --startdatetime 2017-02-02T12:45:16 --delay 1 --endMP 204:36694 --enddatetime 2017-02-02T12:54:54 --enforcementcount 0 &gt;&gt;C:\Users\stu\Documents\GitHub\eaglep3-reporting\EC\2017-02-02-refined-times.txt</v>
      </c>
      <c r="AI85" s="108" t="str">
        <f t="shared" si="37"/>
        <v>echo {"issue":{"subject":"Wi-MAX data drop","project_id":79,"tracker_id":40,"status_id":1,"priority_id":2,"assigned_to_id":23,"start_date":"2017-02-02","description":"","custom_fields":[{"id":1,"name":"Subdivision","value":"EC"},{"id":4,"name":"Milepost","value":"3.6694"},{"id":17,"name":"Train ID","value":"173-02"},{"id":16,"name":"Locomotive ID","value":"4009"},{"id":130,"name":"Impact","value":""},{"id":150,"name":"Time of Event (Mountain Time)","value":"12:54:54"},{"id":151,"name":"Denver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60" t="str">
        <f t="shared" si="38"/>
        <v>start /low /b %USERPROFILE%\Documents\GitHub\eaglep3\Utilities\DownloadLogsFromS3.py --loco 4009 --day 2017-02-02</v>
      </c>
      <c r="AN85" s="169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</row>
    <row r="86" spans="1:91" s="20" customFormat="1" x14ac:dyDescent="0.25">
      <c r="A86" s="33" t="s">
        <v>579</v>
      </c>
      <c r="B86" s="7">
        <v>4010</v>
      </c>
      <c r="C86" s="21" t="s">
        <v>193</v>
      </c>
      <c r="D86" s="21" t="s">
        <v>710</v>
      </c>
      <c r="E86" s="13">
        <v>42768.565937500003</v>
      </c>
      <c r="F86" s="13">
        <v>42768.570300925923</v>
      </c>
      <c r="G86" s="7">
        <v>1</v>
      </c>
      <c r="H86" s="21" t="s">
        <v>722</v>
      </c>
      <c r="I86" s="13">
        <v>42768.598495370374</v>
      </c>
      <c r="J86" s="7">
        <v>0</v>
      </c>
      <c r="K86" s="98" t="str">
        <f t="shared" si="21"/>
        <v>4009/4010</v>
      </c>
      <c r="L86" s="21" t="str">
        <f>VLOOKUP(A86,'Trips&amp;Operators'!$C$1:$G$99999,5,FALSE)</f>
        <v>CLARK KATHLEEN</v>
      </c>
      <c r="M86" s="6">
        <f t="shared" si="22"/>
        <v>2.8194444450491574E-2</v>
      </c>
      <c r="N86" s="7">
        <f t="shared" si="23"/>
        <v>40.600000008707866</v>
      </c>
      <c r="O86" s="7"/>
      <c r="P86" s="7"/>
      <c r="Q86" s="22"/>
      <c r="R86" s="22"/>
      <c r="S86" s="31">
        <f t="shared" si="24"/>
        <v>1</v>
      </c>
      <c r="T86" s="46" t="str">
        <f t="shared" si="25"/>
        <v>Southbound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 t="shared" si="26"/>
        <v>https://d0f6bd738d7f1b3e5a7ca70fe4ff75f0.us-east-1.aws.found.io/app/kibana#/discover/Steve-Slow-Train-Analysis-(2080s-and-2083s)?_g=(refreshInterval:(display:Off,pause:!f,section:0,value:0),time:(from:'2017-02-02T12:34:57-0700',mode:absolute,to:'2017-02-02T15:21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6" s="194" t="str">
        <f t="shared" si="27"/>
        <v>N</v>
      </c>
      <c r="X86" s="194">
        <f t="shared" si="28"/>
        <v>1</v>
      </c>
      <c r="Y86" s="62">
        <f t="shared" si="29"/>
        <v>23.298999999999999</v>
      </c>
      <c r="Z86" s="62">
        <f t="shared" si="30"/>
        <v>1.8700000000000001E-2</v>
      </c>
      <c r="AA86" s="62">
        <f t="shared" si="31"/>
        <v>23.2803</v>
      </c>
      <c r="AB86" s="59" t="e">
        <f>VLOOKUP(A86,Enforcements!$C$7:$K$16,8,0)</f>
        <v>#N/A</v>
      </c>
      <c r="AC86" s="55" t="e">
        <f>VLOOKUP(A86,Enforcements!$C$7:$E$16,3,0)</f>
        <v>#N/A</v>
      </c>
      <c r="AD86" s="56" t="str">
        <f t="shared" si="32"/>
        <v>0174-02</v>
      </c>
      <c r="AE86" s="85" t="str">
        <f t="shared" si="33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86" s="82" t="str">
        <f t="shared" si="34"/>
        <v>"C:\Program Files (x86)\AstroGrep\AstroGrep.exe" /spath="%USERPROFILE%\AppData\Local\Temp\OnboardLogs" /stypes="app*4010*20170202*" /stext=" 21:.+((SYSTEM_STATE.+slice.+state.+changed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6" t="str">
        <f t="shared" si="36"/>
        <v>"%USERPROFILE%\Documents\GitHub\eaglep3\Utilities\RefineRTDCRunTimes.py" --tripid 174-02 --locoid 4010 --swversion DE.1.0.8.0 --startMP 204:232990 --initTime 2017-02-02T13:34:57 --startdatetime 2017-02-02T13:41:14 --delay 1 --endMP 204:187 --enddatetime 2017-02-02T14:21:50 --enforcementcount 0 &gt;&gt;C:\Users\stu\Documents\GitHub\eaglep3-reporting\EC\2017-02-02-refined-times.txt</v>
      </c>
      <c r="AI8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{"issue":{"subject":"","project_id":79,"tracker_id":40,"status_id":1,"priority_id":2,"assigned_to_id":23,"start_date":"2017-02-02","description":"","custom_fields":[{"id":1,"name":"Subdivision","value":"EC"},{"id":4,"name":"Milepost","value":"0.0187"},{"id":17,"name":"Train ID","value":"174-02"},{"id":16,"name":"Locomotive ID","value":"4010"},{"id":130,"name":"Impact","value":""},{"id":150,"name":"Time of Event (Mountain Time)","value":"14:21:50"},{"id":151,"name":"Denver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60" t="str">
        <f t="shared" si="38"/>
        <v>start /low /b %USERPROFILE%\Documents\GitHub\eaglep3\Utilities\DownloadLogsFromS3.py --loco 4010 --day 2017-02-02</v>
      </c>
      <c r="AN86" s="169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573</v>
      </c>
      <c r="B87" s="7">
        <v>4011</v>
      </c>
      <c r="C87" s="21" t="s">
        <v>193</v>
      </c>
      <c r="D87" s="21" t="s">
        <v>723</v>
      </c>
      <c r="E87" s="13">
        <v>42768.537372685183</v>
      </c>
      <c r="F87" s="13">
        <v>42768.541898148149</v>
      </c>
      <c r="G87" s="7">
        <v>1</v>
      </c>
      <c r="H87" s="21" t="s">
        <v>698</v>
      </c>
      <c r="I87" s="13">
        <v>42768.568287037036</v>
      </c>
      <c r="J87" s="7">
        <v>0</v>
      </c>
      <c r="K87" s="98" t="str">
        <f t="shared" si="21"/>
        <v>4011/4012</v>
      </c>
      <c r="L87" s="21" t="str">
        <f>VLOOKUP(A87,'Trips&amp;Operators'!$C$1:$G$99999,5,FALSE)</f>
        <v>SWANSON BRYCE</v>
      </c>
      <c r="M87" s="6">
        <f t="shared" si="22"/>
        <v>2.6388888887595385E-2</v>
      </c>
      <c r="N87" s="7">
        <f t="shared" si="23"/>
        <v>37.999999998137355</v>
      </c>
      <c r="O87" s="7"/>
      <c r="P87" s="7"/>
      <c r="Q87" s="22"/>
      <c r="R87" s="22"/>
      <c r="S87" s="31">
        <f t="shared" si="24"/>
        <v>1</v>
      </c>
      <c r="T87" s="46" t="str">
        <f t="shared" si="25"/>
        <v>NorthBound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 t="shared" si="26"/>
        <v>https://d0f6bd738d7f1b3e5a7ca70fe4ff75f0.us-east-1.aws.found.io/app/kibana#/discover/Steve-Slow-Train-Analysis-(2080s-and-2083s)?_g=(refreshInterval:(display:Off,pause:!f,section:0,value:0),time:(from:'2017-02-02T11:53:49-0700',mode:absolute,to:'2017-02-02T14:38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7" s="194" t="str">
        <f t="shared" si="27"/>
        <v>N</v>
      </c>
      <c r="X87" s="194">
        <f t="shared" si="28"/>
        <v>1</v>
      </c>
      <c r="Y87" s="62">
        <f t="shared" si="29"/>
        <v>4.3499999999999997E-2</v>
      </c>
      <c r="Z87" s="62">
        <f t="shared" si="30"/>
        <v>23.326599999999999</v>
      </c>
      <c r="AA87" s="62">
        <f t="shared" si="31"/>
        <v>23.283099999999997</v>
      </c>
      <c r="AB87" s="59" t="e">
        <f>VLOOKUP(A87,Enforcements!$C$7:$K$16,8,0)</f>
        <v>#N/A</v>
      </c>
      <c r="AC87" s="55" t="e">
        <f>VLOOKUP(A87,Enforcements!$C$7:$E$16,3,0)</f>
        <v>#N/A</v>
      </c>
      <c r="AD87" s="56" t="str">
        <f t="shared" si="32"/>
        <v>0175-02</v>
      </c>
      <c r="AE87" s="85" t="str">
        <f t="shared" si="33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87" s="82" t="str">
        <f t="shared" si="34"/>
        <v>"C:\Program Files (x86)\AstroGrep\AstroGrep.exe" /spath="%USERPROFILE%\AppData\Local\Temp\OnboardLogs" /stypes="app*4011*20170202*" /stext=" 20:.+((SYSTEM_STATE.+slice.+state.+changed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6" t="str">
        <f t="shared" si="36"/>
        <v>"%USERPROFILE%\Documents\GitHub\eaglep3\Utilities\RefineRTDCRunTimes.py" --tripid 175-02 --locoid 4011 --swversion DE.1.0.8.0 --startMP 204:435 --initTime 2017-02-02T12:53:49 --startdatetime 2017-02-02T13:00:20 --delay 1 --endMP 204:233266 --enddatetime 2017-02-02T13:38:20 --enforcementcount 0 &gt;&gt;C:\Users\stu\Documents\GitHub\eaglep3-reporting\EC\2017-02-02-refined-times.txt</v>
      </c>
      <c r="AI87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{"issue":{"subject":"","project_id":79,"tracker_id":40,"status_id":1,"priority_id":2,"assigned_to_id":23,"start_date":"2017-02-02","description":"","custom_fields":[{"id":1,"name":"Subdivision","value":"EC"},{"id":4,"name":"Milepost","value":"23.3266"},{"id":17,"name":"Train ID","value":"175-02"},{"id":16,"name":"Locomotive ID","value":"4011"},{"id":130,"name":"Impact","value":""},{"id":150,"name":"Time of Event (Mountain Time)","value":"13:38:20"},{"id":151,"name":"Denver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60" t="str">
        <f t="shared" si="38"/>
        <v>start /low /b %USERPROFILE%\Documents\GitHub\eaglep3\Utilities\DownloadLogsFromS3.py --loco 4011 --day 2017-02-02</v>
      </c>
      <c r="AN87" s="169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582</v>
      </c>
      <c r="B88" s="7">
        <v>4012</v>
      </c>
      <c r="C88" s="21" t="s">
        <v>193</v>
      </c>
      <c r="D88" s="21" t="s">
        <v>701</v>
      </c>
      <c r="E88" s="13">
        <v>42768.570891203701</v>
      </c>
      <c r="F88" s="13">
        <v>42768.580891203703</v>
      </c>
      <c r="G88" s="7">
        <v>1</v>
      </c>
      <c r="H88" s="21" t="s">
        <v>264</v>
      </c>
      <c r="I88" s="13">
        <v>42768.608032407406</v>
      </c>
      <c r="J88" s="7">
        <v>0</v>
      </c>
      <c r="K88" s="98" t="str">
        <f t="shared" si="21"/>
        <v>4011/4012</v>
      </c>
      <c r="L88" s="21" t="str">
        <f>VLOOKUP(A88,'Trips&amp;Operators'!$C$1:$G$99999,5,FALSE)</f>
        <v>SWANSON BRYCE</v>
      </c>
      <c r="M88" s="6">
        <f t="shared" si="22"/>
        <v>2.7141203703649808E-2</v>
      </c>
      <c r="N88" s="7">
        <f t="shared" si="23"/>
        <v>39.083333333255723</v>
      </c>
      <c r="O88" s="7"/>
      <c r="P88" s="7"/>
      <c r="Q88" s="22"/>
      <c r="R88" s="22"/>
      <c r="S88" s="31">
        <f t="shared" si="24"/>
        <v>1</v>
      </c>
      <c r="T88" s="46" t="str">
        <f t="shared" si="25"/>
        <v>Southbound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 t="shared" si="26"/>
        <v>https://d0f6bd738d7f1b3e5a7ca70fe4ff75f0.us-east-1.aws.found.io/app/kibana#/discover/Steve-Slow-Train-Analysis-(2080s-and-2083s)?_g=(refreshInterval:(display:Off,pause:!f,section:0,value:0),time:(from:'2017-02-02T12:42:05-0700',mode:absolute,to:'2017-02-02T15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8" s="194" t="str">
        <f t="shared" si="27"/>
        <v>N</v>
      </c>
      <c r="X88" s="194">
        <f t="shared" si="28"/>
        <v>1</v>
      </c>
      <c r="Y88" s="62">
        <f t="shared" si="29"/>
        <v>23.2957</v>
      </c>
      <c r="Z88" s="62">
        <f t="shared" si="30"/>
        <v>1.41E-2</v>
      </c>
      <c r="AA88" s="62">
        <f t="shared" si="31"/>
        <v>23.281600000000001</v>
      </c>
      <c r="AB88" s="59" t="e">
        <f>VLOOKUP(A88,Enforcements!$C$7:$K$16,8,0)</f>
        <v>#N/A</v>
      </c>
      <c r="AC88" s="55" t="e">
        <f>VLOOKUP(A88,Enforcements!$C$7:$E$16,3,0)</f>
        <v>#N/A</v>
      </c>
      <c r="AD88" s="56" t="str">
        <f t="shared" si="32"/>
        <v>0176-02</v>
      </c>
      <c r="AE88" s="85" t="str">
        <f t="shared" si="33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88" s="82" t="str">
        <f t="shared" si="34"/>
        <v>"C:\Program Files (x86)\AstroGrep\AstroGrep.exe" /spath="%USERPROFILE%\AppData\Local\Temp\OnboardLogs" /stypes="app*4012*20170202*"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6" t="str">
        <f t="shared" si="36"/>
        <v>"%USERPROFILE%\Documents\GitHub\eaglep3\Utilities\RefineRTDCRunTimes.py" --tripid 176-02 --locoid 4012 --swversion DE.1.0.8.0 --startMP 204:232957 --initTime 2017-02-02T13:42:05 --startdatetime 2017-02-02T13:56:29 --delay 1 --endMP 204:141 --enddatetime 2017-02-02T14:35:34 --enforcementcount 0 &gt;&gt;C:\Users\stu\Documents\GitHub\eaglep3-reporting\EC\2017-02-02-refined-times.txt</v>
      </c>
      <c r="AI8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{"issue":{"subject":"","project_id":79,"tracker_id":40,"status_id":1,"priority_id":2,"assigned_to_id":23,"start_date":"2017-02-02","description":"","custom_fields":[{"id":1,"name":"Subdivision","value":"EC"},{"id":4,"name":"Milepost","value":"0.0141"},{"id":17,"name":"Train ID","value":"176-02"},{"id":16,"name":"Locomotive ID","value":"4012"},{"id":130,"name":"Impact","value":""},{"id":150,"name":"Time of Event (Mountain Time)","value":"14:35:34"},{"id":151,"name":"Denver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60" t="str">
        <f t="shared" si="38"/>
        <v>start /low /b %USERPROFILE%\Documents\GitHub\eaglep3\Utilities\DownloadLogsFromS3.py --loco 4012 --day 2017-02-02</v>
      </c>
      <c r="AN88" s="169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576</v>
      </c>
      <c r="B89" s="7">
        <v>4051</v>
      </c>
      <c r="C89" s="21" t="s">
        <v>193</v>
      </c>
      <c r="D89" s="21" t="s">
        <v>405</v>
      </c>
      <c r="E89" s="13">
        <v>42768.547997685186</v>
      </c>
      <c r="F89" s="13">
        <v>42768.55228009259</v>
      </c>
      <c r="G89" s="7">
        <v>1</v>
      </c>
      <c r="H89" s="21" t="s">
        <v>346</v>
      </c>
      <c r="I89" s="13">
        <v>42768.576747685183</v>
      </c>
      <c r="J89" s="7">
        <v>0</v>
      </c>
      <c r="K89" s="98" t="str">
        <f t="shared" si="21"/>
        <v>4051/4052</v>
      </c>
      <c r="L89" s="21" t="str">
        <f>VLOOKUP(A89,'Trips&amp;Operators'!$C$1:$G$99999,5,FALSE)</f>
        <v>BRUDER RICHARD</v>
      </c>
      <c r="M89" s="6">
        <f t="shared" si="22"/>
        <v>2.4467592593282461E-2</v>
      </c>
      <c r="N89" s="7">
        <f t="shared" si="23"/>
        <v>35.233333334326744</v>
      </c>
      <c r="O89" s="7"/>
      <c r="P89" s="7"/>
      <c r="Q89" s="22"/>
      <c r="R89" s="22"/>
      <c r="S89" s="31">
        <f t="shared" si="24"/>
        <v>1</v>
      </c>
      <c r="T89" s="46" t="str">
        <f t="shared" si="25"/>
        <v>NorthBound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 t="shared" si="26"/>
        <v>https://d0f6bd738d7f1b3e5a7ca70fe4ff75f0.us-east-1.aws.found.io/app/kibana#/discover/Steve-Slow-Train-Analysis-(2080s-and-2083s)?_g=(refreshInterval:(display:Off,pause:!f,section:0,value:0),time:(from:'2017-02-02T12:09:07-0700',mode:absolute,to:'2017-02-02T14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9" s="194" t="str">
        <f t="shared" si="27"/>
        <v>N</v>
      </c>
      <c r="X89" s="194">
        <f t="shared" si="28"/>
        <v>1</v>
      </c>
      <c r="Y89" s="62">
        <f t="shared" si="29"/>
        <v>4.4200000000000003E-2</v>
      </c>
      <c r="Z89" s="62">
        <f t="shared" si="30"/>
        <v>23.330300000000001</v>
      </c>
      <c r="AA89" s="62">
        <f t="shared" si="31"/>
        <v>23.286100000000001</v>
      </c>
      <c r="AB89" s="59" t="e">
        <f>VLOOKUP(A89,Enforcements!$C$7:$K$16,8,0)</f>
        <v>#N/A</v>
      </c>
      <c r="AC89" s="55" t="e">
        <f>VLOOKUP(A89,Enforcements!$C$7:$E$16,3,0)</f>
        <v>#N/A</v>
      </c>
      <c r="AD89" s="56" t="str">
        <f t="shared" si="32"/>
        <v>0177-02</v>
      </c>
      <c r="AE89" s="85" t="str">
        <f t="shared" si="33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89" s="82" t="str">
        <f t="shared" si="34"/>
        <v>"C:\Program Files (x86)\AstroGrep\AstroGrep.exe" /spath="%USERPROFILE%\AppData\Local\Temp\OnboardLogs" /stypes="app*4051*20170202*" /stext=" 20:.+((SYSTEM_STATE.+slice.+state.+changed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6" t="str">
        <f t="shared" si="36"/>
        <v>"%USERPROFILE%\Documents\GitHub\eaglep3\Utilities\RefineRTDCRunTimes.py" --tripid 177-02 --locoid 4051 --swversion DE.1.0.8.0 --startMP 204:442 --initTime 2017-02-02T13:09:07 --startdatetime 2017-02-02T13:15:17 --delay 1 --endMP 204:233303 --enddatetime 2017-02-02T13:50:31 --enforcementcount 0 &gt;&gt;C:\Users\stu\Documents\GitHub\eaglep3-reporting\EC\2017-02-02-refined-times.txt</v>
      </c>
      <c r="AI8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{"issue":{"subject":"","project_id":79,"tracker_id":40,"status_id":1,"priority_id":2,"assigned_to_id":23,"start_date":"2017-02-02","description":"","custom_fields":[{"id":1,"name":"Subdivision","value":"EC"},{"id":4,"name":"Milepost","value":"23.3303"},{"id":17,"name":"Train ID","value":"177-02"},{"id":16,"name":"Locomotive ID","value":"4051"},{"id":130,"name":"Impact","value":""},{"id":150,"name":"Time of Event (Mountain Time)","value":"13:50:31"},{"id":151,"name":"Denver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60" t="str">
        <f t="shared" si="38"/>
        <v>start /low /b %USERPROFILE%\Documents\GitHub\eaglep3\Utilities\DownloadLogsFromS3.py --loco 4051 --day 2017-02-02</v>
      </c>
      <c r="AN89" s="169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584</v>
      </c>
      <c r="B90" s="7">
        <v>4052</v>
      </c>
      <c r="C90" s="21" t="s">
        <v>193</v>
      </c>
      <c r="D90" s="21" t="s">
        <v>407</v>
      </c>
      <c r="E90" s="13">
        <v>42768.585543981484</v>
      </c>
      <c r="F90" s="13">
        <v>42768.591157407405</v>
      </c>
      <c r="G90" s="7">
        <v>1</v>
      </c>
      <c r="H90" s="21" t="s">
        <v>237</v>
      </c>
      <c r="I90" s="13">
        <v>42768.617835648147</v>
      </c>
      <c r="J90" s="7">
        <v>0</v>
      </c>
      <c r="K90" s="98" t="str">
        <f t="shared" si="21"/>
        <v>4051/4052</v>
      </c>
      <c r="L90" s="21" t="str">
        <f>VLOOKUP(A90,'Trips&amp;Operators'!$C$1:$G$99999,5,FALSE)</f>
        <v>BRUDER RICHARD</v>
      </c>
      <c r="M90" s="6">
        <f t="shared" si="22"/>
        <v>2.6678240741603076E-2</v>
      </c>
      <c r="N90" s="7">
        <f t="shared" si="23"/>
        <v>38.41666666790843</v>
      </c>
      <c r="O90" s="7"/>
      <c r="P90" s="7"/>
      <c r="Q90" s="22"/>
      <c r="R90" s="22"/>
      <c r="S90" s="31">
        <f t="shared" si="24"/>
        <v>1</v>
      </c>
      <c r="T90" s="46" t="str">
        <f t="shared" si="25"/>
        <v>Southbound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 t="shared" si="26"/>
        <v>https://d0f6bd738d7f1b3e5a7ca70fe4ff75f0.us-east-1.aws.found.io/app/kibana#/discover/Steve-Slow-Train-Analysis-(2080s-and-2083s)?_g=(refreshInterval:(display:Off,pause:!f,section:0,value:0),time:(from:'2017-02-02T13:03:11-0700',mode:absolute,to:'2017-02-02T15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0" s="194" t="str">
        <f t="shared" si="27"/>
        <v>N</v>
      </c>
      <c r="X90" s="194">
        <f t="shared" si="28"/>
        <v>1</v>
      </c>
      <c r="Y90" s="62">
        <f t="shared" si="29"/>
        <v>23.297999999999998</v>
      </c>
      <c r="Z90" s="62">
        <f t="shared" si="30"/>
        <v>1.43E-2</v>
      </c>
      <c r="AA90" s="62">
        <f t="shared" si="31"/>
        <v>23.2837</v>
      </c>
      <c r="AB90" s="59" t="e">
        <f>VLOOKUP(A90,Enforcements!$C$7:$K$16,8,0)</f>
        <v>#N/A</v>
      </c>
      <c r="AC90" s="55" t="e">
        <f>VLOOKUP(A90,Enforcements!$C$7:$E$16,3,0)</f>
        <v>#N/A</v>
      </c>
      <c r="AD90" s="56" t="str">
        <f t="shared" si="32"/>
        <v>0178-02</v>
      </c>
      <c r="AE90" s="85" t="str">
        <f t="shared" si="33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90" s="82" t="str">
        <f t="shared" si="34"/>
        <v>"C:\Program Files (x86)\AstroGrep\AstroGrep.exe" /spath="%USERPROFILE%\AppData\Local\Temp\OnboardLogs" /stypes="app*4052*20170202*"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6" t="str">
        <f t="shared" si="36"/>
        <v>"%USERPROFILE%\Documents\GitHub\eaglep3\Utilities\RefineRTDCRunTimes.py" --tripid 178-02 --locoid 4052 --swversion DE.1.0.8.0 --startMP 204:232980 --initTime 2017-02-02T14:03:11 --startdatetime 2017-02-02T14:11:16 --delay 1 --endMP 204:143 --enddatetime 2017-02-02T14:49:41 --enforcementcount 0 &gt;&gt;C:\Users\stu\Documents\GitHub\eaglep3-reporting\EC\2017-02-02-refined-times.txt</v>
      </c>
      <c r="AI9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{"issue":{"subject":"","project_id":79,"tracker_id":40,"status_id":1,"priority_id":2,"assigned_to_id":23,"start_date":"2017-02-02","description":"","custom_fields":[{"id":1,"name":"Subdivision","value":"EC"},{"id":4,"name":"Milepost","value":"0.0143"},{"id":17,"name":"Train ID","value":"178-02"},{"id":16,"name":"Locomotive ID","value":"4052"},{"id":130,"name":"Impact","value":""},{"id":150,"name":"Time of Event (Mountain Time)","value":"14:49:41"},{"id":151,"name":"Denver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60" t="str">
        <f t="shared" si="38"/>
        <v>start /low /b %USERPROFILE%\Documents\GitHub\eaglep3\Utilities\DownloadLogsFromS3.py --loco 4052 --day 2017-02-02</v>
      </c>
      <c r="AN90" s="169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578</v>
      </c>
      <c r="B91" s="7">
        <v>4025</v>
      </c>
      <c r="C91" s="21" t="s">
        <v>193</v>
      </c>
      <c r="D91" s="21" t="s">
        <v>402</v>
      </c>
      <c r="E91" s="13">
        <v>42768.558923611112</v>
      </c>
      <c r="F91" s="13">
        <v>42768.562743055554</v>
      </c>
      <c r="G91" s="7">
        <v>1</v>
      </c>
      <c r="H91" s="21" t="s">
        <v>308</v>
      </c>
      <c r="I91" s="13">
        <v>42768.587534722225</v>
      </c>
      <c r="J91" s="7">
        <v>0</v>
      </c>
      <c r="K91" s="98" t="str">
        <f t="shared" si="21"/>
        <v>4025/4026</v>
      </c>
      <c r="L91" s="21" t="str">
        <f>VLOOKUP(A91,'Trips&amp;Operators'!$C$1:$G$99999,5,FALSE)</f>
        <v>SMITH MICHAEL</v>
      </c>
      <c r="M91" s="6">
        <f t="shared" si="22"/>
        <v>2.4791666670353152E-2</v>
      </c>
      <c r="N91" s="7">
        <f t="shared" si="23"/>
        <v>35.700000005308539</v>
      </c>
      <c r="O91" s="7"/>
      <c r="P91" s="7"/>
      <c r="Q91" s="22"/>
      <c r="R91" s="22"/>
      <c r="S91" s="31">
        <f t="shared" si="24"/>
        <v>1</v>
      </c>
      <c r="T91" s="46" t="str">
        <f t="shared" si="25"/>
        <v>NorthBound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 t="shared" si="26"/>
        <v>https://d0f6bd738d7f1b3e5a7ca70fe4ff75f0.us-east-1.aws.found.io/app/kibana#/discover/Steve-Slow-Train-Analysis-(2080s-and-2083s)?_g=(refreshInterval:(display:Off,pause:!f,section:0,value:0),time:(from:'2017-02-02T12:24:51-0700',mode:absolute,to:'2017-02-02T15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1" s="194" t="str">
        <f t="shared" si="27"/>
        <v>N</v>
      </c>
      <c r="X91" s="194">
        <f t="shared" si="28"/>
        <v>1</v>
      </c>
      <c r="Y91" s="62">
        <f t="shared" si="29"/>
        <v>4.3799999999999999E-2</v>
      </c>
      <c r="Z91" s="62">
        <f t="shared" si="30"/>
        <v>23.3308</v>
      </c>
      <c r="AA91" s="62">
        <f t="shared" si="31"/>
        <v>23.286999999999999</v>
      </c>
      <c r="AB91" s="59" t="e">
        <f>VLOOKUP(A91,Enforcements!$C$7:$K$16,8,0)</f>
        <v>#N/A</v>
      </c>
      <c r="AC91" s="55" t="e">
        <f>VLOOKUP(A91,Enforcements!$C$7:$E$16,3,0)</f>
        <v>#N/A</v>
      </c>
      <c r="AD91" s="56" t="str">
        <f t="shared" si="32"/>
        <v>0179-02</v>
      </c>
      <c r="AE91" s="85" t="str">
        <f t="shared" si="33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91" s="82" t="str">
        <f t="shared" si="34"/>
        <v>"C:\Program Files (x86)\AstroGrep\AstroGrep.exe" /spath="%USERPROFILE%\AppData\Local\Temp\OnboardLogs" /stypes="app*4025*20170202*"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6" t="str">
        <f t="shared" si="36"/>
        <v>"%USERPROFILE%\Documents\GitHub\eaglep3\Utilities\RefineRTDCRunTimes.py" --tripid 179-02 --locoid 4025 --swversion DE.1.0.8.0 --startMP 204:438 --initTime 2017-02-02T13:24:51 --startdatetime 2017-02-02T13:30:21 --delay 1 --endMP 204:233308 --enddatetime 2017-02-02T14:06:03 --enforcementcount 0 &gt;&gt;C:\Users\stu\Documents\GitHub\eaglep3-reporting\EC\2017-02-02-refined-times.txt</v>
      </c>
      <c r="AI9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{"issue":{"subject":"","project_id":79,"tracker_id":40,"status_id":1,"priority_id":2,"assigned_to_id":23,"start_date":"2017-02-02","description":"","custom_fields":[{"id":1,"name":"Subdivision","value":"EC"},{"id":4,"name":"Milepost","value":"23.3308"},{"id":17,"name":"Train ID","value":"179-02"},{"id":16,"name":"Locomotive ID","value":"4025"},{"id":130,"name":"Impact","value":""},{"id":150,"name":"Time of Event (Mountain Time)","value":"14:06:03"},{"id":151,"name":"Denver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60" t="str">
        <f t="shared" si="38"/>
        <v>start /low /b %USERPROFILE%\Documents\GitHub\eaglep3\Utilities\DownloadLogsFromS3.py --loco 4025 --day 2017-02-02</v>
      </c>
      <c r="AN91" s="169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586</v>
      </c>
      <c r="B92" s="7">
        <v>4026</v>
      </c>
      <c r="C92" s="21" t="s">
        <v>193</v>
      </c>
      <c r="D92" s="21" t="s">
        <v>343</v>
      </c>
      <c r="E92" s="13">
        <v>42768.592777777776</v>
      </c>
      <c r="F92" s="13">
        <v>42768.601585648146</v>
      </c>
      <c r="G92" s="7">
        <v>1</v>
      </c>
      <c r="H92" s="21" t="s">
        <v>284</v>
      </c>
      <c r="I92" s="13">
        <v>42768.628263888888</v>
      </c>
      <c r="J92" s="7">
        <v>0</v>
      </c>
      <c r="K92" s="98" t="str">
        <f t="shared" si="21"/>
        <v>4025/4026</v>
      </c>
      <c r="L92" s="21" t="str">
        <f>VLOOKUP(A92,'Trips&amp;Operators'!$C$1:$G$99999,5,FALSE)</f>
        <v>SMITH MICHAEL</v>
      </c>
      <c r="M92" s="6">
        <f t="shared" si="22"/>
        <v>2.6678240741603076E-2</v>
      </c>
      <c r="N92" s="7">
        <f t="shared" si="23"/>
        <v>38.41666666790843</v>
      </c>
      <c r="O92" s="7"/>
      <c r="P92" s="7"/>
      <c r="Q92" s="22"/>
      <c r="R92" s="22"/>
      <c r="S92" s="31">
        <f t="shared" si="24"/>
        <v>1</v>
      </c>
      <c r="T92" s="46" t="str">
        <f t="shared" si="25"/>
        <v>Southbound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 t="shared" si="26"/>
        <v>https://d0f6bd738d7f1b3e5a7ca70fe4ff75f0.us-east-1.aws.found.io/app/kibana#/discover/Steve-Slow-Train-Analysis-(2080s-and-2083s)?_g=(refreshInterval:(display:Off,pause:!f,section:0,value:0),time:(from:'2017-02-02T13:13:36-0700',mode:absolute,to:'2017-02-02T16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194" t="str">
        <f t="shared" si="27"/>
        <v>N</v>
      </c>
      <c r="X92" s="194">
        <f t="shared" si="28"/>
        <v>1</v>
      </c>
      <c r="Y92" s="62">
        <f t="shared" si="29"/>
        <v>23.298100000000002</v>
      </c>
      <c r="Z92" s="62">
        <f t="shared" si="30"/>
        <v>1.3599999999999999E-2</v>
      </c>
      <c r="AA92" s="62">
        <f t="shared" si="31"/>
        <v>23.284500000000001</v>
      </c>
      <c r="AB92" s="59" t="e">
        <f>VLOOKUP(A92,Enforcements!$C$7:$K$16,8,0)</f>
        <v>#N/A</v>
      </c>
      <c r="AC92" s="55" t="e">
        <f>VLOOKUP(A92,Enforcements!$C$7:$E$16,3,0)</f>
        <v>#N/A</v>
      </c>
      <c r="AD92" s="56" t="str">
        <f t="shared" si="32"/>
        <v>0180-02</v>
      </c>
      <c r="AE92" s="85" t="str">
        <f t="shared" si="33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92" s="82" t="str">
        <f t="shared" si="34"/>
        <v>"C:\Program Files (x86)\AstroGrep\AstroGrep.exe" /spath="%USERPROFILE%\AppData\Local\Temp\OnboardLogs" /stypes="app*4026*20170202*" /stext=" 22:.+((SYSTEM_STATE.+slice.+state.+changed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6" t="str">
        <f t="shared" si="36"/>
        <v>"%USERPROFILE%\Documents\GitHub\eaglep3\Utilities\RefineRTDCRunTimes.py" --tripid 180-02 --locoid 4026 --swversion DE.1.0.8.0 --startMP 204:232981 --initTime 2017-02-02T14:13:36 --startdatetime 2017-02-02T14:26:17 --delay 1 --endMP 204:136 --enddatetime 2017-02-02T15:04:42 --enforcementcount 0 &gt;&gt;C:\Users\stu\Documents\GitHub\eaglep3-reporting\EC\2017-02-02-refined-times.txt</v>
      </c>
      <c r="AI9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{"issue":{"subject":"","project_id":79,"tracker_id":40,"status_id":1,"priority_id":2,"assigned_to_id":23,"start_date":"2017-02-02","description":"","custom_fields":[{"id":1,"name":"Subdivision","value":"EC"},{"id":4,"name":"Milepost","value":"0.0136"},{"id":17,"name":"Train ID","value":"180-02"},{"id":16,"name":"Locomotive ID","value":"4026"},{"id":130,"name":"Impact","value":""},{"id":150,"name":"Time of Event (Mountain Time)","value":"15:04:42"},{"id":151,"name":"Denver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60" t="str">
        <f t="shared" si="38"/>
        <v>start /low /b %USERPROFILE%\Documents\GitHub\eaglep3\Utilities\DownloadLogsFromS3.py --loco 4026 --day 2017-02-02</v>
      </c>
      <c r="AN92" s="169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581</v>
      </c>
      <c r="B93" s="7">
        <v>4027</v>
      </c>
      <c r="C93" s="21" t="s">
        <v>193</v>
      </c>
      <c r="D93" s="21" t="s">
        <v>409</v>
      </c>
      <c r="E93" s="13">
        <v>42768.568229166667</v>
      </c>
      <c r="F93" s="13">
        <v>42768.573298611111</v>
      </c>
      <c r="G93" s="7">
        <v>1</v>
      </c>
      <c r="H93" s="21" t="s">
        <v>416</v>
      </c>
      <c r="I93" s="13">
        <v>42768.597615740742</v>
      </c>
      <c r="J93" s="7">
        <v>0</v>
      </c>
      <c r="K93" s="98" t="str">
        <f t="shared" si="21"/>
        <v>4027/4028</v>
      </c>
      <c r="L93" s="21" t="str">
        <f>VLOOKUP(A93,'Trips&amp;Operators'!$C$1:$G$99999,5,FALSE)</f>
        <v>DELGADO DIANAH</v>
      </c>
      <c r="M93" s="6">
        <f t="shared" si="22"/>
        <v>2.4317129631526768E-2</v>
      </c>
      <c r="N93" s="7">
        <f t="shared" si="23"/>
        <v>35.016666669398546</v>
      </c>
      <c r="O93" s="7"/>
      <c r="P93" s="7"/>
      <c r="Q93" s="22"/>
      <c r="R93" s="22"/>
      <c r="S93" s="31">
        <f t="shared" si="24"/>
        <v>1</v>
      </c>
      <c r="T93" s="46" t="str">
        <f t="shared" si="25"/>
        <v>NorthBound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 t="shared" si="26"/>
        <v>https://d0f6bd738d7f1b3e5a7ca70fe4ff75f0.us-east-1.aws.found.io/app/kibana#/discover/Steve-Slow-Train-Analysis-(2080s-and-2083s)?_g=(refreshInterval:(display:Off,pause:!f,section:0,value:0),time:(from:'2017-02-02T12:38:15-0700',mode:absolute,to:'2017-02-02T15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194" t="str">
        <f t="shared" si="27"/>
        <v>N</v>
      </c>
      <c r="X93" s="194">
        <f t="shared" si="28"/>
        <v>1</v>
      </c>
      <c r="Y93" s="62">
        <f t="shared" si="29"/>
        <v>4.4400000000000002E-2</v>
      </c>
      <c r="Z93" s="62">
        <f t="shared" si="30"/>
        <v>23.328900000000001</v>
      </c>
      <c r="AA93" s="62">
        <f t="shared" si="31"/>
        <v>23.284500000000001</v>
      </c>
      <c r="AB93" s="59" t="e">
        <f>VLOOKUP(A93,Enforcements!$C$7:$K$16,8,0)</f>
        <v>#N/A</v>
      </c>
      <c r="AC93" s="55" t="e">
        <f>VLOOKUP(A93,Enforcements!$C$7:$E$16,3,0)</f>
        <v>#N/A</v>
      </c>
      <c r="AD93" s="56" t="str">
        <f t="shared" si="32"/>
        <v>0181-02</v>
      </c>
      <c r="AE93" s="85" t="str">
        <f t="shared" si="33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93" s="82" t="str">
        <f t="shared" si="34"/>
        <v>"C:\Program Files (x86)\AstroGrep\AstroGrep.exe" /spath="%USERPROFILE%\AppData\Local\Temp\OnboardLogs" /stypes="app*4027*20170202*" /stext=" 21:.+((SYSTEM_STATE.+slice.+state.+changed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6" t="str">
        <f t="shared" si="36"/>
        <v>"%USERPROFILE%\Documents\GitHub\eaglep3\Utilities\RefineRTDCRunTimes.py" --tripid 181-02 --locoid 4027 --swversion DE.1.0.8.0 --startMP 204:444 --initTime 2017-02-02T13:38:15 --startdatetime 2017-02-02T13:45:33 --delay 1 --endMP 204:233289 --enddatetime 2017-02-02T14:20:34 --enforcementcount 0 &gt;&gt;C:\Users\stu\Documents\GitHub\eaglep3-reporting\EC\2017-02-02-refined-times.txt</v>
      </c>
      <c r="AI9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{"issue":{"subject":"","project_id":79,"tracker_id":40,"status_id":1,"priority_id":2,"assigned_to_id":23,"start_date":"2017-02-02","description":"","custom_fields":[{"id":1,"name":"Subdivision","value":"EC"},{"id":4,"name":"Milepost","value":"23.3289"},{"id":17,"name":"Train ID","value":"181-02"},{"id":16,"name":"Locomotive ID","value":"4027"},{"id":130,"name":"Impact","value":""},{"id":150,"name":"Time of Event (Mountain Time)","value":"14:20:34"},{"id":151,"name":"Denver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60" t="str">
        <f t="shared" si="38"/>
        <v>start /low /b %USERPROFILE%\Documents\GitHub\eaglep3\Utilities\DownloadLogsFromS3.py --loco 4027 --day 2017-02-02</v>
      </c>
      <c r="AN93" s="169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589</v>
      </c>
      <c r="B94" s="7">
        <v>4028</v>
      </c>
      <c r="C94" s="21" t="s">
        <v>193</v>
      </c>
      <c r="D94" s="21" t="s">
        <v>342</v>
      </c>
      <c r="E94" s="13">
        <v>42768.602453703701</v>
      </c>
      <c r="F94" s="13">
        <v>42768.61204861111</v>
      </c>
      <c r="G94" s="7">
        <v>1</v>
      </c>
      <c r="H94" s="21" t="s">
        <v>264</v>
      </c>
      <c r="I94" s="13">
        <v>42768.638993055552</v>
      </c>
      <c r="J94" s="7">
        <v>0</v>
      </c>
      <c r="K94" s="98" t="str">
        <f t="shared" si="21"/>
        <v>4027/4028</v>
      </c>
      <c r="L94" s="21" t="str">
        <f>VLOOKUP(A94,'Trips&amp;Operators'!$C$1:$G$99999,5,FALSE)</f>
        <v>DELGADO DIANAH</v>
      </c>
      <c r="M94" s="6">
        <f t="shared" si="22"/>
        <v>2.6944444442051463E-2</v>
      </c>
      <c r="N94" s="7">
        <f t="shared" si="23"/>
        <v>38.799999996554106</v>
      </c>
      <c r="O94" s="7"/>
      <c r="P94" s="7"/>
      <c r="Q94" s="22"/>
      <c r="R94" s="22"/>
      <c r="S94" s="31">
        <f t="shared" si="24"/>
        <v>1</v>
      </c>
      <c r="T94" s="46" t="str">
        <f t="shared" si="25"/>
        <v>Southbound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 t="shared" si="26"/>
        <v>https://d0f6bd738d7f1b3e5a7ca70fe4ff75f0.us-east-1.aws.found.io/app/kibana#/discover/Steve-Slow-Train-Analysis-(2080s-and-2083s)?_g=(refreshInterval:(display:Off,pause:!f,section:0,value:0),time:(from:'2017-02-02T13:27:32-0700',mode:absolute,to:'2017-02-02T16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4" s="194" t="str">
        <f t="shared" si="27"/>
        <v>N</v>
      </c>
      <c r="X94" s="194">
        <f t="shared" si="28"/>
        <v>1</v>
      </c>
      <c r="Y94" s="62">
        <f t="shared" si="29"/>
        <v>23.2986</v>
      </c>
      <c r="Z94" s="62">
        <f t="shared" si="30"/>
        <v>1.41E-2</v>
      </c>
      <c r="AA94" s="62">
        <f t="shared" si="31"/>
        <v>23.284500000000001</v>
      </c>
      <c r="AB94" s="59" t="e">
        <f>VLOOKUP(A94,Enforcements!$C$7:$K$16,8,0)</f>
        <v>#N/A</v>
      </c>
      <c r="AC94" s="55" t="e">
        <f>VLOOKUP(A94,Enforcements!$C$7:$E$16,3,0)</f>
        <v>#N/A</v>
      </c>
      <c r="AD94" s="56" t="str">
        <f t="shared" si="32"/>
        <v>0182-02</v>
      </c>
      <c r="AE94" s="85" t="str">
        <f t="shared" si="33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94" s="82" t="str">
        <f t="shared" si="34"/>
        <v>"C:\Program Files (x86)\AstroGrep\AstroGrep.exe" /spath="%USERPROFILE%\AppData\Local\Temp\OnboardLogs" /stypes="app*4028*20170202*" /stext=" 22:.+((SYSTEM_STATE.+slice.+state.+changed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6" t="str">
        <f t="shared" si="36"/>
        <v>"%USERPROFILE%\Documents\GitHub\eaglep3\Utilities\RefineRTDCRunTimes.py" --tripid 182-02 --locoid 4028 --swversion DE.1.0.8.0 --startMP 204:232986 --initTime 2017-02-02T14:27:32 --startdatetime 2017-02-02T14:41:21 --delay 1 --endMP 204:141 --enddatetime 2017-02-02T15:20:09 --enforcementcount 0 &gt;&gt;C:\Users\stu\Documents\GitHub\eaglep3-reporting\EC\2017-02-02-refined-times.txt</v>
      </c>
      <c r="AI9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{"issue":{"subject":"","project_id":79,"tracker_id":40,"status_id":1,"priority_id":2,"assigned_to_id":23,"start_date":"2017-02-02","description":"","custom_fields":[{"id":1,"name":"Subdivision","value":"EC"},{"id":4,"name":"Milepost","value":"0.0141"},{"id":17,"name":"Train ID","value":"182-02"},{"id":16,"name":"Locomotive ID","value":"4028"},{"id":130,"name":"Impact","value":""},{"id":150,"name":"Time of Event (Mountain Time)","value":"15:20:09"},{"id":151,"name":"Denver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60" t="str">
        <f t="shared" si="38"/>
        <v>start /low /b %USERPROFILE%\Documents\GitHub\eaglep3\Utilities\DownloadLogsFromS3.py --loco 4028 --day 2017-02-02</v>
      </c>
      <c r="AN94" s="169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3" t="s">
        <v>583</v>
      </c>
      <c r="B95" s="7">
        <v>4022</v>
      </c>
      <c r="C95" s="21" t="s">
        <v>193</v>
      </c>
      <c r="D95" s="21" t="s">
        <v>240</v>
      </c>
      <c r="E95" s="13">
        <v>42768.578831018516</v>
      </c>
      <c r="F95" s="13">
        <v>42768.583506944444</v>
      </c>
      <c r="G95" s="7">
        <v>1</v>
      </c>
      <c r="H95" s="21" t="s">
        <v>349</v>
      </c>
      <c r="I95" s="13">
        <v>42768.608576388891</v>
      </c>
      <c r="J95" s="7">
        <v>0</v>
      </c>
      <c r="K95" s="98" t="str">
        <f t="shared" si="21"/>
        <v>4021/4022</v>
      </c>
      <c r="L95" s="21" t="str">
        <f>VLOOKUP(A95,'Trips&amp;Operators'!$C$1:$G$99999,5,FALSE)</f>
        <v>HELVIE ADAM</v>
      </c>
      <c r="M95" s="6">
        <f t="shared" si="22"/>
        <v>2.5069444447581191E-2</v>
      </c>
      <c r="N95" s="7">
        <f t="shared" si="23"/>
        <v>36.100000004516914</v>
      </c>
      <c r="O95" s="7"/>
      <c r="P95" s="7"/>
      <c r="Q95" s="22"/>
      <c r="R95" s="22"/>
      <c r="S95" s="31">
        <f t="shared" si="24"/>
        <v>1</v>
      </c>
      <c r="T95" s="46" t="str">
        <f t="shared" si="25"/>
        <v>NorthBound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 t="shared" si="26"/>
        <v>https://d0f6bd738d7f1b3e5a7ca70fe4ff75f0.us-east-1.aws.found.io/app/kibana#/discover/Steve-Slow-Train-Analysis-(2080s-and-2083s)?_g=(refreshInterval:(display:Off,pause:!f,section:0,value:0),time:(from:'2017-02-02T12:53:31-0700',mode:absolute,to:'2017-02-02T15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194" t="str">
        <f t="shared" si="27"/>
        <v>N</v>
      </c>
      <c r="X95" s="194">
        <f t="shared" si="28"/>
        <v>1</v>
      </c>
      <c r="Y95" s="62">
        <f t="shared" si="29"/>
        <v>4.5100000000000001E-2</v>
      </c>
      <c r="Z95" s="62">
        <f t="shared" si="30"/>
        <v>23.3306</v>
      </c>
      <c r="AA95" s="62">
        <f t="shared" si="31"/>
        <v>23.285499999999999</v>
      </c>
      <c r="AB95" s="59" t="e">
        <f>VLOOKUP(A95,Enforcements!$C$7:$K$16,8,0)</f>
        <v>#N/A</v>
      </c>
      <c r="AC95" s="55" t="e">
        <f>VLOOKUP(A95,Enforcements!$C$7:$E$16,3,0)</f>
        <v>#N/A</v>
      </c>
      <c r="AD95" s="56" t="str">
        <f t="shared" si="32"/>
        <v>0183-02</v>
      </c>
      <c r="AE95" s="85" t="str">
        <f t="shared" si="33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95" s="82" t="str">
        <f t="shared" si="34"/>
        <v>"C:\Program Files (x86)\AstroGrep\AstroGrep.exe" /spath="%USERPROFILE%\AppData\Local\Temp\OnboardLogs" /stypes="app*4022*20170202*" /stext=" 21:.+((SYSTEM_STATE.+slice.+state.+changed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6" t="str">
        <f t="shared" si="36"/>
        <v>"%USERPROFILE%\Documents\GitHub\eaglep3\Utilities\RefineRTDCRunTimes.py" --tripid 183-02 --locoid 4022 --swversion DE.1.0.8.0 --startMP 204:451 --initTime 2017-02-02T13:53:31 --startdatetime 2017-02-02T14:00:15 --delay 1 --endMP 204:233306 --enddatetime 2017-02-02T14:36:21 --enforcementcount 0 &gt;&gt;C:\Users\stu\Documents\GitHub\eaglep3-reporting\EC\2017-02-02-refined-times.txt</v>
      </c>
      <c r="AI95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{"issue":{"subject":"","project_id":79,"tracker_id":40,"status_id":1,"priority_id":2,"assigned_to_id":23,"start_date":"2017-02-02","description":"","custom_fields":[{"id":1,"name":"Subdivision","value":"EC"},{"id":4,"name":"Milepost","value":"23.3306"},{"id":17,"name":"Train ID","value":"183-02"},{"id":16,"name":"Locomotive ID","value":"4022"},{"id":130,"name":"Impact","value":""},{"id":150,"name":"Time of Event (Mountain Time)","value":"14:36:21"},{"id":151,"name":"Denver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60" t="str">
        <f t="shared" si="38"/>
        <v>start /low /b %USERPROFILE%\Documents\GitHub\eaglep3\Utilities\DownloadLogsFromS3.py --loco 4022 --day 2017-02-02</v>
      </c>
      <c r="AN95" s="169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</row>
    <row r="96" spans="1:91" s="20" customFormat="1" x14ac:dyDescent="0.25">
      <c r="A96" s="33" t="s">
        <v>592</v>
      </c>
      <c r="B96" s="7">
        <v>4021</v>
      </c>
      <c r="C96" s="21" t="s">
        <v>193</v>
      </c>
      <c r="D96" s="21" t="s">
        <v>724</v>
      </c>
      <c r="E96" s="13">
        <v>42768.616805555554</v>
      </c>
      <c r="F96" s="13">
        <v>42768.622511574074</v>
      </c>
      <c r="G96" s="7">
        <v>1</v>
      </c>
      <c r="H96" s="21" t="s">
        <v>213</v>
      </c>
      <c r="I96" s="13">
        <v>42768.649224537039</v>
      </c>
      <c r="J96" s="7">
        <v>0</v>
      </c>
      <c r="K96" s="98" t="str">
        <f t="shared" si="21"/>
        <v>4021/4022</v>
      </c>
      <c r="L96" s="21" t="str">
        <f>VLOOKUP(A96,'Trips&amp;Operators'!$C$1:$G$99999,5,FALSE)</f>
        <v>HELVIE ADAM</v>
      </c>
      <c r="M96" s="6">
        <f t="shared" si="22"/>
        <v>2.6712962964666076E-2</v>
      </c>
      <c r="N96" s="7">
        <f t="shared" si="23"/>
        <v>38.466666669119149</v>
      </c>
      <c r="O96" s="7"/>
      <c r="P96" s="7"/>
      <c r="Q96" s="22"/>
      <c r="R96" s="22"/>
      <c r="S96" s="31">
        <f t="shared" si="24"/>
        <v>1</v>
      </c>
      <c r="T96" s="46" t="str">
        <f t="shared" si="25"/>
        <v>Southbound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 t="shared" si="26"/>
        <v>https://d0f6bd738d7f1b3e5a7ca70fe4ff75f0.us-east-1.aws.found.io/app/kibana#/discover/Steve-Slow-Train-Analysis-(2080s-and-2083s)?_g=(refreshInterval:(display:Off,pause:!f,section:0,value:0),time:(from:'2017-02-02T13:48:12-0700',mode:absolute,to:'2017-02-02T16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194" t="str">
        <f t="shared" si="27"/>
        <v>N</v>
      </c>
      <c r="X96" s="194">
        <f t="shared" si="28"/>
        <v>1</v>
      </c>
      <c r="Y96" s="62">
        <f t="shared" si="29"/>
        <v>23.2987</v>
      </c>
      <c r="Z96" s="62">
        <f t="shared" si="30"/>
        <v>1.5800000000000002E-2</v>
      </c>
      <c r="AA96" s="62">
        <f t="shared" si="31"/>
        <v>23.282900000000001</v>
      </c>
      <c r="AB96" s="59" t="e">
        <f>VLOOKUP(A96,Enforcements!$C$7:$K$16,8,0)</f>
        <v>#N/A</v>
      </c>
      <c r="AC96" s="55" t="e">
        <f>VLOOKUP(A96,Enforcements!$C$7:$E$16,3,0)</f>
        <v>#N/A</v>
      </c>
      <c r="AD96" s="56" t="str">
        <f t="shared" si="32"/>
        <v>0184-02</v>
      </c>
      <c r="AE96" s="85" t="str">
        <f t="shared" si="33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96" s="82" t="str">
        <f t="shared" si="34"/>
        <v>"C:\Program Files (x86)\AstroGrep\AstroGrep.exe" /spath="%USERPROFILE%\AppData\Local\Temp\OnboardLogs" /stypes="app*4021*20170202*" /stext=" 22:.+((SYSTEM_STATE.+slice.+state.+changed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6" t="str">
        <f t="shared" si="36"/>
        <v>"%USERPROFILE%\Documents\GitHub\eaglep3\Utilities\RefineRTDCRunTimes.py" --tripid 184-02 --locoid 4021 --swversion DE.1.0.8.0 --startMP 204:232987 --initTime 2017-02-02T14:48:12 --startdatetime 2017-02-02T14:56:25 --delay 1 --endMP 204:158 --enddatetime 2017-02-02T15:34:53 --enforcementcount 0 &gt;&gt;C:\Users\stu\Documents\GitHub\eaglep3-reporting\EC\2017-02-02-refined-times.txt</v>
      </c>
      <c r="AI9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{"issue":{"subject":"","project_id":79,"tracker_id":40,"status_id":1,"priority_id":2,"assigned_to_id":23,"start_date":"2017-02-02","description":"","custom_fields":[{"id":1,"name":"Subdivision","value":"EC"},{"id":4,"name":"Milepost","value":"0.0158"},{"id":17,"name":"Train ID","value":"184-02"},{"id":16,"name":"Locomotive ID","value":"4021"},{"id":130,"name":"Impact","value":""},{"id":150,"name":"Time of Event (Mountain Time)","value":"15:34:53"},{"id":151,"name":"Denver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60" t="str">
        <f t="shared" si="38"/>
        <v>start /low /b %USERPROFILE%\Documents\GitHub\eaglep3\Utilities\DownloadLogsFromS3.py --loco 4021 --day 2017-02-02</v>
      </c>
      <c r="AN96" s="169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585</v>
      </c>
      <c r="B97" s="7">
        <v>4016</v>
      </c>
      <c r="C97" s="21" t="s">
        <v>193</v>
      </c>
      <c r="D97" s="21" t="s">
        <v>244</v>
      </c>
      <c r="E97" s="13">
        <v>42768.588576388887</v>
      </c>
      <c r="F97" s="13">
        <v>42768.593912037039</v>
      </c>
      <c r="G97" s="7">
        <v>1</v>
      </c>
      <c r="H97" s="21" t="s">
        <v>421</v>
      </c>
      <c r="I97" s="13">
        <v>42768.618333333332</v>
      </c>
      <c r="J97" s="7">
        <v>0</v>
      </c>
      <c r="K97" s="98" t="str">
        <f t="shared" si="21"/>
        <v>4015/4016</v>
      </c>
      <c r="L97" s="21" t="str">
        <f>VLOOKUP(A97,'Trips&amp;Operators'!$C$1:$G$99999,5,FALSE)</f>
        <v>BRANNON JEFFREY</v>
      </c>
      <c r="M97" s="6">
        <f t="shared" si="22"/>
        <v>2.4421296293439809E-2</v>
      </c>
      <c r="N97" s="7">
        <f t="shared" si="23"/>
        <v>35.166666662553325</v>
      </c>
      <c r="O97" s="7"/>
      <c r="P97" s="7"/>
      <c r="Q97" s="22"/>
      <c r="R97" s="22"/>
      <c r="S97" s="31">
        <f t="shared" si="24"/>
        <v>1</v>
      </c>
      <c r="T97" s="46" t="str">
        <f t="shared" si="25"/>
        <v>NorthBound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 t="shared" si="26"/>
        <v>https://d0f6bd738d7f1b3e5a7ca70fe4ff75f0.us-east-1.aws.found.io/app/kibana#/discover/Steve-Slow-Train-Analysis-(2080s-and-2083s)?_g=(refreshInterval:(display:Off,pause:!f,section:0,value:0),time:(from:'2017-02-02T13:07:33-0700',mode:absolute,to:'2017-02-02T15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7" s="194" t="str">
        <f t="shared" si="27"/>
        <v>N</v>
      </c>
      <c r="X97" s="194">
        <f t="shared" si="28"/>
        <v>1</v>
      </c>
      <c r="Y97" s="62">
        <f t="shared" si="29"/>
        <v>4.5999999999999999E-2</v>
      </c>
      <c r="Z97" s="62">
        <f t="shared" si="30"/>
        <v>23.328800000000001</v>
      </c>
      <c r="AA97" s="62">
        <f t="shared" si="31"/>
        <v>23.282800000000002</v>
      </c>
      <c r="AB97" s="59" t="e">
        <f>VLOOKUP(A97,Enforcements!$C$7:$K$16,8,0)</f>
        <v>#N/A</v>
      </c>
      <c r="AC97" s="55" t="e">
        <f>VLOOKUP(A97,Enforcements!$C$7:$E$16,3,0)</f>
        <v>#N/A</v>
      </c>
      <c r="AD97" s="56" t="str">
        <f t="shared" si="32"/>
        <v>0185-02</v>
      </c>
      <c r="AE97" s="85" t="str">
        <f t="shared" si="33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97" s="82" t="str">
        <f t="shared" si="34"/>
        <v>"C:\Program Files (x86)\AstroGrep\AstroGrep.exe" /spath="%USERPROFILE%\AppData\Local\Temp\OnboardLogs" /stypes="app*4016*20170202*" /stext=" 21:.+((SYSTEM_STATE.+slice.+state.+changed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6" t="str">
        <f t="shared" si="36"/>
        <v>"%USERPROFILE%\Documents\GitHub\eaglep3\Utilities\RefineRTDCRunTimes.py" --tripid 185-02 --locoid 4016 --swversion DE.1.0.8.0 --startMP 204:460 --initTime 2017-02-02T14:07:33 --startdatetime 2017-02-02T14:15:14 --delay 1 --endMP 204:233288 --enddatetime 2017-02-02T14:50:24 --enforcementcount 0 &gt;&gt;C:\Users\stu\Documents\GitHub\eaglep3-reporting\EC\2017-02-02-refined-times.txt</v>
      </c>
      <c r="AI97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{"issue":{"subject":"","project_id":79,"tracker_id":40,"status_id":1,"priority_id":2,"assigned_to_id":23,"start_date":"2017-02-02","description":"","custom_fields":[{"id":1,"name":"Subdivision","value":"EC"},{"id":4,"name":"Milepost","value":"23.3288"},{"id":17,"name":"Train ID","value":"185-02"},{"id":16,"name":"Locomotive ID","value":"4016"},{"id":130,"name":"Impact","value":""},{"id":150,"name":"Time of Event (Mountain Time)","value":"14:50:24"},{"id":151,"name":"Denver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60" t="str">
        <f t="shared" si="38"/>
        <v>start /low /b %USERPROFILE%\Documents\GitHub\eaglep3\Utilities\DownloadLogsFromS3.py --loco 4016 --day 2017-02-02</v>
      </c>
      <c r="AN97" s="169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594</v>
      </c>
      <c r="B98" s="7">
        <v>4015</v>
      </c>
      <c r="C98" s="21" t="s">
        <v>193</v>
      </c>
      <c r="D98" s="21" t="s">
        <v>314</v>
      </c>
      <c r="E98" s="13">
        <v>42768.622893518521</v>
      </c>
      <c r="F98" s="13">
        <v>42768.632789351854</v>
      </c>
      <c r="G98" s="7">
        <v>11</v>
      </c>
      <c r="H98" s="21" t="s">
        <v>264</v>
      </c>
      <c r="I98" s="13">
        <v>42768.659409722219</v>
      </c>
      <c r="J98" s="7">
        <v>0</v>
      </c>
      <c r="K98" s="98" t="str">
        <f t="shared" si="21"/>
        <v>4015/4016</v>
      </c>
      <c r="L98" s="21" t="str">
        <f>VLOOKUP(A98,'Trips&amp;Operators'!$C$1:$G$99999,5,FALSE)</f>
        <v>BRANNON JEFFREY</v>
      </c>
      <c r="M98" s="6">
        <f t="shared" si="22"/>
        <v>2.6620370364980772E-2</v>
      </c>
      <c r="N98" s="7">
        <f t="shared" si="23"/>
        <v>38.333333325572312</v>
      </c>
      <c r="O98" s="7"/>
      <c r="P98" s="7"/>
      <c r="Q98" s="22"/>
      <c r="R98" s="22"/>
      <c r="S98" s="31">
        <f t="shared" si="24"/>
        <v>1</v>
      </c>
      <c r="T98" s="46" t="str">
        <f t="shared" si="25"/>
        <v>Southbound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 t="shared" si="26"/>
        <v>https://d0f6bd738d7f1b3e5a7ca70fe4ff75f0.us-east-1.aws.found.io/app/kibana#/discover/Steve-Slow-Train-Analysis-(2080s-and-2083s)?_g=(refreshInterval:(display:Off,pause:!f,section:0,value:0),time:(from:'2017-02-02T13:56:58-0700',mode:absolute,to:'2017-02-02T16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8" s="194" t="str">
        <f t="shared" si="27"/>
        <v>N</v>
      </c>
      <c r="X98" s="194">
        <f t="shared" si="28"/>
        <v>1</v>
      </c>
      <c r="Y98" s="62">
        <f t="shared" si="29"/>
        <v>23.299199999999999</v>
      </c>
      <c r="Z98" s="62">
        <f t="shared" si="30"/>
        <v>1.41E-2</v>
      </c>
      <c r="AA98" s="62">
        <f t="shared" si="31"/>
        <v>23.2851</v>
      </c>
      <c r="AB98" s="59" t="e">
        <f>VLOOKUP(A98,Enforcements!$C$7:$K$16,8,0)</f>
        <v>#N/A</v>
      </c>
      <c r="AC98" s="55" t="e">
        <f>VLOOKUP(A98,Enforcements!$C$7:$E$16,3,0)</f>
        <v>#N/A</v>
      </c>
      <c r="AD98" s="56" t="str">
        <f t="shared" si="32"/>
        <v>0186-02</v>
      </c>
      <c r="AE98" s="85" t="str">
        <f t="shared" si="33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98" s="82" t="str">
        <f t="shared" si="34"/>
        <v>"C:\Program Files (x86)\AstroGrep\AstroGrep.exe" /spath="%USERPROFILE%\AppData\Local\Temp\OnboardLogs" /stypes="app*4015*20170202*"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6" t="str">
        <f t="shared" si="36"/>
        <v>"%USERPROFILE%\Documents\GitHub\eaglep3\Utilities\RefineRTDCRunTimes.py" --tripid 186-02 --locoid 4015 --swversion DE.1.0.8.0 --startMP 204:232992 --initTime 2017-02-02T14:56:58 --startdatetime 2017-02-02T15:11:13 --delay 11 --endMP 204:141 --enddatetime 2017-02-02T15:49:33 --enforcementcount 0 &gt;&gt;C:\Users\stu\Documents\GitHub\eaglep3-reporting\EC\2017-02-02-refined-times.txt</v>
      </c>
      <c r="AI9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{"issue":{"subject":"","project_id":79,"tracker_id":40,"status_id":1,"priority_id":2,"assigned_to_id":23,"start_date":"2017-02-02","description":"","custom_fields":[{"id":1,"name":"Subdivision","value":"EC"},{"id":4,"name":"Milepost","value":"0.0141"},{"id":17,"name":"Train ID","value":"186-02"},{"id":16,"name":"Locomotive ID","value":"4015"},{"id":130,"name":"Impact","value":""},{"id":150,"name":"Time of Event (Mountain Time)","value":"15:49:33"},{"id":151,"name":"Denver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60" t="str">
        <f t="shared" si="38"/>
        <v>start /low /b %USERPROFILE%\Documents\GitHub\eaglep3\Utilities\DownloadLogsFromS3.py --loco 4015 --day 2017-02-02</v>
      </c>
      <c r="AN98" s="169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"%USERPROFILE%\AppData\Local\Temp\OnboardLogs"\RTDC4015\*4015*20170202* | grep -SE "(Enforcement Action)|(\[TIMEOUT)|(CHR.+\|PRM\|1\|D.+(SWITCH|SIGNAL).+UNKNOWN)" - &gt;&gt; 2017-02-02-UncaughtWiMAX.txt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588</v>
      </c>
      <c r="B99" s="7">
        <v>4009</v>
      </c>
      <c r="C99" s="21" t="s">
        <v>193</v>
      </c>
      <c r="D99" s="21" t="s">
        <v>725</v>
      </c>
      <c r="E99" s="13">
        <v>42768.599814814814</v>
      </c>
      <c r="F99" s="13">
        <v>42768.60434027778</v>
      </c>
      <c r="G99" s="7">
        <v>1</v>
      </c>
      <c r="H99" s="21" t="s">
        <v>706</v>
      </c>
      <c r="I99" s="13">
        <v>42768.630682870367</v>
      </c>
      <c r="J99" s="7">
        <v>0</v>
      </c>
      <c r="K99" s="98" t="str">
        <f t="shared" si="21"/>
        <v>4009/4010</v>
      </c>
      <c r="L99" s="21" t="str">
        <f>VLOOKUP(A99,'Trips&amp;Operators'!$C$1:$G$99999,5,FALSE)</f>
        <v>CLARK KATHLEEN</v>
      </c>
      <c r="M99" s="6">
        <f t="shared" si="22"/>
        <v>2.6342592587752733E-2</v>
      </c>
      <c r="N99" s="7">
        <f t="shared" si="23"/>
        <v>37.933333326363936</v>
      </c>
      <c r="O99" s="7"/>
      <c r="P99" s="7"/>
      <c r="Q99" s="22"/>
      <c r="R99" s="22"/>
      <c r="S99" s="31">
        <f t="shared" si="24"/>
        <v>1</v>
      </c>
      <c r="T99" s="46" t="str">
        <f t="shared" si="25"/>
        <v>NorthBound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 t="shared" si="26"/>
        <v>https://d0f6bd738d7f1b3e5a7ca70fe4ff75f0.us-east-1.aws.found.io/app/kibana#/discover/Steve-Slow-Train-Analysis-(2080s-and-2083s)?_g=(refreshInterval:(display:Off,pause:!f,section:0,value:0),time:(from:'2017-02-02T13:23:44-0700',mode:absolute,to:'2017-02-02T16:08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9" s="194" t="str">
        <f t="shared" si="27"/>
        <v>N</v>
      </c>
      <c r="X99" s="194">
        <f t="shared" si="28"/>
        <v>1</v>
      </c>
      <c r="Y99" s="62">
        <f t="shared" si="29"/>
        <v>4.9500000000000002E-2</v>
      </c>
      <c r="Z99" s="62">
        <f t="shared" si="30"/>
        <v>23.331499999999998</v>
      </c>
      <c r="AA99" s="62">
        <f t="shared" si="31"/>
        <v>23.282</v>
      </c>
      <c r="AB99" s="59" t="e">
        <f>VLOOKUP(A99,Enforcements!$C$7:$K$16,8,0)</f>
        <v>#N/A</v>
      </c>
      <c r="AC99" s="55" t="e">
        <f>VLOOKUP(A99,Enforcements!$C$7:$E$16,3,0)</f>
        <v>#N/A</v>
      </c>
      <c r="AD99" s="56" t="str">
        <f t="shared" si="32"/>
        <v>0187-02</v>
      </c>
      <c r="AE99" s="85" t="str">
        <f t="shared" si="33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99" s="82" t="str">
        <f t="shared" si="34"/>
        <v>"C:\Program Files (x86)\AstroGrep\AstroGrep.exe" /spath="%USERPROFILE%\AppData\Local\Temp\OnboardLogs" /stypes="app*4009*20170202*"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6" t="str">
        <f t="shared" si="36"/>
        <v>"%USERPROFILE%\Documents\GitHub\eaglep3\Utilities\RefineRTDCRunTimes.py" --tripid 187-02 --locoid 4009 --swversion DE.1.0.8.0 --startMP 204:495 --initTime 2017-02-02T14:23:44 --startdatetime 2017-02-02T14:30:15 --delay 1 --endMP 204:233315 --enddatetime 2017-02-02T15:08:11 --enforcementcount 0 &gt;&gt;C:\Users\stu\Documents\GitHub\eaglep3-reporting\EC\2017-02-02-refined-times.txt</v>
      </c>
      <c r="AI9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{"issue":{"subject":"","project_id":79,"tracker_id":40,"status_id":1,"priority_id":2,"assigned_to_id":23,"start_date":"2017-02-02","description":"","custom_fields":[{"id":1,"name":"Subdivision","value":"EC"},{"id":4,"name":"Milepost","value":"23.3315"},{"id":17,"name":"Train ID","value":"187-02"},{"id":16,"name":"Locomotive ID","value":"4009"},{"id":130,"name":"Impact","value":""},{"id":150,"name":"Time of Event (Mountain Time)","value":"15:08:11"},{"id":151,"name":"Denver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60" t="str">
        <f t="shared" si="38"/>
        <v>start /low /b %USERPROFILE%\Documents\GitHub\eaglep3\Utilities\DownloadLogsFromS3.py --loco 4009 --day 2017-02-02</v>
      </c>
      <c r="AN99" s="169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597</v>
      </c>
      <c r="B100" s="7">
        <v>4010</v>
      </c>
      <c r="C100" s="21" t="s">
        <v>193</v>
      </c>
      <c r="D100" s="21" t="s">
        <v>397</v>
      </c>
      <c r="E100" s="13">
        <v>42768.637465277781</v>
      </c>
      <c r="F100" s="13">
        <v>42768.643263888887</v>
      </c>
      <c r="G100" s="7">
        <v>0</v>
      </c>
      <c r="H100" s="21" t="s">
        <v>353</v>
      </c>
      <c r="I100" s="13">
        <v>42768.670659722222</v>
      </c>
      <c r="J100" s="7">
        <v>0</v>
      </c>
      <c r="K100" s="98" t="str">
        <f t="shared" si="21"/>
        <v>4009/4010</v>
      </c>
      <c r="L100" s="21" t="str">
        <f>VLOOKUP(A100,'Trips&amp;Operators'!$C$1:$G$99999,5,FALSE)</f>
        <v>CLARK KATHLEEN</v>
      </c>
      <c r="M100" s="6">
        <f t="shared" si="22"/>
        <v>2.7395833334594499E-2</v>
      </c>
      <c r="N100" s="7">
        <f t="shared" si="23"/>
        <v>39.450000001816079</v>
      </c>
      <c r="O100" s="7"/>
      <c r="P100" s="7"/>
      <c r="Q100" s="22"/>
      <c r="R100" s="22"/>
      <c r="S100" s="31">
        <f t="shared" si="24"/>
        <v>1</v>
      </c>
      <c r="T100" s="46" t="str">
        <f t="shared" si="25"/>
        <v>Southbound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 t="shared" si="26"/>
        <v>https://d0f6bd738d7f1b3e5a7ca70fe4ff75f0.us-east-1.aws.found.io/app/kibana#/discover/Steve-Slow-Train-Analysis-(2080s-and-2083s)?_g=(refreshInterval:(display:Off,pause:!f,section:0,value:0),time:(from:'2017-02-02T14:17:57-0700',mode:absolute,to:'2017-02-02T17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0" s="194" t="str">
        <f t="shared" si="27"/>
        <v>N</v>
      </c>
      <c r="X100" s="194">
        <f t="shared" si="28"/>
        <v>1</v>
      </c>
      <c r="Y100" s="62">
        <f t="shared" si="29"/>
        <v>23.299099999999999</v>
      </c>
      <c r="Z100" s="62">
        <f t="shared" si="30"/>
        <v>1.7399999999999999E-2</v>
      </c>
      <c r="AA100" s="62">
        <f t="shared" si="31"/>
        <v>23.281700000000001</v>
      </c>
      <c r="AB100" s="59" t="e">
        <f>VLOOKUP(A100,Enforcements!$C$7:$K$16,8,0)</f>
        <v>#N/A</v>
      </c>
      <c r="AC100" s="55" t="e">
        <f>VLOOKUP(A100,Enforcements!$C$7:$E$16,3,0)</f>
        <v>#N/A</v>
      </c>
      <c r="AD100" s="56" t="str">
        <f t="shared" si="32"/>
        <v>0188-02</v>
      </c>
      <c r="AE100" s="85" t="str">
        <f t="shared" si="33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100" s="82" t="str">
        <f t="shared" si="34"/>
        <v>"C:\Program Files (x86)\AstroGrep\AstroGrep.exe" /spath="%USERPROFILE%\AppData\Local\Temp\OnboardLogs" /stypes="app*4010*20170202*" /stext=" 23:.+((SYSTEM_STATE.+slice.+state.+changed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6" t="str">
        <f t="shared" si="36"/>
        <v>"%USERPROFILE%\Documents\GitHub\eaglep3\Utilities\RefineRTDCRunTimes.py" --tripid 188-02 --locoid 4010 --swversion DE.1.0.8.0 --startMP 204:232991 --initTime 2017-02-02T15:17:57 --startdatetime 2017-02-02T15:26:18 --delay 0 --endMP 204:174 --enddatetime 2017-02-02T16:05:45 --enforcementcount 0 &gt;&gt;C:\Users\stu\Documents\GitHub\eaglep3-reporting\EC\2017-02-02-refined-times.txt</v>
      </c>
      <c r="AI10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{"issue":{"subject":"","project_id":79,"tracker_id":40,"status_id":1,"priority_id":2,"assigned_to_id":23,"start_date":"2017-02-02","description":"","custom_fields":[{"id":1,"name":"Subdivision","value":"EC"},{"id":4,"name":"Milepost","value":"0.0174"},{"id":17,"name":"Train ID","value":"188-02"},{"id":16,"name":"Locomotive ID","value":"4010"},{"id":130,"name":"Impact","value":""},{"id":150,"name":"Time of Event (Mountain Time)","value":"16:05:45"},{"id":151,"name":"Denver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60" t="str">
        <f t="shared" si="38"/>
        <v>start /low /b %USERPROFILE%\Documents\GitHub\eaglep3\Utilities\DownloadLogsFromS3.py --loco 4010 --day 2017-02-02</v>
      </c>
      <c r="AN100" s="169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591</v>
      </c>
      <c r="B101" s="7">
        <v>4011</v>
      </c>
      <c r="C101" s="21" t="s">
        <v>193</v>
      </c>
      <c r="D101" s="21" t="s">
        <v>405</v>
      </c>
      <c r="E101" s="13">
        <v>42768.609525462962</v>
      </c>
      <c r="F101" s="13">
        <v>42768.614907407406</v>
      </c>
      <c r="G101" s="7">
        <v>1</v>
      </c>
      <c r="H101" s="21" t="s">
        <v>696</v>
      </c>
      <c r="I101" s="13">
        <v>42768.639826388891</v>
      </c>
      <c r="J101" s="7">
        <v>0</v>
      </c>
      <c r="K101" s="98" t="str">
        <f t="shared" si="21"/>
        <v>4011/4012</v>
      </c>
      <c r="L101" s="21" t="str">
        <f>VLOOKUP(A101,'Trips&amp;Operators'!$C$1:$G$99999,5,FALSE)</f>
        <v>SWANSON BRYCE</v>
      </c>
      <c r="M101" s="6">
        <f t="shared" si="22"/>
        <v>2.4918981485825498E-2</v>
      </c>
      <c r="N101" s="7">
        <f t="shared" si="23"/>
        <v>35.883333339588717</v>
      </c>
      <c r="O101" s="7"/>
      <c r="P101" s="7"/>
      <c r="Q101" s="22"/>
      <c r="R101" s="22"/>
      <c r="S101" s="31">
        <f t="shared" si="24"/>
        <v>1</v>
      </c>
      <c r="T101" s="46" t="str">
        <f t="shared" si="25"/>
        <v>NorthBound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 t="shared" si="26"/>
        <v>https://d0f6bd738d7f1b3e5a7ca70fe4ff75f0.us-east-1.aws.found.io/app/kibana#/discover/Steve-Slow-Train-Analysis-(2080s-and-2083s)?_g=(refreshInterval:(display:Off,pause:!f,section:0,value:0),time:(from:'2017-02-02T13:37:43-0700',mode:absolute,to:'2017-02-02T16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1" s="194" t="str">
        <f t="shared" si="27"/>
        <v>N</v>
      </c>
      <c r="X101" s="194">
        <f t="shared" si="28"/>
        <v>1</v>
      </c>
      <c r="Y101" s="62">
        <f t="shared" si="29"/>
        <v>4.4200000000000003E-2</v>
      </c>
      <c r="Z101" s="62">
        <f t="shared" si="30"/>
        <v>23.328199999999999</v>
      </c>
      <c r="AA101" s="62">
        <f t="shared" si="31"/>
        <v>23.283999999999999</v>
      </c>
      <c r="AB101" s="59" t="e">
        <f>VLOOKUP(A101,Enforcements!$C$7:$K$16,8,0)</f>
        <v>#N/A</v>
      </c>
      <c r="AC101" s="55" t="e">
        <f>VLOOKUP(A101,Enforcements!$C$7:$E$16,3,0)</f>
        <v>#N/A</v>
      </c>
      <c r="AD101" s="56" t="str">
        <f t="shared" si="32"/>
        <v>0189-02</v>
      </c>
      <c r="AE101" s="85" t="str">
        <f t="shared" si="33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01" s="82" t="str">
        <f t="shared" si="34"/>
        <v>"C:\Program Files (x86)\AstroGrep\AstroGrep.exe" /spath="%USERPROFILE%\AppData\Local\Temp\OnboardLogs" /stypes="app*4011*20170202*" /stext=" 22:.+((SYSTEM_STATE.+slice.+state.+changed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6" t="str">
        <f t="shared" si="36"/>
        <v>"%USERPROFILE%\Documents\GitHub\eaglep3\Utilities\RefineRTDCRunTimes.py" --tripid 189-02 --locoid 4011 --swversion DE.1.0.8.0 --startMP 204:442 --initTime 2017-02-02T14:37:43 --startdatetime 2017-02-02T14:45:28 --delay 1 --endMP 204:233282 --enddatetime 2017-02-02T15:21:21 --enforcementcount 0 &gt;&gt;C:\Users\stu\Documents\GitHub\eaglep3-reporting\EC\2017-02-02-refined-times.txt</v>
      </c>
      <c r="AI10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{"issue":{"subject":"","project_id":79,"tracker_id":40,"status_id":1,"priority_id":2,"assigned_to_id":23,"start_date":"2017-02-02","description":"","custom_fields":[{"id":1,"name":"Subdivision","value":"EC"},{"id":4,"name":"Milepost","value":"23.3282"},{"id":17,"name":"Train ID","value":"189-02"},{"id":16,"name":"Locomotive ID","value":"4011"},{"id":130,"name":"Impact","value":""},{"id":150,"name":"Time of Event (Mountain Time)","value":"15:21:21"},{"id":151,"name":"Denver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60" t="str">
        <f t="shared" si="38"/>
        <v>start /low /b %USERPROFILE%\Documents\GitHub\eaglep3\Utilities\DownloadLogsFromS3.py --loco 4011 --day 2017-02-02</v>
      </c>
      <c r="AN101" s="169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598</v>
      </c>
      <c r="B102" s="7">
        <v>4012</v>
      </c>
      <c r="C102" s="21" t="s">
        <v>193</v>
      </c>
      <c r="D102" s="21" t="s">
        <v>391</v>
      </c>
      <c r="E102" s="13">
        <v>42768.644201388888</v>
      </c>
      <c r="F102" s="13">
        <v>42768.653634259259</v>
      </c>
      <c r="G102" s="7">
        <v>1</v>
      </c>
      <c r="H102" s="21" t="s">
        <v>237</v>
      </c>
      <c r="I102" s="13">
        <v>42768.681597222225</v>
      </c>
      <c r="J102" s="7">
        <v>0</v>
      </c>
      <c r="K102" s="98" t="str">
        <f t="shared" si="21"/>
        <v>4011/4012</v>
      </c>
      <c r="L102" s="21" t="str">
        <f>VLOOKUP(A102,'Trips&amp;Operators'!$C$1:$G$99999,5,FALSE)</f>
        <v>SWANSON BRYCE</v>
      </c>
      <c r="M102" s="6">
        <f t="shared" si="22"/>
        <v>2.7962962965830229E-2</v>
      </c>
      <c r="N102" s="7">
        <f t="shared" si="23"/>
        <v>40.26666667079553</v>
      </c>
      <c r="O102" s="7"/>
      <c r="P102" s="7"/>
      <c r="Q102" s="22"/>
      <c r="R102" s="22"/>
      <c r="S102" s="31">
        <f t="shared" si="24"/>
        <v>1</v>
      </c>
      <c r="T102" s="46" t="str">
        <f t="shared" si="25"/>
        <v>Southbound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 t="shared" si="26"/>
        <v>https://d0f6bd738d7f1b3e5a7ca70fe4ff75f0.us-east-1.aws.found.io/app/kibana#/discover/Steve-Slow-Train-Analysis-(2080s-and-2083s)?_g=(refreshInterval:(display:Off,pause:!f,section:0,value:0),time:(from:'2017-02-02T14:27:39-0700',mode:absolute,to:'2017-02-02T17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2" s="194" t="str">
        <f t="shared" si="27"/>
        <v>N</v>
      </c>
      <c r="X102" s="194">
        <f t="shared" si="28"/>
        <v>1</v>
      </c>
      <c r="Y102" s="62">
        <f t="shared" si="29"/>
        <v>23.296299999999999</v>
      </c>
      <c r="Z102" s="62">
        <f t="shared" si="30"/>
        <v>1.43E-2</v>
      </c>
      <c r="AA102" s="62">
        <f t="shared" si="31"/>
        <v>23.282</v>
      </c>
      <c r="AB102" s="59" t="e">
        <f>VLOOKUP(A102,Enforcements!$C$7:$K$16,8,0)</f>
        <v>#N/A</v>
      </c>
      <c r="AC102" s="55" t="e">
        <f>VLOOKUP(A102,Enforcements!$C$7:$E$16,3,0)</f>
        <v>#N/A</v>
      </c>
      <c r="AD102" s="56" t="str">
        <f t="shared" si="32"/>
        <v>0190-02</v>
      </c>
      <c r="AE102" s="85" t="str">
        <f t="shared" si="33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102" s="82" t="str">
        <f t="shared" si="34"/>
        <v>"C:\Program Files (x86)\AstroGrep\AstroGrep.exe" /spath="%USERPROFILE%\AppData\Local\Temp\OnboardLogs" /stypes="app*4012*20170202*" /stext=" 23:.+((SYSTEM_STATE.+slice.+state.+changed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6" t="str">
        <f t="shared" si="36"/>
        <v>"%USERPROFILE%\Documents\GitHub\eaglep3\Utilities\RefineRTDCRunTimes.py" --tripid 190-02 --locoid 4012 --swversion DE.1.0.8.0 --startMP 204:232963 --initTime 2017-02-02T15:27:39 --startdatetime 2017-02-02T15:41:14 --delay 1 --endMP 204:143 --enddatetime 2017-02-02T16:21:30 --enforcementcount 0 &gt;&gt;C:\Users\stu\Documents\GitHub\eaglep3-reporting\EC\2017-02-02-refined-times.txt</v>
      </c>
      <c r="AI10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{"issue":{"subject":"","project_id":79,"tracker_id":40,"status_id":1,"priority_id":2,"assigned_to_id":23,"start_date":"2017-02-02","description":"","custom_fields":[{"id":1,"name":"Subdivision","value":"EC"},{"id":4,"name":"Milepost","value":"0.0143"},{"id":17,"name":"Train ID","value":"190-02"},{"id":16,"name":"Locomotive ID","value":"4012"},{"id":130,"name":"Impact","value":""},{"id":150,"name":"Time of Event (Mountain Time)","value":"16:21:30"},{"id":151,"name":"Denver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60" t="str">
        <f t="shared" si="38"/>
        <v>start /low /b %USERPROFILE%\Documents\GitHub\eaglep3\Utilities\DownloadLogsFromS3.py --loco 4012 --day 2017-02-02</v>
      </c>
      <c r="AN102" s="169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"%USERPROFILE%\AppData\Local\Temp\OnboardLogs"\RTDC4012\*4012*20170202* | grep -SE "(Enforcement Action)|(\[TIMEOUT)|(CHR.+\|PRM\|1\|D.+(SWITCH|SIGNAL).+UNKNOWN)" - &gt;&gt; 2017-02-02-UncaughtWiMAX.txt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593</v>
      </c>
      <c r="B103" s="7">
        <v>4051</v>
      </c>
      <c r="C103" s="21" t="s">
        <v>193</v>
      </c>
      <c r="D103" s="21" t="s">
        <v>241</v>
      </c>
      <c r="E103" s="13">
        <v>42768.620370370372</v>
      </c>
      <c r="F103" s="13">
        <v>42768.625150462962</v>
      </c>
      <c r="G103" s="7">
        <v>1</v>
      </c>
      <c r="H103" s="21" t="s">
        <v>332</v>
      </c>
      <c r="I103" s="13">
        <v>42768.649606481478</v>
      </c>
      <c r="J103" s="7">
        <v>0</v>
      </c>
      <c r="K103" s="98" t="str">
        <f t="shared" si="21"/>
        <v>4051/4052</v>
      </c>
      <c r="L103" s="21" t="str">
        <f>VLOOKUP(A103,'Trips&amp;Operators'!$C$1:$G$99999,5,FALSE)</f>
        <v>BRUDER RICHARD</v>
      </c>
      <c r="M103" s="6">
        <f t="shared" si="22"/>
        <v>2.4456018516502809E-2</v>
      </c>
      <c r="N103" s="7">
        <f t="shared" si="23"/>
        <v>35.216666663764045</v>
      </c>
      <c r="O103" s="7"/>
      <c r="P103" s="7"/>
      <c r="Q103" s="22"/>
      <c r="R103" s="22"/>
      <c r="S103" s="31">
        <f t="shared" si="24"/>
        <v>1</v>
      </c>
      <c r="T103" s="46" t="str">
        <f t="shared" si="25"/>
        <v>NorthBound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 t="shared" si="26"/>
        <v>https://d0f6bd738d7f1b3e5a7ca70fe4ff75f0.us-east-1.aws.found.io/app/kibana#/discover/Steve-Slow-Train-Analysis-(2080s-and-2083s)?_g=(refreshInterval:(display:Off,pause:!f,section:0,value:0),time:(from:'2017-02-02T13:53:20-0700',mode:absolute,to:'2017-02-02T16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3" s="194" t="str">
        <f t="shared" si="27"/>
        <v>N</v>
      </c>
      <c r="X103" s="194">
        <f t="shared" si="28"/>
        <v>1</v>
      </c>
      <c r="Y103" s="62">
        <f t="shared" si="29"/>
        <v>4.5699999999999998E-2</v>
      </c>
      <c r="Z103" s="62">
        <f t="shared" si="30"/>
        <v>23.331700000000001</v>
      </c>
      <c r="AA103" s="62">
        <f t="shared" si="31"/>
        <v>23.286000000000001</v>
      </c>
      <c r="AB103" s="59" t="e">
        <f>VLOOKUP(A103,Enforcements!$C$7:$K$16,8,0)</f>
        <v>#N/A</v>
      </c>
      <c r="AC103" s="55" t="e">
        <f>VLOOKUP(A103,Enforcements!$C$7:$E$16,3,0)</f>
        <v>#N/A</v>
      </c>
      <c r="AD103" s="56" t="str">
        <f t="shared" si="32"/>
        <v>0191-02</v>
      </c>
      <c r="AE103" s="85" t="str">
        <f t="shared" si="33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03" s="82" t="str">
        <f t="shared" si="34"/>
        <v>"C:\Program Files (x86)\AstroGrep\AstroGrep.exe" /spath="%USERPROFILE%\AppData\Local\Temp\OnboardLogs" /stypes="app*4051*20170202*" /stext=" 22:.+((SYSTEM_STATE.+slice.+state.+changed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6" t="str">
        <f t="shared" si="36"/>
        <v>"%USERPROFILE%\Documents\GitHub\eaglep3\Utilities\RefineRTDCRunTimes.py" --tripid 191-02 --locoid 4051 --swversion DE.1.0.8.0 --startMP 204:457 --initTime 2017-02-02T14:53:20 --startdatetime 2017-02-02T15:00:13 --delay 1 --endMP 204:233317 --enddatetime 2017-02-02T15:35:26 --enforcementcount 0 &gt;&gt;C:\Users\stu\Documents\GitHub\eaglep3-reporting\EC\2017-02-02-refined-times.txt</v>
      </c>
      <c r="AI10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{"issue":{"subject":"","project_id":79,"tracker_id":40,"status_id":1,"priority_id":2,"assigned_to_id":23,"start_date":"2017-02-02","description":"","custom_fields":[{"id":1,"name":"Subdivision","value":"EC"},{"id":4,"name":"Milepost","value":"23.3317"},{"id":17,"name":"Train ID","value":"191-02"},{"id":16,"name":"Locomotive ID","value":"4051"},{"id":130,"name":"Impact","value":""},{"id":150,"name":"Time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60" t="str">
        <f t="shared" si="38"/>
        <v>start /low /b %USERPROFILE%\Documents\GitHub\eaglep3\Utilities\DownloadLogsFromS3.py --loco 4051 --day 2017-02-02</v>
      </c>
      <c r="AN103" s="169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"%USERPROFILE%\AppData\Local\Temp\OnboardLogs"\RTDC4051\*4051*20170202* | grep -SE "(Enforcement Action)|(\[TIMEOUT)|(CHR.+\|PRM\|1\|D.+(SWITCH|SIGNAL).+UNKNOWN)" - &gt;&gt; 2017-02-02-UncaughtWiMAX.txt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603</v>
      </c>
      <c r="B104" s="7">
        <v>4052</v>
      </c>
      <c r="C104" s="21" t="s">
        <v>193</v>
      </c>
      <c r="D104" s="21" t="s">
        <v>403</v>
      </c>
      <c r="E104" s="13">
        <v>42768.660196759258</v>
      </c>
      <c r="F104" s="13">
        <v>42768.664050925923</v>
      </c>
      <c r="G104" s="7">
        <v>2</v>
      </c>
      <c r="H104" s="21" t="s">
        <v>392</v>
      </c>
      <c r="I104" s="13">
        <v>42768.690555555557</v>
      </c>
      <c r="J104" s="7">
        <v>0</v>
      </c>
      <c r="K104" s="98" t="str">
        <f t="shared" si="21"/>
        <v>4051/4052</v>
      </c>
      <c r="L104" s="21" t="str">
        <f>VLOOKUP(A104,'Trips&amp;Operators'!$C$1:$G$99999,5,FALSE)</f>
        <v>BRUDER RICHARD</v>
      </c>
      <c r="M104" s="6">
        <f t="shared" si="22"/>
        <v>2.6504629633564036E-2</v>
      </c>
      <c r="N104" s="7">
        <f t="shared" si="23"/>
        <v>38.166666672332212</v>
      </c>
      <c r="O104" s="7"/>
      <c r="P104" s="7"/>
      <c r="Q104" s="22"/>
      <c r="R104" s="22"/>
      <c r="S104" s="31">
        <f t="shared" si="24"/>
        <v>1</v>
      </c>
      <c r="T104" s="46" t="str">
        <f t="shared" si="25"/>
        <v>Southbound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 t="shared" si="26"/>
        <v>https://d0f6bd738d7f1b3e5a7ca70fe4ff75f0.us-east-1.aws.found.io/app/kibana#/discover/Steve-Slow-Train-Analysis-(2080s-and-2083s)?_g=(refreshInterval:(display:Off,pause:!f,section:0,value:0),time:(from:'2017-02-02T14:50:41-0700',mode:absolute,to:'2017-02-02T17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4" s="194" t="str">
        <f t="shared" si="27"/>
        <v>N</v>
      </c>
      <c r="X104" s="194">
        <f t="shared" si="28"/>
        <v>1</v>
      </c>
      <c r="Y104" s="62">
        <f t="shared" si="29"/>
        <v>23.298300000000001</v>
      </c>
      <c r="Z104" s="62">
        <f t="shared" si="30"/>
        <v>1.2699999999999999E-2</v>
      </c>
      <c r="AA104" s="62">
        <f t="shared" si="31"/>
        <v>23.285600000000002</v>
      </c>
      <c r="AB104" s="59" t="e">
        <f>VLOOKUP(A104,Enforcements!$C$7:$K$16,8,0)</f>
        <v>#N/A</v>
      </c>
      <c r="AC104" s="55" t="e">
        <f>VLOOKUP(A104,Enforcements!$C$7:$E$16,3,0)</f>
        <v>#N/A</v>
      </c>
      <c r="AD104" s="56" t="str">
        <f t="shared" si="32"/>
        <v>0192-02</v>
      </c>
      <c r="AE104" s="85" t="str">
        <f t="shared" si="33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104" s="82" t="str">
        <f t="shared" si="34"/>
        <v>"C:\Program Files (x86)\AstroGrep\AstroGrep.exe" /spath="%USERPROFILE%\AppData\Local\Temp\OnboardLogs" /stypes="app*4052*20170202*" /stext=" 23:.+((SYSTEM_STATE.+slice.+state.+changed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6" t="str">
        <f t="shared" si="36"/>
        <v>"%USERPROFILE%\Documents\GitHub\eaglep3\Utilities\RefineRTDCRunTimes.py" --tripid 192-02 --locoid 4052 --swversion DE.1.0.8.0 --startMP 204:232983 --initTime 2017-02-02T15:50:41 --startdatetime 2017-02-02T15:56:14 --delay 2 --endMP 204:127 --enddatetime 2017-02-02T16:34:24 --enforcementcount 0 &gt;&gt;C:\Users\stu\Documents\GitHub\eaglep3-reporting\EC\2017-02-02-refined-times.txt</v>
      </c>
      <c r="AI10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{"issue":{"subject":"","project_id":79,"tracker_id":40,"status_id":1,"priority_id":2,"assigned_to_id":23,"start_date":"2017-02-02","description":"","custom_fields":[{"id":1,"name":"Subdivision","value":"EC"},{"id":4,"name":"Milepost","value":"0.0127"},{"id":17,"name":"Train ID","value":"192-02"},{"id":16,"name":"Locomotive ID","value":"4052"},{"id":130,"name":"Impact","value":""},{"id":150,"name":"Time of Event (Mountain Time)","value":"16:34:24"},{"id":151,"name":"Denver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60" t="str">
        <f t="shared" si="38"/>
        <v>start /low /b %USERPROFILE%\Documents\GitHub\eaglep3\Utilities\DownloadLogsFromS3.py --loco 4052 --day 2017-02-02</v>
      </c>
      <c r="AN104" s="169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595</v>
      </c>
      <c r="B105" s="7">
        <v>4025</v>
      </c>
      <c r="C105" s="21" t="s">
        <v>193</v>
      </c>
      <c r="D105" s="21" t="s">
        <v>276</v>
      </c>
      <c r="E105" s="13">
        <v>42768.63045138889</v>
      </c>
      <c r="F105" s="13">
        <v>42768.635613425926</v>
      </c>
      <c r="G105" s="7">
        <v>1</v>
      </c>
      <c r="H105" s="21" t="s">
        <v>726</v>
      </c>
      <c r="I105" s="13">
        <v>42768.660439814812</v>
      </c>
      <c r="J105" s="7">
        <v>0</v>
      </c>
      <c r="K105" s="98" t="str">
        <f t="shared" si="21"/>
        <v>4025/4026</v>
      </c>
      <c r="L105" s="21" t="str">
        <f>VLOOKUP(A105,'Trips&amp;Operators'!$C$1:$G$99999,5,FALSE)</f>
        <v>SMITH MICHAEL</v>
      </c>
      <c r="M105" s="6">
        <f t="shared" si="22"/>
        <v>2.4826388886140194E-2</v>
      </c>
      <c r="N105" s="7">
        <f t="shared" si="23"/>
        <v>35.749999996041879</v>
      </c>
      <c r="O105" s="7"/>
      <c r="P105" s="7"/>
      <c r="Q105" s="22"/>
      <c r="R105" s="22"/>
      <c r="S105" s="31">
        <f t="shared" si="24"/>
        <v>1</v>
      </c>
      <c r="T105" s="46" t="str">
        <f t="shared" si="25"/>
        <v>NorthBound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 t="shared" si="26"/>
        <v>https://d0f6bd738d7f1b3e5a7ca70fe4ff75f0.us-east-1.aws.found.io/app/kibana#/discover/Steve-Slow-Train-Analysis-(2080s-and-2083s)?_g=(refreshInterval:(display:Off,pause:!f,section:0,value:0),time:(from:'2017-02-02T14:07:51-0700',mode:absolute,to:'2017-02-02T16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5" s="194" t="str">
        <f t="shared" si="27"/>
        <v>N</v>
      </c>
      <c r="X105" s="194">
        <f t="shared" si="28"/>
        <v>1</v>
      </c>
      <c r="Y105" s="62">
        <f t="shared" si="29"/>
        <v>4.53E-2</v>
      </c>
      <c r="Z105" s="62">
        <f t="shared" si="30"/>
        <v>23.334499999999998</v>
      </c>
      <c r="AA105" s="62">
        <f t="shared" si="31"/>
        <v>23.289199999999997</v>
      </c>
      <c r="AB105" s="59" t="e">
        <f>VLOOKUP(A105,Enforcements!$C$7:$K$16,8,0)</f>
        <v>#N/A</v>
      </c>
      <c r="AC105" s="55" t="e">
        <f>VLOOKUP(A105,Enforcements!$C$7:$E$16,3,0)</f>
        <v>#N/A</v>
      </c>
      <c r="AD105" s="56" t="str">
        <f t="shared" si="32"/>
        <v>0193-02</v>
      </c>
      <c r="AE105" s="85" t="str">
        <f t="shared" si="33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105" s="82" t="str">
        <f t="shared" si="34"/>
        <v>"C:\Program Files (x86)\AstroGrep\AstroGrep.exe" /spath="%USERPROFILE%\AppData\Local\Temp\OnboardLogs" /stypes="app*4025*20170202*" /stext=" 22:.+((SYSTEM_STATE.+slice.+state.+changed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6" t="str">
        <f t="shared" si="36"/>
        <v>"%USERPROFILE%\Documents\GitHub\eaglep3\Utilities\RefineRTDCRunTimes.py" --tripid 193-02 --locoid 4025 --swversion DE.1.0.8.0 --startMP 204:453 --initTime 2017-02-02T15:07:51 --startdatetime 2017-02-02T15:15:17 --delay 1 --endMP 204:233345 --enddatetime 2017-02-02T15:51:02 --enforcementcount 0 &gt;&gt;C:\Users\stu\Documents\GitHub\eaglep3-reporting\EC\2017-02-02-refined-times.txt</v>
      </c>
      <c r="AI105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{"issue":{"subject":"","project_id":79,"tracker_id":40,"status_id":1,"priority_id":2,"assigned_to_id":23,"start_date":"2017-02-02","description":"","custom_fields":[{"id":1,"name":"Subdivision","value":"EC"},{"id":4,"name":"Milepost","value":"23.3345"},{"id":17,"name":"Train ID","value":"193-02"},{"id":16,"name":"Locomotive ID","value":"4025"},{"id":130,"name":"Impact","value":""},{"id":150,"name":"Time of Event (Mountain Time)","value":"15:51:02"},{"id":151,"name":"Denver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60" t="str">
        <f t="shared" si="38"/>
        <v>start /low /b %USERPROFILE%\Documents\GitHub\eaglep3\Utilities\DownloadLogsFromS3.py --loco 4025 --day 2017-02-02</v>
      </c>
      <c r="AN105" s="169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"%USERPROFILE%\AppData\Local\Temp\OnboardLogs"\RTDC4025\*4025*20170202* | grep -SE "(Enforcement Action)|(\[TIMEOUT)|(CHR.+\|PRM\|1\|D.+(SWITCH|SIGNAL).+UNKNOWN)" - &gt;&gt; 2017-02-02-UncaughtWiMAX.txt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604</v>
      </c>
      <c r="B106" s="7">
        <v>4026</v>
      </c>
      <c r="C106" s="21" t="s">
        <v>193</v>
      </c>
      <c r="D106" s="21" t="s">
        <v>407</v>
      </c>
      <c r="E106" s="13">
        <v>42768.662210648145</v>
      </c>
      <c r="F106" s="13">
        <v>42768.674571759257</v>
      </c>
      <c r="G106" s="7">
        <v>1</v>
      </c>
      <c r="H106" s="21" t="s">
        <v>309</v>
      </c>
      <c r="I106" s="13">
        <v>42768.701782407406</v>
      </c>
      <c r="J106" s="7">
        <v>0</v>
      </c>
      <c r="K106" s="98" t="str">
        <f t="shared" si="21"/>
        <v>4025/4026</v>
      </c>
      <c r="L106" s="21" t="str">
        <f>VLOOKUP(A106,'Trips&amp;Operators'!$C$1:$G$99999,5,FALSE)</f>
        <v>SMITH MICHAEL</v>
      </c>
      <c r="M106" s="6">
        <f t="shared" si="22"/>
        <v>2.7210648149775807E-2</v>
      </c>
      <c r="N106" s="7">
        <f t="shared" si="23"/>
        <v>39.183333335677162</v>
      </c>
      <c r="O106" s="7"/>
      <c r="P106" s="7"/>
      <c r="Q106" s="22"/>
      <c r="R106" s="22"/>
      <c r="S106" s="31">
        <f t="shared" si="24"/>
        <v>1</v>
      </c>
      <c r="T106" s="46" t="str">
        <f t="shared" si="25"/>
        <v>Southbound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 t="shared" si="26"/>
        <v>https://d0f6bd738d7f1b3e5a7ca70fe4ff75f0.us-east-1.aws.found.io/app/kibana#/discover/Steve-Slow-Train-Analysis-(2080s-and-2083s)?_g=(refreshInterval:(display:Off,pause:!f,section:0,value:0),time:(from:'2017-02-02T14:53:35-0700',mode:absolute,to:'2017-02-02T17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194" t="str">
        <f t="shared" si="27"/>
        <v>N</v>
      </c>
      <c r="X106" s="194">
        <f t="shared" si="28"/>
        <v>1</v>
      </c>
      <c r="Y106" s="62">
        <f t="shared" si="29"/>
        <v>23.297999999999998</v>
      </c>
      <c r="Z106" s="62">
        <f t="shared" si="30"/>
        <v>1.3899999999999999E-2</v>
      </c>
      <c r="AA106" s="62">
        <f t="shared" si="31"/>
        <v>23.284099999999999</v>
      </c>
      <c r="AB106" s="59" t="e">
        <f>VLOOKUP(A106,Enforcements!$C$7:$K$16,8,0)</f>
        <v>#N/A</v>
      </c>
      <c r="AC106" s="55" t="e">
        <f>VLOOKUP(A106,Enforcements!$C$7:$E$16,3,0)</f>
        <v>#N/A</v>
      </c>
      <c r="AD106" s="56" t="str">
        <f t="shared" si="32"/>
        <v>0194-02</v>
      </c>
      <c r="AE106" s="85" t="str">
        <f t="shared" si="33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106" s="82" t="str">
        <f t="shared" si="34"/>
        <v>"C:\Program Files (x86)\AstroGrep\AstroGrep.exe" /spath="%USERPROFILE%\AppData\Local\Temp\OnboardLogs" /stypes="app*4026*20170202*"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6" t="str">
        <f t="shared" si="36"/>
        <v>"%USERPROFILE%\Documents\GitHub\eaglep3\Utilities\RefineRTDCRunTimes.py" --tripid 194-02 --locoid 4026 --swversion DE.1.0.8.0 --startMP 204:232980 --initTime 2017-02-02T15:53:35 --startdatetime 2017-02-02T16:11:23 --delay 1 --endMP 204:139 --enddatetime 2017-02-02T16:50:34 --enforcementcount 0 &gt;&gt;C:\Users\stu\Documents\GitHub\eaglep3-reporting\EC\2017-02-02-refined-times.txt</v>
      </c>
      <c r="AI10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{"issue":{"subject":"","project_id":79,"tracker_id":40,"status_id":1,"priority_id":2,"assigned_to_id":23,"start_date":"2017-02-02","description":"","custom_fields":[{"id":1,"name":"Subdivision","value":"EC"},{"id":4,"name":"Milepost","value":"0.0139"},{"id":17,"name":"Train ID","value":"194-02"},{"id":16,"name":"Locomotive ID","value":"4026"},{"id":130,"name":"Impact","value":""},{"id":150,"name":"Time of Event (Mountain Time)","value":"16:50:34"},{"id":151,"name":"Denver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60" t="str">
        <f t="shared" si="38"/>
        <v>start /low /b %USERPROFILE%\Documents\GitHub\eaglep3\Utilities\DownloadLogsFromS3.py --loco 4026 --day 2017-02-02</v>
      </c>
      <c r="AN106" s="169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456</v>
      </c>
      <c r="B107" s="7">
        <v>4027</v>
      </c>
      <c r="C107" s="21" t="s">
        <v>193</v>
      </c>
      <c r="D107" s="21" t="s">
        <v>402</v>
      </c>
      <c r="E107" s="13">
        <v>42768.640868055554</v>
      </c>
      <c r="F107" s="13">
        <v>42768.646157407406</v>
      </c>
      <c r="G107" s="7">
        <v>1</v>
      </c>
      <c r="H107" s="21" t="s">
        <v>313</v>
      </c>
      <c r="I107" s="13">
        <v>42768.672013888892</v>
      </c>
      <c r="J107" s="7">
        <v>0</v>
      </c>
      <c r="K107" s="98" t="str">
        <f t="shared" si="21"/>
        <v>4027/4028</v>
      </c>
      <c r="L107" s="21" t="str">
        <f>VLOOKUP(A107,'Trips&amp;Operators'!$C$1:$G$99999,5,FALSE)</f>
        <v>DELGADO DIANAH</v>
      </c>
      <c r="M107" s="6">
        <f t="shared" si="22"/>
        <v>2.5856481486698613E-2</v>
      </c>
      <c r="N107" s="7">
        <f t="shared" si="23"/>
        <v>37.233333340846002</v>
      </c>
      <c r="O107" s="7"/>
      <c r="P107" s="7"/>
      <c r="Q107" s="22"/>
      <c r="R107" s="22" t="s">
        <v>925</v>
      </c>
      <c r="S107" s="31">
        <f t="shared" si="24"/>
        <v>1</v>
      </c>
      <c r="T107" s="46" t="str">
        <f t="shared" si="25"/>
        <v>NorthBound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 t="shared" si="26"/>
        <v>https://d0f6bd738d7f1b3e5a7ca70fe4ff75f0.us-east-1.aws.found.io/app/kibana#/discover/Steve-Slow-Train-Analysis-(2080s-and-2083s)?_g=(refreshInterval:(display:Off,pause:!f,section:0,value:0),time:(from:'2017-02-02T14:22:51-0700',mode:absolute,to:'2017-02-02T17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7" s="194" t="str">
        <f t="shared" si="27"/>
        <v>N</v>
      </c>
      <c r="X107" s="194">
        <f t="shared" si="28"/>
        <v>1</v>
      </c>
      <c r="Y107" s="62">
        <f t="shared" si="29"/>
        <v>4.3799999999999999E-2</v>
      </c>
      <c r="Z107" s="62">
        <f t="shared" si="30"/>
        <v>23.3323</v>
      </c>
      <c r="AA107" s="62">
        <f t="shared" si="31"/>
        <v>23.288499999999999</v>
      </c>
      <c r="AB107" s="59" t="str">
        <f>VLOOKUP(A107,Enforcements!$C$7:$K$16,8,0)</f>
        <v>Bulletin (2)</v>
      </c>
      <c r="AC107" s="55" t="str">
        <f>VLOOKUP(A107,Enforcements!$C$7:$E$16,3,0)</f>
        <v>GRADE CROSSING</v>
      </c>
      <c r="AD107" s="56" t="str">
        <f t="shared" si="32"/>
        <v>0195-02</v>
      </c>
      <c r="AE107" s="85" t="str">
        <f t="shared" si="33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07" s="82" t="str">
        <f t="shared" si="34"/>
        <v>"C:\Program Files (x86)\AstroGrep\AstroGrep.exe" /spath="%USERPROFILE%\AppData\Local\Temp\OnboardLogs" /stypes="app*4027*20170202*"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6" t="str">
        <f t="shared" si="36"/>
        <v>"%USERPROFILE%\Documents\GitHub\eaglep3\Utilities\RefineRTDCRunTimes.py" --tripid 195-02 --locoid 4027 --swversion DE.1.0.8.0 --startMP 204:438 --initTime 2017-02-02T15:22:51 --startdatetime 2017-02-02T15:30:28 --delay 1 --endMP 204:233323 --enddatetime 2017-02-02T16:07:42 --enforcementcount 0 &gt;&gt;C:\Users\stu\Documents\GitHub\eaglep3-reporting\EC\2017-02-02-refined-times.txt</v>
      </c>
      <c r="AI107" s="108" t="str">
        <f t="shared" si="37"/>
        <v>echo {"issue":{"subject":"Unhealthy XING due to Wi-MAX data drop","project_id":79,"tracker_id":40,"status_id":1,"priority_id":2,"assigned_to_id":23,"start_date":"2017-02-02","description":"","custom_fields":[{"id":1,"name":"Subdivision","value":"EC"},{"id":4,"name":"Milepost","value":"23.3323"},{"id":17,"name":"Train ID","value":"195-02"},{"id":16,"name":"Locomotive ID","value":"4027"},{"id":130,"name":"Impact","value":""},{"id":150,"name":"Time of Event (Mountain Time)","value":"16:07:42"},{"id":151,"name":"Denver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60" t="str">
        <f t="shared" si="38"/>
        <v>start /low /b %USERPROFILE%\Documents\GitHub\eaglep3\Utilities\DownloadLogsFromS3.py --loco 4027 --day 2017-02-02</v>
      </c>
      <c r="AN107" s="169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"%USERPROFILE%\AppData\Local\Temp\OnboardLogs"\RTDC4027\*4027*20170202* | grep -SE "(Enforcement Action)|(\[TIMEOUT)|(CHR.+\|PRM\|1\|D.+(SWITCH|SIGNAL).+UNKNOWN)" - &gt;&gt; 2017-02-02-UncaughtWiMAX.txt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608</v>
      </c>
      <c r="B108" s="7">
        <v>4028</v>
      </c>
      <c r="C108" s="21" t="s">
        <v>193</v>
      </c>
      <c r="D108" s="21" t="s">
        <v>727</v>
      </c>
      <c r="E108" s="13">
        <v>42768.67596064815</v>
      </c>
      <c r="F108" s="13">
        <v>42768.685104166667</v>
      </c>
      <c r="G108" s="7">
        <v>3</v>
      </c>
      <c r="H108" s="21" t="s">
        <v>291</v>
      </c>
      <c r="I108" s="13">
        <v>42768.711550925924</v>
      </c>
      <c r="J108" s="7">
        <v>0</v>
      </c>
      <c r="K108" s="98" t="str">
        <f t="shared" si="21"/>
        <v>4027/4028</v>
      </c>
      <c r="L108" s="21" t="str">
        <f>VLOOKUP(A108,'Trips&amp;Operators'!$C$1:$G$99999,5,FALSE)</f>
        <v>DELGADO DIANAH</v>
      </c>
      <c r="M108" s="6">
        <f t="shared" si="22"/>
        <v>2.6446759256941732E-2</v>
      </c>
      <c r="N108" s="7">
        <f t="shared" si="23"/>
        <v>38.083333329996094</v>
      </c>
      <c r="O108" s="7"/>
      <c r="P108" s="7"/>
      <c r="Q108" s="22"/>
      <c r="R108" s="22"/>
      <c r="S108" s="31">
        <f t="shared" si="24"/>
        <v>1</v>
      </c>
      <c r="T108" s="46" t="str">
        <f t="shared" si="25"/>
        <v>Southbound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 t="shared" si="26"/>
        <v>https://d0f6bd738d7f1b3e5a7ca70fe4ff75f0.us-east-1.aws.found.io/app/kibana#/discover/Steve-Slow-Train-Analysis-(2080s-and-2083s)?_g=(refreshInterval:(display:Off,pause:!f,section:0,value:0),time:(from:'2017-02-02T15:13:23-0700',mode:absolute,to:'2017-02-02T18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8" s="194" t="str">
        <f t="shared" si="27"/>
        <v>N</v>
      </c>
      <c r="X108" s="194">
        <f t="shared" si="28"/>
        <v>1</v>
      </c>
      <c r="Y108" s="62">
        <f t="shared" si="29"/>
        <v>23.300999999999998</v>
      </c>
      <c r="Z108" s="62">
        <f t="shared" si="30"/>
        <v>1.5599999999999999E-2</v>
      </c>
      <c r="AA108" s="62">
        <f t="shared" si="31"/>
        <v>23.285399999999999</v>
      </c>
      <c r="AB108" s="59" t="e">
        <f>VLOOKUP(A108,Enforcements!$C$7:$K$16,8,0)</f>
        <v>#N/A</v>
      </c>
      <c r="AC108" s="55" t="e">
        <f>VLOOKUP(A108,Enforcements!$C$7:$E$16,3,0)</f>
        <v>#N/A</v>
      </c>
      <c r="AD108" s="56" t="str">
        <f t="shared" si="32"/>
        <v>0196-02</v>
      </c>
      <c r="AE108" s="85" t="str">
        <f t="shared" si="33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108" s="82" t="str">
        <f t="shared" si="34"/>
        <v>"C:\Program Files (x86)\AstroGrep\AstroGrep.exe" /spath="%USERPROFILE%\AppData\Local\Temp\OnboardLogs" /stypes="app*4028*20170203*" /stext=" 00:.+((SYSTEM_STATE.+slice.+state.+changed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6" t="str">
        <f t="shared" si="36"/>
        <v>"%USERPROFILE%\Documents\GitHub\eaglep3\Utilities\RefineRTDCRunTimes.py" --tripid 196-02 --locoid 4028 --swversion DE.1.0.8.0 --startMP 204:233010 --initTime 2017-02-02T16:13:23 --startdatetime 2017-02-02T16:26:33 --delay 3 --endMP 204:156 --enddatetime 2017-02-02T17:04:38 --enforcementcount 0 &gt;&gt;C:\Users\stu\Documents\GitHub\eaglep3-reporting\EC\2017-02-02-refined-times.txt</v>
      </c>
      <c r="AI10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{"issue":{"subject":"","project_id":79,"tracker_id":40,"status_id":1,"priority_id":2,"assigned_to_id":23,"start_date":"2017-02-02","description":"","custom_fields":[{"id":1,"name":"Subdivision","value":"EC"},{"id":4,"name":"Milepost","value":"0.0156"},{"id":17,"name":"Train ID","value":"196-02"},{"id":16,"name":"Locomotive ID","value":"4028"},{"id":130,"name":"Impact","value":""},{"id":150,"name":"Time of Event (Mountain Time)","value":"17:04:38"},{"id":151,"name":"Denver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60" t="str">
        <f t="shared" si="38"/>
        <v>start /low /b %USERPROFILE%\Documents\GitHub\eaglep3\Utilities\DownloadLogsFromS3.py --loco 4028 --day 2017-02-02</v>
      </c>
      <c r="AN108" s="169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"%USERPROFILE%\AppData\Local\Temp\OnboardLogs"\RTDC4028\*4028*20170202* | grep -SE "(Enforcement Action)|(\[TIMEOUT)|(CHR.+\|PRM\|1\|D.+(SWITCH|SIGNAL).+UNKNOWN)" - &gt;&gt; 2017-02-02-UncaughtWiMAX.txt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600</v>
      </c>
      <c r="B109" s="7">
        <v>4022</v>
      </c>
      <c r="C109" s="21" t="s">
        <v>193</v>
      </c>
      <c r="D109" s="21" t="s">
        <v>415</v>
      </c>
      <c r="E109" s="13">
        <v>42768.654004629629</v>
      </c>
      <c r="F109" s="13">
        <v>42768.656550925924</v>
      </c>
      <c r="G109" s="7">
        <v>1</v>
      </c>
      <c r="H109" s="21" t="s">
        <v>705</v>
      </c>
      <c r="I109" s="13">
        <v>42768.681006944447</v>
      </c>
      <c r="J109" s="7">
        <v>0</v>
      </c>
      <c r="K109" s="98" t="str">
        <f t="shared" si="21"/>
        <v>4021/4022</v>
      </c>
      <c r="L109" s="21" t="str">
        <f>VLOOKUP(A109,'Trips&amp;Operators'!$C$1:$G$99999,5,FALSE)</f>
        <v>HELVIE ADAM</v>
      </c>
      <c r="M109" s="6">
        <f t="shared" si="22"/>
        <v>2.4456018523778766E-2</v>
      </c>
      <c r="N109" s="7">
        <f t="shared" si="23"/>
        <v>35.216666674241424</v>
      </c>
      <c r="O109" s="7"/>
      <c r="P109" s="7"/>
      <c r="Q109" s="22"/>
      <c r="R109" s="22"/>
      <c r="S109" s="31">
        <f t="shared" si="24"/>
        <v>1</v>
      </c>
      <c r="T109" s="46" t="str">
        <f t="shared" si="25"/>
        <v>NorthBound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 t="shared" si="26"/>
        <v>https://d0f6bd738d7f1b3e5a7ca70fe4ff75f0.us-east-1.aws.found.io/app/kibana#/discover/Steve-Slow-Train-Analysis-(2080s-and-2083s)?_g=(refreshInterval:(display:Off,pause:!f,section:0,value:0),time:(from:'2017-02-02T14:41:46-0700',mode:absolute,to:'2017-02-02T17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9" s="194" t="str">
        <f t="shared" si="27"/>
        <v>N</v>
      </c>
      <c r="X109" s="194">
        <f t="shared" si="28"/>
        <v>1</v>
      </c>
      <c r="Y109" s="62">
        <f t="shared" si="29"/>
        <v>4.8399999999999999E-2</v>
      </c>
      <c r="Z109" s="62">
        <f t="shared" si="30"/>
        <v>23.331199999999999</v>
      </c>
      <c r="AA109" s="62">
        <f t="shared" si="31"/>
        <v>23.282799999999998</v>
      </c>
      <c r="AB109" s="59" t="e">
        <f>VLOOKUP(A109,Enforcements!$C$7:$K$16,8,0)</f>
        <v>#N/A</v>
      </c>
      <c r="AC109" s="55" t="e">
        <f>VLOOKUP(A109,Enforcements!$C$7:$E$16,3,0)</f>
        <v>#N/A</v>
      </c>
      <c r="AD109" s="56" t="str">
        <f t="shared" si="32"/>
        <v>0197-02</v>
      </c>
      <c r="AE109" s="85" t="str">
        <f t="shared" si="33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109" s="82" t="str">
        <f t="shared" si="34"/>
        <v>"C:\Program Files (x86)\AstroGrep\AstroGrep.exe" /spath="%USERPROFILE%\AppData\Local\Temp\OnboardLogs" /stypes="app*4022*20170202*" /stext=" 23:.+((SYSTEM_STATE.+slice.+state.+changed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6" t="str">
        <f t="shared" si="36"/>
        <v>"%USERPROFILE%\Documents\GitHub\eaglep3\Utilities\RefineRTDCRunTimes.py" --tripid 197-02 --locoid 4022 --swversion DE.1.0.8.0 --startMP 204:484 --initTime 2017-02-02T15:41:46 --startdatetime 2017-02-02T15:45:26 --delay 1 --endMP 204:233312 --enddatetime 2017-02-02T16:20:39 --enforcementcount 0 &gt;&gt;C:\Users\stu\Documents\GitHub\eaglep3-reporting\EC\2017-02-02-refined-times.txt</v>
      </c>
      <c r="AI10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{"issue":{"subject":"","project_id":79,"tracker_id":40,"status_id":1,"priority_id":2,"assigned_to_id":23,"start_date":"2017-02-02","description":"","custom_fields":[{"id":1,"name":"Subdivision","value":"EC"},{"id":4,"name":"Milepost","value":"23.3312"},{"id":17,"name":"Train ID","value":"197-02"},{"id":16,"name":"Locomotive ID","value":"4022"},{"id":130,"name":"Impact","value":""},{"id":150,"name":"Time of Event (Mountain Time)","value":"16:20:39"},{"id":151,"name":"Denver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60" t="str">
        <f t="shared" si="38"/>
        <v>start /low /b %USERPROFILE%\Documents\GitHub\eaglep3\Utilities\DownloadLogsFromS3.py --loco 4022 --day 2017-02-02</v>
      </c>
      <c r="AN109" s="169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"%USERPROFILE%\AppData\Local\Temp\OnboardLogs"\RTDC4022\*4022*20170202* | grep -SE "(Enforcement Action)|(\[TIMEOUT)|(CHR.+\|PRM\|1\|D.+(SWITCH|SIGNAL).+UNKNOWN)" - &gt;&gt; 2017-02-02-UncaughtWiMAX.txt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610</v>
      </c>
      <c r="B110" s="7">
        <v>4021</v>
      </c>
      <c r="C110" s="21" t="s">
        <v>193</v>
      </c>
      <c r="D110" s="21" t="s">
        <v>310</v>
      </c>
      <c r="E110" s="13">
        <v>42768.688159722224</v>
      </c>
      <c r="F110" s="13">
        <v>42768.695324074077</v>
      </c>
      <c r="G110" s="7">
        <v>1</v>
      </c>
      <c r="H110" s="21" t="s">
        <v>196</v>
      </c>
      <c r="I110" s="13">
        <v>42768.722615740742</v>
      </c>
      <c r="J110" s="7">
        <v>0</v>
      </c>
      <c r="K110" s="98" t="str">
        <f t="shared" si="21"/>
        <v>4021/4022</v>
      </c>
      <c r="L110" s="21" t="str">
        <f>VLOOKUP(A110,'Trips&amp;Operators'!$C$1:$G$99999,5,FALSE)</f>
        <v>HELVIE ADAM</v>
      </c>
      <c r="M110" s="6">
        <f t="shared" si="22"/>
        <v>2.7291666665405501E-2</v>
      </c>
      <c r="N110" s="7">
        <f t="shared" si="23"/>
        <v>39.299999998183921</v>
      </c>
      <c r="O110" s="7"/>
      <c r="P110" s="7"/>
      <c r="Q110" s="22"/>
      <c r="R110" s="22"/>
      <c r="S110" s="31">
        <f t="shared" si="24"/>
        <v>1</v>
      </c>
      <c r="T110" s="46" t="str">
        <f t="shared" si="25"/>
        <v>Southbound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 t="shared" si="26"/>
        <v>https://d0f6bd738d7f1b3e5a7ca70fe4ff75f0.us-east-1.aws.found.io/app/kibana#/discover/Steve-Slow-Train-Analysis-(2080s-and-2083s)?_g=(refreshInterval:(display:Off,pause:!f,section:0,value:0),time:(from:'2017-02-02T15:30:57-0700',mode:absolute,to:'2017-02-02T18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0" s="194" t="str">
        <f t="shared" si="27"/>
        <v>N</v>
      </c>
      <c r="X110" s="194">
        <f t="shared" si="28"/>
        <v>1</v>
      </c>
      <c r="Y110" s="62">
        <f t="shared" si="29"/>
        <v>23.299800000000001</v>
      </c>
      <c r="Z110" s="62">
        <f t="shared" si="30"/>
        <v>1.4999999999999999E-2</v>
      </c>
      <c r="AA110" s="62">
        <f t="shared" si="31"/>
        <v>23.284800000000001</v>
      </c>
      <c r="AB110" s="59" t="e">
        <f>VLOOKUP(A110,Enforcements!$C$7:$K$16,8,0)</f>
        <v>#N/A</v>
      </c>
      <c r="AC110" s="55" t="e">
        <f>VLOOKUP(A110,Enforcements!$C$7:$E$16,3,0)</f>
        <v>#N/A</v>
      </c>
      <c r="AD110" s="56" t="str">
        <f t="shared" si="32"/>
        <v>0198-02</v>
      </c>
      <c r="AE110" s="85" t="str">
        <f t="shared" si="33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110" s="82" t="str">
        <f t="shared" si="34"/>
        <v>"C:\Program Files (x86)\AstroGrep\AstroGrep.exe" /spath="%USERPROFILE%\AppData\Local\Temp\OnboardLogs" /stypes="app*4021*20170203*" /stext=" 00:.+((SYSTEM_STATE.+slice.+state.+changed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6" t="str">
        <f t="shared" si="36"/>
        <v>"%USERPROFILE%\Documents\GitHub\eaglep3\Utilities\RefineRTDCRunTimes.py" --tripid 198-02 --locoid 4021 --swversion DE.1.0.8.0 --startMP 204:232998 --initTime 2017-02-02T16:30:57 --startdatetime 2017-02-02T16:41:16 --delay 1 --endMP 204:150 --enddatetime 2017-02-02T17:20:34 --enforcementcount 0 &gt;&gt;C:\Users\stu\Documents\GitHub\eaglep3-reporting\EC\2017-02-02-refined-times.txt</v>
      </c>
      <c r="AI11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{"issue":{"subject":"","project_id":79,"tracker_id":40,"status_id":1,"priority_id":2,"assigned_to_id":23,"start_date":"2017-02-02","description":"","custom_fields":[{"id":1,"name":"Subdivision","value":"EC"},{"id":4,"name":"Milepost","value":"0.015"},{"id":17,"name":"Train ID","value":"198-02"},{"id":16,"name":"Locomotive ID","value":"4021"},{"id":130,"name":"Impact","value":""},{"id":150,"name":"Time of Event (Mountain Time)","value":"17:20:34"},{"id":151,"name":"Denver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60" t="str">
        <f t="shared" si="38"/>
        <v>start /low /b %USERPROFILE%\Documents\GitHub\eaglep3\Utilities\DownloadLogsFromS3.py --loco 4021 --day 2017-02-02</v>
      </c>
      <c r="AN110" s="169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"%USERPROFILE%\AppData\Local\Temp\OnboardLogs"\RTDC4021\*4021*20170203* | grep -SE "(Enforcement Action)|(\[TIMEOUT)|(CHR.+\|PRM\|1\|D.+(SWITCH|SIGNAL).+UNKNOWN)" - &gt;&gt; 2017-02-02-UncaughtWiMAX.txt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602</v>
      </c>
      <c r="B111" s="7">
        <v>4016</v>
      </c>
      <c r="C111" s="21" t="s">
        <v>193</v>
      </c>
      <c r="D111" s="21" t="s">
        <v>330</v>
      </c>
      <c r="E111" s="13">
        <v>42768.660844907405</v>
      </c>
      <c r="F111" s="13">
        <v>42768.666851851849</v>
      </c>
      <c r="G111" s="7">
        <v>1</v>
      </c>
      <c r="H111" s="21" t="s">
        <v>728</v>
      </c>
      <c r="I111" s="13">
        <v>42768.691620370373</v>
      </c>
      <c r="J111" s="7">
        <v>0</v>
      </c>
      <c r="K111" s="98" t="str">
        <f t="shared" si="21"/>
        <v>4015/4016</v>
      </c>
      <c r="L111" s="21" t="str">
        <f>VLOOKUP(A111,'Trips&amp;Operators'!$C$1:$G$99999,5,FALSE)</f>
        <v>BRANNON JEFFREY</v>
      </c>
      <c r="M111" s="6">
        <f t="shared" si="22"/>
        <v>2.4768518524069805E-2</v>
      </c>
      <c r="N111" s="7">
        <f t="shared" si="23"/>
        <v>35.666666674660519</v>
      </c>
      <c r="O111" s="7"/>
      <c r="P111" s="7"/>
      <c r="Q111" s="22"/>
      <c r="R111" s="22"/>
      <c r="S111" s="31">
        <f t="shared" si="24"/>
        <v>1</v>
      </c>
      <c r="T111" s="46" t="str">
        <f t="shared" si="25"/>
        <v>NorthBound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 t="shared" si="26"/>
        <v>https://d0f6bd738d7f1b3e5a7ca70fe4ff75f0.us-east-1.aws.found.io/app/kibana#/discover/Steve-Slow-Train-Analysis-(2080s-and-2083s)?_g=(refreshInterval:(display:Off,pause:!f,section:0,value:0),time:(from:'2017-02-02T14:51:37-0700',mode:absolute,to:'2017-02-02T17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194" t="str">
        <f t="shared" si="27"/>
        <v>N</v>
      </c>
      <c r="X111" s="194">
        <f t="shared" si="28"/>
        <v>1</v>
      </c>
      <c r="Y111" s="62">
        <f t="shared" si="29"/>
        <v>4.4699999999999997E-2</v>
      </c>
      <c r="Z111" s="62">
        <f t="shared" si="30"/>
        <v>23.336400000000001</v>
      </c>
      <c r="AA111" s="62">
        <f t="shared" si="31"/>
        <v>23.291700000000002</v>
      </c>
      <c r="AB111" s="59" t="e">
        <f>VLOOKUP(A111,Enforcements!$C$7:$K$16,8,0)</f>
        <v>#N/A</v>
      </c>
      <c r="AC111" s="55" t="e">
        <f>VLOOKUP(A111,Enforcements!$C$7:$E$16,3,0)</f>
        <v>#N/A</v>
      </c>
      <c r="AD111" s="56" t="str">
        <f t="shared" si="32"/>
        <v>0199-02</v>
      </c>
      <c r="AE111" s="85" t="str">
        <f t="shared" si="33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111" s="82" t="str">
        <f t="shared" si="34"/>
        <v>"C:\Program Files (x86)\AstroGrep\AstroGrep.exe" /spath="%USERPROFILE%\AppData\Local\Temp\OnboardLogs" /stypes="app*4016*20170202*" /stext=" 23:.+((SYSTEM_STATE.+slice.+state.+changed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6" t="str">
        <f t="shared" si="36"/>
        <v>"%USERPROFILE%\Documents\GitHub\eaglep3\Utilities\RefineRTDCRunTimes.py" --tripid 199-02 --locoid 4016 --swversion DE.1.0.8.0 --startMP 204:447 --initTime 2017-02-02T15:51:37 --startdatetime 2017-02-02T16:00:16 --delay 1 --endMP 204:233364 --enddatetime 2017-02-02T16:35:56 --enforcementcount 0 &gt;&gt;C:\Users\stu\Documents\GitHub\eaglep3-reporting\EC\2017-02-02-refined-times.txt</v>
      </c>
      <c r="AI11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{"issue":{"subject":"","project_id":79,"tracker_id":40,"status_id":1,"priority_id":2,"assigned_to_id":23,"start_date":"2017-02-02","description":"","custom_fields":[{"id":1,"name":"Subdivision","value":"EC"},{"id":4,"name":"Milepost","value":"23.3364"},{"id":17,"name":"Train ID","value":"199-02"},{"id":16,"name":"Locomotive ID","value":"4016"},{"id":130,"name":"Impact","value":""},{"id":150,"name":"Time of Event (Mountain Time)","value":"16:35:56"},{"id":151,"name":"Denver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60" t="str">
        <f t="shared" si="38"/>
        <v>start /low /b %USERPROFILE%\Documents\GitHub\eaglep3\Utilities\DownloadLogsFromS3.py --loco 4016 --day 2017-02-02</v>
      </c>
      <c r="AN111" s="169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"%USERPROFILE%\AppData\Local\Temp\OnboardLogs"\RTDC4016\*4016*20170202* | grep -SE "(Enforcement Action)|(\[TIMEOUT)|(CHR.+\|PRM\|1\|D.+(SWITCH|SIGNAL).+UNKNOWN)" - &gt;&gt; 2017-02-02-UncaughtWiMAX.txt</v>
      </c>
    </row>
    <row r="112" spans="1:91" s="20" customFormat="1" x14ac:dyDescent="0.25">
      <c r="A112" s="33" t="s">
        <v>613</v>
      </c>
      <c r="B112" s="7">
        <v>4015</v>
      </c>
      <c r="C112" s="21" t="s">
        <v>193</v>
      </c>
      <c r="D112" s="21" t="s">
        <v>397</v>
      </c>
      <c r="E112" s="13">
        <v>42768.69295138889</v>
      </c>
      <c r="F112" s="13">
        <v>42768.705706018518</v>
      </c>
      <c r="G112" s="7">
        <v>1</v>
      </c>
      <c r="H112" s="21" t="s">
        <v>200</v>
      </c>
      <c r="I112" s="13">
        <v>42768.732071759259</v>
      </c>
      <c r="J112" s="7">
        <v>0</v>
      </c>
      <c r="K112" s="98" t="str">
        <f t="shared" si="21"/>
        <v>4015/4016</v>
      </c>
      <c r="L112" s="21" t="str">
        <f>VLOOKUP(A112,'Trips&amp;Operators'!$C$1:$G$99999,5,FALSE)</f>
        <v>BRANNON JEFFREY</v>
      </c>
      <c r="M112" s="6">
        <f t="shared" si="22"/>
        <v>2.6365740741312038E-2</v>
      </c>
      <c r="N112" s="7">
        <f t="shared" si="23"/>
        <v>37.966666667489335</v>
      </c>
      <c r="O112" s="7"/>
      <c r="P112" s="7"/>
      <c r="Q112" s="22"/>
      <c r="R112" s="22"/>
      <c r="S112" s="31">
        <f t="shared" si="24"/>
        <v>1</v>
      </c>
      <c r="T112" s="46" t="str">
        <f t="shared" si="25"/>
        <v>Southbound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 t="shared" si="26"/>
        <v>https://d0f6bd738d7f1b3e5a7ca70fe4ff75f0.us-east-1.aws.found.io/app/kibana#/discover/Steve-Slow-Train-Analysis-(2080s-and-2083s)?_g=(refreshInterval:(display:Off,pause:!f,section:0,value:0),time:(from:'2017-02-02T15:37:51-0700',mode:absolute,to:'2017-02-02T18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2" s="194" t="str">
        <f t="shared" si="27"/>
        <v>N</v>
      </c>
      <c r="X112" s="194">
        <f t="shared" si="28"/>
        <v>1</v>
      </c>
      <c r="Y112" s="62">
        <f t="shared" si="29"/>
        <v>23.299099999999999</v>
      </c>
      <c r="Z112" s="62">
        <f t="shared" si="30"/>
        <v>1.4500000000000001E-2</v>
      </c>
      <c r="AA112" s="62">
        <f t="shared" si="31"/>
        <v>23.284599999999998</v>
      </c>
      <c r="AB112" s="59" t="e">
        <f>VLOOKUP(A112,Enforcements!$C$7:$K$16,8,0)</f>
        <v>#N/A</v>
      </c>
      <c r="AC112" s="55" t="e">
        <f>VLOOKUP(A112,Enforcements!$C$7:$E$16,3,0)</f>
        <v>#N/A</v>
      </c>
      <c r="AD112" s="56" t="str">
        <f t="shared" si="32"/>
        <v>0200-02</v>
      </c>
      <c r="AE112" s="85" t="str">
        <f t="shared" si="33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112" s="82" t="str">
        <f t="shared" si="34"/>
        <v>"C:\Program Files (x86)\AstroGrep\AstroGrep.exe" /spath="%USERPROFILE%\AppData\Local\Temp\OnboardLogs" /stypes="app*4015*20170203*" /stext=" 00:.+((SYSTEM_STATE.+slice.+state.+changed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6" t="str">
        <f t="shared" si="36"/>
        <v>"%USERPROFILE%\Documents\GitHub\eaglep3\Utilities\RefineRTDCRunTimes.py" --tripid 200-02 --locoid 4015 --swversion DE.1.0.8.0 --startMP 204:232991 --initTime 2017-02-02T16:37:51 --startdatetime 2017-02-02T16:56:13 --delay 1 --endMP 204:145 --enddatetime 2017-02-02T17:34:11 --enforcementcount 0 &gt;&gt;C:\Users\stu\Documents\GitHub\eaglep3-reporting\EC\2017-02-02-refined-times.txt</v>
      </c>
      <c r="AI11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{"issue":{"subject":"","project_id":79,"tracker_id":40,"status_id":1,"priority_id":2,"assigned_to_id":23,"start_date":"2017-02-02","description":"","custom_fields":[{"id":1,"name":"Subdivision","value":"EC"},{"id":4,"name":"Milepost","value":"0.0145"},{"id":17,"name":"Train ID","value":"200-02"},{"id":16,"name":"Locomotive ID","value":"4015"},{"id":130,"name":"Impact","value":""},{"id":150,"name":"Time of Event (Mountain Time)","value":"17:34:11"},{"id":151,"name":"Denver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60" t="str">
        <f t="shared" si="38"/>
        <v>start /low /b %USERPROFILE%\Documents\GitHub\eaglep3\Utilities\DownloadLogsFromS3.py --loco 4015 --day 2017-02-02</v>
      </c>
      <c r="AN112" s="169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"%USERPROFILE%\AppData\Local\Temp\OnboardLogs"\RTDC4015\*4015*20170203* | grep -SE "(Enforcement Action)|(\[TIMEOUT)|(CHR.+\|PRM\|1\|D.+(SWITCH|SIGNAL).+UNKNOWN)" - &gt;&gt; 2017-02-02-UncaughtWiMAX.txt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606</v>
      </c>
      <c r="B113" s="7">
        <v>4009</v>
      </c>
      <c r="C113" s="21" t="s">
        <v>193</v>
      </c>
      <c r="D113" s="21" t="s">
        <v>729</v>
      </c>
      <c r="E113" s="13">
        <v>42768.671990740739</v>
      </c>
      <c r="F113" s="13">
        <v>42768.677268518521</v>
      </c>
      <c r="G113" s="7">
        <v>1</v>
      </c>
      <c r="H113" s="21" t="s">
        <v>333</v>
      </c>
      <c r="I113" s="13">
        <v>42768.703194444446</v>
      </c>
      <c r="J113" s="7">
        <v>0</v>
      </c>
      <c r="K113" s="98" t="str">
        <f t="shared" si="21"/>
        <v>4009/4010</v>
      </c>
      <c r="L113" s="21" t="str">
        <f>VLOOKUP(A113,'Trips&amp;Operators'!$C$1:$G$99999,5,FALSE)</f>
        <v>CLARK KATHLEEN</v>
      </c>
      <c r="M113" s="6">
        <f t="shared" si="22"/>
        <v>2.5925925925548654E-2</v>
      </c>
      <c r="N113" s="7">
        <f t="shared" si="23"/>
        <v>37.333333332790062</v>
      </c>
      <c r="O113" s="7"/>
      <c r="P113" s="7"/>
      <c r="Q113" s="22"/>
      <c r="R113" s="22"/>
      <c r="S113" s="31">
        <f t="shared" si="24"/>
        <v>1</v>
      </c>
      <c r="T113" s="46" t="str">
        <f t="shared" si="25"/>
        <v>NorthBound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 t="shared" si="26"/>
        <v>https://d0f6bd738d7f1b3e5a7ca70fe4ff75f0.us-east-1.aws.found.io/app/kibana#/discover/Steve-Slow-Train-Analysis-(2080s-and-2083s)?_g=(refreshInterval:(display:Off,pause:!f,section:0,value:0),time:(from:'2017-02-02T15:07:40-0700',mode:absolute,to:'2017-02-02T17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194" t="str">
        <f t="shared" si="27"/>
        <v>N</v>
      </c>
      <c r="X113" s="194">
        <f t="shared" si="28"/>
        <v>1</v>
      </c>
      <c r="Y113" s="62">
        <f t="shared" si="29"/>
        <v>4.7800000000000002E-2</v>
      </c>
      <c r="Z113" s="62">
        <f t="shared" si="30"/>
        <v>23.3291</v>
      </c>
      <c r="AA113" s="62">
        <f t="shared" si="31"/>
        <v>23.281300000000002</v>
      </c>
      <c r="AB113" s="59" t="e">
        <f>VLOOKUP(A113,Enforcements!$C$7:$K$16,8,0)</f>
        <v>#N/A</v>
      </c>
      <c r="AC113" s="55" t="e">
        <f>VLOOKUP(A113,Enforcements!$C$7:$E$16,3,0)</f>
        <v>#N/A</v>
      </c>
      <c r="AD113" s="56" t="str">
        <f t="shared" si="32"/>
        <v>0201-02</v>
      </c>
      <c r="AE113" s="85" t="str">
        <f t="shared" si="33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113" s="82" t="str">
        <f t="shared" si="34"/>
        <v>"C:\Program Files (x86)\AstroGrep\AstroGrep.exe" /spath="%USERPROFILE%\AppData\Local\Temp\OnboardLogs" /stypes="app*4009*20170202*" /stext=" 23:.+((SYSTEM_STATE.+slice.+state.+changed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6" t="str">
        <f t="shared" si="36"/>
        <v>"%USERPROFILE%\Documents\GitHub\eaglep3\Utilities\RefineRTDCRunTimes.py" --tripid 201-02 --locoid 4009 --swversion DE.1.0.8.0 --startMP 204:478 --initTime 2017-02-02T16:07:40 --startdatetime 2017-02-02T16:15:16 --delay 1 --endMP 204:233291 --enddatetime 2017-02-02T16:52:36 --enforcementcount 0 &gt;&gt;C:\Users\stu\Documents\GitHub\eaglep3-reporting\EC\2017-02-02-refined-times.txt</v>
      </c>
      <c r="AI11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{"issue":{"subject":"","project_id":79,"tracker_id":40,"status_id":1,"priority_id":2,"assigned_to_id":23,"start_date":"2017-02-02","description":"","custom_fields":[{"id":1,"name":"Subdivision","value":"EC"},{"id":4,"name":"Milepost","value":"23.3291"},{"id":17,"name":"Train ID","value":"201-02"},{"id":16,"name":"Locomotive ID","value":"4009"},{"id":130,"name":"Impact","value":""},{"id":150,"name":"Time of Event (Mountain Time)","value":"16:52:36"},{"id":151,"name":"Denver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60" t="str">
        <f t="shared" si="38"/>
        <v>start /low /b %USERPROFILE%\Documents\GitHub\eaglep3\Utilities\DownloadLogsFromS3.py --loco 4009 --day 2017-02-02</v>
      </c>
      <c r="AN113" s="169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"%USERPROFILE%\AppData\Local\Temp\OnboardLogs"\RTDC4009\*4009*20170202* | grep -SE "(Enforcement Action)|(\[TIMEOUT)|(CHR.+\|PRM\|1\|D.+(SWITCH|SIGNAL).+UNKNOWN)" - &gt;&gt; 2017-02-02-UncaughtWiMAX.txt</v>
      </c>
    </row>
    <row r="114" spans="1:91" s="20" customFormat="1" x14ac:dyDescent="0.25">
      <c r="A114" s="33" t="s">
        <v>616</v>
      </c>
      <c r="B114" s="7">
        <v>4010</v>
      </c>
      <c r="C114" s="21" t="s">
        <v>193</v>
      </c>
      <c r="D114" s="21" t="s">
        <v>730</v>
      </c>
      <c r="E114" s="13">
        <v>42768.710844907408</v>
      </c>
      <c r="F114" s="13">
        <v>42768.716215277775</v>
      </c>
      <c r="G114" s="7">
        <v>1</v>
      </c>
      <c r="H114" s="21" t="s">
        <v>731</v>
      </c>
      <c r="I114" s="13">
        <v>42768.743854166663</v>
      </c>
      <c r="J114" s="7">
        <v>0</v>
      </c>
      <c r="K114" s="98" t="str">
        <f t="shared" si="21"/>
        <v>4009/4010</v>
      </c>
      <c r="L114" s="21" t="str">
        <f>VLOOKUP(A114,'Trips&amp;Operators'!$C$1:$G$99999,5,FALSE)</f>
        <v>CLARK KATHLEEN</v>
      </c>
      <c r="M114" s="6">
        <f t="shared" si="22"/>
        <v>2.7638888888759539E-2</v>
      </c>
      <c r="N114" s="7">
        <f t="shared" si="23"/>
        <v>39.799999999813735</v>
      </c>
      <c r="O114" s="7"/>
      <c r="P114" s="7"/>
      <c r="Q114" s="22"/>
      <c r="R114" s="22"/>
      <c r="S114" s="31">
        <f t="shared" si="24"/>
        <v>1</v>
      </c>
      <c r="T114" s="46" t="str">
        <f t="shared" si="25"/>
        <v>Southbound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 t="shared" si="26"/>
        <v>https://d0f6bd738d7f1b3e5a7ca70fe4ff75f0.us-east-1.aws.found.io/app/kibana#/discover/Steve-Slow-Train-Analysis-(2080s-and-2083s)?_g=(refreshInterval:(display:Off,pause:!f,section:0,value:0),time:(from:'2017-02-02T16:03:37-0700',mode:absolute,to:'2017-02-02T18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4" s="194" t="str">
        <f t="shared" si="27"/>
        <v>N</v>
      </c>
      <c r="X114" s="194">
        <f t="shared" si="28"/>
        <v>1</v>
      </c>
      <c r="Y114" s="62">
        <f t="shared" si="29"/>
        <v>23.2971</v>
      </c>
      <c r="Z114" s="62">
        <f t="shared" si="30"/>
        <v>1.9099999999999999E-2</v>
      </c>
      <c r="AA114" s="62">
        <f t="shared" si="31"/>
        <v>23.277999999999999</v>
      </c>
      <c r="AB114" s="59" t="e">
        <f>VLOOKUP(A114,Enforcements!$C$7:$K$16,8,0)</f>
        <v>#N/A</v>
      </c>
      <c r="AC114" s="55" t="e">
        <f>VLOOKUP(A114,Enforcements!$C$7:$E$16,3,0)</f>
        <v>#N/A</v>
      </c>
      <c r="AD114" s="56" t="str">
        <f t="shared" si="32"/>
        <v>0202-02</v>
      </c>
      <c r="AE114" s="85" t="str">
        <f t="shared" si="33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114" s="82" t="str">
        <f t="shared" si="34"/>
        <v>"C:\Program Files (x86)\AstroGrep\AstroGrep.exe" /spath="%USERPROFILE%\AppData\Local\Temp\OnboardLogs" /stypes="app*4010*20170203*" /stext=" 00:.+((SYSTEM_STATE.+slice.+state.+changed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6" t="str">
        <f t="shared" si="36"/>
        <v>"%USERPROFILE%\Documents\GitHub\eaglep3\Utilities\RefineRTDCRunTimes.py" --tripid 202-02 --locoid 4010 --swversion DE.1.0.8.0 --startMP 204:232971 --initTime 2017-02-02T17:03:37 --startdatetime 2017-02-02T17:11:21 --delay 1 --endMP 204:191 --enddatetime 2017-02-02T17:51:09 --enforcementcount 0 &gt;&gt;C:\Users\stu\Documents\GitHub\eaglep3-reporting\EC\2017-02-02-refined-times.txt</v>
      </c>
      <c r="AI11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{"issue":{"subject":"","project_id":79,"tracker_id":40,"status_id":1,"priority_id":2,"assigned_to_id":23,"start_date":"2017-02-02","description":"","custom_fields":[{"id":1,"name":"Subdivision","value":"EC"},{"id":4,"name":"Milepost","value":"0.0191"},{"id":17,"name":"Train ID","value":"202-02"},{"id":16,"name":"Locomotive ID","value":"4010"},{"id":130,"name":"Impact","value":""},{"id":150,"name":"Time of Event (Mountain Time)","value":"17:51:09"},{"id":151,"name":"Denver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60" t="str">
        <f t="shared" si="38"/>
        <v>start /low /b %USERPROFILE%\Documents\GitHub\eaglep3\Utilities\DownloadLogsFromS3.py --loco 4010 --day 2017-02-02</v>
      </c>
      <c r="AN114" s="169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"%USERPROFILE%\AppData\Local\Temp\OnboardLogs"\RTDC4010\*4010*20170203* | grep -SE "(Enforcement Action)|(\[TIMEOUT)|(CHR.+\|PRM\|1\|D.+(SWITCH|SIGNAL).+UNKNOWN)" - &gt;&gt; 2017-02-02-UncaughtWiMAX.txt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609</v>
      </c>
      <c r="B115" s="7">
        <v>4011</v>
      </c>
      <c r="C115" s="21" t="s">
        <v>193</v>
      </c>
      <c r="D115" s="21" t="s">
        <v>703</v>
      </c>
      <c r="E115" s="13">
        <v>42768.683564814812</v>
      </c>
      <c r="F115" s="13">
        <v>42768.687708333331</v>
      </c>
      <c r="G115" s="7">
        <v>1</v>
      </c>
      <c r="H115" s="21" t="s">
        <v>732</v>
      </c>
      <c r="I115" s="13">
        <v>42768.713518518518</v>
      </c>
      <c r="J115" s="7">
        <v>0</v>
      </c>
      <c r="K115" s="98" t="str">
        <f t="shared" si="21"/>
        <v>4011/4012</v>
      </c>
      <c r="L115" s="21" t="str">
        <f>VLOOKUP(A115,'Trips&amp;Operators'!$C$1:$G$99999,5,FALSE)</f>
        <v>SWANSON BRYCE</v>
      </c>
      <c r="M115" s="6">
        <f t="shared" si="22"/>
        <v>2.5810185186855961E-2</v>
      </c>
      <c r="N115" s="7">
        <f t="shared" si="23"/>
        <v>37.166666669072583</v>
      </c>
      <c r="O115" s="7"/>
      <c r="P115" s="7"/>
      <c r="Q115" s="22"/>
      <c r="R115" s="22"/>
      <c r="S115" s="31">
        <f t="shared" si="24"/>
        <v>1</v>
      </c>
      <c r="T115" s="46" t="str">
        <f t="shared" si="25"/>
        <v>NorthBound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 t="shared" si="26"/>
        <v>https://d0f6bd738d7f1b3e5a7ca70fe4ff75f0.us-east-1.aws.found.io/app/kibana#/discover/Steve-Slow-Train-Analysis-(2080s-and-2083s)?_g=(refreshInterval:(display:Off,pause:!f,section:0,value:0),time:(from:'2017-02-02T15:24:20-0700',mode:absolute,to:'2017-02-02T18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5" s="194" t="str">
        <f t="shared" si="27"/>
        <v>N</v>
      </c>
      <c r="X115" s="194">
        <f t="shared" si="28"/>
        <v>1</v>
      </c>
      <c r="Y115" s="62">
        <f t="shared" si="29"/>
        <v>4.6399999999999997E-2</v>
      </c>
      <c r="Z115" s="62">
        <f t="shared" si="30"/>
        <v>23.327999999999999</v>
      </c>
      <c r="AA115" s="62">
        <f t="shared" si="31"/>
        <v>23.281600000000001</v>
      </c>
      <c r="AB115" s="59" t="e">
        <f>VLOOKUP(A115,Enforcements!$C$7:$K$16,8,0)</f>
        <v>#N/A</v>
      </c>
      <c r="AC115" s="55" t="e">
        <f>VLOOKUP(A115,Enforcements!$C$7:$E$16,3,0)</f>
        <v>#N/A</v>
      </c>
      <c r="AD115" s="56" t="str">
        <f t="shared" si="32"/>
        <v>0203-02</v>
      </c>
      <c r="AE115" s="85" t="str">
        <f t="shared" si="33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15" s="82" t="str">
        <f t="shared" si="34"/>
        <v>"C:\Program Files (x86)\AstroGrep\AstroGrep.exe" /spath="%USERPROFILE%\AppData\Local\Temp\OnboardLogs" /stypes="app*4011*20170203*"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6" t="str">
        <f t="shared" si="36"/>
        <v>"%USERPROFILE%\Documents\GitHub\eaglep3\Utilities\RefineRTDCRunTimes.py" --tripid 203-02 --locoid 4011 --swversion DE.1.0.8.0 --startMP 204:464 --initTime 2017-02-02T16:24:20 --startdatetime 2017-02-02T16:30:18 --delay 1 --endMP 204:233280 --enddatetime 2017-02-02T17:07:28 --enforcementcount 0 &gt;&gt;C:\Users\stu\Documents\GitHub\eaglep3-reporting\EC\2017-02-02-refined-times.txt</v>
      </c>
      <c r="AI115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{"issue":{"subject":"","project_id":79,"tracker_id":40,"status_id":1,"priority_id":2,"assigned_to_id":23,"start_date":"2017-02-02","description":"","custom_fields":[{"id":1,"name":"Subdivision","value":"EC"},{"id":4,"name":"Milepost","value":"23.328"},{"id":17,"name":"Train ID","value":"203-02"},{"id":16,"name":"Locomotive ID","value":"4011"},{"id":130,"name":"Impact","value":""},{"id":150,"name":"Time of Event (Mountain Time)","value":"17:07:28"},{"id":151,"name":"Denver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60" t="str">
        <f t="shared" si="38"/>
        <v>start /low /b %USERPROFILE%\Documents\GitHub\eaglep3\Utilities\DownloadLogsFromS3.py --loco 4011 --day 2017-02-02</v>
      </c>
      <c r="AN115" s="169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"%USERPROFILE%\AppData\Local\Temp\OnboardLogs"\RTDC4011\*4011*20170202* | grep -SE "(Enforcement Action)|(\[TIMEOUT)|(CHR.+\|PRM\|1\|D.+(SWITCH|SIGNAL).+UNKNOWN)" - &gt;&gt; 2017-02-02-UncaughtWiMAX.txt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617</v>
      </c>
      <c r="B116" s="7">
        <v>4012</v>
      </c>
      <c r="C116" s="21" t="s">
        <v>193</v>
      </c>
      <c r="D116" s="21" t="s">
        <v>397</v>
      </c>
      <c r="E116" s="13">
        <v>42768.715254629627</v>
      </c>
      <c r="F116" s="13">
        <v>42768.726574074077</v>
      </c>
      <c r="G116" s="7">
        <v>1</v>
      </c>
      <c r="H116" s="21" t="s">
        <v>184</v>
      </c>
      <c r="I116" s="13">
        <v>42768.754594907405</v>
      </c>
      <c r="J116" s="7">
        <v>0</v>
      </c>
      <c r="K116" s="98" t="str">
        <f t="shared" si="21"/>
        <v>4011/4012</v>
      </c>
      <c r="L116" s="21" t="str">
        <f>VLOOKUP(A116,'Trips&amp;Operators'!$C$1:$G$99999,5,FALSE)</f>
        <v>SWANSON BRYCE</v>
      </c>
      <c r="M116" s="6">
        <f t="shared" si="22"/>
        <v>2.8020833327900618E-2</v>
      </c>
      <c r="N116" s="7">
        <f t="shared" si="23"/>
        <v>40.34999999217689</v>
      </c>
      <c r="O116" s="7"/>
      <c r="P116" s="7"/>
      <c r="Q116" s="22"/>
      <c r="R116" s="22"/>
      <c r="S116" s="31">
        <f t="shared" si="24"/>
        <v>1</v>
      </c>
      <c r="T116" s="46" t="str">
        <f t="shared" si="25"/>
        <v>Southbound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 t="shared" si="26"/>
        <v>https://d0f6bd738d7f1b3e5a7ca70fe4ff75f0.us-east-1.aws.found.io/app/kibana#/discover/Steve-Slow-Train-Analysis-(2080s-and-2083s)?_g=(refreshInterval:(display:Off,pause:!f,section:0,value:0),time:(from:'2017-02-02T16:09:58-0700',mode:absolute,to:'2017-02-02T19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6" s="194" t="str">
        <f t="shared" si="27"/>
        <v>N</v>
      </c>
      <c r="X116" s="194">
        <f t="shared" si="28"/>
        <v>1</v>
      </c>
      <c r="Y116" s="62">
        <f t="shared" si="29"/>
        <v>23.299099999999999</v>
      </c>
      <c r="Z116" s="62">
        <f t="shared" si="30"/>
        <v>1.49E-2</v>
      </c>
      <c r="AA116" s="62">
        <f t="shared" si="31"/>
        <v>23.284199999999998</v>
      </c>
      <c r="AB116" s="59" t="e">
        <f>VLOOKUP(A116,Enforcements!$C$7:$K$16,8,0)</f>
        <v>#N/A</v>
      </c>
      <c r="AC116" s="55" t="e">
        <f>VLOOKUP(A116,Enforcements!$C$7:$E$16,3,0)</f>
        <v>#N/A</v>
      </c>
      <c r="AD116" s="56" t="str">
        <f t="shared" si="32"/>
        <v>0204-02</v>
      </c>
      <c r="AE116" s="85" t="str">
        <f t="shared" si="33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116" s="82" t="str">
        <f t="shared" si="34"/>
        <v>"C:\Program Files (x86)\AstroGrep\AstroGrep.exe" /spath="%USERPROFILE%\AppData\Local\Temp\OnboardLogs" /stypes="app*4012*20170203*" /stext=" 01:.+((SYSTEM_STATE.+slice.+state.+changed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6" t="str">
        <f t="shared" si="36"/>
        <v>"%USERPROFILE%\Documents\GitHub\eaglep3\Utilities\RefineRTDCRunTimes.py" --tripid 204-02 --locoid 4012 --swversion DE.1.0.8.0 --startMP 204:232991 --initTime 2017-02-02T17:09:58 --startdatetime 2017-02-02T17:26:16 --delay 1 --endMP 204:149 --enddatetime 2017-02-02T18:06:37 --enforcementcount 0 &gt;&gt;C:\Users\stu\Documents\GitHub\eaglep3-reporting\EC\2017-02-02-refined-times.txt</v>
      </c>
      <c r="AI11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{"issue":{"subject":"","project_id":79,"tracker_id":40,"status_id":1,"priority_id":2,"assigned_to_id":23,"start_date":"2017-02-02","description":"","custom_fields":[{"id":1,"name":"Subdivision","value":"EC"},{"id":4,"name":"Milepost","value":"0.0149"},{"id":17,"name":"Train ID","value":"204-02"},{"id":16,"name":"Locomotive ID","value":"4012"},{"id":130,"name":"Impact","value":""},{"id":150,"name":"Time of Event (Mountain Time)","value":"18:06:37"},{"id":151,"name":"Denver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60" t="str">
        <f t="shared" si="38"/>
        <v>start /low /b %USERPROFILE%\Documents\GitHub\eaglep3\Utilities\DownloadLogsFromS3.py --loco 4012 --day 2017-02-02</v>
      </c>
      <c r="AN116" s="169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"%USERPROFILE%\AppData\Local\Temp\OnboardLogs"\RTDC4012\*4012*20170203* | grep -SE "(Enforcement Action)|(\[TIMEOUT)|(CHR.+\|PRM\|1\|D.+(SWITCH|SIGNAL).+UNKNOWN)" - &gt;&gt; 2017-02-02-UncaughtWiMAX.txt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614</v>
      </c>
      <c r="B117" s="7">
        <v>4051</v>
      </c>
      <c r="C117" s="21" t="s">
        <v>193</v>
      </c>
      <c r="D117" s="21" t="s">
        <v>315</v>
      </c>
      <c r="E117" s="13">
        <v>42768.693831018521</v>
      </c>
      <c r="F117" s="13">
        <v>42768.698125000003</v>
      </c>
      <c r="G117" s="7">
        <v>1</v>
      </c>
      <c r="H117" s="21" t="s">
        <v>286</v>
      </c>
      <c r="I117" s="13">
        <v>42768.722604166665</v>
      </c>
      <c r="J117" s="7">
        <v>0</v>
      </c>
      <c r="K117" s="98" t="str">
        <f t="shared" si="21"/>
        <v>4051/4052</v>
      </c>
      <c r="L117" s="21" t="str">
        <f>VLOOKUP(A117,'Trips&amp;Operators'!$C$1:$G$99999,5,FALSE)</f>
        <v>BRUDER RICHARD</v>
      </c>
      <c r="M117" s="6">
        <f t="shared" si="22"/>
        <v>2.4479166662786156E-2</v>
      </c>
      <c r="N117" s="7">
        <f t="shared" si="23"/>
        <v>35.249999994412065</v>
      </c>
      <c r="O117" s="7"/>
      <c r="P117" s="7"/>
      <c r="Q117" s="22"/>
      <c r="R117" s="22"/>
      <c r="S117" s="31">
        <f t="shared" si="24"/>
        <v>1</v>
      </c>
      <c r="T117" s="46" t="str">
        <f t="shared" si="25"/>
        <v>NorthBound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 t="shared" si="26"/>
        <v>https://d0f6bd738d7f1b3e5a7ca70fe4ff75f0.us-east-1.aws.found.io/app/kibana#/discover/Steve-Slow-Train-Analysis-(2080s-and-2083s)?_g=(refreshInterval:(display:Off,pause:!f,section:0,value:0),time:(from:'2017-02-02T15:39:07-0700',mode:absolute,to:'2017-02-02T18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7" s="194" t="str">
        <f t="shared" si="27"/>
        <v>N</v>
      </c>
      <c r="X117" s="194">
        <f t="shared" si="28"/>
        <v>1</v>
      </c>
      <c r="Y117" s="62">
        <f t="shared" si="29"/>
        <v>4.3700000000000003E-2</v>
      </c>
      <c r="Z117" s="62">
        <f t="shared" si="30"/>
        <v>23.330100000000002</v>
      </c>
      <c r="AA117" s="62">
        <f t="shared" si="31"/>
        <v>23.2864</v>
      </c>
      <c r="AB117" s="59" t="e">
        <f>VLOOKUP(A117,Enforcements!$C$7:$K$16,8,0)</f>
        <v>#N/A</v>
      </c>
      <c r="AC117" s="55" t="e">
        <f>VLOOKUP(A117,Enforcements!$C$7:$E$16,3,0)</f>
        <v>#N/A</v>
      </c>
      <c r="AD117" s="56" t="str">
        <f t="shared" si="32"/>
        <v>0205-02</v>
      </c>
      <c r="AE117" s="85" t="str">
        <f t="shared" si="33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17" s="82" t="str">
        <f t="shared" si="34"/>
        <v>"C:\Program Files (x86)\AstroGrep\AstroGrep.exe" /spath="%USERPROFILE%\AppData\Local\Temp\OnboardLogs" /stypes="app*4051*20170203*" /stext=" 00:.+((SYSTEM_STATE.+slice.+state.+changed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6" t="str">
        <f t="shared" si="36"/>
        <v>"%USERPROFILE%\Documents\GitHub\eaglep3\Utilities\RefineRTDCRunTimes.py" --tripid 205-02 --locoid 4051 --swversion DE.1.0.8.0 --startMP 204:437 --initTime 2017-02-02T16:39:07 --startdatetime 2017-02-02T16:45:18 --delay 1 --endMP 204:233301 --enddatetime 2017-02-02T17:20:33 --enforcementcount 0 &gt;&gt;C:\Users\stu\Documents\GitHub\eaglep3-reporting\EC\2017-02-02-refined-times.txt</v>
      </c>
      <c r="AI117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{"issue":{"subject":"","project_id":79,"tracker_id":40,"status_id":1,"priority_id":2,"assigned_to_id":23,"start_date":"2017-02-02","description":"","custom_fields":[{"id":1,"name":"Subdivision","value":"EC"},{"id":4,"name":"Milepost","value":"23.3301"},{"id":17,"name":"Train ID","value":"205-02"},{"id":16,"name":"Locomotive ID","value":"4051"},{"id":130,"name":"Impact","value":""},{"id":150,"name":"Time of Event (Mountain Time)","value":"17:20:33"},{"id":151,"name":"Denver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60" t="str">
        <f t="shared" si="38"/>
        <v>start /low /b %USERPROFILE%\Documents\GitHub\eaglep3\Utilities\DownloadLogsFromS3.py --loco 4051 --day 2017-02-02</v>
      </c>
      <c r="AN117" s="169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"%USERPROFILE%\AppData\Local\Temp\OnboardLogs"\RTDC4051\*4051*20170203* | grep -SE "(Enforcement Action)|(\[TIMEOUT)|(CHR.+\|PRM\|1\|D.+(SWITCH|SIGNAL).+UNKNOWN)" - &gt;&gt; 2017-02-02-UncaughtWiMAX.txt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625</v>
      </c>
      <c r="B118" s="7">
        <v>4052</v>
      </c>
      <c r="C118" s="21" t="s">
        <v>193</v>
      </c>
      <c r="D118" s="21" t="s">
        <v>285</v>
      </c>
      <c r="E118" s="13">
        <v>42768.730706018519</v>
      </c>
      <c r="F118" s="13">
        <v>42768.737002314818</v>
      </c>
      <c r="G118" s="7">
        <v>1</v>
      </c>
      <c r="H118" s="21" t="s">
        <v>733</v>
      </c>
      <c r="I118" s="13">
        <v>42768.763865740744</v>
      </c>
      <c r="J118" s="7">
        <v>0</v>
      </c>
      <c r="K118" s="98" t="str">
        <f t="shared" si="21"/>
        <v>4051/4052</v>
      </c>
      <c r="L118" s="21" t="str">
        <f>VLOOKUP(A118,'Trips&amp;Operators'!$C$1:$G$99999,5,FALSE)</f>
        <v>BRUDER RICHARD</v>
      </c>
      <c r="M118" s="6">
        <f t="shared" si="22"/>
        <v>2.6863425926421769E-2</v>
      </c>
      <c r="N118" s="7">
        <f t="shared" si="23"/>
        <v>38.683333334047347</v>
      </c>
      <c r="O118" s="7"/>
      <c r="P118" s="7"/>
      <c r="Q118" s="22"/>
      <c r="R118" s="22"/>
      <c r="S118" s="31">
        <f t="shared" si="24"/>
        <v>1</v>
      </c>
      <c r="T118" s="46" t="str">
        <f t="shared" si="25"/>
        <v>Southbound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 t="shared" si="26"/>
        <v>https://d0f6bd738d7f1b3e5a7ca70fe4ff75f0.us-east-1.aws.found.io/app/kibana#/discover/Steve-Slow-Train-Analysis-(2080s-and-2083s)?_g=(refreshInterval:(display:Off,pause:!f,section:0,value:0),time:(from:'2017-02-02T16:32:13-0700',mode:absolute,to:'2017-02-02T19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8" s="194" t="str">
        <f t="shared" si="27"/>
        <v>N</v>
      </c>
      <c r="X118" s="194">
        <f t="shared" si="28"/>
        <v>1</v>
      </c>
      <c r="Y118" s="62">
        <f t="shared" si="29"/>
        <v>23.298200000000001</v>
      </c>
      <c r="Z118" s="62">
        <f t="shared" si="30"/>
        <v>1.72E-2</v>
      </c>
      <c r="AA118" s="62">
        <f t="shared" si="31"/>
        <v>23.281000000000002</v>
      </c>
      <c r="AB118" s="59" t="e">
        <f>VLOOKUP(A118,Enforcements!$C$7:$K$16,8,0)</f>
        <v>#N/A</v>
      </c>
      <c r="AC118" s="55" t="e">
        <f>VLOOKUP(A118,Enforcements!$C$7:$E$16,3,0)</f>
        <v>#N/A</v>
      </c>
      <c r="AD118" s="56" t="str">
        <f t="shared" si="32"/>
        <v>0206-02</v>
      </c>
      <c r="AE118" s="85" t="str">
        <f t="shared" si="33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118" s="82" t="str">
        <f t="shared" si="34"/>
        <v>"C:\Program Files (x86)\AstroGrep\AstroGrep.exe" /spath="%USERPROFILE%\AppData\Local\Temp\OnboardLogs" /stypes="app*4052*20170203*" /stext=" 01:.+((SYSTEM_STATE.+slice.+state.+changed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6" t="str">
        <f t="shared" si="36"/>
        <v>"%USERPROFILE%\Documents\GitHub\eaglep3\Utilities\RefineRTDCRunTimes.py" --tripid 206-02 --locoid 4052 --swversion DE.1.0.8.0 --startMP 204:232982 --initTime 2017-02-02T17:32:13 --startdatetime 2017-02-02T17:41:17 --delay 1 --endMP 204:172 --enddatetime 2017-02-02T18:19:58 --enforcementcount 0 &gt;&gt;C:\Users\stu\Documents\GitHub\eaglep3-reporting\EC\2017-02-02-refined-times.txt</v>
      </c>
      <c r="AI11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{"issue":{"subject":"","project_id":79,"tracker_id":40,"status_id":1,"priority_id":2,"assigned_to_id":23,"start_date":"2017-02-02","description":"","custom_fields":[{"id":1,"name":"Subdivision","value":"EC"},{"id":4,"name":"Milepost","value":"0.0172"},{"id":17,"name":"Train ID","value":"206-02"},{"id":16,"name":"Locomotive ID","value":"4052"},{"id":130,"name":"Impact","value":""},{"id":150,"name":"Time of Event (Mountain Time)","value":"18:19:58"},{"id":151,"name":"Denver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60" t="str">
        <f t="shared" si="38"/>
        <v>start /low /b %USERPROFILE%\Documents\GitHub\eaglep3\Utilities\DownloadLogsFromS3.py --loco 4052 --day 2017-02-02</v>
      </c>
      <c r="AN118" s="169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"%USERPROFILE%\AppData\Local\Temp\OnboardLogs"\RTDC4052\*4052*20170203* | grep -SE "(Enforcement Action)|(\[TIMEOUT)|(CHR.+\|PRM\|1\|D.+(SWITCH|SIGNAL).+UNKNOWN)" - &gt;&gt; 2017-02-02-UncaughtWiMAX.txt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615</v>
      </c>
      <c r="B119" s="7">
        <v>4025</v>
      </c>
      <c r="C119" s="21" t="s">
        <v>193</v>
      </c>
      <c r="D119" s="21" t="s">
        <v>211</v>
      </c>
      <c r="E119" s="13">
        <v>42768.703472222223</v>
      </c>
      <c r="F119" s="13">
        <v>42768.708935185183</v>
      </c>
      <c r="G119" s="7">
        <v>1</v>
      </c>
      <c r="H119" s="21" t="s">
        <v>396</v>
      </c>
      <c r="I119" s="13">
        <v>42768.7341087963</v>
      </c>
      <c r="J119" s="7">
        <v>0</v>
      </c>
      <c r="K119" s="98" t="str">
        <f t="shared" si="21"/>
        <v>4025/4026</v>
      </c>
      <c r="L119" s="21" t="str">
        <f>VLOOKUP(A119,'Trips&amp;Operators'!$C$1:$G$99999,5,FALSE)</f>
        <v>SMITH MICHAEL</v>
      </c>
      <c r="M119" s="6">
        <f t="shared" si="22"/>
        <v>2.5173611116770189E-2</v>
      </c>
      <c r="N119" s="7">
        <f t="shared" si="23"/>
        <v>36.250000008149073</v>
      </c>
      <c r="O119" s="7"/>
      <c r="P119" s="7"/>
      <c r="Q119" s="22"/>
      <c r="R119" s="22"/>
      <c r="S119" s="31">
        <f t="shared" si="24"/>
        <v>1</v>
      </c>
      <c r="T119" s="46" t="str">
        <f t="shared" si="25"/>
        <v>NorthBound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 t="shared" si="26"/>
        <v>https://d0f6bd738d7f1b3e5a7ca70fe4ff75f0.us-east-1.aws.found.io/app/kibana#/discover/Steve-Slow-Train-Analysis-(2080s-and-2083s)?_g=(refreshInterval:(display:Off,pause:!f,section:0,value:0),time:(from:'2017-02-02T15:53:00-0700',mode:absolute,to:'2017-02-02T18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9" s="194" t="str">
        <f t="shared" si="27"/>
        <v>N</v>
      </c>
      <c r="X119" s="194">
        <f t="shared" si="28"/>
        <v>1</v>
      </c>
      <c r="Y119" s="62">
        <f t="shared" si="29"/>
        <v>4.4900000000000002E-2</v>
      </c>
      <c r="Z119" s="62">
        <f t="shared" si="30"/>
        <v>23.330200000000001</v>
      </c>
      <c r="AA119" s="62">
        <f t="shared" si="31"/>
        <v>23.285300000000003</v>
      </c>
      <c r="AB119" s="59" t="e">
        <f>VLOOKUP(A119,Enforcements!$C$7:$K$16,8,0)</f>
        <v>#N/A</v>
      </c>
      <c r="AC119" s="55" t="e">
        <f>VLOOKUP(A119,Enforcements!$C$7:$E$16,3,0)</f>
        <v>#N/A</v>
      </c>
      <c r="AD119" s="56" t="str">
        <f t="shared" si="32"/>
        <v>0207-02</v>
      </c>
      <c r="AE119" s="85" t="str">
        <f t="shared" si="33"/>
        <v>aws s3 cp s3://rtdc.mdm.uploadarchive.raw/RTDC4025/ "%USERPROFILE%\AppData\Local\Temp\OnboardLogs"\RTDC4025\2017-02-02 --exclude "*" --recursive --include "*20170202*" &amp; "%USERPROFILE%\Documents\GitHub\mrs-test-scripts\Headless Mode &amp; Sideloading\WalkAndUnGZ.bat" "%USERPROFILE%\AppData\Local\Temp\OnboardLogs"\RTDC4025\2017-02-02 &amp; aws s3 cp s3://rtdc.mdm.uploadarchive.raw/RTDC4025/ "%USERPROFILE%\AppData\Local\Temp\OnboardLogs"\RTDC4025\2017-02-03 --exclude "*" --recursive --include "*20170203*" &amp; "%USERPROFILE%\Documents\GitHub\mrs-test-scripts\Headless Mode &amp; Sideloading\WalkAndUnGZ.bat" "%USERPROFILE%\AppData\Local\Temp\OnboardLogs"\RTDC4025\2017-02-03</v>
      </c>
      <c r="AF119" s="82" t="str">
        <f t="shared" si="34"/>
        <v>"C:\Program Files (x86)\AstroGrep\AstroGrep.exe" /spath="%USERPROFILE%\AppData\Local\Temp\OnboardLogs" /stypes="app*4025*20170203*" /stext=" 00:.+((SYSTEM_STATE.+slice.+state.+changed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6" t="str">
        <f t="shared" si="36"/>
        <v>"%USERPROFILE%\Documents\GitHub\eaglep3\Utilities\RefineRTDCRunTimes.py" --tripid 207-02 --locoid 4025 --swversion DE.1.0.8.0 --startMP 204:449 --initTime 2017-02-02T16:53:00 --startdatetime 2017-02-02T17:00:52 --delay 1 --endMP 204:233302 --enddatetime 2017-02-02T17:37:07 --enforcementcount 0 &gt;&gt;C:\Users\stu\Documents\GitHub\eaglep3-reporting\EC\2017-02-02-refined-times.txt</v>
      </c>
      <c r="AI11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{"issue":{"subject":"","project_id":79,"tracker_id":40,"status_id":1,"priority_id":2,"assigned_to_id":23,"start_date":"2017-02-02","description":"","custom_fields":[{"id":1,"name":"Subdivision","value":"EC"},{"id":4,"name":"Milepost","value":"23.3302"},{"id":17,"name":"Train ID","value":"207-02"},{"id":16,"name":"Locomotive ID","value":"4025"},{"id":130,"name":"Impact","value":""},{"id":150,"name":"Time of Event (Mountain Time)","value":"17:37:07"},{"id":151,"name":"Denver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60" t="str">
        <f t="shared" si="38"/>
        <v>start /low /b %USERPROFILE%\Documents\GitHub\eaglep3\Utilities\DownloadLogsFromS3.py --loco 4025 --day 2017-02-02</v>
      </c>
      <c r="AN119" s="169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"%USERPROFILE%\AppData\Local\Temp\OnboardLogs"\RTDC4025\*4025*20170203* | grep -SE "(Enforcement Action)|(\[TIMEOUT)|(CHR.+\|PRM\|1\|D.+(SWITCH|SIGNAL).+UNKNOWN)" - &gt;&gt; 2017-02-02-UncaughtWiMAX.txt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629</v>
      </c>
      <c r="B120" s="7">
        <v>4026</v>
      </c>
      <c r="C120" s="21" t="s">
        <v>193</v>
      </c>
      <c r="D120" s="21" t="s">
        <v>350</v>
      </c>
      <c r="E120" s="13">
        <v>42768.738634259258</v>
      </c>
      <c r="F120" s="13">
        <v>42768.747407407405</v>
      </c>
      <c r="G120" s="7">
        <v>1</v>
      </c>
      <c r="H120" s="21" t="s">
        <v>225</v>
      </c>
      <c r="I120" s="13">
        <v>42768.768726851849</v>
      </c>
      <c r="J120" s="7">
        <v>0</v>
      </c>
      <c r="K120" s="98" t="str">
        <f t="shared" si="21"/>
        <v>4025/4026</v>
      </c>
      <c r="L120" s="21" t="str">
        <f>VLOOKUP(A120,'Trips&amp;Operators'!$C$1:$G$99999,5,FALSE)</f>
        <v>SMITH MICHAEL</v>
      </c>
      <c r="M120" s="6">
        <f t="shared" si="22"/>
        <v>2.1319444444088731E-2</v>
      </c>
      <c r="N120" s="7">
        <f t="shared" si="23"/>
        <v>30.699999999487773</v>
      </c>
      <c r="O120" s="7"/>
      <c r="P120" s="7"/>
      <c r="Q120" s="22"/>
      <c r="R120" s="22"/>
      <c r="S120" s="31">
        <f t="shared" si="24"/>
        <v>1</v>
      </c>
      <c r="T120" s="46" t="str">
        <f t="shared" si="25"/>
        <v>Southbound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 t="shared" si="26"/>
        <v>https://d0f6bd738d7f1b3e5a7ca70fe4ff75f0.us-east-1.aws.found.io/app/kibana#/discover/Steve-Slow-Train-Analysis-(2080s-and-2083s)?_g=(refreshInterval:(display:Off,pause:!f,section:0,value:0),time:(from:'2017-02-02T16:43:38-0700',mode:absolute,to:'2017-02-02T19:26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194" t="str">
        <f t="shared" si="27"/>
        <v>N</v>
      </c>
      <c r="X120" s="194">
        <f t="shared" si="28"/>
        <v>1</v>
      </c>
      <c r="Y120" s="62">
        <f t="shared" si="29"/>
        <v>23.298500000000001</v>
      </c>
      <c r="Z120" s="62">
        <f t="shared" si="30"/>
        <v>1.54E-2</v>
      </c>
      <c r="AA120" s="62">
        <f t="shared" si="31"/>
        <v>23.283100000000001</v>
      </c>
      <c r="AB120" s="59" t="e">
        <f>VLOOKUP(A120,Enforcements!$C$7:$K$16,8,0)</f>
        <v>#N/A</v>
      </c>
      <c r="AC120" s="55" t="e">
        <f>VLOOKUP(A120,Enforcements!$C$7:$E$16,3,0)</f>
        <v>#N/A</v>
      </c>
      <c r="AD120" s="56" t="str">
        <f t="shared" si="32"/>
        <v>0208-02</v>
      </c>
      <c r="AE120" s="85" t="str">
        <f t="shared" si="33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120" s="82" t="str">
        <f t="shared" si="34"/>
        <v>"C:\Program Files (x86)\AstroGrep\AstroGrep.exe" /spath="%USERPROFILE%\AppData\Local\Temp\OnboardLogs" /stypes="app*4026*20170203*" /stext=" 01:.+((SYSTEM_STATE.+slice.+state.+changed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6" t="str">
        <f t="shared" si="36"/>
        <v>"%USERPROFILE%\Documents\GitHub\eaglep3\Utilities\RefineRTDCRunTimes.py" --tripid 208-02 --locoid 4026 --swversion DE.1.0.8.0 --startMP 204:232985 --initTime 2017-02-02T17:43:38 --startdatetime 2017-02-02T17:56:16 --delay 1 --endMP 204:154 --enddatetime 2017-02-02T18:26:58 --enforcementcount 0 &gt;&gt;C:\Users\stu\Documents\GitHub\eaglep3-reporting\EC\2017-02-02-refined-times.txt</v>
      </c>
      <c r="AI12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{"issue":{"subject":"","project_id":79,"tracker_id":40,"status_id":1,"priority_id":2,"assigned_to_id":23,"start_date":"2017-02-02","description":"","custom_fields":[{"id":1,"name":"Subdivision","value":"EC"},{"id":4,"name":"Milepost","value":"0.0154"},{"id":17,"name":"Train ID","value":"208-02"},{"id":16,"name":"Locomotive ID","value":"4026"},{"id":130,"name":"Impact","value":""},{"id":150,"name":"Time of Event (Mountain Time)","value":"18:26:58"},{"id":151,"name":"Denver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60" t="str">
        <f t="shared" si="38"/>
        <v>start /low /b %USERPROFILE%\Documents\GitHub\eaglep3\Utilities\DownloadLogsFromS3.py --loco 4026 --day 2017-02-02</v>
      </c>
      <c r="AN120" s="169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"%USERPROFILE%\AppData\Local\Temp\OnboardLogs"\RTDC4026\*4026*20170203* | grep -SE "(Enforcement Action)|(\[TIMEOUT)|(CHR.+\|PRM\|1\|D.+(SWITCH|SIGNAL).+UNKNOWN)" - &gt;&gt; 2017-02-02-UncaughtWiMAX.txt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619</v>
      </c>
      <c r="B121" s="7">
        <v>4027</v>
      </c>
      <c r="C121" s="21" t="s">
        <v>193</v>
      </c>
      <c r="D121" s="21" t="s">
        <v>409</v>
      </c>
      <c r="E121" s="13">
        <v>42768.717037037037</v>
      </c>
      <c r="F121" s="13">
        <v>42768.719050925924</v>
      </c>
      <c r="G121" s="7">
        <v>1</v>
      </c>
      <c r="H121" s="21" t="s">
        <v>732</v>
      </c>
      <c r="I121" s="13">
        <v>42768.74359953704</v>
      </c>
      <c r="J121" s="7">
        <v>0</v>
      </c>
      <c r="K121" s="98" t="str">
        <f t="shared" si="21"/>
        <v>4027/4028</v>
      </c>
      <c r="L121" s="21" t="str">
        <f>VLOOKUP(A121,'Trips&amp;Operators'!$C$1:$G$99999,5,FALSE)</f>
        <v>CHANDLER KELVIN</v>
      </c>
      <c r="M121" s="6">
        <f t="shared" si="22"/>
        <v>2.4548611116188113E-2</v>
      </c>
      <c r="N121" s="7">
        <f t="shared" si="23"/>
        <v>35.350000007310882</v>
      </c>
      <c r="O121" s="7"/>
      <c r="P121" s="7"/>
      <c r="Q121" s="22"/>
      <c r="R121" s="22"/>
      <c r="S121" s="31">
        <f t="shared" si="24"/>
        <v>1</v>
      </c>
      <c r="T121" s="46" t="str">
        <f t="shared" si="25"/>
        <v>NorthBound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 t="shared" si="26"/>
        <v>https://d0f6bd738d7f1b3e5a7ca70fe4ff75f0.us-east-1.aws.found.io/app/kibana#/discover/Steve-Slow-Train-Analysis-(2080s-and-2083s)?_g=(refreshInterval:(display:Off,pause:!f,section:0,value:0),time:(from:'2017-02-02T16:12:32-0700',mode:absolute,to:'2017-02-02T18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1" s="194" t="str">
        <f t="shared" si="27"/>
        <v>N</v>
      </c>
      <c r="X121" s="194">
        <f t="shared" si="28"/>
        <v>1</v>
      </c>
      <c r="Y121" s="62">
        <f t="shared" si="29"/>
        <v>4.4400000000000002E-2</v>
      </c>
      <c r="Z121" s="62">
        <f t="shared" si="30"/>
        <v>23.327999999999999</v>
      </c>
      <c r="AA121" s="62">
        <f t="shared" si="31"/>
        <v>23.2836</v>
      </c>
      <c r="AB121" s="59" t="e">
        <f>VLOOKUP(A121,Enforcements!$C$7:$K$16,8,0)</f>
        <v>#N/A</v>
      </c>
      <c r="AC121" s="55" t="e">
        <f>VLOOKUP(A121,Enforcements!$C$7:$E$16,3,0)</f>
        <v>#N/A</v>
      </c>
      <c r="AD121" s="56" t="str">
        <f t="shared" si="32"/>
        <v>0209-02</v>
      </c>
      <c r="AE121" s="85" t="str">
        <f t="shared" si="33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21" s="82" t="str">
        <f t="shared" si="34"/>
        <v>"C:\Program Files (x86)\AstroGrep\AstroGrep.exe" /spath="%USERPROFILE%\AppData\Local\Temp\OnboardLogs" /stypes="app*4027*20170203*" /stext=" 00:.+((SYSTEM_STATE.+slice.+state.+changed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6" t="str">
        <f t="shared" si="36"/>
        <v>"%USERPROFILE%\Documents\GitHub\eaglep3\Utilities\RefineRTDCRunTimes.py" --tripid 209-02 --locoid 4027 --swversion DE.1.0.8.0 --startMP 204:444 --initTime 2017-02-02T17:12:32 --startdatetime 2017-02-02T17:15:26 --delay 1 --endMP 204:233280 --enddatetime 2017-02-02T17:50:47 --enforcementcount 0 &gt;&gt;C:\Users\stu\Documents\GitHub\eaglep3-reporting\EC\2017-02-02-refined-times.txt</v>
      </c>
      <c r="AI12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{"issue":{"subject":"","project_id":79,"tracker_id":40,"status_id":1,"priority_id":2,"assigned_to_id":23,"start_date":"2017-02-02","description":"","custom_fields":[{"id":1,"name":"Subdivision","value":"EC"},{"id":4,"name":"Milepost","value":"23.328"},{"id":17,"name":"Train ID","value":"209-02"},{"id":16,"name":"Locomotive ID","value":"4027"},{"id":130,"name":"Impact","value":""},{"id":150,"name":"Time of Event (Mountain Time)","value":"17:50:47"},{"id":151,"name":"Denver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60" t="str">
        <f t="shared" si="38"/>
        <v>start /low /b %USERPROFILE%\Documents\GitHub\eaglep3\Utilities\DownloadLogsFromS3.py --loco 4027 --day 2017-02-02</v>
      </c>
      <c r="AN121" s="169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"%USERPROFILE%\AppData\Local\Temp\OnboardLogs"\RTDC4027\*4027*20170203* | grep -SE "(Enforcement Action)|(\[TIMEOUT)|(CHR.+\|PRM\|1\|D.+(SWITCH|SIGNAL).+UNKNOWN)" - &gt;&gt; 2017-02-02-UncaughtWiMAX.txt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634</v>
      </c>
      <c r="B122" s="7">
        <v>4028</v>
      </c>
      <c r="C122" s="21" t="s">
        <v>193</v>
      </c>
      <c r="D122" s="21" t="s">
        <v>351</v>
      </c>
      <c r="E122" s="13">
        <v>42768.755925925929</v>
      </c>
      <c r="F122" s="13">
        <v>42768.757928240739</v>
      </c>
      <c r="G122" s="7">
        <v>1</v>
      </c>
      <c r="H122" s="21" t="s">
        <v>341</v>
      </c>
      <c r="I122" s="13">
        <v>42768.785185185188</v>
      </c>
      <c r="J122" s="7">
        <v>0</v>
      </c>
      <c r="K122" s="98" t="str">
        <f t="shared" si="21"/>
        <v>4027/4028</v>
      </c>
      <c r="L122" s="21" t="str">
        <f>VLOOKUP(A122,'Trips&amp;Operators'!$C$1:$G$99999,5,FALSE)</f>
        <v>CHANDLER KELVIN</v>
      </c>
      <c r="M122" s="6">
        <f t="shared" si="22"/>
        <v>2.7256944449618459E-2</v>
      </c>
      <c r="N122" s="7">
        <f t="shared" si="23"/>
        <v>39.250000007450581</v>
      </c>
      <c r="O122" s="7"/>
      <c r="P122" s="7"/>
      <c r="Q122" s="22"/>
      <c r="R122" s="22"/>
      <c r="S122" s="31">
        <f t="shared" si="24"/>
        <v>1</v>
      </c>
      <c r="T122" s="46" t="str">
        <f t="shared" si="25"/>
        <v>Southbound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 t="shared" si="26"/>
        <v>https://d0f6bd738d7f1b3e5a7ca70fe4ff75f0.us-east-1.aws.found.io/app/kibana#/discover/Steve-Slow-Train-Analysis-(2080s-and-2083s)?_g=(refreshInterval:(display:Off,pause:!f,section:0,value:0),time:(from:'2017-02-02T17:08:32-0700',mode:absolute,to:'2017-02-02T19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2" s="194" t="str">
        <f t="shared" si="27"/>
        <v>N</v>
      </c>
      <c r="X122" s="194">
        <f t="shared" si="28"/>
        <v>1</v>
      </c>
      <c r="Y122" s="62">
        <f t="shared" si="29"/>
        <v>23.295300000000001</v>
      </c>
      <c r="Z122" s="62">
        <f t="shared" si="30"/>
        <v>1.38E-2</v>
      </c>
      <c r="AA122" s="62">
        <f t="shared" si="31"/>
        <v>23.281500000000001</v>
      </c>
      <c r="AB122" s="59" t="e">
        <f>VLOOKUP(A122,Enforcements!$C$7:$K$16,8,0)</f>
        <v>#N/A</v>
      </c>
      <c r="AC122" s="55" t="e">
        <f>VLOOKUP(A122,Enforcements!$C$7:$E$16,3,0)</f>
        <v>#N/A</v>
      </c>
      <c r="AD122" s="56" t="str">
        <f t="shared" si="32"/>
        <v>0210-02</v>
      </c>
      <c r="AE122" s="85" t="str">
        <f t="shared" si="33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122" s="82" t="str">
        <f t="shared" si="34"/>
        <v>"C:\Program Files (x86)\AstroGrep\AstroGrep.exe" /spath="%USERPROFILE%\AppData\Local\Temp\OnboardLogs" /stypes="app*4028*20170203*" /stext=" 01:.+((SYSTEM_STATE.+slice.+state.+changed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6" t="str">
        <f t="shared" si="36"/>
        <v>"%USERPROFILE%\Documents\GitHub\eaglep3\Utilities\RefineRTDCRunTimes.py" --tripid 210-02 --locoid 4028 --swversion DE.1.0.8.0 --startMP 204:232953 --initTime 2017-02-02T18:08:32 --startdatetime 2017-02-02T18:11:25 --delay 1 --endMP 204:138 --enddatetime 2017-02-02T18:50:40 --enforcementcount 0 &gt;&gt;C:\Users\stu\Documents\GitHub\eaglep3-reporting\EC\2017-02-02-refined-times.txt</v>
      </c>
      <c r="AI12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{"issue":{"subject":"","project_id":79,"tracker_id":40,"status_id":1,"priority_id":2,"assigned_to_id":23,"start_date":"2017-02-02","description":"","custom_fields":[{"id":1,"name":"Subdivision","value":"EC"},{"id":4,"name":"Milepost","value":"0.0138"},{"id":17,"name":"Train ID","value":"210-02"},{"id":16,"name":"Locomotive ID","value":"4028"},{"id":130,"name":"Impact","value":""},{"id":150,"name":"Time of Event (Mountain Time)","value":"18:50:40"},{"id":151,"name":"Denver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60" t="str">
        <f t="shared" si="38"/>
        <v>start /low /b %USERPROFILE%\Documents\GitHub\eaglep3\Utilities\DownloadLogsFromS3.py --loco 4028 --day 2017-02-02</v>
      </c>
      <c r="AN122" s="169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"%USERPROFILE%\AppData\Local\Temp\OnboardLogs"\RTDC4028\*4028*20170203* | grep -SE "(Enforcement Action)|(\[TIMEOUT)|(CHR.+\|PRM\|1\|D.+(SWITCH|SIGNAL).+UNKNOWN)" - &gt;&gt; 2017-02-02-UncaughtWiMAX.txt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624</v>
      </c>
      <c r="B123" s="7">
        <v>4022</v>
      </c>
      <c r="C123" s="21" t="s">
        <v>193</v>
      </c>
      <c r="D123" s="21" t="s">
        <v>226</v>
      </c>
      <c r="E123" s="13">
        <v>42768.724780092591</v>
      </c>
      <c r="F123" s="13">
        <v>42768.729351851849</v>
      </c>
      <c r="G123" s="7">
        <v>2</v>
      </c>
      <c r="H123" s="21" t="s">
        <v>349</v>
      </c>
      <c r="I123" s="13">
        <v>42768.754340277781</v>
      </c>
      <c r="J123" s="7">
        <v>0</v>
      </c>
      <c r="K123" s="98" t="str">
        <f t="shared" si="21"/>
        <v>4021/4022</v>
      </c>
      <c r="L123" s="21" t="str">
        <f>VLOOKUP(A123,'Trips&amp;Operators'!$C$1:$G$99999,5,FALSE)</f>
        <v>WHITED DUSTIN</v>
      </c>
      <c r="M123" s="6">
        <f t="shared" si="22"/>
        <v>2.4988425931951497E-2</v>
      </c>
      <c r="N123" s="7">
        <f t="shared" si="23"/>
        <v>35.983333342010155</v>
      </c>
      <c r="O123" s="7"/>
      <c r="P123" s="7"/>
      <c r="Q123" s="22"/>
      <c r="R123" s="22"/>
      <c r="S123" s="31">
        <f t="shared" si="24"/>
        <v>1</v>
      </c>
      <c r="T123" s="46" t="str">
        <f t="shared" si="25"/>
        <v>NorthBound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 t="shared" si="26"/>
        <v>https://d0f6bd738d7f1b3e5a7ca70fe4ff75f0.us-east-1.aws.found.io/app/kibana#/discover/Steve-Slow-Train-Analysis-(2080s-and-2083s)?_g=(refreshInterval:(display:Off,pause:!f,section:0,value:0),time:(from:'2017-02-02T16:23:41-0700',mode:absolute,to:'2017-02-02T19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194" t="str">
        <f t="shared" si="27"/>
        <v>N</v>
      </c>
      <c r="X123" s="194">
        <f t="shared" si="28"/>
        <v>1</v>
      </c>
      <c r="Y123" s="62">
        <f t="shared" si="29"/>
        <v>4.58E-2</v>
      </c>
      <c r="Z123" s="62">
        <f t="shared" si="30"/>
        <v>23.3306</v>
      </c>
      <c r="AA123" s="62">
        <f t="shared" si="31"/>
        <v>23.284800000000001</v>
      </c>
      <c r="AB123" s="59" t="e">
        <f>VLOOKUP(A123,Enforcements!$C$7:$K$16,8,0)</f>
        <v>#N/A</v>
      </c>
      <c r="AC123" s="55" t="e">
        <f>VLOOKUP(A123,Enforcements!$C$7:$E$16,3,0)</f>
        <v>#N/A</v>
      </c>
      <c r="AD123" s="56" t="str">
        <f t="shared" si="32"/>
        <v>0211-02</v>
      </c>
      <c r="AE123" s="85" t="str">
        <f t="shared" si="33"/>
        <v>aws s3 cp s3://rtdc.mdm.uploadarchive.raw/RTDC4022/ "%USERPROFILE%\AppData\Local\Temp\OnboardLogs"\RTDC4022\2017-02-02 --exclude "*" --recursive --include "*20170202*" &amp; "%USERPROFILE%\Documents\GitHub\mrs-test-scripts\Headless Mode &amp; Sideloading\WalkAndUnGZ.bat" "%USERPROFILE%\AppData\Local\Temp\OnboardLogs"\RTDC4022\2017-02-02 &amp; aws s3 cp s3://rtdc.mdm.uploadarchive.raw/RTDC4022/ "%USERPROFILE%\AppData\Local\Temp\OnboardLogs"\RTDC4022\2017-02-03 --exclude "*" --recursive --include "*20170203*" &amp; "%USERPROFILE%\Documents\GitHub\mrs-test-scripts\Headless Mode &amp; Sideloading\WalkAndUnGZ.bat" "%USERPROFILE%\AppData\Local\Temp\OnboardLogs"\RTDC4022\2017-02-03</v>
      </c>
      <c r="AF123" s="82" t="str">
        <f t="shared" si="34"/>
        <v>"C:\Program Files (x86)\AstroGrep\AstroGrep.exe" /spath="%USERPROFILE%\AppData\Local\Temp\OnboardLogs" /stypes="app*4022*20170203*"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6" t="str">
        <f t="shared" si="36"/>
        <v>"%USERPROFILE%\Documents\GitHub\eaglep3\Utilities\RefineRTDCRunTimes.py" --tripid 211-02 --locoid 4022 --swversion DE.1.0.8.0 --startMP 204:458 --initTime 2017-02-02T17:23:41 --startdatetime 2017-02-02T17:30:16 --delay 2 --endMP 204:233306 --enddatetime 2017-02-02T18:06:15 --enforcementcount 0 &gt;&gt;C:\Users\stu\Documents\GitHub\eaglep3-reporting\EC\2017-02-02-refined-times.txt</v>
      </c>
      <c r="AI12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{"issue":{"subject":"","project_id":79,"tracker_id":40,"status_id":1,"priority_id":2,"assigned_to_id":23,"start_date":"2017-02-02","description":"","custom_fields":[{"id":1,"name":"Subdivision","value":"EC"},{"id":4,"name":"Milepost","value":"23.3306"},{"id":17,"name":"Train ID","value":"211-02"},{"id":16,"name":"Locomotive ID","value":"4022"},{"id":130,"name":"Impact","value":""},{"id":150,"name":"Time of Event (Mountain Time)","value":"18:06:15"},{"id":151,"name":"Denver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60" t="str">
        <f t="shared" si="38"/>
        <v>start /low /b %USERPROFILE%\Documents\GitHub\eaglep3\Utilities\DownloadLogsFromS3.py --loco 4022 --day 2017-02-02</v>
      </c>
      <c r="AN123" s="169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"%USERPROFILE%\AppData\Local\Temp\OnboardLogs"\RTDC4022\*4022*20170203* | grep -SE "(Enforcement Action)|(\[TIMEOUT)|(CHR.+\|PRM\|1\|D.+(SWITCH|SIGNAL).+UNKNOWN)" - &gt;&gt; 2017-02-02-UncaughtWiMAX.txt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635</v>
      </c>
      <c r="B124" s="7">
        <v>4021</v>
      </c>
      <c r="C124" s="21" t="s">
        <v>193</v>
      </c>
      <c r="D124" s="21" t="s">
        <v>310</v>
      </c>
      <c r="E124" s="13">
        <v>42768.75677083333</v>
      </c>
      <c r="F124" s="13">
        <v>42768.768229166664</v>
      </c>
      <c r="G124" s="7">
        <v>1</v>
      </c>
      <c r="H124" s="21" t="s">
        <v>206</v>
      </c>
      <c r="I124" s="13">
        <v>42768.794942129629</v>
      </c>
      <c r="J124" s="7">
        <v>0</v>
      </c>
      <c r="K124" s="98" t="str">
        <f t="shared" si="21"/>
        <v>4021/4022</v>
      </c>
      <c r="L124" s="21" t="str">
        <f>VLOOKUP(A124,'Trips&amp;Operators'!$C$1:$G$99999,5,FALSE)</f>
        <v>WHITED DUSTIN</v>
      </c>
      <c r="M124" s="6">
        <f t="shared" si="22"/>
        <v>2.6712962964666076E-2</v>
      </c>
      <c r="N124" s="7">
        <f t="shared" si="23"/>
        <v>38.466666669119149</v>
      </c>
      <c r="O124" s="7"/>
      <c r="P124" s="7"/>
      <c r="Q124" s="22"/>
      <c r="R124" s="22"/>
      <c r="S124" s="31">
        <f t="shared" si="24"/>
        <v>1</v>
      </c>
      <c r="T124" s="46" t="str">
        <f t="shared" si="25"/>
        <v>Southbound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 t="shared" si="26"/>
        <v>https://d0f6bd738d7f1b3e5a7ca70fe4ff75f0.us-east-1.aws.found.io/app/kibana#/discover/Steve-Slow-Train-Analysis-(2080s-and-2083s)?_g=(refreshInterval:(display:Off,pause:!f,section:0,value:0),time:(from:'2017-02-02T17:09:45-0700',mode:absolute,to:'2017-02-02T20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194" t="str">
        <f t="shared" si="27"/>
        <v>N</v>
      </c>
      <c r="X124" s="194">
        <f t="shared" si="28"/>
        <v>1</v>
      </c>
      <c r="Y124" s="62">
        <f t="shared" si="29"/>
        <v>23.299800000000001</v>
      </c>
      <c r="Z124" s="62">
        <f t="shared" si="30"/>
        <v>1.47E-2</v>
      </c>
      <c r="AA124" s="62">
        <f t="shared" si="31"/>
        <v>23.2851</v>
      </c>
      <c r="AB124" s="59" t="e">
        <f>VLOOKUP(A124,Enforcements!$C$7:$K$16,8,0)</f>
        <v>#N/A</v>
      </c>
      <c r="AC124" s="55" t="e">
        <f>VLOOKUP(A124,Enforcements!$C$7:$E$16,3,0)</f>
        <v>#N/A</v>
      </c>
      <c r="AD124" s="56" t="str">
        <f t="shared" si="32"/>
        <v>0212-02</v>
      </c>
      <c r="AE124" s="85" t="str">
        <f t="shared" si="33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124" s="82" t="str">
        <f t="shared" si="34"/>
        <v>"C:\Program Files (x86)\AstroGrep\AstroGrep.exe" /spath="%USERPROFILE%\AppData\Local\Temp\OnboardLogs" /stypes="app*4021*20170203*" /stext=" 02:.+((SYSTEM_STATE.+slice.+state.+changed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6" t="str">
        <f t="shared" si="36"/>
        <v>"%USERPROFILE%\Documents\GitHub\eaglep3\Utilities\RefineRTDCRunTimes.py" --tripid 212-02 --locoid 4021 --swversion DE.1.0.8.0 --startMP 204:232998 --initTime 2017-02-02T18:09:45 --startdatetime 2017-02-02T18:26:15 --delay 1 --endMP 204:147 --enddatetime 2017-02-02T19:04:43 --enforcementcount 0 &gt;&gt;C:\Users\stu\Documents\GitHub\eaglep3-reporting\EC\2017-02-02-refined-times.txt</v>
      </c>
      <c r="AI12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ID","value":"212-02"},{"id":16,"name":"Locomotive ID","value":"4021"},{"id":130,"name":"Impact","value":""},{"id":150,"name":"Time of Event (Mountain Time)","value":"19:04:43"},{"id":151,"name":"Denver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60" t="str">
        <f t="shared" si="38"/>
        <v>start /low /b %USERPROFILE%\Documents\GitHub\eaglep3\Utilities\DownloadLogsFromS3.py --loco 4021 --day 2017-02-02</v>
      </c>
      <c r="AN124" s="169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"%USERPROFILE%\AppData\Local\Temp\OnboardLogs"\RTDC4021\*4021*20170203* | grep -SE "(Enforcement Action)|(\[TIMEOUT)|(CHR.+\|PRM\|1\|D.+(SWITCH|SIGNAL).+UNKNOWN)" - &gt;&gt; 2017-02-02-UncaughtWiMAX.txt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627</v>
      </c>
      <c r="B125" s="7">
        <v>4016</v>
      </c>
      <c r="C125" s="21" t="s">
        <v>193</v>
      </c>
      <c r="D125" s="21" t="s">
        <v>211</v>
      </c>
      <c r="E125" s="13">
        <v>42768.734039351853</v>
      </c>
      <c r="F125" s="13">
        <v>42768.739930555559</v>
      </c>
      <c r="G125" s="7">
        <v>1</v>
      </c>
      <c r="H125" s="21" t="s">
        <v>400</v>
      </c>
      <c r="I125" s="13">
        <v>42768.764131944445</v>
      </c>
      <c r="J125" s="7">
        <v>0</v>
      </c>
      <c r="K125" s="98" t="str">
        <f t="shared" si="21"/>
        <v>4015/4016</v>
      </c>
      <c r="L125" s="21" t="str">
        <f>VLOOKUP(A125,'Trips&amp;Operators'!$C$1:$G$99999,5,FALSE)</f>
        <v>NEWELL JAMES</v>
      </c>
      <c r="M125" s="6">
        <f t="shared" si="22"/>
        <v>2.4201388885558117E-2</v>
      </c>
      <c r="N125" s="7">
        <f t="shared" si="23"/>
        <v>34.849999995203689</v>
      </c>
      <c r="O125" s="7"/>
      <c r="P125" s="7"/>
      <c r="Q125" s="22"/>
      <c r="R125" s="22"/>
      <c r="S125" s="31">
        <f t="shared" si="24"/>
        <v>1</v>
      </c>
      <c r="T125" s="46" t="str">
        <f t="shared" si="25"/>
        <v>NorthBound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 t="shared" si="26"/>
        <v>https://d0f6bd738d7f1b3e5a7ca70fe4ff75f0.us-east-1.aws.found.io/app/kibana#/discover/Steve-Slow-Train-Analysis-(2080s-and-2083s)?_g=(refreshInterval:(display:Off,pause:!f,section:0,value:0),time:(from:'2017-02-02T16:37:01-0700',mode:absolute,to:'2017-02-02T19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194" t="str">
        <f t="shared" si="27"/>
        <v>N</v>
      </c>
      <c r="X125" s="194">
        <f t="shared" si="28"/>
        <v>1</v>
      </c>
      <c r="Y125" s="62">
        <f t="shared" si="29"/>
        <v>4.4900000000000002E-2</v>
      </c>
      <c r="Z125" s="62">
        <f t="shared" si="30"/>
        <v>23.331800000000001</v>
      </c>
      <c r="AA125" s="62">
        <f t="shared" si="31"/>
        <v>23.286900000000003</v>
      </c>
      <c r="AB125" s="59" t="e">
        <f>VLOOKUP(A125,Enforcements!$C$7:$K$16,8,0)</f>
        <v>#N/A</v>
      </c>
      <c r="AC125" s="55" t="e">
        <f>VLOOKUP(A125,Enforcements!$C$7:$E$16,3,0)</f>
        <v>#N/A</v>
      </c>
      <c r="AD125" s="56" t="str">
        <f t="shared" si="32"/>
        <v>0213-02</v>
      </c>
      <c r="AE125" s="85" t="str">
        <f t="shared" si="33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125" s="82" t="str">
        <f t="shared" si="34"/>
        <v>"C:\Program Files (x86)\AstroGrep\AstroGrep.exe" /spath="%USERPROFILE%\AppData\Local\Temp\OnboardLogs" /stypes="app*4016*20170203*" /stext=" 01:.+((SYSTEM_STATE.+slice.+state.+changed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6" t="str">
        <f t="shared" si="36"/>
        <v>"%USERPROFILE%\Documents\GitHub\eaglep3\Utilities\RefineRTDCRunTimes.py" --tripid 213-02 --locoid 4016 --swversion DE.1.0.8.0 --startMP 204:449 --initTime 2017-02-02T17:37:01 --startdatetime 2017-02-02T17:45:30 --delay 1 --endMP 204:233318 --enddatetime 2017-02-02T18:20:21 --enforcementcount 0 &gt;&gt;C:\Users\stu\Documents\GitHub\eaglep3-reporting\EC\2017-02-02-refined-times.txt</v>
      </c>
      <c r="AI125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{"issue":{"subject":"","project_id":79,"tracker_id":40,"status_id":1,"priority_id":2,"assigned_to_id":23,"start_date":"2017-02-02","description":"","custom_fields":[{"id":1,"name":"Subdivision","value":"EC"},{"id":4,"name":"Milepost","value":"23.3318"},{"id":17,"name":"Train ID","value":"213-02"},{"id":16,"name":"Locomotive ID","value":"4016"},{"id":130,"name":"Impact","value":""},{"id":150,"name":"Time of Event (Mountain Time)","value":"18:20:21"},{"id":151,"name":"Denver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60" t="str">
        <f t="shared" si="38"/>
        <v>start /low /b %USERPROFILE%\Documents\GitHub\eaglep3\Utilities\DownloadLogsFromS3.py --loco 4016 --day 2017-02-02</v>
      </c>
      <c r="AN125" s="169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"%USERPROFILE%\AppData\Local\Temp\OnboardLogs"\RTDC4016\*4016*20170203* | grep -SE "(Enforcement Action)|(\[TIMEOUT)|(CHR.+\|PRM\|1\|D.+(SWITCH|SIGNAL).+UNKNOWN)" - &gt;&gt; 2017-02-02-UncaughtWiMAX.txt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642</v>
      </c>
      <c r="B126" s="7">
        <v>4015</v>
      </c>
      <c r="C126" s="21" t="s">
        <v>193</v>
      </c>
      <c r="D126" s="21" t="s">
        <v>418</v>
      </c>
      <c r="E126" s="13">
        <v>42768.771203703705</v>
      </c>
      <c r="F126" s="13">
        <v>42768.778657407405</v>
      </c>
      <c r="G126" s="7">
        <v>2</v>
      </c>
      <c r="H126" s="21" t="s">
        <v>291</v>
      </c>
      <c r="I126" s="13">
        <v>42768.805613425924</v>
      </c>
      <c r="J126" s="7">
        <v>0</v>
      </c>
      <c r="K126" s="98" t="str">
        <f t="shared" si="21"/>
        <v>4015/4016</v>
      </c>
      <c r="L126" s="21" t="str">
        <f>VLOOKUP(A126,'Trips&amp;Operators'!$C$1:$G$99999,5,FALSE)</f>
        <v>NEWELL JAMES</v>
      </c>
      <c r="M126" s="6">
        <f t="shared" si="22"/>
        <v>2.6956018518831115E-2</v>
      </c>
      <c r="N126" s="7">
        <f t="shared" si="23"/>
        <v>38.816666667116806</v>
      </c>
      <c r="O126" s="7"/>
      <c r="P126" s="7"/>
      <c r="Q126" s="22"/>
      <c r="R126" s="22"/>
      <c r="S126" s="31">
        <f t="shared" si="24"/>
        <v>1</v>
      </c>
      <c r="T126" s="46" t="str">
        <f t="shared" si="25"/>
        <v>Southbound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 t="shared" si="26"/>
        <v>https://d0f6bd738d7f1b3e5a7ca70fe4ff75f0.us-east-1.aws.found.io/app/kibana#/discover/Steve-Slow-Train-Analysis-(2080s-and-2083s)?_g=(refreshInterval:(display:Off,pause:!f,section:0,value:0),time:(from:'2017-02-02T17:30:32-0700',mode:absolute,to:'2017-02-02T20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194" t="str">
        <f t="shared" si="27"/>
        <v>N</v>
      </c>
      <c r="X126" s="194">
        <f t="shared" si="28"/>
        <v>1</v>
      </c>
      <c r="Y126" s="62">
        <f t="shared" si="29"/>
        <v>23.299600000000002</v>
      </c>
      <c r="Z126" s="62">
        <f t="shared" si="30"/>
        <v>1.5599999999999999E-2</v>
      </c>
      <c r="AA126" s="62">
        <f t="shared" si="31"/>
        <v>23.284000000000002</v>
      </c>
      <c r="AB126" s="59" t="e">
        <f>VLOOKUP(A126,Enforcements!$C$7:$K$16,8,0)</f>
        <v>#N/A</v>
      </c>
      <c r="AC126" s="55" t="e">
        <f>VLOOKUP(A126,Enforcements!$C$7:$E$16,3,0)</f>
        <v>#N/A</v>
      </c>
      <c r="AD126" s="56" t="str">
        <f t="shared" si="32"/>
        <v>0214-02</v>
      </c>
      <c r="AE126" s="85" t="str">
        <f t="shared" si="33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126" s="82" t="str">
        <f t="shared" si="34"/>
        <v>"C:\Program Files (x86)\AstroGrep\AstroGrep.exe" /spath="%USERPROFILE%\AppData\Local\Temp\OnboardLogs" /stypes="app*4015*20170203*" /stext=" 02:.+((SYSTEM_STATE.+slice.+state.+changed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6" t="str">
        <f t="shared" si="36"/>
        <v>"%USERPROFILE%\Documents\GitHub\eaglep3\Utilities\RefineRTDCRunTimes.py" --tripid 214-02 --locoid 4015 --swversion DE.1.0.8.0 --startMP 204:232996 --initTime 2017-02-02T18:30:32 --startdatetime 2017-02-02T18:41:16 --delay 2 --endMP 204:156 --enddatetime 2017-02-02T19:20:05 --enforcementcount 0 &gt;&gt;C:\Users\stu\Documents\GitHub\eaglep3-reporting\EC\2017-02-02-refined-times.txt</v>
      </c>
      <c r="AI12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{"issue":{"subject":"","project_id":79,"tracker_id":40,"status_id":1,"priority_id":2,"assigned_to_id":23,"start_date":"2017-02-02","description":"","custom_fields":[{"id":1,"name":"Subdivision","value":"EC"},{"id":4,"name":"Milepost","value":"0.0156"},{"id":17,"name":"Train ID","value":"214-02"},{"id":16,"name":"Locomotive ID","value":"4015"},{"id":130,"name":"Impact","value":""},{"id":150,"name":"Time of Event (Mountain Time)","value":"19:20:05"},{"id":151,"name":"Denver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60" t="str">
        <f t="shared" si="38"/>
        <v>start /low /b %USERPROFILE%\Documents\GitHub\eaglep3\Utilities\DownloadLogsFromS3.py --loco 4015 --day 2017-02-02</v>
      </c>
      <c r="AN126" s="169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"%USERPROFILE%\AppData\Local\Temp\OnboardLogs"\RTDC4015\*4015*20170203* | grep -SE "(Enforcement Action)|(\[TIMEOUT)|(CHR.+\|PRM\|1\|D.+(SWITCH|SIGNAL).+UNKNOWN)" - &gt;&gt; 2017-02-02-UncaughtWiMAX.txt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633</v>
      </c>
      <c r="B127" s="7">
        <v>4009</v>
      </c>
      <c r="C127" s="21" t="s">
        <v>193</v>
      </c>
      <c r="D127" s="21" t="s">
        <v>719</v>
      </c>
      <c r="E127" s="13">
        <v>42768.745208333334</v>
      </c>
      <c r="F127" s="13">
        <v>42768.750509259262</v>
      </c>
      <c r="G127" s="7">
        <v>2</v>
      </c>
      <c r="H127" s="21" t="s">
        <v>705</v>
      </c>
      <c r="I127" s="13">
        <v>42768.775312500002</v>
      </c>
      <c r="J127" s="7">
        <v>0</v>
      </c>
      <c r="K127" s="98" t="str">
        <f t="shared" si="21"/>
        <v>4009/4010</v>
      </c>
      <c r="L127" s="21" t="str">
        <f>VLOOKUP(A127,'Trips&amp;Operators'!$C$1:$G$99999,5,FALSE)</f>
        <v>BRANNON JEFFREY</v>
      </c>
      <c r="M127" s="6">
        <f t="shared" si="22"/>
        <v>2.4803240739856847E-2</v>
      </c>
      <c r="N127" s="7">
        <f t="shared" si="23"/>
        <v>35.716666665393859</v>
      </c>
      <c r="O127" s="7"/>
      <c r="P127" s="7"/>
      <c r="Q127" s="22"/>
      <c r="R127" s="22"/>
      <c r="S127" s="31">
        <f t="shared" si="24"/>
        <v>1</v>
      </c>
      <c r="T127" s="46" t="str">
        <f t="shared" si="25"/>
        <v>NorthBound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 t="shared" si="26"/>
        <v>https://d0f6bd738d7f1b3e5a7ca70fe4ff75f0.us-east-1.aws.found.io/app/kibana#/discover/Steve-Slow-Train-Analysis-(2080s-and-2083s)?_g=(refreshInterval:(display:Off,pause:!f,section:0,value:0),time:(from:'2017-02-02T16:53:06-0700',mode:absolute,to:'2017-02-02T19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194" t="str">
        <f t="shared" si="27"/>
        <v>N</v>
      </c>
      <c r="X127" s="194">
        <f t="shared" si="28"/>
        <v>1</v>
      </c>
      <c r="Y127" s="62">
        <f t="shared" si="29"/>
        <v>4.82E-2</v>
      </c>
      <c r="Z127" s="62">
        <f t="shared" si="30"/>
        <v>23.331199999999999</v>
      </c>
      <c r="AA127" s="62">
        <f t="shared" si="31"/>
        <v>23.282999999999998</v>
      </c>
      <c r="AB127" s="59" t="e">
        <f>VLOOKUP(A127,Enforcements!$C$7:$K$16,8,0)</f>
        <v>#N/A</v>
      </c>
      <c r="AC127" s="55" t="e">
        <f>VLOOKUP(A127,Enforcements!$C$7:$E$16,3,0)</f>
        <v>#N/A</v>
      </c>
      <c r="AD127" s="56" t="str">
        <f t="shared" si="32"/>
        <v>0215-02</v>
      </c>
      <c r="AE127" s="85" t="str">
        <f t="shared" si="33"/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AF127" s="82" t="str">
        <f t="shared" si="34"/>
        <v>"C:\Program Files (x86)\AstroGrep\AstroGrep.exe" /spath="%USERPROFILE%\AppData\Local\Temp\OnboardLogs" /stypes="app*4009*20170203*" /stext=" 01:.+((SYSTEM_STATE.+slice.+state.+changed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6" t="str">
        <f t="shared" si="36"/>
        <v>"%USERPROFILE%\Documents\GitHub\eaglep3\Utilities\RefineRTDCRunTimes.py" --tripid 215-02 --locoid 4009 --swversion DE.1.0.8.0 --startMP 204:482 --initTime 2017-02-02T17:53:06 --startdatetime 2017-02-02T18:00:44 --delay 2 --endMP 204:233312 --enddatetime 2017-02-02T18:36:27 --enforcementcount 0 &gt;&gt;C:\Users\stu\Documents\GitHub\eaglep3-reporting\EC\2017-02-02-refined-times.txt</v>
      </c>
      <c r="AI127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{"issue":{"subject":"","project_id":79,"tracker_id":40,"status_id":1,"priority_id":2,"assigned_to_id":23,"start_date":"2017-02-02","description":"","custom_fields":[{"id":1,"name":"Subdivision","value":"EC"},{"id":4,"name":"Milepost","value":"23.3312"},{"id":17,"name":"Train ID","value":"215-02"},{"id":16,"name":"Locomotive ID","value":"4009"},{"id":130,"name":"Impact","value":""},{"id":150,"name":"Time of Event (Mountain Time)","value":"18:36:27"},{"id":151,"name":"Denver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60" t="str">
        <f t="shared" si="38"/>
        <v>start /low /b %USERPROFILE%\Documents\GitHub\eaglep3\Utilities\DownloadLogsFromS3.py --loco 4009 --day 2017-02-02</v>
      </c>
      <c r="AN127" s="169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"%USERPROFILE%\AppData\Local\Temp\OnboardLogs"\RTDC4009\*4009*20170203* | grep -SE "(Enforcement Action)|(\[TIMEOUT)|(CHR.+\|PRM\|1\|D.+(SWITCH|SIGNAL).+UNKNOWN)" - &gt;&gt; 2017-02-02-UncaughtWiMAX.txt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646</v>
      </c>
      <c r="B128" s="7">
        <v>4010</v>
      </c>
      <c r="C128" s="21" t="s">
        <v>193</v>
      </c>
      <c r="D128" s="21" t="s">
        <v>412</v>
      </c>
      <c r="E128" s="13">
        <v>42768.784201388888</v>
      </c>
      <c r="F128" s="13">
        <v>42768.789039351854</v>
      </c>
      <c r="G128" s="7">
        <v>1</v>
      </c>
      <c r="H128" s="21" t="s">
        <v>309</v>
      </c>
      <c r="I128" s="13">
        <v>42768.815057870372</v>
      </c>
      <c r="J128" s="7">
        <v>0</v>
      </c>
      <c r="K128" s="98" t="str">
        <f t="shared" si="21"/>
        <v>4009/4010</v>
      </c>
      <c r="L128" s="21" t="str">
        <f>VLOOKUP(A128,'Trips&amp;Operators'!$C$1:$G$99999,5,FALSE)</f>
        <v>BRANNON JEFFREY</v>
      </c>
      <c r="M128" s="6">
        <f t="shared" si="22"/>
        <v>2.6018518517958E-2</v>
      </c>
      <c r="N128" s="7">
        <f t="shared" si="23"/>
        <v>37.46666666585952</v>
      </c>
      <c r="O128" s="7"/>
      <c r="P128" s="7"/>
      <c r="Q128" s="22"/>
      <c r="R128" s="22"/>
      <c r="S128" s="31">
        <f t="shared" si="24"/>
        <v>1</v>
      </c>
      <c r="T128" s="46" t="str">
        <f t="shared" si="25"/>
        <v>Southbound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 t="shared" si="26"/>
        <v>https://d0f6bd738d7f1b3e5a7ca70fe4ff75f0.us-east-1.aws.found.io/app/kibana#/discover/Steve-Slow-Train-Analysis-(2080s-and-2083s)?_g=(refreshInterval:(display:Off,pause:!f,section:0,value:0),time:(from:'2017-02-02T17:49:15-0700',mode:absolute,to:'2017-02-02T20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8" s="194" t="str">
        <f t="shared" si="27"/>
        <v>N</v>
      </c>
      <c r="X128" s="194">
        <f t="shared" si="28"/>
        <v>1</v>
      </c>
      <c r="Y128" s="62">
        <f t="shared" si="29"/>
        <v>23.3004</v>
      </c>
      <c r="Z128" s="62">
        <f t="shared" si="30"/>
        <v>1.3899999999999999E-2</v>
      </c>
      <c r="AA128" s="62">
        <f t="shared" si="31"/>
        <v>23.2865</v>
      </c>
      <c r="AB128" s="59" t="e">
        <f>VLOOKUP(A128,Enforcements!$C$7:$K$16,8,0)</f>
        <v>#N/A</v>
      </c>
      <c r="AC128" s="55" t="e">
        <f>VLOOKUP(A128,Enforcements!$C$7:$E$16,3,0)</f>
        <v>#N/A</v>
      </c>
      <c r="AD128" s="56" t="str">
        <f t="shared" si="32"/>
        <v>0216-02</v>
      </c>
      <c r="AE128" s="85" t="str">
        <f t="shared" si="33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128" s="82" t="str">
        <f t="shared" si="34"/>
        <v>"C:\Program Files (x86)\AstroGrep\AstroGrep.exe" /spath="%USERPROFILE%\AppData\Local\Temp\OnboardLogs" /stypes="app*4010*20170203*" /stext=" 02:.+((SYSTEM_STATE.+slice.+state.+changed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6" t="str">
        <f t="shared" si="36"/>
        <v>"%USERPROFILE%\Documents\GitHub\eaglep3\Utilities\RefineRTDCRunTimes.py" --tripid 216-02 --locoid 4010 --swversion DE.1.0.8.0 --startMP 204:233004 --initTime 2017-02-02T18:49:15 --startdatetime 2017-02-02T18:56:13 --delay 1 --endMP 204:139 --enddatetime 2017-02-02T19:33:41 --enforcementcount 0 &gt;&gt;C:\Users\stu\Documents\GitHub\eaglep3-reporting\EC\2017-02-02-refined-times.txt</v>
      </c>
      <c r="AI12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{"issue":{"subject":"","project_id":79,"tracker_id":40,"status_id":1,"priority_id":2,"assigned_to_id":23,"start_date":"2017-02-02","description":"","custom_fields":[{"id":1,"name":"Subdivision","value":"EC"},{"id":4,"name":"Milepost","value":"0.0139"},{"id":17,"name":"Train ID","value":"216-02"},{"id":16,"name":"Locomotive ID","value":"4010"},{"id":130,"name":"Impact","value":""},{"id":150,"name":"Time of Event (Mountain Time)","value":"19:33:41"},{"id":151,"name":"Denver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60" t="str">
        <f t="shared" si="38"/>
        <v>start /low /b %USERPROFILE%\Documents\GitHub\eaglep3\Utilities\DownloadLogsFromS3.py --loco 4010 --day 2017-02-02</v>
      </c>
      <c r="AN128" s="169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"%USERPROFILE%\AppData\Local\Temp\OnboardLogs"\RTDC4010\*4010*20170203* | grep -SE "(Enforcement Action)|(\[TIMEOUT)|(CHR.+\|PRM\|1\|D.+(SWITCH|SIGNAL).+UNKNOWN)" - &gt;&gt; 2017-02-02-UncaughtWiMAX.txt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636</v>
      </c>
      <c r="B129" s="7">
        <v>4011</v>
      </c>
      <c r="C129" s="21" t="s">
        <v>193</v>
      </c>
      <c r="D129" s="21" t="s">
        <v>402</v>
      </c>
      <c r="E129" s="13">
        <v>42768.756122685183</v>
      </c>
      <c r="F129" s="13">
        <v>42768.760682870372</v>
      </c>
      <c r="G129" s="7">
        <v>3</v>
      </c>
      <c r="H129" s="21" t="s">
        <v>421</v>
      </c>
      <c r="I129" s="13">
        <v>42768.785798611112</v>
      </c>
      <c r="J129" s="7">
        <v>0</v>
      </c>
      <c r="K129" s="98" t="str">
        <f t="shared" si="21"/>
        <v>4011/4012</v>
      </c>
      <c r="L129" s="21" t="str">
        <f>VLOOKUP(A129,'Trips&amp;Operators'!$C$1:$G$99999,5,FALSE)</f>
        <v>MACDONALD THOMAS</v>
      </c>
      <c r="M129" s="6">
        <f t="shared" si="22"/>
        <v>2.5115740740147885E-2</v>
      </c>
      <c r="N129" s="7">
        <f t="shared" si="23"/>
        <v>36.166666665812954</v>
      </c>
      <c r="O129" s="7"/>
      <c r="P129" s="7"/>
      <c r="Q129" s="22"/>
      <c r="R129" s="22"/>
      <c r="S129" s="31">
        <f t="shared" si="24"/>
        <v>1</v>
      </c>
      <c r="T129" s="46" t="str">
        <f t="shared" si="25"/>
        <v>NorthBound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 t="shared" si="26"/>
        <v>https://d0f6bd738d7f1b3e5a7ca70fe4ff75f0.us-east-1.aws.found.io/app/kibana#/discover/Steve-Slow-Train-Analysis-(2080s-and-2083s)?_g=(refreshInterval:(display:Off,pause:!f,section:0,value:0),time:(from:'2017-02-02T17:08:49-0700',mode:absolute,to:'2017-02-02T19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9" s="194" t="str">
        <f t="shared" si="27"/>
        <v>N</v>
      </c>
      <c r="X129" s="194">
        <f t="shared" si="28"/>
        <v>1</v>
      </c>
      <c r="Y129" s="62">
        <f t="shared" si="29"/>
        <v>4.3799999999999999E-2</v>
      </c>
      <c r="Z129" s="62">
        <f t="shared" si="30"/>
        <v>23.328800000000001</v>
      </c>
      <c r="AA129" s="62">
        <f t="shared" si="31"/>
        <v>23.285</v>
      </c>
      <c r="AB129" s="59" t="e">
        <f>VLOOKUP(A129,Enforcements!$C$7:$K$16,8,0)</f>
        <v>#N/A</v>
      </c>
      <c r="AC129" s="55" t="e">
        <f>VLOOKUP(A129,Enforcements!$C$7:$E$16,3,0)</f>
        <v>#N/A</v>
      </c>
      <c r="AD129" s="56" t="str">
        <f t="shared" si="32"/>
        <v>0217-02</v>
      </c>
      <c r="AE129" s="85" t="str">
        <f t="shared" si="33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29" s="82" t="str">
        <f t="shared" si="34"/>
        <v>"C:\Program Files (x86)\AstroGrep\AstroGrep.exe" /spath="%USERPROFILE%\AppData\Local\Temp\OnboardLogs" /stypes="app*4011*20170203*" /stext=" 01:.+((SYSTEM_STATE.+slice.+state.+changed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6" t="str">
        <f t="shared" si="36"/>
        <v>"%USERPROFILE%\Documents\GitHub\eaglep3\Utilities\RefineRTDCRunTimes.py" --tripid 217-02 --locoid 4011 --swversion DE.1.0.8.0 --startMP 204:438 --initTime 2017-02-02T18:08:49 --startdatetime 2017-02-02T18:15:23 --delay 3 --endMP 204:233288 --enddatetime 2017-02-02T18:51:33 --enforcementcount 0 &gt;&gt;C:\Users\stu\Documents\GitHub\eaglep3-reporting\EC\2017-02-02-refined-times.txt</v>
      </c>
      <c r="AI12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{"issue":{"subject":"","project_id":79,"tracker_id":40,"status_id":1,"priority_id":2,"assigned_to_id":23,"start_date":"2017-02-02","description":"","custom_fields":[{"id":1,"name":"Subdivision","value":"EC"},{"id":4,"name":"Milepost","value":"23.3288"},{"id":17,"name":"Train ID","value":"217-02"},{"id":16,"name":"Locomotive ID","value":"4011"},{"id":130,"name":"Impact","value":""},{"id":150,"name":"Time of Event (Mountain Time)","value":"18:51:33"},{"id":151,"name":"Denver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60" t="str">
        <f t="shared" si="38"/>
        <v>start /low /b %USERPROFILE%\Documents\GitHub\eaglep3\Utilities\DownloadLogsFromS3.py --loco 4011 --day 2017-02-02</v>
      </c>
      <c r="AN129" s="169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"%USERPROFILE%\AppData\Local\Temp\OnboardLogs"\RTDC4011\*4011*20170203* | grep -SE "(Enforcement Action)|(\[TIMEOUT)|(CHR.+\|PRM\|1\|D.+(SWITCH|SIGNAL).+UNKNOWN)" - &gt;&gt; 2017-02-02-UncaughtWiMAX.txt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649</v>
      </c>
      <c r="B130" s="7">
        <v>4012</v>
      </c>
      <c r="C130" s="21" t="s">
        <v>193</v>
      </c>
      <c r="D130" s="21" t="s">
        <v>408</v>
      </c>
      <c r="E130" s="13">
        <v>42768.795983796299</v>
      </c>
      <c r="F130" s="13">
        <v>42768.799675925926</v>
      </c>
      <c r="G130" s="7">
        <v>1</v>
      </c>
      <c r="H130" s="21" t="s">
        <v>206</v>
      </c>
      <c r="I130" s="13">
        <v>42768.826249999998</v>
      </c>
      <c r="J130" s="7">
        <v>0</v>
      </c>
      <c r="K130" s="98" t="str">
        <f t="shared" si="21"/>
        <v>4011/4012</v>
      </c>
      <c r="L130" s="21" t="str">
        <f>VLOOKUP(A130,'Trips&amp;Operators'!$C$1:$G$99999,5,FALSE)</f>
        <v>MACDONALD THOMAS</v>
      </c>
      <c r="M130" s="6">
        <f t="shared" si="22"/>
        <v>2.6574074072414078E-2</v>
      </c>
      <c r="N130" s="7">
        <f t="shared" si="23"/>
        <v>38.266666664276272</v>
      </c>
      <c r="O130" s="7"/>
      <c r="P130" s="7"/>
      <c r="Q130" s="22"/>
      <c r="R130" s="22"/>
      <c r="S130" s="31">
        <f t="shared" si="24"/>
        <v>1</v>
      </c>
      <c r="T130" s="46" t="str">
        <f t="shared" si="25"/>
        <v>Southbound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 t="shared" si="26"/>
        <v>https://d0f6bd738d7f1b3e5a7ca70fe4ff75f0.us-east-1.aws.found.io/app/kibana#/discover/Steve-Slow-Train-Analysis-(2080s-and-2083s)?_g=(refreshInterval:(display:Off,pause:!f,section:0,value:0),time:(from:'2017-02-02T18:06:13-0700',mode:absolute,to:'2017-02-02T20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0" s="194" t="str">
        <f t="shared" si="27"/>
        <v>N</v>
      </c>
      <c r="X130" s="194">
        <f t="shared" si="28"/>
        <v>1</v>
      </c>
      <c r="Y130" s="62">
        <f t="shared" si="29"/>
        <v>23.296700000000001</v>
      </c>
      <c r="Z130" s="62">
        <f t="shared" si="30"/>
        <v>1.47E-2</v>
      </c>
      <c r="AA130" s="62">
        <f t="shared" si="31"/>
        <v>23.282</v>
      </c>
      <c r="AB130" s="59" t="e">
        <f>VLOOKUP(A130,Enforcements!$C$7:$K$16,8,0)</f>
        <v>#N/A</v>
      </c>
      <c r="AC130" s="55" t="e">
        <f>VLOOKUP(A130,Enforcements!$C$7:$E$16,3,0)</f>
        <v>#N/A</v>
      </c>
      <c r="AD130" s="56" t="str">
        <f t="shared" si="32"/>
        <v>0218-02</v>
      </c>
      <c r="AE130" s="85" t="str">
        <f t="shared" si="33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130" s="82" t="str">
        <f t="shared" si="34"/>
        <v>"C:\Program Files (x86)\AstroGrep\AstroGrep.exe" /spath="%USERPROFILE%\AppData\Local\Temp\OnboardLogs" /stypes="app*4012*20170203*" /stext=" 02:.+((SYSTEM_STATE.+slice.+state.+changed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6" t="str">
        <f t="shared" si="36"/>
        <v>"%USERPROFILE%\Documents\GitHub\eaglep3\Utilities\RefineRTDCRunTimes.py" --tripid 218-02 --locoid 4012 --swversion DE.1.0.8.0 --startMP 204:232967 --initTime 2017-02-02T19:06:13 --startdatetime 2017-02-02T19:11:32 --delay 1 --endMP 204:147 --enddatetime 2017-02-02T19:49:48 --enforcementcount 0 &gt;&gt;C:\Users\stu\Documents\GitHub\eaglep3-reporting\EC\2017-02-02-refined-times.txt</v>
      </c>
      <c r="AI13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{"issue":{"subject":"","project_id":79,"tracker_id":40,"status_id":1,"priority_id":2,"assigned_to_id":23,"start_date":"2017-02-02","description":"","custom_fields":[{"id":1,"name":"Subdivision","value":"EC"},{"id":4,"name":"Milepost","value":"0.0147"},{"id":17,"name":"Train ID","value":"218-02"},{"id":16,"name":"Locomotive ID","value":"4012"},{"id":130,"name":"Impact","value":""},{"id":150,"name":"Time of Event (Mountain Time)","value":"19:49:48"},{"id":151,"name":"Denver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60" t="str">
        <f t="shared" si="38"/>
        <v>start /low /b %USERPROFILE%\Documents\GitHub\eaglep3\Utilities\DownloadLogsFromS3.py --loco 4012 --day 2017-02-02</v>
      </c>
      <c r="AN130" s="169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"%USERPROFILE%\AppData\Local\Temp\OnboardLogs"\RTDC4012\*4012*20170203* | grep -SE "(Enforcement Action)|(\[TIMEOUT)|(CHR.+\|PRM\|1\|D.+(SWITCH|SIGNAL).+UNKNOWN)" - &gt;&gt; 2017-02-02-UncaughtWiMAX.txt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459</v>
      </c>
      <c r="B131" s="7">
        <v>4051</v>
      </c>
      <c r="C131" s="21" t="s">
        <v>193</v>
      </c>
      <c r="D131" s="21" t="s">
        <v>226</v>
      </c>
      <c r="E131" s="13">
        <v>42768.767731481479</v>
      </c>
      <c r="F131" s="13">
        <v>42768.770972222221</v>
      </c>
      <c r="G131" s="7">
        <v>1</v>
      </c>
      <c r="H131" s="21" t="s">
        <v>734</v>
      </c>
      <c r="I131" s="13">
        <v>42768.79619212963</v>
      </c>
      <c r="J131" s="7">
        <v>0</v>
      </c>
      <c r="K131" s="98" t="str">
        <f t="shared" si="21"/>
        <v>4051/4052</v>
      </c>
      <c r="L131" s="21" t="str">
        <f>VLOOKUP(A131,'Trips&amp;Operators'!$C$1:$G$99999,5,FALSE)</f>
        <v>HILLS DUSTIN</v>
      </c>
      <c r="M131" s="6">
        <f t="shared" si="22"/>
        <v>2.5219907409336884E-2</v>
      </c>
      <c r="N131" s="7">
        <f t="shared" si="23"/>
        <v>36.316666669445112</v>
      </c>
      <c r="O131" s="7"/>
      <c r="P131" s="7"/>
      <c r="Q131" s="22"/>
      <c r="R131" s="22"/>
      <c r="S131" s="31">
        <f t="shared" si="24"/>
        <v>1</v>
      </c>
      <c r="T131" s="46" t="str">
        <f t="shared" si="25"/>
        <v>NorthBound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 t="shared" si="26"/>
        <v>https://d0f6bd738d7f1b3e5a7ca70fe4ff75f0.us-east-1.aws.found.io/app/kibana#/discover/Steve-Slow-Train-Analysis-(2080s-and-2083s)?_g=(refreshInterval:(display:Off,pause:!f,section:0,value:0),time:(from:'2017-02-02T17:25:32-0700',mode:absolute,to:'2017-02-02T20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1" s="194" t="str">
        <f t="shared" si="27"/>
        <v>N</v>
      </c>
      <c r="X131" s="194">
        <f t="shared" si="28"/>
        <v>1</v>
      </c>
      <c r="Y131" s="62">
        <f t="shared" si="29"/>
        <v>4.58E-2</v>
      </c>
      <c r="Z131" s="62">
        <f t="shared" si="30"/>
        <v>23.337199999999999</v>
      </c>
      <c r="AA131" s="62">
        <f t="shared" si="31"/>
        <v>23.291399999999999</v>
      </c>
      <c r="AB131" s="59" t="str">
        <f>VLOOKUP(A131,Enforcements!$C$7:$K$16,8,0)</f>
        <v>Bulletin (2)</v>
      </c>
      <c r="AC131" s="55" t="str">
        <f>VLOOKUP(A131,Enforcements!$C$7:$E$16,3,0)</f>
        <v>GRADE CROSSING</v>
      </c>
      <c r="AD131" s="56" t="str">
        <f t="shared" si="32"/>
        <v>0219-02</v>
      </c>
      <c r="AE131" s="85" t="str">
        <f t="shared" si="33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31" s="82" t="str">
        <f t="shared" si="34"/>
        <v>"C:\Program Files (x86)\AstroGrep\AstroGrep.exe" /spath="%USERPROFILE%\AppData\Local\Temp\OnboardLogs" /stypes="app*4051*20170203*"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6" t="str">
        <f t="shared" si="36"/>
        <v>"%USERPROFILE%\Documents\GitHub\eaglep3\Utilities\RefineRTDCRunTimes.py" --tripid 219-02 --locoid 4051 --swversion DE.1.0.8.0 --startMP 204:458 --initTime 2017-02-02T18:25:32 --startdatetime 2017-02-02T18:30:12 --delay 1 --endMP 204:233372 --enddatetime 2017-02-02T19:06:31 --enforcementcount 0 &gt;&gt;C:\Users\stu\Documents\GitHub\eaglep3-reporting\EC\2017-02-02-refined-times.txt</v>
      </c>
      <c r="AI13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{"issue":{"subject":"","project_id":79,"tracker_id":40,"status_id":1,"priority_id":2,"assigned_to_id":23,"start_date":"2017-02-02","description":"","custom_fields":[{"id":1,"name":"Subdivision","value":"EC"},{"id":4,"name":"Milepost","value":"23.3372"},{"id":17,"name":"Train ID","value":"219-02"},{"id":16,"name":"Locomotive ID","value":"4051"},{"id":130,"name":"Impact","value":""},{"id":150,"name":"Time of Event (Mountain Time)","value":"19:06:31"},{"id":151,"name":"Denver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60" t="str">
        <f t="shared" si="38"/>
        <v>start /low /b %USERPROFILE%\Documents\GitHub\eaglep3\Utilities\DownloadLogsFromS3.py --loco 4051 --day 2017-02-02</v>
      </c>
      <c r="AN131" s="169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"%USERPROFILE%\AppData\Local\Temp\OnboardLogs"\RTDC4051\*4051*20170203* | grep -SE "(Enforcement Action)|(\[TIMEOUT)|(CHR.+\|PRM\|1\|D.+(SWITCH|SIGNAL).+UNKNOWN)" - &gt;&gt; 2017-02-02-UncaughtWiMAX.txt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460</v>
      </c>
      <c r="B132" s="7">
        <v>4052</v>
      </c>
      <c r="C132" s="21" t="s">
        <v>193</v>
      </c>
      <c r="D132" s="21" t="s">
        <v>735</v>
      </c>
      <c r="E132" s="13">
        <v>42768.80263888889</v>
      </c>
      <c r="F132" s="13">
        <v>42768.809872685182</v>
      </c>
      <c r="G132" s="7">
        <v>2</v>
      </c>
      <c r="H132" s="21" t="s">
        <v>309</v>
      </c>
      <c r="I132" s="13">
        <v>42768.836921296293</v>
      </c>
      <c r="J132" s="7">
        <v>0</v>
      </c>
      <c r="K132" s="98" t="str">
        <f t="shared" si="21"/>
        <v>4051/4052</v>
      </c>
      <c r="L132" s="21" t="str">
        <f>VLOOKUP(A132,'Trips&amp;Operators'!$C$1:$G$99999,5,FALSE)</f>
        <v>HILLS DUSTIN</v>
      </c>
      <c r="M132" s="6">
        <f t="shared" si="22"/>
        <v>2.7048611111240461E-2</v>
      </c>
      <c r="N132" s="7">
        <f t="shared" si="23"/>
        <v>38.950000000186265</v>
      </c>
      <c r="O132" s="7"/>
      <c r="P132" s="7"/>
      <c r="Q132" s="22"/>
      <c r="R132" s="22"/>
      <c r="S132" s="31">
        <f t="shared" si="24"/>
        <v>1</v>
      </c>
      <c r="T132" s="46" t="str">
        <f t="shared" si="25"/>
        <v>Southbound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 t="shared" si="26"/>
        <v>https://d0f6bd738d7f1b3e5a7ca70fe4ff75f0.us-east-1.aws.found.io/app/kibana#/discover/Steve-Slow-Train-Analysis-(2080s-and-2083s)?_g=(refreshInterval:(display:Off,pause:!f,section:0,value:0),time:(from:'2017-02-02T18:15:48-0700',mode:absolute,to:'2017-02-02T21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2" s="194" t="str">
        <f t="shared" si="27"/>
        <v>N</v>
      </c>
      <c r="X132" s="194">
        <f t="shared" si="28"/>
        <v>1</v>
      </c>
      <c r="Y132" s="62">
        <f t="shared" si="29"/>
        <v>23.3094</v>
      </c>
      <c r="Z132" s="62">
        <f t="shared" si="30"/>
        <v>1.3899999999999999E-2</v>
      </c>
      <c r="AA132" s="62">
        <f t="shared" si="31"/>
        <v>23.295500000000001</v>
      </c>
      <c r="AB132" s="59" t="str">
        <f>VLOOKUP(A132,Enforcements!$C$7:$K$16,8,0)</f>
        <v>Speed (6)</v>
      </c>
      <c r="AC132" s="55" t="str">
        <f>VLOOKUP(A132,Enforcements!$C$7:$E$16,3,0)</f>
        <v>PERMANENT SPEED RESTRICTION</v>
      </c>
      <c r="AD132" s="56" t="str">
        <f t="shared" si="32"/>
        <v>0220-02</v>
      </c>
      <c r="AE132" s="85" t="str">
        <f t="shared" si="33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132" s="82" t="str">
        <f t="shared" si="34"/>
        <v>"C:\Program Files (x86)\AstroGrep\AstroGrep.exe" /spath="%USERPROFILE%\AppData\Local\Temp\OnboardLogs" /stypes="app*4052*20170203*" /stext=" 03:.+((SYSTEM_STATE.+slice.+state.+changed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6" t="str">
        <f t="shared" si="36"/>
        <v>"%USERPROFILE%\Documents\GitHub\eaglep3\Utilities\RefineRTDCRunTimes.py" --tripid 220-02 --locoid 4052 --swversion DE.1.0.8.0 --startMP 204:233094 --initTime 2017-02-02T19:15:48 --startdatetime 2017-02-02T19:26:13 --delay 2 --endMP 204:139 --enddatetime 2017-02-02T20:05:10 --enforcementcount 0 &gt;&gt;C:\Users\stu\Documents\GitHub\eaglep3-reporting\EC\2017-02-02-refined-times.txt</v>
      </c>
      <c r="AI132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{"issue":{"subject":"","project_id":79,"tracker_id":40,"status_id":1,"priority_id":2,"assigned_to_id":23,"start_date":"2017-02-02","description":"","custom_fields":[{"id":1,"name":"Subdivision","value":"EC"},{"id":4,"name":"Milepost","value":"0.0139"},{"id":17,"name":"Train ID","value":"220-02"},{"id":16,"name":"Locomotive ID","value":"4052"},{"id":130,"name":"Impact","value":""},{"id":150,"name":"Time of Event (Mountain Time)","value":"20:05:10"},{"id":151,"name":"Denver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60" t="str">
        <f t="shared" si="38"/>
        <v>start /low /b %USERPROFILE%\Documents\GitHub\eaglep3\Utilities\DownloadLogsFromS3.py --loco 4052 --day 2017-02-02</v>
      </c>
      <c r="AN132" s="169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"%USERPROFILE%\AppData\Local\Temp\OnboardLogs"\RTDC4052\*4052*20170203* | grep -SE "(Enforcement Action)|(\[TIMEOUT)|(CHR.+\|PRM\|1\|D.+(SWITCH|SIGNAL).+UNKNOWN)" - &gt;&gt; 2017-02-02-UncaughtWiMAX.txt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647</v>
      </c>
      <c r="B133" s="7">
        <v>4027</v>
      </c>
      <c r="C133" s="21" t="s">
        <v>193</v>
      </c>
      <c r="D133" s="21" t="s">
        <v>209</v>
      </c>
      <c r="E133" s="13">
        <v>42768.788240740738</v>
      </c>
      <c r="F133" s="13">
        <v>42768.791967592595</v>
      </c>
      <c r="G133" s="7">
        <v>1</v>
      </c>
      <c r="H133" s="21" t="s">
        <v>404</v>
      </c>
      <c r="I133" s="13">
        <v>42768.817118055558</v>
      </c>
      <c r="J133" s="7">
        <v>0</v>
      </c>
      <c r="K133" s="98" t="str">
        <f t="shared" si="21"/>
        <v>4027/4028</v>
      </c>
      <c r="L133" s="21" t="str">
        <f>VLOOKUP(A133,'Trips&amp;Operators'!$C$1:$G$99999,5,FALSE)</f>
        <v>CHANDLER KELVIN</v>
      </c>
      <c r="M133" s="6">
        <f t="shared" si="22"/>
        <v>2.5150462963210884E-2</v>
      </c>
      <c r="N133" s="7">
        <f t="shared" si="23"/>
        <v>36.216666667023674</v>
      </c>
      <c r="O133" s="7"/>
      <c r="P133" s="7"/>
      <c r="Q133" s="22"/>
      <c r="R133" s="22"/>
      <c r="S133" s="31">
        <f t="shared" si="24"/>
        <v>1</v>
      </c>
      <c r="T133" s="46" t="str">
        <f t="shared" si="25"/>
        <v>NorthBound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 t="shared" si="26"/>
        <v>https://d0f6bd738d7f1b3e5a7ca70fe4ff75f0.us-east-1.aws.found.io/app/kibana#/discover/Steve-Slow-Train-Analysis-(2080s-and-2083s)?_g=(refreshInterval:(display:Off,pause:!f,section:0,value:0),time:(from:'2017-02-02T17:55:04-0700',mode:absolute,to:'2017-02-02T20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3" s="194" t="str">
        <f t="shared" si="27"/>
        <v>N</v>
      </c>
      <c r="X133" s="194">
        <f t="shared" si="28"/>
        <v>1</v>
      </c>
      <c r="Y133" s="62">
        <f t="shared" si="29"/>
        <v>4.6199999999999998E-2</v>
      </c>
      <c r="Z133" s="62">
        <f t="shared" si="30"/>
        <v>23.3293</v>
      </c>
      <c r="AA133" s="62">
        <f t="shared" si="31"/>
        <v>23.283100000000001</v>
      </c>
      <c r="AB133" s="59" t="e">
        <f>VLOOKUP(A133,Enforcements!$C$7:$K$16,8,0)</f>
        <v>#N/A</v>
      </c>
      <c r="AC133" s="55" t="e">
        <f>VLOOKUP(A133,Enforcements!$C$7:$E$16,3,0)</f>
        <v>#N/A</v>
      </c>
      <c r="AD133" s="56" t="str">
        <f t="shared" si="32"/>
        <v>0221-02</v>
      </c>
      <c r="AE133" s="85" t="str">
        <f t="shared" si="33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33" s="82" t="str">
        <f t="shared" si="34"/>
        <v>"C:\Program Files (x86)\AstroGrep\AstroGrep.exe" /spath="%USERPROFILE%\AppData\Local\Temp\OnboardLogs" /stypes="app*4027*20170203*" /stext=" 02:.+((SYSTEM_STATE.+slice.+state.+changed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6" t="str">
        <f t="shared" si="36"/>
        <v>"%USERPROFILE%\Documents\GitHub\eaglep3\Utilities\RefineRTDCRunTimes.py" --tripid 221-02 --locoid 4027 --swversion DE.1.0.8.0 --startMP 204:462 --initTime 2017-02-02T18:55:04 --startdatetime 2017-02-02T19:00:26 --delay 1 --endMP 204:233293 --enddatetime 2017-02-02T19:36:39 --enforcementcount 0 &gt;&gt;C:\Users\stu\Documents\GitHub\eaglep3-reporting\EC\2017-02-02-refined-times.txt</v>
      </c>
      <c r="AI133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{"issue":{"subject":"","project_id":79,"tracker_id":40,"status_id":1,"priority_id":2,"assigned_to_id":23,"start_date":"2017-02-02","description":"","custom_fields":[{"id":1,"name":"Subdivision","value":"EC"},{"id":4,"name":"Milepost","value":"23.3293"},{"id":17,"name":"Train ID","value":"221-02"},{"id":16,"name":"Locomotive ID","value":"4027"},{"id":130,"name":"Impact","value":""},{"id":150,"name":"Time of Event (Mountain Time)","value":"19:36:39"},{"id":151,"name":"Denver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60" t="str">
        <f t="shared" si="38"/>
        <v>start /low /b %USERPROFILE%\Documents\GitHub\eaglep3\Utilities\DownloadLogsFromS3.py --loco 4027 --day 2017-02-02</v>
      </c>
      <c r="AN133" s="169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"%USERPROFILE%\AppData\Local\Temp\OnboardLogs"\RTDC4027\*4027*20170203* | grep -SE "(Enforcement Action)|(\[TIMEOUT)|(CHR.+\|PRM\|1\|D.+(SWITCH|SIGNAL).+UNKNOWN)" - &gt;&gt; 2017-02-02-UncaughtWiMAX.txt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654</v>
      </c>
      <c r="B134" s="7">
        <v>4028</v>
      </c>
      <c r="C134" s="21" t="s">
        <v>193</v>
      </c>
      <c r="D134" s="21" t="s">
        <v>318</v>
      </c>
      <c r="E134" s="13">
        <v>42768.828009259261</v>
      </c>
      <c r="F134" s="13">
        <v>42768.830810185187</v>
      </c>
      <c r="G134" s="7">
        <v>0</v>
      </c>
      <c r="H134" s="21" t="s">
        <v>213</v>
      </c>
      <c r="I134" s="13">
        <v>42768.858136574076</v>
      </c>
      <c r="J134" s="7">
        <v>0</v>
      </c>
      <c r="K134" s="98" t="str">
        <f t="shared" si="21"/>
        <v>4027/4028</v>
      </c>
      <c r="L134" s="21" t="str">
        <f>VLOOKUP(A134,'Trips&amp;Operators'!$C$1:$G$99999,5,FALSE)</f>
        <v>CHANDLER KELVIN</v>
      </c>
      <c r="M134" s="6">
        <f t="shared" si="22"/>
        <v>2.73263888884685E-2</v>
      </c>
      <c r="N134" s="7">
        <f t="shared" si="23"/>
        <v>39.34999999939464</v>
      </c>
      <c r="O134" s="7"/>
      <c r="P134" s="7"/>
      <c r="Q134" s="22"/>
      <c r="R134" s="22"/>
      <c r="S134" s="31">
        <f t="shared" si="24"/>
        <v>1</v>
      </c>
      <c r="T134" s="46" t="str">
        <f t="shared" si="25"/>
        <v>Southbound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 t="shared" si="26"/>
        <v>https://d0f6bd738d7f1b3e5a7ca70fe4ff75f0.us-east-1.aws.found.io/app/kibana#/discover/Steve-Slow-Train-Analysis-(2080s-and-2083s)?_g=(refreshInterval:(display:Off,pause:!f,section:0,value:0),time:(from:'2017-02-02T18:52:20-0700',mode:absolute,to:'2017-02-02T21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4" s="194" t="str">
        <f t="shared" si="27"/>
        <v>N</v>
      </c>
      <c r="X134" s="194">
        <f t="shared" si="28"/>
        <v>1</v>
      </c>
      <c r="Y134" s="62">
        <f t="shared" si="29"/>
        <v>23.297599999999999</v>
      </c>
      <c r="Z134" s="62">
        <f t="shared" si="30"/>
        <v>1.5800000000000002E-2</v>
      </c>
      <c r="AA134" s="62">
        <f t="shared" si="31"/>
        <v>23.2818</v>
      </c>
      <c r="AB134" s="59" t="e">
        <f>VLOOKUP(A134,Enforcements!$C$7:$K$16,8,0)</f>
        <v>#N/A</v>
      </c>
      <c r="AC134" s="55" t="e">
        <f>VLOOKUP(A134,Enforcements!$C$7:$E$16,3,0)</f>
        <v>#N/A</v>
      </c>
      <c r="AD134" s="56" t="str">
        <f t="shared" si="32"/>
        <v>0222-02</v>
      </c>
      <c r="AE134" s="85" t="str">
        <f t="shared" si="33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134" s="82" t="str">
        <f t="shared" si="34"/>
        <v>"C:\Program Files (x86)\AstroGrep\AstroGrep.exe" /spath="%USERPROFILE%\AppData\Local\Temp\OnboardLogs" /stypes="app*4028*20170203*"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6" t="str">
        <f t="shared" si="36"/>
        <v>"%USERPROFILE%\Documents\GitHub\eaglep3\Utilities\RefineRTDCRunTimes.py" --tripid 222-02 --locoid 4028 --swversion DE.1.0.8.0 --startMP 204:232976 --initTime 2017-02-02T19:52:20 --startdatetime 2017-02-02T19:56:22 --delay 0 --endMP 204:158 --enddatetime 2017-02-02T20:35:43 --enforcementcount 0 &gt;&gt;C:\Users\stu\Documents\GitHub\eaglep3-reporting\EC\2017-02-02-refined-times.txt</v>
      </c>
      <c r="AI134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{"issue":{"subject":"","project_id":79,"tracker_id":40,"status_id":1,"priority_id":2,"assigned_to_id":23,"start_date":"2017-02-02","description":"","custom_fields":[{"id":1,"name":"Subdivision","value":"EC"},{"id":4,"name":"Milepost","value":"0.0158"},{"id":17,"name":"Train ID","value":"222-02"},{"id":16,"name":"Locomotive ID","value":"4028"},{"id":130,"name":"Impact","value":""},{"id":150,"name":"Time of Event (Mountain Time)","value":"20:35:43"},{"id":151,"name":"Denver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60" t="str">
        <f t="shared" si="38"/>
        <v>start /low /b %USERPROFILE%\Documents\GitHub\eaglep3\Utilities\DownloadLogsFromS3.py --loco 4028 --day 2017-02-02</v>
      </c>
      <c r="AN134" s="169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"%USERPROFILE%\AppData\Local\Temp\OnboardLogs"\RTDC4028\*4028*20170203* | grep -SE "(Enforcement Action)|(\[TIMEOUT)|(CHR.+\|PRM\|1\|D.+(SWITCH|SIGNAL).+UNKNOWN)" - &gt;&gt; 2017-02-02-UncaughtWiMAX.txt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651</v>
      </c>
      <c r="B135" s="7">
        <v>4016</v>
      </c>
      <c r="C135" s="21" t="s">
        <v>193</v>
      </c>
      <c r="D135" s="21" t="s">
        <v>736</v>
      </c>
      <c r="E135" s="13">
        <v>42768.806759259256</v>
      </c>
      <c r="F135" s="13">
        <v>42768.812662037039</v>
      </c>
      <c r="G135" s="7">
        <v>1</v>
      </c>
      <c r="H135" s="21" t="s">
        <v>737</v>
      </c>
      <c r="I135" s="13">
        <v>42768.83699074074</v>
      </c>
      <c r="J135" s="7">
        <v>0</v>
      </c>
      <c r="K135" s="98" t="str">
        <f t="shared" si="21"/>
        <v>4015/4016</v>
      </c>
      <c r="L135" s="21" t="str">
        <f>VLOOKUP(A135,'Trips&amp;Operators'!$C$1:$G$99999,5,FALSE)</f>
        <v>NEWELL JAMES</v>
      </c>
      <c r="M135" s="6">
        <f t="shared" si="22"/>
        <v>2.4328703701030463E-2</v>
      </c>
      <c r="N135" s="7">
        <f t="shared" si="23"/>
        <v>35.033333329483867</v>
      </c>
      <c r="O135" s="7"/>
      <c r="P135" s="7"/>
      <c r="Q135" s="22"/>
      <c r="R135" s="22"/>
      <c r="S135" s="31">
        <f t="shared" si="24"/>
        <v>1</v>
      </c>
      <c r="T135" s="46" t="str">
        <f t="shared" si="25"/>
        <v>NorthBound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 t="shared" si="26"/>
        <v>https://d0f6bd738d7f1b3e5a7ca70fe4ff75f0.us-east-1.aws.found.io/app/kibana#/discover/Steve-Slow-Train-Analysis-(2080s-and-2083s)?_g=(refreshInterval:(display:Off,pause:!f,section:0,value:0),time:(from:'2017-02-02T18:21:44-0700',mode:absolute,to:'2017-02-02T21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5" s="194" t="str">
        <f t="shared" si="27"/>
        <v>N</v>
      </c>
      <c r="X135" s="194">
        <f t="shared" si="28"/>
        <v>1</v>
      </c>
      <c r="Y135" s="62">
        <f t="shared" si="29"/>
        <v>4.8800000000000003E-2</v>
      </c>
      <c r="Z135" s="62">
        <f t="shared" si="30"/>
        <v>23.331399999999999</v>
      </c>
      <c r="AA135" s="62">
        <f t="shared" si="31"/>
        <v>23.282599999999999</v>
      </c>
      <c r="AB135" s="59" t="e">
        <f>VLOOKUP(A135,Enforcements!$C$7:$K$16,8,0)</f>
        <v>#N/A</v>
      </c>
      <c r="AC135" s="55" t="e">
        <f>VLOOKUP(A135,Enforcements!$C$7:$E$16,3,0)</f>
        <v>#N/A</v>
      </c>
      <c r="AD135" s="56" t="str">
        <f t="shared" si="32"/>
        <v>0223-02</v>
      </c>
      <c r="AE135" s="85" t="str">
        <f t="shared" si="33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135" s="82" t="str">
        <f t="shared" si="34"/>
        <v>"C:\Program Files (x86)\AstroGrep\AstroGrep.exe" /spath="%USERPROFILE%\AppData\Local\Temp\OnboardLogs" /stypes="app*4016*20170203*"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6" t="str">
        <f t="shared" si="36"/>
        <v>"%USERPROFILE%\Documents\GitHub\eaglep3\Utilities\RefineRTDCRunTimes.py" --tripid 223-02 --locoid 4016 --swversion DE.1.0.8.0 --startMP 204:488 --initTime 2017-02-02T19:21:44 --startdatetime 2017-02-02T19:30:14 --delay 1 --endMP 204:233314 --enddatetime 2017-02-02T20:05:16 --enforcementcount 0 &gt;&gt;C:\Users\stu\Documents\GitHub\eaglep3-reporting\EC\2017-02-02-refined-times.txt</v>
      </c>
      <c r="AI135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{"issue":{"subject":"","project_id":79,"tracker_id":40,"status_id":1,"priority_id":2,"assigned_to_id":23,"start_date":"2017-02-02","description":"","custom_fields":[{"id":1,"name":"Subdivision","value":"EC"},{"id":4,"name":"Milepost","value":"23.3314"},{"id":17,"name":"Train ID","value":"223-02"},{"id":16,"name":"Locomotive ID","value":"4016"},{"id":130,"name":"Impact","value":""},{"id":150,"name":"Time of Event (Mountain Time)","value":"20:05:16"},{"id":151,"name":"Denver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60" t="str">
        <f t="shared" si="38"/>
        <v>start /low /b %USERPROFILE%\Documents\GitHub\eaglep3\Utilities\DownloadLogsFromS3.py --loco 4016 --day 2017-02-02</v>
      </c>
      <c r="AN135" s="169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"%USERPROFILE%\AppData\Local\Temp\OnboardLogs"\RTDC4016\*4016*20170203* | grep -SE "(Enforcement Action)|(\[TIMEOUT)|(CHR.+\|PRM\|1\|D.+(SWITCH|SIGNAL).+UNKNOWN)" - &gt;&gt; 2017-02-02-UncaughtWiMAX.txt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656</v>
      </c>
      <c r="B136" s="7">
        <v>4015</v>
      </c>
      <c r="C136" s="21" t="s">
        <v>193</v>
      </c>
      <c r="D136" s="21" t="s">
        <v>310</v>
      </c>
      <c r="E136" s="13">
        <v>42768.849583333336</v>
      </c>
      <c r="F136" s="13">
        <v>42768.851550925923</v>
      </c>
      <c r="G136" s="7">
        <v>1</v>
      </c>
      <c r="H136" s="21" t="s">
        <v>709</v>
      </c>
      <c r="I136" s="13">
        <v>42768.880393518521</v>
      </c>
      <c r="J136" s="7">
        <v>0</v>
      </c>
      <c r="K136" s="98" t="str">
        <f t="shared" si="21"/>
        <v>4015/4016</v>
      </c>
      <c r="L136" s="21" t="str">
        <f>VLOOKUP(A136,'Trips&amp;Operators'!$C$1:$G$99999,5,FALSE)</f>
        <v>MCREYNOLDS KYLE</v>
      </c>
      <c r="M136" s="6">
        <f t="shared" si="22"/>
        <v>2.8842592597356997E-2</v>
      </c>
      <c r="N136" s="7">
        <f t="shared" si="23"/>
        <v>41.533333340194076</v>
      </c>
      <c r="O136" s="7"/>
      <c r="P136" s="7"/>
      <c r="Q136" s="22"/>
      <c r="R136" s="22"/>
      <c r="S136" s="31">
        <f t="shared" si="24"/>
        <v>1</v>
      </c>
      <c r="T136" s="46" t="str">
        <f t="shared" si="25"/>
        <v>Southbound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 t="shared" si="26"/>
        <v>https://d0f6bd738d7f1b3e5a7ca70fe4ff75f0.us-east-1.aws.found.io/app/kibana#/discover/Steve-Slow-Train-Analysis-(2080s-and-2083s)?_g=(refreshInterval:(display:Off,pause:!f,section:0,value:0),time:(from:'2017-02-02T19:23:24-0700',mode:absolute,to:'2017-02-02T22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6" s="194" t="str">
        <f t="shared" si="27"/>
        <v>N</v>
      </c>
      <c r="X136" s="194">
        <f t="shared" si="28"/>
        <v>1</v>
      </c>
      <c r="Y136" s="62">
        <f t="shared" si="29"/>
        <v>23.299800000000001</v>
      </c>
      <c r="Z136" s="62">
        <f t="shared" si="30"/>
        <v>1.6899999999999998E-2</v>
      </c>
      <c r="AA136" s="62">
        <f t="shared" si="31"/>
        <v>23.282900000000001</v>
      </c>
      <c r="AB136" s="59" t="e">
        <f>VLOOKUP(A136,Enforcements!$C$7:$K$16,8,0)</f>
        <v>#N/A</v>
      </c>
      <c r="AC136" s="55" t="e">
        <f>VLOOKUP(A136,Enforcements!$C$7:$E$16,3,0)</f>
        <v>#N/A</v>
      </c>
      <c r="AD136" s="56" t="str">
        <f t="shared" si="32"/>
        <v>0224-02</v>
      </c>
      <c r="AE136" s="85" t="str">
        <f t="shared" si="33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136" s="82" t="str">
        <f t="shared" si="34"/>
        <v>"C:\Program Files (x86)\AstroGrep\AstroGrep.exe" /spath="%USERPROFILE%\AppData\Local\Temp\OnboardLogs" /stypes="app*4015*20170203*" /stext=" 04:.+((SYSTEM_STATE.+slice.+state.+changed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6" t="str">
        <f t="shared" si="36"/>
        <v>"%USERPROFILE%\Documents\GitHub\eaglep3\Utilities\RefineRTDCRunTimes.py" --tripid 224-02 --locoid 4015 --swversion DE.1.0.8.0 --startMP 204:232998 --initTime 2017-02-02T20:23:24 --startdatetime 2017-02-02T20:26:14 --delay 1 --endMP 204:169 --enddatetime 2017-02-02T21:07:46 --enforcementcount 0 &gt;&gt;C:\Users\stu\Documents\GitHub\eaglep3-reporting\EC\2017-02-02-refined-times.txt</v>
      </c>
      <c r="AI136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{"issue":{"subject":"","project_id":79,"tracker_id":40,"status_id":1,"priority_id":2,"assigned_to_id":23,"start_date":"2017-02-02","description":"","custom_fields":[{"id":1,"name":"Subdivision","value":"EC"},{"id":4,"name":"Milepost","value":"0.0169"},{"id":17,"name":"Train ID","value":"224-02"},{"id":16,"name":"Locomotive ID","value":"4015"},{"id":130,"name":"Impact","value":""},{"id":150,"name":"Time of Event (Mountain Time)","value":"21:07:46"},{"id":151,"name":"Denver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60" t="str">
        <f t="shared" si="38"/>
        <v>start /low /b %USERPROFILE%\Documents\GitHub\eaglep3\Utilities\DownloadLogsFromS3.py --loco 4015 --day 2017-02-02</v>
      </c>
      <c r="AN136" s="169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"%USERPROFILE%\AppData\Local\Temp\OnboardLogs"\RTDC4015\*4015*20170203* | grep -SE "(Enforcement Action)|(\[TIMEOUT)|(CHR.+\|PRM\|1\|D.+(SWITCH|SIGNAL).+UNKNOWN)" - &gt;&gt; 2017-02-02-UncaughtWiMAX.txt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462</v>
      </c>
      <c r="B137" s="7">
        <v>4011</v>
      </c>
      <c r="C137" s="21" t="s">
        <v>193</v>
      </c>
      <c r="D137" s="21" t="s">
        <v>293</v>
      </c>
      <c r="E137" s="13">
        <v>42768.828055555554</v>
      </c>
      <c r="F137" s="13">
        <v>42768.833611111113</v>
      </c>
      <c r="G137" s="7">
        <v>1</v>
      </c>
      <c r="H137" s="21" t="s">
        <v>396</v>
      </c>
      <c r="I137" s="13">
        <v>42768.860405092593</v>
      </c>
      <c r="J137" s="7">
        <v>0</v>
      </c>
      <c r="K137" s="98" t="str">
        <f t="shared" si="21"/>
        <v>4011/4012</v>
      </c>
      <c r="L137" s="21" t="str">
        <f>VLOOKUP(A137,'Trips&amp;Operators'!$C$1:$G$99999,5,FALSE)</f>
        <v>MACDONALD THOMAS</v>
      </c>
      <c r="M137" s="6">
        <f t="shared" si="22"/>
        <v>2.679398148029577E-2</v>
      </c>
      <c r="N137" s="7">
        <f t="shared" si="23"/>
        <v>38.583333331625909</v>
      </c>
      <c r="O137" s="7"/>
      <c r="P137" s="7"/>
      <c r="Q137" s="22"/>
      <c r="R137" s="22"/>
      <c r="S137" s="31">
        <f t="shared" si="24"/>
        <v>1</v>
      </c>
      <c r="T137" s="46" t="str">
        <f t="shared" si="25"/>
        <v>NorthBound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 t="shared" si="26"/>
        <v>https://d0f6bd738d7f1b3e5a7ca70fe4ff75f0.us-east-1.aws.found.io/app/kibana#/discover/Steve-Slow-Train-Analysis-(2080s-and-2083s)?_g=(refreshInterval:(display:Off,pause:!f,section:0,value:0),time:(from:'2017-02-02T18:52:24-0700',mode:absolute,to:'2017-02-02T21:38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7" s="194" t="str">
        <f t="shared" si="27"/>
        <v>N</v>
      </c>
      <c r="X137" s="194">
        <f t="shared" si="28"/>
        <v>1</v>
      </c>
      <c r="Y137" s="62">
        <f t="shared" si="29"/>
        <v>4.5499999999999999E-2</v>
      </c>
      <c r="Z137" s="62">
        <f t="shared" si="30"/>
        <v>23.330200000000001</v>
      </c>
      <c r="AA137" s="62">
        <f t="shared" si="31"/>
        <v>23.284700000000001</v>
      </c>
      <c r="AB137" s="59" t="str">
        <f>VLOOKUP(A137,Enforcements!$C$7:$K$16,8,0)</f>
        <v>Bulletin (2)</v>
      </c>
      <c r="AC137" s="55" t="str">
        <f>VLOOKUP(A137,Enforcements!$C$7:$E$16,3,0)</f>
        <v>GRADE CROSSING</v>
      </c>
      <c r="AD137" s="56" t="str">
        <f t="shared" si="32"/>
        <v>0225-02</v>
      </c>
      <c r="AE137" s="85" t="str">
        <f t="shared" si="33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37" s="82" t="str">
        <f t="shared" si="34"/>
        <v>"C:\Program Files (x86)\AstroGrep\AstroGrep.exe" /spath="%USERPROFILE%\AppData\Local\Temp\OnboardLogs" /stypes="app*4011*20170203*" /stext=" 03:.+((SYSTEM_STATE.+slice.+state.+changed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6" t="str">
        <f t="shared" si="36"/>
        <v>"%USERPROFILE%\Documents\GitHub\eaglep3\Utilities\RefineRTDCRunTimes.py" --tripid 225-02 --locoid 4011 --swversion DE.1.0.8.0 --startMP 204:455 --initTime 2017-02-02T19:52:24 --startdatetime 2017-02-02T20:00:24 --delay 1 --endMP 204:233302 --enddatetime 2017-02-02T20:38:59 --enforcementcount 0 &gt;&gt;C:\Users\stu\Documents\GitHub\eaglep3-reporting\EC\2017-02-02-refined-times.txt</v>
      </c>
      <c r="AI137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{"issue":{"subject":"","project_id":79,"tracker_id":40,"status_id":1,"priority_id":2,"assigned_to_id":23,"start_date":"2017-02-02","description":"","custom_fields":[{"id":1,"name":"Subdivision","value":"EC"},{"id":4,"name":"Milepost","value":"23.3302"},{"id":17,"name":"Train ID","value":"225-02"},{"id":16,"name":"Locomotive ID","value":"4011"},{"id":130,"name":"Impact","value":""},{"id":150,"name":"Time of Event (Mountain Time)","value":"20:38:59"},{"id":151,"name":"Denver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60" t="str">
        <f t="shared" si="38"/>
        <v>start /low /b %USERPROFILE%\Documents\GitHub\eaglep3\Utilities\DownloadLogsFromS3.py --loco 4011 --day 2017-02-02</v>
      </c>
      <c r="AN137" s="169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"%USERPROFILE%\AppData\Local\Temp\OnboardLogs"\RTDC4011\*4011*20170203* | grep -SE "(Enforcement Action)|(\[TIMEOUT)|(CHR.+\|PRM\|1\|D.+(SWITCH|SIGNAL).+UNKNOWN)" - &gt;&gt; 2017-02-02-UncaughtWiMAX.txt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660</v>
      </c>
      <c r="B138" s="7">
        <v>4012</v>
      </c>
      <c r="C138" s="21" t="s">
        <v>193</v>
      </c>
      <c r="D138" s="21" t="s">
        <v>397</v>
      </c>
      <c r="E138" s="13">
        <v>42768.869328703702</v>
      </c>
      <c r="F138" s="13">
        <v>42768.872511574074</v>
      </c>
      <c r="G138" s="7">
        <v>1</v>
      </c>
      <c r="H138" s="21" t="s">
        <v>312</v>
      </c>
      <c r="I138" s="13">
        <v>42768.899942129632</v>
      </c>
      <c r="J138" s="7">
        <v>0</v>
      </c>
      <c r="K138" s="98" t="str">
        <f t="shared" si="21"/>
        <v>4011/4012</v>
      </c>
      <c r="L138" s="21" t="str">
        <f>VLOOKUP(A138,'Trips&amp;Operators'!$C$1:$G$99999,5,FALSE)</f>
        <v>MACDONALD THOMAS</v>
      </c>
      <c r="M138" s="6">
        <f t="shared" si="22"/>
        <v>2.7430555557657499E-2</v>
      </c>
      <c r="N138" s="7">
        <f t="shared" si="23"/>
        <v>39.500000003026798</v>
      </c>
      <c r="O138" s="7"/>
      <c r="P138" s="7"/>
      <c r="Q138" s="22"/>
      <c r="R138" s="22"/>
      <c r="S138" s="31">
        <f t="shared" si="24"/>
        <v>1</v>
      </c>
      <c r="T138" s="46" t="str">
        <f t="shared" si="25"/>
        <v>Southbound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 t="shared" si="26"/>
        <v>https://d0f6bd738d7f1b3e5a7ca70fe4ff75f0.us-east-1.aws.found.io/app/kibana#/discover/Steve-Slow-Train-Analysis-(2080s-and-2083s)?_g=(refreshInterval:(display:Off,pause:!f,section:0,value:0),time:(from:'2017-02-02T19:51:50-0700',mode:absolute,to:'2017-02-02T22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194" t="str">
        <f t="shared" si="27"/>
        <v>N</v>
      </c>
      <c r="X138" s="194">
        <f t="shared" si="28"/>
        <v>1</v>
      </c>
      <c r="Y138" s="62">
        <f t="shared" si="29"/>
        <v>23.299099999999999</v>
      </c>
      <c r="Z138" s="62">
        <f t="shared" si="30"/>
        <v>1.7000000000000001E-2</v>
      </c>
      <c r="AA138" s="62">
        <f t="shared" si="31"/>
        <v>23.2821</v>
      </c>
      <c r="AB138" s="59" t="e">
        <f>VLOOKUP(A138,Enforcements!$C$7:$K$16,8,0)</f>
        <v>#N/A</v>
      </c>
      <c r="AC138" s="55" t="e">
        <f>VLOOKUP(A138,Enforcements!$C$7:$E$16,3,0)</f>
        <v>#N/A</v>
      </c>
      <c r="AD138" s="56" t="str">
        <f t="shared" si="32"/>
        <v>0226-02</v>
      </c>
      <c r="AE138" s="85" t="str">
        <f t="shared" si="33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138" s="82" t="str">
        <f t="shared" si="34"/>
        <v>"C:\Program Files (x86)\AstroGrep\AstroGrep.exe" /spath="%USERPROFILE%\AppData\Local\Temp\OnboardLogs" /stypes="app*4012*20170203*" /stext=" 04:.+((SYSTEM_STATE.+slice.+state.+changed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6" t="str">
        <f t="shared" si="36"/>
        <v>"%USERPROFILE%\Documents\GitHub\eaglep3\Utilities\RefineRTDCRunTimes.py" --tripid 226-02 --locoid 4012 --swversion DE.1.0.8.0 --startMP 204:232991 --initTime 2017-02-02T20:51:50 --startdatetime 2017-02-02T20:56:25 --delay 1 --endMP 204:170 --enddatetime 2017-02-02T21:35:55 --enforcementcount 0 &gt;&gt;C:\Users\stu\Documents\GitHub\eaglep3-reporting\EC\2017-02-02-refined-times.txt</v>
      </c>
      <c r="AI138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{"issue":{"subject":"","project_id":79,"tracker_id":40,"status_id":1,"priority_id":2,"assigned_to_id":23,"start_date":"2017-02-02","description":"","custom_fields":[{"id":1,"name":"Subdivision","value":"EC"},{"id":4,"name":"Milepost","value":"0.017"},{"id":17,"name":"Train ID","value":"226-02"},{"id":16,"name":"Locomotive ID","value":"4012"},{"id":130,"name":"Impact","value":""},{"id":150,"name":"Time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60" t="str">
        <f t="shared" si="38"/>
        <v>start /low /b %USERPROFILE%\Documents\GitHub\eaglep3\Utilities\DownloadLogsFromS3.py --loco 4012 --day 2017-02-02</v>
      </c>
      <c r="AN138" s="169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"%USERPROFILE%\AppData\Local\Temp\OnboardLogs"\RTDC4012\*4012*20170203* | grep -SE "(Enforcement Action)|(\[TIMEOUT)|(CHR.+\|PRM\|1\|D.+(SWITCH|SIGNAL).+UNKNOWN)" - &gt;&gt; 2017-02-02-UncaughtWiMAX.txt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463</v>
      </c>
      <c r="B139" s="7">
        <v>4051</v>
      </c>
      <c r="C139" s="21" t="s">
        <v>193</v>
      </c>
      <c r="D139" s="21" t="s">
        <v>226</v>
      </c>
      <c r="E139" s="13">
        <v>42768.841608796298</v>
      </c>
      <c r="F139" s="13">
        <v>42768.85428240741</v>
      </c>
      <c r="G139" s="7">
        <v>3</v>
      </c>
      <c r="H139" s="21" t="s">
        <v>738</v>
      </c>
      <c r="I139" s="13">
        <v>42768.878495370373</v>
      </c>
      <c r="J139" s="7">
        <v>0</v>
      </c>
      <c r="K139" s="98" t="str">
        <f t="shared" si="21"/>
        <v>4051/4052</v>
      </c>
      <c r="L139" s="21" t="str">
        <f>VLOOKUP(A139,'Trips&amp;Operators'!$C$1:$G$99999,5,FALSE)</f>
        <v>HILLS DUSTIN</v>
      </c>
      <c r="M139" s="6">
        <f t="shared" si="22"/>
        <v>2.421296296233777E-2</v>
      </c>
      <c r="N139" s="7">
        <f t="shared" si="23"/>
        <v>34.866666665766388</v>
      </c>
      <c r="O139" s="7"/>
      <c r="P139" s="7"/>
      <c r="Q139" s="22"/>
      <c r="R139" s="22"/>
      <c r="S139" s="31">
        <f t="shared" si="24"/>
        <v>1</v>
      </c>
      <c r="T139" s="46" t="str">
        <f t="shared" si="25"/>
        <v>NorthBound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 t="shared" si="26"/>
        <v>https://d0f6bd738d7f1b3e5a7ca70fe4ff75f0.us-east-1.aws.found.io/app/kibana#/discover/Steve-Slow-Train-Analysis-(2080s-and-2083s)?_g=(refreshInterval:(display:Off,pause:!f,section:0,value:0),time:(from:'2017-02-02T19:11:55-0700',mode:absolute,to:'2017-02-02T22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9" s="194" t="str">
        <f t="shared" si="27"/>
        <v>N</v>
      </c>
      <c r="X139" s="194">
        <f t="shared" si="28"/>
        <v>1</v>
      </c>
      <c r="Y139" s="62">
        <f t="shared" si="29"/>
        <v>4.58E-2</v>
      </c>
      <c r="Z139" s="62">
        <f t="shared" si="30"/>
        <v>23.337800000000001</v>
      </c>
      <c r="AA139" s="62">
        <f t="shared" si="31"/>
        <v>23.292000000000002</v>
      </c>
      <c r="AB139" s="59" t="str">
        <f>VLOOKUP(A139,Enforcements!$C$7:$K$16,8,0)</f>
        <v>Speed (6)</v>
      </c>
      <c r="AC139" s="55" t="str">
        <f>VLOOKUP(A139,Enforcements!$C$7:$E$16,3,0)</f>
        <v>PERMANENT SPEED RESTRICTION</v>
      </c>
      <c r="AD139" s="56" t="str">
        <f t="shared" si="32"/>
        <v>0227-02</v>
      </c>
      <c r="AE139" s="85" t="str">
        <f t="shared" si="33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39" s="82" t="str">
        <f t="shared" si="34"/>
        <v>"C:\Program Files (x86)\AstroGrep\AstroGrep.exe" /spath="%USERPROFILE%\AppData\Local\Temp\OnboardLogs" /stypes="app*4051*20170203*"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6" t="str">
        <f t="shared" si="36"/>
        <v>"%USERPROFILE%\Documents\GitHub\eaglep3\Utilities\RefineRTDCRunTimes.py" --tripid 227-02 --locoid 4051 --swversion DE.1.0.8.0 --startMP 204:458 --initTime 2017-02-02T20:11:55 --startdatetime 2017-02-02T20:30:10 --delay 3 --endMP 204:233378 --enddatetime 2017-02-02T21:05:02 --enforcementcount 0 &gt;&gt;C:\Users\stu\Documents\GitHub\eaglep3-reporting\EC\2017-02-02-refined-times.txt</v>
      </c>
      <c r="AI139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{"issue":{"subject":"","project_id":79,"tracker_id":40,"status_id":1,"priority_id":2,"assigned_to_id":23,"start_date":"2017-02-02","description":"","custom_fields":[{"id":1,"name":"Subdivision","value":"EC"},{"id":4,"name":"Milepost","value":"23.3378"},{"id":17,"name":"Train ID","value":"227-02"},{"id":16,"name":"Locomotive ID","value":"4051"},{"id":130,"name":"Impact","value":""},{"id":150,"name":"Time of Event (Mountain Time)","value":"21:05:02"},{"id":151,"name":"Denver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60" t="str">
        <f t="shared" si="38"/>
        <v>start /low /b %USERPROFILE%\Documents\GitHub\eaglep3\Utilities\DownloadLogsFromS3.py --loco 4051 --day 2017-02-02</v>
      </c>
      <c r="AN139" s="169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"%USERPROFILE%\AppData\Local\Temp\OnboardLogs"\RTDC4051\*4051*20170203* | grep -SE "(Enforcement Action)|(\[TIMEOUT)|(CHR.+\|PRM\|1\|D.+(SWITCH|SIGNAL).+UNKNOWN)" - &gt;&gt; 2017-02-02-UncaughtWiMAX.txt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466</v>
      </c>
      <c r="B140" s="7">
        <v>4052</v>
      </c>
      <c r="C140" s="21" t="s">
        <v>193</v>
      </c>
      <c r="D140" s="21" t="s">
        <v>735</v>
      </c>
      <c r="E140" s="13">
        <v>42768.881006944444</v>
      </c>
      <c r="F140" s="13">
        <v>42768.893240740741</v>
      </c>
      <c r="G140" s="7">
        <v>1</v>
      </c>
      <c r="H140" s="21" t="s">
        <v>739</v>
      </c>
      <c r="I140" s="13">
        <v>42768.918993055559</v>
      </c>
      <c r="J140" s="7">
        <v>0</v>
      </c>
      <c r="K140" s="98" t="str">
        <f t="shared" si="21"/>
        <v>4051/4052</v>
      </c>
      <c r="L140" s="21" t="str">
        <f>VLOOKUP(A140,'Trips&amp;Operators'!$C$1:$G$99999,5,FALSE)</f>
        <v>HILLS DUSTIN</v>
      </c>
      <c r="M140" s="6">
        <f t="shared" si="22"/>
        <v>2.5752314817509614E-2</v>
      </c>
      <c r="N140" s="7">
        <f t="shared" si="23"/>
        <v>37.083333337213844</v>
      </c>
      <c r="O140" s="7"/>
      <c r="P140" s="7"/>
      <c r="Q140" s="22"/>
      <c r="R140" s="22"/>
      <c r="S140" s="31">
        <f t="shared" si="24"/>
        <v>1</v>
      </c>
      <c r="T140" s="46" t="str">
        <f t="shared" si="25"/>
        <v>Southbound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 t="shared" si="26"/>
        <v>https://d0f6bd738d7f1b3e5a7ca70fe4ff75f0.us-east-1.aws.found.io/app/kibana#/discover/Steve-Slow-Train-Analysis-(2080s-and-2083s)?_g=(refreshInterval:(display:Off,pause:!f,section:0,value:0),time:(from:'2017-02-02T20:08:39-0700',mode:absolute,to:'2017-02-02T23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0" s="194" t="str">
        <f t="shared" si="27"/>
        <v>N</v>
      </c>
      <c r="X140" s="194">
        <f t="shared" si="28"/>
        <v>1</v>
      </c>
      <c r="Y140" s="62">
        <f t="shared" si="29"/>
        <v>23.3094</v>
      </c>
      <c r="Z140" s="62">
        <f t="shared" si="30"/>
        <v>1.1900000000000001E-2</v>
      </c>
      <c r="AA140" s="62">
        <f t="shared" si="31"/>
        <v>23.297499999999999</v>
      </c>
      <c r="AB140" s="59" t="e">
        <f>VLOOKUP(A140,Enforcements!$C$7:$K$16,8,0)</f>
        <v>#N/A</v>
      </c>
      <c r="AC140" s="55" t="e">
        <f>VLOOKUP(A140,Enforcements!$C$7:$E$16,3,0)</f>
        <v>#N/A</v>
      </c>
      <c r="AD140" s="56" t="str">
        <f t="shared" si="32"/>
        <v>0228-02</v>
      </c>
      <c r="AE140" s="85" t="str">
        <f t="shared" si="33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140" s="82" t="str">
        <f t="shared" si="34"/>
        <v>"C:\Program Files (x86)\AstroGrep\AstroGrep.exe" /spath="%USERPROFILE%\AppData\Local\Temp\OnboardLogs" /stypes="app*4052*20170203*" /stext=" 05:.+((SYSTEM_STATE.+slice.+state.+changed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6" t="str">
        <f t="shared" si="36"/>
        <v>"%USERPROFILE%\Documents\GitHub\eaglep3\Utilities\RefineRTDCRunTimes.py" --tripid 228-02 --locoid 4052 --swversion DE.1.0.8.0 --startMP 204:233094 --initTime 2017-02-02T21:08:39 --startdatetime 2017-02-02T21:26:16 --delay 1 --endMP 204:119 --enddatetime 2017-02-02T22:03:21 --enforcementcount 0 &gt;&gt;C:\Users\stu\Documents\GitHub\eaglep3-reporting\EC\2017-02-02-refined-times.txt</v>
      </c>
      <c r="AI140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{"issue":{"subject":"","project_id":79,"tracker_id":40,"status_id":1,"priority_id":2,"assigned_to_id":23,"start_date":"2017-02-02","description":"","custom_fields":[{"id":1,"name":"Subdivision","value":"EC"},{"id":4,"name":"Milepost","value":"0.0119"},{"id":17,"name":"Train ID","value":"228-02"},{"id":16,"name":"Locomotive ID","value":"4052"},{"id":130,"name":"Impact","value":""},{"id":150,"name":"Time of Event (Mountain Time)","value":"22:03:21"},{"id":151,"name":"Denver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60" t="str">
        <f t="shared" si="38"/>
        <v>start /low /b %USERPROFILE%\Documents\GitHub\eaglep3\Utilities\DownloadLogsFromS3.py --loco 4052 --day 2017-02-02</v>
      </c>
      <c r="AN140" s="169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"%USERPROFILE%\AppData\Local\Temp\OnboardLogs"\RTDC4052\*4052*20170203* | grep -SE "(Enforcement Action)|(\[TIMEOUT)|(CHR.+\|PRM\|1\|D.+(SWITCH|SIGNAL).+UNKNOWN)" - &gt;&gt; 2017-02-02-UncaughtWiMAX.txt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661</v>
      </c>
      <c r="B141" s="7">
        <v>4027</v>
      </c>
      <c r="C141" s="21" t="s">
        <v>193</v>
      </c>
      <c r="D141" s="21" t="s">
        <v>417</v>
      </c>
      <c r="E141" s="13">
        <v>42768.86928240741</v>
      </c>
      <c r="F141" s="13">
        <v>42768.875196759262</v>
      </c>
      <c r="G141" s="7">
        <v>2</v>
      </c>
      <c r="H141" s="21" t="s">
        <v>348</v>
      </c>
      <c r="I141" s="13">
        <v>42768.899745370371</v>
      </c>
      <c r="J141" s="7">
        <v>0</v>
      </c>
      <c r="K141" s="98" t="str">
        <f t="shared" ref="K141:K204" si="39">IF(ISEVEN(B141),(B141-1)&amp;"/"&amp;B141,B141&amp;"/"&amp;(B141+1))</f>
        <v>4027/4028</v>
      </c>
      <c r="L141" s="21" t="str">
        <f>VLOOKUP(A141,'Trips&amp;Operators'!$C$1:$G$99999,5,FALSE)</f>
        <v>GRASTON MATHEU</v>
      </c>
      <c r="M141" s="6">
        <f t="shared" ref="M141:M204" si="40">I141-F141</f>
        <v>2.4548611108912155E-2</v>
      </c>
      <c r="N141" s="7">
        <f t="shared" ref="N141:N204" si="41">24*60*SUM($M141:$M141)</f>
        <v>35.349999996833503</v>
      </c>
      <c r="O141" s="7"/>
      <c r="P141" s="7"/>
      <c r="Q141" s="22"/>
      <c r="R141" s="22"/>
      <c r="S141" s="31">
        <f t="shared" ref="S141:S204" si="42">SUM(U141:U141)/IF(AG141="EC",12,1)</f>
        <v>1</v>
      </c>
      <c r="T141" s="46" t="str">
        <f t="shared" ref="T141:T204" si="43">IF(ISEVEN(LEFT(AD141,4)),"Southbound","NorthBound")</f>
        <v>NorthBound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 t="shared" ref="V141:V204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-02T19:51:46-0700',mode:absolute,to:'2017-02-02T22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1" s="194" t="str">
        <f t="shared" ref="W141:W204" si="45">IF(AA141&lt;IF(AG141="EC",23,5.65),"Y","N")</f>
        <v>N</v>
      </c>
      <c r="X141" s="194">
        <f t="shared" ref="X141:X204" si="46">VALUE(LEFT(AD141,4))-VALUE(LEFT(AD140,4))</f>
        <v>1</v>
      </c>
      <c r="Y141" s="62">
        <f t="shared" ref="Y141:Y204" si="47">RIGHT(D141,LEN(D141)-4)/10000</f>
        <v>4.7699999999999999E-2</v>
      </c>
      <c r="Z141" s="62">
        <f t="shared" ref="Z141:Z204" si="48">RIGHT(H141,LEN(H141)-4)/10000</f>
        <v>23.328099999999999</v>
      </c>
      <c r="AA141" s="62">
        <f t="shared" ref="AA141:AA204" si="49">ABS(Z141-Y141)</f>
        <v>23.2804</v>
      </c>
      <c r="AB141" s="59" t="e">
        <f>VLOOKUP(A141,Enforcements!$C$7:$K$16,8,0)</f>
        <v>#N/A</v>
      </c>
      <c r="AC141" s="55" t="e">
        <f>VLOOKUP(A141,Enforcements!$C$7:$E$16,3,0)</f>
        <v>#N/A</v>
      </c>
      <c r="AD141" s="56" t="str">
        <f t="shared" ref="AD141:AD204" si="50">IF(LEN(A141)=6,"0"&amp;A141,A141)</f>
        <v>0229-02</v>
      </c>
      <c r="AE141" s="85" t="str">
        <f t="shared" ref="AE141:AE204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41" s="82" t="str">
        <f t="shared" ref="AF141:AF204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/stypes="app*4027*20170203*" /stext=" 04:.+((SYSTEM_STATE.+slice.+state.+changed )|(ment ac)|(multiple cpu faults)|(system.+state.+changed )|(\[timeout)|(PRM\|1\|D)|(kpr)|(kdp)|(\|lc)|(penalty))" /e /r /s</v>
      </c>
      <c r="AG141" s="1" t="str">
        <f t="shared" ref="AG141:AG204" si="53">IFERROR(IF(VALUE(LEFT(AD141,2))&lt;=2,"EC",IF(OR(VALUE(LEFT(AD141,2))=8,VALUE(LEFT(AD141,2))=18),"NW","Other")),"Other")</f>
        <v>EC</v>
      </c>
      <c r="AH141" s="86" t="str">
        <f t="shared" si="36"/>
        <v>"%USERPROFILE%\Documents\GitHub\eaglep3\Utilities\RefineRTDCRunTimes.py" --tripid 229-02 --locoid 4027 --swversion DE.1.0.8.0 --startMP 204:477 --initTime 2017-02-02T20:51:46 --startdatetime 2017-02-02T21:00:17 --delay 2 --endMP 204:233281 --enddatetime 2017-02-02T21:35:38 --enforcementcount 0 &gt;&gt;C:\Users\stu\Documents\GitHub\eaglep3-reporting\EC\2017-02-02-refined-times.txt</v>
      </c>
      <c r="AI141" s="108" t="str">
        <f t="shared" si="37"/>
        <v>echo {"issue":{"subject":"","project_id":79,"tracker_id":40,"status_id":1,"priority_id":2,"assigned_to_id":23,"start_date":"2017-02-02","description":"","custom_fields":[{"id":1,"name":"Subdivision","value":"EC"},{"id":4,"name":"Milepost","value":"23.3281"},{"id":17,"name":"Train ID","value":"229-02"},{"id":16,"name":"Locomotive ID","value":"4027"},{"id":130,"name":"Impact","value":""},{"id":150,"name":"Time of Event (Mountain Time)","value":"21:35:38"},{"id":151,"name":"Denver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60" t="str">
        <f t="shared" si="38"/>
        <v>start /low /b %USERPROFILE%\Documents\GitHub\eaglep3\Utilities\DownloadLogsFromS3.py --loco 4027 --day 2017-02-02</v>
      </c>
      <c r="AN141" s="169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"%USERPROFILE%\AppData\Local\Temp\OnboardLogs"\RTDC4027\*4027*20170203* | grep -SE "(Enforcement Action)|(\[TIMEOUT)|(CHR.+\|PRM\|1\|D.+(SWITCH|SIGNAL).+UNKNOWN)" - &gt;&gt; 2017-02-02-UncaughtWiMAX.txt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668</v>
      </c>
      <c r="B142" s="7">
        <v>4028</v>
      </c>
      <c r="C142" s="21" t="s">
        <v>193</v>
      </c>
      <c r="D142" s="21" t="s">
        <v>740</v>
      </c>
      <c r="E142" s="13">
        <v>42768.902280092596</v>
      </c>
      <c r="F142" s="13">
        <v>42768.914097222223</v>
      </c>
      <c r="G142" s="7">
        <v>1</v>
      </c>
      <c r="H142" s="21" t="s">
        <v>312</v>
      </c>
      <c r="I142" s="13">
        <v>42768.940208333333</v>
      </c>
      <c r="J142" s="7">
        <v>0</v>
      </c>
      <c r="K142" s="98" t="str">
        <f t="shared" si="39"/>
        <v>4027/4028</v>
      </c>
      <c r="L142" s="21" t="str">
        <f>VLOOKUP(A142,'Trips&amp;Operators'!$C$1:$G$99999,5,FALSE)</f>
        <v>GRASTON MATHEU</v>
      </c>
      <c r="M142" s="6">
        <f t="shared" si="40"/>
        <v>2.6111111110367347E-2</v>
      </c>
      <c r="N142" s="7">
        <f t="shared" si="41"/>
        <v>37.599999998928979</v>
      </c>
      <c r="O142" s="7"/>
      <c r="P142" s="7"/>
      <c r="Q142" s="22"/>
      <c r="R142" s="22"/>
      <c r="S142" s="31">
        <f t="shared" si="42"/>
        <v>1</v>
      </c>
      <c r="T142" s="46" t="str">
        <f t="shared" si="43"/>
        <v>Southbound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 t="shared" si="44"/>
        <v>https://d0f6bd738d7f1b3e5a7ca70fe4ff75f0.us-east-1.aws.found.io/app/kibana#/discover/Steve-Slow-Train-Analysis-(2080s-and-2083s)?_g=(refreshInterval:(display:Off,pause:!f,section:0,value:0),time:(from:'2017-02-02T20:39:17-0700',mode:absolute,to:'2017-02-02T23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2" s="194" t="str">
        <f t="shared" si="45"/>
        <v>N</v>
      </c>
      <c r="X142" s="194">
        <f t="shared" si="46"/>
        <v>1</v>
      </c>
      <c r="Y142" s="62">
        <f t="shared" si="47"/>
        <v>23.2972</v>
      </c>
      <c r="Z142" s="62">
        <f t="shared" si="48"/>
        <v>1.7000000000000001E-2</v>
      </c>
      <c r="AA142" s="62">
        <f t="shared" si="49"/>
        <v>23.280200000000001</v>
      </c>
      <c r="AB142" s="59" t="e">
        <f>VLOOKUP(A142,Enforcements!$C$7:$K$16,8,0)</f>
        <v>#N/A</v>
      </c>
      <c r="AC142" s="55" t="e">
        <f>VLOOKUP(A142,Enforcements!$C$7:$E$16,3,0)</f>
        <v>#N/A</v>
      </c>
      <c r="AD142" s="56" t="str">
        <f t="shared" si="50"/>
        <v>0230-02</v>
      </c>
      <c r="AE142" s="85" t="str">
        <f t="shared" si="51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142" s="82" t="str">
        <f t="shared" si="52"/>
        <v>"C:\Program Files (x86)\AstroGrep\AstroGrep.exe" /spath="%USERPROFILE%\AppData\Local\Temp\OnboardLogs" /stypes="app*4028*20170203*" /stext=" 05:.+((SYSTEM_STATE.+slice.+state.+changed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6" t="str">
        <f t="shared" ref="AH142:AH205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230-02 --locoid 4028 --swversion DE.1.0.8.0 --startMP 204:232972 --initTime 2017-02-02T21:39:17 --startdatetime 2017-02-02T21:56:18 --delay 1 --endMP 204:170 --enddatetime 2017-02-02T22:33:54 --enforcementcount 0 &gt;&gt;C:\Users\stu\Documents\GitHub\eaglep3-reporting\EC\2017-02-02-refined-times.txt</v>
      </c>
      <c r="AI142" s="108" t="str">
        <f t="shared" ref="AI142:AI205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{"issue":{"subject":"","project_id":79,"tracker_id":40,"status_id":1,"priority_id":2,"assigned_to_id":23,"start_date":"2017-02-02","description":"","custom_fields":[{"id":1,"name":"Subdivision","value":"EC"},{"id":4,"name":"Milepost","value":"0.017"},{"id":17,"name":"Train ID","value":"230-02"},{"id":16,"name":"Locomotive ID","value":"4028"},{"id":130,"name":"Impact","value":""},{"id":150,"name":"Time of Event (Mountain Time)","value":"22:33:54"},{"id":151,"name":"Denver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60" t="str">
        <f t="shared" ref="AM142:AM205" si="56">"start /low /b "&amp;dls3logs&amp;" --loco "&amp;B142&amp;" --day "&amp;TEXT(F142,"YYYY-MM-DD")</f>
        <v>start /low /b %USERPROFILE%\Documents\GitHub\eaglep3\Utilities\DownloadLogsFromS3.py --loco 4028 --day 2017-02-02</v>
      </c>
      <c r="AN142" s="169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"%USERPROFILE%\AppData\Local\Temp\OnboardLogs"\RTDC4028\*4028*20170203* | grep -SE "(Enforcement Action)|(\[TIMEOUT)|(CHR.+\|PRM\|1\|D.+(SWITCH|SIGNAL).+UNKNOWN)" - &gt;&gt; 2017-02-02-UncaughtWiMAX.txt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665</v>
      </c>
      <c r="B143" s="7">
        <v>4016</v>
      </c>
      <c r="C143" s="21" t="s">
        <v>193</v>
      </c>
      <c r="D143" s="21" t="s">
        <v>414</v>
      </c>
      <c r="E143" s="13">
        <v>42768.880682870367</v>
      </c>
      <c r="F143" s="13">
        <v>42768.895995370367</v>
      </c>
      <c r="G143" s="7">
        <v>1</v>
      </c>
      <c r="H143" s="21" t="s">
        <v>317</v>
      </c>
      <c r="I143" s="13">
        <v>42768.92050925926</v>
      </c>
      <c r="J143" s="7">
        <v>0</v>
      </c>
      <c r="K143" s="98" t="str">
        <f t="shared" si="39"/>
        <v>4015/4016</v>
      </c>
      <c r="L143" s="21" t="str">
        <f>VLOOKUP(A143,'Trips&amp;Operators'!$C$1:$G$99999,5,FALSE)</f>
        <v>NEWELL JAMES</v>
      </c>
      <c r="M143" s="6">
        <f t="shared" si="40"/>
        <v>2.4513888893125113E-2</v>
      </c>
      <c r="N143" s="7">
        <f t="shared" si="41"/>
        <v>35.300000006100163</v>
      </c>
      <c r="O143" s="7"/>
      <c r="P143" s="7"/>
      <c r="Q143" s="22"/>
      <c r="R143" s="22"/>
      <c r="S143" s="31">
        <f t="shared" si="42"/>
        <v>1</v>
      </c>
      <c r="T143" s="46" t="str">
        <f t="shared" si="43"/>
        <v>NorthBound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 t="shared" si="44"/>
        <v>https://d0f6bd738d7f1b3e5a7ca70fe4ff75f0.us-east-1.aws.found.io/app/kibana#/discover/Steve-Slow-Train-Analysis-(2080s-and-2083s)?_g=(refreshInterval:(display:Off,pause:!f,section:0,value:0),time:(from:'2017-02-02T20:08:11-0700',mode:absolute,to:'2017-02-02T23:05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3" s="194" t="str">
        <f t="shared" si="45"/>
        <v>N</v>
      </c>
      <c r="X143" s="194">
        <f t="shared" si="46"/>
        <v>1</v>
      </c>
      <c r="Y143" s="62">
        <f t="shared" si="47"/>
        <v>4.7500000000000001E-2</v>
      </c>
      <c r="Z143" s="62">
        <f t="shared" si="48"/>
        <v>23.330400000000001</v>
      </c>
      <c r="AA143" s="62">
        <f t="shared" si="49"/>
        <v>23.282900000000001</v>
      </c>
      <c r="AB143" s="59" t="e">
        <f>VLOOKUP(A143,Enforcements!$C$7:$K$16,8,0)</f>
        <v>#N/A</v>
      </c>
      <c r="AC143" s="55" t="e">
        <f>VLOOKUP(A143,Enforcements!$C$7:$E$16,3,0)</f>
        <v>#N/A</v>
      </c>
      <c r="AD143" s="56" t="str">
        <f t="shared" si="50"/>
        <v>0231-02</v>
      </c>
      <c r="AE143" s="85" t="str">
        <f t="shared" si="51"/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AF143" s="82" t="str">
        <f t="shared" si="52"/>
        <v>"C:\Program Files (x86)\AstroGrep\AstroGrep.exe" /spath="%USERPROFILE%\AppData\Local\Temp\OnboardLogs" /stypes="app*4016*20170203*"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6" t="str">
        <f t="shared" si="54"/>
        <v>"%USERPROFILE%\Documents\GitHub\eaglep3\Utilities\RefineRTDCRunTimes.py" --tripid 231-02 --locoid 4016 --swversion DE.1.0.8.0 --startMP 204:475 --initTime 2017-02-02T21:08:11 --startdatetime 2017-02-02T21:30:14 --delay 1 --endMP 204:233304 --enddatetime 2017-02-02T22:05:32 --enforcementcount 0 &gt;&gt;C:\Users\stu\Documents\GitHub\eaglep3-reporting\EC\2017-02-02-refined-times.txt</v>
      </c>
      <c r="AI143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{"issue":{"subject":"","project_id":79,"tracker_id":40,"status_id":1,"priority_id":2,"assigned_to_id":23,"start_date":"2017-02-02","description":"","custom_fields":[{"id":1,"name":"Subdivision","value":"EC"},{"id":4,"name":"Milepost","value":"23.3304"},{"id":17,"name":"Train ID","value":"231-02"},{"id":16,"name":"Locomotive ID","value":"4016"},{"id":130,"name":"Impact","value":""},{"id":150,"name":"Time of Event (Mountain Time)","value":"22:05:32"},{"id":151,"name":"Denver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60" t="str">
        <f t="shared" si="56"/>
        <v>start /low /b %USERPROFILE%\Documents\GitHub\eaglep3\Utilities\DownloadLogsFromS3.py --loco 4016 --day 2017-02-02</v>
      </c>
      <c r="AN143" s="169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"%USERPROFILE%\AppData\Local\Temp\OnboardLogs"\RTDC4016\*4016*20170203* | grep -SE "(Enforcement Action)|(\[TIMEOUT)|(CHR.+\|PRM\|1\|D.+(SWITCH|SIGNAL).+UNKNOWN)" - &gt;&gt; 2017-02-02-UncaughtWiMAX.txt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671</v>
      </c>
      <c r="B144" s="7">
        <v>4015</v>
      </c>
      <c r="C144" s="21" t="s">
        <v>193</v>
      </c>
      <c r="D144" s="21" t="s">
        <v>331</v>
      </c>
      <c r="E144" s="13">
        <v>42768.932546296295</v>
      </c>
      <c r="F144" s="13">
        <v>42768.934884259259</v>
      </c>
      <c r="G144" s="7">
        <v>1</v>
      </c>
      <c r="H144" s="21" t="s">
        <v>709</v>
      </c>
      <c r="I144" s="13">
        <v>42768.961388888885</v>
      </c>
      <c r="J144" s="7">
        <v>0</v>
      </c>
      <c r="K144" s="98" t="str">
        <f t="shared" si="39"/>
        <v>4015/4016</v>
      </c>
      <c r="L144" s="21" t="str">
        <f>VLOOKUP(A144,'Trips&amp;Operators'!$C$1:$G$99999,5,FALSE)</f>
        <v>NEWELL JAMES</v>
      </c>
      <c r="M144" s="6">
        <f t="shared" si="40"/>
        <v>2.6504629626288079E-2</v>
      </c>
      <c r="N144" s="7">
        <f t="shared" si="41"/>
        <v>38.166666661854833</v>
      </c>
      <c r="O144" s="7"/>
      <c r="P144" s="7"/>
      <c r="Q144" s="22"/>
      <c r="R144" s="22"/>
      <c r="S144" s="31">
        <f t="shared" si="42"/>
        <v>1</v>
      </c>
      <c r="T144" s="46" t="str">
        <f t="shared" si="43"/>
        <v>Southbound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 t="shared" si="44"/>
        <v>https://d0f6bd738d7f1b3e5a7ca70fe4ff75f0.us-east-1.aws.found.io/app/kibana#/discover/Steve-Slow-Train-Analysis-(2080s-and-2083s)?_g=(refreshInterval:(display:Off,pause:!f,section:0,value:0),time:(from:'2017-02-02T21:22:52-0700',mode:absolute,to:'2017-02-03T00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4" s="194" t="str">
        <f t="shared" si="45"/>
        <v>N</v>
      </c>
      <c r="X144" s="194">
        <f t="shared" si="46"/>
        <v>1</v>
      </c>
      <c r="Y144" s="62">
        <f t="shared" si="47"/>
        <v>23.299299999999999</v>
      </c>
      <c r="Z144" s="62">
        <f t="shared" si="48"/>
        <v>1.6899999999999998E-2</v>
      </c>
      <c r="AA144" s="62">
        <f t="shared" si="49"/>
        <v>23.282399999999999</v>
      </c>
      <c r="AB144" s="59" t="e">
        <f>VLOOKUP(A144,Enforcements!$C$7:$K$16,8,0)</f>
        <v>#N/A</v>
      </c>
      <c r="AC144" s="55" t="e">
        <f>VLOOKUP(A144,Enforcements!$C$7:$E$16,3,0)</f>
        <v>#N/A</v>
      </c>
      <c r="AD144" s="56" t="str">
        <f t="shared" si="50"/>
        <v>0232-02</v>
      </c>
      <c r="AE144" s="85" t="str">
        <f t="shared" si="51"/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AF144" s="82" t="str">
        <f t="shared" si="52"/>
        <v>"C:\Program Files (x86)\AstroGrep\AstroGrep.exe" /spath="%USERPROFILE%\AppData\Local\Temp\OnboardLogs" /stypes="app*4015*20170203*" /stext=" 06:.+((SYSTEM_STATE.+slice.+state.+changed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6" t="str">
        <f t="shared" si="54"/>
        <v>"%USERPROFILE%\Documents\GitHub\eaglep3\Utilities\RefineRTDCRunTimes.py" --tripid 232-02 --locoid 4015 --swversion DE.1.0.8.0 --startMP 204:232993 --initTime 2017-02-02T22:22:52 --startdatetime 2017-02-02T22:26:14 --delay 1 --endMP 204:169 --enddatetime 2017-02-02T23:04:24 --enforcementcount 0 &gt;&gt;C:\Users\stu\Documents\GitHub\eaglep3-reporting\EC\2017-02-02-refined-times.txt</v>
      </c>
      <c r="AI144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{"issue":{"subject":"","project_id":79,"tracker_id":40,"status_id":1,"priority_id":2,"assigned_to_id":23,"start_date":"2017-02-02","description":"","custom_fields":[{"id":1,"name":"Subdivision","value":"EC"},{"id":4,"name":"Milepost","value":"0.0169"},{"id":17,"name":"Train ID","value":"232-02"},{"id":16,"name":"Locomotive ID","value":"4015"},{"id":130,"name":"Impact","value":""},{"id":150,"name":"Time of Event (Mountain Time)","value":"23:04:24"},{"id":151,"name":"Denver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60" t="str">
        <f t="shared" si="56"/>
        <v>start /low /b %USERPROFILE%\Documents\GitHub\eaglep3\Utilities\DownloadLogsFromS3.py --loco 4015 --day 2017-02-02</v>
      </c>
      <c r="AN144" s="169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"%USERPROFILE%\AppData\Local\Temp\OnboardLogs"\RTDC4015\*4015*20170203* | grep -SE "(Enforcement Action)|(\[TIMEOUT)|(CHR.+\|PRM\|1\|D.+(SWITCH|SIGNAL).+UNKNOWN)" - &gt;&gt; 2017-02-02-UncaughtWiMAX.txt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667</v>
      </c>
      <c r="B145" s="7">
        <v>4011</v>
      </c>
      <c r="C145" s="21" t="s">
        <v>193</v>
      </c>
      <c r="D145" s="21" t="s">
        <v>703</v>
      </c>
      <c r="E145" s="13">
        <v>42768.901319444441</v>
      </c>
      <c r="F145" s="13">
        <v>42768.916921296295</v>
      </c>
      <c r="G145" s="7">
        <v>1</v>
      </c>
      <c r="H145" s="21" t="s">
        <v>741</v>
      </c>
      <c r="I145" s="13">
        <v>42768.94189814815</v>
      </c>
      <c r="J145" s="7">
        <v>0</v>
      </c>
      <c r="K145" s="98" t="str">
        <f t="shared" si="39"/>
        <v>4011/4012</v>
      </c>
      <c r="L145" s="21" t="str">
        <f>VLOOKUP(A145,'Trips&amp;Operators'!$C$1:$G$99999,5,FALSE)</f>
        <v>MACDONALD THOMAS</v>
      </c>
      <c r="M145" s="6">
        <f t="shared" si="40"/>
        <v>2.4976851855171844E-2</v>
      </c>
      <c r="N145" s="7">
        <f t="shared" si="41"/>
        <v>35.966666671447456</v>
      </c>
      <c r="O145" s="7"/>
      <c r="P145" s="7"/>
      <c r="Q145" s="22"/>
      <c r="R145" s="22"/>
      <c r="S145" s="31">
        <f t="shared" si="42"/>
        <v>1</v>
      </c>
      <c r="T145" s="46" t="str">
        <f t="shared" si="43"/>
        <v>NorthBound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 t="shared" si="44"/>
        <v>https://d0f6bd738d7f1b3e5a7ca70fe4ff75f0.us-east-1.aws.found.io/app/kibana#/discover/Steve-Slow-Train-Analysis-(2080s-and-2083s)?_g=(refreshInterval:(display:Off,pause:!f,section:0,value:0),time:(from:'2017-02-02T20:37:54-0700',mode:absolute,to:'2017-02-02T23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5" s="194" t="str">
        <f t="shared" si="45"/>
        <v>N</v>
      </c>
      <c r="X145" s="194">
        <f t="shared" si="46"/>
        <v>1</v>
      </c>
      <c r="Y145" s="62">
        <f t="shared" si="47"/>
        <v>4.6399999999999997E-2</v>
      </c>
      <c r="Z145" s="62">
        <f t="shared" si="48"/>
        <v>23.329799999999999</v>
      </c>
      <c r="AA145" s="62">
        <f t="shared" si="49"/>
        <v>23.2834</v>
      </c>
      <c r="AB145" s="59" t="e">
        <f>VLOOKUP(A145,Enforcements!$C$7:$K$16,8,0)</f>
        <v>#N/A</v>
      </c>
      <c r="AC145" s="55" t="e">
        <f>VLOOKUP(A145,Enforcements!$C$7:$E$16,3,0)</f>
        <v>#N/A</v>
      </c>
      <c r="AD145" s="56" t="str">
        <f t="shared" si="50"/>
        <v>0233-02</v>
      </c>
      <c r="AE145" s="85" t="str">
        <f t="shared" si="51"/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AF145" s="82" t="str">
        <f t="shared" si="52"/>
        <v>"C:\Program Files (x86)\AstroGrep\AstroGrep.exe" /spath="%USERPROFILE%\AppData\Local\Temp\OnboardLogs" /stypes="app*4011*20170203*" /stext=" 05:.+((SYSTEM_STATE.+slice.+state.+changed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6" t="str">
        <f t="shared" si="54"/>
        <v>"%USERPROFILE%\Documents\GitHub\eaglep3\Utilities\RefineRTDCRunTimes.py" --tripid 233-02 --locoid 4011 --swversion DE.1.0.8.0 --startMP 204:464 --initTime 2017-02-02T21:37:54 --startdatetime 2017-02-02T22:00:22 --delay 1 --endMP 204:233298 --enddatetime 2017-02-02T22:36:20 --enforcementcount 0 &gt;&gt;C:\Users\stu\Documents\GitHub\eaglep3-reporting\EC\2017-02-02-refined-times.txt</v>
      </c>
      <c r="AI145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{"issue":{"subject":"","project_id":79,"tracker_id":40,"status_id":1,"priority_id":2,"assigned_to_id":23,"start_date":"2017-02-02","description":"","custom_fields":[{"id":1,"name":"Subdivision","value":"EC"},{"id":4,"name":"Milepost","value":"23.3298"},{"id":17,"name":"Train ID","value":"233-02"},{"id":16,"name":"Locomotive ID","value":"4011"},{"id":130,"name":"Impact","value":""},{"id":150,"name":"Time of Event (Mountain Time)","value":"22:36:20"},{"id":151,"name":"Denver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60" t="str">
        <f t="shared" si="56"/>
        <v>start /low /b %USERPROFILE%\Documents\GitHub\eaglep3\Utilities\DownloadLogsFromS3.py --loco 4011 --day 2017-02-02</v>
      </c>
      <c r="AN145" s="169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"%USERPROFILE%\AppData\Local\Temp\OnboardLogs"\RTDC4011\*4011*20170203* | grep -SE "(Enforcement Action)|(\[TIMEOUT)|(CHR.+\|PRM\|1\|D.+(SWITCH|SIGNAL).+UNKNOWN)" - &gt;&gt; 2017-02-02-UncaughtWiMAX.txt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673</v>
      </c>
      <c r="B146" s="7">
        <v>4012</v>
      </c>
      <c r="C146" s="21" t="s">
        <v>193</v>
      </c>
      <c r="D146" s="21" t="s">
        <v>742</v>
      </c>
      <c r="E146" s="13">
        <v>42768.952592592592</v>
      </c>
      <c r="F146" s="13">
        <v>42768.955983796295</v>
      </c>
      <c r="G146" s="7">
        <v>2</v>
      </c>
      <c r="H146" s="21" t="s">
        <v>212</v>
      </c>
      <c r="I146" s="13">
        <v>42768.987604166665</v>
      </c>
      <c r="J146" s="7">
        <v>0</v>
      </c>
      <c r="K146" s="98" t="str">
        <f t="shared" si="39"/>
        <v>4011/4012</v>
      </c>
      <c r="L146" s="21" t="str">
        <f>VLOOKUP(A146,'Trips&amp;Operators'!$C$1:$G$99999,5,FALSE)</f>
        <v>MACDONALD THOMAS</v>
      </c>
      <c r="M146" s="6">
        <f t="shared" si="40"/>
        <v>3.1620370369637385E-2</v>
      </c>
      <c r="N146" s="7">
        <f t="shared" si="41"/>
        <v>45.533333332277834</v>
      </c>
      <c r="O146" s="7"/>
      <c r="P146" s="7"/>
      <c r="Q146" s="22"/>
      <c r="R146" s="22"/>
      <c r="S146" s="31">
        <f t="shared" si="42"/>
        <v>1</v>
      </c>
      <c r="T146" s="46" t="str">
        <f t="shared" si="43"/>
        <v>Southbound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 t="shared" si="44"/>
        <v>https://d0f6bd738d7f1b3e5a7ca70fe4ff75f0.us-east-1.aws.found.io/app/kibana#/discover/Steve-Slow-Train-Analysis-(2080s-and-2083s)?_g=(refreshInterval:(display:Off,pause:!f,section:0,value:0),time:(from:'2017-02-02T21:51:44-0700',mode:absolute,to:'2017-02-03T00:42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194" t="str">
        <f t="shared" si="45"/>
        <v>N</v>
      </c>
      <c r="X146" s="194">
        <f t="shared" si="46"/>
        <v>1</v>
      </c>
      <c r="Y146" s="62">
        <f t="shared" si="47"/>
        <v>23.297000000000001</v>
      </c>
      <c r="Z146" s="62">
        <f t="shared" si="48"/>
        <v>1.52E-2</v>
      </c>
      <c r="AA146" s="62">
        <f t="shared" si="49"/>
        <v>23.2818</v>
      </c>
      <c r="AB146" s="59" t="e">
        <f>VLOOKUP(A146,Enforcements!$C$7:$K$16,8,0)</f>
        <v>#N/A</v>
      </c>
      <c r="AC146" s="55" t="e">
        <f>VLOOKUP(A146,Enforcements!$C$7:$E$16,3,0)</f>
        <v>#N/A</v>
      </c>
      <c r="AD146" s="56" t="str">
        <f t="shared" si="50"/>
        <v>0234-02</v>
      </c>
      <c r="AE146" s="85" t="str">
        <f t="shared" si="51"/>
        <v>aws s3 cp s3://rtdc.mdm.uploadarchive.raw/RTDC4012/ "%USERPROFILE%\AppData\Local\Temp\OnboardLogs"\RTDC4012\2017-02-02 --exclude "*" --recursive --include "*20170202*" &amp; "%USERPROFILE%\Documents\GitHub\mrs-test-scripts\Headless Mode &amp; Sideloading\WalkAndUnGZ.bat" "%USERPROFILE%\AppData\Local\Temp\OnboardLogs"\RTDC4012\2017-02-02 &amp; 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</v>
      </c>
      <c r="AF146" s="82" t="str">
        <f t="shared" si="52"/>
        <v>"C:\Program Files (x86)\AstroGrep\AstroGrep.exe" /spath="%USERPROFILE%\AppData\Local\Temp\OnboardLogs" /stypes="app*4012*20170203*" /stext=" 06:.+((SYSTEM_STATE.+slice.+state.+changed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6" t="str">
        <f t="shared" si="54"/>
        <v>"%USERPROFILE%\Documents\GitHub\eaglep3\Utilities\RefineRTDCRunTimes.py" --tripid 234-02 --locoid 4012 --swversion DE.1.0.8.0 --startMP 204:232970 --initTime 2017-02-02T22:51:44 --startdatetime 2017-02-02T22:56:37 --delay 2 --endMP 204:152 --enddatetime 2017-02-02T23:42:09 --enforcementcount 0 &gt;&gt;C:\Users\stu\Documents\GitHub\eaglep3-reporting\EC\2017-02-02-refined-times.txt</v>
      </c>
      <c r="AI146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{"issue":{"subject":"","project_id":79,"tracker_id":40,"status_id":1,"priority_id":2,"assigned_to_id":23,"start_date":"2017-02-02","description":"","custom_fields":[{"id":1,"name":"Subdivision","value":"EC"},{"id":4,"name":"Milepost","value":"0.0152"},{"id":17,"name":"Train ID","value":"234-02"},{"id":16,"name":"Locomotive ID","value":"4012"},{"id":130,"name":"Impact","value":""},{"id":150,"name":"Time of Event (Mountain Time)","value":"23:42:09"},{"id":151,"name":"Denver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60" t="str">
        <f t="shared" si="56"/>
        <v>start /low /b %USERPROFILE%\Documents\GitHub\eaglep3\Utilities\DownloadLogsFromS3.py --loco 4012 --day 2017-02-02</v>
      </c>
      <c r="AN146" s="169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"%USERPROFILE%\AppData\Local\Temp\OnboardLogs"\RTDC4012\*4012*20170203* | grep -SE "(Enforcement Action)|(\[TIMEOUT)|(CHR.+\|PRM\|1\|D.+(SWITCH|SIGNAL).+UNKNOWN)" - &gt;&gt; 2017-02-02-UncaughtWiMAX.txt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670</v>
      </c>
      <c r="B147" s="7">
        <v>4051</v>
      </c>
      <c r="C147" s="21" t="s">
        <v>193</v>
      </c>
      <c r="D147" s="21" t="s">
        <v>743</v>
      </c>
      <c r="E147" s="13">
        <v>42768.920324074075</v>
      </c>
      <c r="F147" s="13">
        <v>42768.9378125</v>
      </c>
      <c r="G147" s="7">
        <v>1</v>
      </c>
      <c r="H147" s="21" t="s">
        <v>744</v>
      </c>
      <c r="I147" s="13">
        <v>42768.962152777778</v>
      </c>
      <c r="J147" s="7">
        <v>0</v>
      </c>
      <c r="K147" s="98" t="str">
        <f t="shared" si="39"/>
        <v>4051/4052</v>
      </c>
      <c r="L147" s="21" t="str">
        <f>VLOOKUP(A147,'Trips&amp;Operators'!$C$1:$G$99999,5,FALSE)</f>
        <v>HILLS DUSTIN</v>
      </c>
      <c r="M147" s="6">
        <f t="shared" si="40"/>
        <v>2.4340277777810115E-2</v>
      </c>
      <c r="N147" s="7">
        <f t="shared" si="41"/>
        <v>35.050000000046566</v>
      </c>
      <c r="O147" s="7"/>
      <c r="P147" s="7"/>
      <c r="Q147" s="22"/>
      <c r="R147" s="22"/>
      <c r="S147" s="31">
        <f t="shared" si="42"/>
        <v>1</v>
      </c>
      <c r="T147" s="46" t="str">
        <f t="shared" si="43"/>
        <v>NorthBound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 t="shared" si="44"/>
        <v>https://d0f6bd738d7f1b3e5a7ca70fe4ff75f0.us-east-1.aws.found.io/app/kibana#/discover/Steve-Slow-Train-Analysis-(2080s-and-2083s)?_g=(refreshInterval:(display:Off,pause:!f,section:0,value:0),time:(from:'2017-02-02T21:05:16-0700',mode:absolute,to:'2017-02-03T00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7" s="194" t="str">
        <f t="shared" si="45"/>
        <v>N</v>
      </c>
      <c r="X147" s="194">
        <f t="shared" si="46"/>
        <v>1</v>
      </c>
      <c r="Y147" s="62">
        <f t="shared" si="47"/>
        <v>4.1300000000000003E-2</v>
      </c>
      <c r="Z147" s="62">
        <f t="shared" si="48"/>
        <v>23.345600000000001</v>
      </c>
      <c r="AA147" s="62">
        <f t="shared" si="49"/>
        <v>23.304300000000001</v>
      </c>
      <c r="AB147" s="59" t="e">
        <f>VLOOKUP(A147,Enforcements!$C$7:$K$16,8,0)</f>
        <v>#N/A</v>
      </c>
      <c r="AC147" s="55" t="e">
        <f>VLOOKUP(A147,Enforcements!$C$7:$E$16,3,0)</f>
        <v>#N/A</v>
      </c>
      <c r="AD147" s="56" t="str">
        <f t="shared" si="50"/>
        <v>0235-02</v>
      </c>
      <c r="AE147" s="85" t="str">
        <f t="shared" si="51"/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AF147" s="82" t="str">
        <f t="shared" si="52"/>
        <v>"C:\Program Files (x86)\AstroGrep\AstroGrep.exe" /spath="%USERPROFILE%\AppData\Local\Temp\OnboardLogs" /stypes="app*4051*20170203*"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6" t="str">
        <f t="shared" si="54"/>
        <v>"%USERPROFILE%\Documents\GitHub\eaglep3\Utilities\RefineRTDCRunTimes.py" --tripid 235-02 --locoid 4051 --swversion DE.1.0.8.0 --startMP 204:413 --initTime 2017-02-02T22:05:16 --startdatetime 2017-02-02T22:30:27 --delay 1 --endMP 204:233456 --enddatetime 2017-02-02T23:05:30 --enforcementcount 0 &gt;&gt;C:\Users\stu\Documents\GitHub\eaglep3-reporting\EC\2017-02-02-refined-times.txt</v>
      </c>
      <c r="AI147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{"issue":{"subject":"","project_id":79,"tracker_id":40,"status_id":1,"priority_id":2,"assigned_to_id":23,"start_date":"2017-02-02","description":"","custom_fields":[{"id":1,"name":"Subdivision","value":"EC"},{"id":4,"name":"Milepost","value":"23.3456"},{"id":17,"name":"Train ID","value":"235-02"},{"id":16,"name":"Locomotive ID","value":"4051"},{"id":130,"name":"Impact","value":""},{"id":150,"name":"Time of Event (Mountain Time)","value":"23:05:30"},{"id":151,"name":"Denver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60" t="str">
        <f t="shared" si="56"/>
        <v>start /low /b %USERPROFILE%\Documents\GitHub\eaglep3\Utilities\DownloadLogsFromS3.py --loco 4051 --day 2017-02-02</v>
      </c>
      <c r="AN147" s="169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"%USERPROFILE%\AppData\Local\Temp\OnboardLogs"\RTDC4051\*4051*20170203* | grep -SE "(Enforcement Action)|(\[TIMEOUT)|(CHR.+\|PRM\|1\|D.+(SWITCH|SIGNAL).+UNKNOWN)" - &gt;&gt; 2017-02-02-UncaughtWiMAX.txt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467</v>
      </c>
      <c r="B148" s="7">
        <v>4052</v>
      </c>
      <c r="C148" s="21" t="s">
        <v>193</v>
      </c>
      <c r="D148" s="21" t="s">
        <v>735</v>
      </c>
      <c r="E148" s="13">
        <v>42768.963703703703</v>
      </c>
      <c r="F148" s="13">
        <v>42768.976550925923</v>
      </c>
      <c r="G148" s="7">
        <v>1</v>
      </c>
      <c r="H148" s="21" t="s">
        <v>745</v>
      </c>
      <c r="I148" s="13">
        <v>42769.002523148149</v>
      </c>
      <c r="J148" s="7">
        <v>0</v>
      </c>
      <c r="K148" s="98" t="str">
        <f t="shared" si="39"/>
        <v>4051/4052</v>
      </c>
      <c r="L148" s="21" t="str">
        <f>VLOOKUP(A148,'Trips&amp;Operators'!$C$1:$G$99999,5,FALSE)</f>
        <v>HILLS DUSTIN</v>
      </c>
      <c r="M148" s="6">
        <f t="shared" si="40"/>
        <v>2.5972222225391306E-2</v>
      </c>
      <c r="N148" s="7">
        <f t="shared" si="41"/>
        <v>37.400000004563481</v>
      </c>
      <c r="O148" s="7"/>
      <c r="P148" s="7"/>
      <c r="Q148" s="22"/>
      <c r="R148" s="22"/>
      <c r="S148" s="31">
        <f t="shared" si="42"/>
        <v>1</v>
      </c>
      <c r="T148" s="46" t="str">
        <f t="shared" si="43"/>
        <v>Southbound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 t="shared" si="44"/>
        <v>https://d0f6bd738d7f1b3e5a7ca70fe4ff75f0.us-east-1.aws.found.io/app/kibana#/discover/Steve-Slow-Train-Analysis-(2080s-and-2083s)?_g=(refreshInterval:(display:Off,pause:!f,section:0,value:0),time:(from:'2017-02-02T22:07:44-0700',mode:absolute,to:'2017-02-03T01:03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8" s="194" t="str">
        <f t="shared" si="45"/>
        <v>N</v>
      </c>
      <c r="X148" s="194">
        <f t="shared" si="46"/>
        <v>1</v>
      </c>
      <c r="Y148" s="62">
        <f t="shared" si="47"/>
        <v>23.3094</v>
      </c>
      <c r="Z148" s="62">
        <f t="shared" si="48"/>
        <v>9.4299999999999995E-2</v>
      </c>
      <c r="AA148" s="62">
        <f t="shared" si="49"/>
        <v>23.2151</v>
      </c>
      <c r="AB148" s="59" t="e">
        <f>VLOOKUP(A148,Enforcements!$C$7:$K$16,8,0)</f>
        <v>#N/A</v>
      </c>
      <c r="AC148" s="55" t="e">
        <f>VLOOKUP(A148,Enforcements!$C$7:$E$16,3,0)</f>
        <v>#N/A</v>
      </c>
      <c r="AD148" s="56" t="str">
        <f t="shared" si="50"/>
        <v>0236-02</v>
      </c>
      <c r="AE148" s="85" t="str">
        <f t="shared" si="51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148" s="82" t="str">
        <f t="shared" si="52"/>
        <v>"C:\Program Files (x86)\AstroGrep\AstroGrep.exe" /spath="%USERPROFILE%\AppData\Local\Temp\OnboardLogs" /stypes="app*4052*20170203*" /stext=" 07:.+((SYSTEM_STATE.+slice.+state.+changed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6" t="str">
        <f t="shared" si="54"/>
        <v>"%USERPROFILE%\Documents\GitHub\eaglep3\Utilities\RefineRTDCRunTimes.py" --tripid 236-02 --locoid 4052 --swversion DE.1.0.8.0 --startMP 204:233094 --initTime 2017-02-02T23:07:44 --startdatetime 2017-02-02T23:26:14 --delay 1 --endMP 204:943 --enddatetime 2017-02-03T00:03:38 --enforcementcount 0 &gt;&gt;C:\Users\stu\Documents\GitHub\eaglep3-reporting\EC\2017-02-02-refined-times.txt</v>
      </c>
      <c r="AI148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{"issue":{"subject":"","project_id":79,"tracker_id":40,"status_id":1,"priority_id":2,"assigned_to_id":23,"start_date":"2017-02-03","description":"","custom_fields":[{"id":1,"name":"Subdivision","value":"EC"},{"id":4,"name":"Milepost","value":"0.0943"},{"id":17,"name":"Train ID","value":"236-02"},{"id":16,"name":"Locomotive ID","value":"4052"},{"id":130,"name":"Impact","value":""},{"id":150,"name":"Time of Event (Mountain Time)","value":"00:03:38"},{"id":151,"name":"Denver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60" t="str">
        <f t="shared" si="56"/>
        <v>start /low /b %USERPROFILE%\Documents\GitHub\eaglep3\Utilities\DownloadLogsFromS3.py --loco 4052 --day 2017-02-02</v>
      </c>
      <c r="AN148" s="169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"%USERPROFILE%\AppData\Local\Temp\OnboardLogs"\RTDC4052\*4052*20170203* | grep -SE "(Enforcement Action)|(\[TIMEOUT)|(CHR.+\|PRM\|1\|D.+(SWITCH|SIGNAL).+UNKNOWN)" - &gt;&gt; 2017-02-02-UncaughtWiMAX.txt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674</v>
      </c>
      <c r="B149" s="7">
        <v>4027</v>
      </c>
      <c r="C149" s="21" t="s">
        <v>193</v>
      </c>
      <c r="D149" s="21" t="s">
        <v>277</v>
      </c>
      <c r="E149" s="13">
        <v>42768.955590277779</v>
      </c>
      <c r="F149" s="13">
        <v>42768.958564814813</v>
      </c>
      <c r="G149" s="7">
        <v>1</v>
      </c>
      <c r="H149" s="21" t="s">
        <v>333</v>
      </c>
      <c r="I149" s="13">
        <v>42768.982662037037</v>
      </c>
      <c r="J149" s="7">
        <v>0</v>
      </c>
      <c r="K149" s="98" t="str">
        <f t="shared" si="39"/>
        <v>4027/4028</v>
      </c>
      <c r="L149" s="21" t="str">
        <f>VLOOKUP(A149,'Trips&amp;Operators'!$C$1:$G$99999,5,FALSE)</f>
        <v>CHANDLER KELVIN</v>
      </c>
      <c r="M149" s="6">
        <f t="shared" si="40"/>
        <v>2.4097222223645076E-2</v>
      </c>
      <c r="N149" s="7">
        <f t="shared" si="41"/>
        <v>34.70000000204891</v>
      </c>
      <c r="O149" s="7"/>
      <c r="P149" s="7"/>
      <c r="Q149" s="22"/>
      <c r="R149" s="22"/>
      <c r="S149" s="31">
        <f t="shared" si="42"/>
        <v>1</v>
      </c>
      <c r="T149" s="46" t="str">
        <f t="shared" si="43"/>
        <v>NorthBound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 t="shared" si="44"/>
        <v>https://d0f6bd738d7f1b3e5a7ca70fe4ff75f0.us-east-1.aws.found.io/app/kibana#/discover/Steve-Slow-Train-Analysis-(2080s-and-2083s)?_g=(refreshInterval:(display:Off,pause:!f,section:0,value:0),time:(from:'2017-02-02T21:56:03-0700',mode:absolute,to:'2017-02-03T00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9" s="194" t="str">
        <f t="shared" si="45"/>
        <v>N</v>
      </c>
      <c r="X149" s="194">
        <f t="shared" si="46"/>
        <v>1</v>
      </c>
      <c r="Y149" s="62">
        <f t="shared" si="47"/>
        <v>4.7100000000000003E-2</v>
      </c>
      <c r="Z149" s="62">
        <f t="shared" si="48"/>
        <v>23.3291</v>
      </c>
      <c r="AA149" s="62">
        <f t="shared" si="49"/>
        <v>23.282</v>
      </c>
      <c r="AB149" s="59" t="e">
        <f>VLOOKUP(A149,Enforcements!$C$7:$K$16,8,0)</f>
        <v>#N/A</v>
      </c>
      <c r="AC149" s="55" t="e">
        <f>VLOOKUP(A149,Enforcements!$C$7:$E$16,3,0)</f>
        <v>#N/A</v>
      </c>
      <c r="AD149" s="56" t="str">
        <f t="shared" si="50"/>
        <v>0237-02</v>
      </c>
      <c r="AE149" s="85" t="str">
        <f t="shared" si="51"/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AF149" s="82" t="str">
        <f t="shared" si="52"/>
        <v>"C:\Program Files (x86)\AstroGrep\AstroGrep.exe" /spath="%USERPROFILE%\AppData\Local\Temp\OnboardLogs" /stypes="app*4027*20170203*" /stext=" 06:.+((SYSTEM_STATE.+slice.+state.+changed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6" t="str">
        <f t="shared" si="54"/>
        <v>"%USERPROFILE%\Documents\GitHub\eaglep3\Utilities\RefineRTDCRunTimes.py" --tripid 237-02 --locoid 4027 --swversion DE.1.0.8.0 --startMP 204:471 --initTime 2017-02-02T22:56:03 --startdatetime 2017-02-02T23:00:20 --delay 1 --endMP 204:233291 --enddatetime 2017-02-02T23:35:02 --enforcementcount 0 &gt;&gt;C:\Users\stu\Documents\GitHub\eaglep3-reporting\EC\2017-02-02-refined-times.txt</v>
      </c>
      <c r="AI149" s="108" t="str">
        <f t="shared" si="55"/>
        <v>echo {"issue":{"subject":"","project_id":79,"tracker_id":40,"status_id":1,"priority_id":2,"assigned_to_id":23,"start_date":"2017-02-02","description":"","custom_fields":[{"id":1,"name":"Subdivision","value":"EC"},{"id":4,"name":"Milepost","value":"23.3291"},{"id":17,"name":"Train ID","value":"237-02"},{"id":16,"name":"Locomotive ID","value":"4027"},{"id":130,"name":"Impact","value":""},{"id":150,"name":"Time of Event (Mountain Time)","value":"23:35:02"},{"id":151,"name":"Denver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60" t="str">
        <f t="shared" si="56"/>
        <v>start /low /b %USERPROFILE%\Documents\GitHub\eaglep3\Utilities\DownloadLogsFromS3.py --loco 4027 --day 2017-02-02</v>
      </c>
      <c r="AN149" s="169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"%USERPROFILE%\AppData\Local\Temp\OnboardLogs"\RTDC4027\*4027*20170203* | grep -SE "(Enforcement Action)|(\[TIMEOUT)|(CHR.+\|PRM\|1\|D.+(SWITCH|SIGNAL).+UNKNOWN)" - &gt;&gt; 2017-02-02-UncaughtWiMAX.txt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469</v>
      </c>
      <c r="B150" s="7">
        <v>4028</v>
      </c>
      <c r="C150" s="21" t="s">
        <v>193</v>
      </c>
      <c r="D150" s="21" t="s">
        <v>742</v>
      </c>
      <c r="E150" s="13">
        <v>42768.993819444448</v>
      </c>
      <c r="F150" s="13">
        <v>42768.997534722221</v>
      </c>
      <c r="G150" s="7">
        <v>1</v>
      </c>
      <c r="H150" s="21" t="s">
        <v>746</v>
      </c>
      <c r="I150" s="13">
        <v>42769.025451388887</v>
      </c>
      <c r="J150" s="7">
        <v>0</v>
      </c>
      <c r="K150" s="98" t="str">
        <f t="shared" si="39"/>
        <v>4027/4028</v>
      </c>
      <c r="L150" s="21" t="str">
        <f>VLOOKUP(A150,'Trips&amp;Operators'!$C$1:$G$99999,5,FALSE)</f>
        <v>CHANDLER KELVIN</v>
      </c>
      <c r="M150" s="6">
        <f t="shared" si="40"/>
        <v>2.7916666665987577E-2</v>
      </c>
      <c r="N150" s="7">
        <f t="shared" si="41"/>
        <v>40.199999999022111</v>
      </c>
      <c r="O150" s="7"/>
      <c r="P150" s="7"/>
      <c r="Q150" s="22"/>
      <c r="R150" s="22"/>
      <c r="S150" s="31">
        <f t="shared" si="42"/>
        <v>1</v>
      </c>
      <c r="T150" s="46" t="str">
        <f t="shared" si="43"/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 t="shared" si="44"/>
        <v>https://d0f6bd738d7f1b3e5a7ca70fe4ff75f0.us-east-1.aws.found.io/app/kibana#/discover/Steve-Slow-Train-Analysis-(2080s-and-2083s)?_g=(refreshInterval:(display:Off,pause:!f,section:0,value:0),time:(from:'2017-02-02T22:51:06-0700',mode:absolute,to:'2017-02-03T01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0" s="194" t="str">
        <f t="shared" si="45"/>
        <v>N</v>
      </c>
      <c r="X150" s="194">
        <f t="shared" si="46"/>
        <v>1</v>
      </c>
      <c r="Y150" s="62">
        <f t="shared" si="47"/>
        <v>23.297000000000001</v>
      </c>
      <c r="Z150" s="62">
        <f t="shared" si="48"/>
        <v>9.0700000000000003E-2</v>
      </c>
      <c r="AA150" s="62">
        <f t="shared" si="49"/>
        <v>23.206299999999999</v>
      </c>
      <c r="AB150" s="59" t="e">
        <f>VLOOKUP(A150,Enforcements!$C$7:$K$16,8,0)</f>
        <v>#N/A</v>
      </c>
      <c r="AC150" s="55" t="e">
        <f>VLOOKUP(A150,Enforcements!$C$7:$E$16,3,0)</f>
        <v>#N/A</v>
      </c>
      <c r="AD150" s="56" t="str">
        <f t="shared" si="50"/>
        <v>0238-02</v>
      </c>
      <c r="AE150" s="85" t="str">
        <f t="shared" si="51"/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AF150" s="82" t="str">
        <f t="shared" si="52"/>
        <v>"C:\Program Files (x86)\AstroGrep\AstroGrep.exe" /spath="%USERPROFILE%\AppData\Local\Temp\OnboardLogs" /stypes="app*4028*20170203*" /stext=" 07:.+((SYSTEM_STATE.+slice.+state.+changed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6" t="str">
        <f t="shared" si="54"/>
        <v>"%USERPROFILE%\Documents\GitHub\eaglep3\Utilities\RefineRTDCRunTimes.py" --tripid 238-02 --locoid 4028 --swversion DE.1.0.8.0 --startMP 204:232970 --initTime 2017-02-02T23:51:06 --startdatetime 2017-02-02T23:56:27 --delay 1 --endMP 204:907 --enddatetime 2017-02-03T00:36:39 --enforcementcount 0 &gt;&gt;C:\Users\stu\Documents\GitHub\eaglep3-reporting\EC\2017-02-02-refined-times.txt</v>
      </c>
      <c r="AI150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{"issue":{"subject":"","project_id":79,"tracker_id":40,"status_id":1,"priority_id":2,"assigned_to_id":23,"start_date":"2017-02-03","description":"","custom_fields":[{"id":1,"name":"Subdivision","value":"EC"},{"id":4,"name":"Milepost","value":"0.0907"},{"id":17,"name":"Train ID","value":"238-02"},{"id":16,"name":"Locomotive ID","value":"4028"},{"id":130,"name":"Impact","value":""},{"id":150,"name":"Time of Event (Mountain Time)","value":"00:36:39"},{"id":151,"name":"Denver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60" t="str">
        <f t="shared" si="56"/>
        <v>start /low /b %USERPROFILE%\Documents\GitHub\eaglep3\Utilities\DownloadLogsFromS3.py --loco 4028 --day 2017-02-02</v>
      </c>
      <c r="AN150" s="169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"%USERPROFILE%\AppData\Local\Temp\OnboardLogs"\RTDC4028\*4028*20170203* | grep -SE "(Enforcement Action)|(\[TIMEOUT)|(CHR.+\|PRM\|1\|D.+(SWITCH|SIGNAL).+UNKNOWN)" - &gt;&gt; 2017-02-02-UncaughtWiMAX.txt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675</v>
      </c>
      <c r="B151" s="7">
        <v>4046</v>
      </c>
      <c r="C151" s="21" t="s">
        <v>193</v>
      </c>
      <c r="D151" s="21" t="s">
        <v>747</v>
      </c>
      <c r="E151" s="13">
        <v>42768.969837962963</v>
      </c>
      <c r="F151" s="13">
        <v>42768.979548611111</v>
      </c>
      <c r="G151" s="7">
        <v>1</v>
      </c>
      <c r="H151" s="21" t="s">
        <v>290</v>
      </c>
      <c r="I151" s="13">
        <v>42769.003969907404</v>
      </c>
      <c r="J151" s="7">
        <v>0</v>
      </c>
      <c r="K151" s="98" t="str">
        <f t="shared" si="39"/>
        <v>4045/4046</v>
      </c>
      <c r="L151" s="21" t="str">
        <f>VLOOKUP(A151,'Trips&amp;Operators'!$C$1:$G$99999,5,FALSE)</f>
        <v>NEWELL JAMES</v>
      </c>
      <c r="M151" s="6">
        <f t="shared" si="40"/>
        <v>2.4421296293439809E-2</v>
      </c>
      <c r="N151" s="7">
        <f t="shared" si="41"/>
        <v>35.166666662553325</v>
      </c>
      <c r="O151" s="7"/>
      <c r="P151" s="7"/>
      <c r="Q151" s="22"/>
      <c r="R151" s="22"/>
      <c r="S151" s="31">
        <f t="shared" si="42"/>
        <v>1</v>
      </c>
      <c r="T151" s="46" t="str">
        <f t="shared" si="43"/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 t="shared" si="44"/>
        <v>https://d0f6bd738d7f1b3e5a7ca70fe4ff75f0.us-east-1.aws.found.io/app/kibana#/discover/Steve-Slow-Train-Analysis-(2080s-and-2083s)?_g=(refreshInterval:(display:Off,pause:!f,section:0,value:0),time:(from:'2017-02-02T22:16:34-0700',mode:absolute,to:'2017-02-03T01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1" s="194" t="str">
        <f t="shared" si="45"/>
        <v>N</v>
      </c>
      <c r="X151" s="194">
        <f t="shared" si="46"/>
        <v>1</v>
      </c>
      <c r="Y151" s="62">
        <f t="shared" si="47"/>
        <v>0.1164</v>
      </c>
      <c r="Z151" s="62">
        <f t="shared" si="48"/>
        <v>23.3307</v>
      </c>
      <c r="AA151" s="62">
        <f t="shared" si="49"/>
        <v>23.214300000000001</v>
      </c>
      <c r="AB151" s="59" t="e">
        <f>VLOOKUP(A151,Enforcements!$C$7:$K$16,8,0)</f>
        <v>#N/A</v>
      </c>
      <c r="AC151" s="55" t="e">
        <f>VLOOKUP(A151,Enforcements!$C$7:$E$16,3,0)</f>
        <v>#N/A</v>
      </c>
      <c r="AD151" s="56" t="str">
        <f t="shared" si="50"/>
        <v>0239-02</v>
      </c>
      <c r="AE151" s="85" t="str">
        <f t="shared" si="51"/>
        <v>aws s3 cp s3://rtdc.mdm.uploadarchive.raw/RTDC4046/ "%USERPROFILE%\AppData\Local\Temp\OnboardLogs"\RTDC4046\2017-02-02 --exclude "*" --recursive --include "*20170202*" &amp; "%USERPROFILE%\Documents\GitHub\mrs-test-scripts\Headless Mode &amp; Sideloading\WalkAndUnGZ.bat" "%USERPROFILE%\AppData\Local\Temp\OnboardLogs"\RTDC4046\2017-02-02 &amp; aws s3 cp s3://rtdc.mdm.uploadarchive.raw/RTDC4046/ "%USERPROFILE%\AppData\Local\Temp\OnboardLogs"\RTDC4046\2017-02-03 --exclude "*" --recursive --include "*20170203*" &amp; "%USERPROFILE%\Documents\GitHub\mrs-test-scripts\Headless Mode &amp; Sideloading\WalkAndUnGZ.bat" "%USERPROFILE%\AppData\Local\Temp\OnboardLogs"\RTDC4046\2017-02-03</v>
      </c>
      <c r="AF151" s="82" t="str">
        <f t="shared" si="52"/>
        <v>"C:\Program Files (x86)\AstroGrep\AstroGrep.exe" /spath="%USERPROFILE%\AppData\Local\Temp\OnboardLogs" /stypes="app*4046*20170203*"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6" t="str">
        <f t="shared" si="54"/>
        <v>"%USERPROFILE%\Documents\GitHub\eaglep3\Utilities\RefineRTDCRunTimes.py" --tripid 239-02 --locoid 4046 --swversion DE.1.0.8.0 --startMP 204:1164 --initTime 2017-02-02T23:16:34 --startdatetime 2017-02-02T23:30:33 --delay 1 --endMP 204:233307 --enddatetime 2017-02-03T00:05:43 --enforcementcount 0 &gt;&gt;C:\Users\stu\Documents\GitHub\eaglep3-reporting\EC\2017-02-02-refined-times.txt</v>
      </c>
      <c r="AI151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{"issue":{"subject":"","project_id":79,"tracker_id":40,"status_id":1,"priority_id":2,"assigned_to_id":23,"start_date":"2017-02-03","description":"","custom_fields":[{"id":1,"name":"Subdivision","value":"EC"},{"id":4,"name":"Milepost","value":"23.3307"},{"id":17,"name":"Train ID","value":"239-02"},{"id":16,"name":"Locomotive ID","value":"4046"},{"id":130,"name":"Impact","value":""},{"id":150,"name":"Time of Event (Mountain Time)","value":"00:05:43"},{"id":151,"name":"Denver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60" t="str">
        <f t="shared" si="56"/>
        <v>start /low /b %USERPROFILE%\Documents\GitHub\eaglep3\Utilities\DownloadLogsFromS3.py --loco 4046 --day 2017-02-02</v>
      </c>
      <c r="AN151" s="169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"%USERPROFILE%\AppData\Local\Temp\OnboardLogs"\RTDC4046\*4046*20170203* | grep -SE "(Enforcement Action)|(\[TIMEOUT)|(CHR.+\|PRM\|1\|D.+(SWITCH|SIGNAL).+UNKNOWN)" - &gt;&gt; 2017-02-02-UncaughtWiMAX.txt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470</v>
      </c>
      <c r="B152" s="7">
        <v>4045</v>
      </c>
      <c r="C152" s="21" t="s">
        <v>193</v>
      </c>
      <c r="D152" s="21" t="s">
        <v>342</v>
      </c>
      <c r="E152" s="13">
        <v>42769.015601851854</v>
      </c>
      <c r="F152" s="13">
        <v>42769.018217592595</v>
      </c>
      <c r="G152" s="7">
        <v>1</v>
      </c>
      <c r="H152" s="21" t="s">
        <v>748</v>
      </c>
      <c r="I152" s="13">
        <v>42769.044421296298</v>
      </c>
      <c r="J152" s="7">
        <v>0</v>
      </c>
      <c r="K152" s="98" t="str">
        <f t="shared" si="39"/>
        <v>4045/4046</v>
      </c>
      <c r="L152" s="21" t="str">
        <f>VLOOKUP(A152,'Trips&amp;Operators'!$C$1:$G$99999,5,FALSE)</f>
        <v>NEWELL JAMES</v>
      </c>
      <c r="M152" s="6">
        <f t="shared" si="40"/>
        <v>2.6203703702776693E-2</v>
      </c>
      <c r="N152" s="7">
        <f t="shared" si="41"/>
        <v>37.733333331998438</v>
      </c>
      <c r="O152" s="7"/>
      <c r="P152" s="7"/>
      <c r="Q152" s="22"/>
      <c r="R152" s="22"/>
      <c r="S152" s="31">
        <f t="shared" si="42"/>
        <v>1</v>
      </c>
      <c r="T152" s="46" t="str">
        <f t="shared" si="43"/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 t="shared" si="44"/>
        <v>https://d0f6bd738d7f1b3e5a7ca70fe4ff75f0.us-east-1.aws.found.io/app/kibana#/discover/Steve-Slow-Train-Analysis-(2080s-and-2083s)?_g=(refreshInterval:(display:Off,pause:!f,section:0,value:0),time:(from:'2017-02-02T23:22:28-0700',mode:absolute,to:'2017-02-03T02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2" s="194" t="str">
        <f t="shared" si="45"/>
        <v>N</v>
      </c>
      <c r="X152" s="194">
        <f t="shared" si="46"/>
        <v>1</v>
      </c>
      <c r="Y152" s="62">
        <f t="shared" si="47"/>
        <v>23.2986</v>
      </c>
      <c r="Z152" s="62">
        <f t="shared" si="48"/>
        <v>9.2999999999999999E-2</v>
      </c>
      <c r="AA152" s="62">
        <f t="shared" si="49"/>
        <v>23.2056</v>
      </c>
      <c r="AB152" s="59" t="e">
        <f>VLOOKUP(A152,Enforcements!$C$7:$K$16,8,0)</f>
        <v>#N/A</v>
      </c>
      <c r="AC152" s="55" t="e">
        <f>VLOOKUP(A152,Enforcements!$C$7:$E$16,3,0)</f>
        <v>#N/A</v>
      </c>
      <c r="AD152" s="56" t="str">
        <f t="shared" si="50"/>
        <v>0240-02</v>
      </c>
      <c r="AE152" s="85" t="str">
        <f t="shared" si="51"/>
        <v>aws s3 cp s3://rtdc.mdm.uploadarchive.raw/RTDC4045/ "%USERPROFILE%\AppData\Local\Temp\OnboardLogs"\RTDC4045\2017-02-03 --exclude "*" --recursive --include "*20170203*" &amp; "%USERPROFILE%\Documents\GitHub\mrs-test-scripts\Headless Mode &amp; Sideloading\WalkAndUnGZ.bat" "%USERPROFILE%\AppData\Local\Temp\OnboardLogs"\RTDC4045\2017-02-03 &amp; 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</v>
      </c>
      <c r="AF152" s="82" t="str">
        <f t="shared" si="52"/>
        <v>"C:\Program Files (x86)\AstroGrep\AstroGrep.exe" /spath="%USERPROFILE%\AppData\Local\Temp\OnboardLogs" /stypes="app*4045*20170203*" /stext=" 08:.+((SYSTEM_STATE.+slice.+state.+changed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6" t="str">
        <f t="shared" si="54"/>
        <v>"%USERPROFILE%\Documents\GitHub\eaglep3\Utilities\RefineRTDCRunTimes.py" --tripid 240-02 --locoid 4045 --swversion DE.1.0.8.0 --startMP 204:232986 --initTime 2017-02-03T00:22:28 --startdatetime 2017-02-03T00:26:14 --delay 1 --endMP 204:930 --enddatetime 2017-02-03T01:03:58 --enforcementcount 0 &gt;&gt;C:\Users\stu\Documents\GitHub\eaglep3-reporting\EC\2017-02-02-refined-times.txt</v>
      </c>
      <c r="AI152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{"issue":{"subject":"","project_id":79,"tracker_id":40,"status_id":1,"priority_id":2,"assigned_to_id":23,"start_date":"2017-02-03","description":"","custom_fields":[{"id":1,"name":"Subdivision","value":"EC"},{"id":4,"name":"Milepost","value":"0.093"},{"id":17,"name":"Train ID","value":"240-02"},{"id":16,"name":"Locomotive ID","value":"4045"},{"id":130,"name":"Impact","value":""},{"id":150,"name":"Time of Event (Mountain Time)","value":"01:03:58"},{"id":151,"name":"Denver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60" t="str">
        <f t="shared" si="56"/>
        <v>start /low /b %USERPROFILE%\Documents\GitHub\eaglep3\Utilities\DownloadLogsFromS3.py --loco 4045 --day 2017-02-03</v>
      </c>
      <c r="AN152" s="169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"%USERPROFILE%\AppData\Local\Temp\OnboardLogs"\RTDC4045\*4045*20170203* | grep -SE "(Enforcement Action)|(\[TIMEOUT)|(CHR.+\|PRM\|1\|D.+(SWITCH|SIGNAL).+UNKNOWN)" - &gt;&gt; 2017-02-02-UncaughtWiMAX.txt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3" t="s">
        <v>677</v>
      </c>
      <c r="B153" s="7">
        <v>4011</v>
      </c>
      <c r="C153" s="21" t="s">
        <v>193</v>
      </c>
      <c r="D153" s="21" t="s">
        <v>729</v>
      </c>
      <c r="E153" s="13">
        <v>42768.997199074074</v>
      </c>
      <c r="F153" s="13">
        <v>42769.000231481485</v>
      </c>
      <c r="G153" s="7">
        <v>1</v>
      </c>
      <c r="H153" s="21" t="s">
        <v>347</v>
      </c>
      <c r="I153" s="13">
        <v>42769.02516203704</v>
      </c>
      <c r="J153" s="7">
        <v>0</v>
      </c>
      <c r="K153" s="98" t="str">
        <f t="shared" si="39"/>
        <v>4011/4012</v>
      </c>
      <c r="L153" s="21" t="str">
        <f>VLOOKUP(A153,'Trips&amp;Operators'!$C$1:$G$99999,5,FALSE)</f>
        <v>MACDONALD THOMAS</v>
      </c>
      <c r="M153" s="6">
        <f t="shared" si="40"/>
        <v>2.4930555555329192E-2</v>
      </c>
      <c r="N153" s="7">
        <f t="shared" si="41"/>
        <v>35.899999999674037</v>
      </c>
      <c r="O153" s="7"/>
      <c r="P153" s="7"/>
      <c r="Q153" s="22"/>
      <c r="R153" s="22"/>
      <c r="S153" s="31">
        <f t="shared" si="42"/>
        <v>1</v>
      </c>
      <c r="T153" s="46" t="str">
        <f t="shared" si="43"/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 t="shared" si="44"/>
        <v>https://d0f6bd738d7f1b3e5a7ca70fe4ff75f0.us-east-1.aws.found.io/app/kibana#/discover/Steve-Slow-Train-Analysis-(2080s-and-2083s)?_g=(refreshInterval:(display:Off,pause:!f,section:0,value:0),time:(from:'2017-02-02T22:55:58-0700',mode:absolute,to:'2017-02-03T01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3" s="194" t="str">
        <f t="shared" si="45"/>
        <v>N</v>
      </c>
      <c r="X153" s="194">
        <f t="shared" si="46"/>
        <v>1</v>
      </c>
      <c r="Y153" s="62">
        <f t="shared" si="47"/>
        <v>4.7800000000000002E-2</v>
      </c>
      <c r="Z153" s="62">
        <f t="shared" si="48"/>
        <v>23.327200000000001</v>
      </c>
      <c r="AA153" s="62">
        <f t="shared" si="49"/>
        <v>23.279400000000003</v>
      </c>
      <c r="AB153" s="59" t="e">
        <f>VLOOKUP(A153,Enforcements!$C$7:$K$16,8,0)</f>
        <v>#N/A</v>
      </c>
      <c r="AC153" s="55" t="e">
        <f>VLOOKUP(A153,Enforcements!$C$7:$E$16,3,0)</f>
        <v>#N/A</v>
      </c>
      <c r="AD153" s="56" t="str">
        <f t="shared" si="50"/>
        <v>0241-02</v>
      </c>
      <c r="AE153" s="85" t="str">
        <f t="shared" si="51"/>
        <v>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 &amp; aws s3 cp s3://rtdc.mdm.uploadarchive.raw/RTDC4011/ "%USERPROFILE%\AppData\Local\Temp\OnboardLogs"\RTDC4011\2017-02-04 --exclude "*" --recursive --include "*20170204*" &amp; "%USERPROFILE%\Documents\GitHub\mrs-test-scripts\Headless Mode &amp; Sideloading\WalkAndUnGZ.bat" "%USERPROFILE%\AppData\Local\Temp\OnboardLogs"\RTDC4011\2017-02-04</v>
      </c>
      <c r="AF153" s="82" t="str">
        <f t="shared" si="52"/>
        <v>"C:\Program Files (x86)\AstroGrep\AstroGrep.exe" /spath="%USERPROFILE%\AppData\Local\Temp\OnboardLogs" /stypes="app*4011*20170203*" /stext=" 07:.+((SYSTEM_STATE.+slice.+state.+changed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6" t="str">
        <f t="shared" si="54"/>
        <v>"%USERPROFILE%\Documents\GitHub\eaglep3\Utilities\RefineRTDCRunTimes.py" --tripid 241-02 --locoid 4011 --swversion DE.1.0.8.0 --startMP 204:478 --initTime 2017-02-02T23:55:58 --startdatetime 2017-02-03T00:00:20 --delay 1 --endMP 204:233272 --enddatetime 2017-02-03T00:36:14 --enforcementcount 0 &gt;&gt;C:\Users\stu\Documents\GitHub\eaglep3-reporting\EC\2017-02-02-refined-times.txt</v>
      </c>
      <c r="AI153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{"issue":{"subject":"","project_id":79,"tracker_id":40,"status_id":1,"priority_id":2,"assigned_to_id":23,"start_date":"2017-02-03","description":"","custom_fields":[{"id":1,"name":"Subdivision","value":"EC"},{"id":4,"name":"Milepost","value":"23.3272"},{"id":17,"name":"Train ID","value":"241-02"},{"id":16,"name":"Locomotive ID","value":"4011"},{"id":130,"name":"Impact","value":""},{"id":150,"name":"Time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60" t="str">
        <f t="shared" si="56"/>
        <v>start /low /b %USERPROFILE%\Documents\GitHub\eaglep3\Utilities\DownloadLogsFromS3.py --loco 4011 --day 2017-02-03</v>
      </c>
      <c r="AN153" s="169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"%USERPROFILE%\AppData\Local\Temp\OnboardLogs"\RTDC4011\*4011*20170203* | grep -SE "(Enforcement Action)|(\[TIMEOUT)|(CHR.+\|PRM\|1\|D.+(SWITCH|SIGNAL).+UNKNOWN)" - &gt;&gt; 2017-02-02-UncaughtWiMAX.txt</v>
      </c>
    </row>
    <row r="154" spans="1:91" s="20" customFormat="1" x14ac:dyDescent="0.25">
      <c r="A154" s="33" t="s">
        <v>679</v>
      </c>
      <c r="B154" s="7">
        <v>4012</v>
      </c>
      <c r="C154" s="21" t="s">
        <v>193</v>
      </c>
      <c r="D154" s="21" t="s">
        <v>749</v>
      </c>
      <c r="E154" s="13">
        <v>42769.034525462965</v>
      </c>
      <c r="F154" s="13">
        <v>42769.039131944446</v>
      </c>
      <c r="G154" s="7">
        <v>1</v>
      </c>
      <c r="H154" s="21" t="s">
        <v>225</v>
      </c>
      <c r="I154" s="13">
        <v>42769.065567129626</v>
      </c>
      <c r="J154" s="7">
        <v>0</v>
      </c>
      <c r="K154" s="98" t="str">
        <f t="shared" si="39"/>
        <v>4011/4012</v>
      </c>
      <c r="L154" s="21" t="str">
        <f>VLOOKUP(A154,'Trips&amp;Operators'!$C$1:$G$99999,5,FALSE)</f>
        <v>MACDONALD THOMAS</v>
      </c>
      <c r="M154" s="6">
        <f t="shared" si="40"/>
        <v>2.643518518016208E-2</v>
      </c>
      <c r="N154" s="7">
        <f t="shared" si="41"/>
        <v>38.066666659433395</v>
      </c>
      <c r="O154" s="7"/>
      <c r="P154" s="7"/>
      <c r="Q154" s="22"/>
      <c r="R154" s="22"/>
      <c r="S154" s="31">
        <f t="shared" si="42"/>
        <v>1</v>
      </c>
      <c r="T154" s="46" t="str">
        <f t="shared" si="43"/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 t="shared" si="44"/>
        <v>https://d0f6bd738d7f1b3e5a7ca70fe4ff75f0.us-east-1.aws.found.io/app/kibana#/discover/Steve-Slow-Train-Analysis-(2080s-and-2083s)?_g=(refreshInterval:(display:Off,pause:!f,section:0,value:0),time:(from:'2017-02-02T23:49:43-0700',mode:absolute,to:'2017-02-03T02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194" t="str">
        <f t="shared" si="45"/>
        <v>N</v>
      </c>
      <c r="X154" s="194">
        <f t="shared" si="46"/>
        <v>1</v>
      </c>
      <c r="Y154" s="62">
        <f t="shared" si="47"/>
        <v>23.295999999999999</v>
      </c>
      <c r="Z154" s="62">
        <f t="shared" si="48"/>
        <v>1.54E-2</v>
      </c>
      <c r="AA154" s="62">
        <f t="shared" si="49"/>
        <v>23.2806</v>
      </c>
      <c r="AB154" s="59" t="e">
        <f>VLOOKUP(A154,Enforcements!$C$7:$K$16,8,0)</f>
        <v>#N/A</v>
      </c>
      <c r="AC154" s="55" t="e">
        <f>VLOOKUP(A154,Enforcements!$C$7:$E$16,3,0)</f>
        <v>#N/A</v>
      </c>
      <c r="AD154" s="56" t="str">
        <f t="shared" si="50"/>
        <v>0242-02</v>
      </c>
      <c r="AE154" s="85" t="str">
        <f t="shared" si="51"/>
        <v>aws s3 cp s3://rtdc.mdm.uploadarchive.raw/RTDC4012/ "%USERPROFILE%\AppData\Local\Temp\OnboardLogs"\RTDC4012\2017-02-03 --exclude "*" --recursive --include "*20170203*" &amp; "%USERPROFILE%\Documents\GitHub\mrs-test-scripts\Headless Mode &amp; Sideloading\WalkAndUnGZ.bat" "%USERPROFILE%\AppData\Local\Temp\OnboardLogs"\RTDC4012\2017-02-03 &amp; aws s3 cp s3://rtdc.mdm.uploadarchive.raw/RTDC4012/ "%USERPROFILE%\AppData\Local\Temp\OnboardLogs"\RTDC4012\2017-02-04 --exclude "*" --recursive --include "*20170204*" &amp; "%USERPROFILE%\Documents\GitHub\mrs-test-scripts\Headless Mode &amp; Sideloading\WalkAndUnGZ.bat" "%USERPROFILE%\AppData\Local\Temp\OnboardLogs"\RTDC4012\2017-02-04</v>
      </c>
      <c r="AF154" s="82" t="str">
        <f t="shared" si="52"/>
        <v>"C:\Program Files (x86)\AstroGrep\AstroGrep.exe" /spath="%USERPROFILE%\AppData\Local\Temp\OnboardLogs" /stypes="app*4012*20170203*" /stext=" 08:.+((SYSTEM_STATE.+slice.+state.+changed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6" t="str">
        <f t="shared" si="54"/>
        <v>"%USERPROFILE%\Documents\GitHub\eaglep3\Utilities\RefineRTDCRunTimes.py" --tripid 242-02 --locoid 4012 --swversion DE.1.0.8.0 --startMP 204:232960 --initTime 2017-02-03T00:49:43 --startdatetime 2017-02-03T00:56:21 --delay 1 --endMP 204:154 --enddatetime 2017-02-03T01:34:25 --enforcementcount 0 &gt;&gt;C:\Users\stu\Documents\GitHub\eaglep3-reporting\EC\2017-02-02-refined-times.txt</v>
      </c>
      <c r="AI154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{"issue":{"subject":"","project_id":79,"tracker_id":40,"status_id":1,"priority_id":2,"assigned_to_id":23,"start_date":"2017-02-03","description":"","custom_fields":[{"id":1,"name":"Subdivision","value":"EC"},{"id":4,"name":"Milepost","value":"0.0154"},{"id":17,"name":"Train ID","value":"242-02"},{"id":16,"name":"Locomotive ID","value":"4012"},{"id":130,"name":"Impact","value":""},{"id":150,"name":"Time of Event (Mountain Time)","value":"01:34:25"},{"id":151,"name":"Denver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60" t="str">
        <f t="shared" si="56"/>
        <v>start /low /b %USERPROFILE%\Documents\GitHub\eaglep3\Utilities\DownloadLogsFromS3.py --loco 4012 --day 2017-02-03</v>
      </c>
      <c r="AN154" s="169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"%USERPROFILE%\AppData\Local\Temp\OnboardLogs"\RTDC4012\*4012*20170203* | grep -SE "(Enforcement Action)|(\[TIMEOUT)|(CHR.+\|PRM\|1\|D.+(SWITCH|SIGNAL).+UNKNOWN)" - &gt;&gt; 2017-02-02-UncaughtWiMAX.txt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3" t="s">
        <v>471</v>
      </c>
      <c r="B155" s="7">
        <v>4051</v>
      </c>
      <c r="C155" s="21" t="s">
        <v>193</v>
      </c>
      <c r="D155" s="21" t="s">
        <v>750</v>
      </c>
      <c r="E155" s="13">
        <v>42769.007847222223</v>
      </c>
      <c r="F155" s="13">
        <v>42769.020972222221</v>
      </c>
      <c r="G155" s="7">
        <v>1</v>
      </c>
      <c r="H155" s="21" t="s">
        <v>751</v>
      </c>
      <c r="I155" s="13">
        <v>42769.044618055559</v>
      </c>
      <c r="J155" s="7">
        <v>0</v>
      </c>
      <c r="K155" s="98" t="str">
        <f t="shared" si="39"/>
        <v>4051/4052</v>
      </c>
      <c r="L155" s="21" t="str">
        <f>VLOOKUP(A155,'Trips&amp;Operators'!$C$1:$G$99999,5,FALSE)</f>
        <v>HILLS DUSTIN</v>
      </c>
      <c r="M155" s="6">
        <f t="shared" si="40"/>
        <v>2.3645833338377997E-2</v>
      </c>
      <c r="N155" s="7">
        <f t="shared" si="41"/>
        <v>34.050000007264316</v>
      </c>
      <c r="O155" s="7"/>
      <c r="P155" s="7"/>
      <c r="Q155" s="22"/>
      <c r="R155" s="22"/>
      <c r="S155" s="31">
        <f t="shared" si="42"/>
        <v>1</v>
      </c>
      <c r="T155" s="46" t="str">
        <f t="shared" si="43"/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 t="shared" si="44"/>
        <v>https://d0f6bd738d7f1b3e5a7ca70fe4ff75f0.us-east-1.aws.found.io/app/kibana#/discover/Steve-Slow-Train-Analysis-(2080s-and-2083s)?_g=(refreshInterval:(display:Off,pause:!f,section:0,value:0),time:(from:'2017-02-02T23:11:18-0700',mode:absolute,to:'2017-02-03T02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5" s="194" t="str">
        <f t="shared" si="45"/>
        <v>N</v>
      </c>
      <c r="X155" s="194">
        <f t="shared" si="46"/>
        <v>1</v>
      </c>
      <c r="Y155" s="62">
        <f t="shared" si="47"/>
        <v>0.12820000000000001</v>
      </c>
      <c r="Z155" s="62">
        <f t="shared" si="48"/>
        <v>23.3339</v>
      </c>
      <c r="AA155" s="62">
        <f t="shared" si="49"/>
        <v>23.2057</v>
      </c>
      <c r="AB155" s="59" t="e">
        <f>VLOOKUP(A155,Enforcements!$C$7:$K$16,8,0)</f>
        <v>#N/A</v>
      </c>
      <c r="AC155" s="55" t="e">
        <f>VLOOKUP(A155,Enforcements!$C$7:$E$16,3,0)</f>
        <v>#N/A</v>
      </c>
      <c r="AD155" s="56" t="str">
        <f t="shared" si="50"/>
        <v>0243-02</v>
      </c>
      <c r="AE155" s="85" t="str">
        <f t="shared" si="51"/>
        <v>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 &amp; 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</v>
      </c>
      <c r="AF155" s="82" t="str">
        <f t="shared" si="52"/>
        <v>"C:\Program Files (x86)\AstroGrep\AstroGrep.exe" /spath="%USERPROFILE%\AppData\Local\Temp\OnboardLogs" /stypes="app*4051*20170203*"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6" t="str">
        <f t="shared" si="54"/>
        <v>"%USERPROFILE%\Documents\GitHub\eaglep3\Utilities\RefineRTDCRunTimes.py" --tripid 243-02 --locoid 4051 --swversion DE.1.0.8.0 --startMP 204:1282 --initTime 2017-02-03T00:11:18 --startdatetime 2017-02-03T00:30:12 --delay 1 --endMP 204:233339 --enddatetime 2017-02-03T01:04:15 --enforcementcount 0 &gt;&gt;C:\Users\stu\Documents\GitHub\eaglep3-reporting\EC\2017-02-02-refined-times.txt</v>
      </c>
      <c r="AI155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{"issue":{"subject":"","project_id":79,"tracker_id":40,"status_id":1,"priority_id":2,"assigned_to_id":23,"start_date":"2017-02-03","description":"","custom_fields":[{"id":1,"name":"Subdivision","value":"EC"},{"id":4,"name":"Milepost","value":"23.3339"},{"id":17,"name":"Train ID","value":"243-02"},{"id":16,"name":"Locomotive ID","value":"4051"},{"id":130,"name":"Impact","value":""},{"id":150,"name":"Time of Event (Mountain Time)","value":"01:04:15"},{"id":151,"name":"Denver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60" t="str">
        <f t="shared" si="56"/>
        <v>start /low /b %USERPROFILE%\Documents\GitHub\eaglep3\Utilities\DownloadLogsFromS3.py --loco 4051 --day 2017-02-03</v>
      </c>
      <c r="AN155" s="169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"%USERPROFILE%\AppData\Local\Temp\OnboardLogs"\RTDC4051\*4051*20170203* | grep -SE "(Enforcement Action)|(\[TIMEOUT)|(CHR.+\|PRM\|1\|D.+(SWITCH|SIGNAL).+UNKNOWN)" - &gt;&gt; 2017-02-02-UncaughtWiMAX.txt</v>
      </c>
    </row>
    <row r="156" spans="1:91" s="20" customFormat="1" x14ac:dyDescent="0.25">
      <c r="A156" s="33" t="s">
        <v>681</v>
      </c>
      <c r="B156" s="7">
        <v>4052</v>
      </c>
      <c r="C156" s="21" t="s">
        <v>193</v>
      </c>
      <c r="D156" s="21" t="s">
        <v>310</v>
      </c>
      <c r="E156" s="13">
        <v>42769.049629629626</v>
      </c>
      <c r="F156" s="13">
        <v>42769.060011574074</v>
      </c>
      <c r="G156" s="7">
        <v>2</v>
      </c>
      <c r="H156" s="21" t="s">
        <v>388</v>
      </c>
      <c r="I156" s="13">
        <v>42769.085613425923</v>
      </c>
      <c r="J156" s="7">
        <v>0</v>
      </c>
      <c r="K156" s="98" t="str">
        <f t="shared" si="39"/>
        <v>4051/4052</v>
      </c>
      <c r="L156" s="21" t="str">
        <f>VLOOKUP(A156,'Trips&amp;Operators'!$C$1:$G$99999,5,FALSE)</f>
        <v>HILLS DUSTIN</v>
      </c>
      <c r="M156" s="6">
        <f t="shared" si="40"/>
        <v>2.5601851848477963E-2</v>
      </c>
      <c r="N156" s="7">
        <f t="shared" si="41"/>
        <v>36.866666661808267</v>
      </c>
      <c r="O156" s="7"/>
      <c r="P156" s="7"/>
      <c r="Q156" s="22"/>
      <c r="R156" s="22"/>
      <c r="S156" s="31">
        <f t="shared" si="42"/>
        <v>1</v>
      </c>
      <c r="T156" s="46" t="str">
        <f t="shared" si="43"/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 t="shared" si="44"/>
        <v>https://d0f6bd738d7f1b3e5a7ca70fe4ff75f0.us-east-1.aws.found.io/app/kibana#/discover/Steve-Slow-Train-Analysis-(2080s-and-2083s)?_g=(refreshInterval:(display:Off,pause:!f,section:0,value:0),time:(from:'2017-02-03T00:11:28-0700',mode:absolute,to:'2017-02-03T03:03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6" s="194" t="str">
        <f t="shared" si="45"/>
        <v>N</v>
      </c>
      <c r="X156" s="194">
        <f t="shared" si="46"/>
        <v>1</v>
      </c>
      <c r="Y156" s="62">
        <f t="shared" si="47"/>
        <v>23.299800000000001</v>
      </c>
      <c r="Z156" s="62">
        <f t="shared" si="48"/>
        <v>1.29E-2</v>
      </c>
      <c r="AA156" s="62">
        <f t="shared" si="49"/>
        <v>23.286900000000003</v>
      </c>
      <c r="AB156" s="59" t="e">
        <f>VLOOKUP(A156,Enforcements!$C$7:$K$16,8,0)</f>
        <v>#N/A</v>
      </c>
      <c r="AC156" s="55" t="e">
        <f>VLOOKUP(A156,Enforcements!$C$7:$E$16,3,0)</f>
        <v>#N/A</v>
      </c>
      <c r="AD156" s="56" t="str">
        <f t="shared" si="50"/>
        <v>0244-02</v>
      </c>
      <c r="AE156" s="85" t="str">
        <f t="shared" si="51"/>
        <v>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 &amp; aws s3 cp s3://rtdc.mdm.uploadarchive.raw/RTDC4052/ "%USERPROFILE%\AppData\Local\Temp\OnboardLogs"\RTDC4052\2017-02-04 --exclude "*" --recursive --include "*20170204*" &amp; "%USERPROFILE%\Documents\GitHub\mrs-test-scripts\Headless Mode &amp; Sideloading\WalkAndUnGZ.bat" "%USERPROFILE%\AppData\Local\Temp\OnboardLogs"\RTDC4052\2017-02-04</v>
      </c>
      <c r="AF156" s="82" t="str">
        <f t="shared" si="52"/>
        <v>"C:\Program Files (x86)\AstroGrep\AstroGrep.exe" /spath="%USERPROFILE%\AppData\Local\Temp\OnboardLogs" /stypes="app*4052*20170203*" /stext=" 09:.+((SYSTEM_STATE.+slice.+state.+changed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6" t="str">
        <f t="shared" si="54"/>
        <v>"%USERPROFILE%\Documents\GitHub\eaglep3\Utilities\RefineRTDCRunTimes.py" --tripid 244-02 --locoid 4052 --swversion DE.1.0.8.0 --startMP 204:232998 --initTime 2017-02-03T01:11:28 --startdatetime 2017-02-03T01:26:25 --delay 2 --endMP 204:129 --enddatetime 2017-02-03T02:03:17 --enforcementcount 0 &gt;&gt;C:\Users\stu\Documents\GitHub\eaglep3-reporting\EC\2017-02-02-refined-times.txt</v>
      </c>
      <c r="AI156" s="108" t="str">
        <f t="shared" si="55"/>
        <v>echo {"issue":{"subject":"","project_id":79,"tracker_id":40,"status_id":1,"priority_id":2,"assigned_to_id":23,"start_date":"2017-02-03","description":"","custom_fields":[{"id":1,"name":"Subdivision","value":"EC"},{"id":4,"name":"Milepost","value":"0.0129"},{"id":17,"name":"Train ID","value":"244-02"},{"id":16,"name":"Locomotive ID","value":"4052"},{"id":130,"name":"Impact","value":""},{"id":150,"name":"Time of Event (Mountain Time)","value":"02:03:17"},{"id":151,"name":"Denver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60" t="str">
        <f t="shared" si="56"/>
        <v>start /low /b %USERPROFILE%\Documents\GitHub\eaglep3\Utilities\DownloadLogsFromS3.py --loco 4052 --day 2017-02-03</v>
      </c>
      <c r="AN156" s="169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"%USERPROFILE%\AppData\Local\Temp\OnboardLogs"\RTDC4052\*4052*20170203* | grep -SE "(Enforcement Action)|(\[TIMEOUT)|(CHR.+\|PRM\|1\|D.+(SWITCH|SIGNAL).+UNKNOWN)" - &gt;&gt; 2017-02-02-UncaughtWiMAX.txt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490</v>
      </c>
      <c r="B157" s="7">
        <v>4019</v>
      </c>
      <c r="C157" s="21" t="s">
        <v>193</v>
      </c>
      <c r="D157" s="21" t="s">
        <v>771</v>
      </c>
      <c r="E157" s="13">
        <v>42768.209606481483</v>
      </c>
      <c r="F157" s="13">
        <v>42768.212442129632</v>
      </c>
      <c r="G157" s="7">
        <v>1</v>
      </c>
      <c r="H157" s="21" t="s">
        <v>389</v>
      </c>
      <c r="I157" s="13">
        <v>42768.227152777778</v>
      </c>
      <c r="J157" s="7">
        <v>0</v>
      </c>
      <c r="K157" s="98" t="str">
        <f t="shared" si="39"/>
        <v>4019/4020</v>
      </c>
      <c r="L157" s="21" t="str">
        <f>VLOOKUP(A157,'Trips&amp;Operators'!$C$1:$G$99999,5,FALSE)</f>
        <v>SHOOK JOHN</v>
      </c>
      <c r="M157" s="6">
        <f t="shared" si="40"/>
        <v>1.4710648145410232E-2</v>
      </c>
      <c r="N157" s="7">
        <f t="shared" si="41"/>
        <v>21.183333329390734</v>
      </c>
      <c r="O157" s="7"/>
      <c r="P157" s="7"/>
      <c r="Q157" s="22"/>
      <c r="R157" s="22"/>
      <c r="S157" s="31">
        <f t="shared" si="42"/>
        <v>1</v>
      </c>
      <c r="T157" s="46" t="str">
        <f t="shared" si="43"/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3" t="str">
        <f t="shared" si="44"/>
        <v>https://d0f6bd738d7f1b3e5a7ca70fe4ff75f0.us-east-1.aws.found.io/app/kibana#/discover/Steve-Slow-Train-Analysis-(2080s-and-2083s)?_g=(refreshInterval:(display:Off,pause:!f,section:0,value:0),time:(from:'2017-02-02T04:01:50-0700',mode:absolute,to:'2017-02-02T06:27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194" t="str">
        <f t="shared" si="45"/>
        <v>N</v>
      </c>
      <c r="X157" s="194">
        <f t="shared" si="46"/>
        <v>556</v>
      </c>
      <c r="Y157" s="62">
        <f t="shared" si="47"/>
        <v>5.8688000000000002</v>
      </c>
      <c r="Z157" s="62">
        <f t="shared" si="48"/>
        <v>7.4999999999999997E-2</v>
      </c>
      <c r="AA157" s="62">
        <f t="shared" si="49"/>
        <v>5.7938000000000001</v>
      </c>
      <c r="AB157" s="59" t="e">
        <f>VLOOKUP(A157,Enforcements!$C$7:$K$16,8,0)</f>
        <v>#N/A</v>
      </c>
      <c r="AC157" s="55" t="e">
        <f>VLOOKUP(A157,Enforcements!$C$7:$E$16,3,0)</f>
        <v>#N/A</v>
      </c>
      <c r="AD157" s="56" t="str">
        <f t="shared" si="50"/>
        <v>0800-02</v>
      </c>
      <c r="AE157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57" s="82" t="str">
        <f t="shared" si="52"/>
        <v>"C:\Program Files (x86)\AstroGrep\AstroGrep.exe" /spath="%USERPROFILE%\AppData\Local\Temp\OnboardLogs" /stypes="app*4019*20170202*" /stext=" 12:.+((SYSTEM_STATE.+slice.+state.+changed )|(ment ac)|(multiple cpu faults)|(system.+state.+changed )|(\[timeout)|(PRM\|1\|D)|(kpr)|(kdp)|(\|lc)|(penalty))" /e /r /s</v>
      </c>
      <c r="AG157" s="1" t="str">
        <f t="shared" si="53"/>
        <v>NW</v>
      </c>
      <c r="AH157" s="86" t="str">
        <f t="shared" si="54"/>
        <v>"%USERPROFILE%\Documents\GitHub\eaglep3\Utilities\RefineRTDCRunTimes.py" --tripid 800-02 --locoid 4019 --swversion DE.1.0.8.0 --startMP 300:58688 --initTime 2017-02-02T05:01:50 --startdatetime 2017-02-02T05:05:55 --delay 1 --endMP 204:750 --enddatetime 2017-02-02T05:27:06 --enforcementcount 0 &gt;&gt;C:\Users\stu\Documents\GitHub\eaglep3-reporting\EC\2017-02-02-refined-times.txt</v>
      </c>
      <c r="AI157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{"issue":{"subject":"","project_id":79,"tracker_id":40,"status_id":1,"priority_id":2,"assigned_to_id":23,"start_date":"2017-02-02","description":"","custom_fields":[{"id":1,"name":"Subdivision","value":"NW"},{"id":4,"name":"Milepost","value":"0.075"},{"id":17,"name":"Train ID","value":"800-02"},{"id":16,"name":"Locomotive ID","value":"4019"},{"id":130,"name":"Impact","value":""},{"id":150,"name":"Time of Event (Mountain Time)","value":"05:27:06"},{"id":151,"name":"Denver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60" t="str">
        <f t="shared" si="56"/>
        <v>start /low /b %USERPROFILE%\Documents\GitHub\eaglep3\Utilities\DownloadLogsFromS3.py --loco 4019 --day 2017-02-02</v>
      </c>
      <c r="AN157" s="169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498</v>
      </c>
      <c r="B158" s="7">
        <v>4020</v>
      </c>
      <c r="C158" s="21" t="s">
        <v>193</v>
      </c>
      <c r="D158" s="21" t="s">
        <v>772</v>
      </c>
      <c r="E158" s="13">
        <v>42768.22923611111</v>
      </c>
      <c r="F158" s="13">
        <v>42768.244039351855</v>
      </c>
      <c r="G158" s="7">
        <v>1</v>
      </c>
      <c r="H158" s="21" t="s">
        <v>773</v>
      </c>
      <c r="I158" s="13">
        <v>42768.253784722219</v>
      </c>
      <c r="J158" s="7">
        <v>0</v>
      </c>
      <c r="K158" s="98" t="str">
        <f t="shared" si="39"/>
        <v>4019/4020</v>
      </c>
      <c r="L158" s="21" t="str">
        <f>VLOOKUP(A158,'Trips&amp;Operators'!$C$1:$G$99999,5,FALSE)</f>
        <v>SHOOK JOHN</v>
      </c>
      <c r="M158" s="6">
        <f t="shared" si="40"/>
        <v>9.7453703638166189E-3</v>
      </c>
      <c r="N158" s="7">
        <f t="shared" si="41"/>
        <v>14.033333323895931</v>
      </c>
      <c r="O158" s="7"/>
      <c r="P158" s="7"/>
      <c r="Q158" s="22"/>
      <c r="R158" s="22"/>
      <c r="S158" s="31">
        <f t="shared" si="42"/>
        <v>1</v>
      </c>
      <c r="T158" s="46" t="str">
        <f t="shared" si="43"/>
        <v>NorthBound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 t="shared" si="44"/>
        <v>https://d0f6bd738d7f1b3e5a7ca70fe4ff75f0.us-east-1.aws.found.io/app/kibana#/discover/Steve-Slow-Train-Analysis-(2080s-and-2083s)?_g=(refreshInterval:(display:Off,pause:!f,section:0,value:0),time:(from:'2017-02-02T04:30:06-0700',mode:absolute,to:'2017-02-02T07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8" s="194" t="str">
        <f t="shared" si="45"/>
        <v>N</v>
      </c>
      <c r="X158" s="194">
        <f t="shared" si="46"/>
        <v>1</v>
      </c>
      <c r="Y158" s="62">
        <f t="shared" si="47"/>
        <v>0.1014</v>
      </c>
      <c r="Z158" s="62">
        <f t="shared" si="48"/>
        <v>5.8971</v>
      </c>
      <c r="AA158" s="62">
        <f t="shared" si="49"/>
        <v>5.7957000000000001</v>
      </c>
      <c r="AB158" s="59" t="e">
        <f>VLOOKUP(A158,Enforcements!$C$7:$K$16,8,0)</f>
        <v>#N/A</v>
      </c>
      <c r="AC158" s="55" t="e">
        <f>VLOOKUP(A158,Enforcements!$C$7:$E$16,3,0)</f>
        <v>#N/A</v>
      </c>
      <c r="AD158" s="56" t="str">
        <f t="shared" si="50"/>
        <v>0801-02</v>
      </c>
      <c r="AE158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58" s="82" t="str">
        <f t="shared" si="52"/>
        <v>"C:\Program Files (x86)\AstroGrep\AstroGrep.exe" /spath="%USERPROFILE%\AppData\Local\Temp\OnboardLogs" /stypes="app*4020*20170202*" /stext=" 13:.+((SYSTEM_STATE.+slice.+state.+changed )|(ment ac)|(multiple cpu faults)|(system.+state.+changed )|(\[timeout)|(PRM\|1\|D)|(kpr)|(kdp)|(\|lc)|(penalty))" /e /r /s</v>
      </c>
      <c r="AG158" s="1" t="str">
        <f t="shared" si="53"/>
        <v>NW</v>
      </c>
      <c r="AH158" s="86" t="str">
        <f t="shared" si="54"/>
        <v>"%USERPROFILE%\Documents\GitHub\eaglep3\Utilities\RefineRTDCRunTimes.py" --tripid 801-02 --locoid 4020 --swversion DE.1.0.8.0 --startMP 204:1014 --initTime 2017-02-02T05:30:06 --startdatetime 2017-02-02T05:51:25 --delay 1 --endMP 300:58971 --enddatetime 2017-02-02T06:05:27 --enforcementcount 0 &gt;&gt;C:\Users\stu\Documents\GitHub\eaglep3-reporting\EC\2017-02-02-refined-times.txt</v>
      </c>
      <c r="AI158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{"issue":{"subject":"","project_id":79,"tracker_id":40,"status_id":1,"priority_id":2,"assigned_to_id":23,"start_date":"2017-02-02","description":"","custom_fields":[{"id":1,"name":"Subdivision","value":"NW"},{"id":4,"name":"Milepost","value":"5.8971"},{"id":17,"name":"Train ID","value":"801-02"},{"id":16,"name":"Locomotive ID","value":"4020"},{"id":130,"name":"Impact","value":""},{"id":150,"name":"Time of Event (Mountain Time)","value":"06:05:27"},{"id":151,"name":"Denver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60" t="str">
        <f t="shared" si="56"/>
        <v>start /low /b %USERPROFILE%\Documents\GitHub\eaglep3\Utilities\DownloadLogsFromS3.py --loco 4020 --day 2017-02-02</v>
      </c>
      <c r="AN158" s="169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"%USERPROFILE%\AppData\Local\Temp\OnboardLogs"\RTDC4020\*4020*20170202* | grep -SE "(Enforcement Action)|(\[TIMEOUT)|(CHR.+\|PRM\|1\|D.+(SWITCH|SIGNAL).+UNKNOWN)" - &gt;&gt; 2017-02-02-UncaughtWiMAX.txt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504</v>
      </c>
      <c r="B159" s="7">
        <v>4019</v>
      </c>
      <c r="C159" s="21" t="s">
        <v>193</v>
      </c>
      <c r="D159" s="21" t="s">
        <v>774</v>
      </c>
      <c r="E159" s="13">
        <v>42768.255381944444</v>
      </c>
      <c r="F159" s="13">
        <v>42768.258101851854</v>
      </c>
      <c r="G159" s="7">
        <v>1</v>
      </c>
      <c r="H159" s="21" t="s">
        <v>775</v>
      </c>
      <c r="I159" s="13">
        <v>42768.269247685188</v>
      </c>
      <c r="J159" s="7">
        <v>0</v>
      </c>
      <c r="K159" s="98" t="str">
        <f t="shared" si="39"/>
        <v>4019/4020</v>
      </c>
      <c r="L159" s="21" t="str">
        <f>VLOOKUP(A159,'Trips&amp;Operators'!$C$1:$G$99999,5,FALSE)</f>
        <v>SHOOK JOHN</v>
      </c>
      <c r="M159" s="6">
        <f t="shared" si="40"/>
        <v>1.1145833334012423E-2</v>
      </c>
      <c r="N159" s="7">
        <f t="shared" si="41"/>
        <v>16.050000000977889</v>
      </c>
      <c r="O159" s="7"/>
      <c r="P159" s="7"/>
      <c r="Q159" s="22"/>
      <c r="R159" s="22"/>
      <c r="S159" s="31">
        <f t="shared" si="42"/>
        <v>1</v>
      </c>
      <c r="T159" s="46" t="str">
        <f t="shared" si="43"/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 t="shared" si="44"/>
        <v>https://d0f6bd738d7f1b3e5a7ca70fe4ff75f0.us-east-1.aws.found.io/app/kibana#/discover/Steve-Slow-Train-Analysis-(2080s-and-2083s)?_g=(refreshInterval:(display:Off,pause:!f,section:0,value:0),time:(from:'2017-02-02T05:07:45-0700',mode:absolute,to:'2017-02-02T07:27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9" s="194" t="str">
        <f t="shared" si="45"/>
        <v>N</v>
      </c>
      <c r="X159" s="194">
        <f t="shared" si="46"/>
        <v>1</v>
      </c>
      <c r="Y159" s="62">
        <f t="shared" si="47"/>
        <v>5.867</v>
      </c>
      <c r="Z159" s="62">
        <f t="shared" si="48"/>
        <v>7.3800000000000004E-2</v>
      </c>
      <c r="AA159" s="62">
        <f t="shared" si="49"/>
        <v>5.7931999999999997</v>
      </c>
      <c r="AB159" s="59" t="e">
        <f>VLOOKUP(A159,Enforcements!$C$7:$K$16,8,0)</f>
        <v>#N/A</v>
      </c>
      <c r="AC159" s="55" t="e">
        <f>VLOOKUP(A159,Enforcements!$C$7:$E$16,3,0)</f>
        <v>#N/A</v>
      </c>
      <c r="AD159" s="56" t="str">
        <f t="shared" si="50"/>
        <v>0802-02</v>
      </c>
      <c r="AE159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59" s="82" t="str">
        <f t="shared" si="52"/>
        <v>"C:\Program Files (x86)\AstroGrep\AstroGrep.exe" /spath="%USERPROFILE%\AppData\Local\Temp\OnboardLogs" /stypes="app*4019*20170202*" /stext=" 13:.+((SYSTEM_STATE.+slice.+state.+changed )|(ment ac)|(multiple cpu faults)|(system.+state.+changed )|(\[timeout)|(PRM\|1\|D)|(kpr)|(kdp)|(\|lc)|(penalty))" /e /r /s</v>
      </c>
      <c r="AG159" s="1" t="str">
        <f t="shared" si="53"/>
        <v>NW</v>
      </c>
      <c r="AH159" s="86" t="str">
        <f t="shared" si="54"/>
        <v>"%USERPROFILE%\Documents\GitHub\eaglep3\Utilities\RefineRTDCRunTimes.py" --tripid 802-02 --locoid 4019 --swversion DE.1.0.8.0 --startMP 300:58670 --initTime 2017-02-02T06:07:45 --startdatetime 2017-02-02T06:11:40 --delay 1 --endMP 204:738 --enddatetime 2017-02-02T06:27:43 --enforcementcount 0 &gt;&gt;C:\Users\stu\Documents\GitHub\eaglep3-reporting\EC\2017-02-02-refined-times.txt</v>
      </c>
      <c r="AI159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{"issue":{"subject":"","project_id":79,"tracker_id":40,"status_id":1,"priority_id":2,"assigned_to_id":23,"start_date":"2017-02-02","description":"","custom_fields":[{"id":1,"name":"Subdivision","value":"NW"},{"id":4,"name":"Milepost","value":"0.0738"},{"id":17,"name":"Train ID","value":"802-02"},{"id":16,"name":"Locomotive ID","value":"4019"},{"id":130,"name":"Impact","value":""},{"id":150,"name":"Time of Event (Mountain Time)","value":"06:27:43"},{"id":151,"name":"Denver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60" t="str">
        <f t="shared" si="56"/>
        <v>start /low /b %USERPROFILE%\Documents\GitHub\eaglep3\Utilities\DownloadLogsFromS3.py --loco 4019 --day 2017-02-02</v>
      </c>
      <c r="AN159" s="169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506</v>
      </c>
      <c r="B160" s="7">
        <v>4003</v>
      </c>
      <c r="C160" s="21" t="s">
        <v>193</v>
      </c>
      <c r="D160" s="21" t="s">
        <v>776</v>
      </c>
      <c r="E160" s="13">
        <v>42768.260162037041</v>
      </c>
      <c r="F160" s="13">
        <v>42768.264861111114</v>
      </c>
      <c r="G160" s="7">
        <v>5</v>
      </c>
      <c r="H160" s="21" t="s">
        <v>777</v>
      </c>
      <c r="I160" s="13">
        <v>42768.273831018516</v>
      </c>
      <c r="J160" s="7">
        <v>0</v>
      </c>
      <c r="K160" s="98" t="str">
        <f t="shared" si="39"/>
        <v>4003/4004</v>
      </c>
      <c r="L160" s="21" t="str">
        <f>VLOOKUP(A160,'Trips&amp;Operators'!$C$1:$G$99999,5,FALSE)</f>
        <v>LOZA FIDEL</v>
      </c>
      <c r="M160" s="6">
        <f t="shared" si="40"/>
        <v>8.9699074014788494E-3</v>
      </c>
      <c r="N160" s="7">
        <f t="shared" si="41"/>
        <v>12.916666658129543</v>
      </c>
      <c r="O160" s="7"/>
      <c r="P160" s="7"/>
      <c r="Q160" s="22"/>
      <c r="R160" s="22"/>
      <c r="S160" s="31">
        <f t="shared" si="42"/>
        <v>1</v>
      </c>
      <c r="T160" s="46" t="str">
        <f t="shared" si="43"/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 t="shared" si="44"/>
        <v>https://d0f6bd738d7f1b3e5a7ca70fe4ff75f0.us-east-1.aws.found.io/app/kibana#/discover/Steve-Slow-Train-Analysis-(2080s-and-2083s)?_g=(refreshInterval:(display:Off,pause:!f,section:0,value:0),time:(from:'2017-02-02T05:14:38-0700',mode:absolute,to:'2017-02-02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0" s="194" t="str">
        <f t="shared" si="45"/>
        <v>N</v>
      </c>
      <c r="X160" s="194">
        <f t="shared" si="46"/>
        <v>1</v>
      </c>
      <c r="Y160" s="62">
        <f t="shared" si="47"/>
        <v>9.3700000000000006E-2</v>
      </c>
      <c r="Z160" s="62">
        <f t="shared" si="48"/>
        <v>5.8964999999999996</v>
      </c>
      <c r="AA160" s="62">
        <f t="shared" si="49"/>
        <v>5.8027999999999995</v>
      </c>
      <c r="AB160" s="59" t="e">
        <f>VLOOKUP(A160,Enforcements!$C$7:$K$16,8,0)</f>
        <v>#N/A</v>
      </c>
      <c r="AC160" s="55" t="e">
        <f>VLOOKUP(A160,Enforcements!$C$7:$E$16,3,0)</f>
        <v>#N/A</v>
      </c>
      <c r="AD160" s="56" t="str">
        <f t="shared" si="50"/>
        <v>0803-02</v>
      </c>
      <c r="AE160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60" s="82" t="str">
        <f t="shared" si="52"/>
        <v>"C:\Program Files (x86)\AstroGrep\AstroGrep.exe" /spath="%USERPROFILE%\AppData\Local\Temp\OnboardLogs" /stypes="app*4003*20170202*" /stext=" 13:.+((SYSTEM_STATE.+slice.+state.+changed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86" t="str">
        <f t="shared" si="54"/>
        <v>"%USERPROFILE%\Documents\GitHub\eaglep3\Utilities\RefineRTDCRunTimes.py" --tripid 803-02 --locoid 4003 --swversion DE.1.0.8.0 --startMP 204:937 --initTime 2017-02-02T06:14:38 --startdatetime 2017-02-02T06:21:24 --delay 5 --endMP 300:58965 --enddatetime 2017-02-02T06:34:19 --enforcementcount 0 &gt;&gt;C:\Users\stu\Documents\GitHub\eaglep3-reporting\EC\2017-02-02-refined-times.txt</v>
      </c>
      <c r="AI160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{"issue":{"subject":"","project_id":79,"tracker_id":40,"status_id":1,"priority_id":2,"assigned_to_id":23,"start_date":"2017-02-02","description":"","custom_fields":[{"id":1,"name":"Subdivision","value":"NW"},{"id":4,"name":"Milepost","value":"5.8965"},{"id":17,"name":"Train ID","value":"803-02"},{"id":16,"name":"Locomotive ID","value":"4003"},{"id":130,"name":"Impact","value":""},{"id":150,"name":"Time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60" t="str">
        <f t="shared" si="56"/>
        <v>start /low /b %USERPROFILE%\Documents\GitHub\eaglep3\Utilities\DownloadLogsFromS3.py --loco 4003 --day 2017-02-02</v>
      </c>
      <c r="AN160" s="169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511</v>
      </c>
      <c r="B161" s="7">
        <v>4004</v>
      </c>
      <c r="C161" s="21" t="s">
        <v>193</v>
      </c>
      <c r="D161" s="21" t="s">
        <v>778</v>
      </c>
      <c r="E161" s="13">
        <v>42768.27542824074</v>
      </c>
      <c r="F161" s="13">
        <v>42768.277905092589</v>
      </c>
      <c r="G161" s="7">
        <v>1</v>
      </c>
      <c r="H161" s="21" t="s">
        <v>435</v>
      </c>
      <c r="I161" s="13">
        <v>42768.289479166669</v>
      </c>
      <c r="J161" s="7">
        <v>0</v>
      </c>
      <c r="K161" s="98" t="str">
        <f t="shared" si="39"/>
        <v>4003/4004</v>
      </c>
      <c r="L161" s="21" t="str">
        <f>VLOOKUP(A161,'Trips&amp;Operators'!$C$1:$G$99999,5,FALSE)</f>
        <v>LOZA FIDEL</v>
      </c>
      <c r="M161" s="6">
        <f t="shared" si="40"/>
        <v>1.1574074080272112E-2</v>
      </c>
      <c r="N161" s="7">
        <f t="shared" si="41"/>
        <v>16.666666675591841</v>
      </c>
      <c r="O161" s="7"/>
      <c r="P161" s="7"/>
      <c r="Q161" s="22"/>
      <c r="R161" s="22"/>
      <c r="S161" s="31">
        <f t="shared" si="42"/>
        <v>1</v>
      </c>
      <c r="T161" s="46" t="str">
        <f t="shared" si="43"/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 t="shared" si="44"/>
        <v>https://d0f6bd738d7f1b3e5a7ca70fe4ff75f0.us-east-1.aws.found.io/app/kibana#/discover/Steve-Slow-Train-Analysis-(2080s-and-2083s)?_g=(refreshInterval:(display:Off,pause:!f,section:0,value:0),time:(from:'2017-02-02T05:36:37-0700',mode:absolute,to:'2017-02-02T07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1" s="194" t="str">
        <f t="shared" si="45"/>
        <v>N</v>
      </c>
      <c r="X161" s="194">
        <f t="shared" si="46"/>
        <v>1</v>
      </c>
      <c r="Y161" s="62">
        <f t="shared" si="47"/>
        <v>5.8655999999999997</v>
      </c>
      <c r="Z161" s="62">
        <f t="shared" si="48"/>
        <v>6.6799999999999998E-2</v>
      </c>
      <c r="AA161" s="62">
        <f t="shared" si="49"/>
        <v>5.7988</v>
      </c>
      <c r="AB161" s="59" t="e">
        <f>VLOOKUP(A161,Enforcements!$C$7:$K$16,8,0)</f>
        <v>#N/A</v>
      </c>
      <c r="AC161" s="55" t="e">
        <f>VLOOKUP(A161,Enforcements!$C$7:$E$16,3,0)</f>
        <v>#N/A</v>
      </c>
      <c r="AD161" s="56" t="str">
        <f t="shared" si="50"/>
        <v>0804-02</v>
      </c>
      <c r="AE161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61" s="82" t="str">
        <f t="shared" si="52"/>
        <v>"C:\Program Files (x86)\AstroGrep\AstroGrep.exe" /spath="%USERPROFILE%\AppData\Local\Temp\OnboardLogs" /stypes="app*4004*20170202*" /stext=" 13:.+((SYSTEM_STATE.+slice.+state.+changed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6" t="str">
        <f t="shared" si="54"/>
        <v>"%USERPROFILE%\Documents\GitHub\eaglep3\Utilities\RefineRTDCRunTimes.py" --tripid 804-02 --locoid 4004 --swversion DE.1.0.8.0 --startMP 300:58656 --initTime 2017-02-02T06:36:37 --startdatetime 2017-02-02T06:40:11 --delay 1 --endMP 204:668 --enddatetime 2017-02-02T06:56:51 --enforcementcount 0 &gt;&gt;C:\Users\stu\Documents\GitHub\eaglep3-reporting\EC\2017-02-02-refined-times.txt</v>
      </c>
      <c r="AI161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{"issue":{"subject":"","project_id":79,"tracker_id":40,"status_id":1,"priority_id":2,"assigned_to_id":23,"start_date":"2017-02-02","description":"","custom_fields":[{"id":1,"name":"Subdivision","value":"NW"},{"id":4,"name":"Milepost","value":"0.0668"},{"id":17,"name":"Train ID","value":"804-02"},{"id":16,"name":"Locomotive ID","value":"4004"},{"id":130,"name":"Impact","value":""},{"id":150,"name":"Time of Event (Mountain Time)","value":"06:56:51"},{"id":151,"name":"Denver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60" t="str">
        <f t="shared" si="56"/>
        <v>start /low /b %USERPROFILE%\Documents\GitHub\eaglep3\Utilities\DownloadLogsFromS3.py --loco 4004 --day 2017-02-02</v>
      </c>
      <c r="AN161" s="169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62" spans="1:91" s="20" customFormat="1" x14ac:dyDescent="0.25">
      <c r="A162" s="33" t="s">
        <v>508</v>
      </c>
      <c r="B162" s="7">
        <v>4020</v>
      </c>
      <c r="C162" s="21" t="s">
        <v>193</v>
      </c>
      <c r="D162" s="21" t="s">
        <v>426</v>
      </c>
      <c r="E162" s="13">
        <v>42768.27134259259</v>
      </c>
      <c r="F162" s="13">
        <v>42768.285833333335</v>
      </c>
      <c r="G162" s="7">
        <v>1</v>
      </c>
      <c r="H162" s="21" t="s">
        <v>779</v>
      </c>
      <c r="I162" s="13">
        <v>42768.295486111114</v>
      </c>
      <c r="J162" s="7">
        <v>0</v>
      </c>
      <c r="K162" s="98" t="str">
        <f t="shared" si="39"/>
        <v>4019/4020</v>
      </c>
      <c r="L162" s="21" t="str">
        <f>VLOOKUP(A162,'Trips&amp;Operators'!$C$1:$G$99999,5,FALSE)</f>
        <v>SHOOK JOHN</v>
      </c>
      <c r="M162" s="6">
        <f t="shared" si="40"/>
        <v>9.6527777786832303E-3</v>
      </c>
      <c r="N162" s="7">
        <f t="shared" si="41"/>
        <v>13.900000001303852</v>
      </c>
      <c r="O162" s="7"/>
      <c r="P162" s="7"/>
      <c r="Q162" s="22"/>
      <c r="R162" s="22"/>
      <c r="S162" s="31">
        <f t="shared" si="42"/>
        <v>1</v>
      </c>
      <c r="T162" s="46" t="str">
        <f t="shared" si="43"/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 t="shared" si="44"/>
        <v>https://d0f6bd738d7f1b3e5a7ca70fe4ff75f0.us-east-1.aws.found.io/app/kibana#/discover/Steve-Slow-Train-Analysis-(2080s-and-2083s)?_g=(refreshInterval:(display:Off,pause:!f,section:0,value:0),time:(from:'2017-02-02T05:30:44-0700',mode:absolute,to:'2017-02-02T08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2" s="194" t="str">
        <f t="shared" si="45"/>
        <v>N</v>
      </c>
      <c r="X162" s="194">
        <f t="shared" si="46"/>
        <v>1</v>
      </c>
      <c r="Y162" s="62">
        <f t="shared" si="47"/>
        <v>0.1032</v>
      </c>
      <c r="Z162" s="62">
        <f t="shared" si="48"/>
        <v>5.8987999999999996</v>
      </c>
      <c r="AA162" s="62">
        <f t="shared" si="49"/>
        <v>5.7955999999999994</v>
      </c>
      <c r="AB162" s="59" t="e">
        <f>VLOOKUP(A162,Enforcements!$C$7:$K$16,8,0)</f>
        <v>#N/A</v>
      </c>
      <c r="AC162" s="55" t="e">
        <f>VLOOKUP(A162,Enforcements!$C$7:$E$16,3,0)</f>
        <v>#N/A</v>
      </c>
      <c r="AD162" s="56" t="str">
        <f t="shared" si="50"/>
        <v>0805-02</v>
      </c>
      <c r="AE162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62" s="82" t="str">
        <f t="shared" si="52"/>
        <v>"C:\Program Files (x86)\AstroGrep\AstroGrep.exe" /spath="%USERPROFILE%\AppData\Local\Temp\OnboardLogs" /stypes="app*4020*20170202*" /stext=" 14:.+((SYSTEM_STATE.+slice.+state.+changed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6" t="str">
        <f t="shared" si="54"/>
        <v>"%USERPROFILE%\Documents\GitHub\eaglep3\Utilities\RefineRTDCRunTimes.py" --tripid 805-02 --locoid 4020 --swversion DE.1.0.8.0 --startMP 204:1032 --initTime 2017-02-02T06:30:44 --startdatetime 2017-02-02T06:51:36 --delay 1 --endMP 300:58988 --enddatetime 2017-02-02T07:05:30 --enforcementcount 0 &gt;&gt;C:\Users\stu\Documents\GitHub\eaglep3-reporting\EC\2017-02-02-refined-times.txt</v>
      </c>
      <c r="AI162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{"issue":{"subject":"","project_id":79,"tracker_id":40,"status_id":1,"priority_id":2,"assigned_to_id":23,"start_date":"2017-02-02","description":"","custom_fields":[{"id":1,"name":"Subdivision","value":"NW"},{"id":4,"name":"Milepost","value":"5.8988"},{"id":17,"name":"Train ID","value":"805-02"},{"id":16,"name":"Locomotive ID","value":"4020"},{"id":130,"name":"Impact","value":""},{"id":150,"name":"Time of Event (Mountain Time)","value":"07:05:30"},{"id":151,"name":"Denver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60" t="str">
        <f t="shared" si="56"/>
        <v>start /low /b %USERPROFILE%\Documents\GitHub\eaglep3\Utilities\DownloadLogsFromS3.py --loco 4020 --day 2017-02-02</v>
      </c>
      <c r="AN162" s="169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"%USERPROFILE%\AppData\Local\Temp\OnboardLogs"\RTDC4020\*4020*20170202* | grep -SE "(Enforcement Action)|(\[TIMEOUT)|(CHR.+\|PRM\|1\|D.+(SWITCH|SIGNAL).+UNKNOWN)" - &gt;&gt; 2017-02-02-UncaughtWiMAX.txt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515</v>
      </c>
      <c r="B163" s="7">
        <v>4019</v>
      </c>
      <c r="C163" s="21" t="s">
        <v>193</v>
      </c>
      <c r="D163" s="21" t="s">
        <v>774</v>
      </c>
      <c r="E163" s="13">
        <v>42768.2968287037</v>
      </c>
      <c r="F163" s="13">
        <v>42768.299861111111</v>
      </c>
      <c r="G163" s="7">
        <v>1</v>
      </c>
      <c r="H163" s="21" t="s">
        <v>424</v>
      </c>
      <c r="I163" s="13">
        <v>42768.30976851852</v>
      </c>
      <c r="J163" s="7">
        <v>0</v>
      </c>
      <c r="K163" s="98" t="str">
        <f t="shared" si="39"/>
        <v>4019/4020</v>
      </c>
      <c r="L163" s="21" t="str">
        <f>VLOOKUP(A163,'Trips&amp;Operators'!$C$1:$G$99999,5,FALSE)</f>
        <v>SHOOK JOHN</v>
      </c>
      <c r="M163" s="6">
        <f t="shared" si="40"/>
        <v>9.9074074096279219E-3</v>
      </c>
      <c r="N163" s="7">
        <f t="shared" si="41"/>
        <v>14.266666669864208</v>
      </c>
      <c r="O163" s="7"/>
      <c r="P163" s="7"/>
      <c r="Q163" s="22"/>
      <c r="R163" s="22"/>
      <c r="S163" s="31">
        <f t="shared" si="42"/>
        <v>1</v>
      </c>
      <c r="T163" s="46" t="str">
        <f t="shared" si="43"/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 t="shared" si="44"/>
        <v>https://d0f6bd738d7f1b3e5a7ca70fe4ff75f0.us-east-1.aws.found.io/app/kibana#/discover/Steve-Slow-Train-Analysis-(2080s-and-2083s)?_g=(refreshInterval:(display:Off,pause:!f,section:0,value:0),time:(from:'2017-02-02T06:07:26-0700',mode:absolute,to:'2017-02-02T08:26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3" s="194" t="str">
        <f t="shared" si="45"/>
        <v>N</v>
      </c>
      <c r="X163" s="194">
        <f t="shared" si="46"/>
        <v>1</v>
      </c>
      <c r="Y163" s="62">
        <f t="shared" si="47"/>
        <v>5.867</v>
      </c>
      <c r="Z163" s="62">
        <f t="shared" si="48"/>
        <v>7.4800000000000005E-2</v>
      </c>
      <c r="AA163" s="62">
        <f t="shared" si="49"/>
        <v>5.7922000000000002</v>
      </c>
      <c r="AB163" s="59" t="e">
        <f>VLOOKUP(A163,Enforcements!$C$7:$K$16,8,0)</f>
        <v>#N/A</v>
      </c>
      <c r="AC163" s="55" t="e">
        <f>VLOOKUP(A163,Enforcements!$C$7:$E$16,3,0)</f>
        <v>#N/A</v>
      </c>
      <c r="AD163" s="56" t="str">
        <f t="shared" si="50"/>
        <v>0806-02</v>
      </c>
      <c r="AE163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63" s="82" t="str">
        <f t="shared" si="52"/>
        <v>"C:\Program Files (x86)\AstroGrep\AstroGrep.exe" /spath="%USERPROFILE%\AppData\Local\Temp\OnboardLogs" /stypes="app*4019*20170202*" /stext=" 14:.+((SYSTEM_STATE.+slice.+state.+changed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6" t="str">
        <f t="shared" si="54"/>
        <v>"%USERPROFILE%\Documents\GitHub\eaglep3\Utilities\RefineRTDCRunTimes.py" --tripid 806-02 --locoid 4019 --swversion DE.1.0.8.0 --startMP 300:58670 --initTime 2017-02-02T07:07:26 --startdatetime 2017-02-02T07:11:48 --delay 1 --endMP 204:748 --enddatetime 2017-02-02T07:26:04 --enforcementcount 0 &gt;&gt;C:\Users\stu\Documents\GitHub\eaglep3-reporting\EC\2017-02-02-refined-times.txt</v>
      </c>
      <c r="AI163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{"issue":{"subject":"","project_id":79,"tracker_id":40,"status_id":1,"priority_id":2,"assigned_to_id":23,"start_date":"2017-02-02","description":"","custom_fields":[{"id":1,"name":"Subdivision","value":"NW"},{"id":4,"name":"Milepost","value":"0.0748"},{"id":17,"name":"Train ID","value":"806-02"},{"id":16,"name":"Locomotive ID","value":"4019"},{"id":130,"name":"Impact","value":""},{"id":150,"name":"Time of Event (Mountain Time)","value":"07:26:04"},{"id":151,"name":"Denver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60" t="str">
        <f t="shared" si="56"/>
        <v>start /low /b %USERPROFILE%\Documents\GitHub\eaglep3\Utilities\DownloadLogsFromS3.py --loco 4019 --day 2017-02-02</v>
      </c>
      <c r="AN163" s="169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516</v>
      </c>
      <c r="B164" s="7">
        <v>4003</v>
      </c>
      <c r="C164" s="21" t="s">
        <v>193</v>
      </c>
      <c r="D164" s="21" t="s">
        <v>780</v>
      </c>
      <c r="E164" s="13">
        <v>42768.304085648146</v>
      </c>
      <c r="F164" s="13">
        <v>42768.306493055556</v>
      </c>
      <c r="G164" s="7">
        <v>1</v>
      </c>
      <c r="H164" s="21" t="s">
        <v>781</v>
      </c>
      <c r="I164" s="13">
        <v>42768.315416666665</v>
      </c>
      <c r="J164" s="7">
        <v>0</v>
      </c>
      <c r="K164" s="98" t="str">
        <f t="shared" si="39"/>
        <v>4003/4004</v>
      </c>
      <c r="L164" s="21" t="str">
        <f>VLOOKUP(A164,'Trips&amp;Operators'!$C$1:$G$99999,5,FALSE)</f>
        <v>LOZA FIDEL</v>
      </c>
      <c r="M164" s="6">
        <f t="shared" si="40"/>
        <v>8.923611108912155E-3</v>
      </c>
      <c r="N164" s="7">
        <f t="shared" si="41"/>
        <v>12.849999996833503</v>
      </c>
      <c r="O164" s="7"/>
      <c r="P164" s="7"/>
      <c r="Q164" s="22"/>
      <c r="R164" s="22"/>
      <c r="S164" s="31">
        <f t="shared" si="42"/>
        <v>1</v>
      </c>
      <c r="T164" s="46" t="str">
        <f t="shared" si="43"/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 t="shared" si="44"/>
        <v>https://d0f6bd738d7f1b3e5a7ca70fe4ff75f0.us-east-1.aws.found.io/app/kibana#/discover/Steve-Slow-Train-Analysis-(2080s-and-2083s)?_g=(refreshInterval:(display:Off,pause:!f,section:0,value:0),time:(from:'2017-02-02T06:17:53-0700',mode:absolute,to:'2017-02-02T08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4" s="194" t="str">
        <f t="shared" si="45"/>
        <v>N</v>
      </c>
      <c r="X164" s="194">
        <f t="shared" si="46"/>
        <v>1</v>
      </c>
      <c r="Y164" s="62">
        <f t="shared" si="47"/>
        <v>9.7199999999999995E-2</v>
      </c>
      <c r="Z164" s="62">
        <f t="shared" si="48"/>
        <v>5.8952</v>
      </c>
      <c r="AA164" s="62">
        <f t="shared" si="49"/>
        <v>5.798</v>
      </c>
      <c r="AB164" s="59" t="e">
        <f>VLOOKUP(A164,Enforcements!$C$7:$K$16,8,0)</f>
        <v>#N/A</v>
      </c>
      <c r="AC164" s="55" t="e">
        <f>VLOOKUP(A164,Enforcements!$C$7:$E$16,3,0)</f>
        <v>#N/A</v>
      </c>
      <c r="AD164" s="56" t="str">
        <f t="shared" si="50"/>
        <v>0807-02</v>
      </c>
      <c r="AE164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64" s="82" t="str">
        <f t="shared" si="52"/>
        <v>"C:\Program Files (x86)\AstroGrep\AstroGrep.exe" /spath="%USERPROFILE%\AppData\Local\Temp\OnboardLogs" /stypes="app*4003*20170202*" /stext=" 14:.+((SYSTEM_STATE.+slice.+state.+changed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6" t="str">
        <f t="shared" si="54"/>
        <v>"%USERPROFILE%\Documents\GitHub\eaglep3\Utilities\RefineRTDCRunTimes.py" --tripid 807-02 --locoid 4003 --swversion DE.1.0.8.0 --startMP 204:972 --initTime 2017-02-02T07:17:53 --startdatetime 2017-02-02T07:21:21 --delay 1 --endMP 300:58952 --enddatetime 2017-02-02T07:34:12 --enforcementcount 0 &gt;&gt;C:\Users\stu\Documents\GitHub\eaglep3-reporting\EC\2017-02-02-refined-times.txt</v>
      </c>
      <c r="AI164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{"issue":{"subject":"","project_id":79,"tracker_id":40,"status_id":1,"priority_id":2,"assigned_to_id":23,"start_date":"2017-02-02","description":"","custom_fields":[{"id":1,"name":"Subdivision","value":"NW"},{"id":4,"name":"Milepost","value":"5.8952"},{"id":17,"name":"Train ID","value":"807-02"},{"id":16,"name":"Locomotive ID","value":"4003"},{"id":130,"name":"Impact","value":""},{"id":150,"name":"Time of Event (Mountain Time)","value":"07:34:12"},{"id":151,"name":"Denver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60" t="str">
        <f t="shared" si="56"/>
        <v>start /low /b %USERPROFILE%\Documents\GitHub\eaglep3\Utilities\DownloadLogsFromS3.py --loco 4003 --day 2017-02-02</v>
      </c>
      <c r="AN164" s="169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521</v>
      </c>
      <c r="B165" s="7">
        <v>4004</v>
      </c>
      <c r="C165" s="21" t="s">
        <v>193</v>
      </c>
      <c r="D165" s="21" t="s">
        <v>359</v>
      </c>
      <c r="E165" s="13">
        <v>42768.316550925927</v>
      </c>
      <c r="F165" s="13">
        <v>42768.317881944444</v>
      </c>
      <c r="G165" s="7">
        <v>1</v>
      </c>
      <c r="H165" s="21" t="s">
        <v>782</v>
      </c>
      <c r="I165" s="13">
        <v>42768.329895833333</v>
      </c>
      <c r="J165" s="7">
        <v>0</v>
      </c>
      <c r="K165" s="98" t="str">
        <f t="shared" si="39"/>
        <v>4003/4004</v>
      </c>
      <c r="L165" s="21" t="str">
        <f>VLOOKUP(A165,'Trips&amp;Operators'!$C$1:$G$99999,5,FALSE)</f>
        <v>LOZA FIDEL</v>
      </c>
      <c r="M165" s="6">
        <f t="shared" si="40"/>
        <v>1.2013888888759539E-2</v>
      </c>
      <c r="N165" s="7">
        <f t="shared" si="41"/>
        <v>17.299999999813735</v>
      </c>
      <c r="O165" s="7"/>
      <c r="P165" s="7"/>
      <c r="Q165" s="22"/>
      <c r="R165" s="22"/>
      <c r="S165" s="31">
        <f t="shared" si="42"/>
        <v>1</v>
      </c>
      <c r="T165" s="46" t="str">
        <f t="shared" si="43"/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 t="shared" si="44"/>
        <v>https://d0f6bd738d7f1b3e5a7ca70fe4ff75f0.us-east-1.aws.found.io/app/kibana#/discover/Steve-Slow-Train-Analysis-(2080s-and-2083s)?_g=(refreshInterval:(display:Off,pause:!f,section:0,value:0),time:(from:'2017-02-02T06:35:50-0700',mode:absolute,to:'2017-02-02T08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5" s="194" t="str">
        <f t="shared" si="45"/>
        <v>N</v>
      </c>
      <c r="X165" s="194">
        <f t="shared" si="46"/>
        <v>1</v>
      </c>
      <c r="Y165" s="62">
        <f t="shared" si="47"/>
        <v>5.8624000000000001</v>
      </c>
      <c r="Z165" s="62">
        <f t="shared" si="48"/>
        <v>7.1199999999999999E-2</v>
      </c>
      <c r="AA165" s="62">
        <f t="shared" si="49"/>
        <v>5.7911999999999999</v>
      </c>
      <c r="AB165" s="59" t="e">
        <f>VLOOKUP(A165,Enforcements!$C$7:$K$16,8,0)</f>
        <v>#N/A</v>
      </c>
      <c r="AC165" s="55" t="e">
        <f>VLOOKUP(A165,Enforcements!$C$7:$E$16,3,0)</f>
        <v>#N/A</v>
      </c>
      <c r="AD165" s="56" t="str">
        <f t="shared" si="50"/>
        <v>0808-02</v>
      </c>
      <c r="AE165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65" s="82" t="str">
        <f t="shared" si="52"/>
        <v>"C:\Program Files (x86)\AstroGrep\AstroGrep.exe" /spath="%USERPROFILE%\AppData\Local\Temp\OnboardLogs" /stypes="app*4004*20170202*" /stext=" 14:.+((SYSTEM_STATE.+slice.+state.+changed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6" t="str">
        <f t="shared" si="54"/>
        <v>"%USERPROFILE%\Documents\GitHub\eaglep3\Utilities\RefineRTDCRunTimes.py" --tripid 808-02 --locoid 4004 --swversion DE.1.0.8.0 --startMP 300:58624 --initTime 2017-02-02T07:35:50 --startdatetime 2017-02-02T07:37:45 --delay 1 --endMP 204:712 --enddatetime 2017-02-02T07:55:03 --enforcementcount 0 &gt;&gt;C:\Users\stu\Documents\GitHub\eaglep3-reporting\EC\2017-02-02-refined-times.txt</v>
      </c>
      <c r="AI165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{"issue":{"subject":"","project_id":79,"tracker_id":40,"status_id":1,"priority_id":2,"assigned_to_id":23,"start_date":"2017-02-02","description":"","custom_fields":[{"id":1,"name":"Subdivision","value":"NW"},{"id":4,"name":"Milepost","value":"0.0712"},{"id":17,"name":"Train ID","value":"808-02"},{"id":16,"name":"Locomotive ID","value":"4004"},{"id":130,"name":"Impact","value":""},{"id":150,"name":"Time of Event (Mountain Time)","value":"07:55:03"},{"id":151,"name":"Denver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60" t="str">
        <f t="shared" si="56"/>
        <v>start /low /b %USERPROFILE%\Documents\GitHub\eaglep3\Utilities\DownloadLogsFromS3.py --loco 4004 --day 2017-02-02</v>
      </c>
      <c r="AN165" s="169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3" t="s">
        <v>520</v>
      </c>
      <c r="B166" s="7">
        <v>4020</v>
      </c>
      <c r="C166" s="21" t="s">
        <v>193</v>
      </c>
      <c r="D166" s="21" t="s">
        <v>783</v>
      </c>
      <c r="E166" s="13">
        <v>42768.311863425923</v>
      </c>
      <c r="F166" s="13">
        <v>42768.327303240738</v>
      </c>
      <c r="G166" s="7">
        <v>1</v>
      </c>
      <c r="H166" s="21" t="s">
        <v>784</v>
      </c>
      <c r="I166" s="13">
        <v>42768.336851851855</v>
      </c>
      <c r="J166" s="7">
        <v>0</v>
      </c>
      <c r="K166" s="98" t="str">
        <f t="shared" si="39"/>
        <v>4019/4020</v>
      </c>
      <c r="L166" s="21" t="str">
        <f>VLOOKUP(A166,'Trips&amp;Operators'!$C$1:$G$99999,5,FALSE)</f>
        <v>SHOOK JOHN</v>
      </c>
      <c r="M166" s="6">
        <f t="shared" si="40"/>
        <v>9.5486111167701893E-3</v>
      </c>
      <c r="N166" s="7">
        <f t="shared" si="41"/>
        <v>13.750000008149073</v>
      </c>
      <c r="O166" s="7"/>
      <c r="P166" s="7"/>
      <c r="Q166" s="22"/>
      <c r="R166" s="22"/>
      <c r="S166" s="31">
        <f t="shared" si="42"/>
        <v>1</v>
      </c>
      <c r="T166" s="46" t="str">
        <f t="shared" si="43"/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 t="shared" si="44"/>
        <v>https://d0f6bd738d7f1b3e5a7ca70fe4ff75f0.us-east-1.aws.found.io/app/kibana#/discover/Steve-Slow-Train-Analysis-(2080s-and-2083s)?_g=(refreshInterval:(display:Off,pause:!f,section:0,value:0),time:(from:'2017-02-02T06:29:05-0700',mode:absolute,to:'2017-02-02T09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6" s="194" t="str">
        <f t="shared" si="45"/>
        <v>N</v>
      </c>
      <c r="X166" s="194">
        <f t="shared" si="46"/>
        <v>1</v>
      </c>
      <c r="Y166" s="62">
        <f t="shared" si="47"/>
        <v>0.1027</v>
      </c>
      <c r="Z166" s="62">
        <f t="shared" si="48"/>
        <v>5.899</v>
      </c>
      <c r="AA166" s="62">
        <f t="shared" si="49"/>
        <v>5.7963000000000005</v>
      </c>
      <c r="AB166" s="59" t="e">
        <f>VLOOKUP(A166,Enforcements!$C$7:$K$16,8,0)</f>
        <v>#N/A</v>
      </c>
      <c r="AC166" s="55" t="e">
        <f>VLOOKUP(A166,Enforcements!$C$7:$E$16,3,0)</f>
        <v>#N/A</v>
      </c>
      <c r="AD166" s="56" t="str">
        <f t="shared" si="50"/>
        <v>0809-02</v>
      </c>
      <c r="AE166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66" s="82" t="str">
        <f t="shared" si="52"/>
        <v>"C:\Program Files (x86)\AstroGrep\AstroGrep.exe" /spath="%USERPROFILE%\AppData\Local\Temp\OnboardLogs" /stypes="app*4020*20170202*" /stext=" 15:.+((SYSTEM_STATE.+slice.+state.+changed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6" t="str">
        <f t="shared" si="54"/>
        <v>"%USERPROFILE%\Documents\GitHub\eaglep3\Utilities\RefineRTDCRunTimes.py" --tripid 809-02 --locoid 4020 --swversion DE.1.0.8.0 --startMP 204:1027 --initTime 2017-02-02T07:29:05 --startdatetime 2017-02-02T07:51:19 --delay 1 --endMP 300:58990 --enddatetime 2017-02-02T08:05:04 --enforcementcount 0 &gt;&gt;C:\Users\stu\Documents\GitHub\eaglep3-reporting\EC\2017-02-02-refined-times.txt</v>
      </c>
      <c r="AI166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{"issue":{"subject":"","project_id":79,"tracker_id":40,"status_id":1,"priority_id":2,"assigned_to_id":23,"start_date":"2017-02-02","description":"","custom_fields":[{"id":1,"name":"Subdivision","value":"NW"},{"id":4,"name":"Milepost","value":"5.899"},{"id":17,"name":"Train ID","value":"809-02"},{"id":16,"name":"Locomotive ID","value":"4020"},{"id":130,"name":"Impact","value":""},{"id":150,"name":"Time of Event (Mountain Time)","value":"08:05:04"},{"id":151,"name":"Denver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60" t="str">
        <f t="shared" si="56"/>
        <v>start /low /b %USERPROFILE%\Documents\GitHub\eaglep3\Utilities\DownloadLogsFromS3.py --loco 4020 --day 2017-02-02</v>
      </c>
      <c r="AN166" s="169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"%USERPROFILE%\AppData\Local\Temp\OnboardLogs"\RTDC4020\*4020*20170202* | grep -SE "(Enforcement Action)|(\[TIMEOUT)|(CHR.+\|PRM\|1\|D.+(SWITCH|SIGNAL).+UNKNOWN)" - &gt;&gt; 2017-02-02-UncaughtWiMAX.txt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3" t="s">
        <v>525</v>
      </c>
      <c r="B167" s="7">
        <v>4019</v>
      </c>
      <c r="C167" s="21" t="s">
        <v>193</v>
      </c>
      <c r="D167" s="21" t="s">
        <v>785</v>
      </c>
      <c r="E167" s="13">
        <v>42768.338310185187</v>
      </c>
      <c r="F167" s="13">
        <v>42768.341562499998</v>
      </c>
      <c r="G167" s="7">
        <v>1</v>
      </c>
      <c r="H167" s="21" t="s">
        <v>786</v>
      </c>
      <c r="I167" s="13">
        <v>42768.351319444446</v>
      </c>
      <c r="J167" s="7">
        <v>0</v>
      </c>
      <c r="K167" s="98" t="str">
        <f t="shared" si="39"/>
        <v>4019/4020</v>
      </c>
      <c r="L167" s="21" t="str">
        <f>VLOOKUP(A167,'Trips&amp;Operators'!$C$1:$G$99999,5,FALSE)</f>
        <v>SHOOK JOHN</v>
      </c>
      <c r="M167" s="6">
        <f t="shared" si="40"/>
        <v>9.7569444478722289E-3</v>
      </c>
      <c r="N167" s="7">
        <f t="shared" si="41"/>
        <v>14.05000000493601</v>
      </c>
      <c r="O167" s="7"/>
      <c r="P167" s="7"/>
      <c r="Q167" s="22"/>
      <c r="R167" s="22"/>
      <c r="S167" s="31">
        <f t="shared" si="42"/>
        <v>1</v>
      </c>
      <c r="T167" s="46" t="str">
        <f t="shared" si="43"/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 t="shared" si="44"/>
        <v>https://d0f6bd738d7f1b3e5a7ca70fe4ff75f0.us-east-1.aws.found.io/app/kibana#/discover/Steve-Slow-Train-Analysis-(2080s-and-2083s)?_g=(refreshInterval:(display:Off,pause:!f,section:0,value:0),time:(from:'2017-02-02T07:07:10-0700',mode:absolute,to:'2017-02-02T09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7" s="194" t="str">
        <f t="shared" si="45"/>
        <v>N</v>
      </c>
      <c r="X167" s="194">
        <f t="shared" si="46"/>
        <v>1</v>
      </c>
      <c r="Y167" s="62">
        <f t="shared" si="47"/>
        <v>5.8681000000000001</v>
      </c>
      <c r="Z167" s="62">
        <f t="shared" si="48"/>
        <v>1.44E-2</v>
      </c>
      <c r="AA167" s="62">
        <f t="shared" si="49"/>
        <v>5.8536999999999999</v>
      </c>
      <c r="AB167" s="59" t="e">
        <f>VLOOKUP(A167,Enforcements!$C$7:$K$16,8,0)</f>
        <v>#N/A</v>
      </c>
      <c r="AC167" s="55" t="e">
        <f>VLOOKUP(A167,Enforcements!$C$7:$E$16,3,0)</f>
        <v>#N/A</v>
      </c>
      <c r="AD167" s="56" t="str">
        <f t="shared" si="50"/>
        <v>0810-02</v>
      </c>
      <c r="AE167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67" s="82" t="str">
        <f t="shared" si="52"/>
        <v>"C:\Program Files (x86)\AstroGrep\AstroGrep.exe" /spath="%USERPROFILE%\AppData\Local\Temp\OnboardLogs" /stypes="app*4019*20170202*" /stext=" 15:.+((SYSTEM_STATE.+slice.+state.+changed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6" t="str">
        <f t="shared" si="54"/>
        <v>"%USERPROFILE%\Documents\GitHub\eaglep3\Utilities\RefineRTDCRunTimes.py" --tripid 810-02 --locoid 4019 --swversion DE.1.0.8.0 --startMP 300:58681 --initTime 2017-02-02T08:07:10 --startdatetime 2017-02-02T08:11:51 --delay 1 --endMP 204:144 --enddatetime 2017-02-02T08:25:54 --enforcementcount 0 &gt;&gt;C:\Users\stu\Documents\GitHub\eaglep3-reporting\EC\2017-02-02-refined-times.txt</v>
      </c>
      <c r="AI167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{"issue":{"subject":"","project_id":79,"tracker_id":40,"status_id":1,"priority_id":2,"assigned_to_id":23,"start_date":"2017-02-02","description":"","custom_fields":[{"id":1,"name":"Subdivision","value":"NW"},{"id":4,"name":"Milepost","value":"0.0144"},{"id":17,"name":"Train ID","value":"810-02"},{"id":16,"name":"Locomotive ID","value":"4019"},{"id":130,"name":"Impact","value":""},{"id":150,"name":"Time of Event (Mountain Time)","value":"08:25:54"},{"id":151,"name":"Denver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60" t="str">
        <f t="shared" si="56"/>
        <v>start /low /b %USERPROFILE%\Documents\GitHub\eaglep3\Utilities\DownloadLogsFromS3.py --loco 4019 --day 2017-02-02</v>
      </c>
      <c r="AN167" s="169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445</v>
      </c>
      <c r="B168" s="7">
        <v>4003</v>
      </c>
      <c r="C168" s="21" t="s">
        <v>193</v>
      </c>
      <c r="D168" s="21" t="s">
        <v>787</v>
      </c>
      <c r="E168" s="13">
        <v>42768.346122685187</v>
      </c>
      <c r="F168" s="13">
        <v>42768.348356481481</v>
      </c>
      <c r="G168" s="7">
        <v>1</v>
      </c>
      <c r="H168" s="21" t="s">
        <v>356</v>
      </c>
      <c r="I168" s="13">
        <v>42768.357893518521</v>
      </c>
      <c r="J168" s="7">
        <v>0</v>
      </c>
      <c r="K168" s="98" t="str">
        <f t="shared" si="39"/>
        <v>4003/4004</v>
      </c>
      <c r="L168" s="21" t="str">
        <f>VLOOKUP(A168,'Trips&amp;Operators'!$C$1:$G$99999,5,FALSE)</f>
        <v>LOZA FIDEL</v>
      </c>
      <c r="M168" s="6">
        <f t="shared" si="40"/>
        <v>9.5370370399905369E-3</v>
      </c>
      <c r="N168" s="7">
        <f t="shared" si="41"/>
        <v>13.733333337586373</v>
      </c>
      <c r="O168" s="7"/>
      <c r="P168" s="7"/>
      <c r="Q168" s="22"/>
      <c r="R168" s="22"/>
      <c r="S168" s="31">
        <f t="shared" si="42"/>
        <v>1</v>
      </c>
      <c r="T168" s="46" t="str">
        <f t="shared" si="43"/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 t="shared" si="44"/>
        <v>https://d0f6bd738d7f1b3e5a7ca70fe4ff75f0.us-east-1.aws.found.io/app/kibana#/discover/Steve-Slow-Train-Analysis-(2080s-and-2083s)?_g=(refreshInterval:(display:Off,pause:!f,section:0,value:0),time:(from:'2017-02-02T07:18:25-0700',mode:absolute,to:'2017-02-02T09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8" s="194" t="str">
        <f t="shared" si="45"/>
        <v>N</v>
      </c>
      <c r="X168" s="194">
        <f t="shared" si="46"/>
        <v>1</v>
      </c>
      <c r="Y168" s="62">
        <f t="shared" si="47"/>
        <v>9.9000000000000005E-2</v>
      </c>
      <c r="Z168" s="62">
        <f t="shared" si="48"/>
        <v>5.8949999999999996</v>
      </c>
      <c r="AA168" s="62">
        <f t="shared" si="49"/>
        <v>5.7959999999999994</v>
      </c>
      <c r="AB168" s="59" t="e">
        <f>VLOOKUP(A168,Enforcements!$C$7:$K$16,8,0)</f>
        <v>#N/A</v>
      </c>
      <c r="AC168" s="55" t="e">
        <f>VLOOKUP(A168,Enforcements!$C$7:$E$16,3,0)</f>
        <v>#N/A</v>
      </c>
      <c r="AD168" s="56" t="str">
        <f t="shared" si="50"/>
        <v>0811-02</v>
      </c>
      <c r="AE168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68" s="82" t="str">
        <f t="shared" si="52"/>
        <v>"C:\Program Files (x86)\AstroGrep\AstroGrep.exe" /spath="%USERPROFILE%\AppData\Local\Temp\OnboardLogs" /stypes="app*4003*20170202*" /stext=" 15:.+((SYSTEM_STATE.+slice.+state.+changed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6" t="str">
        <f t="shared" si="54"/>
        <v>"%USERPROFILE%\Documents\GitHub\eaglep3\Utilities\RefineRTDCRunTimes.py" --tripid 811-02 --locoid 4003 --swversion DE.1.0.8.0 --startMP 204:990 --initTime 2017-02-02T08:18:25 --startdatetime 2017-02-02T08:21:38 --delay 1 --endMP 300:58950 --enddatetime 2017-02-02T08:35:22 --enforcementcount 0 &gt;&gt;C:\Users\stu\Documents\GitHub\eaglep3-reporting\EC\2017-02-02-refined-times.txt</v>
      </c>
      <c r="AI168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{"issue":{"subject":"","project_id":79,"tracker_id":40,"status_id":1,"priority_id":2,"assigned_to_id":23,"start_date":"2017-02-02","description":"","custom_fields":[{"id":1,"name":"Subdivision","value":"NW"},{"id":4,"name":"Milepost","value":"5.895"},{"id":17,"name":"Train ID","value":"811-02"},{"id":16,"name":"Locomotive ID","value":"4003"},{"id":130,"name":"Impact","value":""},{"id":150,"name":"Time of Event (Mountain Time)","value":"08:35:22"},{"id":151,"name":"Denver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60" t="str">
        <f t="shared" si="56"/>
        <v>start /low /b %USERPROFILE%\Documents\GitHub\eaglep3\Utilities\DownloadLogsFromS3.py --loco 4003 --day 2017-02-02</v>
      </c>
      <c r="AN168" s="169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531</v>
      </c>
      <c r="B169" s="7">
        <v>4004</v>
      </c>
      <c r="C169" s="21" t="s">
        <v>193</v>
      </c>
      <c r="D169" s="21" t="s">
        <v>788</v>
      </c>
      <c r="E169" s="13">
        <v>42768.359201388892</v>
      </c>
      <c r="F169" s="13">
        <v>42768.360775462963</v>
      </c>
      <c r="G169" s="7">
        <v>1</v>
      </c>
      <c r="H169" s="21" t="s">
        <v>789</v>
      </c>
      <c r="I169" s="13">
        <v>42768.371423611112</v>
      </c>
      <c r="J169" s="7">
        <v>0</v>
      </c>
      <c r="K169" s="98" t="str">
        <f t="shared" si="39"/>
        <v>4003/4004</v>
      </c>
      <c r="L169" s="21" t="str">
        <f>VLOOKUP(A169,'Trips&amp;Operators'!$C$1:$G$99999,5,FALSE)</f>
        <v>LOZA FIDEL</v>
      </c>
      <c r="M169" s="6">
        <f t="shared" si="40"/>
        <v>1.0648148148902692E-2</v>
      </c>
      <c r="N169" s="7">
        <f t="shared" si="41"/>
        <v>15.333333334419876</v>
      </c>
      <c r="O169" s="7"/>
      <c r="P169" s="7"/>
      <c r="Q169" s="22"/>
      <c r="R169" s="22"/>
      <c r="S169" s="31">
        <f t="shared" si="42"/>
        <v>1</v>
      </c>
      <c r="T169" s="46" t="str">
        <f t="shared" si="43"/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 t="shared" si="44"/>
        <v>https://d0f6bd738d7f1b3e5a7ca70fe4ff75f0.us-east-1.aws.found.io/app/kibana#/discover/Steve-Slow-Train-Analysis-(2080s-and-2083s)?_g=(refreshInterval:(display:Off,pause:!f,section:0,value:0),time:(from:'2017-02-02T07:37:15-0700',mode:absolute,to:'2017-02-02T09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9" s="194" t="str">
        <f t="shared" si="45"/>
        <v>N</v>
      </c>
      <c r="X169" s="194">
        <f t="shared" si="46"/>
        <v>1</v>
      </c>
      <c r="Y169" s="62">
        <f t="shared" si="47"/>
        <v>5.8635999999999999</v>
      </c>
      <c r="Z169" s="62">
        <f t="shared" si="48"/>
        <v>6.8000000000000005E-2</v>
      </c>
      <c r="AA169" s="62">
        <f t="shared" si="49"/>
        <v>5.7956000000000003</v>
      </c>
      <c r="AB169" s="59" t="e">
        <f>VLOOKUP(A169,Enforcements!$C$7:$K$16,8,0)</f>
        <v>#N/A</v>
      </c>
      <c r="AC169" s="55" t="e">
        <f>VLOOKUP(A169,Enforcements!$C$7:$E$16,3,0)</f>
        <v>#N/A</v>
      </c>
      <c r="AD169" s="56" t="str">
        <f t="shared" si="50"/>
        <v>0812-02</v>
      </c>
      <c r="AE169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69" s="82" t="str">
        <f t="shared" si="52"/>
        <v>"C:\Program Files (x86)\AstroGrep\AstroGrep.exe" /spath="%USERPROFILE%\AppData\Local\Temp\OnboardLogs" /stypes="app*4004*20170202*" /stext=" 15:.+((SYSTEM_STATE.+slice.+state.+changed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6" t="str">
        <f t="shared" si="54"/>
        <v>"%USERPROFILE%\Documents\GitHub\eaglep3\Utilities\RefineRTDCRunTimes.py" --tripid 812-02 --locoid 4004 --swversion DE.1.0.8.0 --startMP 300:58636 --initTime 2017-02-02T08:37:15 --startdatetime 2017-02-02T08:39:31 --delay 1 --endMP 204:680 --enddatetime 2017-02-02T08:54:51 --enforcementcount 0 &gt;&gt;C:\Users\stu\Documents\GitHub\eaglep3-reporting\EC\2017-02-02-refined-times.txt</v>
      </c>
      <c r="AI169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{"issue":{"subject":"","project_id":79,"tracker_id":40,"status_id":1,"priority_id":2,"assigned_to_id":23,"start_date":"2017-02-02","description":"","custom_fields":[{"id":1,"name":"Subdivision","value":"NW"},{"id":4,"name":"Milepost","value":"0.068"},{"id":17,"name":"Train ID","value":"812-02"},{"id":16,"name":"Locomotive ID","value":"4004"},{"id":130,"name":"Impact","value":""},{"id":150,"name":"Time of Event (Mountain Time)","value":"08:54:51"},{"id":151,"name":"Denver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60" t="str">
        <f t="shared" si="56"/>
        <v>start /low /b %USERPROFILE%\Documents\GitHub\eaglep3\Utilities\DownloadLogsFromS3.py --loco 4004 --day 2017-02-02</v>
      </c>
      <c r="AN169" s="169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536</v>
      </c>
      <c r="B170" s="7">
        <v>4003</v>
      </c>
      <c r="C170" s="21" t="s">
        <v>193</v>
      </c>
      <c r="D170" s="21" t="s">
        <v>437</v>
      </c>
      <c r="E170" s="13">
        <v>42768.382986111108</v>
      </c>
      <c r="F170" s="13">
        <v>42768.389803240738</v>
      </c>
      <c r="G170" s="7">
        <v>1</v>
      </c>
      <c r="H170" s="21" t="s">
        <v>790</v>
      </c>
      <c r="I170" s="13">
        <v>42768.39880787037</v>
      </c>
      <c r="J170" s="7">
        <v>0</v>
      </c>
      <c r="K170" s="98" t="str">
        <f t="shared" si="39"/>
        <v>4003/4004</v>
      </c>
      <c r="L170" s="21" t="str">
        <f>VLOOKUP(A170,'Trips&amp;Operators'!$C$1:$G$99999,5,FALSE)</f>
        <v>LOZA FIDEL</v>
      </c>
      <c r="M170" s="6">
        <f t="shared" si="40"/>
        <v>9.0046296318178065E-3</v>
      </c>
      <c r="N170" s="7">
        <f t="shared" si="41"/>
        <v>12.966666669817641</v>
      </c>
      <c r="O170" s="7"/>
      <c r="P170" s="7"/>
      <c r="Q170" s="22"/>
      <c r="R170" s="22"/>
      <c r="S170" s="31">
        <f t="shared" si="42"/>
        <v>1</v>
      </c>
      <c r="T170" s="46" t="str">
        <f t="shared" si="43"/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 t="shared" si="44"/>
        <v>https://d0f6bd738d7f1b3e5a7ca70fe4ff75f0.us-east-1.aws.found.io/app/kibana#/discover/Steve-Slow-Train-Analysis-(2080s-and-2083s)?_g=(refreshInterval:(display:Off,pause:!f,section:0,value:0),time:(from:'2017-02-02T08:11:30-0700',mode:absolute,to:'2017-02-02T10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0" s="194" t="str">
        <f t="shared" si="45"/>
        <v>N</v>
      </c>
      <c r="X170" s="194">
        <f t="shared" si="46"/>
        <v>1</v>
      </c>
      <c r="Y170" s="62">
        <f t="shared" si="47"/>
        <v>9.7600000000000006E-2</v>
      </c>
      <c r="Z170" s="62">
        <f t="shared" si="48"/>
        <v>5.8959999999999999</v>
      </c>
      <c r="AA170" s="62">
        <f t="shared" si="49"/>
        <v>5.7984</v>
      </c>
      <c r="AB170" s="59" t="e">
        <f>VLOOKUP(A170,Enforcements!$C$7:$K$16,8,0)</f>
        <v>#N/A</v>
      </c>
      <c r="AC170" s="55" t="e">
        <f>VLOOKUP(A170,Enforcements!$C$7:$E$16,3,0)</f>
        <v>#N/A</v>
      </c>
      <c r="AD170" s="56" t="str">
        <f t="shared" si="50"/>
        <v>0813-02</v>
      </c>
      <c r="AE170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70" s="82" t="str">
        <f t="shared" si="52"/>
        <v>"C:\Program Files (x86)\AstroGrep\AstroGrep.exe" /spath="%USERPROFILE%\AppData\Local\Temp\OnboardLogs" /stypes="app*4003*20170202*" /stext=" 16:.+((SYSTEM_STATE.+slice.+state.+changed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6" t="str">
        <f t="shared" si="54"/>
        <v>"%USERPROFILE%\Documents\GitHub\eaglep3\Utilities\RefineRTDCRunTimes.py" --tripid 813-02 --locoid 4003 --swversion DE.1.0.8.0 --startMP 204:976 --initTime 2017-02-02T09:11:30 --startdatetime 2017-02-02T09:21:19 --delay 1 --endMP 300:58960 --enddatetime 2017-02-02T09:34:17 --enforcementcount 0 &gt;&gt;C:\Users\stu\Documents\GitHub\eaglep3-reporting\EC\2017-02-02-refined-times.txt</v>
      </c>
      <c r="AI170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{"issue":{"subject":"","project_id":79,"tracker_id":40,"status_id":1,"priority_id":2,"assigned_to_id":23,"start_date":"2017-02-02","description":"","custom_fields":[{"id":1,"name":"Subdivision","value":"NW"},{"id":4,"name":"Milepost","value":"5.896"},{"id":17,"name":"Train ID","value":"813-02"},{"id":16,"name":"Locomotive ID","value":"4003"},{"id":130,"name":"Impact","value":""},{"id":150,"name":"Time of Event (Mountain Time)","value":"09:34:17"},{"id":151,"name":"Denver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60" t="str">
        <f t="shared" si="56"/>
        <v>start /low /b %USERPROFILE%\Documents\GitHub\eaglep3\Utilities\DownloadLogsFromS3.py --loco 4003 --day 2017-02-02</v>
      </c>
      <c r="AN170" s="169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71" spans="1:91" x14ac:dyDescent="0.25">
      <c r="A171" s="33" t="s">
        <v>539</v>
      </c>
      <c r="B171" s="7">
        <v>4004</v>
      </c>
      <c r="C171" s="21" t="s">
        <v>193</v>
      </c>
      <c r="D171" s="21" t="s">
        <v>355</v>
      </c>
      <c r="E171" s="13">
        <v>42768.400439814817</v>
      </c>
      <c r="F171" s="13">
        <v>42768.402048611111</v>
      </c>
      <c r="G171" s="7">
        <v>1</v>
      </c>
      <c r="H171" s="21" t="s">
        <v>791</v>
      </c>
      <c r="I171" s="13">
        <v>42768.413078703707</v>
      </c>
      <c r="J171" s="7">
        <v>0</v>
      </c>
      <c r="K171" s="98" t="str">
        <f t="shared" si="39"/>
        <v>4003/4004</v>
      </c>
      <c r="L171" s="21" t="str">
        <f>VLOOKUP(A171,'Trips&amp;Operators'!$C$1:$G$99999,5,FALSE)</f>
        <v>LOZA FIDEL</v>
      </c>
      <c r="M171" s="6">
        <f t="shared" si="40"/>
        <v>1.1030092595319729E-2</v>
      </c>
      <c r="N171" s="7">
        <f t="shared" si="41"/>
        <v>15.88333333726041</v>
      </c>
      <c r="O171" s="7"/>
      <c r="P171" s="7"/>
      <c r="Q171" s="22"/>
      <c r="R171" s="22"/>
      <c r="S171" s="31">
        <f t="shared" si="42"/>
        <v>1</v>
      </c>
      <c r="T171" s="46" t="str">
        <f t="shared" si="43"/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 t="shared" si="44"/>
        <v>https://d0f6bd738d7f1b3e5a7ca70fe4ff75f0.us-east-1.aws.found.io/app/kibana#/discover/Steve-Slow-Train-Analysis-(2080s-and-2083s)?_g=(refreshInterval:(display:Off,pause:!f,section:0,value:0),time:(from:'2017-02-02T08:36:38-0700',mode:absolute,to:'2017-02-02T10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1" s="194" t="str">
        <f t="shared" si="45"/>
        <v>N</v>
      </c>
      <c r="X171" s="194">
        <f t="shared" si="46"/>
        <v>1</v>
      </c>
      <c r="Y171" s="62">
        <f t="shared" si="47"/>
        <v>5.8648999999999996</v>
      </c>
      <c r="Z171" s="62">
        <f t="shared" si="48"/>
        <v>6.8400000000000002E-2</v>
      </c>
      <c r="AA171" s="62">
        <f t="shared" si="49"/>
        <v>5.7965</v>
      </c>
      <c r="AB171" s="59" t="e">
        <f>VLOOKUP(A171,Enforcements!$C$7:$K$16,8,0)</f>
        <v>#N/A</v>
      </c>
      <c r="AC171" s="55" t="e">
        <f>VLOOKUP(A171,Enforcements!$C$7:$E$16,3,0)</f>
        <v>#N/A</v>
      </c>
      <c r="AD171" s="56" t="str">
        <f t="shared" si="50"/>
        <v>0814-02</v>
      </c>
      <c r="AE171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71" s="82" t="str">
        <f t="shared" si="52"/>
        <v>"C:\Program Files (x86)\AstroGrep\AstroGrep.exe" /spath="%USERPROFILE%\AppData\Local\Temp\OnboardLogs" /stypes="app*4004*20170202*" /stext=" 16:.+((SYSTEM_STATE.+slice.+state.+changed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6" t="str">
        <f t="shared" si="54"/>
        <v>"%USERPROFILE%\Documents\GitHub\eaglep3\Utilities\RefineRTDCRunTimes.py" --tripid 814-02 --locoid 4004 --swversion DE.1.0.8.0 --startMP 300:58649 --initTime 2017-02-02T09:36:38 --startdatetime 2017-02-02T09:38:57 --delay 1 --endMP 204:684 --enddatetime 2017-02-02T09:54:50 --enforcementcount 0 &gt;&gt;C:\Users\stu\Documents\GitHub\eaglep3-reporting\EC\2017-02-02-refined-times.txt</v>
      </c>
      <c r="AI171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{"issue":{"subject":"","project_id":79,"tracker_id":40,"status_id":1,"priority_id":2,"assigned_to_id":23,"start_date":"2017-02-02","description":"","custom_fields":[{"id":1,"name":"Subdivision","value":"NW"},{"id":4,"name":"Milepost","value":"0.0684"},{"id":17,"name":"Train ID","value":"814-02"},{"id":16,"name":"Locomotive ID","value":"4004"},{"id":130,"name":"Impact","value":""},{"id":150,"name":"Time of Event (Mountain Time)","value":"09:54:50"},{"id":151,"name":"Denver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60" t="str">
        <f t="shared" si="56"/>
        <v>start /low /b %USERPROFILE%\Documents\GitHub\eaglep3\Utilities\DownloadLogsFromS3.py --loco 4004 --day 2017-02-02</v>
      </c>
      <c r="AN171" s="169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72" spans="1:91" x14ac:dyDescent="0.25">
      <c r="A172" s="33" t="s">
        <v>545</v>
      </c>
      <c r="B172" s="7">
        <v>4003</v>
      </c>
      <c r="C172" s="21" t="s">
        <v>193</v>
      </c>
      <c r="D172" s="21" t="s">
        <v>780</v>
      </c>
      <c r="E172" s="13">
        <v>42768.428055555552</v>
      </c>
      <c r="F172" s="13">
        <v>42768.431481481479</v>
      </c>
      <c r="G172" s="7">
        <v>1</v>
      </c>
      <c r="H172" s="21" t="s">
        <v>429</v>
      </c>
      <c r="I172" s="13">
        <v>42768.440879629627</v>
      </c>
      <c r="J172" s="7">
        <v>0</v>
      </c>
      <c r="K172" s="98" t="str">
        <f t="shared" si="39"/>
        <v>4003/4004</v>
      </c>
      <c r="L172" s="21" t="str">
        <f>VLOOKUP(A172,'Trips&amp;Operators'!$C$1:$G$99999,5,FALSE)</f>
        <v>LOZA FIDEL</v>
      </c>
      <c r="M172" s="6">
        <f t="shared" si="40"/>
        <v>9.3981481477385387E-3</v>
      </c>
      <c r="N172" s="7">
        <f t="shared" si="41"/>
        <v>13.533333332743496</v>
      </c>
      <c r="O172" s="7"/>
      <c r="P172" s="7"/>
      <c r="Q172" s="22"/>
      <c r="R172" s="22"/>
      <c r="S172" s="31">
        <f t="shared" si="42"/>
        <v>1</v>
      </c>
      <c r="T172" s="46" t="str">
        <f t="shared" si="43"/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 t="shared" si="44"/>
        <v>https://d0f6bd738d7f1b3e5a7ca70fe4ff75f0.us-east-1.aws.found.io/app/kibana#/discover/Steve-Slow-Train-Analysis-(2080s-and-2083s)?_g=(refreshInterval:(display:Off,pause:!f,section:0,value:0),time:(from:'2017-02-02T09:16:24-0700',mode:absolute,to:'2017-02-02T11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2" s="194" t="str">
        <f t="shared" si="45"/>
        <v>N</v>
      </c>
      <c r="X172" s="194">
        <f t="shared" si="46"/>
        <v>1</v>
      </c>
      <c r="Y172" s="62">
        <f t="shared" si="47"/>
        <v>9.7199999999999995E-2</v>
      </c>
      <c r="Z172" s="62">
        <f t="shared" si="48"/>
        <v>5.8954000000000004</v>
      </c>
      <c r="AA172" s="62">
        <f t="shared" si="49"/>
        <v>5.7982000000000005</v>
      </c>
      <c r="AB172" s="59" t="e">
        <f>VLOOKUP(A172,Enforcements!$C$7:$K$16,8,0)</f>
        <v>#N/A</v>
      </c>
      <c r="AC172" s="55" t="e">
        <f>VLOOKUP(A172,Enforcements!$C$7:$E$16,3,0)</f>
        <v>#N/A</v>
      </c>
      <c r="AD172" s="56" t="str">
        <f t="shared" si="50"/>
        <v>0815-02</v>
      </c>
      <c r="AE172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72" s="82" t="str">
        <f t="shared" si="52"/>
        <v>"C:\Program Files (x86)\AstroGrep\AstroGrep.exe" /spath="%USERPROFILE%\AppData\Local\Temp\OnboardLogs" /stypes="app*4003*20170202*" /stext=" 17:.+((SYSTEM_STATE.+slice.+state.+changed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6" t="str">
        <f t="shared" si="54"/>
        <v>"%USERPROFILE%\Documents\GitHub\eaglep3\Utilities\RefineRTDCRunTimes.py" --tripid 815-02 --locoid 4003 --swversion DE.1.0.8.0 --startMP 204:972 --initTime 2017-02-02T10:16:24 --startdatetime 2017-02-02T10:21:20 --delay 1 --endMP 300:58954 --enddatetime 2017-02-02T10:34:52 --enforcementcount 0 &gt;&gt;C:\Users\stu\Documents\GitHub\eaglep3-reporting\EC\2017-02-02-refined-times.txt</v>
      </c>
      <c r="AI172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{"issue":{"subject":"","project_id":79,"tracker_id":40,"status_id":1,"priority_id":2,"assigned_to_id":23,"start_date":"2017-02-02","description":"","custom_fields":[{"id":1,"name":"Subdivision","value":"NW"},{"id":4,"name":"Milepost","value":"5.8954"},{"id":17,"name":"Train ID","value":"815-02"},{"id":16,"name":"Locomotive ID","value":"4003"},{"id":130,"name":"Impact","value":""},{"id":150,"name":"Time of Event (Mountain Time)","value":"10:34:52"},{"id":151,"name":"Denver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60" t="str">
        <f t="shared" si="56"/>
        <v>start /low /b %USERPROFILE%\Documents\GitHub\eaglep3\Utilities\DownloadLogsFromS3.py --loco 4003 --day 2017-02-02</v>
      </c>
      <c r="AN172" s="169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73" spans="1:91" x14ac:dyDescent="0.25">
      <c r="A173" s="33" t="s">
        <v>549</v>
      </c>
      <c r="B173" s="7">
        <v>4004</v>
      </c>
      <c r="C173" s="21" t="s">
        <v>193</v>
      </c>
      <c r="D173" s="21" t="s">
        <v>792</v>
      </c>
      <c r="E173" s="13">
        <v>42768.442175925928</v>
      </c>
      <c r="F173" s="13">
        <v>42768.443645833337</v>
      </c>
      <c r="G173" s="7">
        <v>1</v>
      </c>
      <c r="H173" s="21" t="s">
        <v>425</v>
      </c>
      <c r="I173" s="13">
        <v>42768.454618055555</v>
      </c>
      <c r="J173" s="7">
        <v>0</v>
      </c>
      <c r="K173" s="98" t="str">
        <f t="shared" si="39"/>
        <v>4003/4004</v>
      </c>
      <c r="L173" s="21" t="str">
        <f>VLOOKUP(A173,'Trips&amp;Operators'!$C$1:$G$99999,5,FALSE)</f>
        <v>LOZA FIDEL</v>
      </c>
      <c r="M173" s="6">
        <f t="shared" si="40"/>
        <v>1.0972222218697425E-2</v>
      </c>
      <c r="N173" s="7">
        <f t="shared" si="41"/>
        <v>15.799999994924292</v>
      </c>
      <c r="O173" s="7"/>
      <c r="P173" s="7"/>
      <c r="Q173" s="22"/>
      <c r="R173" s="22"/>
      <c r="S173" s="31">
        <f t="shared" si="42"/>
        <v>1</v>
      </c>
      <c r="T173" s="46" t="str">
        <f t="shared" si="43"/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 t="shared" si="44"/>
        <v>https://d0f6bd738d7f1b3e5a7ca70fe4ff75f0.us-east-1.aws.found.io/app/kibana#/discover/Steve-Slow-Train-Analysis-(2080s-and-2083s)?_g=(refreshInterval:(display:Off,pause:!f,section:0,value:0),time:(from:'2017-02-02T09:36:44-0700',mode:absolute,to:'2017-02-02T11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3" s="194" t="str">
        <f t="shared" si="45"/>
        <v>N</v>
      </c>
      <c r="X173" s="194">
        <f t="shared" si="46"/>
        <v>1</v>
      </c>
      <c r="Y173" s="62">
        <f t="shared" si="47"/>
        <v>5.8644999999999996</v>
      </c>
      <c r="Z173" s="62">
        <f t="shared" si="48"/>
        <v>6.7799999999999999E-2</v>
      </c>
      <c r="AA173" s="62">
        <f t="shared" si="49"/>
        <v>5.7966999999999995</v>
      </c>
      <c r="AB173" s="59" t="e">
        <f>VLOOKUP(A173,Enforcements!$C$7:$K$16,8,0)</f>
        <v>#N/A</v>
      </c>
      <c r="AC173" s="55" t="e">
        <f>VLOOKUP(A173,Enforcements!$C$7:$E$16,3,0)</f>
        <v>#N/A</v>
      </c>
      <c r="AD173" s="56" t="str">
        <f t="shared" si="50"/>
        <v>0816-02</v>
      </c>
      <c r="AE173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73" s="82" t="str">
        <f t="shared" si="52"/>
        <v>"C:\Program Files (x86)\AstroGrep\AstroGrep.exe" /spath="%USERPROFILE%\AppData\Local\Temp\OnboardLogs" /stypes="app*4004*20170202*" /stext=" 17:.+((SYSTEM_STATE.+slice.+state.+changed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6" t="str">
        <f t="shared" si="54"/>
        <v>"%USERPROFILE%\Documents\GitHub\eaglep3\Utilities\RefineRTDCRunTimes.py" --tripid 816-02 --locoid 4004 --swversion DE.1.0.8.0 --startMP 300:58645 --initTime 2017-02-02T10:36:44 --startdatetime 2017-02-02T10:38:51 --delay 1 --endMP 204:678 --enddatetime 2017-02-02T10:54:39 --enforcementcount 0 &gt;&gt;C:\Users\stu\Documents\GitHub\eaglep3-reporting\EC\2017-02-02-refined-times.txt</v>
      </c>
      <c r="AI173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{"issue":{"subject":"","project_id":79,"tracker_id":40,"status_id":1,"priority_id":2,"assigned_to_id":23,"start_date":"2017-02-02","description":"","custom_fields":[{"id":1,"name":"Subdivision","value":"NW"},{"id":4,"name":"Milepost","value":"0.0678"},{"id":17,"name":"Train ID","value":"816-02"},{"id":16,"name":"Locomotive ID","value":"4004"},{"id":130,"name":"Impact","value":""},{"id":150,"name":"Time of Event (Mountain Time)","value":"10:54:39"},{"id":151,"name":"Denver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60" t="str">
        <f t="shared" si="56"/>
        <v>start /low /b %USERPROFILE%\Documents\GitHub\eaglep3\Utilities\DownloadLogsFromS3.py --loco 4004 --day 2017-02-02</v>
      </c>
      <c r="AN173" s="169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74" spans="1:91" s="20" customFormat="1" x14ac:dyDescent="0.25">
      <c r="A174" s="33" t="s">
        <v>558</v>
      </c>
      <c r="B174" s="7">
        <v>4003</v>
      </c>
      <c r="C174" s="21" t="s">
        <v>193</v>
      </c>
      <c r="D174" s="21" t="s">
        <v>793</v>
      </c>
      <c r="E174" s="13">
        <v>42768.467881944445</v>
      </c>
      <c r="F174" s="13">
        <v>42768.47314814815</v>
      </c>
      <c r="G174" s="7">
        <v>1</v>
      </c>
      <c r="H174" s="21" t="s">
        <v>790</v>
      </c>
      <c r="I174" s="13">
        <v>42768.482499999998</v>
      </c>
      <c r="J174" s="7">
        <v>0</v>
      </c>
      <c r="K174" s="98" t="str">
        <f t="shared" si="39"/>
        <v>4003/4004</v>
      </c>
      <c r="L174" s="21" t="str">
        <f>VLOOKUP(A174,'Trips&amp;Operators'!$C$1:$G$99999,5,FALSE)</f>
        <v>LOZA FIDEL</v>
      </c>
      <c r="M174" s="6">
        <f t="shared" si="40"/>
        <v>9.3518518478958867E-3</v>
      </c>
      <c r="N174" s="7">
        <f t="shared" si="41"/>
        <v>13.466666660970077</v>
      </c>
      <c r="O174" s="7"/>
      <c r="P174" s="7"/>
      <c r="Q174" s="22"/>
      <c r="R174" s="22"/>
      <c r="S174" s="31">
        <f t="shared" si="42"/>
        <v>1</v>
      </c>
      <c r="T174" s="46" t="str">
        <f t="shared" si="43"/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 t="shared" si="44"/>
        <v>https://d0f6bd738d7f1b3e5a7ca70fe4ff75f0.us-east-1.aws.found.io/app/kibana#/discover/Steve-Slow-Train-Analysis-(2080s-and-2083s)?_g=(refreshInterval:(display:Off,pause:!f,section:0,value:0),time:(from:'2017-02-02T10:13:45-0700',mode:absolute,to:'2017-02-02T12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4" s="194" t="str">
        <f t="shared" si="45"/>
        <v>N</v>
      </c>
      <c r="X174" s="194">
        <f t="shared" si="46"/>
        <v>1</v>
      </c>
      <c r="Y174" s="62">
        <f t="shared" si="47"/>
        <v>9.74E-2</v>
      </c>
      <c r="Z174" s="62">
        <f t="shared" si="48"/>
        <v>5.8959999999999999</v>
      </c>
      <c r="AA174" s="62">
        <f t="shared" si="49"/>
        <v>5.7985999999999995</v>
      </c>
      <c r="AB174" s="59" t="e">
        <f>VLOOKUP(A174,Enforcements!$C$7:$K$16,8,0)</f>
        <v>#N/A</v>
      </c>
      <c r="AC174" s="55" t="e">
        <f>VLOOKUP(A174,Enforcements!$C$7:$E$16,3,0)</f>
        <v>#N/A</v>
      </c>
      <c r="AD174" s="56" t="str">
        <f t="shared" si="50"/>
        <v>0817-02</v>
      </c>
      <c r="AE174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74" s="82" t="str">
        <f t="shared" si="52"/>
        <v>"C:\Program Files (x86)\AstroGrep\AstroGrep.exe" /spath="%USERPROFILE%\AppData\Local\Temp\OnboardLogs" /stypes="app*4003*20170202*" /stext=" 18:.+((SYSTEM_STATE.+slice.+state.+changed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6" t="str">
        <f t="shared" si="54"/>
        <v>"%USERPROFILE%\Documents\GitHub\eaglep3\Utilities\RefineRTDCRunTimes.py" --tripid 817-02 --locoid 4003 --swversion DE.1.0.8.0 --startMP 204:974 --initTime 2017-02-02T11:13:45 --startdatetime 2017-02-02T11:21:20 --delay 1 --endMP 300:58960 --enddatetime 2017-02-02T11:34:48 --enforcementcount 0 &gt;&gt;C:\Users\stu\Documents\GitHub\eaglep3-reporting\EC\2017-02-02-refined-times.txt</v>
      </c>
      <c r="AI174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{"issue":{"subject":"","project_id":79,"tracker_id":40,"status_id":1,"priority_id":2,"assigned_to_id":23,"start_date":"2017-02-02","description":"","custom_fields":[{"id":1,"name":"Subdivision","value":"NW"},{"id":4,"name":"Milepost","value":"5.896"},{"id":17,"name":"Train ID","value":"817-02"},{"id":16,"name":"Locomotive ID","value":"4003"},{"id":130,"name":"Impact","value":""},{"id":150,"name":"Time of Event (Mountain Time)","value":"11:34:48"},{"id":151,"name":"Denver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60" t="str">
        <f t="shared" si="56"/>
        <v>start /low /b %USERPROFILE%\Documents\GitHub\eaglep3\Utilities\DownloadLogsFromS3.py --loco 4003 --day 2017-02-02</v>
      </c>
      <c r="AN174" s="169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561</v>
      </c>
      <c r="B175" s="7">
        <v>4004</v>
      </c>
      <c r="C175" s="21" t="s">
        <v>193</v>
      </c>
      <c r="D175" s="21" t="s">
        <v>360</v>
      </c>
      <c r="E175" s="13">
        <v>42768.4840625</v>
      </c>
      <c r="F175" s="13">
        <v>42768.485775462963</v>
      </c>
      <c r="G175" s="7">
        <v>1</v>
      </c>
      <c r="H175" s="21" t="s">
        <v>794</v>
      </c>
      <c r="I175" s="13">
        <v>42768.496435185189</v>
      </c>
      <c r="J175" s="7">
        <v>0</v>
      </c>
      <c r="K175" s="98" t="str">
        <f t="shared" si="39"/>
        <v>4003/4004</v>
      </c>
      <c r="L175" s="21" t="str">
        <f>VLOOKUP(A175,'Trips&amp;Operators'!$C$1:$G$99999,5,FALSE)</f>
        <v>LOZA FIDEL</v>
      </c>
      <c r="M175" s="6">
        <f t="shared" si="40"/>
        <v>1.0659722225682344E-2</v>
      </c>
      <c r="N175" s="7">
        <f t="shared" si="41"/>
        <v>15.350000004982576</v>
      </c>
      <c r="O175" s="7"/>
      <c r="P175" s="7"/>
      <c r="Q175" s="22"/>
      <c r="R175" s="22"/>
      <c r="S175" s="31">
        <f t="shared" si="42"/>
        <v>1</v>
      </c>
      <c r="T175" s="46" t="str">
        <f t="shared" si="43"/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 t="shared" si="44"/>
        <v>https://d0f6bd738d7f1b3e5a7ca70fe4ff75f0.us-east-1.aws.found.io/app/kibana#/discover/Steve-Slow-Train-Analysis-(2080s-and-2083s)?_g=(refreshInterval:(display:Off,pause:!f,section:0,value:0),time:(from:'2017-02-02T10:37:03-0700',mode:absolute,to:'2017-02-02T12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5" s="194" t="str">
        <f t="shared" si="45"/>
        <v>N</v>
      </c>
      <c r="X175" s="194">
        <f t="shared" si="46"/>
        <v>1</v>
      </c>
      <c r="Y175" s="62">
        <f t="shared" si="47"/>
        <v>5.8643000000000001</v>
      </c>
      <c r="Z175" s="62">
        <f t="shared" si="48"/>
        <v>6.8900000000000003E-2</v>
      </c>
      <c r="AA175" s="62">
        <f t="shared" si="49"/>
        <v>5.7953999999999999</v>
      </c>
      <c r="AB175" s="59" t="e">
        <f>VLOOKUP(A175,Enforcements!$C$7:$K$16,8,0)</f>
        <v>#N/A</v>
      </c>
      <c r="AC175" s="55" t="e">
        <f>VLOOKUP(A175,Enforcements!$C$7:$E$16,3,0)</f>
        <v>#N/A</v>
      </c>
      <c r="AD175" s="56" t="str">
        <f t="shared" si="50"/>
        <v>0818-02</v>
      </c>
      <c r="AE175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75" s="82" t="str">
        <f t="shared" si="52"/>
        <v>"C:\Program Files (x86)\AstroGrep\AstroGrep.exe" /spath="%USERPROFILE%\AppData\Local\Temp\OnboardLogs" /stypes="app*4004*20170202*" /stext=" 18:.+((SYSTEM_STATE.+slice.+state.+changed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6" t="str">
        <f t="shared" si="54"/>
        <v>"%USERPROFILE%\Documents\GitHub\eaglep3\Utilities\RefineRTDCRunTimes.py" --tripid 818-02 --locoid 4004 --swversion DE.1.0.8.0 --startMP 300:58643 --initTime 2017-02-02T11:37:03 --startdatetime 2017-02-02T11:39:31 --delay 1 --endMP 204:689 --enddatetime 2017-02-02T11:54:52 --enforcementcount 0 &gt;&gt;C:\Users\stu\Documents\GitHub\eaglep3-reporting\EC\2017-02-02-refined-times.txt</v>
      </c>
      <c r="AI175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{"issue":{"subject":"","project_id":79,"tracker_id":40,"status_id":1,"priority_id":2,"assigned_to_id":23,"start_date":"2017-02-02","description":"","custom_fields":[{"id":1,"name":"Subdivision","value":"NW"},{"id":4,"name":"Milepost","value":"0.0689"},{"id":17,"name":"Train ID","value":"818-02"},{"id":16,"name":"Locomotive ID","value":"4004"},{"id":130,"name":"Impact","value":""},{"id":150,"name":"Time of Event (Mountain Time)","value":"11:54:52"},{"id":151,"name":"Denver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60" t="str">
        <f t="shared" si="56"/>
        <v>start /low /b %USERPROFILE%\Documents\GitHub\eaglep3\Utilities\DownloadLogsFromS3.py --loco 4004 --day 2017-02-02</v>
      </c>
      <c r="AN175" s="169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76" spans="1:91" x14ac:dyDescent="0.25">
      <c r="A176" s="33" t="s">
        <v>568</v>
      </c>
      <c r="B176" s="7">
        <v>4003</v>
      </c>
      <c r="C176" s="21" t="s">
        <v>193</v>
      </c>
      <c r="D176" s="21" t="s">
        <v>437</v>
      </c>
      <c r="E176" s="13">
        <v>42768.510451388887</v>
      </c>
      <c r="F176" s="13">
        <v>42768.514803240738</v>
      </c>
      <c r="G176" s="7">
        <v>1</v>
      </c>
      <c r="H176" s="21" t="s">
        <v>790</v>
      </c>
      <c r="I176" s="13">
        <v>42768.523773148147</v>
      </c>
      <c r="J176" s="7">
        <v>0</v>
      </c>
      <c r="K176" s="98" t="str">
        <f t="shared" si="39"/>
        <v>4003/4004</v>
      </c>
      <c r="L176" s="21" t="str">
        <f>VLOOKUP(A176,'Trips&amp;Operators'!$C$1:$G$99999,5,FALSE)</f>
        <v>LOZA FIDEL</v>
      </c>
      <c r="M176" s="6">
        <f t="shared" si="40"/>
        <v>8.969907408754807E-3</v>
      </c>
      <c r="N176" s="7">
        <f t="shared" si="41"/>
        <v>12.916666668606922</v>
      </c>
      <c r="O176" s="7"/>
      <c r="P176" s="7"/>
      <c r="Q176" s="22"/>
      <c r="R176" s="22"/>
      <c r="S176" s="31">
        <f t="shared" si="42"/>
        <v>1</v>
      </c>
      <c r="T176" s="46" t="str">
        <f t="shared" si="43"/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 t="shared" si="44"/>
        <v>https://d0f6bd738d7f1b3e5a7ca70fe4ff75f0.us-east-1.aws.found.io/app/kibana#/discover/Steve-Slow-Train-Analysis-(2080s-and-2083s)?_g=(refreshInterval:(display:Off,pause:!f,section:0,value:0),time:(from:'2017-02-02T11:15:03-0700',mode:absolute,to:'2017-02-02T13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6" s="194" t="str">
        <f t="shared" si="45"/>
        <v>N</v>
      </c>
      <c r="X176" s="194">
        <f t="shared" si="46"/>
        <v>1</v>
      </c>
      <c r="Y176" s="62">
        <f t="shared" si="47"/>
        <v>9.7600000000000006E-2</v>
      </c>
      <c r="Z176" s="62">
        <f t="shared" si="48"/>
        <v>5.8959999999999999</v>
      </c>
      <c r="AA176" s="62">
        <f t="shared" si="49"/>
        <v>5.7984</v>
      </c>
      <c r="AB176" s="59" t="e">
        <f>VLOOKUP(A176,Enforcements!$C$7:$K$16,8,0)</f>
        <v>#N/A</v>
      </c>
      <c r="AC176" s="55" t="e">
        <f>VLOOKUP(A176,Enforcements!$C$7:$E$16,3,0)</f>
        <v>#N/A</v>
      </c>
      <c r="AD176" s="56" t="str">
        <f t="shared" si="50"/>
        <v>0819-02</v>
      </c>
      <c r="AE176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76" s="82" t="str">
        <f t="shared" si="52"/>
        <v>"C:\Program Files (x86)\AstroGrep\AstroGrep.exe" /spath="%USERPROFILE%\AppData\Local\Temp\OnboardLogs" /stypes="app*4003*20170202*" /stext=" 19:.+((SYSTEM_STATE.+slice.+state.+changed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6" t="str">
        <f t="shared" si="54"/>
        <v>"%USERPROFILE%\Documents\GitHub\eaglep3\Utilities\RefineRTDCRunTimes.py" --tripid 819-02 --locoid 4003 --swversion DE.1.0.8.0 --startMP 204:976 --initTime 2017-02-02T12:15:03 --startdatetime 2017-02-02T12:21:19 --delay 1 --endMP 300:58960 --enddatetime 2017-02-02T12:34:14 --enforcementcount 0 &gt;&gt;C:\Users\stu\Documents\GitHub\eaglep3-reporting\EC\2017-02-02-refined-times.txt</v>
      </c>
      <c r="AI176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{"issue":{"subject":"","project_id":79,"tracker_id":40,"status_id":1,"priority_id":2,"assigned_to_id":23,"start_date":"2017-02-02","description":"","custom_fields":[{"id":1,"name":"Subdivision","value":"NW"},{"id":4,"name":"Milepost","value":"5.896"},{"id":17,"name":"Train ID","value":"819-02"},{"id":16,"name":"Locomotive ID","value":"4003"},{"id":130,"name":"Impact","value":""},{"id":150,"name":"Time of Event (Mountain Time)","value":"12:34:14"},{"id":151,"name":"Denver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60" t="str">
        <f t="shared" si="56"/>
        <v>start /low /b %USERPROFILE%\Documents\GitHub\eaglep3\Utilities\DownloadLogsFromS3.py --loco 4003 --day 2017-02-02</v>
      </c>
      <c r="AN176" s="169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77" spans="1:91" x14ac:dyDescent="0.25">
      <c r="A177" s="33" t="s">
        <v>572</v>
      </c>
      <c r="B177" s="7">
        <v>4004</v>
      </c>
      <c r="C177" s="21" t="s">
        <v>193</v>
      </c>
      <c r="D177" s="21" t="s">
        <v>795</v>
      </c>
      <c r="E177" s="13">
        <v>42768.525104166663</v>
      </c>
      <c r="F177" s="13">
        <v>42768.526562500003</v>
      </c>
      <c r="G177" s="7">
        <v>1</v>
      </c>
      <c r="H177" s="21" t="s">
        <v>425</v>
      </c>
      <c r="I177" s="13">
        <v>42768.537743055553</v>
      </c>
      <c r="J177" s="7">
        <v>0</v>
      </c>
      <c r="K177" s="98" t="str">
        <f t="shared" si="39"/>
        <v>4003/4004</v>
      </c>
      <c r="L177" s="21" t="str">
        <f>VLOOKUP(A177,'Trips&amp;Operators'!$C$1:$G$99999,5,FALSE)</f>
        <v>LOZA FIDEL</v>
      </c>
      <c r="M177" s="6">
        <f t="shared" si="40"/>
        <v>1.1180555549799465E-2</v>
      </c>
      <c r="N177" s="7">
        <f t="shared" si="41"/>
        <v>16.099999991711229</v>
      </c>
      <c r="O177" s="7"/>
      <c r="P177" s="7"/>
      <c r="Q177" s="22"/>
      <c r="R177" s="22"/>
      <c r="S177" s="31">
        <f t="shared" si="42"/>
        <v>1</v>
      </c>
      <c r="T177" s="46" t="str">
        <f t="shared" si="43"/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 t="shared" si="44"/>
        <v>https://d0f6bd738d7f1b3e5a7ca70fe4ff75f0.us-east-1.aws.found.io/app/kibana#/discover/Steve-Slow-Train-Analysis-(2080s-and-2083s)?_g=(refreshInterval:(display:Off,pause:!f,section:0,value:0),time:(from:'2017-02-02T11:36:09-0700',mode:absolute,to:'2017-02-02T13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7" s="194" t="str">
        <f t="shared" si="45"/>
        <v>N</v>
      </c>
      <c r="X177" s="194">
        <f t="shared" si="46"/>
        <v>1</v>
      </c>
      <c r="Y177" s="62">
        <f t="shared" si="47"/>
        <v>5.8651</v>
      </c>
      <c r="Z177" s="62">
        <f t="shared" si="48"/>
        <v>6.7799999999999999E-2</v>
      </c>
      <c r="AA177" s="62">
        <f t="shared" si="49"/>
        <v>5.7972999999999999</v>
      </c>
      <c r="AB177" s="59" t="e">
        <f>VLOOKUP(A177,Enforcements!$C$7:$K$16,8,0)</f>
        <v>#N/A</v>
      </c>
      <c r="AC177" s="55" t="e">
        <f>VLOOKUP(A177,Enforcements!$C$7:$E$16,3,0)</f>
        <v>#N/A</v>
      </c>
      <c r="AD177" s="56" t="str">
        <f t="shared" si="50"/>
        <v>0820-02</v>
      </c>
      <c r="AE177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77" s="82" t="str">
        <f t="shared" si="52"/>
        <v>"C:\Program Files (x86)\AstroGrep\AstroGrep.exe" /spath="%USERPROFILE%\AppData\Local\Temp\OnboardLogs" /stypes="app*4004*20170202*" /stext=" 19:.+((SYSTEM_STATE.+slice.+state.+changed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6" t="str">
        <f t="shared" si="54"/>
        <v>"%USERPROFILE%\Documents\GitHub\eaglep3\Utilities\RefineRTDCRunTimes.py" --tripid 820-02 --locoid 4004 --swversion DE.1.0.8.0 --startMP 300:58651 --initTime 2017-02-02T12:36:09 --startdatetime 2017-02-02T12:38:15 --delay 1 --endMP 204:678 --enddatetime 2017-02-02T12:54:21 --enforcementcount 0 &gt;&gt;C:\Users\stu\Documents\GitHub\eaglep3-reporting\EC\2017-02-02-refined-times.txt</v>
      </c>
      <c r="AI177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{"issue":{"subject":"","project_id":79,"tracker_id":40,"status_id":1,"priority_id":2,"assigned_to_id":23,"start_date":"2017-02-02","description":"","custom_fields":[{"id":1,"name":"Subdivision","value":"NW"},{"id":4,"name":"Milepost","value":"0.0678"},{"id":17,"name":"Train ID","value":"820-02"},{"id":16,"name":"Locomotive ID","value":"4004"},{"id":130,"name":"Impact","value":""},{"id":150,"name":"Time of Event (Mountain Time)","value":"12:54:21"},{"id":151,"name":"Denver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60" t="str">
        <f t="shared" si="56"/>
        <v>start /low /b %USERPROFILE%\Documents\GitHub\eaglep3\Utilities\DownloadLogsFromS3.py --loco 4004 --day 2017-02-02</v>
      </c>
      <c r="AN177" s="169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78" spans="1:91" x14ac:dyDescent="0.25">
      <c r="A178" s="33" t="s">
        <v>574</v>
      </c>
      <c r="B178" s="7">
        <v>4003</v>
      </c>
      <c r="C178" s="21" t="s">
        <v>193</v>
      </c>
      <c r="D178" s="21" t="s">
        <v>432</v>
      </c>
      <c r="E178" s="13">
        <v>42768.543749999997</v>
      </c>
      <c r="F178" s="13">
        <v>42768.556435185186</v>
      </c>
      <c r="G178" s="7">
        <v>1</v>
      </c>
      <c r="H178" s="21" t="s">
        <v>796</v>
      </c>
      <c r="I178" s="13">
        <v>42768.566504629627</v>
      </c>
      <c r="J178" s="7">
        <v>0</v>
      </c>
      <c r="K178" s="98" t="str">
        <f t="shared" si="39"/>
        <v>4003/4004</v>
      </c>
      <c r="L178" s="21" t="str">
        <f>VLOOKUP(A178,'Trips&amp;Operators'!$C$1:$G$99999,5,FALSE)</f>
        <v>LEVERE CRAIG</v>
      </c>
      <c r="M178" s="6">
        <f t="shared" si="40"/>
        <v>1.006944444088731E-2</v>
      </c>
      <c r="N178" s="7">
        <f t="shared" si="41"/>
        <v>14.499999994877726</v>
      </c>
      <c r="O178" s="7"/>
      <c r="P178" s="7"/>
      <c r="Q178" s="22"/>
      <c r="R178" s="22"/>
      <c r="S178" s="31">
        <f t="shared" si="42"/>
        <v>1</v>
      </c>
      <c r="T178" s="46" t="str">
        <f t="shared" si="43"/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 t="shared" si="44"/>
        <v>https://d0f6bd738d7f1b3e5a7ca70fe4ff75f0.us-east-1.aws.found.io/app/kibana#/discover/Steve-Slow-Train-Analysis-(2080s-and-2083s)?_g=(refreshInterval:(display:Off,pause:!f,section:0,value:0),time:(from:'2017-02-02T12:03:00-0700',mode:absolute,to:'2017-02-02T14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8" s="194" t="str">
        <f t="shared" si="45"/>
        <v>N</v>
      </c>
      <c r="X178" s="194">
        <f t="shared" si="46"/>
        <v>1</v>
      </c>
      <c r="Y178" s="62">
        <f t="shared" si="47"/>
        <v>9.7100000000000006E-2</v>
      </c>
      <c r="Z178" s="62">
        <f t="shared" si="48"/>
        <v>5.8973000000000004</v>
      </c>
      <c r="AA178" s="62">
        <f t="shared" si="49"/>
        <v>5.8002000000000002</v>
      </c>
      <c r="AB178" s="59" t="e">
        <f>VLOOKUP(A178,Enforcements!$C$7:$K$16,8,0)</f>
        <v>#N/A</v>
      </c>
      <c r="AC178" s="55" t="e">
        <f>VLOOKUP(A178,Enforcements!$C$7:$E$16,3,0)</f>
        <v>#N/A</v>
      </c>
      <c r="AD178" s="56" t="str">
        <f t="shared" si="50"/>
        <v>0821-02</v>
      </c>
      <c r="AE178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78" s="82" t="str">
        <f t="shared" si="52"/>
        <v>"C:\Program Files (x86)\AstroGrep\AstroGrep.exe" /spath="%USERPROFILE%\AppData\Local\Temp\OnboardLogs" /stypes="app*4003*20170202*" /stext=" 20:.+((SYSTEM_STATE.+slice.+state.+changed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6" t="str">
        <f t="shared" si="54"/>
        <v>"%USERPROFILE%\Documents\GitHub\eaglep3\Utilities\RefineRTDCRunTimes.py" --tripid 821-02 --locoid 4003 --swversion DE.1.0.8.0 --startMP 204:971 --initTime 2017-02-02T13:03:00 --startdatetime 2017-02-02T13:21:16 --delay 1 --endMP 300:58973 --enddatetime 2017-02-02T13:35:46 --enforcementcount 0 &gt;&gt;C:\Users\stu\Documents\GitHub\eaglep3-reporting\EC\2017-02-02-refined-times.txt</v>
      </c>
      <c r="AI178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{"issue":{"subject":"","project_id":79,"tracker_id":40,"status_id":1,"priority_id":2,"assigned_to_id":23,"start_date":"2017-02-02","description":"","custom_fields":[{"id":1,"name":"Subdivision","value":"NW"},{"id":4,"name":"Milepost","value":"5.8973"},{"id":17,"name":"Train ID","value":"821-02"},{"id":16,"name":"Locomotive ID","value":"4003"},{"id":130,"name":"Impact","value":""},{"id":150,"name":"Time of Event (Mountain Time)","value":"13:35:46"},{"id":151,"name":"Denver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60" t="str">
        <f t="shared" si="56"/>
        <v>start /low /b %USERPROFILE%\Documents\GitHub\eaglep3\Utilities\DownloadLogsFromS3.py --loco 4003 --day 2017-02-02</v>
      </c>
      <c r="AN178" s="169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79" spans="1:91" x14ac:dyDescent="0.25">
      <c r="A179" s="33" t="s">
        <v>580</v>
      </c>
      <c r="B179" s="7">
        <v>4004</v>
      </c>
      <c r="C179" s="21" t="s">
        <v>193</v>
      </c>
      <c r="D179" s="21" t="s">
        <v>795</v>
      </c>
      <c r="E179" s="13">
        <v>42768.567395833335</v>
      </c>
      <c r="F179" s="13">
        <v>42768.568981481483</v>
      </c>
      <c r="G179" s="7">
        <v>1</v>
      </c>
      <c r="H179" s="21" t="s">
        <v>797</v>
      </c>
      <c r="I179" s="13">
        <v>42768.580011574071</v>
      </c>
      <c r="J179" s="7">
        <v>0</v>
      </c>
      <c r="K179" s="98" t="str">
        <f t="shared" si="39"/>
        <v>4003/4004</v>
      </c>
      <c r="L179" s="21" t="str">
        <f>VLOOKUP(A179,'Trips&amp;Operators'!$C$1:$G$99999,5,FALSE)</f>
        <v>LEVERE CRAIG</v>
      </c>
      <c r="M179" s="6">
        <f t="shared" si="40"/>
        <v>1.1030092588043772E-2</v>
      </c>
      <c r="N179" s="7">
        <f t="shared" si="41"/>
        <v>15.883333326783031</v>
      </c>
      <c r="O179" s="7"/>
      <c r="P179" s="7"/>
      <c r="Q179" s="22"/>
      <c r="R179" s="22"/>
      <c r="S179" s="31">
        <f t="shared" si="42"/>
        <v>1</v>
      </c>
      <c r="T179" s="46" t="str">
        <f t="shared" si="43"/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 t="shared" si="44"/>
        <v>https://d0f6bd738d7f1b3e5a7ca70fe4ff75f0.us-east-1.aws.found.io/app/kibana#/discover/Steve-Slow-Train-Analysis-(2080s-and-2083s)?_g=(refreshInterval:(display:Off,pause:!f,section:0,value:0),time:(from:'2017-02-02T12:37:03-0700',mode:absolute,to:'2017-02-02T14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9" s="194" t="str">
        <f t="shared" si="45"/>
        <v>N</v>
      </c>
      <c r="X179" s="194">
        <f t="shared" si="46"/>
        <v>1</v>
      </c>
      <c r="Y179" s="62">
        <f t="shared" si="47"/>
        <v>5.8651</v>
      </c>
      <c r="Z179" s="62">
        <f t="shared" si="48"/>
        <v>6.7000000000000004E-2</v>
      </c>
      <c r="AA179" s="62">
        <f t="shared" si="49"/>
        <v>5.7980999999999998</v>
      </c>
      <c r="AB179" s="59" t="e">
        <f>VLOOKUP(A179,Enforcements!$C$7:$K$16,8,0)</f>
        <v>#N/A</v>
      </c>
      <c r="AC179" s="55" t="e">
        <f>VLOOKUP(A179,Enforcements!$C$7:$E$16,3,0)</f>
        <v>#N/A</v>
      </c>
      <c r="AD179" s="56" t="str">
        <f t="shared" si="50"/>
        <v>0822-02</v>
      </c>
      <c r="AE179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79" s="82" t="str">
        <f t="shared" si="52"/>
        <v>"C:\Program Files (x86)\AstroGrep\AstroGrep.exe" /spath="%USERPROFILE%\AppData\Local\Temp\OnboardLogs" /stypes="app*4004*20170202*" /stext=" 20:.+((SYSTEM_STATE.+slice.+state.+changed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6" t="str">
        <f t="shared" si="54"/>
        <v>"%USERPROFILE%\Documents\GitHub\eaglep3\Utilities\RefineRTDCRunTimes.py" --tripid 822-02 --locoid 4004 --swversion DE.1.0.8.0 --startMP 300:58651 --initTime 2017-02-02T13:37:03 --startdatetime 2017-02-02T13:39:20 --delay 1 --endMP 204:670 --enddatetime 2017-02-02T13:55:13 --enforcementcount 0 &gt;&gt;C:\Users\stu\Documents\GitHub\eaglep3-reporting\EC\2017-02-02-refined-times.txt</v>
      </c>
      <c r="AI179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{"issue":{"subject":"","project_id":79,"tracker_id":40,"status_id":1,"priority_id":2,"assigned_to_id":23,"start_date":"2017-02-02","description":"","custom_fields":[{"id":1,"name":"Subdivision","value":"NW"},{"id":4,"name":"Milepost","value":"0.067"},{"id":17,"name":"Train ID","value":"822-02"},{"id":16,"name":"Locomotive ID","value":"4004"},{"id":130,"name":"Impact","value":""},{"id":150,"name":"Time of Event (Mountain Time)","value":"13:55:13"},{"id":151,"name":"Denver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60" t="str">
        <f t="shared" si="56"/>
        <v>start /low /b %USERPROFILE%\Documents\GitHub\eaglep3\Utilities\DownloadLogsFromS3.py --loco 4004 --day 2017-02-02</v>
      </c>
      <c r="AN179" s="169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80" spans="1:91" s="20" customFormat="1" x14ac:dyDescent="0.25">
      <c r="A180" s="33" t="s">
        <v>587</v>
      </c>
      <c r="B180" s="7">
        <v>4003</v>
      </c>
      <c r="C180" s="21" t="s">
        <v>193</v>
      </c>
      <c r="D180" s="21" t="s">
        <v>434</v>
      </c>
      <c r="E180" s="13">
        <v>42768.592951388891</v>
      </c>
      <c r="F180" s="13">
        <v>42768.598124999997</v>
      </c>
      <c r="G180" s="7">
        <v>1</v>
      </c>
      <c r="H180" s="21" t="s">
        <v>773</v>
      </c>
      <c r="I180" s="13">
        <v>42768.607673611114</v>
      </c>
      <c r="J180" s="7">
        <v>0</v>
      </c>
      <c r="K180" s="98" t="str">
        <f t="shared" si="39"/>
        <v>4003/4004</v>
      </c>
      <c r="L180" s="21" t="str">
        <f>VLOOKUP(A180,'Trips&amp;Operators'!$C$1:$G$99999,5,FALSE)</f>
        <v>LEVERE CRAIG</v>
      </c>
      <c r="M180" s="6">
        <f t="shared" si="40"/>
        <v>9.5486111167701893E-3</v>
      </c>
      <c r="N180" s="7">
        <f t="shared" si="41"/>
        <v>13.750000008149073</v>
      </c>
      <c r="O180" s="7"/>
      <c r="P180" s="7"/>
      <c r="Q180" s="22"/>
      <c r="R180" s="22"/>
      <c r="S180" s="31">
        <f t="shared" si="42"/>
        <v>1</v>
      </c>
      <c r="T180" s="46" t="str">
        <f t="shared" si="43"/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 t="shared" si="44"/>
        <v>https://d0f6bd738d7f1b3e5a7ca70fe4ff75f0.us-east-1.aws.found.io/app/kibana#/discover/Steve-Slow-Train-Analysis-(2080s-and-2083s)?_g=(refreshInterval:(display:Off,pause:!f,section:0,value:0),time:(from:'2017-02-02T13:13:51-0700',mode:absolute,to:'2017-02-02T15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0" s="194" t="str">
        <f t="shared" si="45"/>
        <v>N</v>
      </c>
      <c r="X180" s="194">
        <f t="shared" si="46"/>
        <v>1</v>
      </c>
      <c r="Y180" s="62">
        <f t="shared" si="47"/>
        <v>9.7900000000000001E-2</v>
      </c>
      <c r="Z180" s="62">
        <f t="shared" si="48"/>
        <v>5.8971</v>
      </c>
      <c r="AA180" s="62">
        <f t="shared" si="49"/>
        <v>5.7991999999999999</v>
      </c>
      <c r="AB180" s="59" t="e">
        <f>VLOOKUP(A180,Enforcements!$C$7:$K$16,8,0)</f>
        <v>#N/A</v>
      </c>
      <c r="AC180" s="55" t="e">
        <f>VLOOKUP(A180,Enforcements!$C$7:$E$16,3,0)</f>
        <v>#N/A</v>
      </c>
      <c r="AD180" s="56" t="str">
        <f t="shared" si="50"/>
        <v>0823-02</v>
      </c>
      <c r="AE180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80" s="82" t="str">
        <f t="shared" si="52"/>
        <v>"C:\Program Files (x86)\AstroGrep\AstroGrep.exe" /spath="%USERPROFILE%\AppData\Local\Temp\OnboardLogs" /stypes="app*4003*20170202*" /stext=" 21:.+((SYSTEM_STATE.+slice.+state.+changed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6" t="str">
        <f t="shared" si="54"/>
        <v>"%USERPROFILE%\Documents\GitHub\eaglep3\Utilities\RefineRTDCRunTimes.py" --tripid 823-02 --locoid 4003 --swversion DE.1.0.8.0 --startMP 204:979 --initTime 2017-02-02T14:13:51 --startdatetime 2017-02-02T14:21:18 --delay 1 --endMP 300:58971 --enddatetime 2017-02-02T14:35:03 --enforcementcount 0 &gt;&gt;C:\Users\stu\Documents\GitHub\eaglep3-reporting\EC\2017-02-02-refined-times.txt</v>
      </c>
      <c r="AI180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{"issue":{"subject":"","project_id":79,"tracker_id":40,"status_id":1,"priority_id":2,"assigned_to_id":23,"start_date":"2017-02-02","description":"","custom_fields":[{"id":1,"name":"Subdivision","value":"NW"},{"id":4,"name":"Milepost","value":"5.8971"},{"id":17,"name":"Train ID","value":"823-02"},{"id":16,"name":"Locomotive ID","value":"4003"},{"id":130,"name":"Impact","value":""},{"id":150,"name":"Time of Event (Mountain Time)","value":"14:35:03"},{"id":151,"name":"Denver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60" t="str">
        <f t="shared" si="56"/>
        <v>start /low /b %USERPROFILE%\Documents\GitHub\eaglep3\Utilities\DownloadLogsFromS3.py --loco 4003 --day 2017-02-02</v>
      </c>
      <c r="AN180" s="169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590</v>
      </c>
      <c r="B181" s="7">
        <v>4004</v>
      </c>
      <c r="C181" s="21" t="s">
        <v>193</v>
      </c>
      <c r="D181" s="21" t="s">
        <v>436</v>
      </c>
      <c r="E181" s="13">
        <v>42768.608773148146</v>
      </c>
      <c r="F181" s="13">
        <v>42768.610173611109</v>
      </c>
      <c r="G181" s="7">
        <v>1</v>
      </c>
      <c r="H181" s="21" t="s">
        <v>798</v>
      </c>
      <c r="I181" s="13">
        <v>42768.621747685182</v>
      </c>
      <c r="J181" s="7">
        <v>0</v>
      </c>
      <c r="K181" s="98" t="str">
        <f t="shared" si="39"/>
        <v>4003/4004</v>
      </c>
      <c r="L181" s="21" t="str">
        <f>VLOOKUP(A181,'Trips&amp;Operators'!$C$1:$G$99999,5,FALSE)</f>
        <v>LEVERE CRAIG</v>
      </c>
      <c r="M181" s="6">
        <f t="shared" si="40"/>
        <v>1.1574074072996154E-2</v>
      </c>
      <c r="N181" s="7">
        <f t="shared" si="41"/>
        <v>16.666666665114462</v>
      </c>
      <c r="O181" s="7"/>
      <c r="P181" s="7"/>
      <c r="Q181" s="22"/>
      <c r="R181" s="22"/>
      <c r="S181" s="31">
        <f t="shared" si="42"/>
        <v>1</v>
      </c>
      <c r="T181" s="46" t="str">
        <f t="shared" si="43"/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 t="shared" si="44"/>
        <v>https://d0f6bd738d7f1b3e5a7ca70fe4ff75f0.us-east-1.aws.found.io/app/kibana#/discover/Steve-Slow-Train-Analysis-(2080s-and-2083s)?_g=(refreshInterval:(display:Off,pause:!f,section:0,value:0),time:(from:'2017-02-02T13:36:38-0700',mode:absolute,to:'2017-02-02T15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1" s="194" t="str">
        <f t="shared" si="45"/>
        <v>N</v>
      </c>
      <c r="X181" s="194">
        <f t="shared" si="46"/>
        <v>1</v>
      </c>
      <c r="Y181" s="62">
        <f t="shared" si="47"/>
        <v>5.8654999999999999</v>
      </c>
      <c r="Z181" s="62">
        <f t="shared" si="48"/>
        <v>6.9800000000000001E-2</v>
      </c>
      <c r="AA181" s="62">
        <f t="shared" si="49"/>
        <v>5.7957000000000001</v>
      </c>
      <c r="AB181" s="59" t="e">
        <f>VLOOKUP(A181,Enforcements!$C$7:$K$16,8,0)</f>
        <v>#N/A</v>
      </c>
      <c r="AC181" s="55" t="e">
        <f>VLOOKUP(A181,Enforcements!$C$7:$E$16,3,0)</f>
        <v>#N/A</v>
      </c>
      <c r="AD181" s="56" t="str">
        <f t="shared" si="50"/>
        <v>0824-02</v>
      </c>
      <c r="AE181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81" s="82" t="str">
        <f t="shared" si="52"/>
        <v>"C:\Program Files (x86)\AstroGrep\AstroGrep.exe" /spath="%USERPROFILE%\AppData\Local\Temp\OnboardLogs" /stypes="app*4004*20170202*" /stext=" 21:.+((SYSTEM_STATE.+slice.+state.+changed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6" t="str">
        <f t="shared" si="54"/>
        <v>"%USERPROFILE%\Documents\GitHub\eaglep3\Utilities\RefineRTDCRunTimes.py" --tripid 824-02 --locoid 4004 --swversion DE.1.0.8.0 --startMP 300:58655 --initTime 2017-02-02T14:36:38 --startdatetime 2017-02-02T14:38:39 --delay 1 --endMP 204:698 --enddatetime 2017-02-02T14:55:19 --enforcementcount 0 &gt;&gt;C:\Users\stu\Documents\GitHub\eaglep3-reporting\EC\2017-02-02-refined-times.txt</v>
      </c>
      <c r="AI181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{"issue":{"subject":"","project_id":79,"tracker_id":40,"status_id":1,"priority_id":2,"assigned_to_id":23,"start_date":"2017-02-02","description":"","custom_fields":[{"id":1,"name":"Subdivision","value":"NW"},{"id":4,"name":"Milepost","value":"0.0698"},{"id":17,"name":"Train ID","value":"824-02"},{"id":16,"name":"Locomotive ID","value":"4004"},{"id":130,"name":"Impact","value":""},{"id":150,"name":"Time of Event (Mountain Time)","value":"14:55:19"},{"id":151,"name":"Denver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60" t="str">
        <f t="shared" si="56"/>
        <v>start /low /b %USERPROFILE%\Documents\GitHub\eaglep3\Utilities\DownloadLogsFromS3.py --loco 4004 --day 2017-02-02</v>
      </c>
      <c r="AN181" s="169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82" spans="1:91" x14ac:dyDescent="0.25">
      <c r="A182" s="33" t="s">
        <v>596</v>
      </c>
      <c r="B182" s="7">
        <v>4003</v>
      </c>
      <c r="C182" s="21" t="s">
        <v>193</v>
      </c>
      <c r="D182" s="21" t="s">
        <v>799</v>
      </c>
      <c r="E182" s="13">
        <v>42768.631168981483</v>
      </c>
      <c r="F182" s="13">
        <v>42768.639780092592</v>
      </c>
      <c r="G182" s="7">
        <v>1</v>
      </c>
      <c r="H182" s="21" t="s">
        <v>773</v>
      </c>
      <c r="I182" s="13">
        <v>42768.649386574078</v>
      </c>
      <c r="J182" s="7">
        <v>0</v>
      </c>
      <c r="K182" s="98" t="str">
        <f t="shared" si="39"/>
        <v>4003/4004</v>
      </c>
      <c r="L182" s="21" t="str">
        <f>VLOOKUP(A182,'Trips&amp;Operators'!$C$1:$G$99999,5,FALSE)</f>
        <v>LEVERE CRAIG</v>
      </c>
      <c r="M182" s="6">
        <f t="shared" si="40"/>
        <v>9.606481486116536E-3</v>
      </c>
      <c r="N182" s="7">
        <f t="shared" si="41"/>
        <v>13.833333340007812</v>
      </c>
      <c r="O182" s="7"/>
      <c r="P182" s="7"/>
      <c r="Q182" s="22"/>
      <c r="R182" s="22"/>
      <c r="S182" s="31">
        <f t="shared" si="42"/>
        <v>1</v>
      </c>
      <c r="T182" s="46" t="str">
        <f t="shared" si="43"/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 t="shared" si="44"/>
        <v>https://d0f6bd738d7f1b3e5a7ca70fe4ff75f0.us-east-1.aws.found.io/app/kibana#/discover/Steve-Slow-Train-Analysis-(2080s-and-2083s)?_g=(refreshInterval:(display:Off,pause:!f,section:0,value:0),time:(from:'2017-02-02T14:08:53-0700',mode:absolute,to:'2017-02-02T16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2" s="194" t="str">
        <f t="shared" si="45"/>
        <v>N</v>
      </c>
      <c r="X182" s="194">
        <f t="shared" si="46"/>
        <v>1</v>
      </c>
      <c r="Y182" s="62">
        <f t="shared" si="47"/>
        <v>9.9199999999999997E-2</v>
      </c>
      <c r="Z182" s="62">
        <f t="shared" si="48"/>
        <v>5.8971</v>
      </c>
      <c r="AA182" s="62">
        <f t="shared" si="49"/>
        <v>5.7979000000000003</v>
      </c>
      <c r="AB182" s="59" t="e">
        <f>VLOOKUP(A182,Enforcements!$C$7:$K$16,8,0)</f>
        <v>#N/A</v>
      </c>
      <c r="AC182" s="55" t="e">
        <f>VLOOKUP(A182,Enforcements!$C$7:$E$16,3,0)</f>
        <v>#N/A</v>
      </c>
      <c r="AD182" s="56" t="str">
        <f t="shared" si="50"/>
        <v>0825-02</v>
      </c>
      <c r="AE182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82" s="82" t="str">
        <f t="shared" si="52"/>
        <v>"C:\Program Files (x86)\AstroGrep\AstroGrep.exe" /spath="%USERPROFILE%\AppData\Local\Temp\OnboardLogs" /stypes="app*4003*20170202*" /stext=" 22:.+((SYSTEM_STATE.+slice.+state.+changed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6" t="str">
        <f t="shared" si="54"/>
        <v>"%USERPROFILE%\Documents\GitHub\eaglep3\Utilities\RefineRTDCRunTimes.py" --tripid 825-02 --locoid 4003 --swversion DE.1.0.8.0 --startMP 204:992 --initTime 2017-02-02T15:08:53 --startdatetime 2017-02-02T15:21:17 --delay 1 --endMP 300:58971 --enddatetime 2017-02-02T15:35:07 --enforcementcount 0 &gt;&gt;C:\Users\stu\Documents\GitHub\eaglep3-reporting\EC\2017-02-02-refined-times.txt</v>
      </c>
      <c r="AI182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{"issue":{"subject":"","project_id":79,"tracker_id":40,"status_id":1,"priority_id":2,"assigned_to_id":23,"start_date":"2017-02-02","description":"","custom_fields":[{"id":1,"name":"Subdivision","value":"NW"},{"id":4,"name":"Milepost","value":"5.8971"},{"id":17,"name":"Train ID","value":"825-02"},{"id":16,"name":"Locomotive ID","value":"4003"},{"id":130,"name":"Impact","value":""},{"id":150,"name":"Time of Event (Mountain Time)","value":"15:35:07"},{"id":151,"name":"Denver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60" t="str">
        <f t="shared" si="56"/>
        <v>start /low /b %USERPROFILE%\Documents\GitHub\eaglep3\Utilities\DownloadLogsFromS3.py --loco 4003 --day 2017-02-02</v>
      </c>
      <c r="AN182" s="169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83" spans="1:91" x14ac:dyDescent="0.25">
      <c r="A183" s="33" t="s">
        <v>599</v>
      </c>
      <c r="B183" s="7">
        <v>4004</v>
      </c>
      <c r="C183" s="21" t="s">
        <v>193</v>
      </c>
      <c r="D183" s="21" t="s">
        <v>360</v>
      </c>
      <c r="E183" s="13">
        <v>42768.650312500002</v>
      </c>
      <c r="F183" s="13">
        <v>42768.651770833334</v>
      </c>
      <c r="G183" s="7">
        <v>1</v>
      </c>
      <c r="H183" s="21" t="s">
        <v>800</v>
      </c>
      <c r="I183" s="13">
        <v>42768.663888888892</v>
      </c>
      <c r="J183" s="7">
        <v>0</v>
      </c>
      <c r="K183" s="98" t="str">
        <f t="shared" si="39"/>
        <v>4003/4004</v>
      </c>
      <c r="L183" s="21" t="str">
        <f>VLOOKUP(A183,'Trips&amp;Operators'!$C$1:$G$99999,5,FALSE)</f>
        <v>LEVERE CRAIG</v>
      </c>
      <c r="M183" s="6">
        <f t="shared" si="40"/>
        <v>1.2118055557948537E-2</v>
      </c>
      <c r="N183" s="7">
        <f t="shared" si="41"/>
        <v>17.450000003445894</v>
      </c>
      <c r="O183" s="7"/>
      <c r="P183" s="7"/>
      <c r="Q183" s="22"/>
      <c r="R183" s="22"/>
      <c r="S183" s="31">
        <f t="shared" si="42"/>
        <v>1</v>
      </c>
      <c r="T183" s="46" t="str">
        <f t="shared" si="43"/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 t="shared" si="44"/>
        <v>https://d0f6bd738d7f1b3e5a7ca70fe4ff75f0.us-east-1.aws.found.io/app/kibana#/discover/Steve-Slow-Train-Analysis-(2080s-and-2083s)?_g=(refreshInterval:(display:Off,pause:!f,section:0,value:0),time:(from:'2017-02-02T14:36:27-0700',mode:absolute,to:'2017-02-02T16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3" s="194" t="str">
        <f t="shared" si="45"/>
        <v>N</v>
      </c>
      <c r="X183" s="194">
        <f t="shared" si="46"/>
        <v>1</v>
      </c>
      <c r="Y183" s="62">
        <f t="shared" si="47"/>
        <v>5.8643000000000001</v>
      </c>
      <c r="Z183" s="62">
        <f t="shared" si="48"/>
        <v>6.7699999999999996E-2</v>
      </c>
      <c r="AA183" s="62">
        <f t="shared" si="49"/>
        <v>5.7965999999999998</v>
      </c>
      <c r="AB183" s="59" t="e">
        <f>VLOOKUP(A183,Enforcements!$C$7:$K$16,8,0)</f>
        <v>#N/A</v>
      </c>
      <c r="AC183" s="55" t="e">
        <f>VLOOKUP(A183,Enforcements!$C$7:$E$16,3,0)</f>
        <v>#N/A</v>
      </c>
      <c r="AD183" s="56" t="str">
        <f t="shared" si="50"/>
        <v>0826-02</v>
      </c>
      <c r="AE183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83" s="82" t="str">
        <f t="shared" si="52"/>
        <v>"C:\Program Files (x86)\AstroGrep\AstroGrep.exe" /spath="%USERPROFILE%\AppData\Local\Temp\OnboardLogs" /stypes="app*4004*20170202*" /stext=" 22:.+((SYSTEM_STATE.+slice.+state.+changed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6" t="str">
        <f t="shared" si="54"/>
        <v>"%USERPROFILE%\Documents\GitHub\eaglep3\Utilities\RefineRTDCRunTimes.py" --tripid 826-02 --locoid 4004 --swversion DE.1.0.8.0 --startMP 300:58643 --initTime 2017-02-02T15:36:27 --startdatetime 2017-02-02T15:38:33 --delay 1 --endMP 204:677 --enddatetime 2017-02-02T15:56:00 --enforcementcount 0 &gt;&gt;C:\Users\stu\Documents\GitHub\eaglep3-reporting\EC\2017-02-02-refined-times.txt</v>
      </c>
      <c r="AI183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{"issue":{"subject":"","project_id":79,"tracker_id":40,"status_id":1,"priority_id":2,"assigned_to_id":23,"start_date":"2017-02-02","description":"","custom_fields":[{"id":1,"name":"Subdivision","value":"NW"},{"id":4,"name":"Milepost","value":"0.0677"},{"id":17,"name":"Train ID","value":"826-02"},{"id":16,"name":"Locomotive ID","value":"4004"},{"id":130,"name":"Impact","value":""},{"id":150,"name":"Time of Event (Mountain Time)","value":"15:56:00"},{"id":151,"name":"Denver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60" t="str">
        <f t="shared" si="56"/>
        <v>start /low /b %USERPROFILE%\Documents\GitHub\eaglep3\Utilities\DownloadLogsFromS3.py --loco 4004 --day 2017-02-02</v>
      </c>
      <c r="AN183" s="169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84" spans="1:91" s="20" customFormat="1" x14ac:dyDescent="0.25">
      <c r="A184" s="33" t="s">
        <v>601</v>
      </c>
      <c r="B184" s="7">
        <v>4020</v>
      </c>
      <c r="C184" s="21" t="s">
        <v>193</v>
      </c>
      <c r="D184" s="21" t="s">
        <v>427</v>
      </c>
      <c r="E184" s="13">
        <v>42768.6559375</v>
      </c>
      <c r="F184" s="13">
        <v>42768.66064814815</v>
      </c>
      <c r="G184" s="7">
        <v>1</v>
      </c>
      <c r="H184" s="21" t="s">
        <v>777</v>
      </c>
      <c r="I184" s="13">
        <v>42768.670092592591</v>
      </c>
      <c r="J184" s="7">
        <v>0</v>
      </c>
      <c r="K184" s="98" t="str">
        <f t="shared" si="39"/>
        <v>4019/4020</v>
      </c>
      <c r="L184" s="21" t="str">
        <f>VLOOKUP(A184,'Trips&amp;Operators'!$C$1:$G$99999,5,FALSE)</f>
        <v>STORY SAMANTHA</v>
      </c>
      <c r="M184" s="6">
        <f t="shared" si="40"/>
        <v>9.444444440305233E-3</v>
      </c>
      <c r="N184" s="7">
        <f t="shared" si="41"/>
        <v>13.599999994039536</v>
      </c>
      <c r="O184" s="7"/>
      <c r="P184" s="7"/>
      <c r="Q184" s="22"/>
      <c r="R184" s="22"/>
      <c r="S184" s="31">
        <f t="shared" si="42"/>
        <v>1</v>
      </c>
      <c r="T184" s="46" t="str">
        <f t="shared" si="43"/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 t="shared" si="44"/>
        <v>https://d0f6bd738d7f1b3e5a7ca70fe4ff75f0.us-east-1.aws.found.io/app/kibana#/discover/Steve-Slow-Train-Analysis-(2080s-and-2083s)?_g=(refreshInterval:(display:Off,pause:!f,section:0,value:0),time:(from:'2017-02-02T14:44:33-0700',mode:absolute,to:'2017-02-02T17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4" s="194" t="str">
        <f t="shared" si="45"/>
        <v>N</v>
      </c>
      <c r="X184" s="194">
        <f t="shared" si="46"/>
        <v>1</v>
      </c>
      <c r="Y184" s="62">
        <f t="shared" si="47"/>
        <v>9.5500000000000002E-2</v>
      </c>
      <c r="Z184" s="62">
        <f t="shared" si="48"/>
        <v>5.8964999999999996</v>
      </c>
      <c r="AA184" s="62">
        <f t="shared" si="49"/>
        <v>5.8009999999999993</v>
      </c>
      <c r="AB184" s="59" t="e">
        <f>VLOOKUP(A184,Enforcements!$C$7:$K$16,8,0)</f>
        <v>#N/A</v>
      </c>
      <c r="AC184" s="55" t="e">
        <f>VLOOKUP(A184,Enforcements!$C$7:$E$16,3,0)</f>
        <v>#N/A</v>
      </c>
      <c r="AD184" s="56" t="str">
        <f t="shared" si="50"/>
        <v>0827-02</v>
      </c>
      <c r="AE184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84" s="82" t="str">
        <f t="shared" si="52"/>
        <v>"C:\Program Files (x86)\AstroGrep\AstroGrep.exe" /spath="%USERPROFILE%\AppData\Local\Temp\OnboardLogs" /stypes="app*4020*20170202*" /stext=" 23:.+((SYSTEM_STATE.+slice.+state.+changed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6" t="str">
        <f t="shared" si="54"/>
        <v>"%USERPROFILE%\Documents\GitHub\eaglep3\Utilities\RefineRTDCRunTimes.py" --tripid 827-02 --locoid 4020 --swversion DE.1.0.8.0 --startMP 204:955 --initTime 2017-02-02T15:44:33 --startdatetime 2017-02-02T15:51:20 --delay 1 --endMP 300:58965 --enddatetime 2017-02-02T16:04:56 --enforcementcount 0 &gt;&gt;C:\Users\stu\Documents\GitHub\eaglep3-reporting\EC\2017-02-02-refined-times.txt</v>
      </c>
      <c r="AI184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{"issue":{"subject":"","project_id":79,"tracker_id":40,"status_id":1,"priority_id":2,"assigned_to_id":23,"start_date":"2017-02-02","description":"","custom_fields":[{"id":1,"name":"Subdivision","value":"NW"},{"id":4,"name":"Milepost","value":"5.8965"},{"id":17,"name":"Train ID","value":"827-02"},{"id":16,"name":"Locomotive ID","value":"4020"},{"id":130,"name":"Impact","value":""},{"id":150,"name":"Time of Event (Mountain Time)","value":"16:04:56"},{"id":151,"name":"Denver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60" t="str">
        <f t="shared" si="56"/>
        <v>start /low /b %USERPROFILE%\Documents\GitHub\eaglep3\Utilities\DownloadLogsFromS3.py --loco 4020 --day 2017-02-02</v>
      </c>
      <c r="AN184" s="169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"%USERPROFILE%\AppData\Local\Temp\OnboardLogs"\RTDC4020\*4020*20170202* | grep -SE "(Enforcement Action)|(\[TIMEOUT)|(CHR.+\|PRM\|1\|D.+(SWITCH|SIGNAL).+UNKNOWN)" - &gt;&gt; 2017-02-02-UncaughtWiMAX.txt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605</v>
      </c>
      <c r="B185" s="7">
        <v>4019</v>
      </c>
      <c r="C185" s="21" t="s">
        <v>193</v>
      </c>
      <c r="D185" s="21" t="s">
        <v>436</v>
      </c>
      <c r="E185" s="13">
        <v>42768.671122685184</v>
      </c>
      <c r="F185" s="13">
        <v>42768.672256944446</v>
      </c>
      <c r="G185" s="7">
        <v>1</v>
      </c>
      <c r="H185" s="21" t="s">
        <v>791</v>
      </c>
      <c r="I185" s="13">
        <v>42768.684212962966</v>
      </c>
      <c r="J185" s="7">
        <v>0</v>
      </c>
      <c r="K185" s="98" t="str">
        <f t="shared" si="39"/>
        <v>4019/4020</v>
      </c>
      <c r="L185" s="21" t="str">
        <f>VLOOKUP(A185,'Trips&amp;Operators'!$C$1:$G$99999,5,FALSE)</f>
        <v>STORY SAMANTHA</v>
      </c>
      <c r="M185" s="6">
        <f t="shared" si="40"/>
        <v>1.1956018519413192E-2</v>
      </c>
      <c r="N185" s="7">
        <f t="shared" si="41"/>
        <v>17.216666667954996</v>
      </c>
      <c r="O185" s="7"/>
      <c r="P185" s="7"/>
      <c r="Q185" s="22"/>
      <c r="R185" s="22"/>
      <c r="S185" s="31">
        <f t="shared" si="42"/>
        <v>1</v>
      </c>
      <c r="T185" s="46" t="str">
        <f t="shared" si="43"/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 t="shared" si="44"/>
        <v>https://d0f6bd738d7f1b3e5a7ca70fe4ff75f0.us-east-1.aws.found.io/app/kibana#/discover/Steve-Slow-Train-Analysis-(2080s-and-2083s)?_g=(refreshInterval:(display:Off,pause:!f,section:0,value:0),time:(from:'2017-02-02T15:06:25-0700',mode:absolute,to:'2017-02-02T17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5" s="194" t="str">
        <f t="shared" si="45"/>
        <v>N</v>
      </c>
      <c r="X185" s="194">
        <f t="shared" si="46"/>
        <v>1</v>
      </c>
      <c r="Y185" s="62">
        <f t="shared" si="47"/>
        <v>5.8654999999999999</v>
      </c>
      <c r="Z185" s="62">
        <f t="shared" si="48"/>
        <v>6.8400000000000002E-2</v>
      </c>
      <c r="AA185" s="62">
        <f t="shared" si="49"/>
        <v>5.7971000000000004</v>
      </c>
      <c r="AB185" s="59" t="e">
        <f>VLOOKUP(A185,Enforcements!$C$7:$K$16,8,0)</f>
        <v>#N/A</v>
      </c>
      <c r="AC185" s="55" t="e">
        <f>VLOOKUP(A185,Enforcements!$C$7:$E$16,3,0)</f>
        <v>#N/A</v>
      </c>
      <c r="AD185" s="56" t="str">
        <f t="shared" si="50"/>
        <v>0828-02</v>
      </c>
      <c r="AE185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85" s="82" t="str">
        <f t="shared" si="52"/>
        <v>"C:\Program Files (x86)\AstroGrep\AstroGrep.exe" /spath="%USERPROFILE%\AppData\Local\Temp\OnboardLogs" /stypes="app*4019*20170202*" /stext=" 23:.+((SYSTEM_STATE.+slice.+state.+changed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6" t="str">
        <f t="shared" si="54"/>
        <v>"%USERPROFILE%\Documents\GitHub\eaglep3\Utilities\RefineRTDCRunTimes.py" --tripid 828-02 --locoid 4019 --swversion DE.1.0.8.0 --startMP 300:58655 --initTime 2017-02-02T16:06:25 --startdatetime 2017-02-02T16:08:03 --delay 1 --endMP 204:684 --enddatetime 2017-02-02T16:25:16 --enforcementcount 0 &gt;&gt;C:\Users\stu\Documents\GitHub\eaglep3-reporting\EC\2017-02-02-refined-times.txt</v>
      </c>
      <c r="AI185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{"issue":{"subject":"","project_id":79,"tracker_id":40,"status_id":1,"priority_id":2,"assigned_to_id":23,"start_date":"2017-02-02","description":"","custom_fields":[{"id":1,"name":"Subdivision","value":"NW"},{"id":4,"name":"Milepost","value":"0.0684"},{"id":17,"name":"Train ID","value":"828-02"},{"id":16,"name":"Locomotive ID","value":"4019"},{"id":130,"name":"Impact","value":""},{"id":150,"name":"Time of Event (Mountain Time)","value":"16:25:16"},{"id":151,"name":"Denver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60" t="str">
        <f t="shared" si="56"/>
        <v>start /low /b %USERPROFILE%\Documents\GitHub\eaglep3\Utilities\DownloadLogsFromS3.py --loco 4019 --day 2017-02-02</v>
      </c>
      <c r="AN185" s="169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</row>
    <row r="186" spans="1:91" x14ac:dyDescent="0.25">
      <c r="A186" s="33" t="s">
        <v>607</v>
      </c>
      <c r="B186" s="7">
        <v>4003</v>
      </c>
      <c r="C186" s="21" t="s">
        <v>193</v>
      </c>
      <c r="D186" s="21" t="s">
        <v>793</v>
      </c>
      <c r="E186" s="13">
        <v>42768.67396990741</v>
      </c>
      <c r="F186" s="13">
        <v>42768.681423611109</v>
      </c>
      <c r="G186" s="7">
        <v>1</v>
      </c>
      <c r="H186" s="21" t="s">
        <v>361</v>
      </c>
      <c r="I186" s="13">
        <v>42768.691145833334</v>
      </c>
      <c r="J186" s="7">
        <v>0</v>
      </c>
      <c r="K186" s="98" t="str">
        <f t="shared" si="39"/>
        <v>4003/4004</v>
      </c>
      <c r="L186" s="21" t="str">
        <f>VLOOKUP(A186,'Trips&amp;Operators'!$C$1:$G$99999,5,FALSE)</f>
        <v>LEVERE CRAIG</v>
      </c>
      <c r="M186" s="6">
        <f t="shared" si="40"/>
        <v>9.7222222248092294E-3</v>
      </c>
      <c r="N186" s="7">
        <f t="shared" si="41"/>
        <v>14.00000000372529</v>
      </c>
      <c r="O186" s="7"/>
      <c r="P186" s="7"/>
      <c r="Q186" s="22"/>
      <c r="R186" s="22"/>
      <c r="S186" s="31">
        <f t="shared" si="42"/>
        <v>1</v>
      </c>
      <c r="T186" s="46" t="str">
        <f t="shared" si="43"/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 t="shared" si="44"/>
        <v>https://d0f6bd738d7f1b3e5a7ca70fe4ff75f0.us-east-1.aws.found.io/app/kibana#/discover/Steve-Slow-Train-Analysis-(2080s-and-2083s)?_g=(refreshInterval:(display:Off,pause:!f,section:0,value:0),time:(from:'2017-02-02T15:10:31-0700',mode:absolute,to:'2017-02-02T17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6" s="194" t="str">
        <f t="shared" si="45"/>
        <v>N</v>
      </c>
      <c r="X186" s="194">
        <f t="shared" si="46"/>
        <v>1</v>
      </c>
      <c r="Y186" s="62">
        <f t="shared" si="47"/>
        <v>9.74E-2</v>
      </c>
      <c r="Z186" s="62">
        <f t="shared" si="48"/>
        <v>5.8975</v>
      </c>
      <c r="AA186" s="62">
        <f t="shared" si="49"/>
        <v>5.8000999999999996</v>
      </c>
      <c r="AB186" s="59" t="e">
        <f>VLOOKUP(A186,Enforcements!$C$7:$K$16,8,0)</f>
        <v>#N/A</v>
      </c>
      <c r="AC186" s="55" t="e">
        <f>VLOOKUP(A186,Enforcements!$C$7:$E$16,3,0)</f>
        <v>#N/A</v>
      </c>
      <c r="AD186" s="56" t="str">
        <f t="shared" si="50"/>
        <v>0829-02</v>
      </c>
      <c r="AE186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86" s="82" t="str">
        <f t="shared" si="52"/>
        <v>"C:\Program Files (x86)\AstroGrep\AstroGrep.exe" /spath="%USERPROFILE%\AppData\Local\Temp\OnboardLogs" /stypes="app*4003*20170202*" /stext=" 23:.+((SYSTEM_STATE.+slice.+state.+changed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6" t="str">
        <f t="shared" si="54"/>
        <v>"%USERPROFILE%\Documents\GitHub\eaglep3\Utilities\RefineRTDCRunTimes.py" --tripid 829-02 --locoid 4003 --swversion DE.1.0.8.0 --startMP 204:974 --initTime 2017-02-02T16:10:31 --startdatetime 2017-02-02T16:21:15 --delay 1 --endMP 300:58975 --enddatetime 2017-02-02T16:35:15 --enforcementcount 0 &gt;&gt;C:\Users\stu\Documents\GitHub\eaglep3-reporting\EC\2017-02-02-refined-times.txt</v>
      </c>
      <c r="AI186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{"issue":{"subject":"","project_id":79,"tracker_id":40,"status_id":1,"priority_id":2,"assigned_to_id":23,"start_date":"2017-02-02","description":"","custom_fields":[{"id":1,"name":"Subdivision","value":"NW"},{"id":4,"name":"Milepost","value":"5.8975"},{"id":17,"name":"Train ID","value":"829-02"},{"id":16,"name":"Locomotive ID","value":"4003"},{"id":130,"name":"Impact","value":""},{"id":150,"name":"Time of Event (Mountain Time)","value":"16:35:15"},{"id":151,"name":"Denver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60" t="str">
        <f t="shared" si="56"/>
        <v>start /low /b %USERPROFILE%\Documents\GitHub\eaglep3\Utilities\DownloadLogsFromS3.py --loco 4003 --day 2017-02-02</v>
      </c>
      <c r="AN186" s="169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"%USERPROFILE%\AppData\Local\Temp\OnboardLogs"\RTDC4003\*4003*20170202* | grep -SE "(Enforcement Action)|(\[TIMEOUT)|(CHR.+\|PRM\|1\|D.+(SWITCH|SIGNAL).+UNKNOWN)" - &gt;&gt; 2017-02-02-UncaughtWiMAX.txt</v>
      </c>
    </row>
    <row r="187" spans="1:91" x14ac:dyDescent="0.25">
      <c r="A187" s="33" t="s">
        <v>611</v>
      </c>
      <c r="B187" s="7">
        <v>4004</v>
      </c>
      <c r="C187" s="21" t="s">
        <v>193</v>
      </c>
      <c r="D187" s="21" t="s">
        <v>801</v>
      </c>
      <c r="E187" s="13">
        <v>42768.692488425928</v>
      </c>
      <c r="F187" s="13">
        <v>42768.694074074076</v>
      </c>
      <c r="G187" s="7">
        <v>1</v>
      </c>
      <c r="H187" s="21" t="s">
        <v>425</v>
      </c>
      <c r="I187" s="13">
        <v>42768.705578703702</v>
      </c>
      <c r="J187" s="7">
        <v>0</v>
      </c>
      <c r="K187" s="98" t="str">
        <f t="shared" si="39"/>
        <v>4003/4004</v>
      </c>
      <c r="L187" s="21" t="str">
        <f>VLOOKUP(A187,'Trips&amp;Operators'!$C$1:$G$99999,5,FALSE)</f>
        <v>LEVERE CRAIG</v>
      </c>
      <c r="M187" s="6">
        <f t="shared" si="40"/>
        <v>1.1504629626870155E-2</v>
      </c>
      <c r="N187" s="7">
        <f t="shared" si="41"/>
        <v>16.566666662693024</v>
      </c>
      <c r="O187" s="7"/>
      <c r="P187" s="7"/>
      <c r="Q187" s="22"/>
      <c r="R187" s="22"/>
      <c r="S187" s="31">
        <f t="shared" si="42"/>
        <v>1</v>
      </c>
      <c r="T187" s="46" t="str">
        <f t="shared" si="43"/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 t="shared" si="44"/>
        <v>https://d0f6bd738d7f1b3e5a7ca70fe4ff75f0.us-east-1.aws.found.io/app/kibana#/discover/Steve-Slow-Train-Analysis-(2080s-and-2083s)?_g=(refreshInterval:(display:Off,pause:!f,section:0,value:0),time:(from:'2017-02-02T15:37:11-0700',mode:absolute,to:'2017-02-02T17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7" s="194" t="str">
        <f t="shared" si="45"/>
        <v>N</v>
      </c>
      <c r="X187" s="194">
        <f t="shared" si="46"/>
        <v>1</v>
      </c>
      <c r="Y187" s="62">
        <f t="shared" si="47"/>
        <v>5.8642000000000003</v>
      </c>
      <c r="Z187" s="62">
        <f t="shared" si="48"/>
        <v>6.7799999999999999E-2</v>
      </c>
      <c r="AA187" s="62">
        <f t="shared" si="49"/>
        <v>5.7964000000000002</v>
      </c>
      <c r="AB187" s="59" t="e">
        <f>VLOOKUP(A187,Enforcements!$C$7:$K$16,8,0)</f>
        <v>#N/A</v>
      </c>
      <c r="AC187" s="55" t="e">
        <f>VLOOKUP(A187,Enforcements!$C$7:$E$16,3,0)</f>
        <v>#N/A</v>
      </c>
      <c r="AD187" s="56" t="str">
        <f t="shared" si="50"/>
        <v>0830-02</v>
      </c>
      <c r="AE187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87" s="82" t="str">
        <f t="shared" si="52"/>
        <v>"C:\Program Files (x86)\AstroGrep\AstroGrep.exe" /spath="%USERPROFILE%\AppData\Local\Temp\OnboardLogs" /stypes="app*4004*20170202*" /stext=" 23:.+((SYSTEM_STATE.+slice.+state.+changed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6" t="str">
        <f t="shared" si="54"/>
        <v>"%USERPROFILE%\Documents\GitHub\eaglep3\Utilities\RefineRTDCRunTimes.py" --tripid 830-02 --locoid 4004 --swversion DE.1.0.8.0 --startMP 300:58642 --initTime 2017-02-02T16:37:11 --startdatetime 2017-02-02T16:39:28 --delay 1 --endMP 204:678 --enddatetime 2017-02-02T16:56:02 --enforcementcount 0 &gt;&gt;C:\Users\stu\Documents\GitHub\eaglep3-reporting\EC\2017-02-02-refined-times.txt</v>
      </c>
      <c r="AI187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{"issue":{"subject":"","project_id":79,"tracker_id":40,"status_id":1,"priority_id":2,"assigned_to_id":23,"start_date":"2017-02-02","description":"","custom_fields":[{"id":1,"name":"Subdivision","value":"NW"},{"id":4,"name":"Milepost","value":"0.0678"},{"id":17,"name":"Train ID","value":"830-02"},{"id":16,"name":"Locomotive ID","value":"4004"},{"id":130,"name":"Impact","value":""},{"id":150,"name":"Time of Event (Mountain Time)","value":"16:56:02"},{"id":151,"name":"Denver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60" t="str">
        <f t="shared" si="56"/>
        <v>start /low /b %USERPROFILE%\Documents\GitHub\eaglep3\Utilities\DownloadLogsFromS3.py --loco 4004 --day 2017-02-02</v>
      </c>
      <c r="AN187" s="169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188" spans="1:91" s="20" customFormat="1" x14ac:dyDescent="0.25">
      <c r="A188" s="33" t="s">
        <v>612</v>
      </c>
      <c r="B188" s="7">
        <v>4020</v>
      </c>
      <c r="C188" s="21" t="s">
        <v>193</v>
      </c>
      <c r="D188" s="21" t="s">
        <v>430</v>
      </c>
      <c r="E188" s="13">
        <v>42768.692569444444</v>
      </c>
      <c r="F188" s="13">
        <v>42768.702604166669</v>
      </c>
      <c r="G188" s="7">
        <v>1</v>
      </c>
      <c r="H188" s="21" t="s">
        <v>431</v>
      </c>
      <c r="I188" s="13">
        <v>42768.71197916667</v>
      </c>
      <c r="J188" s="7">
        <v>0</v>
      </c>
      <c r="K188" s="98" t="str">
        <f t="shared" si="39"/>
        <v>4019/4020</v>
      </c>
      <c r="L188" s="21" t="str">
        <f>VLOOKUP(A188,'Trips&amp;Operators'!$C$1:$G$99999,5,FALSE)</f>
        <v>STORY SAMANTHA</v>
      </c>
      <c r="M188" s="6">
        <f t="shared" si="40"/>
        <v>9.3750000014551915E-3</v>
      </c>
      <c r="N188" s="7">
        <f t="shared" si="41"/>
        <v>13.500000002095476</v>
      </c>
      <c r="O188" s="7"/>
      <c r="P188" s="7"/>
      <c r="Q188" s="22"/>
      <c r="R188" s="22"/>
      <c r="S188" s="31">
        <f t="shared" si="42"/>
        <v>1</v>
      </c>
      <c r="T188" s="46" t="str">
        <f t="shared" si="43"/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 t="shared" si="44"/>
        <v>https://d0f6bd738d7f1b3e5a7ca70fe4ff75f0.us-east-1.aws.found.io/app/kibana#/discover/Steve-Slow-Train-Analysis-(2080s-and-2083s)?_g=(refreshInterval:(display:Off,pause:!f,section:0,value:0),time:(from:'2017-02-02T15:37:18-0700',mode:absolute,to:'2017-02-02T18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8" s="194" t="str">
        <f t="shared" si="45"/>
        <v>N</v>
      </c>
      <c r="X188" s="194">
        <f t="shared" si="46"/>
        <v>1</v>
      </c>
      <c r="Y188" s="62">
        <f t="shared" si="47"/>
        <v>9.6000000000000002E-2</v>
      </c>
      <c r="Z188" s="62">
        <f t="shared" si="48"/>
        <v>5.8948</v>
      </c>
      <c r="AA188" s="62">
        <f t="shared" si="49"/>
        <v>5.7988</v>
      </c>
      <c r="AB188" s="59" t="e">
        <f>VLOOKUP(A188,Enforcements!$C$7:$K$16,8,0)</f>
        <v>#N/A</v>
      </c>
      <c r="AC188" s="55" t="e">
        <f>VLOOKUP(A188,Enforcements!$C$7:$E$16,3,0)</f>
        <v>#N/A</v>
      </c>
      <c r="AD188" s="56" t="str">
        <f t="shared" si="50"/>
        <v>0831-02</v>
      </c>
      <c r="AE188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88" s="82" t="str">
        <f t="shared" si="52"/>
        <v>"C:\Program Files (x86)\AstroGrep\AstroGrep.exe" /spath="%USERPROFILE%\AppData\Local\Temp\OnboardLogs" /stypes="app*4020*20170203*" /stext=" 00:.+((SYSTEM_STATE.+slice.+state.+changed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6" t="str">
        <f t="shared" si="54"/>
        <v>"%USERPROFILE%\Documents\GitHub\eaglep3\Utilities\RefineRTDCRunTimes.py" --tripid 831-02 --locoid 4020 --swversion DE.1.0.8.0 --startMP 204:960 --initTime 2017-02-02T16:37:18 --startdatetime 2017-02-02T16:51:45 --delay 1 --endMP 300:58948 --enddatetime 2017-02-02T17:05:15 --enforcementcount 0 &gt;&gt;C:\Users\stu\Documents\GitHub\eaglep3-reporting\EC\2017-02-02-refined-times.txt</v>
      </c>
      <c r="AI188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{"issue":{"subject":"","project_id":79,"tracker_id":40,"status_id":1,"priority_id":2,"assigned_to_id":23,"start_date":"2017-02-02","description":"","custom_fields":[{"id":1,"name":"Subdivision","value":"NW"},{"id":4,"name":"Milepost","value":"5.8948"},{"id":17,"name":"Train ID","value":"831-02"},{"id":16,"name":"Locomotive ID","value":"4020"},{"id":130,"name":"Impact","value":""},{"id":150,"name":"Time of Event (Mountain Time)","value":"17:05:15"},{"id":151,"name":"Denver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60" t="str">
        <f t="shared" si="56"/>
        <v>start /low /b %USERPROFILE%\Documents\GitHub\eaglep3\Utilities\DownloadLogsFromS3.py --loco 4020 --day 2017-02-02</v>
      </c>
      <c r="AN188" s="169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"%USERPROFILE%\AppData\Local\Temp\OnboardLogs"\RTDC4020\*4020*20170202* | grep -SE "(Enforcement Action)|(\[TIMEOUT)|(CHR.+\|PRM\|1\|D.+(SWITCH|SIGNAL).+UNKNOWN)" - &gt;&gt; 2017-02-02-UncaughtWiMAX.txt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457</v>
      </c>
      <c r="B189" s="7">
        <v>4019</v>
      </c>
      <c r="C189" s="21" t="s">
        <v>193</v>
      </c>
      <c r="D189" s="21" t="s">
        <v>438</v>
      </c>
      <c r="E189" s="13">
        <v>42768.713125000002</v>
      </c>
      <c r="F189" s="13">
        <v>42768.714236111111</v>
      </c>
      <c r="G189" s="7">
        <v>1</v>
      </c>
      <c r="H189" s="21" t="s">
        <v>802</v>
      </c>
      <c r="I189" s="13">
        <v>42768.72729166667</v>
      </c>
      <c r="J189" s="7">
        <v>0</v>
      </c>
      <c r="K189" s="98" t="str">
        <f t="shared" si="39"/>
        <v>4019/4020</v>
      </c>
      <c r="L189" s="21" t="str">
        <f>VLOOKUP(A189,'Trips&amp;Operators'!$C$1:$G$99999,5,FALSE)</f>
        <v>STORY SAMANTHA</v>
      </c>
      <c r="M189" s="6">
        <f t="shared" si="40"/>
        <v>1.3055555558821652E-2</v>
      </c>
      <c r="N189" s="7">
        <f t="shared" si="41"/>
        <v>18.800000004703179</v>
      </c>
      <c r="O189" s="7"/>
      <c r="P189" s="7"/>
      <c r="Q189" s="22"/>
      <c r="R189" s="22"/>
      <c r="S189" s="31">
        <f t="shared" si="42"/>
        <v>1</v>
      </c>
      <c r="T189" s="46" t="str">
        <f t="shared" si="43"/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 t="shared" si="44"/>
        <v>https://d0f6bd738d7f1b3e5a7ca70fe4ff75f0.us-east-1.aws.found.io/app/kibana#/discover/Steve-Slow-Train-Analysis-(2080s-and-2083s)?_g=(refreshInterval:(display:Off,pause:!f,section:0,value:0),time:(from:'2017-02-02T16:06:54-0700',mode:absolute,to:'2017-02-02T18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9" s="194" t="str">
        <f t="shared" si="45"/>
        <v>N</v>
      </c>
      <c r="X189" s="194">
        <f t="shared" si="46"/>
        <v>1</v>
      </c>
      <c r="Y189" s="62">
        <f t="shared" si="47"/>
        <v>5.8619000000000003</v>
      </c>
      <c r="Z189" s="62">
        <f t="shared" si="48"/>
        <v>7.0499999999999993E-2</v>
      </c>
      <c r="AA189" s="62">
        <f t="shared" si="49"/>
        <v>5.7914000000000003</v>
      </c>
      <c r="AB189" s="59" t="e">
        <f>VLOOKUP(A189,Enforcements!$C$7:$K$16,8,0)</f>
        <v>#N/A</v>
      </c>
      <c r="AC189" s="55" t="e">
        <f>VLOOKUP(A189,Enforcements!$C$7:$E$16,3,0)</f>
        <v>#N/A</v>
      </c>
      <c r="AD189" s="56" t="str">
        <f t="shared" si="50"/>
        <v>0832-02</v>
      </c>
      <c r="AE189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89" s="82" t="str">
        <f t="shared" si="52"/>
        <v>"C:\Program Files (x86)\AstroGrep\AstroGrep.exe" /spath="%USERPROFILE%\AppData\Local\Temp\OnboardLogs" /stypes="app*4019*20170203*" /stext=" 00:.+((SYSTEM_STATE.+slice.+state.+changed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6" t="str">
        <f t="shared" si="54"/>
        <v>"%USERPROFILE%\Documents\GitHub\eaglep3\Utilities\RefineRTDCRunTimes.py" --tripid 832-02 --locoid 4019 --swversion DE.1.0.8.0 --startMP 300:58619 --initTime 2017-02-02T17:06:54 --startdatetime 2017-02-02T17:08:30 --delay 1 --endMP 204:705 --enddatetime 2017-02-02T17:27:18 --enforcementcount 0 &gt;&gt;C:\Users\stu\Documents\GitHub\eaglep3-reporting\EC\2017-02-02-refined-times.txt</v>
      </c>
      <c r="AI189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{"issue":{"subject":"","project_id":79,"tracker_id":40,"status_id":1,"priority_id":2,"assigned_to_id":23,"start_date":"2017-02-02","description":"","custom_fields":[{"id":1,"name":"Subdivision","value":"NW"},{"id":4,"name":"Milepost","value":"0.0705"},{"id":17,"name":"Train ID","value":"832-02"},{"id":16,"name":"Locomotive ID","value":"4019"},{"id":130,"name":"Impact","value":""},{"id":150,"name":"Time of Event (Mountain Time)","value":"17:27:18"},{"id":151,"name":"Denver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60" t="str">
        <f t="shared" si="56"/>
        <v>start /low /b %USERPROFILE%\Documents\GitHub\eaglep3\Utilities\DownloadLogsFromS3.py --loco 4019 --day 2017-02-02</v>
      </c>
      <c r="AN189" s="169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2017-02-02-UncaughtWiMAX.txt</v>
      </c>
    </row>
    <row r="190" spans="1:91" s="20" customFormat="1" x14ac:dyDescent="0.25">
      <c r="A190" s="33" t="s">
        <v>618</v>
      </c>
      <c r="B190" s="7">
        <v>4003</v>
      </c>
      <c r="C190" s="21" t="s">
        <v>193</v>
      </c>
      <c r="D190" s="21" t="s">
        <v>803</v>
      </c>
      <c r="E190" s="13">
        <v>42768.71707175926</v>
      </c>
      <c r="F190" s="13">
        <v>42768.723310185182</v>
      </c>
      <c r="G190" s="7">
        <v>1</v>
      </c>
      <c r="H190" s="21" t="s">
        <v>361</v>
      </c>
      <c r="I190" s="13">
        <v>42768.732939814814</v>
      </c>
      <c r="J190" s="7">
        <v>0</v>
      </c>
      <c r="K190" s="98" t="str">
        <f t="shared" si="39"/>
        <v>4003/4004</v>
      </c>
      <c r="L190" s="21" t="str">
        <f>VLOOKUP(A190,'Trips&amp;Operators'!$C$1:$G$99999,5,FALSE)</f>
        <v>LEVERE CRAIG</v>
      </c>
      <c r="M190" s="6">
        <f t="shared" si="40"/>
        <v>9.6296296323998831E-3</v>
      </c>
      <c r="N190" s="7">
        <f t="shared" si="41"/>
        <v>13.866666670655832</v>
      </c>
      <c r="O190" s="7"/>
      <c r="P190" s="7"/>
      <c r="Q190" s="22"/>
      <c r="R190" s="22"/>
      <c r="S190" s="31">
        <f t="shared" si="42"/>
        <v>1</v>
      </c>
      <c r="T190" s="46" t="str">
        <f t="shared" si="43"/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 t="shared" si="44"/>
        <v>https://d0f6bd738d7f1b3e5a7ca70fe4ff75f0.us-east-1.aws.found.io/app/kibana#/discover/Steve-Slow-Train-Analysis-(2080s-and-2083s)?_g=(refreshInterval:(display:Off,pause:!f,section:0,value:0),time:(from:'2017-02-02T16:12:35-0700',mode:absolute,to:'2017-02-02T18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0" s="194" t="str">
        <f t="shared" si="45"/>
        <v>N</v>
      </c>
      <c r="X190" s="194">
        <f t="shared" si="46"/>
        <v>1</v>
      </c>
      <c r="Y190" s="62">
        <f t="shared" si="47"/>
        <v>9.8100000000000007E-2</v>
      </c>
      <c r="Z190" s="62">
        <f t="shared" si="48"/>
        <v>5.8975</v>
      </c>
      <c r="AA190" s="62">
        <f t="shared" si="49"/>
        <v>5.7994000000000003</v>
      </c>
      <c r="AB190" s="59" t="e">
        <f>VLOOKUP(A190,Enforcements!$C$7:$K$16,8,0)</f>
        <v>#N/A</v>
      </c>
      <c r="AC190" s="55" t="e">
        <f>VLOOKUP(A190,Enforcements!$C$7:$E$16,3,0)</f>
        <v>#N/A</v>
      </c>
      <c r="AD190" s="56" t="str">
        <f t="shared" si="50"/>
        <v>0833-02</v>
      </c>
      <c r="AE190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90" s="82" t="str">
        <f t="shared" si="52"/>
        <v>"C:\Program Files (x86)\AstroGrep\AstroGrep.exe" /spath="%USERPROFILE%\AppData\Local\Temp\OnboardLogs" /stypes="app*4003*20170203*" /stext=" 00:.+((SYSTEM_STATE.+slice.+state.+changed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6" t="str">
        <f t="shared" si="54"/>
        <v>"%USERPROFILE%\Documents\GitHub\eaglep3\Utilities\RefineRTDCRunTimes.py" --tripid 833-02 --locoid 4003 --swversion DE.1.0.8.0 --startMP 204:981 --initTime 2017-02-02T17:12:35 --startdatetime 2017-02-02T17:21:34 --delay 1 --endMP 300:58975 --enddatetime 2017-02-02T17:35:26 --enforcementcount 0 &gt;&gt;C:\Users\stu\Documents\GitHub\eaglep3-reporting\EC\2017-02-02-refined-times.txt</v>
      </c>
      <c r="AI190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{"issue":{"subject":"","project_id":79,"tracker_id":40,"status_id":1,"priority_id":2,"assigned_to_id":23,"start_date":"2017-02-02","description":"","custom_fields":[{"id":1,"name":"Subdivision","value":"NW"},{"id":4,"name":"Milepost","value":"5.8975"},{"id":17,"name":"Train ID","value":"833-02"},{"id":16,"name":"Locomotive ID","value":"4003"},{"id":130,"name":"Impact","value":""},{"id":150,"name":"Time of Event (Mountain Time)","value":"17:35:26"},{"id":151,"name":"Denver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60" t="str">
        <f t="shared" si="56"/>
        <v>start /low /b %USERPROFILE%\Documents\GitHub\eaglep3\Utilities\DownloadLogsFromS3.py --loco 4003 --day 2017-02-02</v>
      </c>
      <c r="AN190" s="169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2017-02-02-UncaughtWiMAX.txt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3" t="s">
        <v>628</v>
      </c>
      <c r="B191" s="7">
        <v>4004</v>
      </c>
      <c r="C191" s="21" t="s">
        <v>193</v>
      </c>
      <c r="D191" s="21" t="s">
        <v>804</v>
      </c>
      <c r="E191" s="13">
        <v>42768.735266203701</v>
      </c>
      <c r="F191" s="13">
        <v>42768.736608796295</v>
      </c>
      <c r="G191" s="7">
        <v>1</v>
      </c>
      <c r="H191" s="21" t="s">
        <v>699</v>
      </c>
      <c r="I191" s="13">
        <v>42768.748819444445</v>
      </c>
      <c r="J191" s="7">
        <v>0</v>
      </c>
      <c r="K191" s="98" t="str">
        <f t="shared" si="39"/>
        <v>4003/4004</v>
      </c>
      <c r="L191" s="21" t="str">
        <f>VLOOKUP(A191,'Trips&amp;Operators'!$C$1:$G$99999,5,FALSE)</f>
        <v>LEVERE CRAIG</v>
      </c>
      <c r="M191" s="6">
        <f t="shared" si="40"/>
        <v>1.2210648150357883E-2</v>
      </c>
      <c r="N191" s="7">
        <f t="shared" si="41"/>
        <v>17.583333336515352</v>
      </c>
      <c r="O191" s="7"/>
      <c r="P191" s="7"/>
      <c r="Q191" s="22"/>
      <c r="R191" s="22"/>
      <c r="S191" s="31">
        <f t="shared" si="42"/>
        <v>1</v>
      </c>
      <c r="T191" s="46" t="str">
        <f t="shared" si="43"/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 t="shared" si="44"/>
        <v>https://d0f6bd738d7f1b3e5a7ca70fe4ff75f0.us-east-1.aws.found.io/app/kibana#/discover/Steve-Slow-Train-Analysis-(2080s-and-2083s)?_g=(refreshInterval:(display:Off,pause:!f,section:0,value:0),time:(from:'2017-02-02T16:38:47-0700',mode:absolute,to:'2017-02-02T18:58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1" s="194" t="str">
        <f t="shared" si="45"/>
        <v>N</v>
      </c>
      <c r="X191" s="194">
        <f t="shared" si="46"/>
        <v>1</v>
      </c>
      <c r="Y191" s="62">
        <f t="shared" si="47"/>
        <v>5.8661000000000003</v>
      </c>
      <c r="Z191" s="62">
        <f t="shared" si="48"/>
        <v>7.0300000000000001E-2</v>
      </c>
      <c r="AA191" s="62">
        <f t="shared" si="49"/>
        <v>5.7958000000000007</v>
      </c>
      <c r="AB191" s="59" t="e">
        <f>VLOOKUP(A191,Enforcements!$C$7:$K$16,8,0)</f>
        <v>#N/A</v>
      </c>
      <c r="AC191" s="55" t="e">
        <f>VLOOKUP(A191,Enforcements!$C$7:$E$16,3,0)</f>
        <v>#N/A</v>
      </c>
      <c r="AD191" s="56" t="str">
        <f t="shared" si="50"/>
        <v>0834-02</v>
      </c>
      <c r="AE191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91" s="82" t="str">
        <f t="shared" si="52"/>
        <v>"C:\Program Files (x86)\AstroGrep\AstroGrep.exe" /spath="%USERPROFILE%\AppData\Local\Temp\OnboardLogs" /stypes="app*4004*20170203*" /stext=" 00:.+((SYSTEM_STATE.+slice.+state.+changed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6" t="str">
        <f t="shared" si="54"/>
        <v>"%USERPROFILE%\Documents\GitHub\eaglep3\Utilities\RefineRTDCRunTimes.py" --tripid 834-02 --locoid 4004 --swversion DE.1.0.8.0 --startMP 300:58661 --initTime 2017-02-02T17:38:47 --startdatetime 2017-02-02T17:40:43 --delay 1 --endMP 204:703 --enddatetime 2017-02-02T17:58:18 --enforcementcount 0 &gt;&gt;C:\Users\stu\Documents\GitHub\eaglep3-reporting\EC\2017-02-02-refined-times.txt</v>
      </c>
      <c r="AI191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{"issue":{"subject":"","project_id":79,"tracker_id":40,"status_id":1,"priority_id":2,"assigned_to_id":23,"start_date":"2017-02-02","description":"","custom_fields":[{"id":1,"name":"Subdivision","value":"NW"},{"id":4,"name":"Milepost","value":"0.0703"},{"id":17,"name":"Train ID","value":"834-02"},{"id":16,"name":"Locomotive ID","value":"4004"},{"id":130,"name":"Impact","value":""},{"id":150,"name":"Time of Event (Mountain Time)","value":"17:58:18"},{"id":151,"name":"Denver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60" t="str">
        <f t="shared" si="56"/>
        <v>start /low /b %USERPROFILE%\Documents\GitHub\eaglep3\Utilities\DownloadLogsFromS3.py --loco 4004 --day 2017-02-02</v>
      </c>
      <c r="AN191" s="169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</row>
    <row r="192" spans="1:91" x14ac:dyDescent="0.25">
      <c r="A192" s="33" t="s">
        <v>626</v>
      </c>
      <c r="B192" s="7">
        <v>4020</v>
      </c>
      <c r="C192" s="21" t="s">
        <v>193</v>
      </c>
      <c r="D192" s="21" t="s">
        <v>805</v>
      </c>
      <c r="E192" s="13">
        <v>42768.731793981482</v>
      </c>
      <c r="F192" s="13">
        <v>42768.757013888891</v>
      </c>
      <c r="G192" s="7">
        <v>2</v>
      </c>
      <c r="H192" s="21" t="s">
        <v>357</v>
      </c>
      <c r="I192" s="13">
        <v>42768.769108796296</v>
      </c>
      <c r="J192" s="7">
        <v>0</v>
      </c>
      <c r="K192" s="98" t="str">
        <f t="shared" si="39"/>
        <v>4019/4020</v>
      </c>
      <c r="L192" s="21" t="str">
        <f>VLOOKUP(A192,'Trips&amp;Operators'!$C$1:$G$99999,5,FALSE)</f>
        <v>STORY SAMANTHA</v>
      </c>
      <c r="M192" s="6">
        <f t="shared" si="40"/>
        <v>1.2094907404389232E-2</v>
      </c>
      <c r="N192" s="7">
        <f t="shared" si="41"/>
        <v>17.416666662320495</v>
      </c>
      <c r="O192" s="7"/>
      <c r="P192" s="7"/>
      <c r="Q192" s="22"/>
      <c r="R192" s="22"/>
      <c r="S192" s="31">
        <f t="shared" si="42"/>
        <v>1</v>
      </c>
      <c r="T192" s="46" t="str">
        <f t="shared" si="43"/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 t="shared" si="44"/>
        <v>https://d0f6bd738d7f1b3e5a7ca70fe4ff75f0.us-east-1.aws.found.io/app/kibana#/discover/Steve-Slow-Train-Analysis-(2080s-and-2083s)?_g=(refreshInterval:(display:Off,pause:!f,section:0,value:0),time:(from:'2017-02-02T16:33:47-0700',mode:absolute,to:'2017-02-02T19:27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2" s="194" t="str">
        <f t="shared" si="45"/>
        <v>N</v>
      </c>
      <c r="X192" s="194">
        <f t="shared" si="46"/>
        <v>1</v>
      </c>
      <c r="Y192" s="62">
        <f t="shared" si="47"/>
        <v>9.9900000000000003E-2</v>
      </c>
      <c r="Z192" s="62">
        <f t="shared" si="48"/>
        <v>5.8945999999999996</v>
      </c>
      <c r="AA192" s="62">
        <f t="shared" si="49"/>
        <v>5.7946999999999997</v>
      </c>
      <c r="AB192" s="59" t="e">
        <f>VLOOKUP(A192,Enforcements!$C$7:$K$16,8,0)</f>
        <v>#N/A</v>
      </c>
      <c r="AC192" s="55" t="e">
        <f>VLOOKUP(A192,Enforcements!$C$7:$E$16,3,0)</f>
        <v>#N/A</v>
      </c>
      <c r="AD192" s="56" t="str">
        <f t="shared" si="50"/>
        <v>0835-02</v>
      </c>
      <c r="AE192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92" s="82" t="str">
        <f t="shared" si="52"/>
        <v>"C:\Program Files (x86)\AstroGrep\AstroGrep.exe" /spath="%USERPROFILE%\AppData\Local\Temp\OnboardLogs" /stypes="app*4020*20170203*" /stext=" 01:.+((SYSTEM_STATE.+slice.+state.+changed )|(ment ac)|(multiple cpu faults)|(system.+state.+changed )|(\[timeout)|(PRM\|1\|D)|(kpr)|(kdp)|(\|lc)|(penalty))" /e /r /s</v>
      </c>
      <c r="AG192" s="1" t="str">
        <f t="shared" si="53"/>
        <v>NW</v>
      </c>
      <c r="AH192" s="86" t="str">
        <f t="shared" si="54"/>
        <v>"%USERPROFILE%\Documents\GitHub\eaglep3\Utilities\RefineRTDCRunTimes.py" --tripid 835-02 --locoid 4020 --swversion DE.1.0.8.0 --startMP 204:999 --initTime 2017-02-02T17:33:47 --startdatetime 2017-02-02T18:10:06 --delay 2 --endMP 300:58946 --enddatetime 2017-02-02T18:27:31 --enforcementcount 0 &gt;&gt;C:\Users\stu\Documents\GitHub\eaglep3-reporting\EC\2017-02-02-refined-times.txt</v>
      </c>
      <c r="AI192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{"issue":{"subject":"","project_id":79,"tracker_id":40,"status_id":1,"priority_id":2,"assigned_to_id":23,"start_date":"2017-02-02","description":"","custom_fields":[{"id":1,"name":"Subdivision","value":"NW"},{"id":4,"name":"Milepost","value":"5.8946"},{"id":17,"name":"Train ID","value":"835-02"},{"id":16,"name":"Locomotive ID","value":"4020"},{"id":130,"name":"Impact","value":""},{"id":150,"name":"Time of Event (Mountain Time)","value":"18:27:31"},{"id":151,"name":"Denver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60" t="str">
        <f t="shared" si="56"/>
        <v>start /low /b %USERPROFILE%\Documents\GitHub\eaglep3\Utilities\DownloadLogsFromS3.py --loco 4020 --day 2017-02-02</v>
      </c>
      <c r="AN192" s="169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2017-02-02-UncaughtWiMAX.txt</v>
      </c>
    </row>
    <row r="193" spans="1:91" s="20" customFormat="1" x14ac:dyDescent="0.25">
      <c r="A193" s="33" t="s">
        <v>458</v>
      </c>
      <c r="B193" s="7">
        <v>4019</v>
      </c>
      <c r="C193" s="21" t="s">
        <v>193</v>
      </c>
      <c r="D193" s="21" t="s">
        <v>439</v>
      </c>
      <c r="E193" s="13">
        <v>42768.755810185183</v>
      </c>
      <c r="F193" s="13">
        <v>42768.757013888891</v>
      </c>
      <c r="G193" s="7">
        <v>1</v>
      </c>
      <c r="H193" s="21" t="s">
        <v>806</v>
      </c>
      <c r="I193" s="13">
        <v>42768.769108796296</v>
      </c>
      <c r="J193" s="7">
        <v>0</v>
      </c>
      <c r="K193" s="98" t="str">
        <f t="shared" si="39"/>
        <v>4019/4020</v>
      </c>
      <c r="L193" s="21" t="str">
        <f>VLOOKUP(A193,'Trips&amp;Operators'!$C$1:$G$99999,5,FALSE)</f>
        <v>STORY SAMANTHA</v>
      </c>
      <c r="M193" s="6">
        <f t="shared" si="40"/>
        <v>1.2094907404389232E-2</v>
      </c>
      <c r="N193" s="7">
        <f t="shared" si="41"/>
        <v>17.416666662320495</v>
      </c>
      <c r="O193" s="7"/>
      <c r="P193" s="7"/>
      <c r="Q193" s="22"/>
      <c r="R193" s="22"/>
      <c r="S193" s="31">
        <f t="shared" si="42"/>
        <v>1</v>
      </c>
      <c r="T193" s="46" t="str">
        <f t="shared" si="43"/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 t="shared" si="44"/>
        <v>https://d0f6bd738d7f1b3e5a7ca70fe4ff75f0.us-east-1.aws.found.io/app/kibana#/discover/Steve-Slow-Train-Analysis-(2080s-and-2083s)?_g=(refreshInterval:(display:Off,pause:!f,section:0,value:0),time:(from:'2017-02-02T17:08:22-0700',mode:absolute,to:'2017-02-02T19:27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3" s="194" t="str">
        <f t="shared" si="45"/>
        <v>N</v>
      </c>
      <c r="X193" s="194">
        <f t="shared" si="46"/>
        <v>1</v>
      </c>
      <c r="Y193" s="62">
        <f t="shared" si="47"/>
        <v>5.8623000000000003</v>
      </c>
      <c r="Z193" s="62">
        <f t="shared" si="48"/>
        <v>7.2700000000000001E-2</v>
      </c>
      <c r="AA193" s="62">
        <f t="shared" si="49"/>
        <v>5.7896000000000001</v>
      </c>
      <c r="AB193" s="59" t="e">
        <f>VLOOKUP(A193,Enforcements!$C$7:$K$16,8,0)</f>
        <v>#N/A</v>
      </c>
      <c r="AC193" s="55" t="e">
        <f>VLOOKUP(A193,Enforcements!$C$7:$E$16,3,0)</f>
        <v>#N/A</v>
      </c>
      <c r="AD193" s="56" t="str">
        <f t="shared" si="50"/>
        <v>0836-02</v>
      </c>
      <c r="AE193" s="85" t="str">
        <f t="shared" si="51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193" s="82" t="str">
        <f t="shared" si="52"/>
        <v>"C:\Program Files (x86)\AstroGrep\AstroGrep.exe" /spath="%USERPROFILE%\AppData\Local\Temp\OnboardLogs" /stypes="app*4019*20170203*" /stext=" 01:.+((SYSTEM_STATE.+slice.+state.+changed )|(ment ac)|(multiple cpu faults)|(system.+state.+changed )|(\[timeout)|(PRM\|1\|D)|(kpr)|(kdp)|(\|lc)|(penalty))" /e /r /s</v>
      </c>
      <c r="AG193" s="1" t="str">
        <f t="shared" si="53"/>
        <v>NW</v>
      </c>
      <c r="AH193" s="86" t="str">
        <f t="shared" si="54"/>
        <v>"%USERPROFILE%\Documents\GitHub\eaglep3\Utilities\RefineRTDCRunTimes.py" --tripid 836-02 --locoid 4019 --swversion DE.1.0.8.0 --startMP 300:58623 --initTime 2017-02-02T18:08:22 --startdatetime 2017-02-02T18:10:06 --delay 1 --endMP 204:727 --enddatetime 2017-02-02T18:27:31 --enforcementcount 0 &gt;&gt;C:\Users\stu\Documents\GitHub\eaglep3-reporting\EC\2017-02-02-refined-times.txt</v>
      </c>
      <c r="AI193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{"issue":{"subject":"","project_id":79,"tracker_id":40,"status_id":1,"priority_id":2,"assigned_to_id":23,"start_date":"2017-02-02","description":"","custom_fields":[{"id":1,"name":"Subdivision","value":"NW"},{"id":4,"name":"Milepost","value":"0.0727"},{"id":17,"name":"Train ID","value":"836-02"},{"id":16,"name":"Locomotive ID","value":"4019"},{"id":130,"name":"Impact","value":""},{"id":150,"name":"Time of Event (Mountain Time)","value":"18:27:31"},{"id":151,"name":"Denver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60" t="str">
        <f t="shared" si="56"/>
        <v>start /low /b %USERPROFILE%\Documents\GitHub\eaglep3\Utilities\DownloadLogsFromS3.py --loco 4019 --day 2017-02-02</v>
      </c>
      <c r="AN193" s="169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"%USERPROFILE%\AppData\Local\Temp\OnboardLogs"\RTDC4019\*4019*20170203* | grep -SE "(Enforcement Action)|(\[TIMEOUT)|(CHR.+\|PRM\|1\|D.+(SWITCH|SIGNAL).+UNKNOWN)" - &gt;&gt; 2017-02-02-UncaughtWiMAX.txt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3" t="s">
        <v>641</v>
      </c>
      <c r="B194" s="7">
        <v>4003</v>
      </c>
      <c r="C194" s="21" t="s">
        <v>193</v>
      </c>
      <c r="D194" s="21" t="s">
        <v>440</v>
      </c>
      <c r="E194" s="13">
        <v>42768.760381944441</v>
      </c>
      <c r="F194" s="13">
        <v>42768.764780092592</v>
      </c>
      <c r="G194" s="7">
        <v>1</v>
      </c>
      <c r="H194" s="21" t="s">
        <v>433</v>
      </c>
      <c r="I194" s="13">
        <v>42768.774791666663</v>
      </c>
      <c r="J194" s="7">
        <v>0</v>
      </c>
      <c r="K194" s="98" t="str">
        <f t="shared" si="39"/>
        <v>4003/4004</v>
      </c>
      <c r="L194" s="21" t="str">
        <f>VLOOKUP(A194,'Trips&amp;Operators'!$C$1:$G$99999,5,FALSE)</f>
        <v>LEVERE CRAIG</v>
      </c>
      <c r="M194" s="6">
        <f t="shared" si="40"/>
        <v>1.0011574071540963E-2</v>
      </c>
      <c r="N194" s="7">
        <f t="shared" si="41"/>
        <v>14.416666663018987</v>
      </c>
      <c r="O194" s="7"/>
      <c r="P194" s="7"/>
      <c r="Q194" s="22"/>
      <c r="R194" s="22"/>
      <c r="S194" s="31">
        <f t="shared" si="42"/>
        <v>1</v>
      </c>
      <c r="T194" s="46" t="str">
        <f t="shared" si="43"/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 t="shared" si="44"/>
        <v>https://d0f6bd738d7f1b3e5a7ca70fe4ff75f0.us-east-1.aws.found.io/app/kibana#/discover/Steve-Slow-Train-Analysis-(2080s-and-2083s)?_g=(refreshInterval:(display:Off,pause:!f,section:0,value:0),time:(from:'2017-02-02T17:14:57-0700',mode:absolute,to:'2017-02-02T19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4" s="194" t="str">
        <f t="shared" si="45"/>
        <v>N</v>
      </c>
      <c r="X194" s="194">
        <f t="shared" si="46"/>
        <v>1</v>
      </c>
      <c r="Y194" s="62">
        <f t="shared" si="47"/>
        <v>9.7799999999999998E-2</v>
      </c>
      <c r="Z194" s="62">
        <f t="shared" si="48"/>
        <v>5.8963000000000001</v>
      </c>
      <c r="AA194" s="62">
        <f t="shared" si="49"/>
        <v>5.7984999999999998</v>
      </c>
      <c r="AB194" s="59" t="e">
        <f>VLOOKUP(A194,Enforcements!$C$7:$K$16,8,0)</f>
        <v>#N/A</v>
      </c>
      <c r="AC194" s="55" t="e">
        <f>VLOOKUP(A194,Enforcements!$C$7:$E$16,3,0)</f>
        <v>#N/A</v>
      </c>
      <c r="AD194" s="56" t="str">
        <f t="shared" si="50"/>
        <v>0837-02</v>
      </c>
      <c r="AE194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94" s="82" t="str">
        <f t="shared" si="52"/>
        <v>"C:\Program Files (x86)\AstroGrep\AstroGrep.exe" /spath="%USERPROFILE%\AppData\Local\Temp\OnboardLogs" /stypes="app*4003*20170203*" /stext=" 01:.+((SYSTEM_STATE.+slice.+state.+changed )|(ment ac)|(multiple cpu faults)|(system.+state.+changed )|(\[timeout)|(PRM\|1\|D)|(kpr)|(kdp)|(\|lc)|(penalty))" /e /r /s</v>
      </c>
      <c r="AG194" s="1" t="str">
        <f t="shared" si="53"/>
        <v>NW</v>
      </c>
      <c r="AH194" s="86" t="str">
        <f t="shared" si="54"/>
        <v>"%USERPROFILE%\Documents\GitHub\eaglep3\Utilities\RefineRTDCRunTimes.py" --tripid 837-02 --locoid 4003 --swversion DE.1.0.8.0 --startMP 204:978 --initTime 2017-02-02T18:14:57 --startdatetime 2017-02-02T18:21:17 --delay 1 --endMP 300:58963 --enddatetime 2017-02-02T18:35:42 --enforcementcount 0 &gt;&gt;C:\Users\stu\Documents\GitHub\eaglep3-reporting\EC\2017-02-02-refined-times.txt</v>
      </c>
      <c r="AI194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{"issue":{"subject":"","project_id":79,"tracker_id":40,"status_id":1,"priority_id":2,"assigned_to_id":23,"start_date":"2017-02-02","description":"","custom_fields":[{"id":1,"name":"Subdivision","value":"NW"},{"id":4,"name":"Milepost","value":"5.8963"},{"id":17,"name":"Train ID","value":"837-02"},{"id":16,"name":"Locomotive ID","value":"4003"},{"id":130,"name":"Impact","value":""},{"id":150,"name":"Time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60" t="str">
        <f t="shared" si="56"/>
        <v>start /low /b %USERPROFILE%\Documents\GitHub\eaglep3\Utilities\DownloadLogsFromS3.py --loco 4003 --day 2017-02-02</v>
      </c>
      <c r="AN194" s="169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2017-02-02-UncaughtWiMAX.txt</v>
      </c>
    </row>
    <row r="195" spans="1:91" s="20" customFormat="1" x14ac:dyDescent="0.25">
      <c r="A195" s="33" t="s">
        <v>643</v>
      </c>
      <c r="B195" s="7">
        <v>4004</v>
      </c>
      <c r="C195" s="21" t="s">
        <v>193</v>
      </c>
      <c r="D195" s="21" t="s">
        <v>795</v>
      </c>
      <c r="E195" s="13">
        <v>42768.775833333333</v>
      </c>
      <c r="F195" s="13">
        <v>42768.777175925927</v>
      </c>
      <c r="G195" s="7">
        <v>1</v>
      </c>
      <c r="H195" s="21" t="s">
        <v>791</v>
      </c>
      <c r="I195" s="13">
        <v>42768.791504629633</v>
      </c>
      <c r="J195" s="7">
        <v>0</v>
      </c>
      <c r="K195" s="98" t="str">
        <f t="shared" si="39"/>
        <v>4003/4004</v>
      </c>
      <c r="L195" s="21" t="str">
        <f>VLOOKUP(A195,'Trips&amp;Operators'!$C$1:$G$99999,5,FALSE)</f>
        <v>LEVERE CRAIG</v>
      </c>
      <c r="M195" s="6">
        <f t="shared" si="40"/>
        <v>1.4328703706269152E-2</v>
      </c>
      <c r="N195" s="7">
        <f t="shared" si="41"/>
        <v>20.63333333702758</v>
      </c>
      <c r="O195" s="7"/>
      <c r="P195" s="7"/>
      <c r="Q195" s="22"/>
      <c r="R195" s="22"/>
      <c r="S195" s="31">
        <f t="shared" si="42"/>
        <v>1</v>
      </c>
      <c r="T195" s="46" t="str">
        <f t="shared" si="43"/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 t="shared" si="44"/>
        <v>https://d0f6bd738d7f1b3e5a7ca70fe4ff75f0.us-east-1.aws.found.io/app/kibana#/discover/Steve-Slow-Train-Analysis-(2080s-and-2083s)?_g=(refreshInterval:(display:Off,pause:!f,section:0,value:0),time:(from:'2017-02-02T17:37:12-0700',mode:absolute,to:'2017-02-02T19:59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5" s="194" t="str">
        <f t="shared" si="45"/>
        <v>N</v>
      </c>
      <c r="X195" s="194">
        <f t="shared" si="46"/>
        <v>1</v>
      </c>
      <c r="Y195" s="62">
        <f t="shared" si="47"/>
        <v>5.8651</v>
      </c>
      <c r="Z195" s="62">
        <f t="shared" si="48"/>
        <v>6.8400000000000002E-2</v>
      </c>
      <c r="AA195" s="62">
        <f t="shared" si="49"/>
        <v>5.7967000000000004</v>
      </c>
      <c r="AB195" s="59" t="e">
        <f>VLOOKUP(A195,Enforcements!$C$7:$K$16,8,0)</f>
        <v>#N/A</v>
      </c>
      <c r="AC195" s="55" t="e">
        <f>VLOOKUP(A195,Enforcements!$C$7:$E$16,3,0)</f>
        <v>#N/A</v>
      </c>
      <c r="AD195" s="56" t="str">
        <f t="shared" si="50"/>
        <v>0838-02</v>
      </c>
      <c r="AE195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95" s="82" t="str">
        <f t="shared" si="52"/>
        <v>"C:\Program Files (x86)\AstroGrep\AstroGrep.exe" /spath="%USERPROFILE%\AppData\Local\Temp\OnboardLogs" /stypes="app*4004*20170203*" /stext=" 01:.+((SYSTEM_STATE.+slice.+state.+changed )|(ment ac)|(multiple cpu faults)|(system.+state.+changed )|(\[timeout)|(PRM\|1\|D)|(kpr)|(kdp)|(\|lc)|(penalty))" /e /r /s</v>
      </c>
      <c r="AG195" s="1" t="str">
        <f t="shared" si="53"/>
        <v>NW</v>
      </c>
      <c r="AH195" s="86" t="str">
        <f t="shared" si="54"/>
        <v>"%USERPROFILE%\Documents\GitHub\eaglep3\Utilities\RefineRTDCRunTimes.py" --tripid 838-02 --locoid 4004 --swversion DE.1.0.8.0 --startMP 300:58651 --initTime 2017-02-02T18:37:12 --startdatetime 2017-02-02T18:39:08 --delay 1 --endMP 204:684 --enddatetime 2017-02-02T18:59:46 --enforcementcount 0 &gt;&gt;C:\Users\stu\Documents\GitHub\eaglep3-reporting\EC\2017-02-02-refined-times.txt</v>
      </c>
      <c r="AI195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{"issue":{"subject":"","project_id":79,"tracker_id":40,"status_id":1,"priority_id":2,"assigned_to_id":23,"start_date":"2017-02-02","description":"","custom_fields":[{"id":1,"name":"Subdivision","value":"NW"},{"id":4,"name":"Milepost","value":"0.0684"},{"id":17,"name":"Train ID","value":"838-02"},{"id":16,"name":"Locomotive ID","value":"4004"},{"id":130,"name":"Impact","value":""},{"id":150,"name":"Time of Event (Mountain Time)","value":"18:59:46"},{"id":151,"name":"Denver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60" t="str">
        <f t="shared" si="56"/>
        <v>start /low /b %USERPROFILE%\Documents\GitHub\eaglep3\Utilities\DownloadLogsFromS3.py --loco 4004 --day 2017-02-02</v>
      </c>
      <c r="AN195" s="169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3" t="s">
        <v>645</v>
      </c>
      <c r="B196" s="7">
        <v>4020</v>
      </c>
      <c r="C196" s="21" t="s">
        <v>193</v>
      </c>
      <c r="D196" s="21" t="s">
        <v>807</v>
      </c>
      <c r="E196" s="13">
        <v>42768.781655092593</v>
      </c>
      <c r="F196" s="13">
        <v>42768.78564814815</v>
      </c>
      <c r="G196" s="7">
        <v>1</v>
      </c>
      <c r="H196" s="21" t="s">
        <v>358</v>
      </c>
      <c r="I196" s="13">
        <v>42768.795347222222</v>
      </c>
      <c r="J196" s="7">
        <v>0</v>
      </c>
      <c r="K196" s="98" t="str">
        <f t="shared" si="39"/>
        <v>4019/4020</v>
      </c>
      <c r="L196" s="21" t="str">
        <f>VLOOKUP(A196,'Trips&amp;Operators'!$C$1:$G$99999,5,FALSE)</f>
        <v>STORY SAMANTHA</v>
      </c>
      <c r="M196" s="6">
        <f t="shared" si="40"/>
        <v>9.6990740712499246E-3</v>
      </c>
      <c r="N196" s="7">
        <f t="shared" si="41"/>
        <v>13.966666662599891</v>
      </c>
      <c r="O196" s="7"/>
      <c r="P196" s="7"/>
      <c r="Q196" s="22"/>
      <c r="R196" s="22"/>
      <c r="S196" s="31">
        <f t="shared" si="42"/>
        <v>1</v>
      </c>
      <c r="T196" s="46" t="str">
        <f t="shared" si="43"/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 t="shared" si="44"/>
        <v>https://d0f6bd738d7f1b3e5a7ca70fe4ff75f0.us-east-1.aws.found.io/app/kibana#/discover/Steve-Slow-Train-Analysis-(2080s-and-2083s)?_g=(refreshInterval:(display:Off,pause:!f,section:0,value:0),time:(from:'2017-02-02T17:45:35-0700',mode:absolute,to:'2017-02-02T20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6" s="194" t="str">
        <f t="shared" si="45"/>
        <v>N</v>
      </c>
      <c r="X196" s="194">
        <f t="shared" si="46"/>
        <v>1</v>
      </c>
      <c r="Y196" s="62">
        <f t="shared" si="47"/>
        <v>0.10299999999999999</v>
      </c>
      <c r="Z196" s="62">
        <f t="shared" si="48"/>
        <v>5.8944000000000001</v>
      </c>
      <c r="AA196" s="62">
        <f t="shared" si="49"/>
        <v>5.7914000000000003</v>
      </c>
      <c r="AB196" s="59" t="e">
        <f>VLOOKUP(A196,Enforcements!$C$7:$K$16,8,0)</f>
        <v>#N/A</v>
      </c>
      <c r="AC196" s="55" t="e">
        <f>VLOOKUP(A196,Enforcements!$C$7:$E$16,3,0)</f>
        <v>#N/A</v>
      </c>
      <c r="AD196" s="56" t="str">
        <f t="shared" si="50"/>
        <v>0839-02</v>
      </c>
      <c r="AE196" s="85" t="str">
        <f t="shared" si="51"/>
        <v>aws s3 cp s3://rtdc.mdm.uploadarchive.raw/RTDC4020/ "%USERPROFILE%\AppData\Local\Temp\OnboardLogs"\RTDC4020\2017-02-02 --exclude "*" --recursive --include "*20170202*" &amp; "%USERPROFILE%\Documents\GitHub\mrs-test-scripts\Headless Mode &amp; Sideloading\WalkAndUnGZ.bat" "%USERPROFILE%\AppData\Local\Temp\OnboardLogs"\RTDC4020\2017-02-02 &amp; aws s3 cp s3://rtdc.mdm.uploadarchive.raw/RTDC4020/ "%USERPROFILE%\AppData\Local\Temp\OnboardLogs"\RTDC4020\2017-02-03 --exclude "*" --recursive --include "*20170203*" &amp; "%USERPROFILE%\Documents\GitHub\mrs-test-scripts\Headless Mode &amp; Sideloading\WalkAndUnGZ.bat" "%USERPROFILE%\AppData\Local\Temp\OnboardLogs"\RTDC4020\2017-02-03</v>
      </c>
      <c r="AF196" s="82" t="str">
        <f t="shared" si="52"/>
        <v>"C:\Program Files (x86)\AstroGrep\AstroGrep.exe" /spath="%USERPROFILE%\AppData\Local\Temp\OnboardLogs" /stypes="app*4020*20170203*" /stext=" 02:.+((SYSTEM_STATE.+slice.+state.+changed )|(ment ac)|(multiple cpu faults)|(system.+state.+changed )|(\[timeout)|(PRM\|1\|D)|(kpr)|(kdp)|(\|lc)|(penalty))" /e /r /s</v>
      </c>
      <c r="AG196" s="1" t="str">
        <f t="shared" si="53"/>
        <v>NW</v>
      </c>
      <c r="AH196" s="86" t="str">
        <f t="shared" si="54"/>
        <v>"%USERPROFILE%\Documents\GitHub\eaglep3\Utilities\RefineRTDCRunTimes.py" --tripid 839-02 --locoid 4020 --swversion DE.1.0.8.0 --startMP 204:1030 --initTime 2017-02-02T18:45:35 --startdatetime 2017-02-02T18:51:20 --delay 1 --endMP 300:58944 --enddatetime 2017-02-02T19:05:18 --enforcementcount 0 &gt;&gt;C:\Users\stu\Documents\GitHub\eaglep3-reporting\EC\2017-02-02-refined-times.txt</v>
      </c>
      <c r="AI196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{"issue":{"subject":"","project_id":79,"tracker_id":40,"status_id":1,"priority_id":2,"assigned_to_id":23,"start_date":"2017-02-02","description":"","custom_fields":[{"id":1,"name":"Subdivision","value":"NW"},{"id":4,"name":"Milepost","value":"5.8944"},{"id":17,"name":"Train ID","value":"839-02"},{"id":16,"name":"Locomotive ID","value":"4020"},{"id":130,"name":"Impact","value":""},{"id":150,"name":"Time of Event (Mountain Time)","value":"19:05:18"},{"id":151,"name":"Denver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60" t="str">
        <f t="shared" si="56"/>
        <v>start /low /b %USERPROFILE%\Documents\GitHub\eaglep3\Utilities\DownloadLogsFromS3.py --loco 4020 --day 2017-02-02</v>
      </c>
      <c r="AN196" s="169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"%USERPROFILE%\AppData\Local\Temp\OnboardLogs"\RTDC4020\*4020*20170203* | grep -SE "(Enforcement Action)|(\[TIMEOUT)|(CHR.+\|PRM\|1\|D.+(SWITCH|SIGNAL).+UNKNOWN)" - &gt;&gt; 2017-02-02-UncaughtWiMAX.txt</v>
      </c>
    </row>
    <row r="197" spans="1:91" x14ac:dyDescent="0.25">
      <c r="A197" s="33" t="s">
        <v>652</v>
      </c>
      <c r="B197" s="7">
        <v>4004</v>
      </c>
      <c r="C197" s="21" t="s">
        <v>193</v>
      </c>
      <c r="D197" s="21" t="s">
        <v>809</v>
      </c>
      <c r="E197" s="13">
        <v>42768.818009259259</v>
      </c>
      <c r="F197" s="13">
        <v>42768.819606481484</v>
      </c>
      <c r="G197" s="7">
        <v>1</v>
      </c>
      <c r="H197" s="21" t="s">
        <v>428</v>
      </c>
      <c r="I197" s="13">
        <v>42768.832476851851</v>
      </c>
      <c r="J197" s="7">
        <v>0</v>
      </c>
      <c r="K197" s="98" t="str">
        <f t="shared" si="39"/>
        <v>4003/4004</v>
      </c>
      <c r="L197" s="21" t="str">
        <f>VLOOKUP(A197,'Trips&amp;Operators'!$C$1:$G$99999,5,FALSE)</f>
        <v>LEVERE CRAIG</v>
      </c>
      <c r="M197" s="6">
        <f t="shared" si="40"/>
        <v>1.2870370366727002E-2</v>
      </c>
      <c r="N197" s="7">
        <f t="shared" si="41"/>
        <v>18.533333328086883</v>
      </c>
      <c r="O197" s="7"/>
      <c r="P197" s="7"/>
      <c r="Q197" s="22"/>
      <c r="R197" s="22"/>
      <c r="S197" s="31">
        <f t="shared" si="42"/>
        <v>1</v>
      </c>
      <c r="T197" s="46" t="str">
        <f t="shared" si="43"/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 t="shared" si="44"/>
        <v>https://d0f6bd738d7f1b3e5a7ca70fe4ff75f0.us-east-1.aws.found.io/app/kibana#/discover/Steve-Slow-Train-Analysis-(2080s-and-2083s)?_g=(refreshInterval:(display:Off,pause:!f,section:0,value:0),time:(from:'2017-02-02T18:37:56-0700',mode:absolute,to:'2017-02-02T20:58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7" s="194" t="str">
        <f t="shared" si="45"/>
        <v>N</v>
      </c>
      <c r="X197" s="194">
        <f t="shared" si="46"/>
        <v>1</v>
      </c>
      <c r="Y197" s="62">
        <f t="shared" si="47"/>
        <v>5.8581000000000003</v>
      </c>
      <c r="Z197" s="62">
        <f t="shared" si="48"/>
        <v>6.8699999999999997E-2</v>
      </c>
      <c r="AA197" s="62">
        <f t="shared" si="49"/>
        <v>5.7894000000000005</v>
      </c>
      <c r="AB197" s="59" t="e">
        <f>VLOOKUP(A197,Enforcements!$C$7:$K$16,8,0)</f>
        <v>#N/A</v>
      </c>
      <c r="AC197" s="55" t="e">
        <f>VLOOKUP(A197,Enforcements!$C$7:$E$16,3,0)</f>
        <v>#N/A</v>
      </c>
      <c r="AD197" s="56" t="str">
        <f t="shared" si="50"/>
        <v>0840-02</v>
      </c>
      <c r="AE197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97" s="82" t="str">
        <f t="shared" si="52"/>
        <v>"C:\Program Files (x86)\AstroGrep\AstroGrep.exe" /spath="%USERPROFILE%\AppData\Local\Temp\OnboardLogs" /stypes="app*4004*20170203*" /stext=" 02:.+((SYSTEM_STATE.+slice.+state.+changed )|(ment ac)|(multiple cpu faults)|(system.+state.+changed )|(\[timeout)|(PRM\|1\|D)|(kpr)|(kdp)|(\|lc)|(penalty))" /e /r /s</v>
      </c>
      <c r="AG197" s="1" t="str">
        <f t="shared" si="53"/>
        <v>NW</v>
      </c>
      <c r="AH197" s="86" t="str">
        <f t="shared" si="54"/>
        <v>"%USERPROFILE%\Documents\GitHub\eaglep3\Utilities\RefineRTDCRunTimes.py" --tripid 840-02 --locoid 4004 --swversion DE.1.0.8.0 --startMP 300:58581 --initTime 2017-02-02T19:37:56 --startdatetime 2017-02-02T19:40:14 --delay 1 --endMP 204:687 --enddatetime 2017-02-02T19:58:46 --enforcementcount 0 &gt;&gt;C:\Users\stu\Documents\GitHub\eaglep3-reporting\EC\2017-02-02-refined-times.txt</v>
      </c>
      <c r="AI197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{"issue":{"subject":"","project_id":79,"tracker_id":40,"status_id":1,"priority_id":2,"assigned_to_id":23,"start_date":"2017-02-02","description":"","custom_fields":[{"id":1,"name":"Subdivision","value":"NW"},{"id":4,"name":"Milepost","value":"0.0687"},{"id":17,"name":"Train ID","value":"840-02"},{"id":16,"name":"Locomotive ID","value":"4004"},{"id":130,"name":"Impact","value":""},{"id":150,"name":"Time of Event (Mountain Time)","value":"19:58:46"},{"id":151,"name":"Denver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60" t="str">
        <f t="shared" si="56"/>
        <v>start /low /b %USERPROFILE%\Documents\GitHub\eaglep3\Utilities\DownloadLogsFromS3.py --loco 4004 --day 2017-02-02</v>
      </c>
      <c r="AN197" s="169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</row>
    <row r="198" spans="1:91" x14ac:dyDescent="0.25">
      <c r="A198" s="33" t="s">
        <v>461</v>
      </c>
      <c r="B198" s="7">
        <v>4003</v>
      </c>
      <c r="C198" s="21" t="s">
        <v>193</v>
      </c>
      <c r="D198" s="21" t="s">
        <v>434</v>
      </c>
      <c r="E198" s="13">
        <v>42768.799826388888</v>
      </c>
      <c r="F198" s="13">
        <v>42768.806435185186</v>
      </c>
      <c r="G198" s="7">
        <v>1</v>
      </c>
      <c r="H198" s="21" t="s">
        <v>810</v>
      </c>
      <c r="I198" s="13">
        <v>42768.816481481481</v>
      </c>
      <c r="J198" s="7">
        <v>0</v>
      </c>
      <c r="K198" s="98" t="str">
        <f t="shared" si="39"/>
        <v>4003/4004</v>
      </c>
      <c r="L198" s="21" t="str">
        <f>VLOOKUP(A198,'Trips&amp;Operators'!$C$1:$G$99999,5,FALSE)</f>
        <v>LEVERE CRAIG</v>
      </c>
      <c r="M198" s="6">
        <f t="shared" si="40"/>
        <v>1.0046296294603962E-2</v>
      </c>
      <c r="N198" s="7">
        <f t="shared" si="41"/>
        <v>14.466666664229706</v>
      </c>
      <c r="O198" s="7"/>
      <c r="P198" s="7"/>
      <c r="Q198" s="22"/>
      <c r="R198" s="22"/>
      <c r="S198" s="31">
        <f t="shared" si="42"/>
        <v>1</v>
      </c>
      <c r="T198" s="46" t="str">
        <f t="shared" si="43"/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 t="shared" si="44"/>
        <v>https://d0f6bd738d7f1b3e5a7ca70fe4ff75f0.us-east-1.aws.found.io/app/kibana#/discover/Steve-Slow-Train-Analysis-(2080s-and-2083s)?_g=(refreshInterval:(display:Off,pause:!f,section:0,value:0),time:(from:'2017-02-02T18:11:45-0700',mode:absolute,to:'2017-02-02T20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8" s="194" t="str">
        <f t="shared" si="45"/>
        <v>N</v>
      </c>
      <c r="X198" s="194">
        <f t="shared" si="46"/>
        <v>1</v>
      </c>
      <c r="Y198" s="62">
        <f t="shared" si="47"/>
        <v>9.7900000000000001E-2</v>
      </c>
      <c r="Z198" s="62">
        <f t="shared" si="48"/>
        <v>5.8890000000000002</v>
      </c>
      <c r="AA198" s="62">
        <f t="shared" si="49"/>
        <v>5.7911000000000001</v>
      </c>
      <c r="AB198" s="59" t="e">
        <f>VLOOKUP(A198,Enforcements!$C$7:$K$16,8,0)</f>
        <v>#N/A</v>
      </c>
      <c r="AC198" s="55" t="e">
        <f>VLOOKUP(A198,Enforcements!$C$7:$E$16,3,0)</f>
        <v>#N/A</v>
      </c>
      <c r="AD198" s="56" t="str">
        <f t="shared" si="50"/>
        <v>0841-02</v>
      </c>
      <c r="AE198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198" s="82" t="str">
        <f t="shared" si="52"/>
        <v>"C:\Program Files (x86)\AstroGrep\AstroGrep.exe" /spath="%USERPROFILE%\AppData\Local\Temp\OnboardLogs" /stypes="app*4003*20170203*" /stext=" 02:.+((SYSTEM_STATE.+slice.+state.+changed )|(ment ac)|(multiple cpu faults)|(system.+state.+changed )|(\[timeout)|(PRM\|1\|D)|(kpr)|(kdp)|(\|lc)|(penalty))" /e /r /s</v>
      </c>
      <c r="AG198" s="1" t="str">
        <f t="shared" si="53"/>
        <v>NW</v>
      </c>
      <c r="AH198" s="86" t="str">
        <f t="shared" si="54"/>
        <v>"%USERPROFILE%\Documents\GitHub\eaglep3\Utilities\RefineRTDCRunTimes.py" --tripid 841-02 --locoid 4003 --swversion DE.1.0.8.0 --startMP 204:979 --initTime 2017-02-02T19:11:45 --startdatetime 2017-02-02T19:21:16 --delay 1 --endMP 300:58890 --enddatetime 2017-02-02T19:35:44 --enforcementcount 0 &gt;&gt;C:\Users\stu\Documents\GitHub\eaglep3-reporting\EC\2017-02-02-refined-times.txt</v>
      </c>
      <c r="AI198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{"issue":{"subject":"","project_id":79,"tracker_id":40,"status_id":1,"priority_id":2,"assigned_to_id":23,"start_date":"2017-02-02","description":"","custom_fields":[{"id":1,"name":"Subdivision","value":"NW"},{"id":4,"name":"Milepost","value":"5.889"},{"id":17,"name":"Train ID","value":"841-02"},{"id":16,"name":"Locomotive ID","value":"4003"},{"id":130,"name":"Impact","value":""},{"id":150,"name":"Time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60" t="str">
        <f t="shared" si="56"/>
        <v>start /low /b %USERPROFILE%\Documents\GitHub\eaglep3\Utilities\DownloadLogsFromS3.py --loco 4003 --day 2017-02-02</v>
      </c>
      <c r="AN198" s="169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2017-02-02-UncaughtWiMAX.txt</v>
      </c>
    </row>
    <row r="199" spans="1:91" s="20" customFormat="1" x14ac:dyDescent="0.25">
      <c r="A199" s="33" t="s">
        <v>657</v>
      </c>
      <c r="B199" s="7">
        <v>4004</v>
      </c>
      <c r="C199" s="21" t="s">
        <v>193</v>
      </c>
      <c r="D199" s="21" t="s">
        <v>804</v>
      </c>
      <c r="E199" s="13">
        <v>42768.859560185185</v>
      </c>
      <c r="F199" s="13">
        <v>42768.860937500001</v>
      </c>
      <c r="G199" s="7">
        <v>1</v>
      </c>
      <c r="H199" s="21" t="s">
        <v>428</v>
      </c>
      <c r="I199" s="13">
        <v>42768.872812499998</v>
      </c>
      <c r="J199" s="7">
        <v>0</v>
      </c>
      <c r="K199" s="98" t="str">
        <f t="shared" si="39"/>
        <v>4003/4004</v>
      </c>
      <c r="L199" s="21" t="str">
        <f>VLOOKUP(A199,'Trips&amp;Operators'!$C$1:$G$99999,5,FALSE)</f>
        <v>LEVERE CRAIG</v>
      </c>
      <c r="M199" s="6">
        <f t="shared" si="40"/>
        <v>1.187499999650754E-2</v>
      </c>
      <c r="N199" s="7">
        <f t="shared" si="41"/>
        <v>17.099999994970858</v>
      </c>
      <c r="O199" s="7"/>
      <c r="P199" s="7"/>
      <c r="Q199" s="22"/>
      <c r="R199" s="22"/>
      <c r="S199" s="31">
        <f t="shared" si="42"/>
        <v>1</v>
      </c>
      <c r="T199" s="46" t="str">
        <f t="shared" si="43"/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 t="shared" si="44"/>
        <v>https://d0f6bd738d7f1b3e5a7ca70fe4ff75f0.us-east-1.aws.found.io/app/kibana#/discover/Steve-Slow-Train-Analysis-(2080s-and-2083s)?_g=(refreshInterval:(display:Off,pause:!f,section:0,value:0),time:(from:'2017-02-02T19:37:46-0700',mode:absolute,to:'2017-02-02T21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9" s="194" t="str">
        <f t="shared" si="45"/>
        <v>N</v>
      </c>
      <c r="X199" s="194">
        <f t="shared" si="46"/>
        <v>1</v>
      </c>
      <c r="Y199" s="62">
        <f t="shared" si="47"/>
        <v>5.8661000000000003</v>
      </c>
      <c r="Z199" s="62">
        <f t="shared" si="48"/>
        <v>6.8699999999999997E-2</v>
      </c>
      <c r="AA199" s="62">
        <f t="shared" si="49"/>
        <v>5.7974000000000006</v>
      </c>
      <c r="AB199" s="59" t="e">
        <f>VLOOKUP(A199,Enforcements!$C$7:$K$16,8,0)</f>
        <v>#N/A</v>
      </c>
      <c r="AC199" s="55" t="e">
        <f>VLOOKUP(A199,Enforcements!$C$7:$E$16,3,0)</f>
        <v>#N/A</v>
      </c>
      <c r="AD199" s="56" t="str">
        <f t="shared" si="50"/>
        <v>0842-02</v>
      </c>
      <c r="AE199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199" s="82" t="str">
        <f t="shared" si="52"/>
        <v>"C:\Program Files (x86)\AstroGrep\AstroGrep.exe" /spath="%USERPROFILE%\AppData\Local\Temp\OnboardLogs" /stypes="app*4004*20170203*" /stext=" 03:.+((SYSTEM_STATE.+slice.+state.+changed )|(ment ac)|(multiple cpu faults)|(system.+state.+changed )|(\[timeout)|(PRM\|1\|D)|(kpr)|(kdp)|(\|lc)|(penalty))" /e /r /s</v>
      </c>
      <c r="AG199" s="1" t="str">
        <f t="shared" si="53"/>
        <v>NW</v>
      </c>
      <c r="AH199" s="86" t="str">
        <f t="shared" si="54"/>
        <v>"%USERPROFILE%\Documents\GitHub\eaglep3\Utilities\RefineRTDCRunTimes.py" --tripid 842-02 --locoid 4004 --swversion DE.1.0.8.0 --startMP 300:58661 --initTime 2017-02-02T20:37:46 --startdatetime 2017-02-02T20:39:45 --delay 1 --endMP 204:687 --enddatetime 2017-02-02T20:56:51 --enforcementcount 0 &gt;&gt;C:\Users\stu\Documents\GitHub\eaglep3-reporting\EC\2017-02-02-refined-times.txt</v>
      </c>
      <c r="AI199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{"issue":{"subject":"","project_id":79,"tracker_id":40,"status_id":1,"priority_id":2,"assigned_to_id":23,"start_date":"2017-02-02","description":"","custom_fields":[{"id":1,"name":"Subdivision","value":"NW"},{"id":4,"name":"Milepost","value":"0.0687"},{"id":17,"name":"Train ID","value":"842-02"},{"id":16,"name":"Locomotive ID","value":"4004"},{"id":130,"name":"Impact","value":""},{"id":150,"name":"Time of Event (Mountain Time)","value":"20:56:51"},{"id":151,"name":"Denver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60" t="str">
        <f t="shared" si="56"/>
        <v>start /low /b %USERPROFILE%\Documents\GitHub\eaglep3\Utilities\DownloadLogsFromS3.py --loco 4004 --day 2017-02-02</v>
      </c>
      <c r="AN199" s="169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3" t="s">
        <v>655</v>
      </c>
      <c r="B200" s="7">
        <v>4003</v>
      </c>
      <c r="C200" s="21" t="s">
        <v>193</v>
      </c>
      <c r="D200" s="21" t="s">
        <v>811</v>
      </c>
      <c r="E200" s="13">
        <v>42768.838275462964</v>
      </c>
      <c r="F200" s="13">
        <v>42768.848101851851</v>
      </c>
      <c r="G200" s="7">
        <v>1</v>
      </c>
      <c r="H200" s="21" t="s">
        <v>773</v>
      </c>
      <c r="I200" s="13">
        <v>42768.857893518521</v>
      </c>
      <c r="J200" s="7">
        <v>0</v>
      </c>
      <c r="K200" s="98" t="str">
        <f t="shared" si="39"/>
        <v>4003/4004</v>
      </c>
      <c r="L200" s="21" t="str">
        <f>VLOOKUP(A200,'Trips&amp;Operators'!$C$1:$G$99999,5,FALSE)</f>
        <v>LEVERE CRAIG</v>
      </c>
      <c r="M200" s="6">
        <f t="shared" si="40"/>
        <v>9.7916666709352285E-3</v>
      </c>
      <c r="N200" s="7">
        <f t="shared" si="41"/>
        <v>14.100000006146729</v>
      </c>
      <c r="O200" s="7"/>
      <c r="P200" s="7"/>
      <c r="Q200" s="22"/>
      <c r="R200" s="22"/>
      <c r="S200" s="31">
        <f t="shared" si="42"/>
        <v>1</v>
      </c>
      <c r="T200" s="46" t="str">
        <f t="shared" si="43"/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 t="shared" si="44"/>
        <v>https://d0f6bd738d7f1b3e5a7ca70fe4ff75f0.us-east-1.aws.found.io/app/kibana#/discover/Steve-Slow-Train-Analysis-(2080s-and-2083s)?_g=(refreshInterval:(display:Off,pause:!f,section:0,value:0),time:(from:'2017-02-02T19:07:07-0700',mode:absolute,to:'2017-02-02T21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0" s="194" t="str">
        <f t="shared" si="45"/>
        <v>N</v>
      </c>
      <c r="X200" s="194">
        <f t="shared" si="46"/>
        <v>1</v>
      </c>
      <c r="Y200" s="62">
        <f t="shared" si="47"/>
        <v>9.8599999999999993E-2</v>
      </c>
      <c r="Z200" s="62">
        <f t="shared" si="48"/>
        <v>5.8971</v>
      </c>
      <c r="AA200" s="62">
        <f t="shared" si="49"/>
        <v>5.7984999999999998</v>
      </c>
      <c r="AB200" s="59" t="e">
        <f>VLOOKUP(A200,Enforcements!$C$7:$K$16,8,0)</f>
        <v>#N/A</v>
      </c>
      <c r="AC200" s="55" t="e">
        <f>VLOOKUP(A200,Enforcements!$C$7:$E$16,3,0)</f>
        <v>#N/A</v>
      </c>
      <c r="AD200" s="56" t="str">
        <f t="shared" si="50"/>
        <v>0843-02</v>
      </c>
      <c r="AE200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200" s="82" t="str">
        <f t="shared" si="52"/>
        <v>"C:\Program Files (x86)\AstroGrep\AstroGrep.exe" /spath="%USERPROFILE%\AppData\Local\Temp\OnboardLogs" /stypes="app*4003*20170203*" /stext=" 03:.+((SYSTEM_STATE.+slice.+state.+changed )|(ment ac)|(multiple cpu faults)|(system.+state.+changed )|(\[timeout)|(PRM\|1\|D)|(kpr)|(kdp)|(\|lc)|(penalty))" /e /r /s</v>
      </c>
      <c r="AG200" s="1" t="str">
        <f t="shared" si="53"/>
        <v>NW</v>
      </c>
      <c r="AH200" s="86" t="str">
        <f t="shared" si="54"/>
        <v>"%USERPROFILE%\Documents\GitHub\eaglep3\Utilities\RefineRTDCRunTimes.py" --tripid 843-02 --locoid 4003 --swversion DE.1.0.8.0 --startMP 204:986 --initTime 2017-02-02T20:07:07 --startdatetime 2017-02-02T20:21:16 --delay 1 --endMP 300:58971 --enddatetime 2017-02-02T20:35:22 --enforcementcount 0 &gt;&gt;C:\Users\stu\Documents\GitHub\eaglep3-reporting\EC\2017-02-02-refined-times.txt</v>
      </c>
      <c r="AI200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{"issue":{"subject":"","project_id":79,"tracker_id":40,"status_id":1,"priority_id":2,"assigned_to_id":23,"start_date":"2017-02-02","description":"","custom_fields":[{"id":1,"name":"Subdivision","value":"NW"},{"id":4,"name":"Milepost","value":"5.8971"},{"id":17,"name":"Train ID","value":"843-02"},{"id":16,"name":"Locomotive ID","value":"4003"},{"id":130,"name":"Impact","value":""},{"id":150,"name":"Time of Event (Mountain Time)","value":"20:35:22"},{"id":151,"name":"Denver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60" t="str">
        <f t="shared" si="56"/>
        <v>start /low /b %USERPROFILE%\Documents\GitHub\eaglep3\Utilities\DownloadLogsFromS3.py --loco 4003 --day 2017-02-02</v>
      </c>
      <c r="AN200" s="169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2017-02-02-UncaughtWiMAX.txt</v>
      </c>
    </row>
    <row r="201" spans="1:91" s="20" customFormat="1" x14ac:dyDescent="0.25">
      <c r="A201" s="33" t="s">
        <v>465</v>
      </c>
      <c r="B201" s="7">
        <v>4004</v>
      </c>
      <c r="C201" s="21" t="s">
        <v>193</v>
      </c>
      <c r="D201" s="21" t="s">
        <v>812</v>
      </c>
      <c r="E201" s="13">
        <v>42768.901516203703</v>
      </c>
      <c r="F201" s="13">
        <v>42768.90283564815</v>
      </c>
      <c r="G201" s="7">
        <v>1</v>
      </c>
      <c r="H201" s="21" t="s">
        <v>813</v>
      </c>
      <c r="I201" s="13">
        <v>42768.913842592592</v>
      </c>
      <c r="J201" s="7">
        <v>0</v>
      </c>
      <c r="K201" s="98" t="str">
        <f t="shared" si="39"/>
        <v>4003/4004</v>
      </c>
      <c r="L201" s="21" t="str">
        <f>VLOOKUP(A201,'Trips&amp;Operators'!$C$1:$G$99999,5,FALSE)</f>
        <v>STORY SAMANTHA</v>
      </c>
      <c r="M201" s="6">
        <f t="shared" si="40"/>
        <v>1.1006944441760425E-2</v>
      </c>
      <c r="N201" s="7">
        <f t="shared" si="41"/>
        <v>15.849999996135011</v>
      </c>
      <c r="O201" s="7"/>
      <c r="P201" s="7"/>
      <c r="Q201" s="22"/>
      <c r="R201" s="22"/>
      <c r="S201" s="31">
        <f t="shared" si="42"/>
        <v>1</v>
      </c>
      <c r="T201" s="46" t="str">
        <f t="shared" si="43"/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 t="shared" si="44"/>
        <v>https://d0f6bd738d7f1b3e5a7ca70fe4ff75f0.us-east-1.aws.found.io/app/kibana#/discover/Steve-Slow-Train-Analysis-(2080s-and-2083s)?_g=(refreshInterval:(display:Off,pause:!f,section:0,value:0),time:(from:'2017-02-02T20:38:11-0700',mode:absolute,to:'2017-02-02T22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1" s="194" t="str">
        <f t="shared" si="45"/>
        <v>N</v>
      </c>
      <c r="X201" s="194">
        <f t="shared" si="46"/>
        <v>1</v>
      </c>
      <c r="Y201" s="62">
        <f t="shared" si="47"/>
        <v>5.8639999999999999</v>
      </c>
      <c r="Z201" s="62">
        <f t="shared" si="48"/>
        <v>6.9400000000000003E-2</v>
      </c>
      <c r="AA201" s="62">
        <f t="shared" si="49"/>
        <v>5.7946</v>
      </c>
      <c r="AB201" s="59" t="e">
        <f>VLOOKUP(A201,Enforcements!$C$7:$K$16,8,0)</f>
        <v>#N/A</v>
      </c>
      <c r="AC201" s="55" t="e">
        <f>VLOOKUP(A201,Enforcements!$C$7:$E$16,3,0)</f>
        <v>#N/A</v>
      </c>
      <c r="AD201" s="56" t="str">
        <f t="shared" si="50"/>
        <v>0844-02</v>
      </c>
      <c r="AE201" s="85" t="str">
        <f t="shared" si="51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201" s="82" t="str">
        <f t="shared" si="52"/>
        <v>"C:\Program Files (x86)\AstroGrep\AstroGrep.exe" /spath="%USERPROFILE%\AppData\Local\Temp\OnboardLogs" /stypes="app*4004*20170203*" /stext=" 04:.+((SYSTEM_STATE.+slice.+state.+changed )|(ment ac)|(multiple cpu faults)|(system.+state.+changed )|(\[timeout)|(PRM\|1\|D)|(kpr)|(kdp)|(\|lc)|(penalty))" /e /r /s</v>
      </c>
      <c r="AG201" s="1" t="str">
        <f t="shared" si="53"/>
        <v>NW</v>
      </c>
      <c r="AH201" s="86" t="str">
        <f t="shared" si="54"/>
        <v>"%USERPROFILE%\Documents\GitHub\eaglep3\Utilities\RefineRTDCRunTimes.py" --tripid 844-02 --locoid 4004 --swversion DE.1.0.8.0 --startMP 300:58640 --initTime 2017-02-02T21:38:11 --startdatetime 2017-02-02T21:40:05 --delay 1 --endMP 204:694 --enddatetime 2017-02-02T21:55:56 --enforcementcount 0 &gt;&gt;C:\Users\stu\Documents\GitHub\eaglep3-reporting\EC\2017-02-02-refined-times.txt</v>
      </c>
      <c r="AI201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{"issue":{"subject":"","project_id":79,"tracker_id":40,"status_id":1,"priority_id":2,"assigned_to_id":23,"start_date":"2017-02-02","description":"","custom_fields":[{"id":1,"name":"Subdivision","value":"NW"},{"id":4,"name":"Milepost","value":"0.0694"},{"id":17,"name":"Train ID","value":"844-02"},{"id":16,"name":"Locomotive ID","value":"4004"},{"id":130,"name":"Impact","value":""},{"id":150,"name":"Time of Event (Mountain Time)","value":"21:55:56"},{"id":151,"name":"Denver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60" t="str">
        <f t="shared" si="56"/>
        <v>start /low /b %USERPROFILE%\Documents\GitHub\eaglep3\Utilities\DownloadLogsFromS3.py --loco 4004 --day 2017-02-02</v>
      </c>
      <c r="AN201" s="169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3" t="s">
        <v>664</v>
      </c>
      <c r="B202" s="7">
        <v>4003</v>
      </c>
      <c r="C202" s="21" t="s">
        <v>193</v>
      </c>
      <c r="D202" s="21" t="s">
        <v>814</v>
      </c>
      <c r="E202" s="13">
        <v>42768.877789351849</v>
      </c>
      <c r="F202" s="13">
        <v>42768.889803240738</v>
      </c>
      <c r="G202" s="7">
        <v>3</v>
      </c>
      <c r="H202" s="21" t="s">
        <v>815</v>
      </c>
      <c r="I202" s="13">
        <v>42768.900289351855</v>
      </c>
      <c r="J202" s="7">
        <v>0</v>
      </c>
      <c r="K202" s="98" t="str">
        <f t="shared" si="39"/>
        <v>4003/4004</v>
      </c>
      <c r="L202" s="21" t="str">
        <f>VLOOKUP(A202,'Trips&amp;Operators'!$C$1:$G$99999,5,FALSE)</f>
        <v>STORY SAMANTHA</v>
      </c>
      <c r="M202" s="6">
        <f t="shared" si="40"/>
        <v>1.0486111117643304E-2</v>
      </c>
      <c r="N202" s="7">
        <f t="shared" si="41"/>
        <v>15.100000009406358</v>
      </c>
      <c r="O202" s="7"/>
      <c r="P202" s="7"/>
      <c r="Q202" s="22"/>
      <c r="R202" s="22"/>
      <c r="S202" s="31">
        <f t="shared" si="42"/>
        <v>1</v>
      </c>
      <c r="T202" s="46" t="str">
        <f t="shared" si="43"/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 t="shared" si="44"/>
        <v>https://d0f6bd738d7f1b3e5a7ca70fe4ff75f0.us-east-1.aws.found.io/app/kibana#/discover/Steve-Slow-Train-Analysis-(2080s-and-2083s)?_g=(refreshInterval:(display:Off,pause:!f,section:0,value:0),time:(from:'2017-02-02T20:04:01-0700',mode:absolute,to:'2017-02-02T22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2" s="194" t="str">
        <f t="shared" si="45"/>
        <v>N</v>
      </c>
      <c r="X202" s="194">
        <f t="shared" si="46"/>
        <v>1</v>
      </c>
      <c r="Y202" s="62">
        <f t="shared" si="47"/>
        <v>9.8500000000000004E-2</v>
      </c>
      <c r="Z202" s="62">
        <f t="shared" si="48"/>
        <v>5.8958000000000004</v>
      </c>
      <c r="AA202" s="62">
        <f t="shared" si="49"/>
        <v>5.7973000000000008</v>
      </c>
      <c r="AB202" s="59" t="e">
        <f>VLOOKUP(A202,Enforcements!$C$7:$K$16,8,0)</f>
        <v>#N/A</v>
      </c>
      <c r="AC202" s="55" t="e">
        <f>VLOOKUP(A202,Enforcements!$C$7:$E$16,3,0)</f>
        <v>#N/A</v>
      </c>
      <c r="AD202" s="56" t="str">
        <f t="shared" si="50"/>
        <v>0845-02</v>
      </c>
      <c r="AE202" s="85" t="str">
        <f t="shared" si="51"/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AF202" s="82" t="str">
        <f t="shared" si="52"/>
        <v>"C:\Program Files (x86)\AstroGrep\AstroGrep.exe" /spath="%USERPROFILE%\AppData\Local\Temp\OnboardLogs" /stypes="app*4003*20170203*" /stext=" 04:.+((SYSTEM_STATE.+slice.+state.+changed )|(ment ac)|(multiple cpu faults)|(system.+state.+changed )|(\[timeout)|(PRM\|1\|D)|(kpr)|(kdp)|(\|lc)|(penalty))" /e /r /s</v>
      </c>
      <c r="AG202" s="1" t="str">
        <f t="shared" si="53"/>
        <v>NW</v>
      </c>
      <c r="AH202" s="86" t="str">
        <f t="shared" si="54"/>
        <v>"%USERPROFILE%\Documents\GitHub\eaglep3\Utilities\RefineRTDCRunTimes.py" --tripid 845-02 --locoid 4003 --swversion DE.1.0.8.0 --startMP 204:985 --initTime 2017-02-02T21:04:01 --startdatetime 2017-02-02T21:21:19 --delay 3 --endMP 300:58958 --enddatetime 2017-02-02T21:36:25 --enforcementcount 0 &gt;&gt;C:\Users\stu\Documents\GitHub\eaglep3-reporting\EC\2017-02-02-refined-times.txt</v>
      </c>
      <c r="AI202" s="108" t="str">
        <f t="shared" si="55"/>
        <v>echo {"issue":{"subject":"","project_id":79,"tracker_id":40,"status_id":1,"priority_id":2,"assigned_to_id":23,"start_date":"2017-02-02","description":"","custom_fields":[{"id":1,"name":"Subdivision","value":"NW"},{"id":4,"name":"Milepost","value":"5.8958"},{"id":17,"name":"Train ID","value":"845-02"},{"id":16,"name":"Locomotive ID","value":"4003"},{"id":130,"name":"Impact","value":""},{"id":150,"name":"Time of Event (Mountain Time)","value":"21:36:25"},{"id":151,"name":"Denver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60" t="str">
        <f t="shared" si="56"/>
        <v>start /low /b %USERPROFILE%\Documents\GitHub\eaglep3\Utilities\DownloadLogsFromS3.py --loco 4003 --day 2017-02-02</v>
      </c>
      <c r="AN202" s="169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"%USERPROFILE%\AppData\Local\Temp\OnboardLogs"\RTDC4003\*4003*20170203* | grep -SE "(Enforcement Action)|(\[TIMEOUT)|(CHR.+\|PRM\|1\|D.+(SWITCH|SIGNAL).+UNKNOWN)" - &gt;&gt; 2017-02-02-UncaughtWiMAX.txt</v>
      </c>
    </row>
    <row r="203" spans="1:91" x14ac:dyDescent="0.25">
      <c r="A203" s="33" t="s">
        <v>669</v>
      </c>
      <c r="B203" s="7">
        <v>4003</v>
      </c>
      <c r="C203" s="21" t="s">
        <v>193</v>
      </c>
      <c r="D203" s="21" t="s">
        <v>780</v>
      </c>
      <c r="E203" s="13">
        <v>42768.918703703705</v>
      </c>
      <c r="F203" s="13">
        <v>25568.708333333332</v>
      </c>
      <c r="G203" s="7">
        <v>1</v>
      </c>
      <c r="H203" s="21" t="s">
        <v>816</v>
      </c>
      <c r="I203" s="13">
        <v>25568.708333333332</v>
      </c>
      <c r="J203" s="7">
        <v>0</v>
      </c>
      <c r="K203" s="98" t="str">
        <f t="shared" si="39"/>
        <v>4003/4004</v>
      </c>
      <c r="L203" s="21" t="str">
        <f>VLOOKUP(A203,'Trips&amp;Operators'!$C$1:$G$99999,5,FALSE)</f>
        <v>STORY SAMANTHA</v>
      </c>
      <c r="M203" s="6">
        <f t="shared" si="40"/>
        <v>0</v>
      </c>
      <c r="N203" s="7">
        <f t="shared" si="41"/>
        <v>0</v>
      </c>
      <c r="O203" s="7"/>
      <c r="P203" s="7"/>
      <c r="Q203" s="22"/>
      <c r="R203" s="22"/>
      <c r="S203" s="31">
        <f t="shared" si="42"/>
        <v>1</v>
      </c>
      <c r="T203" s="46" t="str">
        <f t="shared" si="43"/>
        <v>NorthBound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 t="shared" si="44"/>
        <v>https://d0f6bd738d7f1b3e5a7ca70fe4ff75f0.us-east-1.aws.found.io/app/kibana#/discover/Steve-Slow-Train-Analysis-(2080s-and-2083s)?_g=(refreshInterval:(display:Off,pause:!f,section:0,value:0),time:(from:'2017-02-02T21:02:56-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3" s="194" t="str">
        <f t="shared" si="45"/>
        <v>N</v>
      </c>
      <c r="X203" s="194">
        <f t="shared" si="46"/>
        <v>2</v>
      </c>
      <c r="Y203" s="62">
        <f t="shared" si="47"/>
        <v>9.7199999999999995E-2</v>
      </c>
      <c r="Z203" s="62">
        <f t="shared" si="48"/>
        <v>5.8912000000000004</v>
      </c>
      <c r="AA203" s="62">
        <f t="shared" si="49"/>
        <v>5.7940000000000005</v>
      </c>
      <c r="AB203" s="59" t="e">
        <f>VLOOKUP(A203,Enforcements!$C$7:$K$16,8,0)</f>
        <v>#N/A</v>
      </c>
      <c r="AC203" s="55" t="e">
        <f>VLOOKUP(A203,Enforcements!$C$7:$E$16,3,0)</f>
        <v>#N/A</v>
      </c>
      <c r="AD203" s="56" t="str">
        <f t="shared" si="50"/>
        <v>0847-02</v>
      </c>
      <c r="AE203" s="85" t="str">
        <f t="shared" si="51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3" s="82" t="str">
        <f t="shared" si="52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3" s="1" t="str">
        <f t="shared" si="53"/>
        <v>NW</v>
      </c>
      <c r="AH203" s="86" t="str">
        <f t="shared" si="54"/>
        <v>"%USERPROFILE%\Documents\GitHub\eaglep3\Utilities\RefineRTDCRunTimes.py" --tripid 847-02 --locoid 4003 --swversion DE.1.0.8.0 --startMP 204:972 --initTime 2017-02-02T22:02:56 --startdatetime 1969-12-31T17:00:00 --delay 1 --endMP 300:58912 --enddatetime 1969-12-31T17:00:00 --enforcementcount 0 &gt;&gt;C:\Users\stu\Documents\GitHub\eaglep3-reporting\EC\2017-02-02-refined-times.txt</v>
      </c>
      <c r="AI203" s="108" t="str">
        <f t="shared" si="55"/>
        <v>echo {"issue":{"subject":"","project_id":79,"tracker_id":40,"status_id":1,"priority_id":2,"assigned_to_id":23,"start_date":"1969-12-31","description":"","custom_fields":[{"id":1,"name":"Subdivision","value":"NW"},{"id":4,"name":"Milepost","value":"5.8912"},{"id":17,"name":"Train ID","value":"847-02"},{"id":16,"name":"Locomotive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60" t="str">
        <f t="shared" si="56"/>
        <v>start /low /b %USERPROFILE%\Documents\GitHub\eaglep3\Utilities\DownloadLogsFromS3.py --loco 4003 --day 1969-12-31</v>
      </c>
      <c r="AN203" s="169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2017-02-02-UncaughtWiMAX.txt</v>
      </c>
    </row>
    <row r="204" spans="1:91" x14ac:dyDescent="0.25">
      <c r="A204" s="33" t="s">
        <v>472</v>
      </c>
      <c r="B204" s="7">
        <v>4021</v>
      </c>
      <c r="C204" s="21" t="s">
        <v>193</v>
      </c>
      <c r="D204" s="21" t="s">
        <v>752</v>
      </c>
      <c r="E204" s="13">
        <v>42768.118796296294</v>
      </c>
      <c r="F204" s="13">
        <v>42768.120138888888</v>
      </c>
      <c r="G204" s="7">
        <v>1</v>
      </c>
      <c r="H204" s="21" t="s">
        <v>200</v>
      </c>
      <c r="I204" s="13">
        <v>42768.133379629631</v>
      </c>
      <c r="J204" s="7">
        <v>0</v>
      </c>
      <c r="K204" s="98" t="str">
        <f t="shared" si="39"/>
        <v>4021/4022</v>
      </c>
      <c r="L204" s="21" t="str">
        <f>VLOOKUP(A204,'Trips&amp;Operators'!$C$1:$G$99999,5,FALSE)</f>
        <v>BADERTSCHER DIANE</v>
      </c>
      <c r="M204" s="6">
        <f t="shared" si="40"/>
        <v>1.3240740743640345E-2</v>
      </c>
      <c r="N204" s="7">
        <f t="shared" si="41"/>
        <v>19.066666670842096</v>
      </c>
      <c r="O204" s="7"/>
      <c r="P204" s="7"/>
      <c r="Q204" s="22"/>
      <c r="R204" s="22"/>
      <c r="S204" s="31">
        <f t="shared" si="42"/>
        <v>1</v>
      </c>
      <c r="T204" s="46" t="str">
        <f t="shared" si="43"/>
        <v>Southbound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 t="shared" si="44"/>
        <v>https://d0f6bd738d7f1b3e5a7ca70fe4ff75f0.us-east-1.aws.found.io/app/kibana#/discover/Steve-Slow-Train-Analysis-(2080s-and-2083s)?_g=(refreshInterval:(display:Off,pause:!f,section:0,value:0),time:(from:'2017-02-02T01:51:04-0700',mode:absolute,to:'2017-02-02T04:12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4" s="194" t="str">
        <f t="shared" si="45"/>
        <v>Y</v>
      </c>
      <c r="X204" s="194">
        <f t="shared" si="46"/>
        <v>-545</v>
      </c>
      <c r="Y204" s="62">
        <f t="shared" si="47"/>
        <v>2.3109999999999999</v>
      </c>
      <c r="Z204" s="62">
        <f t="shared" si="48"/>
        <v>1.4500000000000001E-2</v>
      </c>
      <c r="AA204" s="62">
        <f t="shared" si="49"/>
        <v>2.2965</v>
      </c>
      <c r="AB204" s="59" t="e">
        <f>VLOOKUP(A204,Enforcements!$C$7:$K$16,8,0)</f>
        <v>#N/A</v>
      </c>
      <c r="AC204" s="55" t="e">
        <f>VLOOKUP(A204,Enforcements!$C$7:$E$16,3,0)</f>
        <v>#N/A</v>
      </c>
      <c r="AD204" s="56" t="str">
        <f t="shared" si="50"/>
        <v>0302-02</v>
      </c>
      <c r="AE204" s="85" t="str">
        <f t="shared" si="51"/>
        <v>aws s3 cp s3://rtdc.mdm.uploadarchive.raw/RTDC4021/ "%USERPROFILE%\AppData\Local\Temp\OnboardLogs"\RTDC4021\2017-02-02 --exclude "*" --recursive --include "*20170202*" &amp; "%USERPROFILE%\Documents\GitHub\mrs-test-scripts\Headless Mode &amp; Sideloading\WalkAndUnGZ.bat" "%USERPROFILE%\AppData\Local\Temp\OnboardLogs"\RTDC4021\2017-02-02 &amp; aws s3 cp s3://rtdc.mdm.uploadarchive.raw/RTDC4021/ "%USERPROFILE%\AppData\Local\Temp\OnboardLogs"\RTDC4021\2017-02-03 --exclude "*" --recursive --include "*20170203*" &amp; "%USERPROFILE%\Documents\GitHub\mrs-test-scripts\Headless Mode &amp; Sideloading\WalkAndUnGZ.bat" "%USERPROFILE%\AppData\Local\Temp\OnboardLogs"\RTDC4021\2017-02-03</v>
      </c>
      <c r="AF204" s="82" t="str">
        <f t="shared" si="52"/>
        <v>"C:\Program Files (x86)\AstroGrep\AstroGrep.exe" /spath="%USERPROFILE%\AppData\Local\Temp\OnboardLogs" /stypes="app*4021*20170202*" /stext=" 10:.+((SYSTEM_STATE.+slice.+state.+changed )|(ment ac)|(multiple cpu faults)|(system.+state.+changed )|(\[timeout)|(PRM\|1\|D)|(kpr)|(kdp)|(\|lc)|(penalty))" /e /r /s</v>
      </c>
      <c r="AG204" s="1" t="str">
        <f t="shared" si="53"/>
        <v>Other</v>
      </c>
      <c r="AH204" s="86" t="str">
        <f t="shared" si="54"/>
        <v>"%USERPROFILE%\Documents\GitHub\eaglep3\Utilities\RefineRTDCRunTimes.py" --tripid 302-02 --locoid 4021 --swversion DE.1.0.8.0 --startMP 300:23110 --initTime 2017-02-02T02:51:04 --startdatetime 2017-02-02T02:53:00 --delay 1 --endMP 204:145 --enddatetime 2017-02-02T03:12:04 --enforcementcount 0 &gt;&gt;C:\Users\stu\Documents\GitHub\eaglep3-reporting\EC\2017-02-02-refined-times.txt</v>
      </c>
      <c r="AI204" s="108" t="str">
        <f t="shared" si="55"/>
        <v>echo {"issue":{"subject":"","project_id":79,"tracker_id":40,"status_id":1,"priority_id":2,"assigned_to_id":23,"start_date":"2017-02-02","description":"","custom_fields":[{"id":1,"name":"Subdivision","value":"Other"},{"id":4,"name":"Milepost","value":"0.0145"},{"id":17,"name":"Train ID","value":"302-02"},{"id":16,"name":"Locomotive ID","value":"4021"},{"id":130,"name":"Impact","value":""},{"id":150,"name":"Time of Event (Mountain Time)","value":"03:12:04"},{"id":151,"name":"Denver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60" t="str">
        <f t="shared" si="56"/>
        <v>start /low /b %USERPROFILE%\Documents\GitHub\eaglep3\Utilities\DownloadLogsFromS3.py --loco 4021 --day 2017-02-02</v>
      </c>
      <c r="AN204" s="169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"%USERPROFILE%\AppData\Local\Temp\OnboardLogs"\RTDC4021\*4021*20170202* | grep -SE "(Enforcement Action)|(\[TIMEOUT)|(CHR.+\|PRM\|1\|D.+(SWITCH|SIGNAL).+UNKNOWN)" - &gt;&gt; 2017-02-02-UncaughtWiMAX.txt</v>
      </c>
    </row>
    <row r="205" spans="1:91" x14ac:dyDescent="0.25">
      <c r="A205" s="33" t="s">
        <v>644</v>
      </c>
      <c r="B205" s="7">
        <v>4025</v>
      </c>
      <c r="C205" s="21" t="s">
        <v>193</v>
      </c>
      <c r="D205" s="21" t="s">
        <v>209</v>
      </c>
      <c r="E205" s="13">
        <v>42768.778333333335</v>
      </c>
      <c r="F205" s="13">
        <v>25568.708333333332</v>
      </c>
      <c r="G205" s="7">
        <v>1</v>
      </c>
      <c r="H205" s="21" t="s">
        <v>753</v>
      </c>
      <c r="I205" s="13">
        <v>25568.708333333332</v>
      </c>
      <c r="J205" s="7">
        <v>0</v>
      </c>
      <c r="K205" s="98" t="str">
        <f t="shared" ref="K205:K233" si="57">IF(ISEVEN(B205),(B205-1)&amp;"/"&amp;B205,B205&amp;"/"&amp;(B205+1))</f>
        <v>4025/4026</v>
      </c>
      <c r="L205" s="21" t="str">
        <f>VLOOKUP(A205,'Trips&amp;Operators'!$C$1:$G$99999,5,FALSE)</f>
        <v>SMITH MICHAEL</v>
      </c>
      <c r="M205" s="6">
        <f t="shared" ref="M205:M233" si="58">I205-F205</f>
        <v>0</v>
      </c>
      <c r="N205" s="7">
        <f t="shared" ref="N205:N233" si="59">24*60*SUM($M205:$M205)</f>
        <v>0</v>
      </c>
      <c r="O205" s="7"/>
      <c r="P205" s="7"/>
      <c r="Q205" s="22"/>
      <c r="R205" s="22"/>
      <c r="S205" s="31">
        <f t="shared" ref="S205:S233" si="60">SUM(U205:U205)/IF(AG205="EC",12,1)</f>
        <v>1</v>
      </c>
      <c r="T205" s="46" t="str">
        <f t="shared" ref="T205:T233" si="61">IF(ISEVEN(LEFT(AD205,4)),"Southbound","NorthBound")</f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 t="shared" ref="V205:V233" si="6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-02T17:40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5" s="194" t="str">
        <f t="shared" ref="W205:W233" si="63">IF(AA205&lt;IF(AG205="EC",23,5.65),"Y","N")</f>
        <v>Y</v>
      </c>
      <c r="X205" s="194">
        <f t="shared" ref="X205:X233" si="64">VALUE(LEFT(AD205,4))-VALUE(LEFT(AD204,4))</f>
        <v>1</v>
      </c>
      <c r="Y205" s="62">
        <f t="shared" ref="Y205:Y233" si="65">RIGHT(D205,LEN(D205)-4)/10000</f>
        <v>4.6199999999999998E-2</v>
      </c>
      <c r="Z205" s="62">
        <f t="shared" ref="Z205:Z233" si="66">RIGHT(H205,LEN(H205)-4)/10000</f>
        <v>2.3300999999999998</v>
      </c>
      <c r="AA205" s="62">
        <f t="shared" ref="AA205:AA233" si="67">ABS(Z205-Y205)</f>
        <v>2.2839</v>
      </c>
      <c r="AB205" s="59" t="e">
        <f>VLOOKUP(A205,Enforcements!$C$7:$K$16,8,0)</f>
        <v>#N/A</v>
      </c>
      <c r="AC205" s="55" t="e">
        <f>VLOOKUP(A205,Enforcements!$C$7:$E$16,3,0)</f>
        <v>#N/A</v>
      </c>
      <c r="AD205" s="56" t="str">
        <f t="shared" ref="AD205:AD233" si="68">IF(LEN(A205)=6,"0"&amp;A205,A205)</f>
        <v>0303-02</v>
      </c>
      <c r="AE205" s="85" t="str">
        <f t="shared" ref="AE205:AE233" si="6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5" s="82" t="str">
        <f t="shared" ref="AF205:AF233" si="7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05" s="1" t="str">
        <f t="shared" ref="AG205:AG233" si="71">IFERROR(IF(VALUE(LEFT(AD205,2))&lt;=2,"EC",IF(OR(VALUE(LEFT(AD205,2))=8,VALUE(LEFT(AD205,2))=18),"NW","Other")),"Other")</f>
        <v>Other</v>
      </c>
      <c r="AH205" s="86" t="str">
        <f t="shared" si="54"/>
        <v>"%USERPROFILE%\Documents\GitHub\eaglep3\Utilities\RefineRTDCRunTimes.py" --tripid 303-02 --locoid 4025 --swversion DE.1.0.8.0 --startMP 204:462 --initTime 2017-02-02T18:40:48 --startdatetime 1969-12-31T17:00:00 --delay 1 --endMP 300:23301 --enddatetime 1969-12-31T17:00:00 --enforcementcount 0 &gt;&gt;C:\Users\stu\Documents\GitHub\eaglep3-reporting\EC\2017-02-02-refined-times.txt</v>
      </c>
      <c r="AI205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ID","value":"303-02"},{"id":16,"name":"Locomotive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60" t="str">
        <f t="shared" si="56"/>
        <v>start /low /b %USERPROFILE%\Documents\GitHub\eaglep3\Utilities\DownloadLogsFromS3.py --loco 4025 --day 1969-12-31</v>
      </c>
      <c r="AN205" s="169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2017-02-02-UncaughtWiMAX.txt</v>
      </c>
    </row>
    <row r="206" spans="1:91" x14ac:dyDescent="0.25">
      <c r="A206" s="33" t="s">
        <v>474</v>
      </c>
      <c r="B206" s="7">
        <v>4010</v>
      </c>
      <c r="C206" s="21" t="s">
        <v>193</v>
      </c>
      <c r="D206" s="21" t="s">
        <v>754</v>
      </c>
      <c r="E206" s="13">
        <v>42768.137685185182</v>
      </c>
      <c r="F206" s="13">
        <v>42768.139664351853</v>
      </c>
      <c r="G206" s="7">
        <v>1</v>
      </c>
      <c r="H206" s="21" t="s">
        <v>213</v>
      </c>
      <c r="I206" s="13">
        <v>42768.144918981481</v>
      </c>
      <c r="J206" s="7">
        <v>0</v>
      </c>
      <c r="K206" s="98" t="str">
        <f t="shared" si="57"/>
        <v>4009/4010</v>
      </c>
      <c r="L206" s="21" t="str">
        <f>VLOOKUP(A206,'Trips&amp;Operators'!$C$1:$G$99999,5,FALSE)</f>
        <v>BONDS REYNALDO</v>
      </c>
      <c r="M206" s="6">
        <f t="shared" si="58"/>
        <v>5.2546296283253469E-3</v>
      </c>
      <c r="N206" s="7">
        <f t="shared" si="59"/>
        <v>7.5666666647884995</v>
      </c>
      <c r="O206" s="7"/>
      <c r="P206" s="7"/>
      <c r="Q206" s="22"/>
      <c r="R206" s="22"/>
      <c r="S206" s="31">
        <f t="shared" si="60"/>
        <v>1</v>
      </c>
      <c r="T206" s="46" t="str">
        <f t="shared" si="61"/>
        <v>Southbound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 t="shared" si="62"/>
        <v>https://d0f6bd738d7f1b3e5a7ca70fe4ff75f0.us-east-1.aws.found.io/app/kibana#/discover/Steve-Slow-Train-Analysis-(2080s-and-2083s)?_g=(refreshInterval:(display:Off,pause:!f,section:0,value:0),time:(from:'2017-02-02T02:18:16-0700',mode:absolute,to:'2017-02-02T04:28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6" s="194" t="str">
        <f t="shared" si="63"/>
        <v>Y</v>
      </c>
      <c r="X206" s="194">
        <f t="shared" si="64"/>
        <v>1</v>
      </c>
      <c r="Y206" s="62">
        <f t="shared" si="65"/>
        <v>2.2039</v>
      </c>
      <c r="Z206" s="62">
        <f t="shared" si="66"/>
        <v>1.5800000000000002E-2</v>
      </c>
      <c r="AA206" s="62">
        <f t="shared" si="67"/>
        <v>2.1880999999999999</v>
      </c>
      <c r="AB206" s="59" t="e">
        <f>VLOOKUP(A206,Enforcements!$C$7:$K$16,8,0)</f>
        <v>#N/A</v>
      </c>
      <c r="AC206" s="55" t="e">
        <f>VLOOKUP(A206,Enforcements!$C$7:$E$16,3,0)</f>
        <v>#N/A</v>
      </c>
      <c r="AD206" s="56" t="str">
        <f t="shared" si="68"/>
        <v>0304-02</v>
      </c>
      <c r="AE206" s="85" t="str">
        <f t="shared" si="69"/>
        <v>aws s3 cp s3://rtdc.mdm.uploadarchive.raw/RTDC4010/ "%USERPROFILE%\AppData\Local\Temp\OnboardLogs"\RTDC4010\2017-02-02 --exclude "*" --recursive --include "*20170202*" &amp; "%USERPROFILE%\Documents\GitHub\mrs-test-scripts\Headless Mode &amp; Sideloading\WalkAndUnGZ.bat" "%USERPROFILE%\AppData\Local\Temp\OnboardLogs"\RTDC4010\2017-02-02 &amp; aws s3 cp s3://rtdc.mdm.uploadarchive.raw/RTDC4010/ "%USERPROFILE%\AppData\Local\Temp\OnboardLogs"\RTDC4010\2017-02-03 --exclude "*" --recursive --include "*20170203*" &amp; "%USERPROFILE%\Documents\GitHub\mrs-test-scripts\Headless Mode &amp; Sideloading\WalkAndUnGZ.bat" "%USERPROFILE%\AppData\Local\Temp\OnboardLogs"\RTDC4010\2017-02-03</v>
      </c>
      <c r="AF206" s="82" t="str">
        <f t="shared" si="70"/>
        <v>"C:\Program Files (x86)\AstroGrep\AstroGrep.exe" /spath="%USERPROFILE%\AppData\Local\Temp\OnboardLogs" /stypes="app*4010*20170202*" /stext=" 10:.+((SYSTEM_STATE.+slice.+state.+changed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6" t="str">
        <f t="shared" ref="AH206:AH233" si="7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304-02 --locoid 4010 --swversion DE.1.0.8.0 --startMP 300:22039 --initTime 2017-02-02T03:18:16 --startdatetime 2017-02-02T03:21:07 --delay 1 --endMP 204:158 --enddatetime 2017-02-02T03:28:41 --enforcementcount 0 &gt;&gt;C:\Users\stu\Documents\GitHub\eaglep3-reporting\EC\2017-02-02-refined-times.txt</v>
      </c>
      <c r="AI206" s="108" t="str">
        <f t="shared" ref="AI206:AI233" si="7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{"issue":{"subject":"","project_id":79,"tracker_id":40,"status_id":1,"priority_id":2,"assigned_to_id":23,"start_date":"2017-02-02","description":"","custom_fields":[{"id":1,"name":"Subdivision","value":"Other"},{"id":4,"name":"Milepost","value":"0.0158"},{"id":17,"name":"Train ID","value":"304-02"},{"id":16,"name":"Locomotive ID","value":"4010"},{"id":130,"name":"Impact","value":""},{"id":150,"name":"Time of Event (Mountain Time)","value":"03:28:41"},{"id":151,"name":"Denver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60" t="str">
        <f t="shared" ref="AM206:AM233" si="74">"start /low /b "&amp;dls3logs&amp;" --loco "&amp;B206&amp;" --day "&amp;TEXT(F206,"YYYY-MM-DD")</f>
        <v>start /low /b %USERPROFILE%\Documents\GitHub\eaglep3\Utilities\DownloadLogsFromS3.py --loco 4010 --day 2017-02-02</v>
      </c>
      <c r="AN206" s="169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"%USERPROFILE%\AppData\Local\Temp\OnboardLogs"\RTDC4010\*4010*20170202* | grep -SE "(Enforcement Action)|(\[TIMEOUT)|(CHR.+\|PRM\|1\|D.+(SWITCH|SIGNAL).+UNKNOWN)" - &gt;&gt; 2017-02-02-UncaughtWiMAX.txt</v>
      </c>
    </row>
    <row r="207" spans="1:91" x14ac:dyDescent="0.25">
      <c r="A207" s="33" t="s">
        <v>650</v>
      </c>
      <c r="B207" s="7">
        <v>4022</v>
      </c>
      <c r="C207" s="21" t="s">
        <v>193</v>
      </c>
      <c r="D207" s="21" t="s">
        <v>292</v>
      </c>
      <c r="E207" s="13">
        <v>42768.797465277778</v>
      </c>
      <c r="F207" s="13">
        <v>25568.708333333332</v>
      </c>
      <c r="G207" s="7">
        <v>1</v>
      </c>
      <c r="H207" s="21" t="s">
        <v>755</v>
      </c>
      <c r="I207" s="13">
        <v>25568.708333333332</v>
      </c>
      <c r="J207" s="7">
        <v>0</v>
      </c>
      <c r="K207" s="98" t="str">
        <f t="shared" si="57"/>
        <v>4021/4022</v>
      </c>
      <c r="L207" s="21" t="str">
        <f>VLOOKUP(A207,'Trips&amp;Operators'!$C$1:$G$99999,5,FALSE)</f>
        <v>DELGADO DIANAH</v>
      </c>
      <c r="M207" s="6">
        <f t="shared" si="58"/>
        <v>0</v>
      </c>
      <c r="N207" s="7">
        <f t="shared" si="59"/>
        <v>0</v>
      </c>
      <c r="O207" s="7"/>
      <c r="P207" s="7"/>
      <c r="Q207" s="22"/>
      <c r="R207" s="22"/>
      <c r="S207" s="31">
        <f t="shared" si="60"/>
        <v>1</v>
      </c>
      <c r="T207" s="46" t="str">
        <f t="shared" si="61"/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 t="shared" si="62"/>
        <v>https://d0f6bd738d7f1b3e5a7ca70fe4ff75f0.us-east-1.aws.found.io/app/kibana#/discover/Steve-Slow-Train-Analysis-(2080s-and-2083s)?_g=(refreshInterval:(display:Off,pause:!f,section:0,value:0),time:(from:'2017-02-02T18:08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7" s="194" t="str">
        <f t="shared" si="63"/>
        <v>Y</v>
      </c>
      <c r="X207" s="194">
        <f t="shared" si="64"/>
        <v>1</v>
      </c>
      <c r="Y207" s="62">
        <f t="shared" si="65"/>
        <v>4.4600000000000001E-2</v>
      </c>
      <c r="Z207" s="62">
        <f t="shared" si="66"/>
        <v>2.3311999999999999</v>
      </c>
      <c r="AA207" s="62">
        <f t="shared" si="67"/>
        <v>2.2866</v>
      </c>
      <c r="AB207" s="59" t="e">
        <f>VLOOKUP(A207,Enforcements!$C$7:$K$16,8,0)</f>
        <v>#N/A</v>
      </c>
      <c r="AC207" s="55" t="e">
        <f>VLOOKUP(A207,Enforcements!$C$7:$E$16,3,0)</f>
        <v>#N/A</v>
      </c>
      <c r="AD207" s="56" t="str">
        <f t="shared" si="68"/>
        <v>0305-02</v>
      </c>
      <c r="AE207" s="85" t="str">
        <f t="shared" si="69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07" s="82" t="str">
        <f t="shared" si="70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6" t="str">
        <f t="shared" si="72"/>
        <v>"%USERPROFILE%\Documents\GitHub\eaglep3\Utilities\RefineRTDCRunTimes.py" --tripid 305-02 --locoid 4022 --swversion DE.1.0.8.0 --startMP 204:446 --initTime 2017-02-02T19:08:21 --startdatetime 1969-12-31T17:00:00 --delay 1 --endMP 300:23312 --enddatetime 1969-12-31T17:00:00 --enforcementcount 0 &gt;&gt;C:\Users\stu\Documents\GitHub\eaglep3-reporting\EC\2017-02-02-refined-times.txt</v>
      </c>
      <c r="AI207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ID","value":"305-02"},{"id":16,"name":"Locomotive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60" t="str">
        <f t="shared" si="74"/>
        <v>start /low /b %USERPROFILE%\Documents\GitHub\eaglep3\Utilities\DownloadLogsFromS3.py --loco 4022 --day 1969-12-31</v>
      </c>
      <c r="AN207" s="169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2017-02-02-UncaughtWiMAX.txt</v>
      </c>
    </row>
    <row r="208" spans="1:91" x14ac:dyDescent="0.25">
      <c r="A208" s="33" t="s">
        <v>477</v>
      </c>
      <c r="B208" s="7">
        <v>4017</v>
      </c>
      <c r="C208" s="21" t="s">
        <v>193</v>
      </c>
      <c r="D208" s="21" t="s">
        <v>756</v>
      </c>
      <c r="E208" s="13">
        <v>42768.153368055559</v>
      </c>
      <c r="F208" s="13">
        <v>42768.156030092592</v>
      </c>
      <c r="G208" s="7">
        <v>3</v>
      </c>
      <c r="H208" s="21" t="s">
        <v>196</v>
      </c>
      <c r="I208" s="13">
        <v>42768.162604166668</v>
      </c>
      <c r="J208" s="7">
        <v>0</v>
      </c>
      <c r="K208" s="98" t="str">
        <f t="shared" si="57"/>
        <v>4017/4018</v>
      </c>
      <c r="L208" s="21" t="str">
        <f>VLOOKUP(A208,'Trips&amp;Operators'!$C$1:$G$99999,5,FALSE)</f>
        <v>ROBINSON KADDIBA</v>
      </c>
      <c r="M208" s="6">
        <f t="shared" si="58"/>
        <v>6.5740740756154992E-3</v>
      </c>
      <c r="N208" s="7">
        <f t="shared" si="59"/>
        <v>9.4666666688863188</v>
      </c>
      <c r="O208" s="7"/>
      <c r="P208" s="7"/>
      <c r="Q208" s="22"/>
      <c r="R208" s="22"/>
      <c r="S208" s="31">
        <f t="shared" si="60"/>
        <v>1</v>
      </c>
      <c r="T208" s="46" t="str">
        <f t="shared" si="61"/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 t="shared" si="62"/>
        <v>https://d0f6bd738d7f1b3e5a7ca70fe4ff75f0.us-east-1.aws.found.io/app/kibana#/discover/Steve-Slow-Train-Analysis-(2080s-and-2083s)?_g=(refreshInterval:(display:Off,pause:!f,section:0,value:0),time:(from:'2017-02-02T02:40:51-0700',mode:absolute,to:'2017-02-02T04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8" s="194" t="str">
        <f t="shared" si="63"/>
        <v>Y</v>
      </c>
      <c r="X208" s="194">
        <f t="shared" si="64"/>
        <v>1</v>
      </c>
      <c r="Y208" s="62">
        <f t="shared" si="65"/>
        <v>2.2122999999999999</v>
      </c>
      <c r="Z208" s="62">
        <f t="shared" si="66"/>
        <v>1.4999999999999999E-2</v>
      </c>
      <c r="AA208" s="62">
        <f t="shared" si="67"/>
        <v>2.1972999999999998</v>
      </c>
      <c r="AB208" s="59" t="e">
        <f>VLOOKUP(A208,Enforcements!$C$7:$K$16,8,0)</f>
        <v>#N/A</v>
      </c>
      <c r="AC208" s="55" t="e">
        <f>VLOOKUP(A208,Enforcements!$C$7:$E$16,3,0)</f>
        <v>#N/A</v>
      </c>
      <c r="AD208" s="56" t="str">
        <f t="shared" si="68"/>
        <v>0306-02</v>
      </c>
      <c r="AE208" s="85" t="str">
        <f t="shared" si="69"/>
        <v>aws s3 cp s3://rtdc.mdm.uploadarchive.raw/RTDC4017/ "%USERPROFILE%\AppData\Local\Temp\OnboardLogs"\RTDC4017\2017-02-02 --exclude "*" --recursive --include "*20170202*" &amp; "%USERPROFILE%\Documents\GitHub\mrs-test-scripts\Headless Mode &amp; Sideloading\WalkAndUnGZ.bat" "%USERPROFILE%\AppData\Local\Temp\OnboardLogs"\RTDC4017\2017-02-02 &amp; aws s3 cp s3://rtdc.mdm.uploadarchive.raw/RTDC4017/ "%USERPROFILE%\AppData\Local\Temp\OnboardLogs"\RTDC4017\2017-02-03 --exclude "*" --recursive --include "*20170203*" &amp; "%USERPROFILE%\Documents\GitHub\mrs-test-scripts\Headless Mode &amp; Sideloading\WalkAndUnGZ.bat" "%USERPROFILE%\AppData\Local\Temp\OnboardLogs"\RTDC4017\2017-02-03</v>
      </c>
      <c r="AF208" s="82" t="str">
        <f t="shared" si="70"/>
        <v>"C:\Program Files (x86)\AstroGrep\AstroGrep.exe" /spath="%USERPROFILE%\AppData\Local\Temp\OnboardLogs" /stypes="app*4017*20170202*" /stext=" 10:.+((SYSTEM_STATE.+slice.+state.+changed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6" t="str">
        <f t="shared" si="72"/>
        <v>"%USERPROFILE%\Documents\GitHub\eaglep3\Utilities\RefineRTDCRunTimes.py" --tripid 306-02 --locoid 4017 --swversion DE.1.0.8.0 --startMP 300:22123 --initTime 2017-02-02T03:40:51 --startdatetime 2017-02-02T03:44:41 --delay 3 --endMP 204:150 --enddatetime 2017-02-02T03:54:09 --enforcementcount 0 &gt;&gt;C:\Users\stu\Documents\GitHub\eaglep3-reporting\EC\2017-02-02-refined-times.txt</v>
      </c>
      <c r="AI208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{"issue":{"subject":"","project_id":79,"tracker_id":40,"status_id":1,"priority_id":2,"assigned_to_id":23,"start_date":"2017-02-02","description":"","custom_fields":[{"id":1,"name":"Subdivision","value":"Other"},{"id":4,"name":"Milepost","value":"0.015"},{"id":17,"name":"Train ID","value":"306-02"},{"id":16,"name":"Locomotive ID","value":"4017"},{"id":130,"name":"Impact","value":""},{"id":150,"name":"Time of Event (Mountain Time)","value":"03:54:09"},{"id":151,"name":"Denver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60" t="str">
        <f t="shared" si="74"/>
        <v>start /low /b %USERPROFILE%\Documents\GitHub\eaglep3\Utilities\DownloadLogsFromS3.py --loco 4017 --day 2017-02-02</v>
      </c>
      <c r="AN208" s="169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"%USERPROFILE%\AppData\Local\Temp\OnboardLogs"\RTDC4017\*4017*20170202* | grep -SE "(Enforcement Action)|(\[TIMEOUT)|(CHR.+\|PRM\|1\|D.+(SWITCH|SIGNAL).+UNKNOWN)" - &gt;&gt; 2017-02-02-UncaughtWiMAX.txt</v>
      </c>
    </row>
    <row r="209" spans="1:40" x14ac:dyDescent="0.25">
      <c r="A209" s="33" t="s">
        <v>653</v>
      </c>
      <c r="B209" s="7">
        <v>4009</v>
      </c>
      <c r="C209" s="21" t="s">
        <v>193</v>
      </c>
      <c r="D209" s="21" t="s">
        <v>241</v>
      </c>
      <c r="E209" s="13">
        <v>42768.827106481483</v>
      </c>
      <c r="F209" s="13">
        <v>25568.708333333332</v>
      </c>
      <c r="G209" s="7">
        <v>2</v>
      </c>
      <c r="H209" s="21" t="s">
        <v>354</v>
      </c>
      <c r="I209" s="13">
        <v>25568.708333333332</v>
      </c>
      <c r="J209" s="7">
        <v>0</v>
      </c>
      <c r="K209" s="98" t="str">
        <f t="shared" si="57"/>
        <v>4009/4010</v>
      </c>
      <c r="L209" s="21" t="str">
        <f>VLOOKUP(A209,'Trips&amp;Operators'!$C$1:$G$99999,5,FALSE)</f>
        <v>BRANNON JEFFREY</v>
      </c>
      <c r="M209" s="6">
        <f t="shared" si="58"/>
        <v>0</v>
      </c>
      <c r="N209" s="7">
        <f t="shared" si="59"/>
        <v>0</v>
      </c>
      <c r="O209" s="7"/>
      <c r="P209" s="7"/>
      <c r="Q209" s="22"/>
      <c r="R209" s="22"/>
      <c r="S209" s="31">
        <f t="shared" si="60"/>
        <v>1</v>
      </c>
      <c r="T209" s="46" t="str">
        <f t="shared" si="61"/>
        <v>NorthBound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 t="shared" si="62"/>
        <v>https://d0f6bd738d7f1b3e5a7ca70fe4ff75f0.us-east-1.aws.found.io/app/kibana#/discover/Steve-Slow-Train-Analysis-(2080s-and-2083s)?_g=(refreshInterval:(display:Off,pause:!f,section:0,value:0),time:(from:'2017-02-02T18:51:02-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94" t="str">
        <f t="shared" si="63"/>
        <v>Y</v>
      </c>
      <c r="X209" s="194">
        <f t="shared" si="64"/>
        <v>1</v>
      </c>
      <c r="Y209" s="62">
        <f t="shared" si="65"/>
        <v>4.5699999999999998E-2</v>
      </c>
      <c r="Z209" s="62">
        <f t="shared" si="66"/>
        <v>2.3346</v>
      </c>
      <c r="AA209" s="62">
        <f t="shared" si="67"/>
        <v>2.2888999999999999</v>
      </c>
      <c r="AB209" s="59" t="e">
        <f>VLOOKUP(A209,Enforcements!$C$7:$K$16,8,0)</f>
        <v>#N/A</v>
      </c>
      <c r="AC209" s="55" t="e">
        <f>VLOOKUP(A209,Enforcements!$C$7:$E$16,3,0)</f>
        <v>#N/A</v>
      </c>
      <c r="AD209" s="56" t="str">
        <f t="shared" si="68"/>
        <v>0307-02</v>
      </c>
      <c r="AE209" s="85" t="str">
        <f t="shared" si="69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9" s="82" t="str">
        <f t="shared" si="70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6" t="str">
        <f t="shared" si="72"/>
        <v>"%USERPROFILE%\Documents\GitHub\eaglep3\Utilities\RefineRTDCRunTimes.py" --tripid 307-02 --locoid 4009 --swversion DE.1.0.8.0 --startMP 204:457 --initTime 2017-02-02T19:51:02 --startdatetime 1969-12-31T17:00:00 --delay 2 --endMP 300:23346 --enddatetime 1969-12-31T17:00:00 --enforcementcount 0 &gt;&gt;C:\Users\stu\Documents\GitHub\eaglep3-reporting\EC\2017-02-02-refined-times.txt</v>
      </c>
      <c r="AI209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ID","value":"307-02"},{"id":16,"name":"Locomotive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60" t="str">
        <f t="shared" si="74"/>
        <v>start /low /b %USERPROFILE%\Documents\GitHub\eaglep3\Utilities\DownloadLogsFromS3.py --loco 4009 --day 1969-12-31</v>
      </c>
      <c r="AN209" s="169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2017-02-02-UncaughtWiMAX.txt</v>
      </c>
    </row>
    <row r="210" spans="1:40" x14ac:dyDescent="0.25">
      <c r="A210" s="33" t="s">
        <v>481</v>
      </c>
      <c r="B210" s="7">
        <v>4052</v>
      </c>
      <c r="C210" s="21" t="s">
        <v>193</v>
      </c>
      <c r="D210" s="21" t="s">
        <v>757</v>
      </c>
      <c r="E210" s="13">
        <v>42768.168043981481</v>
      </c>
      <c r="F210" s="13">
        <v>42768.177708333336</v>
      </c>
      <c r="G210" s="7">
        <v>13</v>
      </c>
      <c r="H210" s="21" t="s">
        <v>341</v>
      </c>
      <c r="I210" s="13">
        <v>42768.18273148148</v>
      </c>
      <c r="J210" s="7">
        <v>0</v>
      </c>
      <c r="K210" s="98" t="str">
        <f t="shared" si="57"/>
        <v>4051/4052</v>
      </c>
      <c r="L210" s="21" t="str">
        <f>VLOOKUP(A210,'Trips&amp;Operators'!$C$1:$G$99999,5,FALSE)</f>
        <v>GEBRETEKLE DAGNEW</v>
      </c>
      <c r="M210" s="6">
        <f t="shared" si="58"/>
        <v>5.0231481436640024E-3</v>
      </c>
      <c r="N210" s="7">
        <f t="shared" si="59"/>
        <v>7.2333333268761635</v>
      </c>
      <c r="O210" s="7"/>
      <c r="P210" s="7"/>
      <c r="Q210" s="22"/>
      <c r="R210" s="22"/>
      <c r="S210" s="31">
        <f t="shared" si="60"/>
        <v>1</v>
      </c>
      <c r="T210" s="46" t="str">
        <f t="shared" si="61"/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 t="shared" si="62"/>
        <v>https://d0f6bd738d7f1b3e5a7ca70fe4ff75f0.us-east-1.aws.found.io/app/kibana#/discover/Steve-Slow-Train-Analysis-(2080s-and-2083s)?_g=(refreshInterval:(display:Off,pause:!f,section:0,value:0),time:(from:'2017-02-02T03:01:59-0700',mode:absolute,to:'2017-02-02T05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194" t="str">
        <f t="shared" si="63"/>
        <v>Y</v>
      </c>
      <c r="X210" s="194">
        <f t="shared" si="64"/>
        <v>1</v>
      </c>
      <c r="Y210" s="62">
        <f t="shared" si="65"/>
        <v>2.3411</v>
      </c>
      <c r="Z210" s="62">
        <f t="shared" si="66"/>
        <v>1.38E-2</v>
      </c>
      <c r="AA210" s="62">
        <f t="shared" si="67"/>
        <v>2.3273000000000001</v>
      </c>
      <c r="AB210" s="59" t="e">
        <f>VLOOKUP(A210,Enforcements!$C$7:$K$16,8,0)</f>
        <v>#N/A</v>
      </c>
      <c r="AC210" s="55" t="e">
        <f>VLOOKUP(A210,Enforcements!$C$7:$E$16,3,0)</f>
        <v>#N/A</v>
      </c>
      <c r="AD210" s="56" t="str">
        <f t="shared" si="68"/>
        <v>0308-02</v>
      </c>
      <c r="AE210" s="85" t="str">
        <f t="shared" si="69"/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AF210" s="82" t="str">
        <f t="shared" si="70"/>
        <v>"C:\Program Files (x86)\AstroGrep\AstroGrep.exe" /spath="%USERPROFILE%\AppData\Local\Temp\OnboardLogs" /stypes="app*4052*20170202*" /stext=" 11:.+((SYSTEM_STATE.+slice.+state.+changed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6" t="str">
        <f t="shared" si="72"/>
        <v>"%USERPROFILE%\Documents\GitHub\eaglep3\Utilities\RefineRTDCRunTimes.py" --tripid 308-02 --locoid 4052 --swversion DE.1.0.8.0 --startMP 300:23411 --initTime 2017-02-02T04:01:59 --startdatetime 2017-02-02T04:15:54 --delay 13 --endMP 204:138 --enddatetime 2017-02-02T04:23:08 --enforcementcount 0 &gt;&gt;C:\Users\stu\Documents\GitHub\eaglep3-reporting\EC\2017-02-02-refined-times.txt</v>
      </c>
      <c r="AI210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{"issue":{"subject":"","project_id":79,"tracker_id":40,"status_id":1,"priority_id":2,"assigned_to_id":23,"start_date":"2017-02-02","description":"","custom_fields":[{"id":1,"name":"Subdivision","value":"Other"},{"id":4,"name":"Milepost","value":"0.0138"},{"id":17,"name":"Train ID","value":"308-02"},{"id":16,"name":"Locomotive ID","value":"4052"},{"id":130,"name":"Impact","value":""},{"id":150,"name":"Time of Event (Mountain Time)","value":"04:23:08"},{"id":151,"name":"Denver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60" t="str">
        <f t="shared" si="74"/>
        <v>start /low /b %USERPROFILE%\Documents\GitHub\eaglep3\Utilities\DownloadLogsFromS3.py --loco 4052 --day 2017-02-02</v>
      </c>
      <c r="AN210" s="169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"%USERPROFILE%\AppData\Local\Temp\OnboardLogs"\RTDC4052\*4052*20170202* | grep -SE "(Enforcement Action)|(\[TIMEOUT)|(CHR.+\|PRM\|1\|D.+(SWITCH|SIGNAL).+UNKNOWN)" - &gt;&gt; 2017-02-02-UncaughtWiMAX.txt</v>
      </c>
    </row>
    <row r="211" spans="1:40" x14ac:dyDescent="0.25">
      <c r="A211" s="33" t="s">
        <v>678</v>
      </c>
      <c r="B211" s="7">
        <v>4027</v>
      </c>
      <c r="C211" s="21" t="s">
        <v>193</v>
      </c>
      <c r="D211" s="21" t="s">
        <v>758</v>
      </c>
      <c r="E211" s="13">
        <v>42769.028171296297</v>
      </c>
      <c r="F211" s="13">
        <v>42769.029467592591</v>
      </c>
      <c r="G211" s="7">
        <v>1</v>
      </c>
      <c r="H211" s="21" t="s">
        <v>753</v>
      </c>
      <c r="I211" s="13">
        <v>42769.036747685182</v>
      </c>
      <c r="J211" s="7">
        <v>0</v>
      </c>
      <c r="K211" s="98" t="str">
        <f t="shared" si="57"/>
        <v>4027/4028</v>
      </c>
      <c r="L211" s="21" t="str">
        <f>VLOOKUP(A211,'Trips&amp;Operators'!$C$1:$G$99999,5,FALSE)</f>
        <v>CHANDLER KELVIN</v>
      </c>
      <c r="M211" s="6">
        <f t="shared" si="58"/>
        <v>7.2800925918272696E-3</v>
      </c>
      <c r="N211" s="7">
        <f t="shared" si="59"/>
        <v>10.483333332231268</v>
      </c>
      <c r="O211" s="7"/>
      <c r="P211" s="7"/>
      <c r="Q211" s="22"/>
      <c r="R211" s="22"/>
      <c r="S211" s="31">
        <f t="shared" si="60"/>
        <v>1</v>
      </c>
      <c r="T211" s="46" t="str">
        <f t="shared" si="61"/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 t="shared" si="62"/>
        <v>https://d0f6bd738d7f1b3e5a7ca70fe4ff75f0.us-east-1.aws.found.io/app/kibana#/discover/Steve-Slow-Train-Analysis-(2080s-and-2083s)?_g=(refreshInterval:(display:Off,pause:!f,section:0,value:0),time:(from:'2017-02-02T23:40:34-0700',mode:absolute,to:'2017-02-03T01:52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1" s="194" t="str">
        <f t="shared" si="63"/>
        <v>Y</v>
      </c>
      <c r="X211" s="194">
        <f t="shared" si="64"/>
        <v>1</v>
      </c>
      <c r="Y211" s="62">
        <f t="shared" si="65"/>
        <v>0.12280000000000001</v>
      </c>
      <c r="Z211" s="62">
        <f t="shared" si="66"/>
        <v>2.3300999999999998</v>
      </c>
      <c r="AA211" s="62">
        <f t="shared" si="67"/>
        <v>2.2073</v>
      </c>
      <c r="AB211" s="59" t="e">
        <f>VLOOKUP(A211,Enforcements!$C$7:$K$16,8,0)</f>
        <v>#N/A</v>
      </c>
      <c r="AC211" s="55" t="e">
        <f>VLOOKUP(A211,Enforcements!$C$7:$E$16,3,0)</f>
        <v>#N/A</v>
      </c>
      <c r="AD211" s="56" t="str">
        <f t="shared" si="68"/>
        <v>0309-02</v>
      </c>
      <c r="AE211" s="85" t="str">
        <f t="shared" si="69"/>
        <v>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 &amp; aws s3 cp s3://rtdc.mdm.uploadarchive.raw/RTDC4027/ "%USERPROFILE%\AppData\Local\Temp\OnboardLogs"\RTDC4027\2017-02-04 --exclude "*" --recursive --include "*20170204*" &amp; "%USERPROFILE%\Documents\GitHub\mrs-test-scripts\Headless Mode &amp; Sideloading\WalkAndUnGZ.bat" "%USERPROFILE%\AppData\Local\Temp\OnboardLogs"\RTDC4027\2017-02-04</v>
      </c>
      <c r="AF211" s="82" t="str">
        <f t="shared" si="70"/>
        <v>"C:\Program Files (x86)\AstroGrep\AstroGrep.exe" /spath="%USERPROFILE%\AppData\Local\Temp\OnboardLogs" /stypes="app*4027*20170203*" /stext=" 07:.+((SYSTEM_STATE.+slice.+state.+changed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6" t="str">
        <f t="shared" si="72"/>
        <v>"%USERPROFILE%\Documents\GitHub\eaglep3\Utilities\RefineRTDCRunTimes.py" --tripid 309-02 --locoid 4027 --swversion DE.1.0.8.0 --startMP 204:1228 --initTime 2017-02-03T00:40:34 --startdatetime 2017-02-03T00:42:26 --delay 1 --endMP 300:23301 --enddatetime 2017-02-03T00:52:55 --enforcementcount 0 &gt;&gt;C:\Users\stu\Documents\GitHub\eaglep3-reporting\EC\2017-02-02-refined-times.txt</v>
      </c>
      <c r="AI211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{"issue":{"subject":"","project_id":79,"tracker_id":40,"status_id":1,"priority_id":2,"assigned_to_id":23,"start_date":"2017-02-03","description":"","custom_fields":[{"id":1,"name":"Subdivision","value":"Other"},{"id":4,"name":"Milepost","value":"2.3301"},{"id":17,"name":"Train ID","value":"309-02"},{"id":16,"name":"Locomotive ID","value":"4027"},{"id":130,"name":"Impact","value":""},{"id":150,"name":"Time of Event (Mountain Time)","value":"00:52:55"},{"id":151,"name":"Denver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60" t="str">
        <f t="shared" si="74"/>
        <v>start /low /b %USERPROFILE%\Documents\GitHub\eaglep3\Utilities\DownloadLogsFromS3.py --loco 4027 --day 2017-02-03</v>
      </c>
      <c r="AN211" s="169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"%USERPROFILE%\AppData\Local\Temp\OnboardLogs"\RTDC4027\*4027*20170203* | grep -SE "(Enforcement Action)|(\[TIMEOUT)|(CHR.+\|PRM\|1\|D.+(SWITCH|SIGNAL).+UNKNOWN)" - &gt;&gt; 2017-02-02-UncaughtWiMAX.txt</v>
      </c>
    </row>
    <row r="212" spans="1:40" x14ac:dyDescent="0.25">
      <c r="A212" s="33" t="s">
        <v>484</v>
      </c>
      <c r="B212" s="7">
        <v>4026</v>
      </c>
      <c r="C212" s="21" t="s">
        <v>193</v>
      </c>
      <c r="D212" s="21" t="s">
        <v>759</v>
      </c>
      <c r="E212" s="13">
        <v>42768.186006944445</v>
      </c>
      <c r="F212" s="13">
        <v>42768.187106481484</v>
      </c>
      <c r="G212" s="7">
        <v>1</v>
      </c>
      <c r="H212" s="21" t="s">
        <v>284</v>
      </c>
      <c r="I212" s="13">
        <v>42768.192465277774</v>
      </c>
      <c r="J212" s="7">
        <v>0</v>
      </c>
      <c r="K212" s="98" t="str">
        <f t="shared" si="57"/>
        <v>4025/4026</v>
      </c>
      <c r="L212" s="21" t="str">
        <f>VLOOKUP(A212,'Trips&amp;Operators'!$C$1:$G$99999,5,FALSE)</f>
        <v>ACKERMAN JARED</v>
      </c>
      <c r="M212" s="6">
        <f t="shared" si="58"/>
        <v>5.3587962902383879E-3</v>
      </c>
      <c r="N212" s="7">
        <f t="shared" si="59"/>
        <v>7.7166666579432786</v>
      </c>
      <c r="O212" s="7"/>
      <c r="P212" s="7"/>
      <c r="Q212" s="22"/>
      <c r="R212" s="22"/>
      <c r="S212" s="31">
        <f t="shared" si="60"/>
        <v>1</v>
      </c>
      <c r="T212" s="46" t="str">
        <f t="shared" si="61"/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 t="shared" si="62"/>
        <v>https://d0f6bd738d7f1b3e5a7ca70fe4ff75f0.us-east-1.aws.found.io/app/kibana#/discover/Steve-Slow-Train-Analysis-(2080s-and-2083s)?_g=(refreshInterval:(display:Off,pause:!f,section:0,value:0),time:(from:'2017-02-02T03:27:51-0700',mode:absolute,to:'2017-02-02T05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2" s="194" t="str">
        <f t="shared" si="63"/>
        <v>Y</v>
      </c>
      <c r="X212" s="194">
        <f t="shared" si="64"/>
        <v>1</v>
      </c>
      <c r="Y212" s="62">
        <f t="shared" si="65"/>
        <v>2.262</v>
      </c>
      <c r="Z212" s="62">
        <f t="shared" si="66"/>
        <v>1.3599999999999999E-2</v>
      </c>
      <c r="AA212" s="62">
        <f t="shared" si="67"/>
        <v>2.2484000000000002</v>
      </c>
      <c r="AB212" s="59" t="e">
        <f>VLOOKUP(A212,Enforcements!$C$7:$K$16,8,0)</f>
        <v>#N/A</v>
      </c>
      <c r="AC212" s="55" t="e">
        <f>VLOOKUP(A212,Enforcements!$C$7:$E$16,3,0)</f>
        <v>#N/A</v>
      </c>
      <c r="AD212" s="56" t="str">
        <f t="shared" si="68"/>
        <v>0310-02</v>
      </c>
      <c r="AE212" s="85" t="str">
        <f t="shared" si="69"/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AF212" s="82" t="str">
        <f t="shared" si="70"/>
        <v>"C:\Program Files (x86)\AstroGrep\AstroGrep.exe" /spath="%USERPROFILE%\AppData\Local\Temp\OnboardLogs" /stypes="app*4026*20170202*" /stext=" 11:.+((SYSTEM_STATE.+slice.+state.+changed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6" t="str">
        <f t="shared" si="72"/>
        <v>"%USERPROFILE%\Documents\GitHub\eaglep3\Utilities\RefineRTDCRunTimes.py" --tripid 310-02 --locoid 4026 --swversion DE.1.0.8.0 --startMP 300:22620 --initTime 2017-02-02T04:27:51 --startdatetime 2017-02-02T04:29:26 --delay 1 --endMP 204:136 --enddatetime 2017-02-02T04:37:09 --enforcementcount 0 &gt;&gt;C:\Users\stu\Documents\GitHub\eaglep3-reporting\EC\2017-02-02-refined-times.txt</v>
      </c>
      <c r="AI212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{"issue":{"subject":"","project_id":79,"tracker_id":40,"status_id":1,"priority_id":2,"assigned_to_id":23,"start_date":"2017-02-02","description":"","custom_fields":[{"id":1,"name":"Subdivision","value":"Other"},{"id":4,"name":"Milepost","value":"0.0136"},{"id":17,"name":"Train ID","value":"310-02"},{"id":16,"name":"Locomotive ID","value":"4026"},{"id":130,"name":"Impact","value":""},{"id":150,"name":"Time of Event (Mountain Time)","value":"04:37:09"},{"id":151,"name":"Denver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60" t="str">
        <f t="shared" si="74"/>
        <v>start /low /b %USERPROFILE%\Documents\GitHub\eaglep3\Utilities\DownloadLogsFromS3.py --loco 4026 --day 2017-02-02</v>
      </c>
      <c r="AN212" s="169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"%USERPROFILE%\AppData\Local\Temp\OnboardLogs"\RTDC4026\*4026*20170202* | grep -SE "(Enforcement Action)|(\[TIMEOUT)|(CHR.+\|PRM\|1\|D.+(SWITCH|SIGNAL).+UNKNOWN)" - &gt;&gt; 2017-02-02-UncaughtWiMAX.txt</v>
      </c>
    </row>
    <row r="213" spans="1:40" x14ac:dyDescent="0.25">
      <c r="A213" s="33" t="s">
        <v>680</v>
      </c>
      <c r="B213" s="7">
        <v>4016</v>
      </c>
      <c r="C213" s="21" t="s">
        <v>193</v>
      </c>
      <c r="D213" s="21" t="s">
        <v>288</v>
      </c>
      <c r="E213" s="13">
        <v>42769.04855324074</v>
      </c>
      <c r="F213" s="13">
        <v>25568.708333333332</v>
      </c>
      <c r="G213" s="7">
        <v>1</v>
      </c>
      <c r="H213" s="21" t="s">
        <v>422</v>
      </c>
      <c r="I213" s="13">
        <v>25568.708333333332</v>
      </c>
      <c r="J213" s="7">
        <v>0</v>
      </c>
      <c r="K213" s="98" t="str">
        <f t="shared" si="57"/>
        <v>4015/4016</v>
      </c>
      <c r="L213" s="21" t="str">
        <f>VLOOKUP(A213,'Trips&amp;Operators'!$C$1:$G$99999,5,FALSE)</f>
        <v>NEWELL JAMES</v>
      </c>
      <c r="M213" s="6">
        <f t="shared" si="58"/>
        <v>0</v>
      </c>
      <c r="N213" s="7">
        <f t="shared" si="59"/>
        <v>0</v>
      </c>
      <c r="O213" s="7"/>
      <c r="P213" s="7"/>
      <c r="Q213" s="22"/>
      <c r="R213" s="22"/>
      <c r="S213" s="31">
        <f t="shared" si="60"/>
        <v>1</v>
      </c>
      <c r="T213" s="46" t="str">
        <f t="shared" si="61"/>
        <v>NorthBound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 t="shared" si="62"/>
        <v>https://d0f6bd738d7f1b3e5a7ca70fe4ff75f0.us-east-1.aws.found.io/app/kibana#/discover/Steve-Slow-Train-Analysis-(2080s-and-2083s)?_g=(refreshInterval:(display:Off,pause:!f,section:0,value:0),time:(from:'2017-02-03T00:09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194" t="str">
        <f t="shared" si="63"/>
        <v>Y</v>
      </c>
      <c r="X213" s="194">
        <f t="shared" si="64"/>
        <v>1</v>
      </c>
      <c r="Y213" s="62">
        <f t="shared" si="65"/>
        <v>4.6699999999999998E-2</v>
      </c>
      <c r="Z213" s="62">
        <f t="shared" si="66"/>
        <v>2.3302</v>
      </c>
      <c r="AA213" s="62">
        <f t="shared" si="67"/>
        <v>2.2835000000000001</v>
      </c>
      <c r="AB213" s="59" t="e">
        <f>VLOOKUP(A213,Enforcements!$C$7:$K$16,8,0)</f>
        <v>#N/A</v>
      </c>
      <c r="AC213" s="55" t="e">
        <f>VLOOKUP(A213,Enforcements!$C$7:$E$16,3,0)</f>
        <v>#N/A</v>
      </c>
      <c r="AD213" s="56" t="str">
        <f t="shared" si="68"/>
        <v>0311-02</v>
      </c>
      <c r="AE213" s="85" t="str">
        <f t="shared" si="69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3" s="82" t="str">
        <f t="shared" si="70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6" t="str">
        <f t="shared" si="72"/>
        <v>"%USERPROFILE%\Documents\GitHub\eaglep3\Utilities\RefineRTDCRunTimes.py" --tripid 311-02 --locoid 4016 --swversion DE.1.0.8.0 --startMP 204:467 --initTime 2017-02-03T01:09:55 --startdatetime 1969-12-31T17:00:00 --delay 1 --endMP 300:23302 --enddatetime 1969-12-31T17:00:00 --enforcementcount 0 &gt;&gt;C:\Users\stu\Documents\GitHub\eaglep3-reporting\EC\2017-02-02-refined-times.txt</v>
      </c>
      <c r="AI213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ID","value":"311-02"},{"id":16,"name":"Locomotive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60" t="str">
        <f t="shared" si="74"/>
        <v>start /low /b %USERPROFILE%\Documents\GitHub\eaglep3\Utilities\DownloadLogsFromS3.py --loco 4016 --day 1969-12-31</v>
      </c>
      <c r="AN213" s="169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2017-02-02-UncaughtWiMAX.txt</v>
      </c>
    </row>
    <row r="214" spans="1:40" x14ac:dyDescent="0.25">
      <c r="A214" s="33" t="s">
        <v>382</v>
      </c>
      <c r="B214" s="7">
        <v>4042</v>
      </c>
      <c r="C214" s="21" t="s">
        <v>193</v>
      </c>
      <c r="D214" s="21" t="s">
        <v>276</v>
      </c>
      <c r="E214" s="13">
        <v>42768.077569444446</v>
      </c>
      <c r="F214" s="13">
        <v>42768.079432870371</v>
      </c>
      <c r="G214" s="7">
        <v>1</v>
      </c>
      <c r="H214" s="21" t="s">
        <v>423</v>
      </c>
      <c r="I214" s="13">
        <v>42768.079687500001</v>
      </c>
      <c r="J214" s="7">
        <v>0</v>
      </c>
      <c r="K214" s="98" t="str">
        <f t="shared" si="57"/>
        <v>4041/4042</v>
      </c>
      <c r="L214" s="21" t="str">
        <f>VLOOKUP(A214,'Trips&amp;Operators'!$C$1:$G$99999,5,FALSE)</f>
        <v>BROWN JACOB</v>
      </c>
      <c r="M214" s="6">
        <f t="shared" si="58"/>
        <v>2.546296309446916E-4</v>
      </c>
      <c r="N214" s="7">
        <f t="shared" si="59"/>
        <v>0.3666666685603559</v>
      </c>
      <c r="O214" s="7"/>
      <c r="P214" s="7"/>
      <c r="Q214" s="22"/>
      <c r="R214" s="22"/>
      <c r="S214" s="31">
        <f t="shared" si="60"/>
        <v>0</v>
      </c>
      <c r="T214" s="46" t="str">
        <f t="shared" si="61"/>
        <v>NorthBound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3" t="str">
        <f t="shared" si="62"/>
        <v>https://d0f6bd738d7f1b3e5a7ca70fe4ff75f0.us-east-1.aws.found.io/app/kibana#/discover/Steve-Slow-Train-Analysis-(2080s-and-2083s)?_g=(refreshInterval:(display:Off,pause:!f,section:0,value:0),time:(from:'2017-02-02T00:51:42-0700',mode:absolute,to:'2017-02-02T02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194" t="str">
        <f t="shared" si="63"/>
        <v>Y</v>
      </c>
      <c r="X214" s="194">
        <f t="shared" si="64"/>
        <v>2</v>
      </c>
      <c r="Y214" s="62">
        <f t="shared" si="65"/>
        <v>4.53E-2</v>
      </c>
      <c r="Z214" s="62">
        <f t="shared" si="66"/>
        <v>0.10100000000000001</v>
      </c>
      <c r="AA214" s="62">
        <f t="shared" si="67"/>
        <v>5.5700000000000006E-2</v>
      </c>
      <c r="AB214" s="59" t="e">
        <f>VLOOKUP(A214,Enforcements!$C$7:$K$16,8,0)</f>
        <v>#N/A</v>
      </c>
      <c r="AC214" s="55" t="e">
        <f>VLOOKUP(A214,Enforcements!$C$7:$E$16,3,0)</f>
        <v>#N/A</v>
      </c>
      <c r="AD214" s="56" t="str">
        <f t="shared" si="68"/>
        <v>0313-01</v>
      </c>
      <c r="AE214" s="85" t="str">
        <f t="shared" si="69"/>
        <v>aws s3 cp s3://rtdc.mdm.uploadarchive.raw/RTDC4042/ "%USERPROFILE%\AppData\Local\Temp\OnboardLogs"\RTDC4042\2017-02-02 --exclude "*" --recursive --include "*20170202*" &amp; "%USERPROFILE%\Documents\GitHub\mrs-test-scripts\Headless Mode &amp; Sideloading\WalkAndUnGZ.bat" "%USERPROFILE%\AppData\Local\Temp\OnboardLogs"\RTDC4042\2017-02-02 &amp; aws s3 cp s3://rtdc.mdm.uploadarchive.raw/RTDC4042/ "%USERPROFILE%\AppData\Local\Temp\OnboardLogs"\RTDC4042\2017-02-03 --exclude "*" --recursive --include "*20170203*" &amp; "%USERPROFILE%\Documents\GitHub\mrs-test-scripts\Headless Mode &amp; Sideloading\WalkAndUnGZ.bat" "%USERPROFILE%\AppData\Local\Temp\OnboardLogs"\RTDC4042\2017-02-03</v>
      </c>
      <c r="AF214" s="82" t="str">
        <f t="shared" si="70"/>
        <v>"C:\Program Files (x86)\AstroGrep\AstroGrep.exe" /spath="%USERPROFILE%\AppData\Local\Temp\OnboardLogs" /stypes="app*4042*20170202*" /stext=" 08:.+((SYSTEM_STATE.+slice.+state.+changed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6" t="str">
        <f t="shared" si="72"/>
        <v>"%USERPROFILE%\Documents\GitHub\eaglep3\Utilities\RefineRTDCRunTimes.py" --tripid 313-01 --locoid 4042 --swversion DE.1.0.8.0 --startMP 204:453 --initTime 2017-02-02T01:51:42 --startdatetime 2017-02-02T01:54:23 --delay 1 --endMP 204:1010 --enddatetime 2017-02-02T01:54:45 --enforcementcount 0 &gt;&gt;C:\Users\stu\Documents\GitHub\eaglep3-reporting\EC\2017-02-02-refined-times.txt</v>
      </c>
      <c r="AI214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{"issue":{"subject":"","project_id":79,"tracker_id":40,"status_id":1,"priority_id":2,"assigned_to_id":23,"start_date":"2017-02-02","description":"","custom_fields":[{"id":1,"name":"Subdivision","value":"Other"},{"id":4,"name":"Milepost","value":"0.101"},{"id":17,"name":"Train ID","value":"313-01"},{"id":16,"name":"Locomotive ID","value":"4042"},{"id":130,"name":"Impact","value":""},{"id":150,"name":"Time of Event (Mountain Time)","value":"01:54:45"},{"id":151,"name":"Denver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60" t="str">
        <f t="shared" si="74"/>
        <v>start /low /b %USERPROFILE%\Documents\GitHub\eaglep3\Utilities\DownloadLogsFromS3.py --loco 4042 --day 2017-02-02</v>
      </c>
      <c r="AN214" s="169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"%USERPROFILE%\AppData\Local\Temp\OnboardLogs"\RTDC4042\*4042*20170202* | grep -SE "(Enforcement Action)|(\[TIMEOUT)|(CHR.+\|PRM\|1\|D.+(SWITCH|SIGNAL).+UNKNOWN)" - &gt;&gt; 2017-02-02-UncaughtWiMAX.txt</v>
      </c>
    </row>
    <row r="215" spans="1:40" x14ac:dyDescent="0.25">
      <c r="A215" s="33" t="s">
        <v>683</v>
      </c>
      <c r="B215" s="7">
        <v>4051</v>
      </c>
      <c r="C215" s="21" t="s">
        <v>193</v>
      </c>
      <c r="D215" s="21" t="s">
        <v>315</v>
      </c>
      <c r="E215" s="13">
        <v>42769.087083333332</v>
      </c>
      <c r="F215" s="13">
        <v>25568.708333333332</v>
      </c>
      <c r="G215" s="7">
        <v>1</v>
      </c>
      <c r="H215" s="21" t="s">
        <v>760</v>
      </c>
      <c r="I215" s="13">
        <v>25568.708333333332</v>
      </c>
      <c r="J215" s="7">
        <v>0</v>
      </c>
      <c r="K215" s="98" t="str">
        <f t="shared" si="57"/>
        <v>4051/4052</v>
      </c>
      <c r="L215" s="21" t="str">
        <f>VLOOKUP(A215,'Trips&amp;Operators'!$C$1:$G$99999,5,FALSE)</f>
        <v>HILLS DUSTIN</v>
      </c>
      <c r="M215" s="6">
        <f t="shared" si="58"/>
        <v>0</v>
      </c>
      <c r="N215" s="7">
        <f t="shared" si="59"/>
        <v>0</v>
      </c>
      <c r="O215" s="7"/>
      <c r="P215" s="7"/>
      <c r="Q215" s="22"/>
      <c r="R215" s="22"/>
      <c r="S215" s="31">
        <f t="shared" si="60"/>
        <v>1</v>
      </c>
      <c r="T215" s="46" t="str">
        <f t="shared" si="61"/>
        <v>NorthBound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 t="shared" si="62"/>
        <v>https://d0f6bd738d7f1b3e5a7ca70fe4ff75f0.us-east-1.aws.found.io/app/kibana#/discover/Steve-Slow-Train-Analysis-(2080s-and-2083s)?_g=(refreshInterval:(display:Off,pause:!f,section:0,value:0),time:(from:'2017-02-03T01:05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5" s="194" t="str">
        <f t="shared" si="63"/>
        <v>Y</v>
      </c>
      <c r="X215" s="194">
        <f t="shared" si="64"/>
        <v>2</v>
      </c>
      <c r="Y215" s="62">
        <f t="shared" si="65"/>
        <v>4.3700000000000003E-2</v>
      </c>
      <c r="Z215" s="62">
        <f t="shared" si="66"/>
        <v>2.3319999999999999</v>
      </c>
      <c r="AA215" s="62">
        <f t="shared" si="67"/>
        <v>2.2883</v>
      </c>
      <c r="AB215" s="59" t="e">
        <f>VLOOKUP(A215,Enforcements!$C$7:$K$16,8,0)</f>
        <v>#N/A</v>
      </c>
      <c r="AC215" s="55" t="e">
        <f>VLOOKUP(A215,Enforcements!$C$7:$E$16,3,0)</f>
        <v>#N/A</v>
      </c>
      <c r="AD215" s="56" t="str">
        <f t="shared" si="68"/>
        <v>0315-02</v>
      </c>
      <c r="AE215" s="85" t="str">
        <f t="shared" si="69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5" s="82" t="str">
        <f t="shared" si="70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6" t="str">
        <f t="shared" si="72"/>
        <v>"%USERPROFILE%\Documents\GitHub\eaglep3\Utilities\RefineRTDCRunTimes.py" --tripid 315-02 --locoid 4051 --swversion DE.1.0.8.0 --startMP 204:437 --initTime 2017-02-03T02:05:24 --startdatetime 1969-12-31T17:00:00 --delay 1 --endMP 300:23320 --enddatetime 1969-12-31T17:00:00 --enforcementcount 0 &gt;&gt;C:\Users\stu\Documents\GitHub\eaglep3-reporting\EC\2017-02-02-refined-times.txt</v>
      </c>
      <c r="AI215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ID","value":"315-02"},{"id":16,"name":"Locomotive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60" t="str">
        <f t="shared" si="74"/>
        <v>start /low /b %USERPROFILE%\Documents\GitHub\eaglep3\Utilities\DownloadLogsFromS3.py --loco 4051 --day 1969-12-31</v>
      </c>
      <c r="AN215" s="169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2017-02-02-UncaughtWiMAX.txt</v>
      </c>
    </row>
    <row r="216" spans="1:40" x14ac:dyDescent="0.25">
      <c r="A216" s="33" t="s">
        <v>501</v>
      </c>
      <c r="B216" s="7">
        <v>4004</v>
      </c>
      <c r="C216" s="21" t="s">
        <v>193</v>
      </c>
      <c r="D216" s="21" t="s">
        <v>441</v>
      </c>
      <c r="E216" s="13">
        <v>42768.246111111112</v>
      </c>
      <c r="F216" s="13">
        <v>42768.251712962963</v>
      </c>
      <c r="G216" s="7">
        <v>7</v>
      </c>
      <c r="H216" s="21" t="s">
        <v>818</v>
      </c>
      <c r="I216" s="13">
        <v>42768.256979166668</v>
      </c>
      <c r="J216" s="7">
        <v>0</v>
      </c>
      <c r="K216" s="98" t="str">
        <f t="shared" si="57"/>
        <v>4003/4004</v>
      </c>
      <c r="L216" s="21" t="str">
        <f>VLOOKUP(A216,'Trips&amp;Operators'!$C$1:$G$99999,5,FALSE)</f>
        <v>LOZA FIDEL</v>
      </c>
      <c r="M216" s="6">
        <f t="shared" si="58"/>
        <v>5.2662037051049992E-3</v>
      </c>
      <c r="N216" s="7">
        <f t="shared" si="59"/>
        <v>7.5833333353511989</v>
      </c>
      <c r="O216" s="7"/>
      <c r="P216" s="7"/>
      <c r="Q216" s="22"/>
      <c r="R216" s="22"/>
      <c r="S216" s="31">
        <f t="shared" si="60"/>
        <v>1</v>
      </c>
      <c r="T216" s="46" t="str">
        <f t="shared" si="61"/>
        <v>Southbound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 t="shared" si="62"/>
        <v>https://d0f6bd738d7f1b3e5a7ca70fe4ff75f0.us-east-1.aws.found.io/app/kibana#/discover/Steve-Slow-Train-Analysis-(2080s-and-2083s)?_g=(refreshInterval:(display:Off,pause:!f,section:0,value:0),time:(from:'2017-02-02T04:54:24-0700',mode:absolute,to:'2017-02-02T07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6" s="194" t="str">
        <f t="shared" si="63"/>
        <v>Y</v>
      </c>
      <c r="X216" s="194">
        <f t="shared" si="64"/>
        <v>587</v>
      </c>
      <c r="Y216" s="62">
        <f t="shared" si="65"/>
        <v>2.3338000000000001</v>
      </c>
      <c r="Z216" s="62">
        <f t="shared" si="66"/>
        <v>6.5600000000000006E-2</v>
      </c>
      <c r="AA216" s="62">
        <f t="shared" si="67"/>
        <v>2.2682000000000002</v>
      </c>
      <c r="AB216" s="59" t="e">
        <f>VLOOKUP(A216,Enforcements!$C$7:$K$16,8,0)</f>
        <v>#N/A</v>
      </c>
      <c r="AC216" s="55" t="e">
        <f>VLOOKUP(A216,Enforcements!$C$7:$E$16,3,0)</f>
        <v>#N/A</v>
      </c>
      <c r="AD216" s="56" t="str">
        <f t="shared" si="68"/>
        <v>0902-02</v>
      </c>
      <c r="AE216" s="85" t="str">
        <f t="shared" si="69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216" s="82" t="str">
        <f t="shared" si="70"/>
        <v>"C:\Program Files (x86)\AstroGrep\AstroGrep.exe" /spath="%USERPROFILE%\AppData\Local\Temp\OnboardLogs" /stypes="app*4004*20170202*" /stext=" 13:.+((SYSTEM_STATE.+slice.+state.+changed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6" t="str">
        <f t="shared" si="72"/>
        <v>"%USERPROFILE%\Documents\GitHub\eaglep3\Utilities\RefineRTDCRunTimes.py" --tripid 902-02 --locoid 4004 --swversion DE.1.0.8.0 --startMP 300:23338 --initTime 2017-02-02T05:54:24 --startdatetime 2017-02-02T06:02:28 --delay 7 --endMP 204:656 --enddatetime 2017-02-02T06:10:03 --enforcementcount 0 &gt;&gt;C:\Users\stu\Documents\GitHub\eaglep3-reporting\EC\2017-02-02-refined-times.txt</v>
      </c>
      <c r="AI216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{"issue":{"subject":"","project_id":79,"tracker_id":40,"status_id":1,"priority_id":2,"assigned_to_id":23,"start_date":"2017-02-02","description":"","custom_fields":[{"id":1,"name":"Subdivision","value":"Other"},{"id":4,"name":"Milepost","value":"0.0656"},{"id":17,"name":"Train ID","value":"902-02"},{"id":16,"name":"Locomotive ID","value":"4004"},{"id":130,"name":"Impact","value":""},{"id":150,"name":"Time of Event (Mountain Time)","value":"06:10:03"},{"id":151,"name":"Denver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60" t="str">
        <f t="shared" si="74"/>
        <v>start /low /b %USERPROFILE%\Documents\GitHub\eaglep3\Utilities\DownloadLogsFromS3.py --loco 4004 --day 2017-02-02</v>
      </c>
      <c r="AN216" s="169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"%USERPROFILE%\AppData\Local\Temp\OnboardLogs"\RTDC4004\*4004*20170202* | grep -SE "(Enforcement Action)|(\[TIMEOUT)|(CHR.+\|PRM\|1\|D.+(SWITCH|SIGNAL).+UNKNOWN)" - &gt;&gt; 2017-02-02-UncaughtWiMAX.txt</v>
      </c>
    </row>
    <row r="217" spans="1:40" x14ac:dyDescent="0.25">
      <c r="A217" s="33" t="s">
        <v>529</v>
      </c>
      <c r="B217" s="7">
        <v>4020</v>
      </c>
      <c r="C217" s="21" t="s">
        <v>193</v>
      </c>
      <c r="D217" s="21" t="s">
        <v>711</v>
      </c>
      <c r="E217" s="13">
        <v>42768.353171296294</v>
      </c>
      <c r="F217" s="13">
        <v>25568.708333333332</v>
      </c>
      <c r="G217" s="7">
        <v>1</v>
      </c>
      <c r="H217" s="21" t="s">
        <v>819</v>
      </c>
      <c r="I217" s="13">
        <v>25568.708333333332</v>
      </c>
      <c r="J217" s="7">
        <v>0</v>
      </c>
      <c r="K217" s="98" t="str">
        <f t="shared" si="57"/>
        <v>4019/4020</v>
      </c>
      <c r="L217" s="21" t="str">
        <f>VLOOKUP(A217,'Trips&amp;Operators'!$C$1:$G$99999,5,FALSE)</f>
        <v>SHOOK JOHN</v>
      </c>
      <c r="M217" s="6">
        <f t="shared" si="58"/>
        <v>0</v>
      </c>
      <c r="N217" s="7">
        <f t="shared" si="59"/>
        <v>0</v>
      </c>
      <c r="O217" s="7"/>
      <c r="P217" s="7"/>
      <c r="Q217" s="22"/>
      <c r="R217" s="22"/>
      <c r="S217" s="31">
        <f t="shared" si="60"/>
        <v>1</v>
      </c>
      <c r="T217" s="46" t="str">
        <f t="shared" si="61"/>
        <v>NorthBound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 t="shared" si="62"/>
        <v>https://d0f6bd738d7f1b3e5a7ca70fe4ff75f0.us-east-1.aws.found.io/app/kibana#/discover/Steve-Slow-Train-Analysis-(2080s-and-2083s)?_g=(refreshInterval:(display:Off,pause:!f,section:0,value:0),time:(from:'2017-02-02T07:28:34-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194" t="str">
        <f t="shared" si="63"/>
        <v>Y</v>
      </c>
      <c r="X217" s="194">
        <f t="shared" si="64"/>
        <v>1</v>
      </c>
      <c r="Y217" s="62">
        <f t="shared" si="65"/>
        <v>4.6600000000000003E-2</v>
      </c>
      <c r="Z217" s="62">
        <f t="shared" si="66"/>
        <v>2.4226999999999999</v>
      </c>
      <c r="AA217" s="62">
        <f t="shared" si="67"/>
        <v>2.3760999999999997</v>
      </c>
      <c r="AB217" s="59" t="e">
        <f>VLOOKUP(A217,Enforcements!$C$7:$K$16,8,0)</f>
        <v>#N/A</v>
      </c>
      <c r="AC217" s="55" t="e">
        <f>VLOOKUP(A217,Enforcements!$C$7:$E$16,3,0)</f>
        <v>#N/A</v>
      </c>
      <c r="AD217" s="56" t="str">
        <f t="shared" si="68"/>
        <v>0903-02</v>
      </c>
      <c r="AE217" s="85" t="str">
        <f t="shared" si="69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7" s="82" t="str">
        <f t="shared" si="70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6" t="str">
        <f t="shared" si="72"/>
        <v>"%USERPROFILE%\Documents\GitHub\eaglep3\Utilities\RefineRTDCRunTimes.py" --tripid 903-02 --locoid 4020 --swversion DE.1.0.8.0 --startMP 204:466 --initTime 2017-02-02T08:28:34 --startdatetime 1969-12-31T17:00:00 --delay 1 --endMP 300:24227 --enddatetime 1969-12-31T17:00:00 --enforcementcount 0 &gt;&gt;C:\Users\stu\Documents\GitHub\eaglep3-reporting\EC\2017-02-02-refined-times.txt</v>
      </c>
      <c r="AI217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{"issue":{"subject":"","project_id":79,"tracker_id":40,"status_id":1,"priority_id":2,"assigned_to_id":23,"start_date":"1969-12-31","description":"","custom_fields":[{"id":1,"name":"Subdivision","value":"Other"},{"id":4,"name":"Milepost","value":"2.4227"},{"id":17,"name":"Train ID","value":"903-02"},{"id":16,"name":"Locomotive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60" t="str">
        <f t="shared" si="74"/>
        <v>start /low /b %USERPROFILE%\Documents\GitHub\eaglep3\Utilities\DownloadLogsFromS3.py --loco 4020 --day 1969-12-31</v>
      </c>
      <c r="AN217" s="169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2017-02-02-UncaughtWiMAX.txt</v>
      </c>
    </row>
    <row r="218" spans="1:40" x14ac:dyDescent="0.25">
      <c r="A218" s="33" t="s">
        <v>455</v>
      </c>
      <c r="B218" s="7">
        <v>4019</v>
      </c>
      <c r="C218" s="21" t="s">
        <v>193</v>
      </c>
      <c r="D218" s="21" t="s">
        <v>820</v>
      </c>
      <c r="E218" s="13">
        <v>42768.648449074077</v>
      </c>
      <c r="F218" s="13">
        <v>42768.649548611109</v>
      </c>
      <c r="G218" s="7">
        <v>1</v>
      </c>
      <c r="H218" s="21" t="s">
        <v>821</v>
      </c>
      <c r="I218" s="13">
        <v>42768.65457175926</v>
      </c>
      <c r="J218" s="7">
        <v>0</v>
      </c>
      <c r="K218" s="98" t="str">
        <f t="shared" si="57"/>
        <v>4019/4020</v>
      </c>
      <c r="L218" s="21" t="str">
        <f>VLOOKUP(A218,'Trips&amp;Operators'!$C$1:$G$99999,5,FALSE)</f>
        <v>STORY SAMANTHA</v>
      </c>
      <c r="M218" s="6">
        <f t="shared" si="58"/>
        <v>5.02314815093996E-3</v>
      </c>
      <c r="N218" s="7">
        <f t="shared" si="59"/>
        <v>7.2333333373535424</v>
      </c>
      <c r="O218" s="7"/>
      <c r="P218" s="7"/>
      <c r="Q218" s="22"/>
      <c r="R218" s="22"/>
      <c r="S218" s="31">
        <f t="shared" si="60"/>
        <v>1</v>
      </c>
      <c r="T218" s="46" t="str">
        <f t="shared" si="61"/>
        <v>Southbound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 t="shared" si="62"/>
        <v>https://d0f6bd738d7f1b3e5a7ca70fe4ff75f0.us-east-1.aws.found.io/app/kibana#/discover/Steve-Slow-Train-Analysis-(2080s-and-2083s)?_g=(refreshInterval:(display:Off,pause:!f,section:0,value:0),time:(from:'2017-02-02T14:33:46-0700',mode:absolute,to:'2017-02-02T16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8" s="194" t="str">
        <f t="shared" si="63"/>
        <v>Y</v>
      </c>
      <c r="X218" s="194">
        <f t="shared" si="64"/>
        <v>1</v>
      </c>
      <c r="Y218" s="62">
        <f t="shared" si="65"/>
        <v>2.3228</v>
      </c>
      <c r="Z218" s="62">
        <f t="shared" si="66"/>
        <v>6.5000000000000002E-2</v>
      </c>
      <c r="AA218" s="62">
        <f t="shared" si="67"/>
        <v>2.2578</v>
      </c>
      <c r="AB218" s="59" t="e">
        <f>VLOOKUP(A218,Enforcements!$C$7:$K$16,8,0)</f>
        <v>#N/A</v>
      </c>
      <c r="AC218" s="55" t="e">
        <f>VLOOKUP(A218,Enforcements!$C$7:$E$16,3,0)</f>
        <v>#N/A</v>
      </c>
      <c r="AD218" s="56" t="str">
        <f t="shared" si="68"/>
        <v>0904-02</v>
      </c>
      <c r="AE218" s="85" t="str">
        <f t="shared" si="69"/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AF218" s="82" t="str">
        <f t="shared" si="70"/>
        <v>"C:\Program Files (x86)\AstroGrep\AstroGrep.exe" /spath="%USERPROFILE%\AppData\Local\Temp\OnboardLogs" /stypes="app*4019*20170202*" /stext=" 22:.+((SYSTEM_STATE.+slice.+state.+changed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6" t="str">
        <f t="shared" si="72"/>
        <v>"%USERPROFILE%\Documents\GitHub\eaglep3\Utilities\RefineRTDCRunTimes.py" --tripid 904-02 --locoid 4019 --swversion DE.1.0.8.0 --startMP 300:23228 --initTime 2017-02-02T15:33:46 --startdatetime 2017-02-02T15:35:21 --delay 1 --endMP 204:650 --enddatetime 2017-02-02T15:42:35 --enforcementcount 0 &gt;&gt;C:\Users\stu\Documents\GitHub\eaglep3-reporting\EC\2017-02-02-refined-times.txt</v>
      </c>
      <c r="AI218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{"issue":{"subject":"","project_id":79,"tracker_id":40,"status_id":1,"priority_id":2,"assigned_to_id":23,"start_date":"2017-02-02","description":"","custom_fields":[{"id":1,"name":"Subdivision","value":"Other"},{"id":4,"name":"Milepost","value":"0.065"},{"id":17,"name":"Train ID","value":"904-02"},{"id":16,"name":"Locomotive ID","value":"4019"},{"id":130,"name":"Impact","value":""},{"id":150,"name":"Time of Event (Mountain Time)","value":"15:42:35"},{"id":151,"name":"Denver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60" t="str">
        <f t="shared" si="74"/>
        <v>start /low /b %USERPROFILE%\Documents\GitHub\eaglep3\Utilities\DownloadLogsFromS3.py --loco 4019 --day 2017-02-02</v>
      </c>
      <c r="AN218" s="169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"%USERPROFILE%\AppData\Local\Temp\OnboardLogs"\RTDC4019\*4019*20170202* | grep -SE "(Enforcement Action)|(\[TIMEOUT)|(CHR.+\|PRM\|1\|D.+(SWITCH|SIGNAL).+UNKNOWN)" - &gt;&gt; 2017-02-02-UncaughtWiMAX.txt</v>
      </c>
    </row>
    <row r="219" spans="1:40" x14ac:dyDescent="0.25">
      <c r="A219" s="33" t="s">
        <v>672</v>
      </c>
      <c r="B219" s="7">
        <v>4004</v>
      </c>
      <c r="C219" s="21" t="s">
        <v>193</v>
      </c>
      <c r="D219" s="21" t="s">
        <v>792</v>
      </c>
      <c r="E219" s="13">
        <v>42768.945740740739</v>
      </c>
      <c r="F219" s="13">
        <v>42768.946944444448</v>
      </c>
      <c r="G219" s="7">
        <v>1</v>
      </c>
      <c r="H219" s="21" t="s">
        <v>822</v>
      </c>
      <c r="I219" s="13">
        <v>42768.95212962963</v>
      </c>
      <c r="J219" s="7">
        <v>0</v>
      </c>
      <c r="K219" s="98" t="str">
        <f t="shared" si="57"/>
        <v>4003/4004</v>
      </c>
      <c r="L219" s="21" t="str">
        <f>VLOOKUP(A219,'Trips&amp;Operators'!$C$1:$G$99999,5,FALSE)</f>
        <v>STORY SAMANTHA</v>
      </c>
      <c r="M219" s="6">
        <f t="shared" si="58"/>
        <v>5.1851851821993478E-3</v>
      </c>
      <c r="N219" s="7">
        <f t="shared" si="59"/>
        <v>7.4666666623670608</v>
      </c>
      <c r="O219" s="7"/>
      <c r="P219" s="7"/>
      <c r="Q219" s="22"/>
      <c r="R219" s="22"/>
      <c r="S219" s="31">
        <f t="shared" si="60"/>
        <v>0</v>
      </c>
      <c r="T219" s="46" t="str">
        <f t="shared" si="61"/>
        <v>Southbound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 t="shared" si="62"/>
        <v>https://d0f6bd738d7f1b3e5a7ca70fe4ff75f0.us-east-1.aws.found.io/app/kibana#/discover/Steve-Slow-Train-Analysis-(2080s-and-2083s)?_g=(refreshInterval:(display:Off,pause:!f,section:0,value:0),time:(from:'2017-02-02T21:41:52-0700',mode:absolute,to:'2017-02-02T23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9" s="194" t="str">
        <f t="shared" si="63"/>
        <v>Y</v>
      </c>
      <c r="X219" s="194">
        <f t="shared" si="64"/>
        <v>4</v>
      </c>
      <c r="Y219" s="62">
        <f t="shared" si="65"/>
        <v>5.8644999999999996</v>
      </c>
      <c r="Z219" s="62">
        <f t="shared" si="66"/>
        <v>2.1383999999999999</v>
      </c>
      <c r="AA219" s="62">
        <f t="shared" si="67"/>
        <v>3.7260999999999997</v>
      </c>
      <c r="AB219" s="59" t="e">
        <f>VLOOKUP(A219,Enforcements!$C$7:$K$16,8,0)</f>
        <v>#N/A</v>
      </c>
      <c r="AC219" s="55" t="e">
        <f>VLOOKUP(A219,Enforcements!$C$7:$E$16,3,0)</f>
        <v>#N/A</v>
      </c>
      <c r="AD219" s="56" t="str">
        <f t="shared" si="68"/>
        <v>0908-02</v>
      </c>
      <c r="AE219" s="85" t="str">
        <f t="shared" si="69"/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AF219" s="82" t="str">
        <f t="shared" si="70"/>
        <v>"C:\Program Files (x86)\AstroGrep\AstroGrep.exe" /spath="%USERPROFILE%\AppData\Local\Temp\OnboardLogs" /stypes="app*4004*20170203*" /stext=" 05:.+((SYSTEM_STATE.+slice.+state.+changed )|(ment ac)|(multiple cpu faults)|(system.+state.+changed )|(\[timeout)|(PRM\|1\|D)|(kpr)|(kdp)|(\|lc)|(penalty))" /e /r /s</v>
      </c>
      <c r="AG219" s="1" t="str">
        <f t="shared" si="71"/>
        <v>Other</v>
      </c>
      <c r="AH219" s="86" t="str">
        <f t="shared" si="72"/>
        <v>"%USERPROFILE%\Documents\GitHub\eaglep3\Utilities\RefineRTDCRunTimes.py" --tripid 908-02 --locoid 4004 --swversion DE.1.0.8.0 --startMP 300:58645 --initTime 2017-02-02T22:41:52 --startdatetime 2017-02-02T22:43:36 --delay 1 --endMP 300:21384 --enddatetime 2017-02-02T22:51:04 --enforcementcount 0 &gt;&gt;C:\Users\stu\Documents\GitHub\eaglep3-reporting\EC\2017-02-02-refined-times.txt</v>
      </c>
      <c r="AI219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{"issue":{"subject":"","project_id":79,"tracker_id":40,"status_id":1,"priority_id":2,"assigned_to_id":23,"start_date":"2017-02-02","description":"","custom_fields":[{"id":1,"name":"Subdivision","value":"Other"},{"id":4,"name":"Milepost","value":"2.1384"},{"id":17,"name":"Train ID","value":"908-02"},{"id":16,"name":"Locomotive ID","value":"4004"},{"id":130,"name":"Impact","value":""},{"id":150,"name":"Time of Event (Mountain Time)","value":"22:51:04"},{"id":151,"name":"Denver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60" t="str">
        <f t="shared" si="74"/>
        <v>start /low /b %USERPROFILE%\Documents\GitHub\eaglep3\Utilities\DownloadLogsFromS3.py --loco 4004 --day 2017-02-02</v>
      </c>
      <c r="AN219" s="169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"%USERPROFILE%\AppData\Local\Temp\OnboardLogs"\RTDC4004\*4004*20170203* | grep -SE "(Enforcement Action)|(\[TIMEOUT)|(CHR.+\|PRM\|1\|D.+(SWITCH|SIGNAL).+UNKNOWN)" - &gt;&gt; 2017-02-02-UncaughtWiMAX.txt</v>
      </c>
    </row>
    <row r="220" spans="1:40" x14ac:dyDescent="0.25">
      <c r="A220" s="33" t="s">
        <v>552</v>
      </c>
      <c r="B220" s="7">
        <v>4001</v>
      </c>
      <c r="C220" s="21" t="s">
        <v>193</v>
      </c>
      <c r="D220" s="21" t="s">
        <v>761</v>
      </c>
      <c r="E220" s="13">
        <v>42768.452824074076</v>
      </c>
      <c r="F220" s="13">
        <v>25568.708333333332</v>
      </c>
      <c r="G220" s="7">
        <v>9</v>
      </c>
      <c r="H220" s="21" t="s">
        <v>762</v>
      </c>
      <c r="I220" s="13">
        <v>25568.708333333332</v>
      </c>
      <c r="J220" s="7">
        <v>0</v>
      </c>
      <c r="K220" s="98" t="str">
        <f t="shared" si="57"/>
        <v>4001/4002</v>
      </c>
      <c r="L220" s="21" t="str">
        <f>VLOOKUP(A220,'Trips&amp;Operators'!$C$1:$G$99999,5,FALSE)</f>
        <v>SMITH MICHAEL</v>
      </c>
      <c r="M220" s="6">
        <f t="shared" si="58"/>
        <v>0</v>
      </c>
      <c r="N220" s="7">
        <f t="shared" si="59"/>
        <v>0</v>
      </c>
      <c r="O220" s="7"/>
      <c r="P220" s="7"/>
      <c r="Q220" s="22"/>
      <c r="R220" s="22"/>
      <c r="S220" s="31">
        <f t="shared" si="60"/>
        <v>0</v>
      </c>
      <c r="T220" s="46" t="e">
        <f t="shared" si="61"/>
        <v>#VALUE!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3" t="str">
        <f t="shared" si="62"/>
        <v>https://d0f6bd738d7f1b3e5a7ca70fe4ff75f0.us-east-1.aws.found.io/app/kibana#/discover/Steve-Slow-Train-Analysis-(2080s-and-2083s)?_g=(refreshInterval:(display:Off,pause:!f,section:0,value:0),time:(from:'2017-02-02T09:52:04-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0" s="194" t="str">
        <f t="shared" si="63"/>
        <v>Y</v>
      </c>
      <c r="X220" s="194" t="e">
        <f t="shared" si="64"/>
        <v>#VALUE!</v>
      </c>
      <c r="Y220" s="62">
        <f t="shared" si="65"/>
        <v>2.1844000000000001</v>
      </c>
      <c r="Z220" s="62">
        <f t="shared" si="66"/>
        <v>7.9000000000000008E-3</v>
      </c>
      <c r="AA220" s="62">
        <f t="shared" si="67"/>
        <v>2.1765000000000003</v>
      </c>
      <c r="AB220" s="59" t="e">
        <f>VLOOKUP(A220,Enforcements!$C$7:$K$16,8,0)</f>
        <v>#N/A</v>
      </c>
      <c r="AC220" s="55" t="e">
        <f>VLOOKUP(A220,Enforcements!$C$7:$E$16,3,0)</f>
        <v>#N/A</v>
      </c>
      <c r="AD220" s="56" t="str">
        <f t="shared" si="68"/>
        <v>52-02</v>
      </c>
      <c r="AE220" s="85" t="str">
        <f t="shared" si="69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20" s="82" t="str">
        <f t="shared" si="70"/>
        <v>"C:\Program Files (x86)\AstroGrep\AstroGrep.exe" /spath="%USERPROFILE%\AppData\Local\Temp\OnboardLogs" /stypes="app*4001*19700101*" /stext=" 00:.+((SYSTEM_STATE.+slice.+state.+changed )|(ment ac)|(multiple cpu faults)|(system.+state.+changed )|(\[timeout)|(PRM\|1\|D)|(kpr)|(kdp)|(\|lc)|(penalty))" /e /r /s</v>
      </c>
      <c r="AG220" s="1" t="str">
        <f t="shared" si="71"/>
        <v>Other</v>
      </c>
      <c r="AH220" s="86" t="str">
        <f t="shared" si="72"/>
        <v>"%USERPROFILE%\Documents\GitHub\eaglep3\Utilities\RefineRTDCRunTimes.py" --tripid 52-02 --locoid 4001 --swversion DE.1.0.8.0 --startMP 300:21844 --initTime 2017-02-02T10:52:04 --startdatetime 1969-12-31T17:00:00 --delay 9 --endMP 204:79 --enddatetime 1969-12-31T17:00:00 --enforcementcount 0 &gt;&gt;C:\Users\stu\Documents\GitHub\eaglep3-reporting\EC\2017-02-02-refined-times.txt</v>
      </c>
      <c r="AI220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{"issue":{"subject":"","project_id":79,"tracker_id":40,"status_id":1,"priority_id":2,"assigned_to_id":23,"start_date":"1969-12-31","description":"","custom_fields":[{"id":1,"name":"Subdivision","value":"Other"},{"id":4,"name":"Milepost","value":"0.0079"},{"id":17,"name":"Train ID","value":"52-02"},{"id":16,"name":"Locomotive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60" t="str">
        <f t="shared" si="74"/>
        <v>start /low /b %USERPROFILE%\Documents\GitHub\eaglep3\Utilities\DownloadLogsFromS3.py --loco 4001 --day 1969-12-31</v>
      </c>
      <c r="AN220" s="169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"%USERPROFILE%\AppData\Local\Temp\OnboardLogs"\RTDC4001\*4001*19700101* | grep -SE "(Enforcement Action)|(\[TIMEOUT)|(CHR.+\|PRM\|1\|D.+(SWITCH|SIGNAL).+UNKNOWN)" - &gt;&gt; 2017-02-02-UncaughtWiMAX.txt</v>
      </c>
    </row>
    <row r="221" spans="1:40" x14ac:dyDescent="0.25">
      <c r="A221" s="33" t="s">
        <v>562</v>
      </c>
      <c r="B221" s="7">
        <v>4002</v>
      </c>
      <c r="C221" s="21" t="s">
        <v>193</v>
      </c>
      <c r="D221" s="21" t="s">
        <v>763</v>
      </c>
      <c r="E221" s="13">
        <v>42768.484664351854</v>
      </c>
      <c r="F221" s="13">
        <v>42768.488877314812</v>
      </c>
      <c r="G221" s="7">
        <v>1</v>
      </c>
      <c r="H221" s="21" t="s">
        <v>764</v>
      </c>
      <c r="I221" s="13">
        <v>42768.494826388887</v>
      </c>
      <c r="J221" s="7">
        <v>0</v>
      </c>
      <c r="K221" s="98" t="str">
        <f t="shared" si="57"/>
        <v>4001/4002</v>
      </c>
      <c r="L221" s="21" t="str">
        <f>VLOOKUP(A221,'Trips&amp;Operators'!$C$1:$G$99999,5,FALSE)</f>
        <v>GEBRETEKLE DAGNEW</v>
      </c>
      <c r="M221" s="6">
        <f t="shared" si="58"/>
        <v>5.9490740750334226E-3</v>
      </c>
      <c r="N221" s="7">
        <f t="shared" si="59"/>
        <v>8.5666666680481285</v>
      </c>
      <c r="O221" s="7"/>
      <c r="P221" s="7"/>
      <c r="Q221" s="22"/>
      <c r="R221" s="22"/>
      <c r="S221" s="31">
        <f t="shared" si="60"/>
        <v>0</v>
      </c>
      <c r="T221" s="46" t="e">
        <f t="shared" si="61"/>
        <v>#VALUE!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3" t="str">
        <f t="shared" si="62"/>
        <v>https://d0f6bd738d7f1b3e5a7ca70fe4ff75f0.us-east-1.aws.found.io/app/kibana#/discover/Steve-Slow-Train-Analysis-(2080s-and-2083s)?_g=(refreshInterval:(display:Off,pause:!f,section:0,value:0),time:(from:'2017-02-02T10:37:55-0700',mode:absolute,to:'2017-02-02T12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1" s="194" t="str">
        <f t="shared" si="63"/>
        <v>Y</v>
      </c>
      <c r="X221" s="194" t="e">
        <f t="shared" si="64"/>
        <v>#VALUE!</v>
      </c>
      <c r="Y221" s="62">
        <f t="shared" si="65"/>
        <v>0.1229</v>
      </c>
      <c r="Z221" s="62">
        <f t="shared" si="66"/>
        <v>2.4247999999999998</v>
      </c>
      <c r="AA221" s="62">
        <f t="shared" si="67"/>
        <v>2.3018999999999998</v>
      </c>
      <c r="AB221" s="59" t="e">
        <f>VLOOKUP(A221,Enforcements!$C$7:$K$16,8,0)</f>
        <v>#N/A</v>
      </c>
      <c r="AC221" s="55" t="e">
        <f>VLOOKUP(A221,Enforcements!$C$7:$E$16,3,0)</f>
        <v>#N/A</v>
      </c>
      <c r="AD221" s="56" t="str">
        <f t="shared" si="68"/>
        <v>53-02</v>
      </c>
      <c r="AE221" s="85" t="str">
        <f t="shared" si="69"/>
        <v>aws s3 cp s3://rtdc.mdm.uploadarchive.raw/RTDC4002/ "%USERPROFILE%\AppData\Local\Temp\OnboardLogs"\RTDC4002\2017-02-02 --exclude "*" --recursive --include "*20170202*" &amp; "%USERPROFILE%\Documents\GitHub\mrs-test-scripts\Headless Mode &amp; Sideloading\WalkAndUnGZ.bat" "%USERPROFILE%\AppData\Local\Temp\OnboardLogs"\RTDC4002\2017-02-02 &amp; aws s3 cp s3://rtdc.mdm.uploadarchive.raw/RTDC4002/ "%USERPROFILE%\AppData\Local\Temp\OnboardLogs"\RTDC4002\2017-02-03 --exclude "*" --recursive --include "*20170203*" &amp; "%USERPROFILE%\Documents\GitHub\mrs-test-scripts\Headless Mode &amp; Sideloading\WalkAndUnGZ.bat" "%USERPROFILE%\AppData\Local\Temp\OnboardLogs"\RTDC4002\2017-02-03</v>
      </c>
      <c r="AF221" s="82" t="str">
        <f t="shared" si="70"/>
        <v>"C:\Program Files (x86)\AstroGrep\AstroGrep.exe" /spath="%USERPROFILE%\AppData\Local\Temp\OnboardLogs" /stypes="app*4002*20170202*" /stext=" 18:.+((SYSTEM_STATE.+slice.+state.+changed )|(ment ac)|(multiple cpu faults)|(system.+state.+changed )|(\[timeout)|(PRM\|1\|D)|(kpr)|(kdp)|(\|lc)|(penalty))" /e /r /s</v>
      </c>
      <c r="AG221" s="1" t="str">
        <f t="shared" si="71"/>
        <v>Other</v>
      </c>
      <c r="AH221" s="86" t="str">
        <f t="shared" si="72"/>
        <v>"%USERPROFILE%\Documents\GitHub\eaglep3\Utilities\RefineRTDCRunTimes.py" --tripid 53-02 --locoid 4002 --swversion DE.1.0.8.0 --startMP 204:1229 --initTime 2017-02-02T11:37:55 --startdatetime 2017-02-02T11:43:59 --delay 1 --endMP 300:24248 --enddatetime 2017-02-02T11:52:33 --enforcementcount 0 &gt;&gt;C:\Users\stu\Documents\GitHub\eaglep3-reporting\EC\2017-02-02-refined-times.txt</v>
      </c>
      <c r="AI221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{"issue":{"subject":"","project_id":79,"tracker_id":40,"status_id":1,"priority_id":2,"assigned_to_id":23,"start_date":"2017-02-02","description":"","custom_fields":[{"id":1,"name":"Subdivision","value":"Other"},{"id":4,"name":"Milepost","value":"2.4248"},{"id":17,"name":"Train ID","value":"53-02"},{"id":16,"name":"Locomotive ID","value":"4002"},{"id":130,"name":"Impact","value":""},{"id":150,"name":"Time of Event (Mountain Time)","value":"11:52:33"},{"id":151,"name":"Denver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60" t="str">
        <f t="shared" si="74"/>
        <v>start /low /b %USERPROFILE%\Documents\GitHub\eaglep3\Utilities\DownloadLogsFromS3.py --loco 4002 --day 2017-02-02</v>
      </c>
      <c r="AN221" s="169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"%USERPROFILE%\AppData\Local\Temp\OnboardLogs"\RTDC4002\*4002*20170202* | grep -SE "(Enforcement Action)|(\[TIMEOUT)|(CHR.+\|PRM\|1\|D.+(SWITCH|SIGNAL).+UNKNOWN)" - &gt;&gt; 2017-02-02-UncaughtWiMAX.txt</v>
      </c>
    </row>
    <row r="222" spans="1:40" x14ac:dyDescent="0.25">
      <c r="A222" s="33" t="s">
        <v>630</v>
      </c>
      <c r="B222" s="7">
        <v>4001</v>
      </c>
      <c r="C222" s="21" t="s">
        <v>193</v>
      </c>
      <c r="D222" s="21" t="s">
        <v>765</v>
      </c>
      <c r="E222" s="13">
        <v>42768.739155092589</v>
      </c>
      <c r="F222" s="13">
        <v>42768.740416666667</v>
      </c>
      <c r="G222" s="7">
        <v>1</v>
      </c>
      <c r="H222" s="21" t="s">
        <v>762</v>
      </c>
      <c r="I222" s="13">
        <v>42768.746770833335</v>
      </c>
      <c r="J222" s="7">
        <v>0</v>
      </c>
      <c r="K222" s="98" t="str">
        <f t="shared" si="57"/>
        <v>4001/4002</v>
      </c>
      <c r="L222" s="21" t="str">
        <f>VLOOKUP(A222,'Trips&amp;Operators'!$C$1:$G$99999,5,FALSE)</f>
        <v>MACDONALD THOMAS</v>
      </c>
      <c r="M222" s="6">
        <f t="shared" si="58"/>
        <v>6.3541666677338071E-3</v>
      </c>
      <c r="N222" s="7">
        <f t="shared" si="59"/>
        <v>9.1500000015366822</v>
      </c>
      <c r="O222" s="7"/>
      <c r="P222" s="7"/>
      <c r="Q222" s="22"/>
      <c r="R222" s="22"/>
      <c r="S222" s="31">
        <f t="shared" si="60"/>
        <v>0</v>
      </c>
      <c r="T222" s="46" t="e">
        <f t="shared" si="61"/>
        <v>#VALUE!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3" t="str">
        <f t="shared" si="62"/>
        <v>https://d0f6bd738d7f1b3e5a7ca70fe4ff75f0.us-east-1.aws.found.io/app/kibana#/discover/Steve-Slow-Train-Analysis-(2080s-and-2083s)?_g=(refreshInterval:(display:Off,pause:!f,section:0,value:0),time:(from:'2017-02-02T16:44:23-0700',mode:absolute,to:'2017-02-02T18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2" s="194" t="str">
        <f t="shared" si="63"/>
        <v>Y</v>
      </c>
      <c r="X222" s="194" t="e">
        <f t="shared" si="64"/>
        <v>#VALUE!</v>
      </c>
      <c r="Y222" s="62">
        <f t="shared" si="65"/>
        <v>2.3169</v>
      </c>
      <c r="Z222" s="62">
        <f t="shared" si="66"/>
        <v>7.9000000000000008E-3</v>
      </c>
      <c r="AA222" s="62">
        <f t="shared" si="67"/>
        <v>2.3090000000000002</v>
      </c>
      <c r="AB222" s="59" t="e">
        <f>VLOOKUP(A222,Enforcements!$C$7:$K$16,8,0)</f>
        <v>#N/A</v>
      </c>
      <c r="AC222" s="55" t="e">
        <f>VLOOKUP(A222,Enforcements!$C$7:$E$16,3,0)</f>
        <v>#N/A</v>
      </c>
      <c r="AD222" s="56" t="str">
        <f t="shared" si="68"/>
        <v>74-02</v>
      </c>
      <c r="AE222" s="85" t="str">
        <f t="shared" si="69"/>
        <v>aws s3 cp s3://rtdc.mdm.uploadarchive.raw/RTDC4001/ "%USERPROFILE%\AppData\Local\Temp\OnboardLogs"\RTDC4001\2017-02-02 --exclude "*" --recursive --include "*20170202*" &amp; "%USERPROFILE%\Documents\GitHub\mrs-test-scripts\Headless Mode &amp; Sideloading\WalkAndUnGZ.bat" "%USERPROFILE%\AppData\Local\Temp\OnboardLogs"\RTDC4001\2017-02-02 &amp; aws s3 cp s3://rtdc.mdm.uploadarchive.raw/RTDC4001/ "%USERPROFILE%\AppData\Local\Temp\OnboardLogs"\RTDC4001\2017-02-03 --exclude "*" --recursive --include "*20170203*" &amp; "%USERPROFILE%\Documents\GitHub\mrs-test-scripts\Headless Mode &amp; Sideloading\WalkAndUnGZ.bat" "%USERPROFILE%\AppData\Local\Temp\OnboardLogs"\RTDC4001\2017-02-03</v>
      </c>
      <c r="AF222" s="82" t="str">
        <f t="shared" si="70"/>
        <v>"C:\Program Files (x86)\AstroGrep\AstroGrep.exe" /spath="%USERPROFILE%\AppData\Local\Temp\OnboardLogs" /stypes="app*4001*20170203*" /stext=" 00:.+((SYSTEM_STATE.+slice.+state.+changed )|(ment ac)|(multiple cpu faults)|(system.+state.+changed )|(\[timeout)|(PRM\|1\|D)|(kpr)|(kdp)|(\|lc)|(penalty))" /e /r /s</v>
      </c>
      <c r="AG222" s="1" t="str">
        <f t="shared" si="71"/>
        <v>Other</v>
      </c>
      <c r="AH222" s="86" t="str">
        <f t="shared" si="72"/>
        <v>"%USERPROFILE%\Documents\GitHub\eaglep3\Utilities\RefineRTDCRunTimes.py" --tripid 74-02 --locoid 4001 --swversion DE.1.0.8.0 --startMP 300:23169 --initTime 2017-02-02T17:44:23 --startdatetime 2017-02-02T17:46:12 --delay 1 --endMP 204:79 --enddatetime 2017-02-02T17:55:21 --enforcementcount 0 &gt;&gt;C:\Users\stu\Documents\GitHub\eaglep3-reporting\EC\2017-02-02-refined-times.txt</v>
      </c>
      <c r="AI222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{"issue":{"subject":"","project_id":79,"tracker_id":40,"status_id":1,"priority_id":2,"assigned_to_id":23,"start_date":"2017-02-02","description":"","custom_fields":[{"id":1,"name":"Subdivision","value":"Other"},{"id":4,"name":"Milepost","value":"0.0079"},{"id":17,"name":"Train ID","value":"74-02"},{"id":16,"name":"Locomotive ID","value":"4001"},{"id":130,"name":"Impact","value":""},{"id":150,"name":"Time of Event (Mountain Time)","value":"17:55:21"},{"id":151,"name":"Denver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60" t="str">
        <f t="shared" si="74"/>
        <v>start /low /b %USERPROFILE%\Documents\GitHub\eaglep3\Utilities\DownloadLogsFromS3.py --loco 4001 --day 2017-02-02</v>
      </c>
      <c r="AN222" s="169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"%USERPROFILE%\AppData\Local\Temp\OnboardLogs"\RTDC4001\*4001*20170203* | grep -SE "(Enforcement Action)|(\[TIMEOUT)|(CHR.+\|PRM\|1\|D.+(SWITCH|SIGNAL).+UNKNOWN)" - &gt;&gt; 2017-02-02-UncaughtWiMAX.txt</v>
      </c>
    </row>
    <row r="223" spans="1:40" x14ac:dyDescent="0.25">
      <c r="A223" s="33" t="s">
        <v>621</v>
      </c>
      <c r="B223" s="7">
        <v>4018</v>
      </c>
      <c r="C223" s="21" t="s">
        <v>193</v>
      </c>
      <c r="D223" s="21" t="s">
        <v>766</v>
      </c>
      <c r="E223" s="13">
        <v>42768.719722222224</v>
      </c>
      <c r="F223" s="13">
        <v>25568.708333333332</v>
      </c>
      <c r="G223" s="7">
        <v>1</v>
      </c>
      <c r="H223" s="21" t="s">
        <v>767</v>
      </c>
      <c r="I223" s="13">
        <v>25568.708333333332</v>
      </c>
      <c r="J223" s="7">
        <v>0</v>
      </c>
      <c r="K223" s="98" t="str">
        <f t="shared" si="57"/>
        <v>4017/4018</v>
      </c>
      <c r="L223" s="21" t="str">
        <f>VLOOKUP(A223,'Trips&amp;Operators'!$C$1:$G$99999,5,FALSE)</f>
        <v>MOSES BRADLEY</v>
      </c>
      <c r="M223" s="6">
        <f t="shared" si="58"/>
        <v>0</v>
      </c>
      <c r="N223" s="7">
        <f t="shared" si="59"/>
        <v>0</v>
      </c>
      <c r="O223" s="7"/>
      <c r="P223" s="7"/>
      <c r="Q223" s="22"/>
      <c r="R223" s="22"/>
      <c r="S223" s="31">
        <f t="shared" si="60"/>
        <v>0</v>
      </c>
      <c r="T223" s="46" t="e">
        <f t="shared" si="61"/>
        <v>#VALUE!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3" t="str">
        <f t="shared" si="62"/>
        <v>https://d0f6bd738d7f1b3e5a7ca70fe4ff75f0.us-east-1.aws.found.io/app/kibana#/discover/Steve-Slow-Train-Analysis-(2080s-and-2083s)?_g=(refreshInterval:(display:Off,pause:!f,section:0,value:0),time:(from:'2017-02-02T16:16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3" s="194" t="str">
        <f t="shared" si="63"/>
        <v>Y</v>
      </c>
      <c r="X223" s="194" t="e">
        <f t="shared" si="64"/>
        <v>#VALUE!</v>
      </c>
      <c r="Y223" s="62">
        <f t="shared" si="65"/>
        <v>0.14810000000000001</v>
      </c>
      <c r="Z223" s="62">
        <f t="shared" si="66"/>
        <v>2.3296999999999999</v>
      </c>
      <c r="AA223" s="62">
        <f t="shared" si="67"/>
        <v>2.1816</v>
      </c>
      <c r="AB223" s="59" t="e">
        <f>VLOOKUP(A223,Enforcements!$C$7:$K$16,8,0)</f>
        <v>#N/A</v>
      </c>
      <c r="AC223" s="55" t="e">
        <f>VLOOKUP(A223,Enforcements!$C$7:$E$16,3,0)</f>
        <v>#N/A</v>
      </c>
      <c r="AD223" s="56" t="str">
        <f t="shared" si="68"/>
        <v>75-02</v>
      </c>
      <c r="AE223" s="85" t="str">
        <f t="shared" si="69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3" s="82" t="str">
        <f t="shared" si="70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3" s="1" t="str">
        <f t="shared" si="71"/>
        <v>Other</v>
      </c>
      <c r="AH223" s="86" t="str">
        <f t="shared" si="72"/>
        <v>"%USERPROFILE%\Documents\GitHub\eaglep3\Utilities\RefineRTDCRunTimes.py" --tripid 75-02 --locoid 4018 --swversion DE.1.0.8.0 --startMP 204:1481 --initTime 2017-02-02T17:16:24 --startdatetime 1969-12-31T17:00:00 --delay 1 --endMP 300:23297 --enddatetime 1969-12-31T17:00:00 --enforcementcount 0 &gt;&gt;C:\Users\stu\Documents\GitHub\eaglep3-reporting\EC\2017-02-02-refined-times.txt</v>
      </c>
      <c r="AI223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ID","value":"75-02"},{"id":16,"name":"Locomotive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60" t="str">
        <f t="shared" si="74"/>
        <v>start /low /b %USERPROFILE%\Documents\GitHub\eaglep3\Utilities\DownloadLogsFromS3.py --loco 4018 --day 1969-12-31</v>
      </c>
      <c r="AN223" s="169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2017-02-02-UncaughtWiMAX.txt</v>
      </c>
    </row>
    <row r="224" spans="1:40" x14ac:dyDescent="0.25">
      <c r="A224" s="33" t="s">
        <v>637</v>
      </c>
      <c r="B224" s="7">
        <v>4045</v>
      </c>
      <c r="C224" s="21" t="s">
        <v>193</v>
      </c>
      <c r="D224" s="21" t="s">
        <v>768</v>
      </c>
      <c r="E224" s="13">
        <v>42768.759502314817</v>
      </c>
      <c r="F224" s="13">
        <v>42768.760821759257</v>
      </c>
      <c r="G224" s="7">
        <v>1</v>
      </c>
      <c r="H224" s="21" t="s">
        <v>769</v>
      </c>
      <c r="I224" s="13">
        <v>42768.766527777778</v>
      </c>
      <c r="J224" s="7">
        <v>0</v>
      </c>
      <c r="K224" s="98" t="str">
        <f t="shared" si="57"/>
        <v>4045/4046</v>
      </c>
      <c r="L224" s="21" t="str">
        <f>VLOOKUP(A224,'Trips&amp;Operators'!$C$1:$G$99999,5,FALSE)</f>
        <v>YANG JAN</v>
      </c>
      <c r="M224" s="6">
        <f t="shared" si="58"/>
        <v>5.7060185208683833E-3</v>
      </c>
      <c r="N224" s="7">
        <f t="shared" si="59"/>
        <v>8.216666670050472</v>
      </c>
      <c r="O224" s="7"/>
      <c r="P224" s="7"/>
      <c r="Q224" s="22"/>
      <c r="R224" s="22"/>
      <c r="S224" s="31">
        <f t="shared" si="60"/>
        <v>0</v>
      </c>
      <c r="T224" s="46" t="e">
        <f t="shared" si="61"/>
        <v>#VALUE!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3" t="str">
        <f t="shared" si="62"/>
        <v>https://d0f6bd738d7f1b3e5a7ca70fe4ff75f0.us-east-1.aws.found.io/app/kibana#/discover/Steve-Slow-Train-Analysis-(2080s-and-2083s)?_g=(refreshInterval:(display:Off,pause:!f,section:0,value:0),time:(from:'2017-02-02T17:13:41-0700',mode:absolute,to:'2017-02-02T19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4" s="194" t="str">
        <f t="shared" si="63"/>
        <v>Y</v>
      </c>
      <c r="X224" s="194" t="e">
        <f t="shared" si="64"/>
        <v>#VALUE!</v>
      </c>
      <c r="Y224" s="62">
        <f t="shared" si="65"/>
        <v>2.1974999999999998</v>
      </c>
      <c r="Z224" s="62">
        <f t="shared" si="66"/>
        <v>9.7699999999999995E-2</v>
      </c>
      <c r="AA224" s="62">
        <f t="shared" si="67"/>
        <v>2.0997999999999997</v>
      </c>
      <c r="AB224" s="59" t="e">
        <f>VLOOKUP(A224,Enforcements!$C$7:$K$16,8,0)</f>
        <v>#N/A</v>
      </c>
      <c r="AC224" s="55" t="e">
        <f>VLOOKUP(A224,Enforcements!$C$7:$E$16,3,0)</f>
        <v>#N/A</v>
      </c>
      <c r="AD224" s="56" t="str">
        <f t="shared" si="68"/>
        <v>76-02</v>
      </c>
      <c r="AE224" s="85" t="str">
        <f t="shared" si="69"/>
        <v>aws s3 cp s3://rtdc.mdm.uploadarchive.raw/RTDC4045/ "%USERPROFILE%\AppData\Local\Temp\OnboardLogs"\RTDC4045\2017-02-02 --exclude "*" --recursive --include "*20170202*" &amp; "%USERPROFILE%\Documents\GitHub\mrs-test-scripts\Headless Mode &amp; Sideloading\WalkAndUnGZ.bat" "%USERPROFILE%\AppData\Local\Temp\OnboardLogs"\RTDC4045\2017-02-02 &amp; aws s3 cp s3://rtdc.mdm.uploadarchive.raw/RTDC4045/ "%USERPROFILE%\AppData\Local\Temp\OnboardLogs"\RTDC4045\2017-02-03 --exclude "*" --recursive --include "*20170203*" &amp; "%USERPROFILE%\Documents\GitHub\mrs-test-scripts\Headless Mode &amp; Sideloading\WalkAndUnGZ.bat" "%USERPROFILE%\AppData\Local\Temp\OnboardLogs"\RTDC4045\2017-02-03</v>
      </c>
      <c r="AF224" s="82" t="str">
        <f t="shared" si="70"/>
        <v>"C:\Program Files (x86)\AstroGrep\AstroGrep.exe" /spath="%USERPROFILE%\AppData\Local\Temp\OnboardLogs" /stypes="app*4045*20170203*" /stext=" 01:.+((SYSTEM_STATE.+slice.+state.+changed )|(ment ac)|(multiple cpu faults)|(system.+state.+changed )|(\[timeout)|(PRM\|1\|D)|(kpr)|(kdp)|(\|lc)|(penalty))" /e /r /s</v>
      </c>
      <c r="AG224" s="1" t="str">
        <f t="shared" si="71"/>
        <v>Other</v>
      </c>
      <c r="AH224" s="86" t="str">
        <f t="shared" si="72"/>
        <v>"%USERPROFILE%\Documents\GitHub\eaglep3\Utilities\RefineRTDCRunTimes.py" --tripid 76-02 --locoid 4045 --swversion DE.1.0.8.0 --startMP 300:21975 --initTime 2017-02-02T18:13:41 --startdatetime 2017-02-02T18:15:35 --delay 1 --endMP 204:977 --enddatetime 2017-02-02T18:23:48 --enforcementcount 0 &gt;&gt;C:\Users\stu\Documents\GitHub\eaglep3-reporting\EC\2017-02-02-refined-times.txt</v>
      </c>
      <c r="AI224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{"issue":{"subject":"","project_id":79,"tracker_id":40,"status_id":1,"priority_id":2,"assigned_to_id":23,"start_date":"2017-02-02","description":"","custom_fields":[{"id":1,"name":"Subdivision","value":"Other"},{"id":4,"name":"Milepost","value":"0.0977"},{"id":17,"name":"Train ID","value":"76-02"},{"id":16,"name":"Locomotive ID","value":"4045"},{"id":130,"name":"Impact","value":""},{"id":150,"name":"Time of Event (Mountain Time)","value":"18:23:48"},{"id":151,"name":"Denver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60" t="str">
        <f t="shared" si="74"/>
        <v>start /low /b %USERPROFILE%\Documents\GitHub\eaglep3\Utilities\DownloadLogsFromS3.py --loco 4045 --day 2017-02-02</v>
      </c>
      <c r="AN224" s="169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"%USERPROFILE%\AppData\Local\Temp\OnboardLogs"\RTDC4045\*4045*20170203* | grep -SE "(Enforcement Action)|(\[TIMEOUT)|(CHR.+\|PRM\|1\|D.+(SWITCH|SIGNAL).+UNKNOWN)" - &gt;&gt; 2017-02-02-UncaughtWiMAX.txt</v>
      </c>
    </row>
    <row r="225" spans="1:40" x14ac:dyDescent="0.25">
      <c r="A225" s="33" t="s">
        <v>640</v>
      </c>
      <c r="B225" s="7">
        <v>4002</v>
      </c>
      <c r="C225" s="21" t="s">
        <v>193</v>
      </c>
      <c r="D225" s="21" t="s">
        <v>770</v>
      </c>
      <c r="E225" s="13">
        <v>42768.759074074071</v>
      </c>
      <c r="F225" s="13">
        <v>25568.708333333332</v>
      </c>
      <c r="G225" s="7">
        <v>2</v>
      </c>
      <c r="H225" s="21" t="s">
        <v>354</v>
      </c>
      <c r="I225" s="13">
        <v>25568.708333333332</v>
      </c>
      <c r="J225" s="7">
        <v>0</v>
      </c>
      <c r="K225" s="98" t="str">
        <f t="shared" si="57"/>
        <v>4001/4002</v>
      </c>
      <c r="L225" s="21" t="str">
        <f>VLOOKUP(A225,'Trips&amp;Operators'!$C$1:$G$99999,5,FALSE)</f>
        <v>SWANSON BRYCE</v>
      </c>
      <c r="M225" s="6">
        <f t="shared" si="58"/>
        <v>0</v>
      </c>
      <c r="N225" s="7">
        <f t="shared" si="59"/>
        <v>0</v>
      </c>
      <c r="O225" s="7"/>
      <c r="P225" s="7"/>
      <c r="Q225" s="22"/>
      <c r="R225" s="22"/>
      <c r="S225" s="31">
        <f t="shared" si="60"/>
        <v>0</v>
      </c>
      <c r="T225" s="46" t="e">
        <f t="shared" si="61"/>
        <v>#VALUE!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3" t="str">
        <f t="shared" si="62"/>
        <v>https://d0f6bd738d7f1b3e5a7ca70fe4ff75f0.us-east-1.aws.found.io/app/kibana#/discover/Steve-Slow-Train-Analysis-(2080s-and-2083s)?_g=(refreshInterval:(display:Off,pause:!f,section:0,value:0),time:(from:'2017-02-02T17:13:04-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5" s="194" t="str">
        <f t="shared" si="63"/>
        <v>Y</v>
      </c>
      <c r="X225" s="194" t="e">
        <f t="shared" si="64"/>
        <v>#VALUE!</v>
      </c>
      <c r="Y225" s="62">
        <f t="shared" si="65"/>
        <v>3.7199999999999997E-2</v>
      </c>
      <c r="Z225" s="62">
        <f t="shared" si="66"/>
        <v>2.3346</v>
      </c>
      <c r="AA225" s="62">
        <f t="shared" si="67"/>
        <v>2.2974000000000001</v>
      </c>
      <c r="AB225" s="59" t="e">
        <f>VLOOKUP(A225,Enforcements!$C$7:$K$16,8,0)</f>
        <v>#N/A</v>
      </c>
      <c r="AC225" s="55" t="e">
        <f>VLOOKUP(A225,Enforcements!$C$7:$E$16,3,0)</f>
        <v>#N/A</v>
      </c>
      <c r="AD225" s="56" t="str">
        <f t="shared" si="68"/>
        <v>77-02</v>
      </c>
      <c r="AE225" s="85" t="str">
        <f t="shared" si="69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25" s="82" t="str">
        <f t="shared" si="70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25" s="1" t="str">
        <f t="shared" si="71"/>
        <v>Other</v>
      </c>
      <c r="AH225" s="86" t="str">
        <f t="shared" si="72"/>
        <v>"%USERPROFILE%\Documents\GitHub\eaglep3\Utilities\RefineRTDCRunTimes.py" --tripid 77-02 --locoid 4002 --swversion DE.1.0.8.0 --startMP 204:372 --initTime 2017-02-02T18:13:04 --startdatetime 1969-12-31T17:00:00 --delay 2 --endMP 300:23346 --enddatetime 1969-12-31T17:00:00 --enforcementcount 0 &gt;&gt;C:\Users\stu\Documents\GitHub\eaglep3-reporting\EC\2017-02-02-refined-times.txt</v>
      </c>
      <c r="AI225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ID","value":"77-02"},{"id":16,"name":"Locomotive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60" t="str">
        <f t="shared" si="74"/>
        <v>start /low /b %USERPROFILE%\Documents\GitHub\eaglep3\Utilities\DownloadLogsFromS3.py --loco 4002 --day 1969-12-31</v>
      </c>
      <c r="AN225" s="169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2017-02-02-UncaughtWiMAX.txt</v>
      </c>
    </row>
    <row r="226" spans="1:40" x14ac:dyDescent="0.25">
      <c r="A226" s="33" t="s">
        <v>464</v>
      </c>
      <c r="B226" s="7">
        <v>4057</v>
      </c>
      <c r="C226" s="21" t="s">
        <v>193</v>
      </c>
      <c r="D226" s="21" t="s">
        <v>808</v>
      </c>
      <c r="E226" s="13">
        <v>42768.886018518519</v>
      </c>
      <c r="F226" s="13">
        <v>42768.90556712963</v>
      </c>
      <c r="G226" s="7">
        <v>1</v>
      </c>
      <c r="H226" s="21">
        <v>8.5284722222222218</v>
      </c>
      <c r="I226" s="13">
        <v>42768.931979166664</v>
      </c>
      <c r="J226" s="7">
        <v>0</v>
      </c>
      <c r="K226" s="98" t="str">
        <f t="shared" si="57"/>
        <v>4057/4058</v>
      </c>
      <c r="L226" s="21" t="str">
        <f>VLOOKUP(A226,'Trips&amp;Operators'!$C$1:$G$99999,5,FALSE)</f>
        <v>SIMMONS SHYHESHA</v>
      </c>
      <c r="M226" s="6">
        <f t="shared" si="58"/>
        <v>2.6412037033878732E-2</v>
      </c>
      <c r="N226" s="7">
        <f t="shared" si="59"/>
        <v>38.033333328785375</v>
      </c>
      <c r="O226" s="7"/>
      <c r="P226" s="7"/>
      <c r="Q226" s="22"/>
      <c r="R226" s="22"/>
      <c r="S226" s="31">
        <f t="shared" si="60"/>
        <v>0</v>
      </c>
      <c r="T226" s="46" t="e">
        <f t="shared" si="61"/>
        <v>#VALUE!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3" t="str">
        <f t="shared" si="62"/>
        <v>https://d0f6bd738d7f1b3e5a7ca70fe4ff75f0.us-east-1.aws.found.io/app/kibana#/discover/Steve-Slow-Train-Analysis-(2080s-and-2083s)?_g=(refreshInterval:(display:Off,pause:!f,section:0,value:0),time:(from:'2017-02-02T20:15:52-0700',mode:absolute,to:'2017-02-02T23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6" s="194" t="str">
        <f t="shared" si="63"/>
        <v>N</v>
      </c>
      <c r="X226" s="194" t="e">
        <f t="shared" si="64"/>
        <v>#VALUE!</v>
      </c>
      <c r="Y226" s="62">
        <f t="shared" si="65"/>
        <v>2.1549</v>
      </c>
      <c r="Z226" s="62">
        <f t="shared" si="66"/>
        <v>84722222.222200006</v>
      </c>
      <c r="AA226" s="62">
        <f t="shared" si="67"/>
        <v>84722220.067300007</v>
      </c>
      <c r="AB226" s="59" t="e">
        <f>VLOOKUP(A226,Enforcements!$C$7:$K$16,8,0)</f>
        <v>#N/A</v>
      </c>
      <c r="AC226" s="55" t="e">
        <f>VLOOKUP(A226,Enforcements!$C$7:$E$16,3,0)</f>
        <v>#N/A</v>
      </c>
      <c r="AD226" s="56" t="str">
        <f t="shared" si="68"/>
        <v>84-02</v>
      </c>
      <c r="AE226" s="85" t="str">
        <f t="shared" si="69"/>
        <v>aws s3 cp s3://rtdc.mdm.uploadarchive.raw/RTDC4057/ "%USERPROFILE%\AppData\Local\Temp\OnboardLogs"\RTDC4057\2017-02-02 --exclude "*" --recursive --include "*20170202*" &amp; "%USERPROFILE%\Documents\GitHub\mrs-test-scripts\Headless Mode &amp; Sideloading\WalkAndUnGZ.bat" "%USERPROFILE%\AppData\Local\Temp\OnboardLogs"\RTDC4057\2017-02-02 &amp; 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</v>
      </c>
      <c r="AF226" s="82" t="str">
        <f t="shared" si="70"/>
        <v>"C:\Program Files (x86)\AstroGrep\AstroGrep.exe" /spath="%USERPROFILE%\AppData\Local\Temp\OnboardLogs" /stypes="app*4057*20170203*" /stext=" 05:.+((SYSTEM_STATE.+slice.+state.+changed )|(ment ac)|(multiple cpu faults)|(system.+state.+changed )|(\[timeout)|(PRM\|1\|D)|(kpr)|(kdp)|(\|lc)|(penalty))" /e /r /s</v>
      </c>
      <c r="AG226" s="1" t="str">
        <f t="shared" si="71"/>
        <v>Other</v>
      </c>
      <c r="AH226" s="86" t="str">
        <f t="shared" si="72"/>
        <v>"%USERPROFILE%\Documents\GitHub\eaglep3\Utilities\RefineRTDCRunTimes.py" --tripid 84-02 --locoid 4057 --swversion DE.1.0.8.0 --startMP 300:21549 --initTime 2017-02-02T21:15:52 --startdatetime 2017-02-02T21:44:01 --delay 1 --endMP 8.52847222222222 --enddatetime 2017-02-02T22:22:03 --enforcementcount 0 &gt;&gt;C:\Users\stu\Documents\GitHub\eaglep3-reporting\EC\2017-02-02-refined-times.txt</v>
      </c>
      <c r="AI226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84722222.2222"},{"id":17,"name":"Train ID","value":"84-02"},{"id":16,"name":"Locomotive ID","value":"4057"},{"id":130,"name":"Impact","value":""},{"id":150,"name":"Time of Event (Mountain Time)","value":"22:22:03"},{"id":151,"name":"Denver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60" t="str">
        <f t="shared" si="74"/>
        <v>start /low /b %USERPROFILE%\Documents\GitHub\eaglep3\Utilities\DownloadLogsFromS3.py --loco 4057 --day 2017-02-02</v>
      </c>
      <c r="AN226" s="169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2017-02-02-UncaughtWiMAX.txt</v>
      </c>
    </row>
    <row r="227" spans="1:40" x14ac:dyDescent="0.25">
      <c r="A227" s="33" t="s">
        <v>666</v>
      </c>
      <c r="B227" s="7">
        <v>4055</v>
      </c>
      <c r="C227" s="21" t="s">
        <v>193</v>
      </c>
      <c r="D227" s="21" t="s">
        <v>817</v>
      </c>
      <c r="E227" s="13">
        <v>42768.902442129627</v>
      </c>
      <c r="F227" s="13">
        <v>42768.90556712963</v>
      </c>
      <c r="G227" s="7">
        <v>1</v>
      </c>
      <c r="H227" s="21" t="s">
        <v>416</v>
      </c>
      <c r="I227" s="13">
        <v>42768.931979166664</v>
      </c>
      <c r="J227" s="7">
        <v>0</v>
      </c>
      <c r="K227" s="98" t="str">
        <f t="shared" si="57"/>
        <v>4055/4056</v>
      </c>
      <c r="L227" s="21" t="str">
        <f>VLOOKUP(A227,'Trips&amp;Operators'!$C$1:$G$99999,5,FALSE)</f>
        <v>SIMMONS SHYHESHA</v>
      </c>
      <c r="M227" s="6">
        <f t="shared" si="58"/>
        <v>2.6412037033878732E-2</v>
      </c>
      <c r="N227" s="7">
        <f t="shared" si="59"/>
        <v>38.033333328785375</v>
      </c>
      <c r="O227" s="7"/>
      <c r="P227" s="7"/>
      <c r="Q227" s="22"/>
      <c r="R227" s="22"/>
      <c r="S227" s="31">
        <f t="shared" si="60"/>
        <v>0</v>
      </c>
      <c r="T227" s="46" t="e">
        <f t="shared" si="61"/>
        <v>#VALUE!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3" t="str">
        <f t="shared" si="62"/>
        <v>https://d0f6bd738d7f1b3e5a7ca70fe4ff75f0.us-east-1.aws.found.io/app/kibana#/discover/Steve-Slow-Train-Analysis-(2080s-and-2083s)?_g=(refreshInterval:(display:Off,pause:!f,section:0,value:0),time:(from:'2017-02-02T20:39:31-0700',mode:absolute,to:'2017-02-02T23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7" s="194" t="str">
        <f t="shared" si="63"/>
        <v>N</v>
      </c>
      <c r="X227" s="194" t="e">
        <f t="shared" si="64"/>
        <v>#VALUE!</v>
      </c>
      <c r="Y227" s="62">
        <f t="shared" si="65"/>
        <v>6.1400000000000003E-2</v>
      </c>
      <c r="Z227" s="62">
        <f t="shared" si="66"/>
        <v>23.328900000000001</v>
      </c>
      <c r="AA227" s="62">
        <f t="shared" si="67"/>
        <v>23.267500000000002</v>
      </c>
      <c r="AB227" s="59" t="e">
        <f>VLOOKUP(A227,Enforcements!$C$7:$K$16,8,0)</f>
        <v>#N/A</v>
      </c>
      <c r="AC227" s="55" t="e">
        <f>VLOOKUP(A227,Enforcements!$C$7:$E$16,3,0)</f>
        <v>#N/A</v>
      </c>
      <c r="AD227" s="56" t="str">
        <f t="shared" si="68"/>
        <v>85-02</v>
      </c>
      <c r="AE227" s="85" t="str">
        <f t="shared" si="69"/>
        <v>aws s3 cp s3://rtdc.mdm.uploadarchive.raw/RTDC4055/ "%USERPROFILE%\AppData\Local\Temp\OnboardLogs"\RTDC4055\2017-02-02 --exclude "*" --recursive --include "*20170202*" &amp; "%USERPROFILE%\Documents\GitHub\mrs-test-scripts\Headless Mode &amp; Sideloading\WalkAndUnGZ.bat" "%USERPROFILE%\AppData\Local\Temp\OnboardLogs"\RTDC4055\2017-02-02 &amp; aws s3 cp s3://rtdc.mdm.uploadarchive.raw/RTDC4055/ "%USERPROFILE%\AppData\Local\Temp\OnboardLogs"\RTDC4055\2017-02-03 --exclude "*" --recursive --include "*20170203*" &amp; "%USERPROFILE%\Documents\GitHub\mrs-test-scripts\Headless Mode &amp; Sideloading\WalkAndUnGZ.bat" "%USERPROFILE%\AppData\Local\Temp\OnboardLogs"\RTDC4055\2017-02-03</v>
      </c>
      <c r="AF227" s="82" t="str">
        <f t="shared" si="70"/>
        <v>"C:\Program Files (x86)\AstroGrep\AstroGrep.exe" /spath="%USERPROFILE%\AppData\Local\Temp\OnboardLogs" /stypes="app*4055*20170203*" /stext=" 05:.+((SYSTEM_STATE.+slice.+state.+changed )|(ment ac)|(multiple cpu faults)|(system.+state.+changed )|(\[timeout)|(PRM\|1\|D)|(kpr)|(kdp)|(\|lc)|(penalty))" /e /r /s</v>
      </c>
      <c r="AG227" s="1" t="str">
        <f t="shared" si="71"/>
        <v>Other</v>
      </c>
      <c r="AH227" s="86" t="str">
        <f t="shared" si="72"/>
        <v>"%USERPROFILE%\Documents\GitHub\eaglep3\Utilities\RefineRTDCRunTimes.py" --tripid 85-02 --locoid 4055 --swversion DE.1.0.8.0 --startMP 204:614 --initTime 2017-02-02T21:39:31 --startdatetime 2017-02-02T21:44:01 --delay 1 --endMP 204:233289 --enddatetime 2017-02-02T22:22:03 --enforcementcount 0 &gt;&gt;C:\Users\stu\Documents\GitHub\eaglep3-reporting\EC\2017-02-02-refined-times.txt</v>
      </c>
      <c r="AI227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{"issue":{"subject":"","project_id":79,"tracker_id":40,"status_id":1,"priority_id":2,"assigned_to_id":23,"start_date":"2017-02-02","description":"","custom_fields":[{"id":1,"name":"Subdivision","value":"Other"},{"id":4,"name":"Milepost","value":"23.3289"},{"id":17,"name":"Train ID","value":"85-02"},{"id":16,"name":"Locomotive ID","value":"4055"},{"id":130,"name":"Impact","value":""},{"id":150,"name":"Time of Event (Mountain Time)","value":"22:22:03"},{"id":151,"name":"Denver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60" t="str">
        <f t="shared" si="74"/>
        <v>start /low /b %USERPROFILE%\Documents\GitHub\eaglep3\Utilities\DownloadLogsFromS3.py --loco 4055 --day 2017-02-02</v>
      </c>
      <c r="AN227" s="169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"%USERPROFILE%\AppData\Local\Temp\OnboardLogs"\RTDC4055\*4055*20170203* | grep -SE "(Enforcement Action)|(\[TIMEOUT)|(CHR.+\|PRM\|1\|D.+(SWITCH|SIGNAL).+UNKNOWN)" - &gt;&gt; 2017-02-02-UncaughtWiMAX.txt</v>
      </c>
    </row>
    <row r="228" spans="1:40" x14ac:dyDescent="0.25">
      <c r="A228" s="33" t="s">
        <v>676</v>
      </c>
      <c r="B228" s="7">
        <v>4055</v>
      </c>
      <c r="C228" s="21" t="s">
        <v>193</v>
      </c>
      <c r="D228" s="21" t="s">
        <v>823</v>
      </c>
      <c r="E228" s="13">
        <v>42769.053599537037</v>
      </c>
      <c r="F228" s="13">
        <v>42769.063275462962</v>
      </c>
      <c r="G228" s="7">
        <v>1</v>
      </c>
      <c r="H228" s="21" t="s">
        <v>419</v>
      </c>
      <c r="I228" s="13">
        <v>42769.085752314815</v>
      </c>
      <c r="J228" s="7">
        <v>0</v>
      </c>
      <c r="K228" s="98" t="str">
        <f t="shared" si="57"/>
        <v>4055/4056</v>
      </c>
      <c r="L228" s="21" t="str">
        <f>VLOOKUP(A228,'Trips&amp;Operators'!$C$1:$G$99999,5,FALSE)</f>
        <v>SIMMONS SHYHESHA</v>
      </c>
      <c r="M228" s="6">
        <f t="shared" si="58"/>
        <v>2.2476851852843538E-2</v>
      </c>
      <c r="N228" s="7">
        <f t="shared" si="59"/>
        <v>32.366666668094695</v>
      </c>
      <c r="O228" s="7"/>
      <c r="P228" s="7"/>
      <c r="Q228" s="22"/>
      <c r="R228" s="22"/>
      <c r="S228" s="31">
        <f t="shared" si="60"/>
        <v>0</v>
      </c>
      <c r="T228" s="46" t="e">
        <f t="shared" si="61"/>
        <v>#VALUE!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3" t="str">
        <f t="shared" si="62"/>
        <v>https://d0f6bd738d7f1b3e5a7ca70fe4ff75f0.us-east-1.aws.found.io/app/kibana#/discover/Steve-Slow-Train-Analysis-(2080s-and-2083s)?_g=(refreshInterval:(display:Off,pause:!f,section:0,value:0),time:(from:'2017-02-03T00:17:11-0700',mode:absolute,to:'2017-02-03T03:03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8" s="194" t="str">
        <f t="shared" si="63"/>
        <v>N</v>
      </c>
      <c r="X228" s="194" t="e">
        <f t="shared" si="64"/>
        <v>#VALUE!</v>
      </c>
      <c r="Y228" s="62">
        <f t="shared" si="65"/>
        <v>1.0370999999999999</v>
      </c>
      <c r="Z228" s="62">
        <f t="shared" si="66"/>
        <v>23.331600000000002</v>
      </c>
      <c r="AA228" s="62">
        <f t="shared" si="67"/>
        <v>22.294500000000003</v>
      </c>
      <c r="AB228" s="59" t="e">
        <f>VLOOKUP(A228,Enforcements!$C$7:$K$16,8,0)</f>
        <v>#N/A</v>
      </c>
      <c r="AC228" s="55" t="e">
        <f>VLOOKUP(A228,Enforcements!$C$7:$E$16,3,0)</f>
        <v>#N/A</v>
      </c>
      <c r="AD228" s="56" t="str">
        <f t="shared" si="68"/>
        <v>NORTH55-02</v>
      </c>
      <c r="AE228" s="85" t="str">
        <f t="shared" si="69"/>
        <v>aws s3 cp s3://rtdc.mdm.uploadarchive.raw/RTDC4055/ "%USERPROFILE%\AppData\Local\Temp\OnboardLogs"\RTDC4055\2017-02-03 --exclude "*" --recursive --include "*20170203*" &amp; "%USERPROFILE%\Documents\GitHub\mrs-test-scripts\Headless Mode &amp; Sideloading\WalkAndUnGZ.bat" "%USERPROFILE%\AppData\Local\Temp\OnboardLogs"\RTDC4055\2017-02-03 &amp; aws s3 cp s3://rtdc.mdm.uploadarchive.raw/RTDC4055/ "%USERPROFILE%\AppData\Local\Temp\OnboardLogs"\RTDC4055\2017-02-04 --exclude "*" --recursive --include "*20170204*" &amp; "%USERPROFILE%\Documents\GitHub\mrs-test-scripts\Headless Mode &amp; Sideloading\WalkAndUnGZ.bat" "%USERPROFILE%\AppData\Local\Temp\OnboardLogs"\RTDC4055\2017-02-04</v>
      </c>
      <c r="AF228" s="82" t="str">
        <f t="shared" si="70"/>
        <v>"C:\Program Files (x86)\AstroGrep\AstroGrep.exe" /spath="%USERPROFILE%\AppData\Local\Temp\OnboardLogs" /stypes="app*4055*20170203*" /stext=" 09:.+((SYSTEM_STATE.+slice.+state.+changed )|(ment ac)|(multiple cpu faults)|(system.+state.+changed )|(\[timeout)|(PRM\|1\|D)|(kpr)|(kdp)|(\|lc)|(penalty))" /e /r /s</v>
      </c>
      <c r="AG228" s="1" t="str">
        <f t="shared" si="71"/>
        <v>Other</v>
      </c>
      <c r="AH228" s="86" t="str">
        <f t="shared" si="72"/>
        <v>"%USERPROFILE%\Documents\GitHub\eaglep3\Utilities\RefineRTDCRunTimes.py" --tripid NORTH55-02 --locoid 4055 --swversion DE.1.0.8.0 --startMP 204:10371 --initTime 2017-02-03T01:17:11 --startdatetime 2017-02-03T01:31:07 --delay 1 --endMP 204:233316 --enddatetime 2017-02-03T02:03:29 --enforcementcount 0 &gt;&gt;C:\Users\stu\Documents\GitHub\eaglep3-reporting\EC\2017-02-02-refined-times.txt</v>
      </c>
      <c r="AI228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{"issue":{"subject":"","project_id":79,"tracker_id":40,"status_id":1,"priority_id":2,"assigned_to_id":23,"start_date":"2017-02-03","description":"","custom_fields":[{"id":1,"name":"Subdivision","value":"Other"},{"id":4,"name":"Milepost","value":"23.3316"},{"id":17,"name":"Train ID","value":"NORTH55-02"},{"id":16,"name":"Locomotive ID","value":"4055"},{"id":130,"name":"Impact","value":""},{"id":150,"name":"Time of Event (Mountain Time)","value":"02:03:29"},{"id":151,"name":"Denver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60" t="str">
        <f t="shared" si="74"/>
        <v>start /low /b %USERPROFILE%\Documents\GitHub\eaglep3\Utilities\DownloadLogsFromS3.py --loco 4055 --day 2017-02-03</v>
      </c>
      <c r="AN228" s="169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"%USERPROFILE%\AppData\Local\Temp\OnboardLogs"\RTDC4055\*4055*20170203* | grep -SE "(Enforcement Action)|(\[TIMEOUT)|(CHR.+\|PRM\|1\|D.+(SWITCH|SIGNAL).+UNKNOWN)" - &gt;&gt; 2017-02-02-UncaughtWiMAX.txt</v>
      </c>
    </row>
    <row r="229" spans="1:40" x14ac:dyDescent="0.25">
      <c r="A229" s="33" t="s">
        <v>676</v>
      </c>
      <c r="B229" s="7">
        <v>4055</v>
      </c>
      <c r="C229" s="21" t="s">
        <v>193</v>
      </c>
      <c r="D229" s="21" t="s">
        <v>824</v>
      </c>
      <c r="E229" s="13">
        <v>42768.977812500001</v>
      </c>
      <c r="F229" s="13">
        <v>42768.982627314814</v>
      </c>
      <c r="G229" s="7">
        <v>2</v>
      </c>
      <c r="H229" s="21" t="s">
        <v>825</v>
      </c>
      <c r="I229" s="13">
        <v>42769.005960648145</v>
      </c>
      <c r="J229" s="7">
        <v>0</v>
      </c>
      <c r="K229" s="98" t="str">
        <f t="shared" si="57"/>
        <v>4055/4056</v>
      </c>
      <c r="L229" s="21" t="str">
        <f>VLOOKUP(A229,'Trips&amp;Operators'!$C$1:$G$99999,5,FALSE)</f>
        <v>SIMMONS SHYHESHA</v>
      </c>
      <c r="M229" s="6">
        <f t="shared" si="58"/>
        <v>2.3333333330811001E-2</v>
      </c>
      <c r="N229" s="7">
        <f t="shared" si="59"/>
        <v>33.599999996367842</v>
      </c>
      <c r="O229" s="7"/>
      <c r="P229" s="7"/>
      <c r="Q229" s="22"/>
      <c r="R229" s="22"/>
      <c r="S229" s="31">
        <f t="shared" si="60"/>
        <v>0</v>
      </c>
      <c r="T229" s="46" t="e">
        <f t="shared" si="61"/>
        <v>#VALUE!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3" t="str">
        <f t="shared" si="62"/>
        <v>https://d0f6bd738d7f1b3e5a7ca70fe4ff75f0.us-east-1.aws.found.io/app/kibana#/discover/Steve-Slow-Train-Analysis-(2080s-and-2083s)?_g=(refreshInterval:(display:Off,pause:!f,section:0,value:0),time:(from:'2017-02-02T22:28:03-0700',mode:absolute,to:'2017-02-03T01:08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9" s="194" t="str">
        <f t="shared" si="63"/>
        <v>N</v>
      </c>
      <c r="X229" s="194" t="e">
        <f t="shared" si="64"/>
        <v>#VALUE!</v>
      </c>
      <c r="Y229" s="62">
        <f t="shared" si="65"/>
        <v>7.7700000000000005E-2</v>
      </c>
      <c r="Z229" s="62">
        <f t="shared" si="66"/>
        <v>16.884499999999999</v>
      </c>
      <c r="AA229" s="62">
        <f t="shared" si="67"/>
        <v>16.806799999999999</v>
      </c>
      <c r="AB229" s="59" t="e">
        <f>VLOOKUP(A229,Enforcements!$C$7:$K$16,8,0)</f>
        <v>#N/A</v>
      </c>
      <c r="AC229" s="55" t="e">
        <f>VLOOKUP(A229,Enforcements!$C$7:$E$16,3,0)</f>
        <v>#N/A</v>
      </c>
      <c r="AD229" s="56" t="str">
        <f t="shared" si="68"/>
        <v>NORTH55-02</v>
      </c>
      <c r="AE229" s="85" t="str">
        <f t="shared" si="69"/>
        <v>aws s3 cp s3://rtdc.mdm.uploadarchive.raw/RTDC4055/ "%USERPROFILE%\AppData\Local\Temp\OnboardLogs"\RTDC4055\2017-02-02 --exclude "*" --recursive --include "*20170202*" &amp; "%USERPROFILE%\Documents\GitHub\mrs-test-scripts\Headless Mode &amp; Sideloading\WalkAndUnGZ.bat" "%USERPROFILE%\AppData\Local\Temp\OnboardLogs"\RTDC4055\2017-02-02 &amp; aws s3 cp s3://rtdc.mdm.uploadarchive.raw/RTDC4055/ "%USERPROFILE%\AppData\Local\Temp\OnboardLogs"\RTDC4055\2017-02-03 --exclude "*" --recursive --include "*20170203*" &amp; "%USERPROFILE%\Documents\GitHub\mrs-test-scripts\Headless Mode &amp; Sideloading\WalkAndUnGZ.bat" "%USERPROFILE%\AppData\Local\Temp\OnboardLogs"\RTDC4055\2017-02-03</v>
      </c>
      <c r="AF229" s="82" t="str">
        <f t="shared" si="70"/>
        <v>"C:\Program Files (x86)\AstroGrep\AstroGrep.exe" /spath="%USERPROFILE%\AppData\Local\Temp\OnboardLogs" /stypes="app*4055*20170203*" /stext=" 07:.+((SYSTEM_STATE.+slice.+state.+changed )|(ment ac)|(multiple cpu faults)|(system.+state.+changed )|(\[timeout)|(PRM\|1\|D)|(kpr)|(kdp)|(\|lc)|(penalty))" /e /r /s</v>
      </c>
      <c r="AG229" s="1" t="str">
        <f t="shared" si="71"/>
        <v>Other</v>
      </c>
      <c r="AH229" s="86" t="str">
        <f t="shared" si="72"/>
        <v>"%USERPROFILE%\Documents\GitHub\eaglep3\Utilities\RefineRTDCRunTimes.py" --tripid NORTH55-02 --locoid 4055 --swversion DE.1.0.8.0 --startMP 204:777 --initTime 2017-02-02T23:28:03 --startdatetime 2017-02-02T23:34:59 --delay 2 --endMP 204:168845 --enddatetime 2017-02-03T00:08:35 --enforcementcount 0 &gt;&gt;C:\Users\stu\Documents\GitHub\eaglep3-reporting\EC\2017-02-02-refined-times.txt</v>
      </c>
      <c r="AI229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{"issue":{"subject":"","project_id":79,"tracker_id":40,"status_id":1,"priority_id":2,"assigned_to_id":23,"start_date":"2017-02-03","description":"","custom_fields":[{"id":1,"name":"Subdivision","value":"Other"},{"id":4,"name":"Milepost","value":"16.8845"},{"id":17,"name":"Train ID","value":"NORTH55-02"},{"id":16,"name":"Locomotive ID","value":"4055"},{"id":130,"name":"Impact","value":""},{"id":150,"name":"Time of Event (Mountain Time)","value":"00:08:35"},{"id":151,"name":"Denver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60" t="str">
        <f t="shared" si="74"/>
        <v>start /low /b %USERPROFILE%\Documents\GitHub\eaglep3\Utilities\DownloadLogsFromS3.py --loco 4055 --day 2017-02-02</v>
      </c>
      <c r="AN229" s="169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"%USERPROFILE%\AppData\Local\Temp\OnboardLogs"\RTDC4055\*4055*20170203* | grep -SE "(Enforcement Action)|(\[TIMEOUT)|(CHR.+\|PRM\|1\|D.+(SWITCH|SIGNAL).+UNKNOWN)" - &gt;&gt; 2017-02-02-UncaughtWiMAX.txt</v>
      </c>
    </row>
    <row r="230" spans="1:40" x14ac:dyDescent="0.25">
      <c r="A230" s="33" t="s">
        <v>468</v>
      </c>
      <c r="B230" s="7">
        <v>4057</v>
      </c>
      <c r="C230" s="21" t="s">
        <v>193</v>
      </c>
      <c r="D230" s="21" t="s">
        <v>826</v>
      </c>
      <c r="E230" s="13">
        <v>42769.017141203702</v>
      </c>
      <c r="F230" s="13">
        <v>42769.018159722225</v>
      </c>
      <c r="G230" s="7">
        <v>0</v>
      </c>
      <c r="H230" s="21" t="s">
        <v>827</v>
      </c>
      <c r="I230" s="13">
        <v>42769.05059027778</v>
      </c>
      <c r="J230" s="7">
        <v>0</v>
      </c>
      <c r="K230" s="98" t="str">
        <f t="shared" si="57"/>
        <v>4057/4058</v>
      </c>
      <c r="L230" s="21" t="str">
        <f>VLOOKUP(A230,'Trips&amp;Operators'!$C$1:$G$99999,5,FALSE)</f>
        <v>SIMMONS SHYHESHA</v>
      </c>
      <c r="M230" s="6">
        <f t="shared" si="58"/>
        <v>3.2430555555038154E-2</v>
      </c>
      <c r="N230" s="7">
        <f t="shared" si="59"/>
        <v>46.699999999254942</v>
      </c>
      <c r="O230" s="7"/>
      <c r="P230" s="7"/>
      <c r="Q230" s="22"/>
      <c r="R230" s="22"/>
      <c r="S230" s="31">
        <f t="shared" si="60"/>
        <v>0</v>
      </c>
      <c r="T230" s="46" t="e">
        <f t="shared" si="61"/>
        <v>#VALUE!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3" t="str">
        <f t="shared" si="62"/>
        <v>https://d0f6bd738d7f1b3e5a7ca70fe4ff75f0.us-east-1.aws.found.io/app/kibana#/discover/Steve-Slow-Train-Analysis-(2080s-and-2083s)?_g=(refreshInterval:(display:Off,pause:!f,section:0,value:0),time:(from:'2017-02-02T23:24:41-0700',mode:absolute,to:'2017-02-03T02:12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0" s="194" t="str">
        <f t="shared" si="63"/>
        <v>N</v>
      </c>
      <c r="X230" s="194" t="e">
        <f t="shared" si="64"/>
        <v>#VALUE!</v>
      </c>
      <c r="Y230" s="62">
        <f t="shared" si="65"/>
        <v>15.391999999999999</v>
      </c>
      <c r="Z230" s="62">
        <f t="shared" si="66"/>
        <v>0.99009999999999998</v>
      </c>
      <c r="AA230" s="62">
        <f t="shared" si="67"/>
        <v>14.401899999999999</v>
      </c>
      <c r="AB230" s="59" t="e">
        <f>VLOOKUP(A230,Enforcements!$C$7:$K$16,8,0)</f>
        <v>#N/A</v>
      </c>
      <c r="AC230" s="55" t="e">
        <f>VLOOKUP(A230,Enforcements!$C$7:$E$16,3,0)</f>
        <v>#N/A</v>
      </c>
      <c r="AD230" s="56" t="str">
        <f t="shared" si="68"/>
        <v>SOUTH57-02</v>
      </c>
      <c r="AE230" s="85" t="str">
        <f t="shared" si="69"/>
        <v>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 &amp; 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</v>
      </c>
      <c r="AF230" s="82" t="str">
        <f t="shared" si="70"/>
        <v>"C:\Program Files (x86)\AstroGrep\AstroGrep.exe" /spath="%USERPROFILE%\AppData\Local\Temp\OnboardLogs" /stypes="app*4057*20170203*" /stext=" 08:.+((SYSTEM_STATE.+slice.+state.+changed )|(ment ac)|(multiple cpu faults)|(system.+state.+changed )|(\[timeout)|(PRM\|1\|D)|(kpr)|(kdp)|(\|lc)|(penalty))" /e /r /s</v>
      </c>
      <c r="AG230" s="1" t="str">
        <f t="shared" si="71"/>
        <v>Other</v>
      </c>
      <c r="AH230" s="86" t="str">
        <f t="shared" si="72"/>
        <v>"%USERPROFILE%\Documents\GitHub\eaglep3\Utilities\RefineRTDCRunTimes.py" --tripid SOUTH57-02 --locoid 4057 --swversion DE.1.0.8.0 --startMP 204:153920 --initTime 2017-02-03T00:24:41 --startdatetime 2017-02-03T00:26:09 --delay 0 --endMP 204:9901 --enddatetime 2017-02-03T01:12:51 --enforcementcount 0 &gt;&gt;C:\Users\stu\Documents\GitHub\eaglep3-reporting\EC\2017-02-02-refined-times.txt</v>
      </c>
      <c r="AI230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{"issue":{"subject":"","project_id":79,"tracker_id":40,"status_id":1,"priority_id":2,"assigned_to_id":23,"start_date":"2017-02-03","description":"","custom_fields":[{"id":1,"name":"Subdivision","value":"Other"},{"id":4,"name":"Milepost","value":"0.9901"},{"id":17,"name":"Train ID","value":"SOUTH57-02"},{"id":16,"name":"Locomotive ID","value":"4057"},{"id":130,"name":"Impact","value":""},{"id":150,"name":"Time of Event (Mountain Time)","value":"01:12:51"},{"id":151,"name":"Denver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60" t="str">
        <f t="shared" si="74"/>
        <v>start /low /b %USERPROFILE%\Documents\GitHub\eaglep3\Utilities\DownloadLogsFromS3.py --loco 4057 --day 2017-02-03</v>
      </c>
      <c r="AN230" s="169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2017-02-02-UncaughtWiMAX.txt</v>
      </c>
    </row>
    <row r="231" spans="1:40" x14ac:dyDescent="0.25">
      <c r="A231" s="33" t="s">
        <v>468</v>
      </c>
      <c r="B231" s="7">
        <v>4057</v>
      </c>
      <c r="C231" s="21" t="s">
        <v>193</v>
      </c>
      <c r="D231" s="21" t="s">
        <v>828</v>
      </c>
      <c r="E231" s="13">
        <v>42769.009062500001</v>
      </c>
      <c r="F231" s="13">
        <v>42769.018159722225</v>
      </c>
      <c r="G231" s="7">
        <v>1</v>
      </c>
      <c r="H231" s="21" t="s">
        <v>829</v>
      </c>
      <c r="I231" s="13">
        <v>42769.05059027778</v>
      </c>
      <c r="J231" s="7">
        <v>0</v>
      </c>
      <c r="K231" s="98" t="str">
        <f t="shared" si="57"/>
        <v>4057/4058</v>
      </c>
      <c r="L231" s="21" t="str">
        <f>VLOOKUP(A231,'Trips&amp;Operators'!$C$1:$G$99999,5,FALSE)</f>
        <v>SIMMONS SHYHESHA</v>
      </c>
      <c r="M231" s="6">
        <f t="shared" si="58"/>
        <v>3.2430555555038154E-2</v>
      </c>
      <c r="N231" s="7">
        <f t="shared" si="59"/>
        <v>46.699999999254942</v>
      </c>
      <c r="O231" s="7"/>
      <c r="P231" s="7"/>
      <c r="Q231" s="22"/>
      <c r="R231" s="22"/>
      <c r="S231" s="31">
        <f t="shared" si="60"/>
        <v>0</v>
      </c>
      <c r="T231" s="46" t="e">
        <f t="shared" si="61"/>
        <v>#VALUE!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3" t="str">
        <f t="shared" si="62"/>
        <v>https://d0f6bd738d7f1b3e5a7ca70fe4ff75f0.us-east-1.aws.found.io/app/kibana#/discover/Steve-Slow-Train-Analysis-(2080s-and-2083s)?_g=(refreshInterval:(display:Off,pause:!f,section:0,value:0),time:(from:'2017-02-02T23:13:03-0700',mode:absolute,to:'2017-02-03T02:12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1" s="194" t="str">
        <f t="shared" si="63"/>
        <v>Y</v>
      </c>
      <c r="X231" s="194" t="e">
        <f t="shared" si="64"/>
        <v>#VALUE!</v>
      </c>
      <c r="Y231" s="62">
        <f t="shared" si="65"/>
        <v>16.8263</v>
      </c>
      <c r="Z231" s="62">
        <f t="shared" si="66"/>
        <v>16.283300000000001</v>
      </c>
      <c r="AA231" s="62">
        <f t="shared" si="67"/>
        <v>0.54299999999999926</v>
      </c>
      <c r="AB231" s="59" t="e">
        <f>VLOOKUP(A231,Enforcements!$C$7:$K$16,8,0)</f>
        <v>#N/A</v>
      </c>
      <c r="AC231" s="55" t="e">
        <f>VLOOKUP(A231,Enforcements!$C$7:$E$16,3,0)</f>
        <v>#N/A</v>
      </c>
      <c r="AD231" s="56" t="str">
        <f t="shared" si="68"/>
        <v>SOUTH57-02</v>
      </c>
      <c r="AE231" s="85" t="str">
        <f t="shared" si="69"/>
        <v>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 &amp; 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</v>
      </c>
      <c r="AF231" s="82" t="str">
        <f t="shared" si="70"/>
        <v>"C:\Program Files (x86)\AstroGrep\AstroGrep.exe" /spath="%USERPROFILE%\AppData\Local\Temp\OnboardLogs" /stypes="app*4057*20170203*" /stext=" 08:.+((SYSTEM_STATE.+slice.+state.+changed )|(ment ac)|(multiple cpu faults)|(system.+state.+changed )|(\[timeout)|(PRM\|1\|D)|(kpr)|(kdp)|(\|lc)|(penalty))" /e /r /s</v>
      </c>
      <c r="AG231" s="1" t="str">
        <f t="shared" si="71"/>
        <v>Other</v>
      </c>
      <c r="AH231" s="86" t="str">
        <f t="shared" si="72"/>
        <v>"%USERPROFILE%\Documents\GitHub\eaglep3\Utilities\RefineRTDCRunTimes.py" --tripid SOUTH57-02 --locoid 4057 --swversion DE.1.0.8.0 --startMP 204:168263 --initTime 2017-02-03T00:13:03 --startdatetime 2017-02-03T00:26:09 --delay 1 --endMP 204:162833 --enddatetime 2017-02-03T01:12:51 --enforcementcount 0 &gt;&gt;C:\Users\stu\Documents\GitHub\eaglep3-reporting\EC\2017-02-02-refined-times.txt</v>
      </c>
      <c r="AI231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{"issue":{"subject":"","project_id":79,"tracker_id":40,"status_id":1,"priority_id":2,"assigned_to_id":23,"start_date":"2017-02-03","description":"","custom_fields":[{"id":1,"name":"Subdivision","value":"Other"},{"id":4,"name":"Milepost","value":"16.2833"},{"id":17,"name":"Train ID","value":"SOUTH57-02"},{"id":16,"name":"Locomotive ID","value":"4057"},{"id":130,"name":"Impact","value":""},{"id":150,"name":"Time of Event (Mountain Time)","value":"01:12:51"},{"id":151,"name":"Denver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60" t="str">
        <f t="shared" si="74"/>
        <v>start /low /b %USERPROFILE%\Documents\GitHub\eaglep3\Utilities\DownloadLogsFromS3.py --loco 4057 --day 2017-02-03</v>
      </c>
      <c r="AN231" s="169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2017-02-02-UncaughtWiMAX.txt</v>
      </c>
    </row>
    <row r="232" spans="1:40" x14ac:dyDescent="0.25">
      <c r="A232" s="33" t="s">
        <v>468</v>
      </c>
      <c r="B232" s="7">
        <v>4057</v>
      </c>
      <c r="C232" s="21" t="s">
        <v>193</v>
      </c>
      <c r="D232" s="21" t="s">
        <v>690</v>
      </c>
      <c r="E232" s="13">
        <v>42768.94027777778</v>
      </c>
      <c r="F232" s="13">
        <v>42768.944189814814</v>
      </c>
      <c r="G232" s="7">
        <v>4</v>
      </c>
      <c r="H232" s="21" t="s">
        <v>206</v>
      </c>
      <c r="I232" s="13">
        <v>42768.972083333334</v>
      </c>
      <c r="J232" s="7">
        <v>0</v>
      </c>
      <c r="K232" s="98" t="str">
        <f t="shared" si="57"/>
        <v>4057/4058</v>
      </c>
      <c r="L232" s="21" t="str">
        <f>VLOOKUP(A232,'Trips&amp;Operators'!$C$1:$G$99999,5,FALSE)</f>
        <v>SIMMONS SHYHESHA</v>
      </c>
      <c r="M232" s="6">
        <f t="shared" si="58"/>
        <v>2.789351851970423E-2</v>
      </c>
      <c r="N232" s="7">
        <f t="shared" si="59"/>
        <v>40.166666668374091</v>
      </c>
      <c r="O232" s="7"/>
      <c r="P232" s="7"/>
      <c r="Q232" s="22"/>
      <c r="R232" s="22"/>
      <c r="S232" s="31">
        <f t="shared" si="60"/>
        <v>0</v>
      </c>
      <c r="T232" s="46" t="e">
        <f t="shared" si="61"/>
        <v>#VALUE!</v>
      </c>
      <c r="U232" s="19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3" t="str">
        <f t="shared" si="62"/>
        <v>https://d0f6bd738d7f1b3e5a7ca70fe4ff75f0.us-east-1.aws.found.io/app/kibana#/discover/Steve-Slow-Train-Analysis-(2080s-and-2083s)?_g=(refreshInterval:(display:Off,pause:!f,section:0,value:0),time:(from:'2017-02-02T21:34:00-0700',mode:absolute,to:'2017-02-03T00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2" s="194" t="str">
        <f t="shared" si="63"/>
        <v>N</v>
      </c>
      <c r="X232" s="194" t="e">
        <f t="shared" si="64"/>
        <v>#VALUE!</v>
      </c>
      <c r="Y232" s="62">
        <f t="shared" si="65"/>
        <v>23.264800000000001</v>
      </c>
      <c r="Z232" s="62">
        <f t="shared" si="66"/>
        <v>1.47E-2</v>
      </c>
      <c r="AA232" s="62">
        <f t="shared" si="67"/>
        <v>23.2501</v>
      </c>
      <c r="AB232" s="59" t="e">
        <f>VLOOKUP(A232,Enforcements!$C$7:$K$16,8,0)</f>
        <v>#N/A</v>
      </c>
      <c r="AC232" s="55" t="e">
        <f>VLOOKUP(A232,Enforcements!$C$7:$E$16,3,0)</f>
        <v>#N/A</v>
      </c>
      <c r="AD232" s="56" t="str">
        <f t="shared" si="68"/>
        <v>SOUTH57-02</v>
      </c>
      <c r="AE232" s="85" t="str">
        <f t="shared" si="69"/>
        <v>aws s3 cp s3://rtdc.mdm.uploadarchive.raw/RTDC4057/ "%USERPROFILE%\AppData\Local\Temp\OnboardLogs"\RTDC4057\2017-02-02 --exclude "*" --recursive --include "*20170202*" &amp; "%USERPROFILE%\Documents\GitHub\mrs-test-scripts\Headless Mode &amp; Sideloading\WalkAndUnGZ.bat" "%USERPROFILE%\AppData\Local\Temp\OnboardLogs"\RTDC4057\2017-02-02 &amp; 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</v>
      </c>
      <c r="AF232" s="82" t="str">
        <f t="shared" si="70"/>
        <v>"C:\Program Files (x86)\AstroGrep\AstroGrep.exe" /spath="%USERPROFILE%\AppData\Local\Temp\OnboardLogs" /stypes="app*4057*20170203*" /stext=" 06:.+((SYSTEM_STATE.+slice.+state.+changed )|(ment ac)|(multiple cpu faults)|(system.+state.+changed )|(\[timeout)|(PRM\|1\|D)|(kpr)|(kdp)|(\|lc)|(penalty))" /e /r /s</v>
      </c>
      <c r="AG232" s="1" t="str">
        <f t="shared" si="71"/>
        <v>Other</v>
      </c>
      <c r="AH232" s="86" t="str">
        <f t="shared" si="72"/>
        <v>"%USERPROFILE%\Documents\GitHub\eaglep3\Utilities\RefineRTDCRunTimes.py" --tripid SOUTH57-02 --locoid 4057 --swversion DE.1.0.8.0 --startMP 204:232648 --initTime 2017-02-02T22:34:00 --startdatetime 2017-02-02T22:39:38 --delay 4 --endMP 204:147 --enddatetime 2017-02-02T23:19:48 --enforcementcount 0 &gt;&gt;C:\Users\stu\Documents\GitHub\eaglep3-reporting\EC\2017-02-02-refined-times.txt</v>
      </c>
      <c r="AI232" s="108" t="str">
        <f t="shared" si="73"/>
        <v>echo {"issue":{"subject":"","project_id":79,"tracker_id":40,"status_id":1,"priority_id":2,"assigned_to_id":23,"start_date":"2017-02-02","description":"","custom_fields":[{"id":1,"name":"Subdivision","value":"Other"},{"id":4,"name":"Milepost","value":"0.0147"},{"id":17,"name":"Train ID","value":"SOUTH57-02"},{"id":16,"name":"Locomotive ID","value":"4057"},{"id":130,"name":"Impact","value":""},{"id":150,"name":"Time of Event (Mountain Time)","value":"23:19:48"},{"id":151,"name":"Denver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60" t="str">
        <f t="shared" si="74"/>
        <v>start /low /b %USERPROFILE%\Documents\GitHub\eaglep3\Utilities\DownloadLogsFromS3.py --loco 4057 --day 2017-02-02</v>
      </c>
      <c r="AN232" s="169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2017-02-02-UncaughtWiMAX.txt</v>
      </c>
    </row>
    <row r="233" spans="1:40" x14ac:dyDescent="0.25">
      <c r="A233" s="33" t="s">
        <v>468</v>
      </c>
      <c r="B233" s="7">
        <v>4057</v>
      </c>
      <c r="C233" s="21" t="s">
        <v>193</v>
      </c>
      <c r="D233" s="21" t="s">
        <v>390</v>
      </c>
      <c r="E233" s="13">
        <v>42769.103668981479</v>
      </c>
      <c r="F233" s="13">
        <v>42769.105428240742</v>
      </c>
      <c r="G233" s="7">
        <v>1</v>
      </c>
      <c r="H233" s="21" t="s">
        <v>830</v>
      </c>
      <c r="I233" s="13">
        <v>42769.124282407407</v>
      </c>
      <c r="J233" s="7">
        <v>0</v>
      </c>
      <c r="K233" s="98" t="str">
        <f t="shared" si="57"/>
        <v>4057/4058</v>
      </c>
      <c r="L233" s="21" t="str">
        <f>VLOOKUP(A233,'Trips&amp;Operators'!$C$1:$G$99999,5,FALSE)</f>
        <v>SIMMONS SHYHESHA</v>
      </c>
      <c r="M233" s="6">
        <f t="shared" si="58"/>
        <v>1.8854166664823424E-2</v>
      </c>
      <c r="N233" s="7">
        <f t="shared" si="59"/>
        <v>27.149999997345731</v>
      </c>
      <c r="O233" s="7"/>
      <c r="P233" s="7"/>
      <c r="Q233" s="22"/>
      <c r="R233" s="22"/>
      <c r="S233" s="31">
        <f t="shared" si="60"/>
        <v>0</v>
      </c>
      <c r="T233" s="46" t="e">
        <f t="shared" si="61"/>
        <v>#VALUE!</v>
      </c>
      <c r="U233" s="19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3" t="str">
        <f t="shared" si="62"/>
        <v>https://d0f6bd738d7f1b3e5a7ca70fe4ff75f0.us-east-1.aws.found.io/app/kibana#/discover/Steve-Slow-Train-Analysis-(2080s-and-2083s)?_g=(refreshInterval:(display:Off,pause:!f,section:0,value:0),time:(from:'2017-02-03T01:29:17-0700',mode:absolute,to:'2017-02-03T03:58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3" s="194" t="str">
        <f t="shared" si="63"/>
        <v>N</v>
      </c>
      <c r="X233" s="194" t="e">
        <f t="shared" si="64"/>
        <v>#VALUE!</v>
      </c>
      <c r="Y233" s="62">
        <f t="shared" si="65"/>
        <v>23.267700000000001</v>
      </c>
      <c r="Z233" s="62">
        <f t="shared" si="66"/>
        <v>12.5434</v>
      </c>
      <c r="AA233" s="62">
        <f t="shared" si="67"/>
        <v>10.724300000000001</v>
      </c>
      <c r="AB233" s="59" t="e">
        <f>VLOOKUP(A233,Enforcements!$C$7:$K$16,8,0)</f>
        <v>#N/A</v>
      </c>
      <c r="AC233" s="55" t="e">
        <f>VLOOKUP(A233,Enforcements!$C$7:$E$16,3,0)</f>
        <v>#N/A</v>
      </c>
      <c r="AD233" s="56" t="str">
        <f t="shared" si="68"/>
        <v>SOUTH57-02</v>
      </c>
      <c r="AE233" s="85" t="str">
        <f t="shared" si="69"/>
        <v>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 &amp; 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</v>
      </c>
      <c r="AF233" s="82" t="str">
        <f t="shared" si="70"/>
        <v>"C:\Program Files (x86)\AstroGrep\AstroGrep.exe" /spath="%USERPROFILE%\AppData\Local\Temp\OnboardLogs" /stypes="app*4057*20170203*" /stext=" 09:.+((SYSTEM_STATE.+slice.+state.+changed )|(ment ac)|(multiple cpu faults)|(system.+state.+changed )|(\[timeout)|(PRM\|1\|D)|(kpr)|(kdp)|(\|lc)|(penalty))" /e /r /s</v>
      </c>
      <c r="AG233" s="1" t="str">
        <f t="shared" si="71"/>
        <v>Other</v>
      </c>
      <c r="AH233" s="86" t="str">
        <f t="shared" si="72"/>
        <v>"%USERPROFILE%\Documents\GitHub\eaglep3\Utilities\RefineRTDCRunTimes.py" --tripid SOUTH57-02 --locoid 4057 --swversion DE.1.0.8.0 --startMP 204:232677 --initTime 2017-02-03T02:29:17 --startdatetime 2017-02-03T02:31:49 --delay 1 --endMP 204:125434 --enddatetime 2017-02-03T02:58:58 --enforcementcount 0 &gt;&gt;C:\Users\stu\Documents\GitHub\eaglep3-reporting\EC\2017-02-02-refined-times.txt</v>
      </c>
      <c r="AI233" s="108" t="str">
        <f t="shared" si="73"/>
        <v>echo {"issue":{"subject":"","project_id":79,"tracker_id":40,"status_id":1,"priority_id":2,"assigned_to_id":23,"start_date":"2017-02-03","description":"","custom_fields":[{"id":1,"name":"Subdivision","value":"Other"},{"id":4,"name":"Milepost","value":"12.5434"},{"id":17,"name":"Train ID","value":"SOUTH57-02"},{"id":16,"name":"Locomotive ID","value":"4057"},{"id":130,"name":"Impact","value":""},{"id":150,"name":"Time of Event (Mountain Time)","value":"02:58:58"},{"id":151,"name":"Denver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60" t="str">
        <f t="shared" si="74"/>
        <v>start /low /b %USERPROFILE%\Documents\GitHub\eaglep3\Utilities\DownloadLogsFromS3.py --loco 4057 --day 2017-02-03</v>
      </c>
      <c r="AN233" s="169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"%USERPROFILE%\AppData\Local\Temp\OnboardLogs"\RTDC4057\*4057*20170203* | grep -SE "(Enforcement Action)|(\[TIMEOUT)|(CHR.+\|PRM\|1\|D.+(SWITCH|SIGNAL).+UNKNOWN)" - &gt;&gt; 2017-02-02-UncaughtWiMAX.txt</v>
      </c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V234" s="173"/>
      <c r="W234" s="173"/>
      <c r="X234" s="173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V235" s="173"/>
      <c r="W235" s="173"/>
      <c r="X235" s="173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V236" s="173"/>
      <c r="W236" s="173"/>
      <c r="X236" s="173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V237" s="173"/>
      <c r="W237" s="173"/>
      <c r="X237" s="173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V238" s="173"/>
      <c r="W238" s="173"/>
      <c r="X238" s="173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V239" s="173"/>
      <c r="W239" s="173"/>
      <c r="X239" s="173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V240" s="173"/>
      <c r="W240" s="173"/>
      <c r="X240" s="173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V241" s="173"/>
      <c r="W241" s="173"/>
      <c r="X241" s="173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V242" s="173"/>
      <c r="W242" s="173"/>
      <c r="X242" s="173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V243" s="173"/>
      <c r="W243" s="173"/>
      <c r="X243" s="17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V244" s="173"/>
      <c r="W244" s="173"/>
      <c r="X244" s="173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V245" s="173"/>
      <c r="W245" s="173"/>
      <c r="X245" s="173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V246" s="173"/>
      <c r="W246" s="173"/>
      <c r="X246" s="173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V247" s="173"/>
      <c r="W247" s="173"/>
      <c r="X247" s="173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V248" s="173"/>
      <c r="W248" s="173"/>
      <c r="X248" s="173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V249" s="173"/>
      <c r="W249" s="173"/>
      <c r="X249" s="173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V250" s="173"/>
      <c r="W250" s="173"/>
      <c r="X250" s="173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V251" s="173"/>
      <c r="W251" s="173"/>
      <c r="X251" s="173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V252" s="173"/>
      <c r="W252" s="173"/>
      <c r="X252" s="173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V253" s="173"/>
      <c r="W253" s="173"/>
      <c r="X253" s="17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V254" s="173"/>
      <c r="W254" s="173"/>
      <c r="X254" s="173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V255" s="173"/>
      <c r="W255" s="173"/>
      <c r="X255" s="173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V256" s="173"/>
      <c r="W256" s="173"/>
      <c r="X256" s="173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V257" s="173"/>
      <c r="W257" s="173"/>
      <c r="X257" s="173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V258" s="173"/>
      <c r="W258" s="173"/>
      <c r="X258" s="173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V259" s="173"/>
      <c r="W259" s="173"/>
      <c r="X259" s="173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V260" s="173"/>
      <c r="W260" s="173"/>
      <c r="X260" s="173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V261" s="173"/>
      <c r="W261" s="173"/>
      <c r="X261" s="173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V262" s="173"/>
      <c r="W262" s="173"/>
      <c r="X262" s="173"/>
      <c r="Y262"/>
      <c r="Z262"/>
      <c r="AA262"/>
      <c r="AB262"/>
      <c r="AC262"/>
      <c r="AD262"/>
      <c r="AE262"/>
      <c r="AF262"/>
      <c r="AH262"/>
      <c r="AI262"/>
      <c r="AM262"/>
    </row>
  </sheetData>
  <autoFilter ref="A12:AG229">
    <sortState ref="A13:AG233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63:X1048576 W13:X233">
    <cfRule type="cellIs" dxfId="10" priority="356" operator="equal">
      <formula>"Y"</formula>
    </cfRule>
  </conditionalFormatting>
  <conditionalFormatting sqref="X263:X1048576 X13:X233">
    <cfRule type="cellIs" dxfId="9" priority="339" operator="greaterThan">
      <formula>1</formula>
    </cfRule>
  </conditionalFormatting>
  <conditionalFormatting sqref="X263:X1048576 X12:X233">
    <cfRule type="cellIs" dxfId="8" priority="336" operator="equal">
      <formula>0</formula>
    </cfRule>
  </conditionalFormatting>
  <conditionalFormatting sqref="A13:S233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zoomScaleNormal="100" workbookViewId="0">
      <selection activeCell="C10" sqref="C1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8.570312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52" customWidth="1"/>
    <col min="16" max="16" width="33.425781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21.42578125" style="44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27" customWidth="1"/>
    <col min="31" max="31" width="9.140625" style="160"/>
  </cols>
  <sheetData>
    <row r="1" spans="1:31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52"/>
      <c r="P1" s="125"/>
      <c r="R1" s="83"/>
      <c r="S1" s="90"/>
      <c r="T1" s="80"/>
      <c r="V1" s="44"/>
      <c r="AC1" s="127"/>
      <c r="AE1" s="160"/>
    </row>
    <row r="2" spans="1:31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56">
        <f>COUNTIF($O$7:$O$321,"=Y")</f>
        <v>3</v>
      </c>
      <c r="P2" s="122"/>
      <c r="R2" s="83"/>
      <c r="S2" s="90"/>
      <c r="T2" s="80"/>
      <c r="V2" s="44"/>
      <c r="AC2" s="128"/>
      <c r="AE2" s="160"/>
    </row>
    <row r="3" spans="1:31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57">
        <f>COUNTA($O$7:$O$321)-O2</f>
        <v>28</v>
      </c>
      <c r="P3" s="122"/>
      <c r="R3" s="83"/>
      <c r="S3" s="90"/>
      <c r="T3" s="80"/>
      <c r="V3" s="44"/>
      <c r="AC3" s="128"/>
      <c r="AE3" s="160"/>
    </row>
    <row r="4" spans="1:31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52"/>
      <c r="P4" s="125"/>
      <c r="R4" s="83"/>
      <c r="S4" s="90"/>
      <c r="T4" s="80"/>
      <c r="V4" s="44"/>
      <c r="AC4" s="128"/>
      <c r="AE4" s="160"/>
    </row>
    <row r="5" spans="1:31" s="10" customFormat="1" ht="15" customHeight="1" x14ac:dyDescent="0.25">
      <c r="A5" s="196" t="str">
        <f>"Eagle P3 Braking Events - "&amp;TEXT(Variables!$A$2,"YYYY-mm-dd")</f>
        <v>Eagle P3 Braking Events - 2017-02-02</v>
      </c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40"/>
      <c r="R5" s="88"/>
      <c r="S5" s="91"/>
      <c r="T5" s="93"/>
      <c r="V5" s="45"/>
      <c r="AC5" s="129"/>
      <c r="AE5" s="162"/>
    </row>
    <row r="6" spans="1:31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58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199</v>
      </c>
      <c r="AE6" s="161" t="s">
        <v>215</v>
      </c>
    </row>
    <row r="7" spans="1:31" s="1" customFormat="1" x14ac:dyDescent="0.25">
      <c r="A7" s="32">
        <v>42768.358657407407</v>
      </c>
      <c r="B7" s="30" t="s">
        <v>234</v>
      </c>
      <c r="C7" s="30" t="s">
        <v>446</v>
      </c>
      <c r="D7" s="30" t="s">
        <v>49</v>
      </c>
      <c r="E7" s="30" t="s">
        <v>201</v>
      </c>
      <c r="F7" s="43">
        <v>0</v>
      </c>
      <c r="G7" s="43">
        <v>236</v>
      </c>
      <c r="H7" s="43">
        <v>26782</v>
      </c>
      <c r="I7" s="43">
        <v>27160</v>
      </c>
      <c r="J7" s="30" t="s">
        <v>202</v>
      </c>
      <c r="K7" s="43">
        <v>27053</v>
      </c>
      <c r="L7" s="143" t="s">
        <v>50</v>
      </c>
      <c r="M7" s="144">
        <f t="shared" ref="M7:M37" si="0">CONVERT((I7-K7)/10000,"mi","ft")*IF(L7="Increasing Mileposts (1)",-1,1)</f>
        <v>-56.496000000000002</v>
      </c>
      <c r="N7" s="145" t="str">
        <f>VLOOKUP(C7,'Trips&amp;Operators'!$C$1:$G$99999,5,FALSE)</f>
        <v>YORK EDGAR</v>
      </c>
      <c r="O7" s="159" t="s">
        <v>185</v>
      </c>
      <c r="P7" s="146" t="s">
        <v>319</v>
      </c>
      <c r="Q7" s="30"/>
      <c r="R7" s="89" t="str">
        <f>VLOOKUP(C7,'Train Runs'!$A$13:$AE$9967,31,0)</f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S7" s="92" t="str">
        <f>VLOOKUP(C7,'Train Runs'!$A$13:$AE$9967,22,0)</f>
        <v>https://d0f6bd738d7f1b3e5a7ca70fe4ff75f0.us-east-1.aws.found.io/app/kibana#/discover/Steve-Slow-Train-Analysis-(2080s-and-2083s)?_g=(refreshInterval:(display:Off,pause:!f,section:0,value:0),time:(from:'2017-02-02T07:20:53-0700',mode:absolute,to:'2017-02-02T10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94" t="str">
        <f t="shared" ref="T7:T37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/stypes="*4027*201702021*" /stext=" 15:.+((SYSTEM_STATE.+slice.+state.+changed )|(ment ac)|(multiple cpu faults)|(system.+state.+changed )|(\[timeout)|(PRM\|1\|D)|(kpr)|(kdp)|(\|lc)|(penalty))" /e /r /s</v>
      </c>
      <c r="U7" s="9" t="str">
        <f t="shared" ref="U7:U37" si="2">MID(B7,13,4)</f>
        <v>4027</v>
      </c>
      <c r="V7" s="32">
        <f t="shared" ref="V7:V37" si="3">A7-utc_offset/24</f>
        <v>42768.650324074071</v>
      </c>
      <c r="W7" s="46" t="str">
        <f t="shared" ref="W7:W37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7" si="5">IF(AND(E7="TRACK WARRANT AUTHORITY",G7&lt;10),"OMIT","KEEP")</f>
        <v>KEEP</v>
      </c>
      <c r="Y7" s="108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arrival","project_id":79,"tracker_id":40,"status_id":1,"priority_id":2,"assigned_to_id":23,"start_date":"2017-02-02","description":"","custom_fields":[{"id":1,"name":"Subdivision","value":"EC"},{"id":4,"name":"Milepost","value":"2.7053"},{"id":17,"name":"Train ID","value":"139-02"},{"id":16,"name":"Locomotive ID","value":"4027"},{"id":130,"name":"Impact","value":""},{"id":150,"name":"Time of Event (Mountain Time)","value":"08:36:28"},{"id":151,"name":"Denver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7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"%USERPROFILE%\AppData\Local\Temp\OnboardLogs"\RTDC4027\*4027*201702021*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"%USERPROFILE%\AppData\Local\Temp\OnboardLogs"\RTDC4027\*4027*201702021* &gt;&gt; 2017-02-02-SliceDisagreementCheck.txt</v>
      </c>
      <c r="AE7" s="163" t="str">
        <f t="shared" ref="AE7:AE37" si="8">"start /low /b "&amp;dls3logs&amp;" --loco "&amp;U7&amp;" --day "&amp;TEXT(V7,"YYYY-MM-DD")</f>
        <v>start /low /b %USERPROFILE%\Documents\GitHub\eaglep3\Utilities\DownloadLogsFromS3.py --loco 4027 --day 2017-02-02</v>
      </c>
    </row>
    <row r="8" spans="1:31" s="1" customFormat="1" x14ac:dyDescent="0.25">
      <c r="A8" s="32">
        <v>42768.453553240739</v>
      </c>
      <c r="B8" s="30" t="s">
        <v>320</v>
      </c>
      <c r="C8" s="30" t="s">
        <v>449</v>
      </c>
      <c r="D8" s="30" t="s">
        <v>49</v>
      </c>
      <c r="E8" s="30" t="s">
        <v>201</v>
      </c>
      <c r="F8" s="43">
        <v>0</v>
      </c>
      <c r="G8" s="43">
        <v>180</v>
      </c>
      <c r="H8" s="43">
        <v>27006</v>
      </c>
      <c r="I8" s="43">
        <v>27193</v>
      </c>
      <c r="J8" s="30" t="s">
        <v>202</v>
      </c>
      <c r="K8" s="43">
        <v>27053</v>
      </c>
      <c r="L8" s="143" t="s">
        <v>50</v>
      </c>
      <c r="M8" s="144">
        <f t="shared" si="0"/>
        <v>-73.92</v>
      </c>
      <c r="N8" s="145" t="str">
        <f>VLOOKUP(C8,'Trips&amp;Operators'!$C$1:$G$99999,5,FALSE)</f>
        <v>STARKS ANGELINA</v>
      </c>
      <c r="O8" s="159" t="s">
        <v>185</v>
      </c>
      <c r="P8" s="146" t="s">
        <v>319</v>
      </c>
      <c r="Q8" s="30"/>
      <c r="R8" s="89" t="str">
        <f>VLOOKUP(C8,'Train Runs'!$A$13:$AE$9967,31,0)</f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S8" s="92" t="str">
        <f>VLOOKUP(C8,'Train Runs'!$A$13:$AE$9967,22,0)</f>
        <v>https://d0f6bd738d7f1b3e5a7ca70fe4ff75f0.us-east-1.aws.found.io/app/kibana#/discover/Steve-Slow-Train-Analysis-(2080s-and-2083s)?_g=(refreshInterval:(display:Off,pause:!f,section:0,value:0),time:(from:'2017-02-02T09:37:18-0700',mode:absolute,to:'2017-02-02T12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94" t="str">
        <f t="shared" si="1"/>
        <v>"C:\Program Files (x86)\AstroGrep\AstroGrep.exe" /spath="%USERPROFILE%\AppData\Local\Temp\OnboardLogs" /stypes="*4016*201702021*" /stext=" 17:.+((SYSTEM_STATE.+slice.+state.+changed )|(ment ac)|(multiple cpu faults)|(system.+state.+changed )|(\[timeout)|(PRM\|1\|D)|(kpr)|(kdp)|(\|lc)|(penalty))" /e /r /s</v>
      </c>
      <c r="U8" s="9" t="str">
        <f t="shared" si="2"/>
        <v>4016</v>
      </c>
      <c r="V8" s="32">
        <f t="shared" si="3"/>
        <v>42768.745219907403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arrival","project_id":79,"tracker_id":40,"status_id":1,"priority_id":2,"assigned_to_id":23,"start_date":"2017-02-02","description":"","custom_fields":[{"id":1,"name":"Subdivision","value":"EC"},{"id":4,"name":"Milepost","value":"2.7053"},{"id":17,"name":"Train ID","value":"157-02"},{"id":16,"name":"Locomotive ID","value":"4016"},{"id":130,"name":"Impact","value":""},{"id":150,"name":"Time of Event (Mountain Time)","value":"10:53:07"},{"id":151,"name":"Denver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"%USERPROFILE%\AppData\Local\Temp\OnboardLogs"\RTDC4016\*4016*201702021*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"%USERPROFILE%\AppData\Local\Temp\OnboardLogs"\RTDC4016\*4016*201702021* &gt;&gt; 2017-02-02-SliceDisagreementCheck.txt</v>
      </c>
      <c r="AE8" s="163" t="str">
        <f t="shared" si="8"/>
        <v>start /low /b %USERPROFILE%\Documents\GitHub\eaglep3\Utilities\DownloadLogsFromS3.py --loco 4016 --day 2017-02-02</v>
      </c>
    </row>
    <row r="9" spans="1:31" s="1" customFormat="1" x14ac:dyDescent="0.25">
      <c r="A9" s="32">
        <v>42768.775289351855</v>
      </c>
      <c r="B9" s="30" t="s">
        <v>294</v>
      </c>
      <c r="C9" s="30" t="s">
        <v>459</v>
      </c>
      <c r="D9" s="30" t="s">
        <v>49</v>
      </c>
      <c r="E9" s="30" t="s">
        <v>201</v>
      </c>
      <c r="F9" s="43">
        <v>0</v>
      </c>
      <c r="G9" s="43">
        <v>203</v>
      </c>
      <c r="H9" s="43">
        <v>27002</v>
      </c>
      <c r="I9" s="43">
        <v>27226</v>
      </c>
      <c r="J9" s="30" t="s">
        <v>202</v>
      </c>
      <c r="K9" s="43">
        <v>27053</v>
      </c>
      <c r="L9" s="143" t="s">
        <v>50</v>
      </c>
      <c r="M9" s="144">
        <f t="shared" si="0"/>
        <v>-91.343999999999994</v>
      </c>
      <c r="N9" s="145" t="str">
        <f>VLOOKUP(C9,'Trips&amp;Operators'!$C$1:$G$99999,5,FALSE)</f>
        <v>HILLS DUSTIN</v>
      </c>
      <c r="O9" s="159" t="s">
        <v>185</v>
      </c>
      <c r="P9" s="146" t="s">
        <v>319</v>
      </c>
      <c r="Q9" s="30"/>
      <c r="R9" s="89" t="str">
        <f>VLOOKUP(C9,'Train Runs'!$A$13:$AE$9967,31,0)</f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S9" s="92" t="str">
        <f>VLOOKUP(C9,'Train Runs'!$A$13:$AE$9967,22,0)</f>
        <v>https://d0f6bd738d7f1b3e5a7ca70fe4ff75f0.us-east-1.aws.found.io/app/kibana#/discover/Steve-Slow-Train-Analysis-(2080s-and-2083s)?_g=(refreshInterval:(display:Off,pause:!f,section:0,value:0),time:(from:'2017-02-02T17:25:32-0700',mode:absolute,to:'2017-02-02T20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9" s="94" t="str">
        <f t="shared" si="1"/>
        <v>"C:\Program Files (x86)\AstroGrep\AstroGrep.exe" /spath="%USERPROFILE%\AppData\Local\Temp\OnboardLogs" /stypes="*4051*201702030*" /stext=" 01:.+((SYSTEM_STATE.+slice.+state.+changed )|(ment ac)|(multiple cpu faults)|(system.+state.+changed )|(\[timeout)|(PRM\|1\|D)|(kpr)|(kdp)|(\|lc)|(penalty))" /e /r /s</v>
      </c>
      <c r="U9" s="9" t="str">
        <f t="shared" si="2"/>
        <v>4051</v>
      </c>
      <c r="V9" s="32">
        <f t="shared" si="3"/>
        <v>42769.06695601852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arrival","project_id":79,"tracker_id":40,"status_id":1,"priority_id":2,"assigned_to_id":23,"start_date":"2017-02-02","description":"","custom_fields":[{"id":1,"name":"Subdivision","value":"EC"},{"id":4,"name":"Milepost","value":"2.7053"},{"id":17,"name":"Train ID","value":"219-02"},{"id":16,"name":"Locomotive ID","value":"4051"},{"id":130,"name":"Impact","value":""},{"id":150,"name":"Time of Event (Mountain Time)","value":"18:36:25"},{"id":151,"name":"Denver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"%USERPROFILE%\AppData\Local\Temp\OnboardLogs"\RTDC4051\*4051*201702030*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"%USERPROFILE%\AppData\Local\Temp\OnboardLogs"\RTDC4051\*4051*201702030* &gt;&gt; 2017-02-02-SliceDisagreementCheck.txt</v>
      </c>
      <c r="AE9" s="163" t="str">
        <f t="shared" si="8"/>
        <v>start /low /b %USERPROFILE%\Documents\GitHub\eaglep3\Utilities\DownloadLogsFromS3.py --loco 4051 --day 2017-02-03</v>
      </c>
    </row>
    <row r="10" spans="1:31" s="1" customFormat="1" x14ac:dyDescent="0.25">
      <c r="A10" s="32">
        <v>42768.839143518519</v>
      </c>
      <c r="B10" s="30" t="s">
        <v>192</v>
      </c>
      <c r="C10" s="30" t="s">
        <v>462</v>
      </c>
      <c r="D10" s="30" t="s">
        <v>49</v>
      </c>
      <c r="E10" s="30" t="s">
        <v>201</v>
      </c>
      <c r="F10" s="43">
        <v>0</v>
      </c>
      <c r="G10" s="43">
        <v>168</v>
      </c>
      <c r="H10" s="43">
        <v>30785</v>
      </c>
      <c r="I10" s="43">
        <v>30982</v>
      </c>
      <c r="J10" s="30" t="s">
        <v>202</v>
      </c>
      <c r="K10" s="43">
        <v>30830</v>
      </c>
      <c r="L10" s="143" t="s">
        <v>50</v>
      </c>
      <c r="M10" s="144">
        <f t="shared" si="0"/>
        <v>-80.256</v>
      </c>
      <c r="N10" s="145" t="str">
        <f>VLOOKUP(C10,'Trips&amp;Operators'!$C$1:$G$99999,5,FALSE)</f>
        <v>MACDONALD THOMAS</v>
      </c>
      <c r="O10" s="159" t="s">
        <v>185</v>
      </c>
      <c r="P10" s="146" t="s">
        <v>319</v>
      </c>
      <c r="Q10" s="30"/>
      <c r="R10" s="89" t="str">
        <f>VLOOKUP(C10,'Train Runs'!$A$13:$AE$9967,31,0)</f>
        <v>aws s3 cp s3://rtdc.mdm.uploadarchive.raw/RTDC4011/ "%USERPROFILE%\AppData\Local\Temp\OnboardLogs"\RTDC4011\2017-02-02 --exclude "*" --recursive --include "*20170202*" &amp; "%USERPROFILE%\Documents\GitHub\mrs-test-scripts\Headless Mode &amp; Sideloading\WalkAndUnGZ.bat" "%USERPROFILE%\AppData\Local\Temp\OnboardLogs"\RTDC4011\2017-02-02 &amp; aws s3 cp s3://rtdc.mdm.uploadarchive.raw/RTDC4011/ "%USERPROFILE%\AppData\Local\Temp\OnboardLogs"\RTDC4011\2017-02-03 --exclude "*" --recursive --include "*20170203*" &amp; "%USERPROFILE%\Documents\GitHub\mrs-test-scripts\Headless Mode &amp; Sideloading\WalkAndUnGZ.bat" "%USERPROFILE%\AppData\Local\Temp\OnboardLogs"\RTDC4011\2017-02-03</v>
      </c>
      <c r="S10" s="92" t="str">
        <f>VLOOKUP(C10,'Train Runs'!$A$13:$AE$9967,22,0)</f>
        <v>https://d0f6bd738d7f1b3e5a7ca70fe4ff75f0.us-east-1.aws.found.io/app/kibana#/discover/Steve-Slow-Train-Analysis-(2080s-and-2083s)?_g=(refreshInterval:(display:Off,pause:!f,section:0,value:0),time:(from:'2017-02-02T18:52:24-0700',mode:absolute,to:'2017-02-02T21:38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94" t="str">
        <f t="shared" si="1"/>
        <v>"C:\Program Files (x86)\AstroGrep\AstroGrep.exe" /spath="%USERPROFILE%\AppData\Local\Temp\OnboardLogs" /stypes="*4011*201702030*" /stext=" 03:.+((SYSTEM_STATE.+slice.+state.+changed )|(ment ac)|(multiple cpu faults)|(system.+state.+changed )|(\[timeout)|(PRM\|1\|D)|(kpr)|(kdp)|(\|lc)|(penalty))" /e /r /s</v>
      </c>
      <c r="U10" s="9" t="str">
        <f t="shared" si="2"/>
        <v>4011</v>
      </c>
      <c r="V10" s="32">
        <f t="shared" si="3"/>
        <v>42769.130810185183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arrival","project_id":79,"tracker_id":40,"status_id":1,"priority_id":2,"assigned_to_id":23,"start_date":"2017-02-02","description":"","custom_fields":[{"id":1,"name":"Subdivision","value":"EC"},{"id":4,"name":"Milepost","value":"3.083"},{"id":17,"name":"Train ID","value":"225-02"},{"id":16,"name":"Locomotive ID","value":"4011"},{"id":130,"name":"Impact","value":""},{"id":150,"name":"Time of Event (Mountain Time)","value":"20:08:22"},{"id":151,"name":"Denver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"%USERPROFILE%\AppData\Local\Temp\OnboardLogs"\RTDC4011\*4011*201702030*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"%USERPROFILE%\AppData\Local\Temp\OnboardLogs"\RTDC4011\*4011*201702030* &gt;&gt; 2017-02-02-SliceDisagreementCheck.txt</v>
      </c>
      <c r="AE10" s="163" t="str">
        <f t="shared" si="8"/>
        <v>start /low /b %USERPROFILE%\Documents\GitHub\eaglep3\Utilities\DownloadLogsFromS3.py --loco 4011 --day 2017-02-03</v>
      </c>
    </row>
    <row r="11" spans="1:31" s="1" customFormat="1" x14ac:dyDescent="0.25">
      <c r="A11" s="32">
        <v>42768.413495370369</v>
      </c>
      <c r="B11" s="30" t="s">
        <v>233</v>
      </c>
      <c r="C11" s="30" t="s">
        <v>448</v>
      </c>
      <c r="D11" s="30" t="s">
        <v>49</v>
      </c>
      <c r="E11" s="30" t="s">
        <v>201</v>
      </c>
      <c r="F11" s="43">
        <v>240</v>
      </c>
      <c r="G11" s="43">
        <v>355</v>
      </c>
      <c r="H11" s="43">
        <v>35389</v>
      </c>
      <c r="I11" s="43">
        <v>34460</v>
      </c>
      <c r="J11" s="30" t="s">
        <v>202</v>
      </c>
      <c r="K11" s="43">
        <v>33257</v>
      </c>
      <c r="L11" s="143" t="s">
        <v>51</v>
      </c>
      <c r="M11" s="144">
        <f t="shared" si="0"/>
        <v>635.18399999999997</v>
      </c>
      <c r="N11" s="145" t="str">
        <f>VLOOKUP(C11,'Trips&amp;Operators'!$C$1:$G$99999,5,FALSE)</f>
        <v>YORK EDGAR</v>
      </c>
      <c r="O11" s="159" t="s">
        <v>185</v>
      </c>
      <c r="P11" s="146" t="s">
        <v>319</v>
      </c>
      <c r="Q11" s="30"/>
      <c r="R11" s="89" t="str">
        <f>VLOOKUP(C11,'Train Runs'!$A$13:$AE$9967,31,0)</f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S11" s="92" t="str">
        <f>VLOOKUP(C11,'Train Runs'!$A$13:$AE$9967,22,0)</f>
        <v>https://d0f6bd738d7f1b3e5a7ca70fe4ff75f0.us-east-1.aws.found.io/app/kibana#/discover/Steve-Slow-Train-Analysis-(2080s-and-2083s)?_g=(refreshInterval:(display:Off,pause:!f,section:0,value:0),time:(from:'2017-02-02T08:07:14-0700',mode:absolute,to:'2017-02-02T11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94" t="str">
        <f t="shared" si="1"/>
        <v>"C:\Program Files (x86)\AstroGrep\AstroGrep.exe" /spath="%USERPROFILE%\AppData\Local\Temp\OnboardLogs" /stypes="*4028*201702021*" /stext=" 16:.+((SYSTEM_STATE.+slice.+state.+changed )|(ment ac)|(multiple cpu faults)|(system.+state.+changed )|(\[timeout)|(PRM\|1\|D)|(kpr)|(kdp)|(\|lc)|(penalty))" /e /r /s</v>
      </c>
      <c r="U11" s="9" t="str">
        <f t="shared" si="2"/>
        <v>4028</v>
      </c>
      <c r="V11" s="32">
        <f t="shared" si="3"/>
        <v>42768.705162037033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arrival","project_id":79,"tracker_id":40,"status_id":1,"priority_id":2,"assigned_to_id":23,"start_date":"2017-02-02","description":"","custom_fields":[{"id":1,"name":"Subdivision","value":"EC"},{"id":4,"name":"Milepost","value":"3.3257"},{"id":17,"name":"Train ID","value":"140-02"},{"id":16,"name":"Locomotive ID","value":"4028"},{"id":130,"name":"Impact","value":""},{"id":150,"name":"Time of Event (Mountain Time)","value":"09:55:26"},{"id":151,"name":"Denver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"%USERPROFILE%\AppData\Local\Temp\OnboardLogs"\RTDC4028\*4028*201702021*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"%USERPROFILE%\AppData\Local\Temp\OnboardLogs"\RTDC4028\*4028*201702021* &gt;&gt; 2017-02-02-SliceDisagreementCheck.txt</v>
      </c>
      <c r="AE11" s="163" t="str">
        <f t="shared" si="8"/>
        <v>start /low /b %USERPROFILE%\Documents\GitHub\eaglep3\Utilities\DownloadLogsFromS3.py --loco 4028 --day 2017-02-02</v>
      </c>
    </row>
    <row r="12" spans="1:31" s="1" customFormat="1" x14ac:dyDescent="0.25">
      <c r="A12" s="32">
        <v>42768.655474537038</v>
      </c>
      <c r="B12" s="30" t="s">
        <v>234</v>
      </c>
      <c r="C12" s="30" t="s">
        <v>456</v>
      </c>
      <c r="D12" s="30" t="s">
        <v>49</v>
      </c>
      <c r="E12" s="30" t="s">
        <v>201</v>
      </c>
      <c r="F12" s="43">
        <v>0</v>
      </c>
      <c r="G12" s="43">
        <v>491</v>
      </c>
      <c r="H12" s="43">
        <v>62206</v>
      </c>
      <c r="I12" s="43">
        <v>63477</v>
      </c>
      <c r="J12" s="30" t="s">
        <v>202</v>
      </c>
      <c r="K12" s="43">
        <v>63069</v>
      </c>
      <c r="L12" s="143" t="s">
        <v>50</v>
      </c>
      <c r="M12" s="144">
        <f t="shared" si="0"/>
        <v>-215.42400000000001</v>
      </c>
      <c r="N12" s="145" t="str">
        <f>VLOOKUP(C12,'Trips&amp;Operators'!$C$1:$G$99999,5,FALSE)</f>
        <v>DELGADO DIANAH</v>
      </c>
      <c r="O12" s="159" t="s">
        <v>185</v>
      </c>
      <c r="P12" s="146" t="s">
        <v>319</v>
      </c>
      <c r="Q12" s="30"/>
      <c r="R12" s="89" t="str">
        <f>VLOOKUP(C12,'Train Runs'!$A$13:$AE$9967,31,0)</f>
        <v>aws s3 cp s3://rtdc.mdm.uploadarchive.raw/RTDC4027/ "%USERPROFILE%\AppData\Local\Temp\OnboardLogs"\RTDC4027\2017-02-02 --exclude "*" --recursive --include "*20170202*" &amp; "%USERPROFILE%\Documents\GitHub\mrs-test-scripts\Headless Mode &amp; Sideloading\WalkAndUnGZ.bat" "%USERPROFILE%\AppData\Local\Temp\OnboardLogs"\RTDC4027\2017-02-02 &amp; aws s3 cp s3://rtdc.mdm.uploadarchive.raw/RTDC4027/ "%USERPROFILE%\AppData\Local\Temp\OnboardLogs"\RTDC4027\2017-02-03 --exclude "*" --recursive --include "*20170203*" &amp; "%USERPROFILE%\Documents\GitHub\mrs-test-scripts\Headless Mode &amp; Sideloading\WalkAndUnGZ.bat" "%USERPROFILE%\AppData\Local\Temp\OnboardLogs"\RTDC4027\2017-02-03</v>
      </c>
      <c r="S12" s="92" t="str">
        <f>VLOOKUP(C12,'Train Runs'!$A$13:$AE$9967,22,0)</f>
        <v>https://d0f6bd738d7f1b3e5a7ca70fe4ff75f0.us-east-1.aws.found.io/app/kibana#/discover/Steve-Slow-Train-Analysis-(2080s-and-2083s)?_g=(refreshInterval:(display:Off,pause:!f,section:0,value:0),time:(from:'2017-02-02T14:22:51-0700',mode:absolute,to:'2017-02-02T17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2" s="94" t="str">
        <f t="shared" si="1"/>
        <v>"C:\Program Files (x86)\AstroGrep\AstroGrep.exe" /spath="%USERPROFILE%\AppData\Local\Temp\OnboardLogs" /stypes="*4027*201702022*" /stext=" 22:.+((SYSTEM_STATE.+slice.+state.+changed )|(ment ac)|(multiple cpu faults)|(system.+state.+changed )|(\[timeout)|(PRM\|1\|D)|(kpr)|(kdp)|(\|lc)|(penalty))" /e /r /s</v>
      </c>
      <c r="U12" s="9" t="str">
        <f t="shared" si="2"/>
        <v>4027</v>
      </c>
      <c r="V12" s="32">
        <f t="shared" si="3"/>
        <v>42768.947141203702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arrival","project_id":79,"tracker_id":40,"status_id":1,"priority_id":2,"assigned_to_id":23,"start_date":"2017-02-02","description":"","custom_fields":[{"id":1,"name":"Subdivision","value":"EC"},{"id":4,"name":"Milepost","value":"6.3069"},{"id":17,"name":"Train ID","value":"195-02"},{"id":16,"name":"Locomotive ID","value":"4027"},{"id":130,"name":"Impact","value":""},{"id":150,"name":"Time of Event (Mountain Time)","value":"15:43:53"},{"id":151,"name":"Denver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"%USERPROFILE%\AppData\Local\Temp\OnboardLogs"\RTDC4027\*4027*201702022*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"%USERPROFILE%\AppData\Local\Temp\OnboardLogs"\RTDC4027\*4027*201702022* &gt;&gt; 2017-02-02-SliceDisagreementCheck.txt</v>
      </c>
      <c r="AE12" s="163" t="str">
        <f t="shared" si="8"/>
        <v>start /low /b %USERPROFILE%\Documents\GitHub\eaglep3\Utilities\DownloadLogsFromS3.py --loco 4027 --day 2017-02-02</v>
      </c>
    </row>
    <row r="13" spans="1:31" s="1" customFormat="1" x14ac:dyDescent="0.25">
      <c r="A13" s="32">
        <v>42768.306956018518</v>
      </c>
      <c r="B13" s="30" t="s">
        <v>320</v>
      </c>
      <c r="C13" s="30" t="s">
        <v>444</v>
      </c>
      <c r="D13" s="30" t="s">
        <v>49</v>
      </c>
      <c r="E13" s="30" t="s">
        <v>219</v>
      </c>
      <c r="F13" s="43">
        <v>200</v>
      </c>
      <c r="G13" s="43">
        <v>458</v>
      </c>
      <c r="H13" s="43">
        <v>24924</v>
      </c>
      <c r="I13" s="43">
        <v>26115</v>
      </c>
      <c r="J13" s="30" t="s">
        <v>220</v>
      </c>
      <c r="K13" s="43">
        <v>27333</v>
      </c>
      <c r="L13" s="143" t="s">
        <v>50</v>
      </c>
      <c r="M13" s="144">
        <f t="shared" si="0"/>
        <v>643.10400000000004</v>
      </c>
      <c r="N13" s="145" t="str">
        <f>VLOOKUP(C13,'Trips&amp;Operators'!$C$1:$G$99999,5,FALSE)</f>
        <v>STARKS ANGELINA</v>
      </c>
      <c r="O13" s="159" t="s">
        <v>185</v>
      </c>
      <c r="P13" s="146"/>
      <c r="Q13" s="30"/>
      <c r="R13" s="89" t="str">
        <f>VLOOKUP(C13,'Train Runs'!$A$13:$AE$9967,31,0)</f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S13" s="92" t="str">
        <f>VLOOKUP(C13,'Train Runs'!$A$13:$AE$9967,22,0)</f>
        <v>https://d0f6bd738d7f1b3e5a7ca70fe4ff75f0.us-east-1.aws.found.io/app/kibana#/discover/Steve-Slow-Train-Analysis-(2080s-and-2083s)?_g=(refreshInterval:(display:Off,pause:!f,section:0,value:0),time:(from:'2017-02-02T06:10:15-0700',mode:absolute,to:'2017-02-02T08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94" t="str">
        <f t="shared" si="1"/>
        <v>"C:\Program Files (x86)\AstroGrep\AstroGrep.exe" /spath="%USERPROFILE%\AppData\Local\Temp\OnboardLogs" /stypes="*4016*201702021*" /stext=" 14:.+((SYSTEM_STATE.+slice.+state.+changed )|(ment ac)|(multiple cpu faults)|(system.+state.+changed )|(\[timeout)|(PRM\|1\|D)|(kpr)|(kdp)|(\|lc)|(penalty))" /e /r /s</v>
      </c>
      <c r="U13" s="9" t="str">
        <f t="shared" si="2"/>
        <v>4016</v>
      </c>
      <c r="V13" s="32">
        <f t="shared" si="3"/>
        <v>42768.598622685182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{"issue":{"subject":"","project_id":79,"tracker_id":40,"status_id":1,"priority_id":2,"assigned_to_id":23,"start_date":"2017-02-02","description":"","custom_fields":[{"id":1,"name":"Subdivision","value":"EC"},{"id":4,"name":"Milepost","value":"2.7333"},{"id":17,"name":"Train ID","value":"129-02"},{"id":16,"name":"Locomotive ID","value":"4016"},{"id":130,"name":"Impact","value":""},{"id":150,"name":"Time of Event (Mountain Time)","value":"07:22:01"},{"id":151,"name":"Denver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"%USERPROFILE%\AppData\Local\Temp\OnboardLogs"\RTDC4016\*4016*201702021*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"%USERPROFILE%\AppData\Local\Temp\OnboardLogs"\RTDC4016\*4016*201702021* &gt;&gt; 2017-02-02-SliceDisagreementCheck.txt</v>
      </c>
      <c r="AE13" s="163" t="str">
        <f t="shared" si="8"/>
        <v>start /low /b %USERPROFILE%\Documents\GitHub\eaglep3\Utilities\DownloadLogsFromS3.py --loco 4016 --day 2017-02-02</v>
      </c>
    </row>
    <row r="14" spans="1:31" s="1" customFormat="1" x14ac:dyDescent="0.25">
      <c r="A14" s="32">
        <v>42768.859224537038</v>
      </c>
      <c r="B14" s="30" t="s">
        <v>294</v>
      </c>
      <c r="C14" s="30" t="s">
        <v>463</v>
      </c>
      <c r="D14" s="30" t="s">
        <v>98</v>
      </c>
      <c r="E14" s="30" t="s">
        <v>219</v>
      </c>
      <c r="F14" s="43">
        <v>200</v>
      </c>
      <c r="G14" s="43">
        <v>256</v>
      </c>
      <c r="H14" s="43">
        <v>27823</v>
      </c>
      <c r="I14" s="43">
        <v>28983</v>
      </c>
      <c r="J14" s="30" t="s">
        <v>220</v>
      </c>
      <c r="K14" s="43">
        <v>27333</v>
      </c>
      <c r="L14" s="143" t="s">
        <v>50</v>
      </c>
      <c r="M14" s="144">
        <f t="shared" si="0"/>
        <v>-871.2</v>
      </c>
      <c r="N14" s="145" t="str">
        <f>VLOOKUP(C14,'Trips&amp;Operators'!$C$1:$G$99999,5,FALSE)</f>
        <v>HILLS DUSTIN</v>
      </c>
      <c r="O14" s="159" t="s">
        <v>185</v>
      </c>
      <c r="P14" s="146"/>
      <c r="Q14" s="30"/>
      <c r="R14" s="89" t="str">
        <f>VLOOKUP(C14,'Train Runs'!$A$13:$AE$9967,31,0)</f>
        <v>aws s3 cp s3://rtdc.mdm.uploadarchive.raw/RTDC4051/ "%USERPROFILE%\AppData\Local\Temp\OnboardLogs"\RTDC4051\2017-02-02 --exclude "*" --recursive --include "*20170202*" &amp; "%USERPROFILE%\Documents\GitHub\mrs-test-scripts\Headless Mode &amp; Sideloading\WalkAndUnGZ.bat" "%USERPROFILE%\AppData\Local\Temp\OnboardLogs"\RTDC4051\2017-02-02 &amp; 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</v>
      </c>
      <c r="S14" s="92" t="str">
        <f>VLOOKUP(C14,'Train Runs'!$A$13:$AE$9967,22,0)</f>
        <v>https://d0f6bd738d7f1b3e5a7ca70fe4ff75f0.us-east-1.aws.found.io/app/kibana#/discover/Steve-Slow-Train-Analysis-(2080s-and-2083s)?_g=(refreshInterval:(display:Off,pause:!f,section:0,value:0),time:(from:'2017-02-02T19:11:55-0700',mode:absolute,to:'2017-02-02T22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4" s="94" t="str">
        <f t="shared" si="1"/>
        <v>"C:\Program Files (x86)\AstroGrep\AstroGrep.exe" /spath="%USERPROFILE%\AppData\Local\Temp\OnboardLogs" /stypes="*4051*201702030*" /stext=" 03:.+((SYSTEM_STATE.+slice.+state.+changed )|(ment ac)|(multiple cpu faults)|(system.+state.+changed )|(\[timeout)|(PRM\|1\|D)|(kpr)|(kdp)|(\|lc)|(penalty))" /e /r /s</v>
      </c>
      <c r="U14" s="9" t="str">
        <f t="shared" si="2"/>
        <v>4051</v>
      </c>
      <c r="V14" s="32">
        <f t="shared" si="3"/>
        <v>42769.150891203702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{"issue":{"subject":"","project_id":79,"tracker_id":40,"status_id":1,"priority_id":2,"assigned_to_id":23,"start_date":"2017-02-02","description":"","custom_fields":[{"id":1,"name":"Subdivision","value":"EC"},{"id":4,"name":"Milepost","value":"2.7333"},{"id":17,"name":"Train ID","value":"227-02"},{"id":16,"name":"Locomotive ID","value":"4051"},{"id":130,"name":"Impact","value":""},{"id":150,"name":"Time of Event (Mountain Time)","value":"20:37:17"},{"id":151,"name":"Denver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"%USERPROFILE%\AppData\Local\Temp\OnboardLogs"\RTDC4051\*4051*201702030*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"%USERPROFILE%\AppData\Local\Temp\OnboardLogs"\RTDC4051\*4051*201702030* &gt;&gt; 2017-02-02-SliceDisagreementCheck.txt</v>
      </c>
      <c r="AE14" s="163" t="str">
        <f t="shared" si="8"/>
        <v>start /low /b %USERPROFILE%\Documents\GitHub\eaglep3\Utilities\DownloadLogsFromS3.py --loco 4051 --day 2017-02-03</v>
      </c>
    </row>
    <row r="15" spans="1:31" s="1" customFormat="1" x14ac:dyDescent="0.25">
      <c r="A15" s="32">
        <v>42768.325659722221</v>
      </c>
      <c r="B15" s="30" t="s">
        <v>320</v>
      </c>
      <c r="C15" s="30" t="s">
        <v>444</v>
      </c>
      <c r="D15" s="30" t="s">
        <v>49</v>
      </c>
      <c r="E15" s="30" t="s">
        <v>219</v>
      </c>
      <c r="F15" s="43">
        <v>550</v>
      </c>
      <c r="G15" s="43">
        <v>795</v>
      </c>
      <c r="H15" s="43">
        <v>217447</v>
      </c>
      <c r="I15" s="43">
        <v>221857</v>
      </c>
      <c r="J15" s="30" t="s">
        <v>220</v>
      </c>
      <c r="K15" s="43">
        <v>222090</v>
      </c>
      <c r="L15" s="143" t="s">
        <v>50</v>
      </c>
      <c r="M15" s="144">
        <f t="shared" si="0"/>
        <v>123.024</v>
      </c>
      <c r="N15" s="145" t="str">
        <f>VLOOKUP(C15,'Trips&amp;Operators'!$C$1:$G$99999,5,FALSE)</f>
        <v>STARKS ANGELINA</v>
      </c>
      <c r="O15" s="159" t="s">
        <v>185</v>
      </c>
      <c r="P15" s="146"/>
      <c r="Q15" s="30"/>
      <c r="R15" s="89" t="str">
        <f>VLOOKUP(C15,'Train Runs'!$A$13:$AE$9967,31,0)</f>
        <v>aws s3 cp s3://rtdc.mdm.uploadarchive.raw/RTDC4016/ "%USERPROFILE%\AppData\Local\Temp\OnboardLogs"\RTDC4016\2017-02-02 --exclude "*" --recursive --include "*20170202*" &amp; "%USERPROFILE%\Documents\GitHub\mrs-test-scripts\Headless Mode &amp; Sideloading\WalkAndUnGZ.bat" "%USERPROFILE%\AppData\Local\Temp\OnboardLogs"\RTDC4016\2017-02-02 &amp; aws s3 cp s3://rtdc.mdm.uploadarchive.raw/RTDC4016/ "%USERPROFILE%\AppData\Local\Temp\OnboardLogs"\RTDC4016\2017-02-03 --exclude "*" --recursive --include "*20170203*" &amp; "%USERPROFILE%\Documents\GitHub\mrs-test-scripts\Headless Mode &amp; Sideloading\WalkAndUnGZ.bat" "%USERPROFILE%\AppData\Local\Temp\OnboardLogs"\RTDC4016\2017-02-03</v>
      </c>
      <c r="S15" s="92" t="str">
        <f>VLOOKUP(C15,'Train Runs'!$A$13:$AE$9967,22,0)</f>
        <v>https://d0f6bd738d7f1b3e5a7ca70fe4ff75f0.us-east-1.aws.found.io/app/kibana#/discover/Steve-Slow-Train-Analysis-(2080s-and-2083s)?_g=(refreshInterval:(display:Off,pause:!f,section:0,value:0),time:(from:'2017-02-02T06:10:15-0700',mode:absolute,to:'2017-02-02T08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5" s="94" t="str">
        <f t="shared" si="1"/>
        <v>"C:\Program Files (x86)\AstroGrep\AstroGrep.exe" /spath="%USERPROFILE%\AppData\Local\Temp\OnboardLogs" /stypes="*4016*201702021*" /stext=" 14:.+((SYSTEM_STATE.+slice.+state.+changed )|(ment ac)|(multiple cpu faults)|(system.+state.+changed )|(\[timeout)|(PRM\|1\|D)|(kpr)|(kdp)|(\|lc)|(penalty))" /e /r /s</v>
      </c>
      <c r="U15" s="9" t="str">
        <f t="shared" si="2"/>
        <v>4016</v>
      </c>
      <c r="V15" s="32">
        <f t="shared" si="3"/>
        <v>42768.617326388885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{"issue":{"subject":"","project_id":79,"tracker_id":40,"status_id":1,"priority_id":2,"assigned_to_id":23,"start_date":"2017-02-02","description":"","custom_fields":[{"id":1,"name":"Subdivision","value":"EC"},{"id":4,"name":"Milepost","value":"22.209"},{"id":17,"name":"Train ID","value":"129-02"},{"id":16,"name":"Locomotive ID","value":"4016"},{"id":130,"name":"Impact","value":""},{"id":150,"name":"Time of Event (Mountain Time)","value":"07:48:57"},{"id":151,"name":"Denver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"%USERPROFILE%\AppData\Local\Temp\OnboardLogs"\RTDC4016\*4016*201702021*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"%USERPROFILE%\AppData\Local\Temp\OnboardLogs"\RTDC4016\*4016*201702021* &gt;&gt; 2017-02-02-SliceDisagreementCheck.txt</v>
      </c>
      <c r="AE15" s="163" t="str">
        <f t="shared" si="8"/>
        <v>start /low /b %USERPROFILE%\Documents\GitHub\eaglep3\Utilities\DownloadLogsFromS3.py --loco 4016 --day 2017-02-02</v>
      </c>
    </row>
    <row r="16" spans="1:31" s="1" customFormat="1" x14ac:dyDescent="0.25">
      <c r="A16" s="32">
        <v>42768.811562499999</v>
      </c>
      <c r="B16" s="30" t="s">
        <v>295</v>
      </c>
      <c r="C16" s="30" t="s">
        <v>460</v>
      </c>
      <c r="D16" s="30" t="s">
        <v>98</v>
      </c>
      <c r="E16" s="30" t="s">
        <v>219</v>
      </c>
      <c r="F16" s="43">
        <v>350</v>
      </c>
      <c r="G16" s="43">
        <v>401</v>
      </c>
      <c r="H16" s="43">
        <v>226097</v>
      </c>
      <c r="I16" s="43">
        <v>225172</v>
      </c>
      <c r="J16" s="30" t="s">
        <v>220</v>
      </c>
      <c r="K16" s="43">
        <v>230436</v>
      </c>
      <c r="L16" s="143" t="s">
        <v>51</v>
      </c>
      <c r="M16" s="144">
        <f t="shared" si="0"/>
        <v>-2779.3919999999998</v>
      </c>
      <c r="N16" s="145" t="str">
        <f>VLOOKUP(C16,'Trips&amp;Operators'!$C$1:$G$99999,5,FALSE)</f>
        <v>HILLS DUSTIN</v>
      </c>
      <c r="O16" s="159" t="s">
        <v>185</v>
      </c>
      <c r="P16" s="146"/>
      <c r="Q16" s="30"/>
      <c r="R16" s="89" t="str">
        <f>VLOOKUP(C16,'Train Runs'!$A$13:$AE$9967,31,0)</f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S16" s="92" t="str">
        <f>VLOOKUP(C16,'Train Runs'!$A$13:$AE$9967,22,0)</f>
        <v>https://d0f6bd738d7f1b3e5a7ca70fe4ff75f0.us-east-1.aws.found.io/app/kibana#/discover/Steve-Slow-Train-Analysis-(2080s-and-2083s)?_g=(refreshInterval:(display:Off,pause:!f,section:0,value:0),time:(from:'2017-02-02T18:15:48-0700',mode:absolute,to:'2017-02-02T21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6" s="94" t="str">
        <f t="shared" si="1"/>
        <v>"C:\Program Files (x86)\AstroGrep\AstroGrep.exe" /spath="%USERPROFILE%\AppData\Local\Temp\OnboardLogs" /stypes="*4052*201702030*" /stext=" 02:.+((SYSTEM_STATE.+slice.+state.+changed )|(ment ac)|(multiple cpu faults)|(system.+state.+changed )|(\[timeout)|(PRM\|1\|D)|(kpr)|(kdp)|(\|lc)|(penalty))" /e /r /s</v>
      </c>
      <c r="U16" s="9" t="str">
        <f t="shared" si="2"/>
        <v>4052</v>
      </c>
      <c r="V16" s="32">
        <f t="shared" si="3"/>
        <v>42769.103229166663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{"issue":{"subject":"","project_id":79,"tracker_id":40,"status_id":1,"priority_id":2,"assigned_to_id":23,"start_date":"2017-02-02","description":"","custom_fields":[{"id":1,"name":"Subdivision","value":"EC"},{"id":4,"name":"Milepost","value":"23.0436"},{"id":17,"name":"Train ID","value":"220-02"},{"id":16,"name":"Locomotive ID","value":"4052"},{"id":130,"name":"Impact","value":""},{"id":150,"name":"Time of Event (Mountain Time)","value":"19:28:39"},{"id":151,"name":"Denver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"%USERPROFILE%\AppData\Local\Temp\OnboardLogs"\RTDC4052\*4052*201702030*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"%USERPROFILE%\AppData\Local\Temp\OnboardLogs"\RTDC4052\*4052*201702030* &gt;&gt; 2017-02-02-SliceDisagreementCheck.txt</v>
      </c>
      <c r="AE16" s="163" t="str">
        <f t="shared" si="8"/>
        <v>start /low /b %USERPROFILE%\Documents\GitHub\eaglep3\Utilities\DownloadLogsFromS3.py --loco 4052 --day 2017-02-03</v>
      </c>
    </row>
    <row r="17" spans="1:32" x14ac:dyDescent="0.25">
      <c r="A17" s="32">
        <v>42768.537581018521</v>
      </c>
      <c r="B17" s="30" t="s">
        <v>335</v>
      </c>
      <c r="C17" s="30" t="s">
        <v>452</v>
      </c>
      <c r="D17" s="30" t="s">
        <v>49</v>
      </c>
      <c r="E17" s="30" t="s">
        <v>186</v>
      </c>
      <c r="F17" s="43">
        <v>0</v>
      </c>
      <c r="G17" s="43">
        <v>375</v>
      </c>
      <c r="H17" s="43">
        <v>35768</v>
      </c>
      <c r="I17" s="43">
        <v>36680</v>
      </c>
      <c r="J17" s="30" t="s">
        <v>187</v>
      </c>
      <c r="K17" s="43">
        <v>36645</v>
      </c>
      <c r="L17" s="143" t="s">
        <v>50</v>
      </c>
      <c r="M17" s="144">
        <f t="shared" si="0"/>
        <v>-18.48</v>
      </c>
      <c r="N17" s="145" t="str">
        <f>VLOOKUP(C17,'Trips&amp;Operators'!$C$1:$G$99999,5,FALSE)</f>
        <v>CLARK KATHLEEN</v>
      </c>
      <c r="O17" s="159" t="s">
        <v>221</v>
      </c>
      <c r="P17" s="146" t="s">
        <v>847</v>
      </c>
      <c r="Q17" s="30"/>
      <c r="R17" s="89" t="str">
        <f>VLOOKUP(C17,'Train Runs'!$A$13:$AE$9967,31,0)</f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S17" s="92" t="str">
        <f>VLOOKUP(C17,'Train Runs'!$A$13:$AE$9967,22,0)</f>
        <v>https://d0f6bd738d7f1b3e5a7ca70fe4ff75f0.us-east-1.aws.found.io/app/kibana#/discover/Steve-Slow-Train-Analysis-(2080s-and-2083s)?_g=(refreshInterval:(display:Off,pause:!f,section:0,value:0),time:(from:'2017-02-02T11:38:55-0700',mode:absolute,to:'2017-02-02T13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94" t="str">
        <f t="shared" si="1"/>
        <v>"C:\Program Files (x86)\AstroGrep\AstroGrep.exe" /spath="%USERPROFILE%\AppData\Local\Temp\OnboardLogs" /stypes="*4009*201702021*" /stext=" 19:.+((SYSTEM_STATE.+slice.+state.+changed )|(ment ac)|(multiple cpu faults)|(system.+state.+changed )|(\[timeout)|(PRM\|1\|D)|(kpr)|(kdp)|(\|lc)|(penalty))" /e /r /s</v>
      </c>
      <c r="U17" s="9" t="str">
        <f t="shared" si="2"/>
        <v>4009</v>
      </c>
      <c r="V17" s="32">
        <f t="shared" si="3"/>
        <v>42768.829247685186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{"issue":{"subject":"Wi-MAX data drop","project_id":79,"tracker_id":40,"status_id":1,"priority_id":2,"assigned_to_id":23,"start_date":"2017-02-02","description":"http://stevetu21.github.io/eaglep3/load_kml.html?kml=http://rtdc.gmaps-snips.s3.amazonaws.com/591dfbbc-4b8f-4600-ace9-f535907ea8bb.kml","custom_fields":[{"id":1,"name":"Subdivision","value":"EC"},{"id":4,"name":"Milepost","value":"3.6645"},{"id":17,"name":"Train ID","value":"173-02"},{"id":16,"name":"Locomotive ID","value":"4009"},{"id":130,"name":"Impact","value":"Enforcement"},{"id":150,"name":"Time of Event (Mountain Time)","value":"12:54:07"},{"id":151,"name":"Denver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20" t="s">
        <v>846</v>
      </c>
      <c r="AA17" s="48" t="s">
        <v>124</v>
      </c>
      <c r="AB17" s="48" t="s">
        <v>137</v>
      </c>
      <c r="AC17" s="127" t="str">
        <f t="shared" si="7"/>
        <v>grep -hSE -A400 "Enforcement Action" "%USERPROFILE%\AppData\Local\Temp\OnboardLogs"\RTDC4009\*4009*201702021*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"%USERPROFILE%\AppData\Local\Temp\OnboardLogs"\RTDC4009\*4009*201702021* &gt;&gt; 2017-02-02-SliceDisagreementCheck.txt</v>
      </c>
      <c r="AE17" s="163" t="str">
        <f t="shared" si="8"/>
        <v>start /low /b %USERPROFILE%\Documents\GitHub\eaglep3\Utilities\DownloadLogsFromS3.py --loco 4009 --day 2017-02-02</v>
      </c>
      <c r="AF17" s="1"/>
    </row>
    <row r="18" spans="1:32" x14ac:dyDescent="0.25">
      <c r="A18" s="32">
        <v>42768.470405092594</v>
      </c>
      <c r="B18" s="30" t="s">
        <v>335</v>
      </c>
      <c r="C18" s="30" t="s">
        <v>450</v>
      </c>
      <c r="D18" s="30" t="s">
        <v>98</v>
      </c>
      <c r="E18" s="30" t="s">
        <v>186</v>
      </c>
      <c r="F18" s="43">
        <v>0</v>
      </c>
      <c r="G18" s="43">
        <v>478</v>
      </c>
      <c r="H18" s="43">
        <v>81819</v>
      </c>
      <c r="I18" s="43">
        <v>83104</v>
      </c>
      <c r="J18" s="30" t="s">
        <v>187</v>
      </c>
      <c r="K18" s="43">
        <v>81738</v>
      </c>
      <c r="L18" s="143" t="s">
        <v>50</v>
      </c>
      <c r="M18" s="144">
        <f t="shared" si="0"/>
        <v>-721.24800000000005</v>
      </c>
      <c r="N18" s="145" t="str">
        <f>VLOOKUP(C18,'Trips&amp;Operators'!$C$1:$G$99999,5,FALSE)</f>
        <v>CLARK KATHLEEN</v>
      </c>
      <c r="O18" s="159" t="s">
        <v>221</v>
      </c>
      <c r="P18" s="146" t="s">
        <v>848</v>
      </c>
      <c r="Q18" s="30"/>
      <c r="R18" s="89" t="str">
        <f>VLOOKUP(C18,'Train Runs'!$A$13:$AE$9967,31,0)</f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S18" s="92" t="str">
        <f>VLOOKUP(C18,'Train Runs'!$A$13:$AE$9967,22,0)</f>
        <v>https://d0f6bd738d7f1b3e5a7ca70fe4ff75f0.us-east-1.aws.found.io/app/kibana#/discover/Steve-Slow-Train-Analysis-(2080s-and-2083s)?_g=(refreshInterval:(display:Off,pause:!f,section:0,value:0),time:(from:'2017-02-02T09:55:07-0700',mode:absolute,to:'2017-02-02T12:41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94" t="str">
        <f t="shared" si="1"/>
        <v>"C:\Program Files (x86)\AstroGrep\AstroGrep.exe" /spath="%USERPROFILE%\AppData\Local\Temp\OnboardLogs" /stypes="*4009*201702021*" /stext=" 18:.+((SYSTEM_STATE.+slice.+state.+changed )|(ment ac)|(multiple cpu faults)|(system.+state.+changed )|(\[timeout)|(PRM\|1\|D)|(kpr)|(kdp)|(\|lc)|(penalty))" /e /r /s</v>
      </c>
      <c r="U18" s="9" t="str">
        <f t="shared" si="2"/>
        <v>4009</v>
      </c>
      <c r="V18" s="32">
        <f t="shared" si="3"/>
        <v>42768.762071759258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{"issue":{"subject":"Premature downgrade at EC0816RH 75-1T 1N (false occupancy at 81-1T?)","project_id":79,"tracker_id":40,"status_id":1,"priority_id":2,"assigned_to_id":23,"start_date":"2017-02-02","description":"At 11:17:01, EC0816RH 75-1T dropped from 270 to STOP &amp; PROCEED. Another false occupancy at 81-1T?","custom_fields":[{"id":1,"name":"Subdivision","value":"EC"},{"id":4,"name":"Milepost","value":"8.1738"},{"id":17,"name":"Train ID","value":"159-02"},{"id":16,"name":"Locomotive ID","value":"4009"},{"id":130,"name":"Impact","value":"Enforcement"},{"id":150,"name":"Time of Event (Mountain Time)","value":"11:17:23"},{"id":151,"name":"Denver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8" s="48" t="s">
        <v>849</v>
      </c>
      <c r="AA18" s="48" t="s">
        <v>124</v>
      </c>
      <c r="AB18" s="48" t="s">
        <v>129</v>
      </c>
      <c r="AC18" s="127" t="str">
        <f t="shared" si="7"/>
        <v>grep -hSE -A400 "Enforcement Action" "%USERPROFILE%\AppData\Local\Temp\OnboardLogs"\RTDC4009\*4009*201702021*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"%USERPROFILE%\AppData\Local\Temp\OnboardLogs"\RTDC4009\*4009*201702021* &gt;&gt; 2017-02-02-SliceDisagreementCheck.txt</v>
      </c>
      <c r="AE18" s="163" t="str">
        <f t="shared" si="8"/>
        <v>start /low /b %USERPROFILE%\Documents\GitHub\eaglep3\Utilities\DownloadLogsFromS3.py --loco 4009 --day 2017-02-02</v>
      </c>
      <c r="AF18" s="1"/>
    </row>
    <row r="19" spans="1:32" x14ac:dyDescent="0.25">
      <c r="A19" s="32">
        <v>42768.266504629632</v>
      </c>
      <c r="B19" s="30" t="s">
        <v>224</v>
      </c>
      <c r="C19" s="30" t="s">
        <v>442</v>
      </c>
      <c r="D19" s="30" t="s">
        <v>49</v>
      </c>
      <c r="E19" s="30" t="s">
        <v>188</v>
      </c>
      <c r="F19" s="43">
        <v>0</v>
      </c>
      <c r="G19" s="43">
        <v>71</v>
      </c>
      <c r="H19" s="43">
        <v>263</v>
      </c>
      <c r="I19" s="43">
        <v>183</v>
      </c>
      <c r="J19" s="30" t="s">
        <v>189</v>
      </c>
      <c r="K19" s="43">
        <v>1</v>
      </c>
      <c r="L19" s="143" t="s">
        <v>51</v>
      </c>
      <c r="M19" s="144">
        <f t="shared" si="0"/>
        <v>96.096000000000004</v>
      </c>
      <c r="N19" s="145" t="str">
        <f>VLOOKUP(C19,'Trips&amp;Operators'!$C$1:$G$99999,5,FALSE)</f>
        <v>ACKERMAN JARED</v>
      </c>
      <c r="O19" s="159" t="s">
        <v>185</v>
      </c>
      <c r="P19" s="146"/>
      <c r="Q19" s="30"/>
      <c r="R19" s="89" t="str">
        <f>VLOOKUP(C19,'Train Runs'!$A$13:$AE$9967,31,0)</f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S19" s="92" t="str">
        <f>VLOOKUP(C19,'Train Runs'!$A$13:$AE$9967,22,0)</f>
        <v>https://d0f6bd738d7f1b3e5a7ca70fe4ff75f0.us-east-1.aws.found.io/app/kibana#/discover/Steve-Slow-Train-Analysis-(2080s-and-2083s)?_g=(refreshInterval:(display:Off,pause:!f,section:0,value:0),time:(from:'2017-02-02T04:30:39-0700',mode:absolute,to:'2017-02-02T08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94" t="str">
        <f t="shared" si="1"/>
        <v>"C:\Program Files (x86)\AstroGrep\AstroGrep.exe" /spath="%USERPROFILE%\AppData\Local\Temp\OnboardLogs" /stypes="*4026*201702021*" /stext=" 13:.+((SYSTEM_STATE.+slice.+state.+changed )|(ment ac)|(multiple cpu faults)|(system.+state.+changed )|(\[timeout)|(PRM\|1\|D)|(kpr)|(kdp)|(\|lc)|(penalty))" /e /r /s</v>
      </c>
      <c r="U19" s="9" t="str">
        <f t="shared" si="2"/>
        <v>4026</v>
      </c>
      <c r="V19" s="32">
        <f t="shared" si="3"/>
        <v>42768.558171296296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{"issue":{"subject":"","project_id":79,"tracker_id":40,"status_id":1,"priority_id":2,"assigned_to_id":23,"start_date":"2017-02-02","description":"","custom_fields":[{"id":1,"name":"Subdivision","value":"EC"},{"id":4,"name":"Milepost","value":"0.0001"},{"id":17,"name":"Train ID","value":"110-02"},{"id":16,"name":"Locomotive ID","value":"4026"},{"id":130,"name":"Impact","value":""},{"id":150,"name":"Time of Event (Mountain Time)","value":"06:23:46"},{"id":151,"name":"Denver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"%USERPROFILE%\AppData\Local\Temp\OnboardLogs"\RTDC4026\*4026*201702021*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"%USERPROFILE%\AppData\Local\Temp\OnboardLogs"\RTDC4026\*4026*201702021* &gt;&gt; 2017-02-02-SliceDisagreementCheck.txt</v>
      </c>
      <c r="AE19" s="163" t="str">
        <f t="shared" si="8"/>
        <v>start /low /b %USERPROFILE%\Documents\GitHub\eaglep3\Utilities\DownloadLogsFromS3.py --loco 4026 --day 2017-02-02</v>
      </c>
      <c r="AF19" s="1"/>
    </row>
    <row r="20" spans="1:32" x14ac:dyDescent="0.25">
      <c r="A20" s="32">
        <v>42768.294872685183</v>
      </c>
      <c r="B20" s="30" t="s">
        <v>238</v>
      </c>
      <c r="C20" s="30" t="s">
        <v>443</v>
      </c>
      <c r="D20" s="30" t="s">
        <v>49</v>
      </c>
      <c r="E20" s="30" t="s">
        <v>188</v>
      </c>
      <c r="F20" s="43">
        <v>0</v>
      </c>
      <c r="G20" s="43">
        <v>90</v>
      </c>
      <c r="H20" s="43">
        <v>329</v>
      </c>
      <c r="I20" s="43">
        <v>223</v>
      </c>
      <c r="J20" s="30" t="s">
        <v>189</v>
      </c>
      <c r="K20" s="43">
        <v>1</v>
      </c>
      <c r="L20" s="143" t="s">
        <v>51</v>
      </c>
      <c r="M20" s="144">
        <f t="shared" si="0"/>
        <v>117.21599999999999</v>
      </c>
      <c r="N20" s="145" t="str">
        <f>VLOOKUP(C20,'Trips&amp;Operators'!$C$1:$G$99999,5,FALSE)</f>
        <v>STARKS ANGELINA</v>
      </c>
      <c r="O20" s="159" t="s">
        <v>185</v>
      </c>
      <c r="P20" s="146"/>
      <c r="Q20" s="30"/>
      <c r="R20" s="89" t="str">
        <f>VLOOKUP(C20,'Train Runs'!$A$13:$AE$9967,31,0)</f>
        <v>aws s3 cp s3://rtdc.mdm.uploadarchive.raw/RTDC4015/ "%USERPROFILE%\AppData\Local\Temp\OnboardLogs"\RTDC4015\2017-02-02 --exclude "*" --recursive --include "*20170202*" &amp; "%USERPROFILE%\Documents\GitHub\mrs-test-scripts\Headless Mode &amp; Sideloading\WalkAndUnGZ.bat" "%USERPROFILE%\AppData\Local\Temp\OnboardLogs"\RTDC4015\2017-02-02 &amp; aws s3 cp s3://rtdc.mdm.uploadarchive.raw/RTDC4015/ "%USERPROFILE%\AppData\Local\Temp\OnboardLogs"\RTDC4015\2017-02-03 --exclude "*" --recursive --include "*20170203*" &amp; "%USERPROFILE%\Documents\GitHub\mrs-test-scripts\Headless Mode &amp; Sideloading\WalkAndUnGZ.bat" "%USERPROFILE%\AppData\Local\Temp\OnboardLogs"\RTDC4015\2017-02-03</v>
      </c>
      <c r="S20" s="92" t="str">
        <f>VLOOKUP(C20,'Train Runs'!$A$13:$AE$9967,22,0)</f>
        <v>https://d0f6bd738d7f1b3e5a7ca70fe4ff75f0.us-east-1.aws.found.io/app/kibana#/discover/Steve-Slow-Train-Analysis-(2080s-and-2083s)?_g=(refreshInterval:(display:Off,pause:!f,section:0,value:0),time:(from:'2017-02-02T05:23:31-0700',mode:absolute,to:'2017-02-02T08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0" s="94" t="str">
        <f t="shared" si="1"/>
        <v>"C:\Program Files (x86)\AstroGrep\AstroGrep.exe" /spath="%USERPROFILE%\AppData\Local\Temp\OnboardLogs" /stypes="*4015*201702021*" /stext=" 14:.+((SYSTEM_STATE.+slice.+state.+changed )|(ment ac)|(multiple cpu faults)|(system.+state.+changed )|(\[timeout)|(PRM\|1\|D)|(kpr)|(kdp)|(\|lc)|(penalty))" /e /r /s</v>
      </c>
      <c r="U20" s="9" t="str">
        <f t="shared" si="2"/>
        <v>4015</v>
      </c>
      <c r="V20" s="32">
        <f t="shared" si="3"/>
        <v>42768.586539351847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{"issue":{"subject":"","project_id":79,"tracker_id":40,"status_id":1,"priority_id":2,"assigned_to_id":23,"start_date":"2017-02-02","description":"","custom_fields":[{"id":1,"name":"Subdivision","value":"EC"},{"id":4,"name":"Milepost","value":"0.0001"},{"id":17,"name":"Train ID","value":"116-02"},{"id":16,"name":"Locomotive ID","value":"4015"},{"id":130,"name":"Impact","value":""},{"id":150,"name":"Time of Event (Mountain Time)","value":"07:04:37"},{"id":151,"name":"Denver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"%USERPROFILE%\AppData\Local\Temp\OnboardLogs"\RTDC4015\*4015*201702021*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"%USERPROFILE%\AppData\Local\Temp\OnboardLogs"\RTDC4015\*4015*201702021* &gt;&gt; 2017-02-02-SliceDisagreementCheck.txt</v>
      </c>
      <c r="AE20" s="163" t="str">
        <f t="shared" si="8"/>
        <v>start /low /b %USERPROFILE%\Documents\GitHub\eaglep3\Utilities\DownloadLogsFromS3.py --loco 4015 --day 2017-02-02</v>
      </c>
      <c r="AF20" s="1"/>
    </row>
    <row r="21" spans="1:32" ht="15" customHeight="1" x14ac:dyDescent="0.25">
      <c r="A21" s="32">
        <v>42768.483657407407</v>
      </c>
      <c r="B21" s="30" t="s">
        <v>224</v>
      </c>
      <c r="C21" s="30" t="s">
        <v>451</v>
      </c>
      <c r="D21" s="30" t="s">
        <v>49</v>
      </c>
      <c r="E21" s="30" t="s">
        <v>188</v>
      </c>
      <c r="F21" s="43">
        <v>0</v>
      </c>
      <c r="G21" s="43">
        <v>43</v>
      </c>
      <c r="H21" s="43">
        <v>134</v>
      </c>
      <c r="I21" s="43">
        <v>105</v>
      </c>
      <c r="J21" s="30" t="s">
        <v>189</v>
      </c>
      <c r="K21" s="43">
        <v>1</v>
      </c>
      <c r="L21" s="143" t="s">
        <v>51</v>
      </c>
      <c r="M21" s="144">
        <f t="shared" si="0"/>
        <v>54.911999999999999</v>
      </c>
      <c r="N21" s="145" t="str">
        <f>VLOOKUP(C21,'Trips&amp;Operators'!$C$1:$G$99999,5,FALSE)</f>
        <v>ACKERMAN JARED</v>
      </c>
      <c r="O21" s="159" t="s">
        <v>185</v>
      </c>
      <c r="P21" s="146"/>
      <c r="Q21" s="30"/>
      <c r="R21" s="89" t="str">
        <f>VLOOKUP(C21,'Train Runs'!$A$13:$AE$9967,31,0)</f>
        <v>aws s3 cp s3://rtdc.mdm.uploadarchive.raw/RTDC4026/ "%USERPROFILE%\AppData\Local\Temp\OnboardLogs"\RTDC4026\2017-02-02 --exclude "*" --recursive --include "*20170202*" &amp; "%USERPROFILE%\Documents\GitHub\mrs-test-scripts\Headless Mode &amp; Sideloading\WalkAndUnGZ.bat" "%USERPROFILE%\AppData\Local\Temp\OnboardLogs"\RTDC4026\2017-02-02 &amp; aws s3 cp s3://rtdc.mdm.uploadarchive.raw/RTDC4026/ "%USERPROFILE%\AppData\Local\Temp\OnboardLogs"\RTDC4026\2017-02-03 --exclude "*" --recursive --include "*20170203*" &amp; "%USERPROFILE%\Documents\GitHub\mrs-test-scripts\Headless Mode &amp; Sideloading\WalkAndUnGZ.bat" "%USERPROFILE%\AppData\Local\Temp\OnboardLogs"\RTDC4026\2017-02-03</v>
      </c>
      <c r="S21" s="92" t="str">
        <f>VLOOKUP(C21,'Train Runs'!$A$13:$AE$9967,22,0)</f>
        <v>https://d0f6bd738d7f1b3e5a7ca70fe4ff75f0.us-east-1.aws.found.io/app/kibana#/discover/Steve-Slow-Train-Analysis-(2080s-and-2083s)?_g=(refreshInterval:(display:Off,pause:!f,section:0,value:0),time:(from:'2017-02-02T09:46:23-0700',mode:absolute,to:'2017-02-02T12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1" s="94" t="str">
        <f t="shared" si="1"/>
        <v>"C:\Program Files (x86)\AstroGrep\AstroGrep.exe" /spath="%USERPROFILE%\AppData\Local\Temp\OnboardLogs" /stypes="*4026*201702021*" /stext=" 18:.+((SYSTEM_STATE.+slice.+state.+changed )|(ment ac)|(multiple cpu faults)|(system.+state.+changed )|(\[timeout)|(PRM\|1\|D)|(kpr)|(kdp)|(\|lc)|(penalty))" /e /r /s</v>
      </c>
      <c r="U21" s="9" t="str">
        <f t="shared" si="2"/>
        <v>4026</v>
      </c>
      <c r="V21" s="32">
        <f t="shared" si="3"/>
        <v>42768.775324074071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{"issue":{"subject":"","project_id":79,"tracker_id":40,"status_id":1,"priority_id":2,"assigned_to_id":23,"start_date":"2017-02-02","description":"","custom_fields":[{"id":1,"name":"Subdivision","value":"EC"},{"id":4,"name":"Milepost","value":"0.0001"},{"id":17,"name":"Train ID","value":"152-02"},{"id":16,"name":"Locomotive ID","value":"4026"},{"id":130,"name":"Impact","value":""},{"id":150,"name":"Time of Event (Mountain Time)","value":"11:36:28"},{"id":151,"name":"Denver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"%USERPROFILE%\AppData\Local\Temp\OnboardLogs"\RTDC4026\*4026*201702021*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"%USERPROFILE%\AppData\Local\Temp\OnboardLogs"\RTDC4026\*4026*201702021* &gt;&gt; 2017-02-02-SliceDisagreementCheck.txt</v>
      </c>
      <c r="AE21" s="163" t="str">
        <f t="shared" si="8"/>
        <v>start /low /b %USERPROFILE%\Documents\GitHub\eaglep3\Utilities\DownloadLogsFromS3.py --loco 4026 --day 2017-02-02</v>
      </c>
      <c r="AF21" s="1"/>
    </row>
    <row r="22" spans="1:32" x14ac:dyDescent="0.25">
      <c r="A22" s="32">
        <v>42768.566493055558</v>
      </c>
      <c r="B22" s="30" t="s">
        <v>233</v>
      </c>
      <c r="C22" s="30" t="s">
        <v>453</v>
      </c>
      <c r="D22" s="30" t="s">
        <v>49</v>
      </c>
      <c r="E22" s="30" t="s">
        <v>188</v>
      </c>
      <c r="F22" s="43">
        <v>0</v>
      </c>
      <c r="G22" s="43">
        <v>40</v>
      </c>
      <c r="H22" s="43">
        <v>136</v>
      </c>
      <c r="I22" s="43">
        <v>112</v>
      </c>
      <c r="J22" s="30" t="s">
        <v>189</v>
      </c>
      <c r="K22" s="43">
        <v>1</v>
      </c>
      <c r="L22" s="143" t="s">
        <v>51</v>
      </c>
      <c r="M22" s="144">
        <f t="shared" si="0"/>
        <v>58.607999999999997</v>
      </c>
      <c r="N22" s="145" t="str">
        <f>VLOOKUP(C22,'Trips&amp;Operators'!$C$1:$G$99999,5,FALSE)</f>
        <v>DELGADO DIANAH</v>
      </c>
      <c r="O22" s="159" t="s">
        <v>221</v>
      </c>
      <c r="P22" s="146" t="s">
        <v>924</v>
      </c>
      <c r="Q22" s="30"/>
      <c r="R22" s="89" t="str">
        <f>VLOOKUP(C22,'Train Runs'!$A$13:$AE$9967,31,0)</f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S22" s="92" t="str">
        <f>VLOOKUP(C22,'Train Runs'!$A$13:$AE$9967,22,0)</f>
        <v>https://d0f6bd738d7f1b3e5a7ca70fe4ff75f0.us-east-1.aws.found.io/app/kibana#/discover/Steve-Slow-Train-Analysis-(2080s-and-2083s)?_g=(refreshInterval:(display:Off,pause:!f,section:0,value:0),time:(from:'2017-02-02T11:39:31-0700',mode:absolute,to:'2017-02-02T14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2" s="94" t="str">
        <f t="shared" si="1"/>
        <v>"C:\Program Files (x86)\AstroGrep\AstroGrep.exe" /spath="%USERPROFILE%\AppData\Local\Temp\OnboardLogs" /stypes="*4028*201702022*" /stext=" 20:.+((SYSTEM_STATE.+slice.+state.+changed )|(ment ac)|(multiple cpu faults)|(system.+state.+changed )|(\[timeout)|(PRM\|1\|D)|(kpr)|(kdp)|(\|lc)|(penalty))" /e /r /s</v>
      </c>
      <c r="U22" s="9" t="str">
        <f t="shared" si="2"/>
        <v>4028</v>
      </c>
      <c r="V22" s="32">
        <f t="shared" si="3"/>
        <v>42768.858159722222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{"issue":{"subject":"Banner w/o braking","project_id":79,"tracker_id":40,"status_id":1,"priority_id":2,"assigned_to_id":23,"start_date":"2017-02-02","description":"","custom_fields":[{"id":1,"name":"Subdivision","value":"EC"},{"id":4,"name":"Milepost","value":"0.0001"},{"id":17,"name":"Train ID","value":"168-02"},{"id":16,"name":"Locomotive ID","value":"4028"},{"id":130,"name":"Impact","value":""},{"id":150,"name":"Time of Event (Mountain Time)","value":"13:35:45"},{"id":151,"name":"Denver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"%USERPROFILE%\AppData\Local\Temp\OnboardLogs"\RTDC4028\*4028*201702022*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"%USERPROFILE%\AppData\Local\Temp\OnboardLogs"\RTDC4028\*4028*201702022* &gt;&gt; 2017-02-02-SliceDisagreementCheck.txt</v>
      </c>
      <c r="AE22" s="163" t="str">
        <f t="shared" si="8"/>
        <v>start /low /b %USERPROFILE%\Documents\GitHub\eaglep3\Utilities\DownloadLogsFromS3.py --loco 4028 --day 2017-02-02</v>
      </c>
      <c r="AF22" s="1"/>
    </row>
    <row r="23" spans="1:32" x14ac:dyDescent="0.25">
      <c r="A23" s="32">
        <v>42768.919004629628</v>
      </c>
      <c r="B23" s="30" t="s">
        <v>295</v>
      </c>
      <c r="C23" s="30" t="s">
        <v>466</v>
      </c>
      <c r="D23" s="30" t="s">
        <v>49</v>
      </c>
      <c r="E23" s="30" t="s">
        <v>188</v>
      </c>
      <c r="F23" s="43">
        <v>0</v>
      </c>
      <c r="G23" s="43">
        <v>69</v>
      </c>
      <c r="H23" s="43">
        <v>156</v>
      </c>
      <c r="I23" s="43">
        <v>94</v>
      </c>
      <c r="J23" s="30" t="s">
        <v>189</v>
      </c>
      <c r="K23" s="43">
        <v>1</v>
      </c>
      <c r="L23" s="143" t="s">
        <v>51</v>
      </c>
      <c r="M23" s="144">
        <f t="shared" si="0"/>
        <v>49.103999999999999</v>
      </c>
      <c r="N23" s="145" t="str">
        <f>VLOOKUP(C23,'Trips&amp;Operators'!$C$1:$G$99999,5,FALSE)</f>
        <v>HILLS DUSTIN</v>
      </c>
      <c r="O23" s="159" t="s">
        <v>185</v>
      </c>
      <c r="P23" s="146"/>
      <c r="Q23" s="30"/>
      <c r="R23" s="89" t="str">
        <f>VLOOKUP(C23,'Train Runs'!$A$13:$AE$9967,31,0)</f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S23" s="92" t="str">
        <f>VLOOKUP(C23,'Train Runs'!$A$13:$AE$9967,22,0)</f>
        <v>https://d0f6bd738d7f1b3e5a7ca70fe4ff75f0.us-east-1.aws.found.io/app/kibana#/discover/Steve-Slow-Train-Analysis-(2080s-and-2083s)?_g=(refreshInterval:(display:Off,pause:!f,section:0,value:0),time:(from:'2017-02-02T20:08:39-0700',mode:absolute,to:'2017-02-02T23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94" t="str">
        <f t="shared" si="1"/>
        <v>"C:\Program Files (x86)\AstroGrep\AstroGrep.exe" /spath="%USERPROFILE%\AppData\Local\Temp\OnboardLogs" /stypes="*4052*201702030*" /stext=" 05:.+((SYSTEM_STATE.+slice.+state.+changed )|(ment ac)|(multiple cpu faults)|(system.+state.+changed )|(\[timeout)|(PRM\|1\|D)|(kpr)|(kdp)|(\|lc)|(penalty))" /e /r /s</v>
      </c>
      <c r="U23" s="9" t="str">
        <f t="shared" si="2"/>
        <v>4052</v>
      </c>
      <c r="V23" s="32">
        <f t="shared" si="3"/>
        <v>42769.210671296292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{"issue":{"subject":"","project_id":79,"tracker_id":40,"status_id":1,"priority_id":2,"assigned_to_id":23,"start_date":"2017-02-02","description":"","custom_fields":[{"id":1,"name":"Subdivision","value":"EC"},{"id":4,"name":"Milepost","value":"0.0001"},{"id":17,"name":"Train ID","value":"228-02"},{"id":16,"name":"Locomotive ID","value":"4052"},{"id":130,"name":"Impact","value":""},{"id":150,"name":"Time of Event (Mountain Time)","value":"22:03:22"},{"id":151,"name":"Denver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"%USERPROFILE%\AppData\Local\Temp\OnboardLogs"\RTDC4052\*4052*201702030*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"%USERPROFILE%\AppData\Local\Temp\OnboardLogs"\RTDC4052\*4052*201702030* &gt;&gt; 2017-02-02-SliceDisagreementCheck.txt</v>
      </c>
      <c r="AE23" s="163" t="str">
        <f t="shared" si="8"/>
        <v>start /low /b %USERPROFILE%\Documents\GitHub\eaglep3\Utilities\DownloadLogsFromS3.py --loco 4052 --day 2017-02-03</v>
      </c>
      <c r="AF23" s="1"/>
    </row>
    <row r="24" spans="1:32" x14ac:dyDescent="0.25">
      <c r="A24" s="32">
        <v>42769.002534722225</v>
      </c>
      <c r="B24" s="30" t="s">
        <v>295</v>
      </c>
      <c r="C24" s="30" t="s">
        <v>467</v>
      </c>
      <c r="D24" s="30" t="s">
        <v>49</v>
      </c>
      <c r="E24" s="30" t="s">
        <v>188</v>
      </c>
      <c r="F24" s="43">
        <v>0</v>
      </c>
      <c r="G24" s="43">
        <v>46</v>
      </c>
      <c r="H24" s="43">
        <v>975</v>
      </c>
      <c r="I24" s="43">
        <v>922</v>
      </c>
      <c r="J24" s="30" t="s">
        <v>189</v>
      </c>
      <c r="K24" s="43">
        <v>839</v>
      </c>
      <c r="L24" s="143" t="s">
        <v>51</v>
      </c>
      <c r="M24" s="144">
        <f t="shared" si="0"/>
        <v>43.823999999999998</v>
      </c>
      <c r="N24" s="145" t="str">
        <f>VLOOKUP(C24,'Trips&amp;Operators'!$C$1:$G$99999,5,FALSE)</f>
        <v>HILLS DUSTIN</v>
      </c>
      <c r="O24" s="159" t="s">
        <v>185</v>
      </c>
      <c r="P24" s="146"/>
      <c r="Q24" s="30"/>
      <c r="R24" s="89" t="str">
        <f>VLOOKUP(C24,'Train Runs'!$A$13:$AE$9967,31,0)</f>
        <v>aws s3 cp s3://rtdc.mdm.uploadarchive.raw/RTDC4052/ "%USERPROFILE%\AppData\Local\Temp\OnboardLogs"\RTDC4052\2017-02-02 --exclude "*" --recursive --include "*20170202*" &amp; "%USERPROFILE%\Documents\GitHub\mrs-test-scripts\Headless Mode &amp; Sideloading\WalkAndUnGZ.bat" "%USERPROFILE%\AppData\Local\Temp\OnboardLogs"\RTDC4052\2017-02-02 &amp; aws s3 cp s3://rtdc.mdm.uploadarchive.raw/RTDC4052/ "%USERPROFILE%\AppData\Local\Temp\OnboardLogs"\RTDC4052\2017-02-03 --exclude "*" --recursive --include "*20170203*" &amp; "%USERPROFILE%\Documents\GitHub\mrs-test-scripts\Headless Mode &amp; Sideloading\WalkAndUnGZ.bat" "%USERPROFILE%\AppData\Local\Temp\OnboardLogs"\RTDC4052\2017-02-03</v>
      </c>
      <c r="S24" s="92" t="str">
        <f>VLOOKUP(C24,'Train Runs'!$A$13:$AE$9967,22,0)</f>
        <v>https://d0f6bd738d7f1b3e5a7ca70fe4ff75f0.us-east-1.aws.found.io/app/kibana#/discover/Steve-Slow-Train-Analysis-(2080s-and-2083s)?_g=(refreshInterval:(display:Off,pause:!f,section:0,value:0),time:(from:'2017-02-02T22:07:44-0700',mode:absolute,to:'2017-02-03T01:03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4" s="94" t="str">
        <f t="shared" si="1"/>
        <v>"C:\Program Files (x86)\AstroGrep\AstroGrep.exe" /spath="%USERPROFILE%\AppData\Local\Temp\OnboardLogs" /stypes="*4052*201702030*" /stext=" 07:.+((SYSTEM_STATE.+slice.+state.+changed )|(ment ac)|(multiple cpu faults)|(system.+state.+changed )|(\[timeout)|(PRM\|1\|D)|(kpr)|(kdp)|(\|lc)|(penalty))" /e /r /s</v>
      </c>
      <c r="U24" s="9" t="str">
        <f t="shared" si="2"/>
        <v>4052</v>
      </c>
      <c r="V24" s="32">
        <f t="shared" si="3"/>
        <v>42769.29420138889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{"issue":{"subject":"","project_id":79,"tracker_id":40,"status_id":1,"priority_id":2,"assigned_to_id":23,"start_date":"2017-02-03","description":"","custom_fields":[{"id":1,"name":"Subdivision","value":"EC"},{"id":4,"name":"Milepost","value":"0.0839"},{"id":17,"name":"Train ID","value":"236-02"},{"id":16,"name":"Locomotive ID","value":"4052"},{"id":130,"name":"Impact","value":""},{"id":150,"name":"Time of Event (Mountain Time)","value":"00:03:39"},{"id":151,"name":"Denver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"%USERPROFILE%\AppData\Local\Temp\OnboardLogs"\RTDC4052\*4052*201702030*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"%USERPROFILE%\AppData\Local\Temp\OnboardLogs"\RTDC4052\*4052*201702030* &gt;&gt; 2017-02-02-SliceDisagreementCheck.txt</v>
      </c>
      <c r="AE24" s="163" t="str">
        <f t="shared" si="8"/>
        <v>start /low /b %USERPROFILE%\Documents\GitHub\eaglep3\Utilities\DownloadLogsFromS3.py --loco 4052 --day 2017-02-03</v>
      </c>
      <c r="AF24" s="1"/>
    </row>
    <row r="25" spans="1:32" x14ac:dyDescent="0.25">
      <c r="A25" s="32">
        <v>42769.025451388887</v>
      </c>
      <c r="B25" s="30" t="s">
        <v>233</v>
      </c>
      <c r="C25" s="30" t="s">
        <v>469</v>
      </c>
      <c r="D25" s="30" t="s">
        <v>49</v>
      </c>
      <c r="E25" s="30" t="s">
        <v>188</v>
      </c>
      <c r="F25" s="43">
        <v>0</v>
      </c>
      <c r="G25" s="43">
        <v>25</v>
      </c>
      <c r="H25" s="43">
        <v>890</v>
      </c>
      <c r="I25" s="43">
        <v>871</v>
      </c>
      <c r="J25" s="30" t="s">
        <v>189</v>
      </c>
      <c r="K25" s="43">
        <v>839</v>
      </c>
      <c r="L25" s="143" t="s">
        <v>51</v>
      </c>
      <c r="M25" s="144">
        <f t="shared" si="0"/>
        <v>16.896000000000001</v>
      </c>
      <c r="N25" s="145" t="str">
        <f>VLOOKUP(C25,'Trips&amp;Operators'!$C$1:$G$99999,5,FALSE)</f>
        <v>CHANDLER KELVIN</v>
      </c>
      <c r="O25" s="159" t="s">
        <v>185</v>
      </c>
      <c r="P25" s="146"/>
      <c r="Q25" s="30"/>
      <c r="R25" s="89" t="str">
        <f>VLOOKUP(C25,'Train Runs'!$A$13:$AE$9967,31,0)</f>
        <v>aws s3 cp s3://rtdc.mdm.uploadarchive.raw/RTDC4028/ "%USERPROFILE%\AppData\Local\Temp\OnboardLogs"\RTDC4028\2017-02-02 --exclude "*" --recursive --include "*20170202*" &amp; "%USERPROFILE%\Documents\GitHub\mrs-test-scripts\Headless Mode &amp; Sideloading\WalkAndUnGZ.bat" "%USERPROFILE%\AppData\Local\Temp\OnboardLogs"\RTDC4028\2017-02-02 &amp; aws s3 cp s3://rtdc.mdm.uploadarchive.raw/RTDC4028/ "%USERPROFILE%\AppData\Local\Temp\OnboardLogs"\RTDC4028\2017-02-03 --exclude "*" --recursive --include "*20170203*" &amp; "%USERPROFILE%\Documents\GitHub\mrs-test-scripts\Headless Mode &amp; Sideloading\WalkAndUnGZ.bat" "%USERPROFILE%\AppData\Local\Temp\OnboardLogs"\RTDC4028\2017-02-03</v>
      </c>
      <c r="S25" s="92" t="str">
        <f>VLOOKUP(C25,'Train Runs'!$A$13:$AE$9967,22,0)</f>
        <v>https://d0f6bd738d7f1b3e5a7ca70fe4ff75f0.us-east-1.aws.found.io/app/kibana#/discover/Steve-Slow-Train-Analysis-(2080s-and-2083s)?_g=(refreshInterval:(display:Off,pause:!f,section:0,value:0),time:(from:'2017-02-02T22:51:06-0700',mode:absolute,to:'2017-02-03T01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 t="shared" si="1"/>
        <v>"C:\Program Files (x86)\AstroGrep\AstroGrep.exe" /spath="%USERPROFILE%\AppData\Local\Temp\OnboardLogs" /stypes="*4028*201702030*" /stext=" 07:.+((SYSTEM_STATE.+slice.+state.+changed )|(ment ac)|(multiple cpu faults)|(system.+state.+changed )|(\[timeout)|(PRM\|1\|D)|(kpr)|(kdp)|(\|lc)|(penalty))" /e /r /s</v>
      </c>
      <c r="U25" s="9" t="str">
        <f t="shared" si="2"/>
        <v>4028</v>
      </c>
      <c r="V25" s="32">
        <f t="shared" si="3"/>
        <v>42769.317118055551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{"issue":{"subject":"","project_id":79,"tracker_id":40,"status_id":1,"priority_id":2,"assigned_to_id":23,"start_date":"2017-02-03","description":"","custom_fields":[{"id":1,"name":"Subdivision","value":"EC"},{"id":4,"name":"Milepost","value":"0.0839"},{"id":17,"name":"Train ID","value":"238-02"},{"id":16,"name":"Locomotive ID","value":"4028"},{"id":130,"name":"Impact","value":""},{"id":150,"name":"Time of Event (Mountain Time)","value":"00:36:39"},{"id":151,"name":"Denver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"%USERPROFILE%\AppData\Local\Temp\OnboardLogs"\RTDC4028\*4028*201702030*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"%USERPROFILE%\AppData\Local\Temp\OnboardLogs"\RTDC4028\*4028*201702030* &gt;&gt; 2017-02-02-SliceDisagreementCheck.txt</v>
      </c>
      <c r="AE25" s="163" t="str">
        <f t="shared" si="8"/>
        <v>start /low /b %USERPROFILE%\Documents\GitHub\eaglep3\Utilities\DownloadLogsFromS3.py --loco 4028 --day 2017-02-03</v>
      </c>
      <c r="AF25" s="1"/>
    </row>
    <row r="26" spans="1:32" x14ac:dyDescent="0.25">
      <c r="A26" s="32">
        <v>42769.044421296298</v>
      </c>
      <c r="B26" s="30" t="s">
        <v>230</v>
      </c>
      <c r="C26" s="30" t="s">
        <v>470</v>
      </c>
      <c r="D26" s="30" t="s">
        <v>49</v>
      </c>
      <c r="E26" s="30" t="s">
        <v>188</v>
      </c>
      <c r="F26" s="43">
        <v>0</v>
      </c>
      <c r="G26" s="43">
        <v>30</v>
      </c>
      <c r="H26" s="43">
        <v>918</v>
      </c>
      <c r="I26" s="43">
        <v>898</v>
      </c>
      <c r="J26" s="30" t="s">
        <v>189</v>
      </c>
      <c r="K26" s="43">
        <v>839</v>
      </c>
      <c r="L26" s="143" t="s">
        <v>51</v>
      </c>
      <c r="M26" s="144">
        <f t="shared" si="0"/>
        <v>31.152000000000001</v>
      </c>
      <c r="N26" s="145" t="str">
        <f>VLOOKUP(C26,'Trips&amp;Operators'!$C$1:$G$99999,5,FALSE)</f>
        <v>NEWELL JAMES</v>
      </c>
      <c r="O26" s="159" t="s">
        <v>185</v>
      </c>
      <c r="P26" s="146"/>
      <c r="Q26" s="30"/>
      <c r="R26" s="89" t="str">
        <f>VLOOKUP(C26,'Train Runs'!$A$13:$AE$9967,31,0)</f>
        <v>aws s3 cp s3://rtdc.mdm.uploadarchive.raw/RTDC4045/ "%USERPROFILE%\AppData\Local\Temp\OnboardLogs"\RTDC4045\2017-02-03 --exclude "*" --recursive --include "*20170203*" &amp; "%USERPROFILE%\Documents\GitHub\mrs-test-scripts\Headless Mode &amp; Sideloading\WalkAndUnGZ.bat" "%USERPROFILE%\AppData\Local\Temp\OnboardLogs"\RTDC4045\2017-02-03 &amp; aws s3 cp s3://rtdc.mdm.uploadarchive.raw/RTDC4045/ "%USERPROFILE%\AppData\Local\Temp\OnboardLogs"\RTDC4045\2017-02-04 --exclude "*" --recursive --include "*20170204*" &amp; "%USERPROFILE%\Documents\GitHub\mrs-test-scripts\Headless Mode &amp; Sideloading\WalkAndUnGZ.bat" "%USERPROFILE%\AppData\Local\Temp\OnboardLogs"\RTDC4045\2017-02-04</v>
      </c>
      <c r="S26" s="92" t="str">
        <f>VLOOKUP(C26,'Train Runs'!$A$13:$AE$9967,22,0)</f>
        <v>https://d0f6bd738d7f1b3e5a7ca70fe4ff75f0.us-east-1.aws.found.io/app/kibana#/discover/Steve-Slow-Train-Analysis-(2080s-and-2083s)?_g=(refreshInterval:(display:Off,pause:!f,section:0,value:0),time:(from:'2017-02-02T23:22:28-0700',mode:absolute,to:'2017-02-03T02:03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6" s="94" t="str">
        <f t="shared" si="1"/>
        <v>"C:\Program Files (x86)\AstroGrep\AstroGrep.exe" /spath="%USERPROFILE%\AppData\Local\Temp\OnboardLogs" /stypes="*4045*201702030*" /stext=" 08:.+((SYSTEM_STATE.+slice.+state.+changed )|(ment ac)|(multiple cpu faults)|(system.+state.+changed )|(\[timeout)|(PRM\|1\|D)|(kpr)|(kdp)|(\|lc)|(penalty))" /e /r /s</v>
      </c>
      <c r="U26" s="9" t="str">
        <f t="shared" si="2"/>
        <v>4045</v>
      </c>
      <c r="V26" s="32">
        <f t="shared" si="3"/>
        <v>42769.336087962962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{"issue":{"subject":"","project_id":79,"tracker_id":40,"status_id":1,"priority_id":2,"assigned_to_id":23,"start_date":"2017-02-03","description":"","custom_fields":[{"id":1,"name":"Subdivision","value":"EC"},{"id":4,"name":"Milepost","value":"0.0839"},{"id":17,"name":"Train ID","value":"240-02"},{"id":16,"name":"Locomotive ID","value":"4045"},{"id":130,"name":"Impact","value":""},{"id":150,"name":"Time of Event (Mountain Time)","value":"01:03:58"},{"id":151,"name":"Denver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"%USERPROFILE%\AppData\Local\Temp\OnboardLogs"\RTDC4045\*4045*201702030*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"%USERPROFILE%\AppData\Local\Temp\OnboardLogs"\RTDC4045\*4045*201702030* &gt;&gt; 2017-02-02-SliceDisagreementCheck.txt</v>
      </c>
      <c r="AE26" s="163" t="str">
        <f t="shared" si="8"/>
        <v>start /low /b %USERPROFILE%\Documents\GitHub\eaglep3\Utilities\DownloadLogsFromS3.py --loco 4045 --day 2017-02-03</v>
      </c>
      <c r="AF26" s="1"/>
    </row>
    <row r="27" spans="1:32" x14ac:dyDescent="0.25">
      <c r="A27" s="32">
        <v>42768.410856481481</v>
      </c>
      <c r="B27" s="30" t="s">
        <v>335</v>
      </c>
      <c r="C27" s="30" t="s">
        <v>447</v>
      </c>
      <c r="D27" s="30" t="s">
        <v>49</v>
      </c>
      <c r="E27" s="30" t="s">
        <v>188</v>
      </c>
      <c r="F27" s="43">
        <v>0</v>
      </c>
      <c r="G27" s="43">
        <v>97</v>
      </c>
      <c r="H27" s="43">
        <v>233122</v>
      </c>
      <c r="I27" s="43">
        <v>233263</v>
      </c>
      <c r="J27" s="30" t="s">
        <v>189</v>
      </c>
      <c r="K27" s="43">
        <v>233491</v>
      </c>
      <c r="L27" s="143" t="s">
        <v>50</v>
      </c>
      <c r="M27" s="144">
        <f t="shared" si="0"/>
        <v>120.384</v>
      </c>
      <c r="N27" s="145" t="str">
        <f>VLOOKUP(C27,'Trips&amp;Operators'!$C$1:$G$99999,5,FALSE)</f>
        <v>BONDS REYNALDO</v>
      </c>
      <c r="O27" s="159" t="s">
        <v>185</v>
      </c>
      <c r="P27" s="146"/>
      <c r="Q27" s="30"/>
      <c r="R27" s="89" t="str">
        <f>VLOOKUP(C27,'Train Runs'!$A$13:$AE$9967,31,0)</f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S27" s="92" t="str">
        <f>VLOOKUP(C27,'Train Runs'!$A$13:$AE$9967,22,0)</f>
        <v>https://d0f6bd738d7f1b3e5a7ca70fe4ff75f0.us-east-1.aws.found.io/app/kibana#/discover/Steve-Slow-Train-Analysis-(2080s-and-2083s)?_g=(refreshInterval:(display:Off,pause:!f,section:0,value:0),time:(from:'2017-02-02T08:08:52-0700',mode:absolute,to:'2017-02-02T10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7" s="94" t="str">
        <f t="shared" si="1"/>
        <v>"C:\Program Files (x86)\AstroGrep\AstroGrep.exe" /spath="%USERPROFILE%\AppData\Local\Temp\OnboardLogs" /stypes="*4009*201702021*" /stext=" 16:.+((SYSTEM_STATE.+slice.+state.+changed )|(ment ac)|(multiple cpu faults)|(system.+state.+changed )|(\[timeout)|(PRM\|1\|D)|(kpr)|(kdp)|(\|lc)|(penalty))" /e /r /s</v>
      </c>
      <c r="U27" s="9" t="str">
        <f t="shared" si="2"/>
        <v>4009</v>
      </c>
      <c r="V27" s="32">
        <f t="shared" si="3"/>
        <v>42768.702523148146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{"issue":{"subject":"","project_id":79,"tracker_id":40,"status_id":1,"priority_id":2,"assigned_to_id":23,"start_date":"2017-02-02","description":"","custom_fields":[{"id":1,"name":"Subdivision","value":"EC"},{"id":4,"name":"Milepost","value":"23.3491"},{"id":17,"name":"Train ID","value":"145-02"},{"id":16,"name":"Locomotive ID","value":"4009"},{"id":130,"name":"Impact","value":""},{"id":150,"name":"Time of Event (Mountain Time)","value":"09:51:38"},{"id":151,"name":"Denver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"%USERPROFILE%\AppData\Local\Temp\OnboardLogs"\RTDC4009\*4009*201702021*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"%USERPROFILE%\AppData\Local\Temp\OnboardLogs"\RTDC4009\*4009*201702021* &gt;&gt; 2017-02-02-SliceDisagreementCheck.txt</v>
      </c>
      <c r="AE27" s="163" t="str">
        <f t="shared" si="8"/>
        <v>start /low /b %USERPROFILE%\Documents\GitHub\eaglep3\Utilities\DownloadLogsFromS3.py --loco 4009 --day 2017-02-02</v>
      </c>
      <c r="AF27" s="1"/>
    </row>
    <row r="28" spans="1:32" x14ac:dyDescent="0.25">
      <c r="A28" s="32">
        <v>42768.411261574074</v>
      </c>
      <c r="B28" s="30" t="s">
        <v>335</v>
      </c>
      <c r="C28" s="30" t="s">
        <v>447</v>
      </c>
      <c r="D28" s="30" t="s">
        <v>49</v>
      </c>
      <c r="E28" s="30" t="s">
        <v>188</v>
      </c>
      <c r="F28" s="43">
        <v>0</v>
      </c>
      <c r="G28" s="43">
        <v>41</v>
      </c>
      <c r="H28" s="43">
        <v>233305</v>
      </c>
      <c r="I28" s="43">
        <v>233328</v>
      </c>
      <c r="J28" s="30" t="s">
        <v>189</v>
      </c>
      <c r="K28" s="43">
        <v>233491</v>
      </c>
      <c r="L28" s="143" t="s">
        <v>50</v>
      </c>
      <c r="M28" s="144">
        <f t="shared" si="0"/>
        <v>86.063999999999993</v>
      </c>
      <c r="N28" s="145" t="str">
        <f>VLOOKUP(C28,'Trips&amp;Operators'!$C$1:$G$99999,5,FALSE)</f>
        <v>BONDS REYNALDO</v>
      </c>
      <c r="O28" s="159" t="s">
        <v>185</v>
      </c>
      <c r="P28" s="146"/>
      <c r="Q28" s="30"/>
      <c r="R28" s="89" t="str">
        <f>VLOOKUP(C28,'Train Runs'!$A$13:$AE$9967,31,0)</f>
        <v>aws s3 cp s3://rtdc.mdm.uploadarchive.raw/RTDC4009/ "%USERPROFILE%\AppData\Local\Temp\OnboardLogs"\RTDC4009\2017-02-02 --exclude "*" --recursive --include "*20170202*" &amp; "%USERPROFILE%\Documents\GitHub\mrs-test-scripts\Headless Mode &amp; Sideloading\WalkAndUnGZ.bat" "%USERPROFILE%\AppData\Local\Temp\OnboardLogs"\RTDC4009\2017-02-02 &amp; aws s3 cp s3://rtdc.mdm.uploadarchive.raw/RTDC4009/ "%USERPROFILE%\AppData\Local\Temp\OnboardLogs"\RTDC4009\2017-02-03 --exclude "*" --recursive --include "*20170203*" &amp; "%USERPROFILE%\Documents\GitHub\mrs-test-scripts\Headless Mode &amp; Sideloading\WalkAndUnGZ.bat" "%USERPROFILE%\AppData\Local\Temp\OnboardLogs"\RTDC4009\2017-02-03</v>
      </c>
      <c r="S28" s="92" t="str">
        <f>VLOOKUP(C28,'Train Runs'!$A$13:$AE$9967,22,0)</f>
        <v>https://d0f6bd738d7f1b3e5a7ca70fe4ff75f0.us-east-1.aws.found.io/app/kibana#/discover/Steve-Slow-Train-Analysis-(2080s-and-2083s)?_g=(refreshInterval:(display:Off,pause:!f,section:0,value:0),time:(from:'2017-02-02T08:08:52-0700',mode:absolute,to:'2017-02-02T10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8" s="94" t="str">
        <f t="shared" si="1"/>
        <v>"C:\Program Files (x86)\AstroGrep\AstroGrep.exe" /spath="%USERPROFILE%\AppData\Local\Temp\OnboardLogs" /stypes="*4009*201702021*" /stext=" 16:.+((SYSTEM_STATE.+slice.+state.+changed )|(ment ac)|(multiple cpu faults)|(system.+state.+changed )|(\[timeout)|(PRM\|1\|D)|(kpr)|(kdp)|(\|lc)|(penalty))" /e /r /s</v>
      </c>
      <c r="U28" s="9" t="str">
        <f t="shared" si="2"/>
        <v>4009</v>
      </c>
      <c r="V28" s="32">
        <f t="shared" si="3"/>
        <v>42768.702928240738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{"issue":{"subject":"","project_id":79,"tracker_id":40,"status_id":1,"priority_id":2,"assigned_to_id":23,"start_date":"2017-02-02","description":"","custom_fields":[{"id":1,"name":"Subdivision","value":"EC"},{"id":4,"name":"Milepost","value":"23.3491"},{"id":17,"name":"Train ID","value":"145-02"},{"id":16,"name":"Locomotive ID","value":"4009"},{"id":130,"name":"Impact","value":""},{"id":150,"name":"Time of Event (Mountain Time)","value":"09:52:13"},{"id":151,"name":"Denver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"%USERPROFILE%\AppData\Local\Temp\OnboardLogs"\RTDC4009\*4009*201702021*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"%USERPROFILE%\AppData\Local\Temp\OnboardLogs"\RTDC4009\*4009*201702021* &gt;&gt; 2017-02-02-SliceDisagreementCheck.txt</v>
      </c>
      <c r="AE28" s="163" t="str">
        <f t="shared" si="8"/>
        <v>start /low /b %USERPROFILE%\Documents\GitHub\eaglep3\Utilities\DownloadLogsFromS3.py --loco 4009 --day 2017-02-02</v>
      </c>
      <c r="AF28" s="1"/>
    </row>
    <row r="29" spans="1:32" x14ac:dyDescent="0.25">
      <c r="A29" s="32">
        <v>42769.044618055559</v>
      </c>
      <c r="B29" s="30" t="s">
        <v>294</v>
      </c>
      <c r="C29" s="30" t="s">
        <v>471</v>
      </c>
      <c r="D29" s="30" t="s">
        <v>49</v>
      </c>
      <c r="E29" s="30" t="s">
        <v>188</v>
      </c>
      <c r="F29" s="43">
        <v>0</v>
      </c>
      <c r="G29" s="43">
        <v>64</v>
      </c>
      <c r="H29" s="43">
        <v>233282</v>
      </c>
      <c r="I29" s="43">
        <v>233351</v>
      </c>
      <c r="J29" s="30" t="s">
        <v>189</v>
      </c>
      <c r="K29" s="43">
        <v>233491</v>
      </c>
      <c r="L29" s="143" t="s">
        <v>50</v>
      </c>
      <c r="M29" s="144">
        <f t="shared" si="0"/>
        <v>73.92</v>
      </c>
      <c r="N29" s="145" t="str">
        <f>VLOOKUP(C29,'Trips&amp;Operators'!$C$1:$G$99999,5,FALSE)</f>
        <v>HILLS DUSTIN</v>
      </c>
      <c r="O29" s="159" t="s">
        <v>185</v>
      </c>
      <c r="P29" s="146"/>
      <c r="Q29" s="30"/>
      <c r="R29" s="89" t="str">
        <f>VLOOKUP(C29,'Train Runs'!$A$13:$AE$9967,31,0)</f>
        <v>aws s3 cp s3://rtdc.mdm.uploadarchive.raw/RTDC4051/ "%USERPROFILE%\AppData\Local\Temp\OnboardLogs"\RTDC4051\2017-02-03 --exclude "*" --recursive --include "*20170203*" &amp; "%USERPROFILE%\Documents\GitHub\mrs-test-scripts\Headless Mode &amp; Sideloading\WalkAndUnGZ.bat" "%USERPROFILE%\AppData\Local\Temp\OnboardLogs"\RTDC4051\2017-02-03 &amp; aws s3 cp s3://rtdc.mdm.uploadarchive.raw/RTDC4051/ "%USERPROFILE%\AppData\Local\Temp\OnboardLogs"\RTDC4051\2017-02-04 --exclude "*" --recursive --include "*20170204*" &amp; "%USERPROFILE%\Documents\GitHub\mrs-test-scripts\Headless Mode &amp; Sideloading\WalkAndUnGZ.bat" "%USERPROFILE%\AppData\Local\Temp\OnboardLogs"\RTDC4051\2017-02-04</v>
      </c>
      <c r="S29" s="92" t="str">
        <f>VLOOKUP(C29,'Train Runs'!$A$13:$AE$9967,22,0)</f>
        <v>https://d0f6bd738d7f1b3e5a7ca70fe4ff75f0.us-east-1.aws.found.io/app/kibana#/discover/Steve-Slow-Train-Analysis-(2080s-and-2083s)?_g=(refreshInterval:(display:Off,pause:!f,section:0,value:0),time:(from:'2017-02-02T23:11:18-0700',mode:absolute,to:'2017-02-03T02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9" s="94" t="str">
        <f t="shared" si="1"/>
        <v>"C:\Program Files (x86)\AstroGrep\AstroGrep.exe" /spath="%USERPROFILE%\AppData\Local\Temp\OnboardLogs" /stypes="*4051*201702030*" /stext=" 08:.+((SYSTEM_STATE.+slice.+state.+changed )|(ment ac)|(multiple cpu faults)|(system.+state.+changed )|(\[timeout)|(PRM\|1\|D)|(kpr)|(kdp)|(\|lc)|(penalty))" /e /r /s</v>
      </c>
      <c r="U29" s="9" t="str">
        <f t="shared" si="2"/>
        <v>4051</v>
      </c>
      <c r="V29" s="32">
        <f t="shared" si="3"/>
        <v>42769.336284722223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{"issue":{"subject":"","project_id":79,"tracker_id":40,"status_id":1,"priority_id":2,"assigned_to_id":23,"start_date":"2017-02-03","description":"","custom_fields":[{"id":1,"name":"Subdivision","value":"EC"},{"id":4,"name":"Milepost","value":"23.3491"},{"id":17,"name":"Train ID","value":"243-02"},{"id":16,"name":"Locomotive ID","value":"4051"},{"id":130,"name":"Impact","value":""},{"id":150,"name":"Time of Event (Mountain Time)","value":"01:04:15"},{"id":151,"name":"Denver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"%USERPROFILE%\AppData\Local\Temp\OnboardLogs"\RTDC4051\*4051*201702030*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"%USERPROFILE%\AppData\Local\Temp\OnboardLogs"\RTDC4051\*4051*201702030* &gt;&gt; 2017-02-02-SliceDisagreementCheck.txt</v>
      </c>
      <c r="AE29" s="163" t="str">
        <f t="shared" si="8"/>
        <v>start /low /b %USERPROFILE%\Documents\GitHub\eaglep3\Utilities\DownloadLogsFromS3.py --loco 4051 --day 2017-02-03</v>
      </c>
      <c r="AF29" s="1"/>
    </row>
    <row r="30" spans="1:32" x14ac:dyDescent="0.25">
      <c r="A30" s="32">
        <v>42768.351840277777</v>
      </c>
      <c r="B30" s="30" t="s">
        <v>278</v>
      </c>
      <c r="C30" s="30" t="s">
        <v>445</v>
      </c>
      <c r="D30" s="30" t="s">
        <v>49</v>
      </c>
      <c r="E30" s="30" t="s">
        <v>219</v>
      </c>
      <c r="F30" s="43">
        <v>300</v>
      </c>
      <c r="G30" s="43">
        <v>399</v>
      </c>
      <c r="H30" s="43">
        <v>19977</v>
      </c>
      <c r="I30" s="43">
        <v>21185</v>
      </c>
      <c r="J30" s="30" t="s">
        <v>220</v>
      </c>
      <c r="K30" s="43">
        <v>21299</v>
      </c>
      <c r="L30" s="143" t="s">
        <v>50</v>
      </c>
      <c r="M30" s="144">
        <f t="shared" si="0"/>
        <v>60.192</v>
      </c>
      <c r="N30" s="145" t="str">
        <f>VLOOKUP(C30,'Trips&amp;Operators'!$C$1:$G$99999,5,FALSE)</f>
        <v>LOZA FIDEL</v>
      </c>
      <c r="O30" s="159" t="s">
        <v>185</v>
      </c>
      <c r="P30" s="146"/>
      <c r="Q30" s="30"/>
      <c r="R30" s="89" t="str">
        <f>VLOOKUP(C30,'Train Runs'!$A$13:$AE$9967,31,0)</f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S30" s="92" t="str">
        <f>VLOOKUP(C30,'Train Runs'!$A$13:$AE$9967,22,0)</f>
        <v>https://d0f6bd738d7f1b3e5a7ca70fe4ff75f0.us-east-1.aws.found.io/app/kibana#/discover/Steve-Slow-Train-Analysis-(2080s-and-2083s)?_g=(refreshInterval:(display:Off,pause:!f,section:0,value:0),time:(from:'2017-02-02T07:18:25-0700',mode:absolute,to:'2017-02-02T09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0" s="94" t="str">
        <f t="shared" si="1"/>
        <v>"C:\Program Files (x86)\AstroGrep\AstroGrep.exe" /spath="%USERPROFILE%\AppData\Local\Temp\OnboardLogs" /stypes="*4003*201702021*" /stext=" 15:.+((SYSTEM_STATE.+slice.+state.+changed )|(ment ac)|(multiple cpu faults)|(system.+state.+changed )|(\[timeout)|(PRM\|1\|D)|(kpr)|(kdp)|(\|lc)|(penalty))" /e /r /s</v>
      </c>
      <c r="U30" s="9" t="str">
        <f t="shared" si="2"/>
        <v>4003</v>
      </c>
      <c r="V30" s="32">
        <f t="shared" si="3"/>
        <v>42768.643506944441</v>
      </c>
      <c r="W30" s="46" t="str">
        <f t="shared" si="4"/>
        <v>NW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{"issue":{"subject":"","project_id":79,"tracker_id":40,"status_id":1,"priority_id":2,"assigned_to_id":23,"start_date":"2017-02-02","description":"","custom_fields":[{"id":1,"name":"Subdivision","value":"NW"},{"id":4,"name":"Milepost","value":"2.1299"},{"id":17,"name":"Train ID","value":"811-02"},{"id":16,"name":"Locomotive ID","value":"4003"},{"id":130,"name":"Impact","value":""},{"id":150,"name":"Time of Event (Mountain Time)","value":"08:26:39"},{"id":151,"name":"Denver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"%USERPROFILE%\AppData\Local\Temp\OnboardLogs"\RTDC4003\*4003*201702021*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"%USERPROFILE%\AppData\Local\Temp\OnboardLogs"\RTDC4003\*4003*201702021* &gt;&gt; 2017-02-02-SliceDisagreementCheck.txt</v>
      </c>
      <c r="AE30" s="163" t="str">
        <f t="shared" si="8"/>
        <v>start /low /b %USERPROFILE%\Documents\GitHub\eaglep3\Utilities\DownloadLogsFromS3.py --loco 4003 --day 2017-02-02</v>
      </c>
      <c r="AF30" s="1"/>
    </row>
    <row r="31" spans="1:32" x14ac:dyDescent="0.25">
      <c r="A31" s="32">
        <v>42768.727303240739</v>
      </c>
      <c r="B31" s="30" t="s">
        <v>454</v>
      </c>
      <c r="C31" s="30" t="s">
        <v>457</v>
      </c>
      <c r="D31" s="30" t="s">
        <v>49</v>
      </c>
      <c r="E31" s="30" t="s">
        <v>188</v>
      </c>
      <c r="F31" s="43">
        <v>0</v>
      </c>
      <c r="G31" s="43">
        <v>44</v>
      </c>
      <c r="H31" s="43">
        <v>726</v>
      </c>
      <c r="I31" s="43">
        <v>689</v>
      </c>
      <c r="J31" s="30" t="s">
        <v>189</v>
      </c>
      <c r="K31" s="43">
        <v>575</v>
      </c>
      <c r="L31" s="143" t="s">
        <v>51</v>
      </c>
      <c r="M31" s="144">
        <f t="shared" si="0"/>
        <v>60.192</v>
      </c>
      <c r="N31" s="145" t="str">
        <f>VLOOKUP(C31,'Trips&amp;Operators'!$C$1:$G$99999,5,FALSE)</f>
        <v>STORY SAMANTHA</v>
      </c>
      <c r="O31" s="159" t="s">
        <v>185</v>
      </c>
      <c r="P31" s="146"/>
      <c r="Q31" s="30"/>
      <c r="R31" s="89" t="str">
        <f>VLOOKUP(C31,'Train Runs'!$A$13:$AE$9967,31,0)</f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S31" s="92" t="str">
        <f>VLOOKUP(C31,'Train Runs'!$A$13:$AE$9967,22,0)</f>
        <v>https://d0f6bd738d7f1b3e5a7ca70fe4ff75f0.us-east-1.aws.found.io/app/kibana#/discover/Steve-Slow-Train-Analysis-(2080s-and-2083s)?_g=(refreshInterval:(display:Off,pause:!f,section:0,value:0),time:(from:'2017-02-02T16:06:54-0700',mode:absolute,to:'2017-02-02T18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94" t="str">
        <f t="shared" si="1"/>
        <v>"C:\Program Files (x86)\AstroGrep\AstroGrep.exe" /spath="%USERPROFILE%\AppData\Local\Temp\OnboardLogs" /stypes="*4019*201702030*" /stext=" 00:.+((SYSTEM_STATE.+slice.+state.+changed )|(ment ac)|(multiple cpu faults)|(system.+state.+changed )|(\[timeout)|(PRM\|1\|D)|(kpr)|(kdp)|(\|lc)|(penalty))" /e /r /s</v>
      </c>
      <c r="U31" s="9" t="str">
        <f t="shared" si="2"/>
        <v>4019</v>
      </c>
      <c r="V31" s="32">
        <f t="shared" si="3"/>
        <v>42769.018969907404</v>
      </c>
      <c r="W31" s="46" t="str">
        <f t="shared" si="4"/>
        <v>NW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{"issue":{"subject":"","project_id":79,"tracker_id":40,"status_id":1,"priority_id":2,"assigned_to_id":23,"start_date":"2017-02-02","description":"","custom_fields":[{"id":1,"name":"Subdivision","value":"NW"},{"id":4,"name":"Milepost","value":"0.0575"},{"id":17,"name":"Train ID","value":"832-02"},{"id":16,"name":"Locomotive ID","value":"4019"},{"id":130,"name":"Impact","value":""},{"id":150,"name":"Time of Event (Mountain Time)","value":"17:27:19"},{"id":151,"name":"Denver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"%USERPROFILE%\AppData\Local\Temp\OnboardLogs"\RTDC4019\*4019*201702030*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"%USERPROFILE%\AppData\Local\Temp\OnboardLogs"\RTDC4019\*4019*201702030* &gt;&gt; 2017-02-02-SliceDisagreementCheck.txt</v>
      </c>
      <c r="AE31" s="163" t="str">
        <f t="shared" si="8"/>
        <v>start /low /b %USERPROFILE%\Documents\GitHub\eaglep3\Utilities\DownloadLogsFromS3.py --loco 4019 --day 2017-02-03</v>
      </c>
      <c r="AF31" s="1"/>
    </row>
    <row r="32" spans="1:32" x14ac:dyDescent="0.25">
      <c r="A32" s="32">
        <v>42768.769120370373</v>
      </c>
      <c r="B32" s="30" t="s">
        <v>454</v>
      </c>
      <c r="C32" s="30" t="s">
        <v>458</v>
      </c>
      <c r="D32" s="30" t="s">
        <v>49</v>
      </c>
      <c r="E32" s="30" t="s">
        <v>188</v>
      </c>
      <c r="F32" s="43">
        <v>0</v>
      </c>
      <c r="G32" s="43">
        <v>59</v>
      </c>
      <c r="H32" s="43">
        <v>759</v>
      </c>
      <c r="I32" s="43">
        <v>703</v>
      </c>
      <c r="J32" s="30" t="s">
        <v>189</v>
      </c>
      <c r="K32" s="43">
        <v>575</v>
      </c>
      <c r="L32" s="143" t="s">
        <v>51</v>
      </c>
      <c r="M32" s="144">
        <f t="shared" si="0"/>
        <v>67.584000000000003</v>
      </c>
      <c r="N32" s="145" t="str">
        <f>VLOOKUP(C32,'Trips&amp;Operators'!$C$1:$G$99999,5,FALSE)</f>
        <v>STORY SAMANTHA</v>
      </c>
      <c r="O32" s="159" t="s">
        <v>185</v>
      </c>
      <c r="P32" s="146"/>
      <c r="Q32" s="30"/>
      <c r="R32" s="89" t="str">
        <f>VLOOKUP(C32,'Train Runs'!$A$13:$AE$9967,31,0)</f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S32" s="92" t="str">
        <f>VLOOKUP(C32,'Train Runs'!$A$13:$AE$9967,22,0)</f>
        <v>https://d0f6bd738d7f1b3e5a7ca70fe4ff75f0.us-east-1.aws.found.io/app/kibana#/discover/Steve-Slow-Train-Analysis-(2080s-and-2083s)?_g=(refreshInterval:(display:Off,pause:!f,section:0,value:0),time:(from:'2017-02-02T17:08:22-0700',mode:absolute,to:'2017-02-02T19:27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2" s="94" t="str">
        <f t="shared" si="1"/>
        <v>"C:\Program Files (x86)\AstroGrep\AstroGrep.exe" /spath="%USERPROFILE%\AppData\Local\Temp\OnboardLogs" /stypes="*4019*201702030*" /stext=" 01:.+((SYSTEM_STATE.+slice.+state.+changed )|(ment ac)|(multiple cpu faults)|(system.+state.+changed )|(\[timeout)|(PRM\|1\|D)|(kpr)|(kdp)|(\|lc)|(penalty))" /e /r /s</v>
      </c>
      <c r="U32" s="9" t="str">
        <f t="shared" si="2"/>
        <v>4019</v>
      </c>
      <c r="V32" s="32">
        <f t="shared" si="3"/>
        <v>42769.060787037037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{"issue":{"subject":"","project_id":79,"tracker_id":40,"status_id":1,"priority_id":2,"assigned_to_id":23,"start_date":"2017-02-02","description":"","custom_fields":[{"id":1,"name":"Subdivision","value":"NW"},{"id":4,"name":"Milepost","value":"0.0575"},{"id":17,"name":"Train ID","value":"836-02"},{"id":16,"name":"Locomotive ID","value":"4019"},{"id":130,"name":"Impact","value":""},{"id":150,"name":"Time of Event (Mountain Time)","value":"18:27:32"},{"id":151,"name":"Denver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"%USERPROFILE%\AppData\Local\Temp\OnboardLogs"\RTDC4019\*4019*201702030*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"%USERPROFILE%\AppData\Local\Temp\OnboardLogs"\RTDC4019\*4019*201702030* &gt;&gt; 2017-02-02-SliceDisagreementCheck.txt</v>
      </c>
      <c r="AE32" s="163" t="str">
        <f t="shared" si="8"/>
        <v>start /low /b %USERPROFILE%\Documents\GitHub\eaglep3\Utilities\DownloadLogsFromS3.py --loco 4019 --day 2017-02-03</v>
      </c>
      <c r="AF32" s="1"/>
    </row>
    <row r="33" spans="1:32" x14ac:dyDescent="0.25">
      <c r="A33" s="32">
        <v>42768.913842592592</v>
      </c>
      <c r="B33" s="30" t="s">
        <v>279</v>
      </c>
      <c r="C33" s="30" t="s">
        <v>465</v>
      </c>
      <c r="D33" s="30" t="s">
        <v>49</v>
      </c>
      <c r="E33" s="30" t="s">
        <v>188</v>
      </c>
      <c r="F33" s="43">
        <v>0</v>
      </c>
      <c r="G33" s="43">
        <v>38</v>
      </c>
      <c r="H33" s="43">
        <v>685</v>
      </c>
      <c r="I33" s="43">
        <v>664</v>
      </c>
      <c r="J33" s="30" t="s">
        <v>189</v>
      </c>
      <c r="K33" s="43">
        <v>575</v>
      </c>
      <c r="L33" s="143" t="s">
        <v>51</v>
      </c>
      <c r="M33" s="144">
        <f t="shared" si="0"/>
        <v>46.991999999999997</v>
      </c>
      <c r="N33" s="145" t="str">
        <f>VLOOKUP(C33,'Trips&amp;Operators'!$C$1:$G$99999,5,FALSE)</f>
        <v>STORY SAMANTHA</v>
      </c>
      <c r="O33" s="159" t="s">
        <v>185</v>
      </c>
      <c r="P33" s="146"/>
      <c r="Q33" s="30"/>
      <c r="R33" s="89" t="str">
        <f>VLOOKUP(C33,'Train Runs'!$A$13:$AE$9967,31,0)</f>
        <v>aws s3 cp s3://rtdc.mdm.uploadarchive.raw/RTDC4004/ "%USERPROFILE%\AppData\Local\Temp\OnboardLogs"\RTDC4004\2017-02-02 --exclude "*" --recursive --include "*20170202*" &amp; "%USERPROFILE%\Documents\GitHub\mrs-test-scripts\Headless Mode &amp; Sideloading\WalkAndUnGZ.bat" "%USERPROFILE%\AppData\Local\Temp\OnboardLogs"\RTDC4004\2017-02-02 &amp; aws s3 cp s3://rtdc.mdm.uploadarchive.raw/RTDC4004/ "%USERPROFILE%\AppData\Local\Temp\OnboardLogs"\RTDC4004\2017-02-03 --exclude "*" --recursive --include "*20170203*" &amp; "%USERPROFILE%\Documents\GitHub\mrs-test-scripts\Headless Mode &amp; Sideloading\WalkAndUnGZ.bat" "%USERPROFILE%\AppData\Local\Temp\OnboardLogs"\RTDC4004\2017-02-03</v>
      </c>
      <c r="S33" s="92" t="str">
        <f>VLOOKUP(C33,'Train Runs'!$A$13:$AE$9967,22,0)</f>
        <v>https://d0f6bd738d7f1b3e5a7ca70fe4ff75f0.us-east-1.aws.found.io/app/kibana#/discover/Steve-Slow-Train-Analysis-(2080s-and-2083s)?_g=(refreshInterval:(display:Off,pause:!f,section:0,value:0),time:(from:'2017-02-02T20:38:11-0700',mode:absolute,to:'2017-02-02T22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3" s="94" t="str">
        <f t="shared" si="1"/>
        <v>"C:\Program Files (x86)\AstroGrep\AstroGrep.exe" /spath="%USERPROFILE%\AppData\Local\Temp\OnboardLogs" /stypes="*4004*201702030*" /stext=" 04:.+((SYSTEM_STATE.+slice.+state.+changed )|(ment ac)|(multiple cpu faults)|(system.+state.+changed )|(\[timeout)|(PRM\|1\|D)|(kpr)|(kdp)|(\|lc)|(penalty))" /e /r /s</v>
      </c>
      <c r="U33" s="9" t="str">
        <f t="shared" si="2"/>
        <v>4004</v>
      </c>
      <c r="V33" s="32">
        <f t="shared" si="3"/>
        <v>42769.205509259256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{"issue":{"subject":"","project_id":79,"tracker_id":40,"status_id":1,"priority_id":2,"assigned_to_id":23,"start_date":"2017-02-02","description":"","custom_fields":[{"id":1,"name":"Subdivision","value":"NW"},{"id":4,"name":"Milepost","value":"0.0575"},{"id":17,"name":"Train ID","value":"844-02"},{"id":16,"name":"Locomotive ID","value":"4004"},{"id":130,"name":"Impact","value":""},{"id":150,"name":"Time of Event (Mountain Time)","value":"21:55:56"},{"id":151,"name":"Denver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"%USERPROFILE%\AppData\Local\Temp\OnboardLogs"\RTDC4004\*4004*201702030*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"%USERPROFILE%\AppData\Local\Temp\OnboardLogs"\RTDC4004\*4004*201702030* &gt;&gt; 2017-02-02-SliceDisagreementCheck.txt</v>
      </c>
      <c r="AE33" s="163" t="str">
        <f t="shared" si="8"/>
        <v>start /low /b %USERPROFILE%\Documents\GitHub\eaglep3\Utilities\DownloadLogsFromS3.py --loco 4004 --day 2017-02-03</v>
      </c>
      <c r="AF33" s="1"/>
    </row>
    <row r="34" spans="1:32" x14ac:dyDescent="0.25">
      <c r="A34" s="32">
        <v>42768.816481481481</v>
      </c>
      <c r="B34" s="30" t="s">
        <v>278</v>
      </c>
      <c r="C34" s="30" t="s">
        <v>461</v>
      </c>
      <c r="D34" s="30" t="s">
        <v>49</v>
      </c>
      <c r="E34" s="30" t="s">
        <v>188</v>
      </c>
      <c r="F34" s="43">
        <v>0</v>
      </c>
      <c r="G34" s="43">
        <v>51</v>
      </c>
      <c r="H34" s="43">
        <v>58869</v>
      </c>
      <c r="I34" s="43">
        <v>58920</v>
      </c>
      <c r="J34" s="30" t="s">
        <v>189</v>
      </c>
      <c r="K34" s="43">
        <v>59048</v>
      </c>
      <c r="L34" s="143" t="s">
        <v>50</v>
      </c>
      <c r="M34" s="144">
        <f t="shared" si="0"/>
        <v>67.584000000000003</v>
      </c>
      <c r="N34" s="145" t="str">
        <f>VLOOKUP(C34,'Trips&amp;Operators'!$C$1:$G$99999,5,FALSE)</f>
        <v>LEVERE CRAIG</v>
      </c>
      <c r="O34" s="159" t="s">
        <v>185</v>
      </c>
      <c r="P34" s="146"/>
      <c r="Q34" s="30"/>
      <c r="R34" s="89" t="str">
        <f>VLOOKUP(C34,'Train Runs'!$A$13:$AE$9967,31,0)</f>
        <v>aws s3 cp s3://rtdc.mdm.uploadarchive.raw/RTDC4003/ "%USERPROFILE%\AppData\Local\Temp\OnboardLogs"\RTDC4003\2017-02-02 --exclude "*" --recursive --include "*20170202*" &amp; "%USERPROFILE%\Documents\GitHub\mrs-test-scripts\Headless Mode &amp; Sideloading\WalkAndUnGZ.bat" "%USERPROFILE%\AppData\Local\Temp\OnboardLogs"\RTDC4003\2017-02-02 &amp; aws s3 cp s3://rtdc.mdm.uploadarchive.raw/RTDC4003/ "%USERPROFILE%\AppData\Local\Temp\OnboardLogs"\RTDC4003\2017-02-03 --exclude "*" --recursive --include "*20170203*" &amp; "%USERPROFILE%\Documents\GitHub\mrs-test-scripts\Headless Mode &amp; Sideloading\WalkAndUnGZ.bat" "%USERPROFILE%\AppData\Local\Temp\OnboardLogs"\RTDC4003\2017-02-03</v>
      </c>
      <c r="S34" s="92" t="str">
        <f>VLOOKUP(C34,'Train Runs'!$A$13:$AE$9967,22,0)</f>
        <v>https://d0f6bd738d7f1b3e5a7ca70fe4ff75f0.us-east-1.aws.found.io/app/kibana#/discover/Steve-Slow-Train-Analysis-(2080s-and-2083s)?_g=(refreshInterval:(display:Off,pause:!f,section:0,value:0),time:(from:'2017-02-02T18:11:45-0700',mode:absolute,to:'2017-02-02T20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4" s="94" t="str">
        <f t="shared" si="1"/>
        <v>"C:\Program Files (x86)\AstroGrep\AstroGrep.exe" /spath="%USERPROFILE%\AppData\Local\Temp\OnboardLogs" /stypes="*4003*201702030*" /stext=" 02:.+((SYSTEM_STATE.+slice.+state.+changed )|(ment ac)|(multiple cpu faults)|(system.+state.+changed )|(\[timeout)|(PRM\|1\|D)|(kpr)|(kdp)|(\|lc)|(penalty))" /e /r /s</v>
      </c>
      <c r="U34" s="9" t="str">
        <f t="shared" si="2"/>
        <v>4003</v>
      </c>
      <c r="V34" s="32">
        <f t="shared" si="3"/>
        <v>42769.108148148145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{"issue":{"subject":"","project_id":79,"tracker_id":40,"status_id":1,"priority_id":2,"assigned_to_id":23,"start_date":"2017-02-02","description":"","custom_fields":[{"id":1,"name":"Subdivision","value":"NW"},{"id":4,"name":"Milepost","value":"5.9048"},{"id":17,"name":"Train ID","value":"841-02"},{"id":16,"name":"Locomotive ID","value":"4003"},{"id":130,"name":"Impact","value":""},{"id":150,"name":"Time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"%USERPROFILE%\AppData\Local\Temp\OnboardLogs"\RTDC4003\*4003*201702030*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"%USERPROFILE%\AppData\Local\Temp\OnboardLogs"\RTDC4003\*4003*201702030* &gt;&gt; 2017-02-02-SliceDisagreementCheck.txt</v>
      </c>
      <c r="AE34" s="163" t="str">
        <f t="shared" si="8"/>
        <v>start /low /b %USERPROFILE%\Documents\GitHub\eaglep3\Utilities\DownloadLogsFromS3.py --loco 4003 --day 2017-02-03</v>
      </c>
      <c r="AF34" s="1"/>
    </row>
    <row r="35" spans="1:32" x14ac:dyDescent="0.25">
      <c r="A35" s="32">
        <v>42769.010798611111</v>
      </c>
      <c r="B35" s="30" t="s">
        <v>376</v>
      </c>
      <c r="C35" s="30" t="s">
        <v>468</v>
      </c>
      <c r="D35" s="30" t="s">
        <v>98</v>
      </c>
      <c r="E35" s="30" t="s">
        <v>186</v>
      </c>
      <c r="F35" s="43">
        <v>0</v>
      </c>
      <c r="G35" s="43">
        <v>149</v>
      </c>
      <c r="H35" s="43">
        <v>167823</v>
      </c>
      <c r="I35" s="43">
        <v>167561</v>
      </c>
      <c r="J35" s="30" t="s">
        <v>187</v>
      </c>
      <c r="K35" s="43">
        <v>168014</v>
      </c>
      <c r="L35" s="143" t="s">
        <v>51</v>
      </c>
      <c r="M35" s="144">
        <f t="shared" si="0"/>
        <v>-239.184</v>
      </c>
      <c r="N35" s="145" t="str">
        <f>VLOOKUP(C35,'Trips&amp;Operators'!$C$1:$G$99999,5,FALSE)</f>
        <v>SIMMONS SHYHESHA</v>
      </c>
      <c r="O35" s="159" t="s">
        <v>185</v>
      </c>
      <c r="P35" s="146"/>
      <c r="Q35" s="30"/>
      <c r="R35" s="89" t="str">
        <f>VLOOKUP(C35,'Train Runs'!$A$13:$AE$9967,31,0)</f>
        <v>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 &amp; aws s3 cp s3://rtdc.mdm.uploadarchive.raw/RTDC4057/ "%USERPROFILE%\AppData\Local\Temp\OnboardLogs"\RTDC4057\2017-02-04 --exclude "*" --recursive --include "*20170204*" &amp; "%USERPROFILE%\Documents\GitHub\mrs-test-scripts\Headless Mode &amp; Sideloading\WalkAndUnGZ.bat" "%USERPROFILE%\AppData\Local\Temp\OnboardLogs"\RTDC4057\2017-02-04</v>
      </c>
      <c r="S35" s="92" t="str">
        <f>VLOOKUP(C35,'Train Runs'!$A$13:$AE$9967,22,0)</f>
        <v>https://d0f6bd738d7f1b3e5a7ca70fe4ff75f0.us-east-1.aws.found.io/app/kibana#/discover/Steve-Slow-Train-Analysis-(2080s-and-2083s)?_g=(refreshInterval:(display:Off,pause:!f,section:0,value:0),time:(from:'2017-02-02T23:24:41-0700',mode:absolute,to:'2017-02-03T02:12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5" s="94" t="str">
        <f t="shared" si="1"/>
        <v>"C:\Program Files (x86)\AstroGrep\AstroGrep.exe" /spath="%USERPROFILE%\AppData\Local\Temp\OnboardLogs" /stypes="*4057*201702030*" /stext=" 07:.+((SYSTEM_STATE.+slice.+state.+changed )|(ment ac)|(multiple cpu faults)|(system.+state.+changed )|(\[timeout)|(PRM\|1\|D)|(kpr)|(kdp)|(\|lc)|(penalty))" /e /r /s</v>
      </c>
      <c r="U35" s="9" t="str">
        <f t="shared" si="2"/>
        <v>4057</v>
      </c>
      <c r="V35" s="32">
        <f t="shared" si="3"/>
        <v>42769.302465277775</v>
      </c>
      <c r="W35" s="46" t="str">
        <f t="shared" si="4"/>
        <v>Other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{"issue":{"subject":"","project_id":79,"tracker_id":40,"status_id":1,"priority_id":2,"assigned_to_id":23,"start_date":"2017-02-03","description":"","custom_fields":[{"id":1,"name":"Subdivision","value":"Other"},{"id":4,"name":"Milepost","value":"16.8014"},{"id":17,"name":"Train ID","value":"SOUTH57-02"},{"id":16,"name":"Locomotive ID","value":"4057"},{"id":130,"name":"Impact","value":""},{"id":150,"name":"Time of Event (Mountain Time)","value":"00:15:33"},{"id":151,"name":"Denver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"%USERPROFILE%\AppData\Local\Temp\OnboardLogs"\RTDC4057\*4057*201702030*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"%USERPROFILE%\AppData\Local\Temp\OnboardLogs"\RTDC4057\*4057*201702030* &gt;&gt; 2017-02-02-SliceDisagreementCheck.txt</v>
      </c>
      <c r="AE35" s="163" t="str">
        <f t="shared" si="8"/>
        <v>start /low /b %USERPROFILE%\Documents\GitHub\eaglep3\Utilities\DownloadLogsFromS3.py --loco 4057 --day 2017-02-03</v>
      </c>
      <c r="AF35" s="1"/>
    </row>
    <row r="36" spans="1:32" x14ac:dyDescent="0.25">
      <c r="A36" s="32">
        <v>42768.892997685187</v>
      </c>
      <c r="B36" s="30" t="s">
        <v>376</v>
      </c>
      <c r="C36" s="30" t="s">
        <v>464</v>
      </c>
      <c r="D36" s="30" t="s">
        <v>98</v>
      </c>
      <c r="E36" s="30" t="s">
        <v>188</v>
      </c>
      <c r="F36" s="43">
        <v>0</v>
      </c>
      <c r="G36" s="43">
        <v>7</v>
      </c>
      <c r="H36" s="43">
        <v>1</v>
      </c>
      <c r="I36" s="43">
        <v>0</v>
      </c>
      <c r="J36" s="30" t="s">
        <v>189</v>
      </c>
      <c r="K36" s="43">
        <v>1</v>
      </c>
      <c r="L36" s="143" t="s">
        <v>51</v>
      </c>
      <c r="M36" s="144">
        <f t="shared" si="0"/>
        <v>-0.52800000000000002</v>
      </c>
      <c r="N36" s="145" t="str">
        <f>VLOOKUP(C36,'Trips&amp;Operators'!$C$1:$G$99999,5,FALSE)</f>
        <v>SIMMONS SHYHESHA</v>
      </c>
      <c r="O36" s="159" t="s">
        <v>185</v>
      </c>
      <c r="P36" s="146"/>
      <c r="Q36" s="30"/>
      <c r="R36" s="89" t="str">
        <f>VLOOKUP(C36,'Train Runs'!$A$13:$AE$9967,31,0)</f>
        <v>aws s3 cp s3://rtdc.mdm.uploadarchive.raw/RTDC4057/ "%USERPROFILE%\AppData\Local\Temp\OnboardLogs"\RTDC4057\2017-02-02 --exclude "*" --recursive --include "*20170202*" &amp; "%USERPROFILE%\Documents\GitHub\mrs-test-scripts\Headless Mode &amp; Sideloading\WalkAndUnGZ.bat" "%USERPROFILE%\AppData\Local\Temp\OnboardLogs"\RTDC4057\2017-02-02 &amp; aws s3 cp s3://rtdc.mdm.uploadarchive.raw/RTDC4057/ "%USERPROFILE%\AppData\Local\Temp\OnboardLogs"\RTDC4057\2017-02-03 --exclude "*" --recursive --include "*20170203*" &amp; "%USERPROFILE%\Documents\GitHub\mrs-test-scripts\Headless Mode &amp; Sideloading\WalkAndUnGZ.bat" "%USERPROFILE%\AppData\Local\Temp\OnboardLogs"\RTDC4057\2017-02-03</v>
      </c>
      <c r="S36" s="92" t="str">
        <f>VLOOKUP(C36,'Train Runs'!$A$13:$AE$9967,22,0)</f>
        <v>https://d0f6bd738d7f1b3e5a7ca70fe4ff75f0.us-east-1.aws.found.io/app/kibana#/discover/Steve-Slow-Train-Analysis-(2080s-and-2083s)?_g=(refreshInterval:(display:Off,pause:!f,section:0,value:0),time:(from:'2017-02-02T20:15:52-0700',mode:absolute,to:'2017-02-02T23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6" s="94" t="str">
        <f t="shared" si="1"/>
        <v>"C:\Program Files (x86)\AstroGrep\AstroGrep.exe" /spath="%USERPROFILE%\AppData\Local\Temp\OnboardLogs" /stypes="*4057*201702030*" /stext=" 04:.+((SYSTEM_STATE.+slice.+state.+changed )|(ment ac)|(multiple cpu faults)|(system.+state.+changed )|(\[timeout)|(PRM\|1\|D)|(kpr)|(kdp)|(\|lc)|(penalty))" /e /r /s</v>
      </c>
      <c r="U36" s="9" t="str">
        <f t="shared" si="2"/>
        <v>4057</v>
      </c>
      <c r="V36" s="32">
        <f t="shared" si="3"/>
        <v>42769.184664351851</v>
      </c>
      <c r="W36" s="46" t="str">
        <f t="shared" si="4"/>
        <v>Other</v>
      </c>
      <c r="X36" s="46" t="str">
        <f t="shared" si="5"/>
        <v>OMIT</v>
      </c>
      <c r="Y36" s="108" t="str">
        <f t="shared" si="6"/>
        <v>echo {"issue":{"subject":"","project_id":79,"tracker_id":40,"status_id":1,"priority_id":2,"assigned_to_id":23,"start_date":"2017-02-02","description":"","custom_fields":[{"id":1,"name":"Subdivision","value":"Other"},{"id":4,"name":"Milepost","value":"0.0001"},{"id":17,"name":"Train ID","value":"84-02"},{"id":16,"name":"Locomotive ID","value":"4057"},{"id":130,"name":"Impact","value":""},{"id":150,"name":"Time of Event (Mountain Time)","value":"21:25:55"},{"id":151,"name":"Denver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"%USERPROFILE%\AppData\Local\Temp\OnboardLogs"\RTDC4057\*4057*201702030*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"%USERPROFILE%\AppData\Local\Temp\OnboardLogs"\RTDC4057\*4057*201702030* &gt;&gt; 2017-02-02-SliceDisagreementCheck.txt</v>
      </c>
      <c r="AE36" s="163" t="str">
        <f t="shared" si="8"/>
        <v>start /low /b %USERPROFILE%\Documents\GitHub\eaglep3\Utilities\DownloadLogsFromS3.py --loco 4057 --day 2017-02-03</v>
      </c>
      <c r="AF36" s="1"/>
    </row>
    <row r="37" spans="1:32" x14ac:dyDescent="0.25">
      <c r="A37" s="32">
        <v>42768.654583333337</v>
      </c>
      <c r="B37" s="30" t="s">
        <v>454</v>
      </c>
      <c r="C37" s="30" t="s">
        <v>455</v>
      </c>
      <c r="D37" s="30" t="s">
        <v>49</v>
      </c>
      <c r="E37" s="30" t="s">
        <v>188</v>
      </c>
      <c r="F37" s="43">
        <v>0</v>
      </c>
      <c r="G37" s="43">
        <v>30</v>
      </c>
      <c r="H37" s="43">
        <v>652</v>
      </c>
      <c r="I37" s="43">
        <v>629</v>
      </c>
      <c r="J37" s="30" t="s">
        <v>189</v>
      </c>
      <c r="K37" s="43">
        <v>575</v>
      </c>
      <c r="L37" s="143" t="s">
        <v>51</v>
      </c>
      <c r="M37" s="144">
        <f t="shared" si="0"/>
        <v>28.512</v>
      </c>
      <c r="N37" s="145" t="str">
        <f>VLOOKUP(C37,'Trips&amp;Operators'!$C$1:$G$99999,5,FALSE)</f>
        <v>STORY SAMANTHA</v>
      </c>
      <c r="O37" s="159" t="s">
        <v>185</v>
      </c>
      <c r="P37" s="146"/>
      <c r="Q37" s="30"/>
      <c r="R37" s="89" t="str">
        <f>VLOOKUP(C37,'Train Runs'!$A$13:$AE$9967,31,0)</f>
        <v>aws s3 cp s3://rtdc.mdm.uploadarchive.raw/RTDC4019/ "%USERPROFILE%\AppData\Local\Temp\OnboardLogs"\RTDC4019\2017-02-02 --exclude "*" --recursive --include "*20170202*" &amp; "%USERPROFILE%\Documents\GitHub\mrs-test-scripts\Headless Mode &amp; Sideloading\WalkAndUnGZ.bat" "%USERPROFILE%\AppData\Local\Temp\OnboardLogs"\RTDC4019\2017-02-02 &amp; aws s3 cp s3://rtdc.mdm.uploadarchive.raw/RTDC4019/ "%USERPROFILE%\AppData\Local\Temp\OnboardLogs"\RTDC4019\2017-02-03 --exclude "*" --recursive --include "*20170203*" &amp; "%USERPROFILE%\Documents\GitHub\mrs-test-scripts\Headless Mode &amp; Sideloading\WalkAndUnGZ.bat" "%USERPROFILE%\AppData\Local\Temp\OnboardLogs"\RTDC4019\2017-02-03</v>
      </c>
      <c r="S37" s="92" t="str">
        <f>VLOOKUP(C37,'Train Runs'!$A$13:$AE$9967,22,0)</f>
        <v>https://d0f6bd738d7f1b3e5a7ca70fe4ff75f0.us-east-1.aws.found.io/app/kibana#/discover/Steve-Slow-Train-Analysis-(2080s-and-2083s)?_g=(refreshInterval:(display:Off,pause:!f,section:0,value:0),time:(from:'2017-02-02T14:33:46-0700',mode:absolute,to:'2017-02-02T16:42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7" s="94" t="str">
        <f t="shared" si="1"/>
        <v>"C:\Program Files (x86)\AstroGrep\AstroGrep.exe" /spath="%USERPROFILE%\AppData\Local\Temp\OnboardLogs" /stypes="*4019*201702022*" /stext=" 22:.+((SYSTEM_STATE.+slice.+state.+changed )|(ment ac)|(multiple cpu faults)|(system.+state.+changed )|(\[timeout)|(PRM\|1\|D)|(kpr)|(kdp)|(\|lc)|(penalty))" /e /r /s</v>
      </c>
      <c r="U37" s="9" t="str">
        <f t="shared" si="2"/>
        <v>4019</v>
      </c>
      <c r="V37" s="32">
        <f t="shared" si="3"/>
        <v>42768.946250000001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{"issue":{"subject":"","project_id":79,"tracker_id":40,"status_id":1,"priority_id":2,"assigned_to_id":23,"start_date":"2017-02-02","description":"","custom_fields":[{"id":1,"name":"Subdivision","value":"Other"},{"id":4,"name":"Milepost","value":"0.0575"},{"id":17,"name":"Train ID","value":"904-02"},{"id":16,"name":"Locomotive ID","value":"4019"},{"id":130,"name":"Impact","value":""},{"id":150,"name":"Time of Event (Mountain Time)","value":"15:42:36"},{"id":151,"name":"Denver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"%USERPROFILE%\AppData\Local\Temp\OnboardLogs"\RTDC4019\*4019*201702022*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"%USERPROFILE%\AppData\Local\Temp\OnboardLogs"\RTDC4019\*4019*201702022* &gt;&gt; 2017-02-02-SliceDisagreementCheck.txt</v>
      </c>
      <c r="AE37" s="163" t="str">
        <f t="shared" si="8"/>
        <v>start /low /b %USERPROFILE%\Documents\GitHub\eaglep3\Utilities\DownloadLogsFromS3.py --loco 4019 --day 2017-02-02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</sheetData>
  <autoFilter ref="A6:AC35">
    <sortState ref="A7:AC37">
      <sortCondition ref="V6:V35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3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>
      <selection activeCell="A3" sqref="A3"/>
    </sheetView>
  </sheetViews>
  <sheetFormatPr defaultRowHeight="15" x14ac:dyDescent="0.25"/>
  <cols>
    <col min="1" max="1" width="9.140625" style="152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52"/>
      <c r="B1" s="197" t="str">
        <f>"Trips that did not appear in PTC Data "&amp;TEXT(Variables!$A$2,"YYYY-mm-dd")</f>
        <v>Trips that did not appear in PTC Data 2017-02-02</v>
      </c>
      <c r="C1" s="197"/>
      <c r="D1" s="197"/>
      <c r="E1" s="197"/>
      <c r="F1" s="197"/>
    </row>
    <row r="2" spans="1:10" s="23" customFormat="1" ht="45" x14ac:dyDescent="0.25">
      <c r="A2" s="155" t="s">
        <v>152</v>
      </c>
      <c r="B2" s="99" t="s">
        <v>58</v>
      </c>
      <c r="C2" s="96" t="s">
        <v>59</v>
      </c>
      <c r="D2" s="17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53"/>
      <c r="B3" s="43" t="str">
        <f>A3&amp;"-"&amp;IF(DAY(Variables!$A$2)&lt;10,0,"")&amp;DAY(Variables!$A$2)</f>
        <v>-02</v>
      </c>
      <c r="C3" s="147"/>
      <c r="D3" s="17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" s="30" t="e">
        <f>VLOOKUP(B3,'Train Runs'!$A$13:$A$99964,1,FALSE)</f>
        <v>#N/A</v>
      </c>
    </row>
    <row r="4" spans="1:10" x14ac:dyDescent="0.25">
      <c r="A4" s="153"/>
      <c r="B4" s="43" t="str">
        <f>A4&amp;"-"&amp;IF(DAY(Variables!$A$2)&lt;10,0,"")&amp;DAY(Variables!$A$2)</f>
        <v>-02</v>
      </c>
      <c r="C4" s="147"/>
      <c r="D4" s="17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Runs'!$A$13:$A$99964,1,FALSE)</f>
        <v>#N/A</v>
      </c>
    </row>
    <row r="5" spans="1:10" x14ac:dyDescent="0.25">
      <c r="A5" s="153"/>
      <c r="B5" s="43" t="str">
        <f>A5&amp;"-"&amp;IF(DAY(Variables!$A$2)&lt;10,0,"")&amp;DAY(Variables!$A$2)</f>
        <v>-02</v>
      </c>
      <c r="C5" s="147"/>
      <c r="D5" s="17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Runs'!$A$13:$A$99964,1,FALSE)</f>
        <v>#N/A</v>
      </c>
    </row>
    <row r="6" spans="1:10" x14ac:dyDescent="0.25">
      <c r="A6" s="153"/>
      <c r="B6" s="43" t="str">
        <f>A6&amp;"-"&amp;IF(DAY(Variables!$A$2)&lt;10,0,"")&amp;DAY(Variables!$A$2)</f>
        <v>-02</v>
      </c>
      <c r="C6" s="147"/>
      <c r="D6" s="17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Runs'!$A$13:$A$99964,1,FALSE)</f>
        <v>#N/A</v>
      </c>
    </row>
    <row r="7" spans="1:10" x14ac:dyDescent="0.25">
      <c r="A7" s="153"/>
      <c r="B7" s="43" t="str">
        <f>A7&amp;"-"&amp;IF(DAY(Variables!$A$2)&lt;10,0,"")&amp;DAY(Variables!$A$2)</f>
        <v>-02</v>
      </c>
      <c r="C7" s="147"/>
      <c r="D7" s="17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Runs'!$A$13:$A$99964,1,FALSE)</f>
        <v>#N/A</v>
      </c>
    </row>
    <row r="8" spans="1:10" x14ac:dyDescent="0.25">
      <c r="A8" s="153"/>
      <c r="B8" s="43" t="str">
        <f>A8&amp;"-"&amp;IF(DAY(Variables!$A$2)&lt;10,0,"")&amp;DAY(Variables!$A$2)</f>
        <v>-02</v>
      </c>
      <c r="C8" s="147"/>
      <c r="D8" s="17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Runs'!$A$13:$A$99964,1,FALSE)</f>
        <v>#N/A</v>
      </c>
    </row>
    <row r="9" spans="1:10" x14ac:dyDescent="0.25">
      <c r="A9" s="153"/>
      <c r="B9" s="43" t="str">
        <f>A9&amp;"-"&amp;IF(DAY(Variables!$A$2)&lt;10,0,"")&amp;DAY(Variables!$A$2)</f>
        <v>-02</v>
      </c>
      <c r="C9" s="147"/>
      <c r="D9" s="17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Runs'!$A$13:$A$99964,1,FALSE)</f>
        <v>#N/A</v>
      </c>
    </row>
    <row r="10" spans="1:10" x14ac:dyDescent="0.25">
      <c r="A10" s="153"/>
      <c r="B10" s="43" t="str">
        <f>A10&amp;"-"&amp;IF(DAY(Variables!$A$2)&lt;10,0,"")&amp;DAY(Variables!$A$2)</f>
        <v>-02</v>
      </c>
      <c r="C10" s="147"/>
      <c r="D10" s="17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Runs'!$A$13:$A$99964,1,FALSE)</f>
        <v>#N/A</v>
      </c>
    </row>
    <row r="11" spans="1:10" x14ac:dyDescent="0.25">
      <c r="A11" s="153"/>
      <c r="B11" s="43" t="str">
        <f>A11&amp;"-"&amp;IF(DAY(Variables!$A$2)&lt;10,0,"")&amp;DAY(Variables!$A$2)</f>
        <v>-02</v>
      </c>
      <c r="C11" s="147"/>
      <c r="D11" s="17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Runs'!$A$13:$A$99964,1,FALSE)</f>
        <v>#N/A</v>
      </c>
    </row>
    <row r="12" spans="1:10" x14ac:dyDescent="0.25">
      <c r="A12" s="153"/>
      <c r="B12" s="43" t="str">
        <f>A12&amp;"-"&amp;IF(DAY(Variables!$A$2)&lt;10,0,"")&amp;DAY(Variables!$A$2)</f>
        <v>-02</v>
      </c>
      <c r="C12" s="147"/>
      <c r="D12" s="17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Runs'!$A$13:$A$99964,1,FALSE)</f>
        <v>#N/A</v>
      </c>
    </row>
    <row r="13" spans="1:10" x14ac:dyDescent="0.25">
      <c r="A13" s="153"/>
      <c r="B13" s="43" t="str">
        <f>A13&amp;"-"&amp;IF(DAY(Variables!$A$2)&lt;10,0,"")&amp;DAY(Variables!$A$2)</f>
        <v>-02</v>
      </c>
      <c r="C13" s="147"/>
      <c r="D13" s="17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Runs'!$A$13:$A$99964,1,FALSE)</f>
        <v>#N/A</v>
      </c>
    </row>
    <row r="14" spans="1:10" x14ac:dyDescent="0.25">
      <c r="A14" s="153"/>
      <c r="B14" s="43" t="str">
        <f>A14&amp;"-"&amp;IF(DAY(Variables!$A$2)&lt;10,0,"")&amp;DAY(Variables!$A$2)</f>
        <v>-02</v>
      </c>
      <c r="C14" s="147"/>
      <c r="D14" s="17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Runs'!$A$13:$A$99964,1,FALSE)</f>
        <v>#N/A</v>
      </c>
    </row>
    <row r="15" spans="1:10" x14ac:dyDescent="0.25">
      <c r="A15" s="153"/>
      <c r="B15" s="43" t="str">
        <f>A15&amp;"-"&amp;IF(DAY(Variables!$A$2)&lt;10,0,"")&amp;DAY(Variables!$A$2)</f>
        <v>-02</v>
      </c>
      <c r="C15" s="147"/>
      <c r="D15" s="17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Runs'!$A$13:$A$99964,1,FALSE)</f>
        <v>#N/A</v>
      </c>
    </row>
    <row r="16" spans="1:10" x14ac:dyDescent="0.25">
      <c r="A16" s="153"/>
      <c r="B16" s="43" t="str">
        <f>A16&amp;"-"&amp;IF(DAY(Variables!$A$2)&lt;10,0,"")&amp;DAY(Variables!$A$2)</f>
        <v>-02</v>
      </c>
      <c r="C16" s="147"/>
      <c r="D16" s="17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Runs'!$A$13:$A$99964,1,FALSE)</f>
        <v>#N/A</v>
      </c>
    </row>
    <row r="17" spans="1:10" x14ac:dyDescent="0.25">
      <c r="A17" s="153"/>
      <c r="B17" s="43" t="str">
        <f>A17&amp;"-"&amp;IF(DAY(Variables!$A$2)&lt;10,0,"")&amp;DAY(Variables!$A$2)</f>
        <v>-02</v>
      </c>
      <c r="C17" s="147"/>
      <c r="D17" s="17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Runs'!$A$13:$A$99964,1,FALSE)</f>
        <v>#N/A</v>
      </c>
    </row>
    <row r="18" spans="1:10" x14ac:dyDescent="0.25">
      <c r="A18" s="153"/>
      <c r="B18" s="43" t="str">
        <f>A18&amp;"-"&amp;IF(DAY(Variables!$A$2)&lt;10,0,"")&amp;DAY(Variables!$A$2)</f>
        <v>-02</v>
      </c>
      <c r="C18" s="147"/>
      <c r="D18" s="17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Runs'!$A$13:$A$99964,1,FALSE)</f>
        <v>#N/A</v>
      </c>
    </row>
    <row r="19" spans="1:10" x14ac:dyDescent="0.25">
      <c r="A19" s="153"/>
      <c r="B19" s="43" t="str">
        <f>A19&amp;"-"&amp;IF(DAY(Variables!$A$2)&lt;10,0,"")&amp;DAY(Variables!$A$2)</f>
        <v>-02</v>
      </c>
      <c r="C19" s="147"/>
      <c r="D19" s="17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9" s="30" t="e">
        <f>VLOOKUP(B19,'Train Runs'!$A$13:$A$99964,1,FALSE)</f>
        <v>#N/A</v>
      </c>
    </row>
    <row r="20" spans="1:10" x14ac:dyDescent="0.25">
      <c r="A20" s="153"/>
      <c r="B20" s="43" t="str">
        <f>A20&amp;"-"&amp;IF(DAY(Variables!$A$2)&lt;10,0,"")&amp;DAY(Variables!$A$2)</f>
        <v>-02</v>
      </c>
      <c r="C20" s="147"/>
      <c r="D20" s="17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0" s="30" t="e">
        <f>VLOOKUP(B20,'Train Runs'!$A$13:$A$99964,1,FALSE)</f>
        <v>#N/A</v>
      </c>
    </row>
    <row r="21" spans="1:10" x14ac:dyDescent="0.25">
      <c r="A21" s="153"/>
      <c r="B21" s="43" t="str">
        <f>A21&amp;"-"&amp;IF(DAY(Variables!$A$2)&lt;10,0,"")&amp;DAY(Variables!$A$2)</f>
        <v>-02</v>
      </c>
      <c r="C21" s="147"/>
      <c r="D21" s="17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1" s="30" t="e">
        <f>VLOOKUP(B21,'Train Runs'!$A$13:$A$99964,1,FALSE)</f>
        <v>#N/A</v>
      </c>
    </row>
    <row r="22" spans="1:10" x14ac:dyDescent="0.25">
      <c r="A22" s="153"/>
      <c r="B22" s="43" t="str">
        <f>A22&amp;"-"&amp;IF(DAY(Variables!$A$2)&lt;10,0,"")&amp;DAY(Variables!$A$2)</f>
        <v>-02</v>
      </c>
      <c r="C22" s="147"/>
      <c r="D22" s="17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2" s="30" t="e">
        <f>VLOOKUP(B22,'Train Runs'!$A$13:$A$99964,1,FALSE)</f>
        <v>#N/A</v>
      </c>
    </row>
    <row r="23" spans="1:10" x14ac:dyDescent="0.25">
      <c r="A23" s="153"/>
      <c r="B23" s="43" t="str">
        <f>A23&amp;"-"&amp;IF(DAY(Variables!$A$2)&lt;10,0,"")&amp;DAY(Variables!$A$2)</f>
        <v>-02</v>
      </c>
      <c r="C23" s="147"/>
      <c r="D23" s="17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3" s="30" t="e">
        <f>VLOOKUP(B23,'Train Runs'!$A$13:$A$99964,1,FALSE)</f>
        <v>#N/A</v>
      </c>
    </row>
    <row r="24" spans="1:10" x14ac:dyDescent="0.25">
      <c r="A24" s="153"/>
      <c r="B24" s="43" t="str">
        <f>A24&amp;"-"&amp;IF(DAY(Variables!$A$2)&lt;10,0,"")&amp;DAY(Variables!$A$2)</f>
        <v>-02</v>
      </c>
      <c r="C24" s="147"/>
      <c r="D24" s="17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4" s="30" t="e">
        <f>VLOOKUP(B24,'Train Runs'!$A$13:$A$99964,1,FALSE)</f>
        <v>#N/A</v>
      </c>
    </row>
    <row r="25" spans="1:10" x14ac:dyDescent="0.25">
      <c r="A25" s="153"/>
      <c r="B25" s="43" t="str">
        <f>A25&amp;"-"&amp;IF(DAY(Variables!$A$2)&lt;10,0,"")&amp;DAY(Variables!$A$2)</f>
        <v>-02</v>
      </c>
      <c r="C25" s="147"/>
      <c r="D25" s="17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5" s="30" t="e">
        <f>VLOOKUP(B25,'Train Runs'!$A$13:$A$99964,1,FALSE)</f>
        <v>#N/A</v>
      </c>
    </row>
    <row r="26" spans="1:10" x14ac:dyDescent="0.25">
      <c r="A26" s="153"/>
      <c r="B26" s="43" t="str">
        <f>A26&amp;"-"&amp;IF(DAY(Variables!$A$2)&lt;10,0,"")&amp;DAY(Variables!$A$2)</f>
        <v>-02</v>
      </c>
      <c r="C26" s="147"/>
      <c r="D26" s="17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6" s="30" t="e">
        <f>VLOOKUP(B26,'Train Runs'!$A$13:$A$99964,1,FALSE)</f>
        <v>#N/A</v>
      </c>
    </row>
    <row r="27" spans="1:10" x14ac:dyDescent="0.25">
      <c r="A27" s="153"/>
      <c r="B27" s="43" t="str">
        <f>A27&amp;"-"&amp;IF(DAY(Variables!$A$2)&lt;10,0,"")&amp;DAY(Variables!$A$2)</f>
        <v>-02</v>
      </c>
      <c r="C27" s="147"/>
      <c r="D27" s="17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7" s="30" t="e">
        <f>VLOOKUP(B27,'Train Runs'!$A$13:$A$99964,1,FALSE)</f>
        <v>#N/A</v>
      </c>
    </row>
    <row r="28" spans="1:10" x14ac:dyDescent="0.25">
      <c r="A28" s="153"/>
      <c r="B28" s="43" t="str">
        <f>A28&amp;"-"&amp;IF(DAY(Variables!$A$2)&lt;10,0,"")&amp;DAY(Variables!$A$2)</f>
        <v>-02</v>
      </c>
      <c r="C28" s="147"/>
      <c r="D28" s="17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8" s="30" t="e">
        <f>VLOOKUP(B28,'Train Runs'!$A$13:$A$99964,1,FALSE)</f>
        <v>#N/A</v>
      </c>
    </row>
    <row r="29" spans="1:10" x14ac:dyDescent="0.25">
      <c r="A29" s="153"/>
      <c r="B29" s="43" t="str">
        <f>A29&amp;"-"&amp;IF(DAY(Variables!$A$2)&lt;10,0,"")&amp;DAY(Variables!$A$2)</f>
        <v>-02</v>
      </c>
      <c r="C29" s="147"/>
      <c r="D29" s="17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9" s="30" t="e">
        <f>VLOOKUP(B29,'Train Runs'!$A$13:$A$99964,1,FALSE)</f>
        <v>#N/A</v>
      </c>
    </row>
    <row r="30" spans="1:10" x14ac:dyDescent="0.25">
      <c r="A30" s="153"/>
      <c r="B30" s="43" t="str">
        <f>A30&amp;"-"&amp;IF(DAY(Variables!$A$2)&lt;10,0,"")&amp;DAY(Variables!$A$2)</f>
        <v>-02</v>
      </c>
      <c r="C30" s="147"/>
      <c r="D30" s="17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0" s="30" t="e">
        <f>VLOOKUP(B30,'Train Runs'!$A$13:$A$99964,1,FALSE)</f>
        <v>#N/A</v>
      </c>
    </row>
    <row r="31" spans="1:10" x14ac:dyDescent="0.25">
      <c r="A31" s="153"/>
      <c r="B31" s="43" t="str">
        <f>A31&amp;"-"&amp;IF(DAY(Variables!$A$2)&lt;10,0,"")&amp;DAY(Variables!$A$2)</f>
        <v>-02</v>
      </c>
      <c r="C31" s="147"/>
      <c r="D31" s="17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1" s="30" t="e">
        <f>VLOOKUP(B31,'Train Runs'!$A$13:$A$99964,1,FALSE)</f>
        <v>#N/A</v>
      </c>
    </row>
    <row r="32" spans="1:10" x14ac:dyDescent="0.25">
      <c r="A32" s="153"/>
      <c r="B32" s="43" t="str">
        <f>A32&amp;"-"&amp;IF(DAY(Variables!$A$2)&lt;10,0,"")&amp;DAY(Variables!$A$2)</f>
        <v>-02</v>
      </c>
      <c r="C32" s="147"/>
      <c r="D32" s="17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2" s="30" t="e">
        <f>VLOOKUP(B32,'Train Runs'!$A$13:$A$99964,1,FALSE)</f>
        <v>#N/A</v>
      </c>
    </row>
    <row r="33" spans="1:10" x14ac:dyDescent="0.25">
      <c r="A33" s="153"/>
      <c r="B33" s="43" t="str">
        <f>A33&amp;"-"&amp;IF(DAY(Variables!$A$2)&lt;10,0,"")&amp;DAY(Variables!$A$2)</f>
        <v>-02</v>
      </c>
      <c r="C33" s="147"/>
      <c r="D33" s="17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3" s="30" t="e">
        <f>VLOOKUP(B33,'Train Runs'!$A$13:$A$99964,1,FALSE)</f>
        <v>#N/A</v>
      </c>
    </row>
    <row r="34" spans="1:10" x14ac:dyDescent="0.25">
      <c r="A34" s="153"/>
      <c r="B34" s="43" t="str">
        <f>A34&amp;"-"&amp;IF(DAY(Variables!$A$2)&lt;10,0,"")&amp;DAY(Variables!$A$2)</f>
        <v>-02</v>
      </c>
      <c r="C34" s="147"/>
      <c r="D34" s="17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4" s="30" t="e">
        <f>VLOOKUP(B34,'Train Runs'!$A$13:$A$99964,1,FALSE)</f>
        <v>#N/A</v>
      </c>
    </row>
    <row r="35" spans="1:10" x14ac:dyDescent="0.25">
      <c r="A35" s="153"/>
      <c r="B35" s="43" t="str">
        <f>A35&amp;"-"&amp;IF(DAY(Variables!$A$2)&lt;10,0,"")&amp;DAY(Variables!$A$2)</f>
        <v>-02</v>
      </c>
      <c r="C35" s="147"/>
      <c r="D35" s="17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5" s="30" t="e">
        <f>VLOOKUP(B35,'Train Runs'!$A$13:$A$99964,1,FALSE)</f>
        <v>#N/A</v>
      </c>
    </row>
    <row r="36" spans="1:10" x14ac:dyDescent="0.25">
      <c r="A36" s="153"/>
      <c r="B36" s="43" t="str">
        <f>A36&amp;"-"&amp;IF(DAY(Variables!$A$2)&lt;10,0,"")&amp;DAY(Variables!$A$2)</f>
        <v>-02</v>
      </c>
      <c r="C36" s="147"/>
      <c r="D36" s="17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6" s="30" t="e">
        <f>VLOOKUP(B36,'Train Runs'!$A$13:$A$99964,1,FALSE)</f>
        <v>#N/A</v>
      </c>
    </row>
    <row r="37" spans="1:10" x14ac:dyDescent="0.25">
      <c r="A37" s="153"/>
      <c r="B37" s="43" t="str">
        <f>A37&amp;"-"&amp;IF(DAY(Variables!$A$2)&lt;10,0,"")&amp;DAY(Variables!$A$2)</f>
        <v>-02</v>
      </c>
      <c r="C37" s="147"/>
      <c r="D37" s="17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7" s="30" t="e">
        <f>VLOOKUP(B37,'Train Runs'!$A$13:$A$99964,1,FALSE)</f>
        <v>#N/A</v>
      </c>
    </row>
    <row r="38" spans="1:10" x14ac:dyDescent="0.25">
      <c r="A38" s="153"/>
      <c r="B38" s="43" t="str">
        <f>A38&amp;"-"&amp;IF(DAY(Variables!$A$2)&lt;10,0,"")&amp;DAY(Variables!$A$2)</f>
        <v>-02</v>
      </c>
      <c r="C38" s="147"/>
      <c r="D38" s="17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8" s="30" t="e">
        <f>VLOOKUP(B38,'Train Runs'!$A$13:$A$99964,1,FALSE)</f>
        <v>#N/A</v>
      </c>
    </row>
    <row r="39" spans="1:10" x14ac:dyDescent="0.25">
      <c r="A39" s="153"/>
      <c r="B39" s="43" t="str">
        <f>A39&amp;"-"&amp;IF(DAY(Variables!$A$2)&lt;10,0,"")&amp;DAY(Variables!$A$2)</f>
        <v>-02</v>
      </c>
      <c r="C39" s="147"/>
      <c r="D39" s="17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9" s="30" t="e">
        <f>VLOOKUP(B39,'Train Runs'!$A$13:$A$99964,1,FALSE)</f>
        <v>#N/A</v>
      </c>
    </row>
    <row r="40" spans="1:10" x14ac:dyDescent="0.25">
      <c r="A40" s="153"/>
      <c r="B40" s="43" t="str">
        <f>A40&amp;"-"&amp;IF(DAY(Variables!$A$2)&lt;10,0,"")&amp;DAY(Variables!$A$2)</f>
        <v>-02</v>
      </c>
      <c r="C40" s="147"/>
      <c r="D40" s="17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0" s="30" t="e">
        <f>VLOOKUP(B40,'Train Runs'!$A$13:$A$99964,1,FALSE)</f>
        <v>#N/A</v>
      </c>
    </row>
    <row r="41" spans="1:10" x14ac:dyDescent="0.25">
      <c r="A41" s="153"/>
      <c r="B41" s="43" t="str">
        <f>A41&amp;"-"&amp;IF(DAY(Variables!$A$2)&lt;10,0,"")&amp;DAY(Variables!$A$2)</f>
        <v>-02</v>
      </c>
      <c r="C41" s="147"/>
      <c r="D41" s="17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1" s="30" t="e">
        <f>VLOOKUP(B41,'Train Runs'!$A$13:$A$99964,1,FALSE)</f>
        <v>#N/A</v>
      </c>
    </row>
    <row r="42" spans="1:10" x14ac:dyDescent="0.25">
      <c r="A42" s="153"/>
      <c r="B42" s="43" t="str">
        <f>A42&amp;"-"&amp;IF(DAY(Variables!$A$2)&lt;10,0,"")&amp;DAY(Variables!$A$2)</f>
        <v>-02</v>
      </c>
      <c r="C42" s="147"/>
      <c r="D42" s="17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2" s="30" t="e">
        <f>VLOOKUP(B42,'Train Runs'!$A$13:$A$99964,1,FALSE)</f>
        <v>#N/A</v>
      </c>
    </row>
    <row r="43" spans="1:10" x14ac:dyDescent="0.25">
      <c r="A43" s="153"/>
      <c r="B43" s="43" t="str">
        <f>A43&amp;"-"&amp;IF(DAY(Variables!$A$2)&lt;10,0,"")&amp;DAY(Variables!$A$2)</f>
        <v>-02</v>
      </c>
      <c r="C43" s="147"/>
      <c r="D43" s="17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3" s="30" t="e">
        <f>VLOOKUP(B43,'Train Runs'!$A$13:$A$99964,1,FALSE)</f>
        <v>#N/A</v>
      </c>
    </row>
    <row r="44" spans="1:10" x14ac:dyDescent="0.25">
      <c r="A44" s="153"/>
      <c r="B44" s="43" t="str">
        <f>A44&amp;"-"&amp;IF(DAY(Variables!$A$2)&lt;10,0,"")&amp;DAY(Variables!$A$2)</f>
        <v>-02</v>
      </c>
      <c r="C44" s="147"/>
      <c r="D44" s="17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4" s="30" t="e">
        <f>VLOOKUP(B44,'Train Runs'!$A$13:$A$99964,1,FALSE)</f>
        <v>#N/A</v>
      </c>
    </row>
    <row r="45" spans="1:10" x14ac:dyDescent="0.25">
      <c r="A45" s="153"/>
      <c r="B45" s="43" t="str">
        <f>A45&amp;"-"&amp;IF(DAY(Variables!$A$2)&lt;10,0,"")&amp;DAY(Variables!$A$2)</f>
        <v>-02</v>
      </c>
      <c r="C45" s="147"/>
      <c r="D45" s="17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5" s="30" t="e">
        <f>VLOOKUP(B45,'Train Runs'!$A$13:$A$99964,1,FALSE)</f>
        <v>#N/A</v>
      </c>
    </row>
    <row r="46" spans="1:10" x14ac:dyDescent="0.25">
      <c r="A46" s="153"/>
      <c r="B46" s="43" t="str">
        <f>A46&amp;"-"&amp;IF(DAY(Variables!$A$2)&lt;10,0,"")&amp;DAY(Variables!$A$2)</f>
        <v>-02</v>
      </c>
      <c r="C46" s="147"/>
      <c r="D46" s="17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6" s="30" t="e">
        <f>VLOOKUP(B46,'Train Runs'!$A$13:$A$99964,1,FALSE)</f>
        <v>#N/A</v>
      </c>
    </row>
    <row r="47" spans="1:10" x14ac:dyDescent="0.25">
      <c r="A47" s="153"/>
      <c r="B47" s="43" t="str">
        <f>A47&amp;"-"&amp;IF(DAY(Variables!$A$2)&lt;10,0,"")&amp;DAY(Variables!$A$2)</f>
        <v>-02</v>
      </c>
      <c r="C47" s="147"/>
      <c r="D47" s="17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7" s="30" t="e">
        <f>VLOOKUP(B47,'Train Runs'!$A$13:$A$99964,1,FALSE)</f>
        <v>#N/A</v>
      </c>
    </row>
    <row r="48" spans="1:10" x14ac:dyDescent="0.25">
      <c r="A48" s="153"/>
      <c r="B48" s="43" t="str">
        <f>A48&amp;"-"&amp;IF(DAY(Variables!$A$2)&lt;10,0,"")&amp;DAY(Variables!$A$2)</f>
        <v>-02</v>
      </c>
      <c r="C48" s="147"/>
      <c r="D48" s="17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8" s="30" t="e">
        <f>VLOOKUP(B48,'Train Runs'!$A$13:$A$99964,1,FALSE)</f>
        <v>#N/A</v>
      </c>
    </row>
    <row r="49" spans="1:10" x14ac:dyDescent="0.25">
      <c r="A49" s="153"/>
      <c r="B49" s="43" t="str">
        <f>A49&amp;"-"&amp;IF(DAY(Variables!$A$2)&lt;10,0,"")&amp;DAY(Variables!$A$2)</f>
        <v>-02</v>
      </c>
      <c r="C49" s="147"/>
      <c r="D49" s="17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9" s="30" t="e">
        <f>VLOOKUP(B49,'Train Runs'!$A$13:$A$99964,1,FALSE)</f>
        <v>#N/A</v>
      </c>
    </row>
    <row r="50" spans="1:10" x14ac:dyDescent="0.25">
      <c r="A50" s="153"/>
      <c r="B50" s="43" t="str">
        <f>A50&amp;"-"&amp;IF(DAY(Variables!$A$2)&lt;10,0,"")&amp;DAY(Variables!$A$2)</f>
        <v>-02</v>
      </c>
      <c r="C50" s="147"/>
      <c r="D50" s="17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ref="I50:I11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0" s="30" t="e">
        <f>VLOOKUP(B50,'Train Runs'!$A$13:$A$99964,1,FALSE)</f>
        <v>#N/A</v>
      </c>
    </row>
    <row r="51" spans="1:10" x14ac:dyDescent="0.25">
      <c r="A51" s="153"/>
      <c r="B51" s="43" t="str">
        <f>A51&amp;"-"&amp;IF(DAY(Variables!$A$2)&lt;10,0,"")&amp;DAY(Variables!$A$2)</f>
        <v>-02</v>
      </c>
      <c r="C51" s="147"/>
      <c r="D51" s="17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1" s="30" t="e">
        <f>VLOOKUP(B51,'Train Runs'!$A$13:$A$99964,1,FALSE)</f>
        <v>#N/A</v>
      </c>
    </row>
    <row r="52" spans="1:10" x14ac:dyDescent="0.25">
      <c r="A52" s="153"/>
      <c r="B52" s="43" t="str">
        <f>A52&amp;"-"&amp;IF(DAY(Variables!$A$2)&lt;10,0,"")&amp;DAY(Variables!$A$2)</f>
        <v>-02</v>
      </c>
      <c r="C52" s="147"/>
      <c r="D52" s="17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2" s="30" t="e">
        <f>VLOOKUP(B52,'Train Runs'!$A$13:$A$99964,1,FALSE)</f>
        <v>#N/A</v>
      </c>
    </row>
    <row r="53" spans="1:10" x14ac:dyDescent="0.25">
      <c r="A53" s="153"/>
      <c r="B53" s="43" t="str">
        <f>A53&amp;"-"&amp;IF(DAY(Variables!$A$2)&lt;10,0,"")&amp;DAY(Variables!$A$2)</f>
        <v>-02</v>
      </c>
      <c r="C53" s="147"/>
      <c r="D53" s="17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3" s="30" t="e">
        <f>VLOOKUP(B53,'Train Runs'!$A$13:$A$99964,1,FALSE)</f>
        <v>#N/A</v>
      </c>
    </row>
    <row r="54" spans="1:10" x14ac:dyDescent="0.25">
      <c r="A54" s="153"/>
      <c r="B54" s="43" t="str">
        <f>A54&amp;"-"&amp;IF(DAY(Variables!$A$2)&lt;10,0,"")&amp;DAY(Variables!$A$2)</f>
        <v>-02</v>
      </c>
      <c r="C54" s="147"/>
      <c r="D54" s="17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4" s="30" t="e">
        <f>VLOOKUP(B54,'Train Runs'!$A$13:$A$99964,1,FALSE)</f>
        <v>#N/A</v>
      </c>
    </row>
    <row r="55" spans="1:10" x14ac:dyDescent="0.25">
      <c r="A55" s="153"/>
      <c r="B55" s="43" t="str">
        <f>A55&amp;"-"&amp;IF(DAY(Variables!$A$2)&lt;10,0,"")&amp;DAY(Variables!$A$2)</f>
        <v>-02</v>
      </c>
      <c r="C55" s="147"/>
      <c r="D55" s="17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5" s="30" t="e">
        <f>VLOOKUP(B55,'Train Runs'!$A$13:$A$99964,1,FALSE)</f>
        <v>#N/A</v>
      </c>
    </row>
    <row r="56" spans="1:10" x14ac:dyDescent="0.25">
      <c r="A56" s="153"/>
      <c r="B56" s="43" t="str">
        <f>A56&amp;"-"&amp;IF(DAY(Variables!$A$2)&lt;10,0,"")&amp;DAY(Variables!$A$2)</f>
        <v>-02</v>
      </c>
      <c r="C56" s="147"/>
      <c r="D56" s="17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6" s="30" t="e">
        <f>VLOOKUP(B56,'Train Runs'!$A$13:$A$99964,1,FALSE)</f>
        <v>#N/A</v>
      </c>
    </row>
    <row r="57" spans="1:10" x14ac:dyDescent="0.25">
      <c r="A57" s="153"/>
      <c r="B57" s="43" t="str">
        <f>A57&amp;"-"&amp;IF(DAY(Variables!$A$2)&lt;10,0,"")&amp;DAY(Variables!$A$2)</f>
        <v>-02</v>
      </c>
      <c r="C57" s="147"/>
      <c r="D57" s="17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7" s="30" t="e">
        <f>VLOOKUP(B57,'Train Runs'!$A$13:$A$99964,1,FALSE)</f>
        <v>#N/A</v>
      </c>
    </row>
    <row r="58" spans="1:10" x14ac:dyDescent="0.25">
      <c r="A58" s="153"/>
      <c r="B58" s="43" t="str">
        <f>A58&amp;"-"&amp;IF(DAY(Variables!$A$2)&lt;10,0,"")&amp;DAY(Variables!$A$2)</f>
        <v>-02</v>
      </c>
      <c r="C58" s="147"/>
      <c r="D58" s="17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8" s="30" t="e">
        <f>VLOOKUP(B58,'Train Runs'!$A$13:$A$99964,1,FALSE)</f>
        <v>#N/A</v>
      </c>
    </row>
    <row r="59" spans="1:10" x14ac:dyDescent="0.25">
      <c r="A59" s="153"/>
      <c r="B59" s="43" t="str">
        <f>A59&amp;"-"&amp;IF(DAY(Variables!$A$2)&lt;10,0,"")&amp;DAY(Variables!$A$2)</f>
        <v>-02</v>
      </c>
      <c r="C59" s="147"/>
      <c r="D59" s="17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9" s="30" t="e">
        <f>VLOOKUP(B59,'Train Runs'!$A$13:$A$99964,1,FALSE)</f>
        <v>#N/A</v>
      </c>
    </row>
    <row r="60" spans="1:10" x14ac:dyDescent="0.25">
      <c r="A60" s="153"/>
      <c r="B60" s="43" t="str">
        <f>A60&amp;"-"&amp;IF(DAY(Variables!$A$2)&lt;10,0,"")&amp;DAY(Variables!$A$2)</f>
        <v>-02</v>
      </c>
      <c r="C60" s="147"/>
      <c r="D60" s="17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0" s="30" t="e">
        <f>VLOOKUP(B60,'Train Runs'!$A$13:$A$99964,1,FALSE)</f>
        <v>#N/A</v>
      </c>
    </row>
    <row r="61" spans="1:10" x14ac:dyDescent="0.25">
      <c r="A61" s="153"/>
      <c r="B61" s="43" t="str">
        <f>A61&amp;"-"&amp;IF(DAY(Variables!$A$2)&lt;10,0,"")&amp;DAY(Variables!$A$2)</f>
        <v>-02</v>
      </c>
      <c r="C61" s="147"/>
      <c r="D61" s="17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1" s="30" t="e">
        <f>VLOOKUP(B61,'Train Runs'!$A$13:$A$99964,1,FALSE)</f>
        <v>#N/A</v>
      </c>
    </row>
    <row r="62" spans="1:10" x14ac:dyDescent="0.25">
      <c r="A62" s="153"/>
      <c r="B62" s="43" t="str">
        <f>A62&amp;"-"&amp;IF(DAY(Variables!$A$2)&lt;10,0,"")&amp;DAY(Variables!$A$2)</f>
        <v>-02</v>
      </c>
      <c r="C62" s="147"/>
      <c r="D62" s="17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2" s="30" t="e">
        <f>VLOOKUP(B62,'Train Runs'!$A$13:$A$99964,1,FALSE)</f>
        <v>#N/A</v>
      </c>
    </row>
    <row r="63" spans="1:10" x14ac:dyDescent="0.25">
      <c r="A63" s="153"/>
      <c r="B63" s="43" t="str">
        <f>A63&amp;"-"&amp;IF(DAY(Variables!$A$2)&lt;10,0,"")&amp;DAY(Variables!$A$2)</f>
        <v>-02</v>
      </c>
      <c r="C63" s="147"/>
      <c r="D63" s="17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3" s="30" t="e">
        <f>VLOOKUP(B63,'Train Runs'!$A$13:$A$99964,1,FALSE)</f>
        <v>#N/A</v>
      </c>
    </row>
    <row r="64" spans="1:10" x14ac:dyDescent="0.25">
      <c r="A64" s="153"/>
      <c r="B64" s="43" t="str">
        <f>A64&amp;"-"&amp;IF(DAY(Variables!$A$2)&lt;10,0,"")&amp;DAY(Variables!$A$2)</f>
        <v>-02</v>
      </c>
      <c r="C64" s="147"/>
      <c r="D64" s="17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4" s="30" t="e">
        <f>VLOOKUP(B64,'Train Runs'!$A$13:$A$99964,1,FALSE)</f>
        <v>#N/A</v>
      </c>
    </row>
    <row r="65" spans="1:10" x14ac:dyDescent="0.25">
      <c r="A65" s="153"/>
      <c r="B65" s="43" t="str">
        <f>A65&amp;"-"&amp;IF(DAY(Variables!$A$2)&lt;10,0,"")&amp;DAY(Variables!$A$2)</f>
        <v>-02</v>
      </c>
      <c r="C65" s="147"/>
      <c r="D65" s="17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5" s="30" t="e">
        <f>VLOOKUP(B65,'Train Runs'!$A$13:$A$99964,1,FALSE)</f>
        <v>#N/A</v>
      </c>
    </row>
    <row r="66" spans="1:10" x14ac:dyDescent="0.25">
      <c r="A66" s="153"/>
      <c r="B66" s="43" t="str">
        <f>A66&amp;"-"&amp;IF(DAY(Variables!$A$2)&lt;10,0,"")&amp;DAY(Variables!$A$2)</f>
        <v>-02</v>
      </c>
      <c r="C66" s="147"/>
      <c r="D66" s="17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6" s="30" t="e">
        <f>VLOOKUP(B66,'Train Runs'!$A$13:$A$99964,1,FALSE)</f>
        <v>#N/A</v>
      </c>
    </row>
    <row r="67" spans="1:10" x14ac:dyDescent="0.25">
      <c r="A67" s="153"/>
      <c r="B67" s="43" t="str">
        <f>A67&amp;"-"&amp;IF(DAY(Variables!$A$2)&lt;10,0,"")&amp;DAY(Variables!$A$2)</f>
        <v>-02</v>
      </c>
      <c r="C67" s="147"/>
      <c r="D67" s="17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7" s="30" t="e">
        <f>VLOOKUP(B67,'Train Runs'!$A$13:$A$99964,1,FALSE)</f>
        <v>#N/A</v>
      </c>
    </row>
    <row r="68" spans="1:10" x14ac:dyDescent="0.25">
      <c r="A68" s="153"/>
      <c r="B68" s="43" t="str">
        <f>A68&amp;"-"&amp;IF(DAY(Variables!$A$2)&lt;10,0,"")&amp;DAY(Variables!$A$2)</f>
        <v>-02</v>
      </c>
      <c r="C68" s="147"/>
      <c r="D68" s="17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8" s="30" t="e">
        <f>VLOOKUP(B68,'Train Runs'!$A$13:$A$99964,1,FALSE)</f>
        <v>#N/A</v>
      </c>
    </row>
    <row r="69" spans="1:10" x14ac:dyDescent="0.25">
      <c r="A69" s="153"/>
      <c r="B69" s="43" t="str">
        <f>A69&amp;"-"&amp;IF(DAY(Variables!$A$2)&lt;10,0,"")&amp;DAY(Variables!$A$2)</f>
        <v>-02</v>
      </c>
      <c r="C69" s="147"/>
      <c r="D69" s="17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9" s="30" t="e">
        <f>VLOOKUP(B69,'Train Runs'!$A$13:$A$99964,1,FALSE)</f>
        <v>#N/A</v>
      </c>
    </row>
    <row r="70" spans="1:10" x14ac:dyDescent="0.25">
      <c r="A70" s="153"/>
      <c r="B70" s="43" t="str">
        <f>A70&amp;"-"&amp;IF(DAY(Variables!$A$2)&lt;10,0,"")&amp;DAY(Variables!$A$2)</f>
        <v>-02</v>
      </c>
      <c r="C70" s="147"/>
      <c r="D70" s="17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0" s="30" t="e">
        <f>VLOOKUP(B70,'Train Runs'!$A$13:$A$99964,1,FALSE)</f>
        <v>#N/A</v>
      </c>
    </row>
    <row r="71" spans="1:10" x14ac:dyDescent="0.25">
      <c r="A71" s="153"/>
      <c r="B71" s="43" t="str">
        <f>A71&amp;"-"&amp;IF(DAY(Variables!$A$2)&lt;10,0,"")&amp;DAY(Variables!$A$2)</f>
        <v>-02</v>
      </c>
      <c r="C71" s="147"/>
      <c r="D71" s="17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1" s="30" t="e">
        <f>VLOOKUP(B71,'Train Runs'!$A$13:$A$99964,1,FALSE)</f>
        <v>#N/A</v>
      </c>
    </row>
    <row r="72" spans="1:10" x14ac:dyDescent="0.25">
      <c r="A72" s="153"/>
      <c r="B72" s="43" t="str">
        <f>A72&amp;"-"&amp;IF(DAY(Variables!$A$2)&lt;10,0,"")&amp;DAY(Variables!$A$2)</f>
        <v>-02</v>
      </c>
      <c r="C72" s="147"/>
      <c r="D72" s="17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2" s="30" t="e">
        <f>VLOOKUP(B72,'Train Runs'!$A$13:$A$99964,1,FALSE)</f>
        <v>#N/A</v>
      </c>
    </row>
    <row r="73" spans="1:10" x14ac:dyDescent="0.25">
      <c r="A73" s="153"/>
      <c r="B73" s="43" t="str">
        <f>A73&amp;"-"&amp;IF(DAY(Variables!$A$2)&lt;10,0,"")&amp;DAY(Variables!$A$2)</f>
        <v>-02</v>
      </c>
      <c r="C73" s="147"/>
      <c r="D73" s="17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3" s="30" t="e">
        <f>VLOOKUP(B73,'Train Runs'!$A$13:$A$99964,1,FALSE)</f>
        <v>#N/A</v>
      </c>
    </row>
    <row r="74" spans="1:10" x14ac:dyDescent="0.25">
      <c r="A74" s="153"/>
      <c r="B74" s="43" t="str">
        <f>A74&amp;"-"&amp;IF(DAY(Variables!$A$2)&lt;10,0,"")&amp;DAY(Variables!$A$2)</f>
        <v>-02</v>
      </c>
      <c r="C74" s="147"/>
      <c r="D74" s="17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4" s="30" t="e">
        <f>VLOOKUP(B74,'Train Runs'!$A$13:$A$99964,1,FALSE)</f>
        <v>#N/A</v>
      </c>
    </row>
    <row r="75" spans="1:10" x14ac:dyDescent="0.25">
      <c r="A75" s="153"/>
      <c r="B75" s="43" t="str">
        <f>A75&amp;"-"&amp;IF(DAY(Variables!$A$2)&lt;10,0,"")&amp;DAY(Variables!$A$2)</f>
        <v>-02</v>
      </c>
      <c r="C75" s="147"/>
      <c r="D75" s="17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5" s="30" t="e">
        <f>VLOOKUP(B75,'Train Runs'!$A$13:$A$99964,1,FALSE)</f>
        <v>#N/A</v>
      </c>
    </row>
    <row r="76" spans="1:10" x14ac:dyDescent="0.25">
      <c r="A76" s="153"/>
      <c r="B76" s="43" t="str">
        <f>A76&amp;"-"&amp;IF(DAY(Variables!$A$2)&lt;10,0,"")&amp;DAY(Variables!$A$2)</f>
        <v>-02</v>
      </c>
      <c r="C76" s="147"/>
      <c r="D76" s="17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6" s="30" t="e">
        <f>VLOOKUP(B76,'Train Runs'!$A$13:$A$99964,1,FALSE)</f>
        <v>#N/A</v>
      </c>
    </row>
    <row r="77" spans="1:10" x14ac:dyDescent="0.25">
      <c r="A77" s="153"/>
      <c r="B77" s="43" t="str">
        <f>A77&amp;"-"&amp;IF(DAY(Variables!$A$2)&lt;10,0,"")&amp;DAY(Variables!$A$2)</f>
        <v>-02</v>
      </c>
      <c r="C77" s="147"/>
      <c r="D77" s="17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7" s="30" t="e">
        <f>VLOOKUP(B77,'Train Runs'!$A$13:$A$99964,1,FALSE)</f>
        <v>#N/A</v>
      </c>
    </row>
    <row r="78" spans="1:10" x14ac:dyDescent="0.25">
      <c r="A78" s="153"/>
      <c r="B78" s="43" t="str">
        <f>A78&amp;"-"&amp;IF(DAY(Variables!$A$2)&lt;10,0,"")&amp;DAY(Variables!$A$2)</f>
        <v>-02</v>
      </c>
      <c r="C78" s="147"/>
      <c r="D78" s="17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8" s="30" t="e">
        <f>VLOOKUP(B78,'Train Runs'!$A$13:$A$99964,1,FALSE)</f>
        <v>#N/A</v>
      </c>
    </row>
    <row r="79" spans="1:10" x14ac:dyDescent="0.25">
      <c r="A79" s="153"/>
      <c r="B79" s="43" t="str">
        <f>A79&amp;"-"&amp;IF(DAY(Variables!$A$2)&lt;10,0,"")&amp;DAY(Variables!$A$2)</f>
        <v>-02</v>
      </c>
      <c r="C79" s="147"/>
      <c r="D79" s="17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9" s="30" t="e">
        <f>VLOOKUP(B79,'Train Runs'!$A$13:$A$99964,1,FALSE)</f>
        <v>#N/A</v>
      </c>
    </row>
    <row r="80" spans="1:10" x14ac:dyDescent="0.25">
      <c r="A80" s="153"/>
      <c r="B80" s="43" t="str">
        <f>A80&amp;"-"&amp;IF(DAY(Variables!$A$2)&lt;10,0,"")&amp;DAY(Variables!$A$2)</f>
        <v>-02</v>
      </c>
      <c r="C80" s="147"/>
      <c r="D80" s="17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0" s="30" t="e">
        <f>VLOOKUP(B80,'Train Runs'!$A$13:$A$99964,1,FALSE)</f>
        <v>#N/A</v>
      </c>
    </row>
    <row r="81" spans="1:10" x14ac:dyDescent="0.25">
      <c r="A81" s="153"/>
      <c r="B81" s="43" t="str">
        <f>A81&amp;"-"&amp;IF(DAY(Variables!$A$2)&lt;10,0,"")&amp;DAY(Variables!$A$2)</f>
        <v>-02</v>
      </c>
      <c r="C81" s="147"/>
      <c r="D81" s="17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1" s="30" t="e">
        <f>VLOOKUP(B81,'Train Runs'!$A$13:$A$99964,1,FALSE)</f>
        <v>#N/A</v>
      </c>
    </row>
    <row r="82" spans="1:10" x14ac:dyDescent="0.25">
      <c r="A82" s="153"/>
      <c r="B82" s="43" t="str">
        <f>A82&amp;"-"&amp;IF(DAY(Variables!$A$2)&lt;10,0,"")&amp;DAY(Variables!$A$2)</f>
        <v>-02</v>
      </c>
      <c r="C82" s="147"/>
      <c r="D82" s="17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2" s="30" t="e">
        <f>VLOOKUP(B82,'Train Runs'!$A$13:$A$99964,1,FALSE)</f>
        <v>#N/A</v>
      </c>
    </row>
    <row r="83" spans="1:10" x14ac:dyDescent="0.25">
      <c r="A83" s="153"/>
      <c r="B83" s="43" t="str">
        <f>A83&amp;"-"&amp;IF(DAY(Variables!$A$2)&lt;10,0,"")&amp;DAY(Variables!$A$2)</f>
        <v>-02</v>
      </c>
      <c r="C83" s="147"/>
      <c r="D83" s="17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3" s="30" t="e">
        <f>VLOOKUP(B83,'Train Runs'!$A$13:$A$99964,1,FALSE)</f>
        <v>#N/A</v>
      </c>
    </row>
    <row r="84" spans="1:10" x14ac:dyDescent="0.25">
      <c r="A84" s="153"/>
      <c r="B84" s="43" t="str">
        <f>A84&amp;"-"&amp;IF(DAY(Variables!$A$2)&lt;10,0,"")&amp;DAY(Variables!$A$2)</f>
        <v>-02</v>
      </c>
      <c r="C84" s="147"/>
      <c r="D84" s="17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4" s="30" t="e">
        <f>VLOOKUP(B84,'Train Runs'!$A$13:$A$99964,1,FALSE)</f>
        <v>#N/A</v>
      </c>
    </row>
    <row r="85" spans="1:10" x14ac:dyDescent="0.25">
      <c r="A85" s="153"/>
      <c r="B85" s="43" t="str">
        <f>A85&amp;"-"&amp;IF(DAY(Variables!$A$2)&lt;10,0,"")&amp;DAY(Variables!$A$2)</f>
        <v>-02</v>
      </c>
      <c r="C85" s="147"/>
      <c r="D85" s="17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5" s="30" t="e">
        <f>VLOOKUP(B85,'Train Runs'!$A$13:$A$99964,1,FALSE)</f>
        <v>#N/A</v>
      </c>
    </row>
    <row r="86" spans="1:10" x14ac:dyDescent="0.25">
      <c r="A86" s="153"/>
      <c r="B86" s="43" t="str">
        <f>A86&amp;"-"&amp;IF(DAY(Variables!$A$2)&lt;10,0,"")&amp;DAY(Variables!$A$2)</f>
        <v>-02</v>
      </c>
      <c r="C86" s="147"/>
      <c r="D86" s="17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6" s="30" t="e">
        <f>VLOOKUP(B86,'Train Runs'!$A$13:$A$99964,1,FALSE)</f>
        <v>#N/A</v>
      </c>
    </row>
    <row r="87" spans="1:10" x14ac:dyDescent="0.25">
      <c r="A87" s="153"/>
      <c r="B87" s="43" t="str">
        <f>A87&amp;"-"&amp;IF(DAY(Variables!$A$2)&lt;10,0,"")&amp;DAY(Variables!$A$2)</f>
        <v>-02</v>
      </c>
      <c r="C87" s="147"/>
      <c r="D87" s="17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7" s="30" t="e">
        <f>VLOOKUP(B87,'Train Runs'!$A$13:$A$99964,1,FALSE)</f>
        <v>#N/A</v>
      </c>
    </row>
    <row r="88" spans="1:10" x14ac:dyDescent="0.25">
      <c r="A88" s="153"/>
      <c r="B88" s="43" t="str">
        <f>A88&amp;"-"&amp;IF(DAY(Variables!$A$2)&lt;10,0,"")&amp;DAY(Variables!$A$2)</f>
        <v>-02</v>
      </c>
      <c r="C88" s="147"/>
      <c r="D88" s="17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8" s="30" t="e">
        <f>VLOOKUP(B88,'Train Runs'!$A$13:$A$99964,1,FALSE)</f>
        <v>#N/A</v>
      </c>
    </row>
    <row r="89" spans="1:10" x14ac:dyDescent="0.25">
      <c r="A89" s="153"/>
      <c r="B89" s="43" t="str">
        <f>A89&amp;"-"&amp;IF(DAY(Variables!$A$2)&lt;10,0,"")&amp;DAY(Variables!$A$2)</f>
        <v>-02</v>
      </c>
      <c r="C89" s="147"/>
      <c r="D89" s="171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9" s="30" t="e">
        <f>VLOOKUP(B89,'Train Runs'!$A$13:$A$99964,1,FALSE)</f>
        <v>#N/A</v>
      </c>
    </row>
    <row r="90" spans="1:10" x14ac:dyDescent="0.25">
      <c r="A90" s="153"/>
      <c r="B90" s="43" t="str">
        <f>A90&amp;"-"&amp;IF(DAY(Variables!$A$2)&lt;10,0,"")&amp;DAY(Variables!$A$2)</f>
        <v>-02</v>
      </c>
      <c r="C90" s="147"/>
      <c r="D90" s="171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0" s="30" t="e">
        <f>VLOOKUP(B90,'Train Runs'!$A$13:$A$99964,1,FALSE)</f>
        <v>#N/A</v>
      </c>
    </row>
    <row r="91" spans="1:10" x14ac:dyDescent="0.25">
      <c r="A91" s="153"/>
      <c r="B91" s="43" t="str">
        <f>A91&amp;"-"&amp;IF(DAY(Variables!$A$2)&lt;10,0,"")&amp;DAY(Variables!$A$2)</f>
        <v>-02</v>
      </c>
      <c r="C91" s="147"/>
      <c r="D91" s="171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1" s="30" t="e">
        <f>VLOOKUP(B91,'Train Runs'!$A$13:$A$99964,1,FALSE)</f>
        <v>#N/A</v>
      </c>
    </row>
    <row r="92" spans="1:10" x14ac:dyDescent="0.25">
      <c r="A92" s="153"/>
      <c r="B92" s="43" t="str">
        <f>A92&amp;"-"&amp;IF(DAY(Variables!$A$2)&lt;10,0,"")&amp;DAY(Variables!$A$2)</f>
        <v>-02</v>
      </c>
      <c r="C92" s="147"/>
      <c r="D92" s="171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2" s="30" t="e">
        <f>VLOOKUP(B92,'Train Runs'!$A$13:$A$99964,1,FALSE)</f>
        <v>#N/A</v>
      </c>
    </row>
    <row r="93" spans="1:10" x14ac:dyDescent="0.25">
      <c r="A93" s="153"/>
      <c r="B93" s="43" t="str">
        <f>A93&amp;"-"&amp;IF(DAY(Variables!$A$2)&lt;10,0,"")&amp;DAY(Variables!$A$2)</f>
        <v>-02</v>
      </c>
      <c r="C93" s="147"/>
      <c r="D93" s="171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3" s="30" t="e">
        <f>VLOOKUP(B93,'Train Runs'!$A$13:$A$99964,1,FALSE)</f>
        <v>#N/A</v>
      </c>
    </row>
    <row r="94" spans="1:10" x14ac:dyDescent="0.25">
      <c r="A94" s="153"/>
      <c r="B94" s="43" t="str">
        <f>A94&amp;"-"&amp;IF(DAY(Variables!$A$2)&lt;10,0,"")&amp;DAY(Variables!$A$2)</f>
        <v>-02</v>
      </c>
      <c r="C94" s="147"/>
      <c r="D94" s="171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4" s="30" t="e">
        <f>VLOOKUP(B94,'Train Runs'!$A$13:$A$99964,1,FALSE)</f>
        <v>#N/A</v>
      </c>
    </row>
    <row r="95" spans="1:10" x14ac:dyDescent="0.25">
      <c r="A95" s="153"/>
      <c r="B95" s="43" t="str">
        <f>A95&amp;"-"&amp;IF(DAY(Variables!$A$2)&lt;10,0,"")&amp;DAY(Variables!$A$2)</f>
        <v>-02</v>
      </c>
      <c r="C95" s="147"/>
      <c r="D95" s="171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5" s="30" t="e">
        <f>VLOOKUP(B95,'Train Runs'!$A$13:$A$99964,1,FALSE)</f>
        <v>#N/A</v>
      </c>
    </row>
    <row r="96" spans="1:10" x14ac:dyDescent="0.25">
      <c r="A96" s="153"/>
      <c r="B96" s="43" t="str">
        <f>A96&amp;"-"&amp;IF(DAY(Variables!$A$2)&lt;10,0,"")&amp;DAY(Variables!$A$2)</f>
        <v>-02</v>
      </c>
      <c r="C96" s="147"/>
      <c r="D96" s="171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6" s="30" t="e">
        <f>VLOOKUP(B96,'Train Runs'!$A$13:$A$99964,1,FALSE)</f>
        <v>#N/A</v>
      </c>
    </row>
    <row r="97" spans="1:10" x14ac:dyDescent="0.25">
      <c r="A97" s="153"/>
      <c r="B97" s="43" t="str">
        <f>A97&amp;"-"&amp;IF(DAY(Variables!$A$2)&lt;10,0,"")&amp;DAY(Variables!$A$2)</f>
        <v>-02</v>
      </c>
      <c r="C97" s="147"/>
      <c r="D97" s="171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7" s="30" t="e">
        <f>VLOOKUP(B97,'Train Runs'!$A$13:$A$99964,1,FALSE)</f>
        <v>#N/A</v>
      </c>
    </row>
    <row r="98" spans="1:10" x14ac:dyDescent="0.25">
      <c r="A98" s="153"/>
      <c r="B98" s="43" t="str">
        <f>A98&amp;"-"&amp;IF(DAY(Variables!$A$2)&lt;10,0,"")&amp;DAY(Variables!$A$2)</f>
        <v>-02</v>
      </c>
      <c r="C98" s="147"/>
      <c r="D98" s="171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8" s="30" t="e">
        <f>VLOOKUP(B98,'Train Runs'!$A$13:$A$99964,1,FALSE)</f>
        <v>#N/A</v>
      </c>
    </row>
    <row r="99" spans="1:10" x14ac:dyDescent="0.25">
      <c r="A99" s="153"/>
      <c r="B99" s="43" t="str">
        <f>A99&amp;"-"&amp;IF(DAY(Variables!$A$2)&lt;10,0,"")&amp;DAY(Variables!$A$2)</f>
        <v>-02</v>
      </c>
      <c r="C99" s="147"/>
      <c r="D99" s="171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9" s="30" t="e">
        <f>VLOOKUP(B99,'Train Runs'!$A$13:$A$99964,1,FALSE)</f>
        <v>#N/A</v>
      </c>
    </row>
    <row r="100" spans="1:10" x14ac:dyDescent="0.25">
      <c r="A100" s="153"/>
      <c r="B100" s="43" t="str">
        <f>A100&amp;"-"&amp;IF(DAY(Variables!$A$2)&lt;10,0,"")&amp;DAY(Variables!$A$2)</f>
        <v>-02</v>
      </c>
      <c r="C100" s="147"/>
      <c r="D100" s="171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0" s="30" t="e">
        <f>VLOOKUP(B100,'Train Runs'!$A$13:$A$99964,1,FALSE)</f>
        <v>#N/A</v>
      </c>
    </row>
    <row r="101" spans="1:10" x14ac:dyDescent="0.25">
      <c r="A101" s="153"/>
      <c r="B101" s="43" t="str">
        <f>A101&amp;"-"&amp;IF(DAY(Variables!$A$2)&lt;10,0,"")&amp;DAY(Variables!$A$2)</f>
        <v>-02</v>
      </c>
      <c r="C101" s="147"/>
      <c r="D101" s="171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1" s="30" t="e">
        <f>VLOOKUP(B101,'Train Runs'!$A$13:$A$99964,1,FALSE)</f>
        <v>#N/A</v>
      </c>
    </row>
    <row r="102" spans="1:10" x14ac:dyDescent="0.25">
      <c r="A102" s="153"/>
      <c r="B102" s="43" t="str">
        <f>A102&amp;"-"&amp;IF(DAY(Variables!$A$2)&lt;10,0,"")&amp;DAY(Variables!$A$2)</f>
        <v>-02</v>
      </c>
      <c r="C102" s="147"/>
      <c r="D102" s="171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2" s="30" t="e">
        <f>VLOOKUP(B102,'Train Runs'!$A$13:$A$99964,1,FALSE)</f>
        <v>#N/A</v>
      </c>
    </row>
    <row r="103" spans="1:10" x14ac:dyDescent="0.25">
      <c r="A103" s="153"/>
      <c r="B103" s="43" t="str">
        <f>A103&amp;"-"&amp;IF(DAY(Variables!$A$2)&lt;10,0,"")&amp;DAY(Variables!$A$2)</f>
        <v>-02</v>
      </c>
      <c r="C103" s="147"/>
      <c r="D103" s="171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3" s="30" t="e">
        <f>VLOOKUP(B103,'Train Runs'!$A$13:$A$99964,1,FALSE)</f>
        <v>#N/A</v>
      </c>
    </row>
    <row r="104" spans="1:10" x14ac:dyDescent="0.25">
      <c r="A104" s="153"/>
      <c r="B104" s="43" t="str">
        <f>A104&amp;"-"&amp;IF(DAY(Variables!$A$2)&lt;10,0,"")&amp;DAY(Variables!$A$2)</f>
        <v>-02</v>
      </c>
      <c r="C104" s="147"/>
      <c r="D104" s="171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4" s="30" t="e">
        <f>VLOOKUP(B104,'Train Runs'!$A$13:$A$99964,1,FALSE)</f>
        <v>#N/A</v>
      </c>
    </row>
    <row r="105" spans="1:10" x14ac:dyDescent="0.25">
      <c r="A105" s="153"/>
      <c r="B105" s="43" t="str">
        <f>A105&amp;"-"&amp;IF(DAY(Variables!$A$2)&lt;10,0,"")&amp;DAY(Variables!$A$2)</f>
        <v>-02</v>
      </c>
      <c r="C105" s="147"/>
      <c r="D105" s="171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5" s="30" t="e">
        <f>VLOOKUP(B105,'Train Runs'!$A$13:$A$99964,1,FALSE)</f>
        <v>#N/A</v>
      </c>
    </row>
    <row r="106" spans="1:10" x14ac:dyDescent="0.25">
      <c r="A106" s="153"/>
      <c r="B106" s="43" t="str">
        <f>A106&amp;"-"&amp;IF(DAY(Variables!$A$2)&lt;10,0,"")&amp;DAY(Variables!$A$2)</f>
        <v>-02</v>
      </c>
      <c r="C106" s="147"/>
      <c r="D106" s="171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6" s="30" t="e">
        <f>VLOOKUP(B106,'Train Runs'!$A$13:$A$99964,1,FALSE)</f>
        <v>#N/A</v>
      </c>
    </row>
    <row r="107" spans="1:10" x14ac:dyDescent="0.25">
      <c r="A107" s="153"/>
      <c r="B107" s="43" t="str">
        <f>A107&amp;"-"&amp;IF(DAY(Variables!$A$2)&lt;10,0,"")&amp;DAY(Variables!$A$2)</f>
        <v>-02</v>
      </c>
      <c r="C107" s="147"/>
      <c r="D107" s="171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7" s="30" t="e">
        <f>VLOOKUP(B107,'Train Runs'!$A$13:$A$99964,1,FALSE)</f>
        <v>#N/A</v>
      </c>
    </row>
    <row r="108" spans="1:10" x14ac:dyDescent="0.25">
      <c r="A108" s="153"/>
      <c r="B108" s="43" t="str">
        <f>A108&amp;"-"&amp;IF(DAY(Variables!$A$2)&lt;10,0,"")&amp;DAY(Variables!$A$2)</f>
        <v>-02</v>
      </c>
      <c r="C108" s="147"/>
      <c r="D108" s="171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8" s="30" t="e">
        <f>VLOOKUP(B108,'Train Runs'!$A$13:$A$99964,1,FALSE)</f>
        <v>#N/A</v>
      </c>
    </row>
    <row r="109" spans="1:10" x14ac:dyDescent="0.25">
      <c r="A109" s="153"/>
      <c r="B109" s="43" t="str">
        <f>A109&amp;"-"&amp;IF(DAY(Variables!$A$2)&lt;10,0,"")&amp;DAY(Variables!$A$2)</f>
        <v>-02</v>
      </c>
      <c r="C109" s="147"/>
      <c r="D109" s="171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9" s="30" t="e">
        <f>VLOOKUP(B109,'Train Runs'!$A$13:$A$99964,1,FALSE)</f>
        <v>#N/A</v>
      </c>
    </row>
    <row r="110" spans="1:10" x14ac:dyDescent="0.25">
      <c r="A110" s="153"/>
      <c r="B110" s="43" t="str">
        <f>A110&amp;"-"&amp;IF(DAY(Variables!$A$2)&lt;10,0,"")&amp;DAY(Variables!$A$2)</f>
        <v>-02</v>
      </c>
      <c r="C110" s="147"/>
      <c r="D110" s="171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0" s="30" t="e">
        <f>VLOOKUP(B110,'Train Runs'!$A$13:$A$99964,1,FALSE)</f>
        <v>#N/A</v>
      </c>
    </row>
    <row r="111" spans="1:10" x14ac:dyDescent="0.25">
      <c r="A111" s="153"/>
      <c r="B111" s="43" t="str">
        <f>A111&amp;"-"&amp;IF(DAY(Variables!$A$2)&lt;10,0,"")&amp;DAY(Variables!$A$2)</f>
        <v>-02</v>
      </c>
      <c r="C111" s="147"/>
      <c r="D111" s="171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1" s="30" t="e">
        <f>VLOOKUP(B111,'Train Runs'!$A$13:$A$99964,1,FALSE)</f>
        <v>#N/A</v>
      </c>
    </row>
    <row r="112" spans="1:10" x14ac:dyDescent="0.25">
      <c r="A112" s="153"/>
      <c r="B112" s="43" t="str">
        <f>A112&amp;"-"&amp;IF(DAY(Variables!$A$2)&lt;10,0,"")&amp;DAY(Variables!$A$2)</f>
        <v>-02</v>
      </c>
      <c r="C112" s="147"/>
      <c r="D112" s="171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2" s="30" t="e">
        <f>VLOOKUP(B112,'Train Runs'!$A$13:$A$99964,1,FALSE)</f>
        <v>#N/A</v>
      </c>
    </row>
    <row r="113" spans="1:10" x14ac:dyDescent="0.25">
      <c r="A113" s="153"/>
      <c r="B113" s="43" t="str">
        <f>A113&amp;"-"&amp;IF(DAY(Variables!$A$2)&lt;10,0,"")&amp;DAY(Variables!$A$2)</f>
        <v>-02</v>
      </c>
      <c r="C113" s="147"/>
      <c r="D113" s="171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3" s="30" t="e">
        <f>VLOOKUP(B113,'Train Runs'!$A$13:$A$99964,1,FALSE)</f>
        <v>#N/A</v>
      </c>
    </row>
    <row r="114" spans="1:10" x14ac:dyDescent="0.25">
      <c r="A114" s="153"/>
      <c r="B114" s="43" t="str">
        <f>A114&amp;"-"&amp;IF(DAY(Variables!$A$2)&lt;10,0,"")&amp;DAY(Variables!$A$2)</f>
        <v>-02</v>
      </c>
      <c r="C114" s="147"/>
      <c r="D114" s="171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ref="I114:I12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4" s="30" t="e">
        <f>VLOOKUP(B114,'Train Runs'!$A$13:$A$99964,1,FALSE)</f>
        <v>#N/A</v>
      </c>
    </row>
    <row r="115" spans="1:10" x14ac:dyDescent="0.25">
      <c r="A115" s="153"/>
      <c r="B115" s="43" t="str">
        <f>A115&amp;"-"&amp;IF(DAY(Variables!$A$2)&lt;10,0,"")&amp;DAY(Variables!$A$2)</f>
        <v>-02</v>
      </c>
      <c r="C115" s="147"/>
      <c r="D115" s="171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5" s="30" t="e">
        <f>VLOOKUP(B115,'Train Runs'!$A$13:$A$99964,1,FALSE)</f>
        <v>#N/A</v>
      </c>
    </row>
    <row r="116" spans="1:10" x14ac:dyDescent="0.25">
      <c r="A116" s="153"/>
      <c r="B116" s="43" t="str">
        <f>A116&amp;"-"&amp;IF(DAY(Variables!$A$2)&lt;10,0,"")&amp;DAY(Variables!$A$2)</f>
        <v>-02</v>
      </c>
      <c r="C116" s="147"/>
      <c r="D116" s="171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6" s="30" t="e">
        <f>VLOOKUP(B116,'Train Runs'!$A$13:$A$99964,1,FALSE)</f>
        <v>#N/A</v>
      </c>
    </row>
    <row r="117" spans="1:10" x14ac:dyDescent="0.25">
      <c r="A117" s="153"/>
      <c r="B117" s="43" t="str">
        <f>A117&amp;"-"&amp;IF(DAY(Variables!$A$2)&lt;10,0,"")&amp;DAY(Variables!$A$2)</f>
        <v>-02</v>
      </c>
      <c r="C117" s="147"/>
      <c r="D117" s="171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7" s="30" t="e">
        <f>VLOOKUP(B117,'Train Runs'!$A$13:$A$99964,1,FALSE)</f>
        <v>#N/A</v>
      </c>
    </row>
    <row r="118" spans="1:10" x14ac:dyDescent="0.25">
      <c r="A118" s="153"/>
      <c r="B118" s="43" t="str">
        <f>A118&amp;"-"&amp;IF(DAY(Variables!$A$2)&lt;10,0,"")&amp;DAY(Variables!$A$2)</f>
        <v>-02</v>
      </c>
      <c r="C118" s="147"/>
      <c r="D118" s="171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8" s="30" t="e">
        <f>VLOOKUP(B118,'Train Runs'!$A$13:$A$99964,1,FALSE)</f>
        <v>#N/A</v>
      </c>
    </row>
    <row r="119" spans="1:10" x14ac:dyDescent="0.25">
      <c r="A119" s="153"/>
      <c r="B119" s="43" t="str">
        <f>A119&amp;"-"&amp;IF(DAY(Variables!$A$2)&lt;10,0,"")&amp;DAY(Variables!$A$2)</f>
        <v>-02</v>
      </c>
      <c r="C119" s="147"/>
      <c r="D119" s="171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9" s="30" t="e">
        <f>VLOOKUP(B119,'Train Runs'!$A$13:$A$99964,1,FALSE)</f>
        <v>#N/A</v>
      </c>
    </row>
    <row r="120" spans="1:10" x14ac:dyDescent="0.25">
      <c r="A120" s="153"/>
      <c r="B120" s="43" t="str">
        <f>A120&amp;"-"&amp;IF(DAY(Variables!$A$2)&lt;10,0,"")&amp;DAY(Variables!$A$2)</f>
        <v>-02</v>
      </c>
      <c r="C120" s="147"/>
      <c r="D120" s="171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0" s="30" t="e">
        <f>VLOOKUP(B120,'Train Runs'!$A$13:$A$99964,1,FALSE)</f>
        <v>#N/A</v>
      </c>
    </row>
  </sheetData>
  <autoFilter ref="A2:J12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4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205</v>
      </c>
      <c r="G1" s="8" t="s">
        <v>204</v>
      </c>
    </row>
    <row r="2" spans="1:7" x14ac:dyDescent="0.25">
      <c r="A2" s="8">
        <v>42768.040983796294</v>
      </c>
      <c r="B2" s="20" t="s">
        <v>282</v>
      </c>
      <c r="C2" s="20" t="s">
        <v>377</v>
      </c>
      <c r="D2" s="150">
        <v>2270000</v>
      </c>
      <c r="E2" s="20" t="s">
        <v>246</v>
      </c>
      <c r="F2" s="20" t="s">
        <v>247</v>
      </c>
      <c r="G2" s="8" t="str">
        <f>E2&amp;" "&amp;F2</f>
        <v>BROWN JACOB</v>
      </c>
    </row>
    <row r="3" spans="1:7" x14ac:dyDescent="0.25">
      <c r="A3" s="8">
        <v>42768.048298611109</v>
      </c>
      <c r="B3" s="20" t="s">
        <v>239</v>
      </c>
      <c r="C3" s="20" t="s">
        <v>378</v>
      </c>
      <c r="D3" s="150">
        <v>2370000</v>
      </c>
      <c r="E3" s="20" t="s">
        <v>373</v>
      </c>
      <c r="F3" s="20" t="s">
        <v>374</v>
      </c>
      <c r="G3" s="8" t="str">
        <f t="shared" ref="G3:G66" si="0">E3&amp;" "&amp;F3</f>
        <v>DELGADO DIANAH</v>
      </c>
    </row>
    <row r="4" spans="1:7" x14ac:dyDescent="0.25">
      <c r="A4" s="8">
        <v>42768.055</v>
      </c>
      <c r="B4" s="20" t="s">
        <v>230</v>
      </c>
      <c r="C4" s="20" t="s">
        <v>379</v>
      </c>
      <c r="D4" s="150">
        <v>2450000</v>
      </c>
      <c r="E4" s="20" t="s">
        <v>250</v>
      </c>
      <c r="F4" s="20" t="s">
        <v>251</v>
      </c>
      <c r="G4" s="8" t="str">
        <f t="shared" si="0"/>
        <v>NELSON ARIANE</v>
      </c>
    </row>
    <row r="5" spans="1:7" x14ac:dyDescent="0.25">
      <c r="A5" s="8">
        <v>42768.059120370373</v>
      </c>
      <c r="B5" s="20" t="s">
        <v>362</v>
      </c>
      <c r="C5" s="20" t="s">
        <v>380</v>
      </c>
      <c r="D5" s="150">
        <v>2670000</v>
      </c>
      <c r="E5" s="20" t="s">
        <v>257</v>
      </c>
      <c r="F5" s="20" t="s">
        <v>258</v>
      </c>
      <c r="G5" s="8" t="str">
        <f t="shared" si="0"/>
        <v>COMELLA JUSTIN</v>
      </c>
    </row>
    <row r="6" spans="1:7" x14ac:dyDescent="0.25">
      <c r="A6" s="8">
        <v>42768.067361111112</v>
      </c>
      <c r="B6" s="20" t="s">
        <v>198</v>
      </c>
      <c r="C6" s="20" t="s">
        <v>381</v>
      </c>
      <c r="D6" s="150">
        <v>1740000</v>
      </c>
      <c r="E6" s="20" t="s">
        <v>242</v>
      </c>
      <c r="F6" s="20" t="s">
        <v>243</v>
      </c>
      <c r="G6" s="8" t="str">
        <f t="shared" si="0"/>
        <v>STORY SAMANTHA</v>
      </c>
    </row>
    <row r="7" spans="1:7" x14ac:dyDescent="0.25">
      <c r="A7" s="8">
        <v>42768.078194444446</v>
      </c>
      <c r="B7" s="20" t="s">
        <v>283</v>
      </c>
      <c r="C7" s="20" t="s">
        <v>382</v>
      </c>
      <c r="D7" s="150">
        <v>2270000</v>
      </c>
      <c r="E7" s="20" t="s">
        <v>246</v>
      </c>
      <c r="F7" s="20" t="s">
        <v>247</v>
      </c>
      <c r="G7" s="8" t="str">
        <f t="shared" si="0"/>
        <v>BROWN JACOB</v>
      </c>
    </row>
    <row r="8" spans="1:7" x14ac:dyDescent="0.25">
      <c r="A8" s="8">
        <v>42768.095821759256</v>
      </c>
      <c r="B8" s="20" t="s">
        <v>229</v>
      </c>
      <c r="C8" s="20" t="s">
        <v>383</v>
      </c>
      <c r="D8" s="150">
        <v>2540000</v>
      </c>
      <c r="E8" s="20" t="s">
        <v>235</v>
      </c>
      <c r="F8" s="20" t="s">
        <v>236</v>
      </c>
      <c r="G8" s="8" t="str">
        <f t="shared" si="0"/>
        <v>MCREYNOLDS KYLE</v>
      </c>
    </row>
    <row r="9" spans="1:7" ht="15.75" thickBot="1" x14ac:dyDescent="0.3">
      <c r="A9" s="24">
        <v>42768.119432870371</v>
      </c>
      <c r="B9" s="20" t="s">
        <v>231</v>
      </c>
      <c r="C9" s="20" t="s">
        <v>472</v>
      </c>
      <c r="D9" s="150">
        <v>2550000</v>
      </c>
      <c r="E9" s="20" t="s">
        <v>367</v>
      </c>
      <c r="F9" s="20" t="s">
        <v>368</v>
      </c>
      <c r="G9" s="8" t="str">
        <f t="shared" si="0"/>
        <v>BADERTSCHER DIANE</v>
      </c>
    </row>
    <row r="10" spans="1:7" x14ac:dyDescent="0.25">
      <c r="A10" s="8">
        <v>42768.136516203704</v>
      </c>
      <c r="B10" s="20" t="s">
        <v>234</v>
      </c>
      <c r="C10" s="20" t="s">
        <v>473</v>
      </c>
      <c r="D10" s="150">
        <v>2550000</v>
      </c>
      <c r="E10" s="20" t="s">
        <v>367</v>
      </c>
      <c r="F10" s="20" t="s">
        <v>368</v>
      </c>
      <c r="G10" s="8" t="str">
        <f t="shared" si="0"/>
        <v>BADERTSCHER DIANE</v>
      </c>
    </row>
    <row r="11" spans="1:7" x14ac:dyDescent="0.25">
      <c r="A11" s="8">
        <v>42768.13821759259</v>
      </c>
      <c r="B11" s="20" t="s">
        <v>334</v>
      </c>
      <c r="C11" s="20" t="s">
        <v>474</v>
      </c>
      <c r="D11" s="150">
        <v>940000</v>
      </c>
      <c r="E11" s="20" t="s">
        <v>323</v>
      </c>
      <c r="F11" s="20" t="s">
        <v>324</v>
      </c>
      <c r="G11" s="8" t="str">
        <f t="shared" si="0"/>
        <v>BONDS REYNALDO</v>
      </c>
    </row>
    <row r="12" spans="1:7" x14ac:dyDescent="0.25">
      <c r="A12" s="8">
        <v>42768.147986111115</v>
      </c>
      <c r="B12" s="20" t="s">
        <v>320</v>
      </c>
      <c r="C12" s="20" t="s">
        <v>475</v>
      </c>
      <c r="D12" s="150">
        <v>940000</v>
      </c>
      <c r="E12" s="20" t="s">
        <v>323</v>
      </c>
      <c r="F12" s="20" t="s">
        <v>324</v>
      </c>
      <c r="G12" s="8" t="str">
        <f t="shared" si="0"/>
        <v>BONDS REYNALDO</v>
      </c>
    </row>
    <row r="13" spans="1:7" x14ac:dyDescent="0.25">
      <c r="A13" s="8">
        <v>42768.155324074076</v>
      </c>
      <c r="B13" s="20" t="s">
        <v>476</v>
      </c>
      <c r="C13" s="20" t="s">
        <v>477</v>
      </c>
      <c r="D13" s="150">
        <v>2140000</v>
      </c>
      <c r="E13" s="20" t="s">
        <v>478</v>
      </c>
      <c r="F13" s="20" t="s">
        <v>479</v>
      </c>
      <c r="G13" s="8" t="str">
        <f t="shared" si="0"/>
        <v>ROBINSON KADDIBA</v>
      </c>
    </row>
    <row r="14" spans="1:7" x14ac:dyDescent="0.25">
      <c r="A14" s="8">
        <v>42768.16684027778</v>
      </c>
      <c r="B14" s="20" t="s">
        <v>192</v>
      </c>
      <c r="C14" s="20" t="s">
        <v>480</v>
      </c>
      <c r="D14" s="150">
        <v>2140000</v>
      </c>
      <c r="E14" s="20" t="s">
        <v>478</v>
      </c>
      <c r="F14" s="20" t="s">
        <v>479</v>
      </c>
      <c r="G14" s="8" t="str">
        <f t="shared" si="0"/>
        <v>ROBINSON KADDIBA</v>
      </c>
    </row>
    <row r="15" spans="1:7" x14ac:dyDescent="0.25">
      <c r="A15" s="8">
        <v>42768.168530092589</v>
      </c>
      <c r="B15" s="20" t="s">
        <v>295</v>
      </c>
      <c r="C15" s="20" t="s">
        <v>481</v>
      </c>
      <c r="D15" s="150">
        <v>1100000</v>
      </c>
      <c r="E15" s="20" t="s">
        <v>363</v>
      </c>
      <c r="F15" s="20" t="s">
        <v>364</v>
      </c>
      <c r="G15" s="8" t="str">
        <f t="shared" si="0"/>
        <v>GEBRETEKLE DAGNEW</v>
      </c>
    </row>
    <row r="16" spans="1:7" x14ac:dyDescent="0.25">
      <c r="A16" s="8">
        <v>42768.169965277775</v>
      </c>
      <c r="B16" s="20" t="s">
        <v>231</v>
      </c>
      <c r="C16" s="20" t="s">
        <v>482</v>
      </c>
      <c r="D16" s="150">
        <v>2550000</v>
      </c>
      <c r="E16" s="20" t="s">
        <v>367</v>
      </c>
      <c r="F16" s="20" t="s">
        <v>368</v>
      </c>
      <c r="G16" s="8" t="str">
        <f t="shared" si="0"/>
        <v>BADERTSCHER DIANE</v>
      </c>
    </row>
    <row r="17" spans="1:7" x14ac:dyDescent="0.25">
      <c r="A17" s="8">
        <v>42768.185057870367</v>
      </c>
      <c r="B17" s="20" t="s">
        <v>294</v>
      </c>
      <c r="C17" s="20" t="s">
        <v>483</v>
      </c>
      <c r="D17" s="150">
        <v>1100000</v>
      </c>
      <c r="E17" s="20" t="s">
        <v>363</v>
      </c>
      <c r="F17" s="20" t="s">
        <v>364</v>
      </c>
      <c r="G17" s="8" t="str">
        <f t="shared" si="0"/>
        <v>GEBRETEKLE DAGNEW</v>
      </c>
    </row>
    <row r="18" spans="1:7" x14ac:dyDescent="0.25">
      <c r="A18" s="8">
        <v>42768.18650462963</v>
      </c>
      <c r="B18" s="20" t="s">
        <v>224</v>
      </c>
      <c r="C18" s="20" t="s">
        <v>484</v>
      </c>
      <c r="D18" s="150">
        <v>1260000</v>
      </c>
      <c r="E18" s="20" t="s">
        <v>485</v>
      </c>
      <c r="F18" s="20" t="s">
        <v>486</v>
      </c>
      <c r="G18" s="8" t="str">
        <f t="shared" si="0"/>
        <v>ACKERMAN JARED</v>
      </c>
    </row>
    <row r="19" spans="1:7" x14ac:dyDescent="0.25">
      <c r="A19" s="8">
        <v>42768.186516203707</v>
      </c>
      <c r="B19" s="20" t="s">
        <v>334</v>
      </c>
      <c r="C19" s="20" t="s">
        <v>487</v>
      </c>
      <c r="D19" s="150">
        <v>940000</v>
      </c>
      <c r="E19" s="20" t="s">
        <v>323</v>
      </c>
      <c r="F19" s="20" t="s">
        <v>324</v>
      </c>
      <c r="G19" s="8" t="str">
        <f t="shared" si="0"/>
        <v>BONDS REYNALDO</v>
      </c>
    </row>
    <row r="20" spans="1:7" x14ac:dyDescent="0.25">
      <c r="A20" s="8">
        <v>42768.1953125</v>
      </c>
      <c r="B20" s="20" t="s">
        <v>248</v>
      </c>
      <c r="C20" s="20" t="s">
        <v>488</v>
      </c>
      <c r="D20" s="150">
        <v>1260000</v>
      </c>
      <c r="E20" s="20" t="s">
        <v>485</v>
      </c>
      <c r="F20" s="20" t="s">
        <v>486</v>
      </c>
      <c r="G20" s="8" t="str">
        <f t="shared" si="0"/>
        <v>ACKERMAN JARED</v>
      </c>
    </row>
    <row r="21" spans="1:7" x14ac:dyDescent="0.25">
      <c r="A21" s="8">
        <v>42768.207986111112</v>
      </c>
      <c r="B21" s="20" t="s">
        <v>234</v>
      </c>
      <c r="C21" s="20" t="s">
        <v>489</v>
      </c>
      <c r="D21" s="150">
        <v>1830000</v>
      </c>
      <c r="E21" s="20" t="s">
        <v>365</v>
      </c>
      <c r="F21" s="20" t="s">
        <v>366</v>
      </c>
      <c r="G21" s="8" t="str">
        <f t="shared" si="0"/>
        <v>YORK EDGAR</v>
      </c>
    </row>
    <row r="22" spans="1:7" x14ac:dyDescent="0.25">
      <c r="A22" s="26">
        <v>42768.210300925923</v>
      </c>
      <c r="B22" s="20" t="s">
        <v>454</v>
      </c>
      <c r="C22" s="20" t="s">
        <v>490</v>
      </c>
      <c r="D22" s="150">
        <v>2020000</v>
      </c>
      <c r="E22" s="20" t="s">
        <v>491</v>
      </c>
      <c r="F22" s="20" t="s">
        <v>492</v>
      </c>
      <c r="G22" s="8" t="str">
        <f t="shared" si="0"/>
        <v>SHOOK JOHN</v>
      </c>
    </row>
    <row r="23" spans="1:7" x14ac:dyDescent="0.25">
      <c r="A23" s="8">
        <v>42768.210497685184</v>
      </c>
      <c r="B23" s="20" t="s">
        <v>476</v>
      </c>
      <c r="C23" s="20" t="s">
        <v>493</v>
      </c>
      <c r="D23" s="150">
        <v>2140000</v>
      </c>
      <c r="E23" s="20" t="s">
        <v>478</v>
      </c>
      <c r="F23" s="20" t="s">
        <v>479</v>
      </c>
      <c r="G23" s="8" t="str">
        <f t="shared" si="0"/>
        <v>ROBINSON KADDIBA</v>
      </c>
    </row>
    <row r="24" spans="1:7" x14ac:dyDescent="0.25">
      <c r="A24" s="8">
        <v>42768.215324074074</v>
      </c>
      <c r="B24" s="20" t="s">
        <v>197</v>
      </c>
      <c r="C24" s="20" t="s">
        <v>494</v>
      </c>
      <c r="D24" s="150">
        <v>2550000</v>
      </c>
      <c r="E24" s="20" t="s">
        <v>367</v>
      </c>
      <c r="F24" s="20" t="s">
        <v>368</v>
      </c>
      <c r="G24" s="8" t="str">
        <f t="shared" si="0"/>
        <v>BADERTSCHER DIANE</v>
      </c>
    </row>
    <row r="25" spans="1:7" x14ac:dyDescent="0.25">
      <c r="A25" s="8">
        <v>42768.216273148151</v>
      </c>
      <c r="B25" s="20" t="s">
        <v>197</v>
      </c>
      <c r="C25" s="20" t="s">
        <v>494</v>
      </c>
      <c r="D25" s="150">
        <v>2550000</v>
      </c>
      <c r="E25" s="20" t="s">
        <v>367</v>
      </c>
      <c r="F25" s="20" t="s">
        <v>368</v>
      </c>
      <c r="G25" s="8" t="str">
        <f t="shared" si="0"/>
        <v>BADERTSCHER DIANE</v>
      </c>
    </row>
    <row r="26" spans="1:7" x14ac:dyDescent="0.25">
      <c r="A26" s="8">
        <v>42768.224490740744</v>
      </c>
      <c r="B26" s="20" t="s">
        <v>295</v>
      </c>
      <c r="C26" s="20" t="s">
        <v>495</v>
      </c>
      <c r="D26" s="150">
        <v>1100000</v>
      </c>
      <c r="E26" s="20" t="s">
        <v>363</v>
      </c>
      <c r="F26" s="20" t="s">
        <v>364</v>
      </c>
      <c r="G26" s="8" t="str">
        <f t="shared" si="0"/>
        <v>GEBRETEKLE DAGNEW</v>
      </c>
    </row>
    <row r="27" spans="1:7" x14ac:dyDescent="0.25">
      <c r="A27" s="8">
        <v>42768.226770833331</v>
      </c>
      <c r="B27" s="20" t="s">
        <v>320</v>
      </c>
      <c r="C27" s="20" t="s">
        <v>496</v>
      </c>
      <c r="D27" s="150">
        <v>1110000</v>
      </c>
      <c r="E27" s="20" t="s">
        <v>321</v>
      </c>
      <c r="F27" s="20" t="s">
        <v>322</v>
      </c>
      <c r="G27" s="8" t="str">
        <f t="shared" si="0"/>
        <v>STARKS ANGELINA</v>
      </c>
    </row>
    <row r="28" spans="1:7" x14ac:dyDescent="0.25">
      <c r="A28" s="8">
        <v>42768.229930555557</v>
      </c>
      <c r="B28" s="20" t="s">
        <v>497</v>
      </c>
      <c r="C28" s="20" t="s">
        <v>498</v>
      </c>
      <c r="D28" s="150">
        <v>2020000</v>
      </c>
      <c r="E28" s="20" t="s">
        <v>491</v>
      </c>
      <c r="F28" s="20" t="s">
        <v>492</v>
      </c>
      <c r="G28" s="8" t="str">
        <f t="shared" si="0"/>
        <v>SHOOK JOHN</v>
      </c>
    </row>
    <row r="29" spans="1:7" x14ac:dyDescent="0.25">
      <c r="A29" s="8">
        <v>42768.230115740742</v>
      </c>
      <c r="B29" s="20" t="s">
        <v>224</v>
      </c>
      <c r="C29" s="20" t="s">
        <v>442</v>
      </c>
      <c r="D29" s="150">
        <v>1260000</v>
      </c>
      <c r="E29" s="20" t="s">
        <v>485</v>
      </c>
      <c r="F29" s="20" t="s">
        <v>486</v>
      </c>
      <c r="G29" s="8" t="str">
        <f t="shared" si="0"/>
        <v>ACKERMAN JARED</v>
      </c>
    </row>
    <row r="30" spans="1:7" x14ac:dyDescent="0.25">
      <c r="A30" s="8">
        <v>42768.231863425928</v>
      </c>
      <c r="B30" s="20" t="s">
        <v>335</v>
      </c>
      <c r="C30" s="20" t="s">
        <v>499</v>
      </c>
      <c r="D30" s="150">
        <v>940000</v>
      </c>
      <c r="E30" s="20" t="s">
        <v>323</v>
      </c>
      <c r="F30" s="20" t="s">
        <v>324</v>
      </c>
      <c r="G30" s="8" t="str">
        <f t="shared" si="0"/>
        <v>BONDS REYNALDO</v>
      </c>
    </row>
    <row r="31" spans="1:7" x14ac:dyDescent="0.25">
      <c r="A31" s="8">
        <v>42768.235937500001</v>
      </c>
      <c r="B31" s="20" t="s">
        <v>233</v>
      </c>
      <c r="C31" s="20" t="s">
        <v>500</v>
      </c>
      <c r="D31" s="150">
        <v>1830000</v>
      </c>
      <c r="E31" s="20" t="s">
        <v>365</v>
      </c>
      <c r="F31" s="20" t="s">
        <v>366</v>
      </c>
      <c r="G31" s="8" t="str">
        <f t="shared" si="0"/>
        <v>YORK EDGAR</v>
      </c>
    </row>
    <row r="32" spans="1:7" x14ac:dyDescent="0.25">
      <c r="A32" s="8">
        <v>42768.24690972222</v>
      </c>
      <c r="B32" s="20" t="s">
        <v>279</v>
      </c>
      <c r="C32" s="20" t="s">
        <v>501</v>
      </c>
      <c r="D32" s="150">
        <v>890000</v>
      </c>
      <c r="E32" s="20" t="s">
        <v>336</v>
      </c>
      <c r="F32" s="20" t="s">
        <v>337</v>
      </c>
      <c r="G32" s="8" t="str">
        <f t="shared" si="0"/>
        <v>LOZA FIDEL</v>
      </c>
    </row>
    <row r="33" spans="1:7" x14ac:dyDescent="0.25">
      <c r="A33" s="8">
        <v>42768.248564814814</v>
      </c>
      <c r="B33" s="20" t="s">
        <v>192</v>
      </c>
      <c r="C33" s="20" t="s">
        <v>502</v>
      </c>
      <c r="D33" s="150">
        <v>2140000</v>
      </c>
      <c r="E33" s="20" t="s">
        <v>478</v>
      </c>
      <c r="F33" s="20" t="s">
        <v>479</v>
      </c>
      <c r="G33" s="8" t="str">
        <f t="shared" si="0"/>
        <v>ROBINSON KADDIBA</v>
      </c>
    </row>
    <row r="34" spans="1:7" x14ac:dyDescent="0.25">
      <c r="A34" s="8">
        <v>42768.250208333331</v>
      </c>
      <c r="B34" s="20" t="s">
        <v>231</v>
      </c>
      <c r="C34" s="20" t="s">
        <v>503</v>
      </c>
      <c r="D34" s="150">
        <v>2550000</v>
      </c>
      <c r="E34" s="20" t="s">
        <v>367</v>
      </c>
      <c r="F34" s="20" t="s">
        <v>368</v>
      </c>
      <c r="G34" s="8" t="str">
        <f t="shared" si="0"/>
        <v>BADERTSCHER DIANE</v>
      </c>
    </row>
    <row r="35" spans="1:7" x14ac:dyDescent="0.25">
      <c r="A35" s="8">
        <v>42768.255833333336</v>
      </c>
      <c r="B35" s="20" t="s">
        <v>454</v>
      </c>
      <c r="C35" s="20" t="s">
        <v>504</v>
      </c>
      <c r="D35" s="150">
        <v>2020000</v>
      </c>
      <c r="E35" s="20" t="s">
        <v>491</v>
      </c>
      <c r="F35" s="20" t="s">
        <v>492</v>
      </c>
      <c r="G35" s="8" t="str">
        <f t="shared" si="0"/>
        <v>SHOOK JOHN</v>
      </c>
    </row>
    <row r="36" spans="1:7" x14ac:dyDescent="0.25">
      <c r="A36" s="8">
        <v>42768.256157407406</v>
      </c>
      <c r="B36" s="20" t="s">
        <v>294</v>
      </c>
      <c r="C36" s="20" t="s">
        <v>505</v>
      </c>
      <c r="D36" s="150">
        <v>1100000</v>
      </c>
      <c r="E36" s="20" t="s">
        <v>363</v>
      </c>
      <c r="F36" s="20" t="s">
        <v>364</v>
      </c>
      <c r="G36" s="8" t="str">
        <f t="shared" si="0"/>
        <v>GEBRETEKLE DAGNEW</v>
      </c>
    </row>
    <row r="37" spans="1:7" x14ac:dyDescent="0.25">
      <c r="A37" s="8">
        <v>42768.263645833336</v>
      </c>
      <c r="B37" s="20" t="s">
        <v>278</v>
      </c>
      <c r="C37" s="20" t="s">
        <v>506</v>
      </c>
      <c r="D37" s="150">
        <v>890000</v>
      </c>
      <c r="E37" s="20" t="s">
        <v>336</v>
      </c>
      <c r="F37" s="20" t="s">
        <v>337</v>
      </c>
      <c r="G37" s="8" t="str">
        <f t="shared" si="0"/>
        <v>LOZA FIDEL</v>
      </c>
    </row>
    <row r="38" spans="1:7" x14ac:dyDescent="0.25">
      <c r="A38" s="8">
        <v>42768.266805555555</v>
      </c>
      <c r="B38" s="20" t="s">
        <v>238</v>
      </c>
      <c r="C38" s="20" t="s">
        <v>443</v>
      </c>
      <c r="D38" s="150">
        <v>1110000</v>
      </c>
      <c r="E38" s="20" t="s">
        <v>321</v>
      </c>
      <c r="F38" s="20" t="s">
        <v>322</v>
      </c>
      <c r="G38" s="8" t="str">
        <f t="shared" si="0"/>
        <v>STARKS ANGELINA</v>
      </c>
    </row>
    <row r="39" spans="1:7" x14ac:dyDescent="0.25">
      <c r="A39" s="8">
        <v>42768.269548611112</v>
      </c>
      <c r="B39" s="20" t="s">
        <v>248</v>
      </c>
      <c r="C39" s="20" t="s">
        <v>442</v>
      </c>
      <c r="D39" s="150">
        <v>1260000</v>
      </c>
      <c r="E39" s="20" t="s">
        <v>485</v>
      </c>
      <c r="F39" s="20" t="s">
        <v>486</v>
      </c>
      <c r="G39" s="8" t="str">
        <f t="shared" si="0"/>
        <v>ACKERMAN JARED</v>
      </c>
    </row>
    <row r="40" spans="1:7" x14ac:dyDescent="0.25">
      <c r="A40" s="8">
        <v>42768.270682870374</v>
      </c>
      <c r="B40" s="25" t="s">
        <v>248</v>
      </c>
      <c r="C40" s="20" t="s">
        <v>507</v>
      </c>
      <c r="D40" s="150">
        <v>1260000</v>
      </c>
      <c r="E40" s="20" t="s">
        <v>485</v>
      </c>
      <c r="F40" s="20" t="s">
        <v>486</v>
      </c>
      <c r="G40" s="8" t="str">
        <f t="shared" si="0"/>
        <v>ACKERMAN JARED</v>
      </c>
    </row>
    <row r="41" spans="1:7" x14ac:dyDescent="0.25">
      <c r="A41" s="8">
        <v>42768.27171296296</v>
      </c>
      <c r="B41" s="20" t="s">
        <v>497</v>
      </c>
      <c r="C41" s="20" t="s">
        <v>508</v>
      </c>
      <c r="D41" s="150">
        <v>2020000</v>
      </c>
      <c r="E41" s="20" t="s">
        <v>491</v>
      </c>
      <c r="F41" s="20" t="s">
        <v>492</v>
      </c>
      <c r="G41" s="8" t="str">
        <f t="shared" si="0"/>
        <v>SHOOK JOHN</v>
      </c>
    </row>
    <row r="42" spans="1:7" x14ac:dyDescent="0.25">
      <c r="A42" s="8">
        <v>42768.274270833332</v>
      </c>
      <c r="B42" s="20" t="s">
        <v>334</v>
      </c>
      <c r="C42" s="20" t="s">
        <v>509</v>
      </c>
      <c r="D42" s="150">
        <v>940000</v>
      </c>
      <c r="E42" s="20" t="s">
        <v>323</v>
      </c>
      <c r="F42" s="20" t="s">
        <v>324</v>
      </c>
      <c r="G42" s="8" t="str">
        <f t="shared" si="0"/>
        <v>BONDS REYNALDO</v>
      </c>
    </row>
    <row r="43" spans="1:7" x14ac:dyDescent="0.25">
      <c r="A43" s="8">
        <v>42768.274467592593</v>
      </c>
      <c r="B43" s="20" t="s">
        <v>234</v>
      </c>
      <c r="C43" s="20" t="s">
        <v>510</v>
      </c>
      <c r="D43" s="150">
        <v>1830000</v>
      </c>
      <c r="E43" s="20" t="s">
        <v>365</v>
      </c>
      <c r="F43" s="20" t="s">
        <v>366</v>
      </c>
      <c r="G43" s="8" t="str">
        <f t="shared" si="0"/>
        <v>YORK EDGAR</v>
      </c>
    </row>
    <row r="44" spans="1:7" x14ac:dyDescent="0.25">
      <c r="A44" s="8">
        <v>42768.275833333333</v>
      </c>
      <c r="B44" s="20" t="s">
        <v>279</v>
      </c>
      <c r="C44" s="20" t="s">
        <v>511</v>
      </c>
      <c r="D44" s="150">
        <v>890000</v>
      </c>
      <c r="E44" s="20" t="s">
        <v>336</v>
      </c>
      <c r="F44" s="20" t="s">
        <v>337</v>
      </c>
      <c r="G44" s="8" t="str">
        <f t="shared" si="0"/>
        <v>LOZA FIDEL</v>
      </c>
    </row>
    <row r="45" spans="1:7" x14ac:dyDescent="0.25">
      <c r="A45" s="8">
        <v>42768.284143518518</v>
      </c>
      <c r="B45" s="20" t="s">
        <v>195</v>
      </c>
      <c r="C45" s="20" t="s">
        <v>512</v>
      </c>
      <c r="D45" s="150">
        <v>2140000</v>
      </c>
      <c r="E45" s="20" t="s">
        <v>478</v>
      </c>
      <c r="F45" s="20" t="s">
        <v>479</v>
      </c>
      <c r="G45" s="8" t="str">
        <f t="shared" si="0"/>
        <v>ROBINSON KADDIBA</v>
      </c>
    </row>
    <row r="46" spans="1:7" x14ac:dyDescent="0.25">
      <c r="A46" s="8">
        <v>42768.284733796296</v>
      </c>
      <c r="B46" s="20" t="s">
        <v>195</v>
      </c>
      <c r="C46" s="20" t="s">
        <v>512</v>
      </c>
      <c r="D46" s="150">
        <v>2140000</v>
      </c>
      <c r="E46" s="20" t="s">
        <v>478</v>
      </c>
      <c r="F46" s="20" t="s">
        <v>479</v>
      </c>
      <c r="G46" s="8" t="str">
        <f t="shared" si="0"/>
        <v>ROBINSON KADDIBA</v>
      </c>
    </row>
    <row r="47" spans="1:7" x14ac:dyDescent="0.25">
      <c r="A47" s="8">
        <v>42768.28564814815</v>
      </c>
      <c r="B47" s="20" t="s">
        <v>195</v>
      </c>
      <c r="C47" s="20" t="s">
        <v>512</v>
      </c>
      <c r="D47" s="150">
        <v>2140000</v>
      </c>
      <c r="E47" s="20" t="s">
        <v>478</v>
      </c>
      <c r="F47" s="20" t="s">
        <v>479</v>
      </c>
      <c r="G47" s="8" t="str">
        <f t="shared" si="0"/>
        <v>ROBINSON KADDIBA</v>
      </c>
    </row>
    <row r="48" spans="1:7" x14ac:dyDescent="0.25">
      <c r="A48" s="8">
        <v>42768.290613425925</v>
      </c>
      <c r="B48" s="20" t="s">
        <v>197</v>
      </c>
      <c r="C48" s="20" t="s">
        <v>513</v>
      </c>
      <c r="D48" s="150">
        <v>2550000</v>
      </c>
      <c r="E48" s="20" t="s">
        <v>367</v>
      </c>
      <c r="F48" s="20" t="s">
        <v>368</v>
      </c>
      <c r="G48" s="8" t="str">
        <f t="shared" si="0"/>
        <v>BADERTSCHER DIANE</v>
      </c>
    </row>
    <row r="49" spans="1:7" x14ac:dyDescent="0.25">
      <c r="A49" s="8">
        <v>42768.296307870369</v>
      </c>
      <c r="B49" s="20" t="s">
        <v>295</v>
      </c>
      <c r="C49" s="20" t="s">
        <v>514</v>
      </c>
      <c r="D49" s="150">
        <v>1100000</v>
      </c>
      <c r="E49" s="20" t="s">
        <v>363</v>
      </c>
      <c r="F49" s="20" t="s">
        <v>364</v>
      </c>
      <c r="G49" s="8" t="str">
        <f t="shared" si="0"/>
        <v>GEBRETEKLE DAGNEW</v>
      </c>
    </row>
    <row r="50" spans="1:7" x14ac:dyDescent="0.25">
      <c r="A50" s="8">
        <v>42768.297407407408</v>
      </c>
      <c r="B50" s="20" t="s">
        <v>454</v>
      </c>
      <c r="C50" s="20" t="s">
        <v>515</v>
      </c>
      <c r="D50" s="150">
        <v>2020000</v>
      </c>
      <c r="E50" s="20" t="s">
        <v>491</v>
      </c>
      <c r="F50" s="20" t="s">
        <v>492</v>
      </c>
      <c r="G50" s="8" t="str">
        <f t="shared" si="0"/>
        <v>SHOOK JOHN</v>
      </c>
    </row>
    <row r="51" spans="1:7" x14ac:dyDescent="0.25">
      <c r="A51" s="8">
        <v>42768.29960648148</v>
      </c>
      <c r="B51" s="20" t="s">
        <v>320</v>
      </c>
      <c r="C51" s="20" t="s">
        <v>444</v>
      </c>
      <c r="D51" s="150">
        <v>1110000</v>
      </c>
      <c r="E51" s="20" t="s">
        <v>321</v>
      </c>
      <c r="F51" s="20" t="s">
        <v>322</v>
      </c>
      <c r="G51" s="8" t="str">
        <f t="shared" si="0"/>
        <v>STARKS ANGELINA</v>
      </c>
    </row>
    <row r="52" spans="1:7" x14ac:dyDescent="0.25">
      <c r="A52" s="8">
        <v>42768.304432870369</v>
      </c>
      <c r="B52" s="20" t="s">
        <v>278</v>
      </c>
      <c r="C52" s="20" t="s">
        <v>516</v>
      </c>
      <c r="D52" s="150">
        <v>890000</v>
      </c>
      <c r="E52" s="20" t="s">
        <v>336</v>
      </c>
      <c r="F52" s="20" t="s">
        <v>337</v>
      </c>
      <c r="G52" s="8" t="str">
        <f t="shared" si="0"/>
        <v>LOZA FIDEL</v>
      </c>
    </row>
    <row r="53" spans="1:7" x14ac:dyDescent="0.25">
      <c r="A53" s="8">
        <v>42768.304837962962</v>
      </c>
      <c r="B53" s="20" t="s">
        <v>224</v>
      </c>
      <c r="C53" s="20" t="s">
        <v>517</v>
      </c>
      <c r="D53" s="150">
        <v>1260000</v>
      </c>
      <c r="E53" s="20" t="s">
        <v>485</v>
      </c>
      <c r="F53" s="20" t="s">
        <v>486</v>
      </c>
      <c r="G53" s="8" t="str">
        <f t="shared" si="0"/>
        <v>ACKERMAN JARED</v>
      </c>
    </row>
    <row r="54" spans="1:7" x14ac:dyDescent="0.25">
      <c r="A54" s="8">
        <v>42768.306944444441</v>
      </c>
      <c r="B54" s="20" t="s">
        <v>233</v>
      </c>
      <c r="C54" s="20" t="s">
        <v>518</v>
      </c>
      <c r="D54" s="150">
        <v>1830000</v>
      </c>
      <c r="E54" s="20" t="s">
        <v>365</v>
      </c>
      <c r="F54" s="20" t="s">
        <v>366</v>
      </c>
      <c r="G54" s="8" t="str">
        <f t="shared" si="0"/>
        <v>YORK EDGAR</v>
      </c>
    </row>
    <row r="55" spans="1:7" x14ac:dyDescent="0.25">
      <c r="A55" s="8">
        <v>42768.308819444443</v>
      </c>
      <c r="B55" s="20" t="s">
        <v>335</v>
      </c>
      <c r="C55" s="20" t="s">
        <v>519</v>
      </c>
      <c r="D55" s="150">
        <v>940000</v>
      </c>
      <c r="E55" s="20" t="s">
        <v>323</v>
      </c>
      <c r="F55" s="20" t="s">
        <v>324</v>
      </c>
      <c r="G55" s="8" t="str">
        <f t="shared" si="0"/>
        <v>BONDS REYNALDO</v>
      </c>
    </row>
    <row r="56" spans="1:7" x14ac:dyDescent="0.25">
      <c r="A56" s="8">
        <v>42768.312430555554</v>
      </c>
      <c r="B56" s="20" t="s">
        <v>497</v>
      </c>
      <c r="C56" s="20" t="s">
        <v>520</v>
      </c>
      <c r="D56" s="150">
        <v>2020000</v>
      </c>
      <c r="E56" s="20" t="s">
        <v>491</v>
      </c>
      <c r="F56" s="20" t="s">
        <v>492</v>
      </c>
      <c r="G56" s="8" t="str">
        <f t="shared" si="0"/>
        <v>SHOOK JOHN</v>
      </c>
    </row>
    <row r="57" spans="1:7" x14ac:dyDescent="0.25">
      <c r="A57" s="8">
        <v>42768.316840277781</v>
      </c>
      <c r="B57" s="20" t="s">
        <v>279</v>
      </c>
      <c r="C57" s="20" t="s">
        <v>521</v>
      </c>
      <c r="D57" s="150">
        <v>890000</v>
      </c>
      <c r="E57" s="20" t="s">
        <v>336</v>
      </c>
      <c r="F57" s="20" t="s">
        <v>337</v>
      </c>
      <c r="G57" s="8" t="str">
        <f t="shared" si="0"/>
        <v>LOZA FIDEL</v>
      </c>
    </row>
    <row r="58" spans="1:7" x14ac:dyDescent="0.25">
      <c r="A58" s="8">
        <v>42768.318472222221</v>
      </c>
      <c r="B58" s="20" t="s">
        <v>192</v>
      </c>
      <c r="C58" s="20" t="s">
        <v>522</v>
      </c>
      <c r="D58" s="150">
        <v>2140000</v>
      </c>
      <c r="E58" s="20" t="s">
        <v>478</v>
      </c>
      <c r="F58" s="20" t="s">
        <v>479</v>
      </c>
      <c r="G58" s="8" t="str">
        <f t="shared" si="0"/>
        <v>ROBINSON KADDIBA</v>
      </c>
    </row>
    <row r="59" spans="1:7" x14ac:dyDescent="0.25">
      <c r="A59" s="8">
        <v>42768.322696759256</v>
      </c>
      <c r="B59" s="20" t="s">
        <v>231</v>
      </c>
      <c r="C59" s="20" t="s">
        <v>523</v>
      </c>
      <c r="D59" s="150">
        <v>2550000</v>
      </c>
      <c r="E59" s="20" t="s">
        <v>367</v>
      </c>
      <c r="F59" s="20" t="s">
        <v>368</v>
      </c>
      <c r="G59" s="8" t="str">
        <f t="shared" si="0"/>
        <v>BADERTSCHER DIANE</v>
      </c>
    </row>
    <row r="60" spans="1:7" x14ac:dyDescent="0.25">
      <c r="A60" s="8">
        <v>42768.329652777778</v>
      </c>
      <c r="B60" s="20" t="s">
        <v>294</v>
      </c>
      <c r="C60" s="20" t="s">
        <v>524</v>
      </c>
      <c r="D60" s="150">
        <v>1100000</v>
      </c>
      <c r="E60" s="20" t="s">
        <v>363</v>
      </c>
      <c r="F60" s="20" t="s">
        <v>364</v>
      </c>
      <c r="G60" s="8" t="str">
        <f t="shared" si="0"/>
        <v>GEBRETEKLE DAGNEW</v>
      </c>
    </row>
    <row r="61" spans="1:7" x14ac:dyDescent="0.25">
      <c r="A61" s="8">
        <v>42768.338865740741</v>
      </c>
      <c r="B61" s="20" t="s">
        <v>454</v>
      </c>
      <c r="C61" s="20" t="s">
        <v>525</v>
      </c>
      <c r="D61" s="150">
        <v>2020000</v>
      </c>
      <c r="E61" s="20" t="s">
        <v>491</v>
      </c>
      <c r="F61" s="20" t="s">
        <v>492</v>
      </c>
      <c r="G61" s="8" t="str">
        <f t="shared" si="0"/>
        <v>SHOOK JOHN</v>
      </c>
    </row>
    <row r="62" spans="1:7" x14ac:dyDescent="0.25">
      <c r="A62" s="8">
        <v>42768.34</v>
      </c>
      <c r="B62" s="20" t="s">
        <v>238</v>
      </c>
      <c r="C62" s="20" t="s">
        <v>526</v>
      </c>
      <c r="D62" s="150">
        <v>1110000</v>
      </c>
      <c r="E62" s="20" t="s">
        <v>321</v>
      </c>
      <c r="F62" s="20" t="s">
        <v>322</v>
      </c>
      <c r="G62" s="8" t="str">
        <f t="shared" si="0"/>
        <v>STARKS ANGELINA</v>
      </c>
    </row>
    <row r="63" spans="1:7" x14ac:dyDescent="0.25">
      <c r="A63" s="8">
        <v>42768.34134259259</v>
      </c>
      <c r="B63" s="20" t="s">
        <v>248</v>
      </c>
      <c r="C63" s="20" t="s">
        <v>527</v>
      </c>
      <c r="D63" s="150">
        <v>1260000</v>
      </c>
      <c r="E63" s="20" t="s">
        <v>485</v>
      </c>
      <c r="F63" s="20" t="s">
        <v>486</v>
      </c>
      <c r="G63" s="8" t="str">
        <f t="shared" si="0"/>
        <v>ACKERMAN JARED</v>
      </c>
    </row>
    <row r="64" spans="1:7" x14ac:dyDescent="0.25">
      <c r="A64" s="26">
        <v>42768.346562500003</v>
      </c>
      <c r="B64" s="20" t="s">
        <v>278</v>
      </c>
      <c r="C64" s="20" t="s">
        <v>445</v>
      </c>
      <c r="D64" s="150">
        <v>890000</v>
      </c>
      <c r="E64" s="20" t="s">
        <v>336</v>
      </c>
      <c r="F64" s="20" t="s">
        <v>337</v>
      </c>
      <c r="G64" s="8" t="str">
        <f t="shared" si="0"/>
        <v>LOZA FIDEL</v>
      </c>
    </row>
    <row r="65" spans="1:7" x14ac:dyDescent="0.25">
      <c r="A65" s="8">
        <v>42768.348020833335</v>
      </c>
      <c r="B65" s="20" t="s">
        <v>334</v>
      </c>
      <c r="C65" s="20" t="s">
        <v>528</v>
      </c>
      <c r="D65" s="150">
        <v>940000</v>
      </c>
      <c r="E65" s="20" t="s">
        <v>323</v>
      </c>
      <c r="F65" s="20" t="s">
        <v>324</v>
      </c>
      <c r="G65" s="8" t="str">
        <f t="shared" si="0"/>
        <v>BONDS REYNALDO</v>
      </c>
    </row>
    <row r="66" spans="1:7" x14ac:dyDescent="0.25">
      <c r="A66" s="8">
        <v>42768.348090277781</v>
      </c>
      <c r="B66" s="20" t="s">
        <v>234</v>
      </c>
      <c r="C66" s="20" t="s">
        <v>446</v>
      </c>
      <c r="D66" s="150">
        <v>1830000</v>
      </c>
      <c r="E66" s="20" t="s">
        <v>365</v>
      </c>
      <c r="F66" s="20" t="s">
        <v>366</v>
      </c>
      <c r="G66" s="8" t="str">
        <f t="shared" si="0"/>
        <v>YORK EDGAR</v>
      </c>
    </row>
    <row r="67" spans="1:7" x14ac:dyDescent="0.25">
      <c r="A67" s="8">
        <v>42768.353564814817</v>
      </c>
      <c r="B67" s="20" t="s">
        <v>497</v>
      </c>
      <c r="C67" s="20" t="s">
        <v>529</v>
      </c>
      <c r="D67" s="150">
        <v>2020000</v>
      </c>
      <c r="E67" s="20" t="s">
        <v>491</v>
      </c>
      <c r="F67" s="20" t="s">
        <v>492</v>
      </c>
      <c r="G67" s="8" t="str">
        <f t="shared" ref="G67:G130" si="1">E67&amp;" "&amp;F67</f>
        <v>SHOOK JOHN</v>
      </c>
    </row>
    <row r="68" spans="1:7" x14ac:dyDescent="0.25">
      <c r="A68" s="8">
        <v>42768.355949074074</v>
      </c>
      <c r="B68" s="20" t="s">
        <v>195</v>
      </c>
      <c r="C68" s="20" t="s">
        <v>530</v>
      </c>
      <c r="D68" s="150">
        <v>2140000</v>
      </c>
      <c r="E68" s="20" t="s">
        <v>478</v>
      </c>
      <c r="F68" s="20" t="s">
        <v>479</v>
      </c>
      <c r="G68" s="8" t="str">
        <f t="shared" si="1"/>
        <v>ROBINSON KADDIBA</v>
      </c>
    </row>
    <row r="69" spans="1:7" x14ac:dyDescent="0.25">
      <c r="A69" s="8">
        <v>42768.359664351854</v>
      </c>
      <c r="B69" s="20" t="s">
        <v>279</v>
      </c>
      <c r="C69" s="20" t="s">
        <v>531</v>
      </c>
      <c r="D69" s="150">
        <v>890000</v>
      </c>
      <c r="E69" s="20" t="s">
        <v>336</v>
      </c>
      <c r="F69" s="20" t="s">
        <v>337</v>
      </c>
      <c r="G69" s="8" t="str">
        <f t="shared" si="1"/>
        <v>LOZA FIDEL</v>
      </c>
    </row>
    <row r="70" spans="1:7" x14ac:dyDescent="0.25">
      <c r="A70" s="8">
        <v>42768.363738425927</v>
      </c>
      <c r="B70" s="20" t="s">
        <v>197</v>
      </c>
      <c r="C70" s="20" t="s">
        <v>532</v>
      </c>
      <c r="D70" s="150">
        <v>2550000</v>
      </c>
      <c r="E70" s="20" t="s">
        <v>367</v>
      </c>
      <c r="F70" s="20" t="s">
        <v>368</v>
      </c>
      <c r="G70" s="8" t="str">
        <f t="shared" si="1"/>
        <v>BADERTSCHER DIANE</v>
      </c>
    </row>
    <row r="71" spans="1:7" x14ac:dyDescent="0.25">
      <c r="A71" s="8">
        <v>42768.368171296293</v>
      </c>
      <c r="B71" s="20" t="s">
        <v>295</v>
      </c>
      <c r="C71" s="20" t="s">
        <v>533</v>
      </c>
      <c r="D71" s="150">
        <v>1100000</v>
      </c>
      <c r="E71" s="20" t="s">
        <v>363</v>
      </c>
      <c r="F71" s="20" t="s">
        <v>364</v>
      </c>
      <c r="G71" s="8" t="str">
        <f t="shared" si="1"/>
        <v>GEBRETEKLE DAGNEW</v>
      </c>
    </row>
    <row r="72" spans="1:7" x14ac:dyDescent="0.25">
      <c r="A72" s="8">
        <v>42768.371377314812</v>
      </c>
      <c r="B72" s="20" t="s">
        <v>320</v>
      </c>
      <c r="C72" s="20" t="s">
        <v>534</v>
      </c>
      <c r="D72" s="150">
        <v>1110000</v>
      </c>
      <c r="E72" s="20" t="s">
        <v>321</v>
      </c>
      <c r="F72" s="20" t="s">
        <v>322</v>
      </c>
      <c r="G72" s="8" t="str">
        <f t="shared" si="1"/>
        <v>STARKS ANGELINA</v>
      </c>
    </row>
    <row r="73" spans="1:7" x14ac:dyDescent="0.25">
      <c r="A73" s="8">
        <v>42768.375416666669</v>
      </c>
      <c r="B73" s="20" t="s">
        <v>224</v>
      </c>
      <c r="C73" s="20" t="s">
        <v>535</v>
      </c>
      <c r="D73" s="150">
        <v>1260000</v>
      </c>
      <c r="E73" s="20" t="s">
        <v>485</v>
      </c>
      <c r="F73" s="20" t="s">
        <v>486</v>
      </c>
      <c r="G73" s="8" t="str">
        <f t="shared" si="1"/>
        <v>ACKERMAN JARED</v>
      </c>
    </row>
    <row r="74" spans="1:7" x14ac:dyDescent="0.25">
      <c r="A74" s="8">
        <v>42768.380277777775</v>
      </c>
      <c r="B74" s="20" t="s">
        <v>233</v>
      </c>
      <c r="C74" s="20" t="s">
        <v>448</v>
      </c>
      <c r="D74" s="150">
        <v>1830000</v>
      </c>
      <c r="E74" s="20" t="s">
        <v>365</v>
      </c>
      <c r="F74" s="20" t="s">
        <v>366</v>
      </c>
      <c r="G74" s="8" t="str">
        <f t="shared" si="1"/>
        <v>YORK EDGAR</v>
      </c>
    </row>
    <row r="75" spans="1:7" x14ac:dyDescent="0.25">
      <c r="A75" s="8">
        <v>42768.381504629629</v>
      </c>
      <c r="B75" s="20" t="s">
        <v>335</v>
      </c>
      <c r="C75" s="20" t="s">
        <v>447</v>
      </c>
      <c r="D75" s="150">
        <v>940000</v>
      </c>
      <c r="E75" s="20" t="s">
        <v>323</v>
      </c>
      <c r="F75" s="20" t="s">
        <v>324</v>
      </c>
      <c r="G75" s="8" t="str">
        <f t="shared" si="1"/>
        <v>BONDS REYNALDO</v>
      </c>
    </row>
    <row r="76" spans="1:7" x14ac:dyDescent="0.25">
      <c r="A76" s="8">
        <v>42768.383518518516</v>
      </c>
      <c r="B76" s="20" t="s">
        <v>278</v>
      </c>
      <c r="C76" s="20" t="s">
        <v>536</v>
      </c>
      <c r="D76" s="150">
        <v>890000</v>
      </c>
      <c r="E76" s="20" t="s">
        <v>336</v>
      </c>
      <c r="F76" s="20" t="s">
        <v>337</v>
      </c>
      <c r="G76" s="8" t="str">
        <f t="shared" si="1"/>
        <v>LOZA FIDEL</v>
      </c>
    </row>
    <row r="77" spans="1:7" x14ac:dyDescent="0.25">
      <c r="A77" s="8">
        <v>42768.390879629631</v>
      </c>
      <c r="B77" s="20" t="s">
        <v>192</v>
      </c>
      <c r="C77" s="20" t="s">
        <v>537</v>
      </c>
      <c r="D77" s="150">
        <v>2140000</v>
      </c>
      <c r="E77" s="20" t="s">
        <v>478</v>
      </c>
      <c r="F77" s="20" t="s">
        <v>479</v>
      </c>
      <c r="G77" s="8" t="str">
        <f t="shared" si="1"/>
        <v>ROBINSON KADDIBA</v>
      </c>
    </row>
    <row r="78" spans="1:7" x14ac:dyDescent="0.25">
      <c r="A78" s="8">
        <v>42768.394571759258</v>
      </c>
      <c r="B78" s="20" t="s">
        <v>231</v>
      </c>
      <c r="C78" s="20" t="s">
        <v>538</v>
      </c>
      <c r="D78" s="150">
        <v>2550000</v>
      </c>
      <c r="E78" s="20" t="s">
        <v>367</v>
      </c>
      <c r="F78" s="20" t="s">
        <v>368</v>
      </c>
      <c r="G78" s="8" t="str">
        <f t="shared" si="1"/>
        <v>BADERTSCHER DIANE</v>
      </c>
    </row>
    <row r="79" spans="1:7" x14ac:dyDescent="0.25">
      <c r="A79" s="8">
        <v>42768.400856481479</v>
      </c>
      <c r="B79" s="20" t="s">
        <v>279</v>
      </c>
      <c r="C79" s="20" t="s">
        <v>539</v>
      </c>
      <c r="D79" s="150">
        <v>890000</v>
      </c>
      <c r="E79" s="20" t="s">
        <v>336</v>
      </c>
      <c r="F79" s="20" t="s">
        <v>337</v>
      </c>
      <c r="G79" s="8" t="str">
        <f t="shared" si="1"/>
        <v>LOZA FIDEL</v>
      </c>
    </row>
    <row r="80" spans="1:7" x14ac:dyDescent="0.25">
      <c r="A80" s="8">
        <v>42768.401770833334</v>
      </c>
      <c r="B80" s="20" t="s">
        <v>294</v>
      </c>
      <c r="C80" s="20" t="s">
        <v>540</v>
      </c>
      <c r="D80" s="150">
        <v>1100000</v>
      </c>
      <c r="E80" s="20" t="s">
        <v>363</v>
      </c>
      <c r="F80" s="20" t="s">
        <v>364</v>
      </c>
      <c r="G80" s="8" t="str">
        <f t="shared" si="1"/>
        <v>GEBRETEKLE DAGNEW</v>
      </c>
    </row>
    <row r="81" spans="1:7" x14ac:dyDescent="0.25">
      <c r="A81" s="8">
        <v>42768.412638888891</v>
      </c>
      <c r="B81" s="20" t="s">
        <v>238</v>
      </c>
      <c r="C81" s="20" t="s">
        <v>541</v>
      </c>
      <c r="D81" s="150">
        <v>1110000</v>
      </c>
      <c r="E81" s="20" t="s">
        <v>321</v>
      </c>
      <c r="F81" s="20" t="s">
        <v>322</v>
      </c>
      <c r="G81" s="8" t="str">
        <f t="shared" si="1"/>
        <v>STARKS ANGELINA</v>
      </c>
    </row>
    <row r="82" spans="1:7" x14ac:dyDescent="0.25">
      <c r="A82" s="8">
        <v>42768.41265046296</v>
      </c>
      <c r="B82" s="20" t="s">
        <v>248</v>
      </c>
      <c r="C82" s="20" t="s">
        <v>542</v>
      </c>
      <c r="D82" s="150">
        <v>1260000</v>
      </c>
      <c r="E82" s="20" t="s">
        <v>485</v>
      </c>
      <c r="F82" s="20" t="s">
        <v>486</v>
      </c>
      <c r="G82" s="8" t="str">
        <f t="shared" si="1"/>
        <v>ACKERMAN JARED</v>
      </c>
    </row>
    <row r="83" spans="1:7" x14ac:dyDescent="0.25">
      <c r="A83" s="8">
        <v>42768.421354166669</v>
      </c>
      <c r="B83" s="20" t="s">
        <v>334</v>
      </c>
      <c r="C83" s="20" t="s">
        <v>543</v>
      </c>
      <c r="D83" s="150">
        <v>940000</v>
      </c>
      <c r="E83" s="20" t="s">
        <v>323</v>
      </c>
      <c r="F83" s="20" t="s">
        <v>324</v>
      </c>
      <c r="G83" s="8" t="str">
        <f t="shared" si="1"/>
        <v>BONDS REYNALDO</v>
      </c>
    </row>
    <row r="84" spans="1:7" x14ac:dyDescent="0.25">
      <c r="A84" s="8">
        <v>42768.4215625</v>
      </c>
      <c r="B84" s="20" t="s">
        <v>234</v>
      </c>
      <c r="C84" s="20" t="s">
        <v>544</v>
      </c>
      <c r="D84" s="150">
        <v>1830000</v>
      </c>
      <c r="E84" s="20" t="s">
        <v>365</v>
      </c>
      <c r="F84" s="20" t="s">
        <v>366</v>
      </c>
      <c r="G84" s="8" t="str">
        <f t="shared" si="1"/>
        <v>YORK EDGAR</v>
      </c>
    </row>
    <row r="85" spans="1:7" x14ac:dyDescent="0.25">
      <c r="A85" s="8">
        <v>42768.428657407407</v>
      </c>
      <c r="B85" s="20" t="s">
        <v>278</v>
      </c>
      <c r="C85" s="20" t="s">
        <v>545</v>
      </c>
      <c r="D85" s="150">
        <v>890000</v>
      </c>
      <c r="E85" s="20" t="s">
        <v>336</v>
      </c>
      <c r="F85" s="20" t="s">
        <v>337</v>
      </c>
      <c r="G85" s="8" t="str">
        <f t="shared" si="1"/>
        <v>LOZA FIDEL</v>
      </c>
    </row>
    <row r="86" spans="1:7" x14ac:dyDescent="0.25">
      <c r="A86" s="8">
        <v>42768.429074074076</v>
      </c>
      <c r="B86" s="20" t="s">
        <v>195</v>
      </c>
      <c r="C86" s="20" t="s">
        <v>546</v>
      </c>
      <c r="D86" s="150">
        <v>2140000</v>
      </c>
      <c r="E86" s="20" t="s">
        <v>478</v>
      </c>
      <c r="F86" s="20" t="s">
        <v>479</v>
      </c>
      <c r="G86" s="8" t="str">
        <f t="shared" si="1"/>
        <v>ROBINSON KADDIBA</v>
      </c>
    </row>
    <row r="87" spans="1:7" x14ac:dyDescent="0.25">
      <c r="A87" s="8">
        <v>42768.437951388885</v>
      </c>
      <c r="B87" s="20" t="s">
        <v>197</v>
      </c>
      <c r="C87" s="20" t="s">
        <v>547</v>
      </c>
      <c r="D87" s="150">
        <v>2020000</v>
      </c>
      <c r="E87" s="20" t="s">
        <v>491</v>
      </c>
      <c r="F87" s="20" t="s">
        <v>492</v>
      </c>
      <c r="G87" s="8" t="str">
        <f t="shared" si="1"/>
        <v>SHOOK JOHN</v>
      </c>
    </row>
    <row r="88" spans="1:7" x14ac:dyDescent="0.25">
      <c r="A88" s="8">
        <v>42768.442141203705</v>
      </c>
      <c r="B88" s="20" t="s">
        <v>295</v>
      </c>
      <c r="C88" s="20" t="s">
        <v>548</v>
      </c>
      <c r="D88" s="150">
        <v>1100000</v>
      </c>
      <c r="E88" s="20" t="s">
        <v>363</v>
      </c>
      <c r="F88" s="20" t="s">
        <v>364</v>
      </c>
      <c r="G88" s="8" t="str">
        <f t="shared" si="1"/>
        <v>GEBRETEKLE DAGNEW</v>
      </c>
    </row>
    <row r="89" spans="1:7" x14ac:dyDescent="0.25">
      <c r="A89" s="8">
        <v>42768.442499999997</v>
      </c>
      <c r="B89" s="20" t="s">
        <v>279</v>
      </c>
      <c r="C89" s="20" t="s">
        <v>549</v>
      </c>
      <c r="D89" s="150">
        <v>890000</v>
      </c>
      <c r="E89" s="20" t="s">
        <v>336</v>
      </c>
      <c r="F89" s="20" t="s">
        <v>337</v>
      </c>
      <c r="G89" s="8" t="str">
        <f t="shared" si="1"/>
        <v>LOZA FIDEL</v>
      </c>
    </row>
    <row r="90" spans="1:7" x14ac:dyDescent="0.25">
      <c r="A90" s="8">
        <v>42768.44326388889</v>
      </c>
      <c r="B90" s="20" t="s">
        <v>320</v>
      </c>
      <c r="C90" s="20" t="s">
        <v>449</v>
      </c>
      <c r="D90" s="150">
        <v>1110000</v>
      </c>
      <c r="E90" s="20" t="s">
        <v>321</v>
      </c>
      <c r="F90" s="20" t="s">
        <v>322</v>
      </c>
      <c r="G90" s="8" t="str">
        <f t="shared" si="1"/>
        <v>STARKS ANGELINA</v>
      </c>
    </row>
    <row r="91" spans="1:7" x14ac:dyDescent="0.25">
      <c r="A91" s="8">
        <v>42768.449270833335</v>
      </c>
      <c r="B91" s="20" t="s">
        <v>224</v>
      </c>
      <c r="C91" s="20" t="s">
        <v>451</v>
      </c>
      <c r="D91" s="150">
        <v>1260000</v>
      </c>
      <c r="E91" s="20" t="s">
        <v>485</v>
      </c>
      <c r="F91" s="20" t="s">
        <v>486</v>
      </c>
      <c r="G91" s="8" t="str">
        <f t="shared" si="1"/>
        <v>ACKERMAN JARED</v>
      </c>
    </row>
    <row r="92" spans="1:7" x14ac:dyDescent="0.25">
      <c r="A92" s="8">
        <v>42768.452557870369</v>
      </c>
      <c r="B92" s="20" t="s">
        <v>233</v>
      </c>
      <c r="C92" s="20" t="s">
        <v>550</v>
      </c>
      <c r="D92" s="150">
        <v>1830000</v>
      </c>
      <c r="E92" s="20" t="s">
        <v>365</v>
      </c>
      <c r="F92" s="20" t="s">
        <v>366</v>
      </c>
      <c r="G92" s="8" t="str">
        <f t="shared" si="1"/>
        <v>YORK EDGAR</v>
      </c>
    </row>
    <row r="93" spans="1:7" x14ac:dyDescent="0.25">
      <c r="A93" s="8">
        <v>42768.453518518516</v>
      </c>
      <c r="B93" s="20" t="s">
        <v>551</v>
      </c>
      <c r="C93" s="20" t="s">
        <v>552</v>
      </c>
      <c r="D93" s="150">
        <v>2230000</v>
      </c>
      <c r="E93" s="20" t="s">
        <v>553</v>
      </c>
      <c r="F93" s="20" t="s">
        <v>207</v>
      </c>
      <c r="G93" s="8" t="str">
        <f t="shared" si="1"/>
        <v>SMITH MICHAEL</v>
      </c>
    </row>
    <row r="94" spans="1:7" x14ac:dyDescent="0.25">
      <c r="A94" s="8">
        <v>42768.455451388887</v>
      </c>
      <c r="B94" s="20" t="s">
        <v>335</v>
      </c>
      <c r="C94" s="20" t="s">
        <v>450</v>
      </c>
      <c r="D94" s="150">
        <v>930000</v>
      </c>
      <c r="E94" s="20" t="s">
        <v>325</v>
      </c>
      <c r="F94" s="20" t="s">
        <v>326</v>
      </c>
      <c r="G94" s="8" t="str">
        <f t="shared" si="1"/>
        <v>CLARK KATHLEEN</v>
      </c>
    </row>
    <row r="95" spans="1:7" x14ac:dyDescent="0.25">
      <c r="A95" s="8">
        <v>42768.465497685182</v>
      </c>
      <c r="B95" s="20" t="s">
        <v>192</v>
      </c>
      <c r="C95" s="20" t="s">
        <v>554</v>
      </c>
      <c r="D95" s="150">
        <v>2150000</v>
      </c>
      <c r="E95" s="20" t="s">
        <v>555</v>
      </c>
      <c r="F95" s="20" t="s">
        <v>556</v>
      </c>
      <c r="G95" s="8" t="str">
        <f t="shared" si="1"/>
        <v>SWANSON BRYCE</v>
      </c>
    </row>
    <row r="96" spans="1:7" x14ac:dyDescent="0.25">
      <c r="A96" s="8">
        <v>42768.467581018522</v>
      </c>
      <c r="B96" s="20" t="s">
        <v>231</v>
      </c>
      <c r="C96" s="20" t="s">
        <v>557</v>
      </c>
      <c r="D96" s="150">
        <v>2020000</v>
      </c>
      <c r="E96" s="20" t="s">
        <v>491</v>
      </c>
      <c r="F96" s="20" t="s">
        <v>492</v>
      </c>
      <c r="G96" s="8" t="str">
        <f t="shared" si="1"/>
        <v>SHOOK JOHN</v>
      </c>
    </row>
    <row r="97" spans="1:7" x14ac:dyDescent="0.25">
      <c r="A97" s="8">
        <v>42768.468252314815</v>
      </c>
      <c r="B97" s="20" t="s">
        <v>278</v>
      </c>
      <c r="C97" s="20" t="s">
        <v>558</v>
      </c>
      <c r="D97" s="150">
        <v>890000</v>
      </c>
      <c r="E97" s="20" t="s">
        <v>336</v>
      </c>
      <c r="F97" s="20" t="s">
        <v>337</v>
      </c>
      <c r="G97" s="8" t="str">
        <f t="shared" si="1"/>
        <v>LOZA FIDEL</v>
      </c>
    </row>
    <row r="98" spans="1:7" x14ac:dyDescent="0.25">
      <c r="A98" s="8">
        <v>42768.476851851854</v>
      </c>
      <c r="B98" s="20" t="s">
        <v>294</v>
      </c>
      <c r="C98" s="20" t="s">
        <v>559</v>
      </c>
      <c r="D98" s="150">
        <v>1770000</v>
      </c>
      <c r="E98" s="20" t="s">
        <v>371</v>
      </c>
      <c r="F98" s="20" t="s">
        <v>372</v>
      </c>
      <c r="G98" s="8" t="str">
        <f t="shared" si="1"/>
        <v>BRUDER RICHARD</v>
      </c>
    </row>
    <row r="99" spans="1:7" x14ac:dyDescent="0.25">
      <c r="A99" s="8">
        <v>42768.484074074076</v>
      </c>
      <c r="B99" s="20" t="s">
        <v>238</v>
      </c>
      <c r="C99" s="20" t="s">
        <v>560</v>
      </c>
      <c r="D99" s="150">
        <v>1110000</v>
      </c>
      <c r="E99" s="20" t="s">
        <v>321</v>
      </c>
      <c r="F99" s="20" t="s">
        <v>322</v>
      </c>
      <c r="G99" s="8" t="str">
        <f t="shared" si="1"/>
        <v>STARKS ANGELINA</v>
      </c>
    </row>
    <row r="100" spans="1:7" x14ac:dyDescent="0.25">
      <c r="A100" s="8">
        <v>42768.484456018516</v>
      </c>
      <c r="B100" s="20" t="s">
        <v>279</v>
      </c>
      <c r="C100" s="20" t="s">
        <v>561</v>
      </c>
      <c r="D100" s="150">
        <v>890000</v>
      </c>
      <c r="E100" s="20" t="s">
        <v>336</v>
      </c>
      <c r="F100" s="20" t="s">
        <v>337</v>
      </c>
      <c r="G100" s="8" t="str">
        <f t="shared" si="1"/>
        <v>LOZA FIDEL</v>
      </c>
    </row>
    <row r="101" spans="1:7" x14ac:dyDescent="0.25">
      <c r="A101" s="8">
        <v>42768.485138888886</v>
      </c>
      <c r="B101" s="20" t="s">
        <v>289</v>
      </c>
      <c r="C101" s="20" t="s">
        <v>562</v>
      </c>
      <c r="D101" s="150">
        <v>1100000</v>
      </c>
      <c r="E101" s="20" t="s">
        <v>363</v>
      </c>
      <c r="F101" s="20" t="s">
        <v>364</v>
      </c>
      <c r="G101" s="8" t="str">
        <f t="shared" si="1"/>
        <v>GEBRETEKLE DAGNEW</v>
      </c>
    </row>
    <row r="102" spans="1:7" x14ac:dyDescent="0.25">
      <c r="A102" s="8">
        <v>42768.48641203704</v>
      </c>
      <c r="B102" s="20" t="s">
        <v>248</v>
      </c>
      <c r="C102" s="20" t="s">
        <v>563</v>
      </c>
      <c r="D102" s="150">
        <v>2230000</v>
      </c>
      <c r="E102" s="20" t="s">
        <v>553</v>
      </c>
      <c r="F102" s="20" t="s">
        <v>207</v>
      </c>
      <c r="G102" s="8" t="str">
        <f t="shared" si="1"/>
        <v>SMITH MICHAEL</v>
      </c>
    </row>
    <row r="103" spans="1:7" x14ac:dyDescent="0.25">
      <c r="A103" s="8">
        <v>42768.493032407408</v>
      </c>
      <c r="B103" s="20" t="s">
        <v>334</v>
      </c>
      <c r="C103" s="20" t="s">
        <v>564</v>
      </c>
      <c r="D103" s="150">
        <v>930000</v>
      </c>
      <c r="E103" s="20" t="s">
        <v>325</v>
      </c>
      <c r="F103" s="20" t="s">
        <v>326</v>
      </c>
      <c r="G103" s="8" t="str">
        <f t="shared" si="1"/>
        <v>CLARK KATHLEEN</v>
      </c>
    </row>
    <row r="104" spans="1:7" x14ac:dyDescent="0.25">
      <c r="A104" s="8">
        <v>42768.495833333334</v>
      </c>
      <c r="B104" s="20" t="s">
        <v>234</v>
      </c>
      <c r="C104" s="20" t="s">
        <v>565</v>
      </c>
      <c r="D104" s="150">
        <v>2370000</v>
      </c>
      <c r="E104" s="20" t="s">
        <v>373</v>
      </c>
      <c r="F104" s="20" t="s">
        <v>374</v>
      </c>
      <c r="G104" s="8" t="str">
        <f t="shared" si="1"/>
        <v>DELGADO DIANAH</v>
      </c>
    </row>
    <row r="105" spans="1:7" x14ac:dyDescent="0.25">
      <c r="A105" s="8">
        <v>42768.497094907405</v>
      </c>
      <c r="B105" s="20" t="s">
        <v>195</v>
      </c>
      <c r="C105" s="20" t="s">
        <v>566</v>
      </c>
      <c r="D105" s="150">
        <v>2150000</v>
      </c>
      <c r="E105" s="20" t="s">
        <v>555</v>
      </c>
      <c r="F105" s="20" t="s">
        <v>556</v>
      </c>
      <c r="G105" s="8" t="str">
        <f t="shared" si="1"/>
        <v>SWANSON BRYCE</v>
      </c>
    </row>
    <row r="106" spans="1:7" x14ac:dyDescent="0.25">
      <c r="A106" s="8">
        <v>42768.50953703704</v>
      </c>
      <c r="B106" s="20" t="s">
        <v>197</v>
      </c>
      <c r="C106" s="20" t="s">
        <v>567</v>
      </c>
      <c r="D106" s="150">
        <v>1540000</v>
      </c>
      <c r="E106" s="20" t="s">
        <v>369</v>
      </c>
      <c r="F106" s="20" t="s">
        <v>370</v>
      </c>
      <c r="G106" s="8" t="str">
        <f t="shared" si="1"/>
        <v>HELVIE ADAM</v>
      </c>
    </row>
    <row r="107" spans="1:7" x14ac:dyDescent="0.25">
      <c r="A107" s="8">
        <v>42768.510972222219</v>
      </c>
      <c r="B107" s="20" t="s">
        <v>278</v>
      </c>
      <c r="C107" s="20" t="s">
        <v>568</v>
      </c>
      <c r="D107" s="150">
        <v>890000</v>
      </c>
      <c r="E107" s="20" t="s">
        <v>336</v>
      </c>
      <c r="F107" s="20" t="s">
        <v>337</v>
      </c>
      <c r="G107" s="8" t="str">
        <f t="shared" si="1"/>
        <v>LOZA FIDEL</v>
      </c>
    </row>
    <row r="108" spans="1:7" x14ac:dyDescent="0.25">
      <c r="A108" s="8">
        <v>42768.514467592591</v>
      </c>
      <c r="B108" s="20" t="s">
        <v>295</v>
      </c>
      <c r="C108" s="20" t="s">
        <v>569</v>
      </c>
      <c r="D108" s="150">
        <v>1770000</v>
      </c>
      <c r="E108" s="20" t="s">
        <v>371</v>
      </c>
      <c r="F108" s="20" t="s">
        <v>372</v>
      </c>
      <c r="G108" s="8" t="str">
        <f t="shared" si="1"/>
        <v>BRUDER RICHARD</v>
      </c>
    </row>
    <row r="109" spans="1:7" x14ac:dyDescent="0.25">
      <c r="A109" s="8">
        <v>42768.515833333331</v>
      </c>
      <c r="B109" s="20" t="s">
        <v>320</v>
      </c>
      <c r="C109" s="20" t="s">
        <v>570</v>
      </c>
      <c r="D109" s="150">
        <v>1190000</v>
      </c>
      <c r="E109" s="20" t="s">
        <v>338</v>
      </c>
      <c r="F109" s="20" t="s">
        <v>339</v>
      </c>
      <c r="G109" s="8" t="str">
        <f t="shared" si="1"/>
        <v>BRANNON JEFFREY</v>
      </c>
    </row>
    <row r="110" spans="1:7" x14ac:dyDescent="0.25">
      <c r="A110" s="8">
        <v>42768.517199074071</v>
      </c>
      <c r="B110" s="20" t="s">
        <v>224</v>
      </c>
      <c r="C110" s="20" t="s">
        <v>571</v>
      </c>
      <c r="D110" s="150">
        <v>2230000</v>
      </c>
      <c r="E110" s="20" t="s">
        <v>553</v>
      </c>
      <c r="F110" s="20" t="s">
        <v>207</v>
      </c>
      <c r="G110" s="8" t="str">
        <f t="shared" si="1"/>
        <v>SMITH MICHAEL</v>
      </c>
    </row>
    <row r="111" spans="1:7" x14ac:dyDescent="0.25">
      <c r="A111" s="8">
        <v>42768.525416666664</v>
      </c>
      <c r="B111" s="20" t="s">
        <v>279</v>
      </c>
      <c r="C111" s="20" t="s">
        <v>572</v>
      </c>
      <c r="D111" s="150">
        <v>890000</v>
      </c>
      <c r="E111" s="20" t="s">
        <v>336</v>
      </c>
      <c r="F111" s="20" t="s">
        <v>337</v>
      </c>
      <c r="G111" s="8" t="str">
        <f t="shared" si="1"/>
        <v>LOZA FIDEL</v>
      </c>
    </row>
    <row r="112" spans="1:7" x14ac:dyDescent="0.25">
      <c r="A112" s="8">
        <v>42768.527384259258</v>
      </c>
      <c r="B112" s="20" t="s">
        <v>335</v>
      </c>
      <c r="C112" s="20" t="s">
        <v>452</v>
      </c>
      <c r="D112" s="150">
        <v>930000</v>
      </c>
      <c r="E112" s="20" t="s">
        <v>325</v>
      </c>
      <c r="F112" s="20" t="s">
        <v>326</v>
      </c>
      <c r="G112" s="8" t="str">
        <f t="shared" si="1"/>
        <v>CLARK KATHLEEN</v>
      </c>
    </row>
    <row r="113" spans="1:7" x14ac:dyDescent="0.25">
      <c r="A113" s="8">
        <v>42768.531319444446</v>
      </c>
      <c r="B113" s="20" t="s">
        <v>233</v>
      </c>
      <c r="C113" s="20" t="s">
        <v>453</v>
      </c>
      <c r="D113" s="150">
        <v>2370000</v>
      </c>
      <c r="E113" s="20" t="s">
        <v>373</v>
      </c>
      <c r="F113" s="20" t="s">
        <v>374</v>
      </c>
      <c r="G113" s="8" t="str">
        <f t="shared" si="1"/>
        <v>DELGADO DIANAH</v>
      </c>
    </row>
    <row r="114" spans="1:7" x14ac:dyDescent="0.25">
      <c r="A114" s="8">
        <v>42768.537777777776</v>
      </c>
      <c r="B114" s="20" t="s">
        <v>192</v>
      </c>
      <c r="C114" s="20" t="s">
        <v>573</v>
      </c>
      <c r="D114" s="150">
        <v>2150000</v>
      </c>
      <c r="E114" s="20" t="s">
        <v>555</v>
      </c>
      <c r="F114" s="20" t="s">
        <v>556</v>
      </c>
      <c r="G114" s="8" t="str">
        <f t="shared" si="1"/>
        <v>SWANSON BRYCE</v>
      </c>
    </row>
    <row r="115" spans="1:7" x14ac:dyDescent="0.25">
      <c r="A115" s="8">
        <v>42768.544282407405</v>
      </c>
      <c r="B115" s="20" t="s">
        <v>278</v>
      </c>
      <c r="C115" s="20" t="s">
        <v>574</v>
      </c>
      <c r="D115" s="150">
        <v>1180000</v>
      </c>
      <c r="E115" s="20" t="s">
        <v>327</v>
      </c>
      <c r="F115" s="20" t="s">
        <v>328</v>
      </c>
      <c r="G115" s="8" t="str">
        <f t="shared" si="1"/>
        <v>LEVERE CRAIG</v>
      </c>
    </row>
    <row r="116" spans="1:7" x14ac:dyDescent="0.25">
      <c r="A116" s="8">
        <v>42768.546423611115</v>
      </c>
      <c r="B116" s="20" t="s">
        <v>231</v>
      </c>
      <c r="C116" s="20" t="s">
        <v>575</v>
      </c>
      <c r="D116" s="150">
        <v>1540000</v>
      </c>
      <c r="E116" s="20" t="s">
        <v>369</v>
      </c>
      <c r="F116" s="20" t="s">
        <v>370</v>
      </c>
      <c r="G116" s="8" t="str">
        <f t="shared" si="1"/>
        <v>HELVIE ADAM</v>
      </c>
    </row>
    <row r="117" spans="1:7" x14ac:dyDescent="0.25">
      <c r="A117" s="8">
        <v>42768.548379629632</v>
      </c>
      <c r="B117" s="20" t="s">
        <v>294</v>
      </c>
      <c r="C117" s="20" t="s">
        <v>576</v>
      </c>
      <c r="D117" s="150">
        <v>1770000</v>
      </c>
      <c r="E117" s="20" t="s">
        <v>371</v>
      </c>
      <c r="F117" s="20" t="s">
        <v>372</v>
      </c>
      <c r="G117" s="8" t="str">
        <f t="shared" si="1"/>
        <v>BRUDER RICHARD</v>
      </c>
    </row>
    <row r="118" spans="1:7" x14ac:dyDescent="0.25">
      <c r="A118" s="8">
        <v>42768.550104166665</v>
      </c>
      <c r="B118" s="20" t="s">
        <v>238</v>
      </c>
      <c r="C118" s="20" t="s">
        <v>577</v>
      </c>
      <c r="D118" s="150">
        <v>1190000</v>
      </c>
      <c r="E118" s="20" t="s">
        <v>338</v>
      </c>
      <c r="F118" s="20" t="s">
        <v>339</v>
      </c>
      <c r="G118" s="8" t="str">
        <f t="shared" si="1"/>
        <v>BRANNON JEFFREY</v>
      </c>
    </row>
    <row r="119" spans="1:7" x14ac:dyDescent="0.25">
      <c r="A119" s="8">
        <v>42768.559317129628</v>
      </c>
      <c r="B119" s="20" t="s">
        <v>248</v>
      </c>
      <c r="C119" s="20" t="s">
        <v>578</v>
      </c>
      <c r="D119" s="150">
        <v>2230000</v>
      </c>
      <c r="E119" s="20" t="s">
        <v>553</v>
      </c>
      <c r="F119" s="20" t="s">
        <v>207</v>
      </c>
      <c r="G119" s="8" t="str">
        <f t="shared" si="1"/>
        <v>SMITH MICHAEL</v>
      </c>
    </row>
    <row r="120" spans="1:7" x14ac:dyDescent="0.25">
      <c r="A120" s="8">
        <v>42768.566493055558</v>
      </c>
      <c r="B120" s="20" t="s">
        <v>334</v>
      </c>
      <c r="C120" s="20" t="s">
        <v>579</v>
      </c>
      <c r="D120" s="150">
        <v>930000</v>
      </c>
      <c r="E120" s="20" t="s">
        <v>325</v>
      </c>
      <c r="F120" s="20" t="s">
        <v>326</v>
      </c>
      <c r="G120" s="8" t="str">
        <f t="shared" si="1"/>
        <v>CLARK KATHLEEN</v>
      </c>
    </row>
    <row r="121" spans="1:7" x14ac:dyDescent="0.25">
      <c r="A121" s="8">
        <v>42768.567962962959</v>
      </c>
      <c r="B121" s="20" t="s">
        <v>279</v>
      </c>
      <c r="C121" s="20" t="s">
        <v>580</v>
      </c>
      <c r="D121" s="150">
        <v>1180000</v>
      </c>
      <c r="E121" s="20" t="s">
        <v>327</v>
      </c>
      <c r="F121" s="20" t="s">
        <v>328</v>
      </c>
      <c r="G121" s="8" t="str">
        <f t="shared" si="1"/>
        <v>LEVERE CRAIG</v>
      </c>
    </row>
    <row r="122" spans="1:7" x14ac:dyDescent="0.25">
      <c r="A122" s="8">
        <v>42768.568784722222</v>
      </c>
      <c r="B122" s="25" t="s">
        <v>234</v>
      </c>
      <c r="C122" s="20" t="s">
        <v>581</v>
      </c>
      <c r="D122" s="150">
        <v>2370000</v>
      </c>
      <c r="E122" s="20" t="s">
        <v>373</v>
      </c>
      <c r="F122" s="20" t="s">
        <v>374</v>
      </c>
      <c r="G122" s="8" t="str">
        <f t="shared" si="1"/>
        <v>DELGADO DIANAH</v>
      </c>
    </row>
    <row r="123" spans="1:7" x14ac:dyDescent="0.25">
      <c r="A123" s="8">
        <v>42768.57130787037</v>
      </c>
      <c r="B123" s="20" t="s">
        <v>195</v>
      </c>
      <c r="C123" s="20" t="s">
        <v>582</v>
      </c>
      <c r="D123" s="150">
        <v>2150000</v>
      </c>
      <c r="E123" s="20" t="s">
        <v>555</v>
      </c>
      <c r="F123" s="20" t="s">
        <v>556</v>
      </c>
      <c r="G123" s="8" t="str">
        <f t="shared" si="1"/>
        <v>SWANSON BRYCE</v>
      </c>
    </row>
    <row r="124" spans="1:7" x14ac:dyDescent="0.25">
      <c r="A124" s="8">
        <v>42768.579131944447</v>
      </c>
      <c r="B124" s="20" t="s">
        <v>197</v>
      </c>
      <c r="C124" s="20" t="s">
        <v>583</v>
      </c>
      <c r="D124" s="150">
        <v>1540000</v>
      </c>
      <c r="E124" s="20" t="s">
        <v>369</v>
      </c>
      <c r="F124" s="20" t="s">
        <v>370</v>
      </c>
      <c r="G124" s="8" t="str">
        <f t="shared" si="1"/>
        <v>HELVIE ADAM</v>
      </c>
    </row>
    <row r="125" spans="1:7" x14ac:dyDescent="0.25">
      <c r="A125" s="8">
        <v>42768.586018518516</v>
      </c>
      <c r="B125" s="20" t="s">
        <v>295</v>
      </c>
      <c r="C125" s="20" t="s">
        <v>584</v>
      </c>
      <c r="D125" s="150">
        <v>1770000</v>
      </c>
      <c r="E125" s="20" t="s">
        <v>371</v>
      </c>
      <c r="F125" s="20" t="s">
        <v>372</v>
      </c>
      <c r="G125" s="8" t="str">
        <f t="shared" si="1"/>
        <v>BRUDER RICHARD</v>
      </c>
    </row>
    <row r="126" spans="1:7" x14ac:dyDescent="0.25">
      <c r="A126" s="8">
        <v>42768.589062500003</v>
      </c>
      <c r="B126" s="20" t="s">
        <v>320</v>
      </c>
      <c r="C126" s="20" t="s">
        <v>585</v>
      </c>
      <c r="D126" s="150">
        <v>1190000</v>
      </c>
      <c r="E126" s="20" t="s">
        <v>338</v>
      </c>
      <c r="F126" s="20" t="s">
        <v>339</v>
      </c>
      <c r="G126" s="8" t="str">
        <f t="shared" si="1"/>
        <v>BRANNON JEFFREY</v>
      </c>
    </row>
    <row r="127" spans="1:7" x14ac:dyDescent="0.25">
      <c r="A127" s="8">
        <v>42768.593229166669</v>
      </c>
      <c r="B127" s="20" t="s">
        <v>224</v>
      </c>
      <c r="C127" s="20" t="s">
        <v>586</v>
      </c>
      <c r="D127" s="150">
        <v>2230000</v>
      </c>
      <c r="E127" s="20" t="s">
        <v>553</v>
      </c>
      <c r="F127" s="20" t="s">
        <v>207</v>
      </c>
      <c r="G127" s="8" t="str">
        <f t="shared" si="1"/>
        <v>SMITH MICHAEL</v>
      </c>
    </row>
    <row r="128" spans="1:7" x14ac:dyDescent="0.25">
      <c r="A128" s="8">
        <v>42768.593298611115</v>
      </c>
      <c r="B128" s="20" t="s">
        <v>278</v>
      </c>
      <c r="C128" s="20" t="s">
        <v>587</v>
      </c>
      <c r="D128" s="150">
        <v>1180000</v>
      </c>
      <c r="E128" s="20" t="s">
        <v>327</v>
      </c>
      <c r="F128" s="20" t="s">
        <v>328</v>
      </c>
      <c r="G128" s="8" t="str">
        <f t="shared" si="1"/>
        <v>LEVERE CRAIG</v>
      </c>
    </row>
    <row r="129" spans="1:7" x14ac:dyDescent="0.25">
      <c r="A129" s="8">
        <v>42768.600162037037</v>
      </c>
      <c r="B129" s="20" t="s">
        <v>335</v>
      </c>
      <c r="C129" s="20" t="s">
        <v>588</v>
      </c>
      <c r="D129" s="150">
        <v>930000</v>
      </c>
      <c r="E129" s="20" t="s">
        <v>325</v>
      </c>
      <c r="F129" s="20" t="s">
        <v>326</v>
      </c>
      <c r="G129" s="8" t="str">
        <f t="shared" si="1"/>
        <v>CLARK KATHLEEN</v>
      </c>
    </row>
    <row r="130" spans="1:7" x14ac:dyDescent="0.25">
      <c r="A130" s="8">
        <v>42768.602824074071</v>
      </c>
      <c r="B130" s="20" t="s">
        <v>233</v>
      </c>
      <c r="C130" s="20" t="s">
        <v>589</v>
      </c>
      <c r="D130" s="150">
        <v>2370000</v>
      </c>
      <c r="E130" s="20" t="s">
        <v>373</v>
      </c>
      <c r="F130" s="20" t="s">
        <v>374</v>
      </c>
      <c r="G130" s="8" t="str">
        <f t="shared" si="1"/>
        <v>DELGADO DIANAH</v>
      </c>
    </row>
    <row r="131" spans="1:7" x14ac:dyDescent="0.25">
      <c r="A131" s="8">
        <v>42768.609236111108</v>
      </c>
      <c r="B131" s="20" t="s">
        <v>279</v>
      </c>
      <c r="C131" s="20" t="s">
        <v>590</v>
      </c>
      <c r="D131" s="150">
        <v>1180000</v>
      </c>
      <c r="E131" s="20" t="s">
        <v>327</v>
      </c>
      <c r="F131" s="20" t="s">
        <v>328</v>
      </c>
      <c r="G131" s="8" t="str">
        <f t="shared" ref="G131:G194" si="2">E131&amp;" "&amp;F131</f>
        <v>LEVERE CRAIG</v>
      </c>
    </row>
    <row r="132" spans="1:7" x14ac:dyDescent="0.25">
      <c r="A132" s="8">
        <v>42768.610011574077</v>
      </c>
      <c r="B132" s="20" t="s">
        <v>192</v>
      </c>
      <c r="C132" s="20" t="s">
        <v>591</v>
      </c>
      <c r="D132" s="150">
        <v>2150000</v>
      </c>
      <c r="E132" s="20" t="s">
        <v>555</v>
      </c>
      <c r="F132" s="20" t="s">
        <v>556</v>
      </c>
      <c r="G132" s="8" t="str">
        <f t="shared" si="2"/>
        <v>SWANSON BRYCE</v>
      </c>
    </row>
    <row r="133" spans="1:7" x14ac:dyDescent="0.25">
      <c r="A133" s="8">
        <v>42768.617199074077</v>
      </c>
      <c r="B133" s="20" t="s">
        <v>231</v>
      </c>
      <c r="C133" s="20" t="s">
        <v>592</v>
      </c>
      <c r="D133" s="150">
        <v>1540000</v>
      </c>
      <c r="E133" s="20" t="s">
        <v>369</v>
      </c>
      <c r="F133" s="20" t="s">
        <v>370</v>
      </c>
      <c r="G133" s="8" t="str">
        <f t="shared" si="2"/>
        <v>HELVIE ADAM</v>
      </c>
    </row>
    <row r="134" spans="1:7" x14ac:dyDescent="0.25">
      <c r="A134" s="8">
        <v>42768.620810185188</v>
      </c>
      <c r="B134" s="20" t="s">
        <v>294</v>
      </c>
      <c r="C134" s="20" t="s">
        <v>593</v>
      </c>
      <c r="D134" s="150">
        <v>1770000</v>
      </c>
      <c r="E134" s="20" t="s">
        <v>371</v>
      </c>
      <c r="F134" s="20" t="s">
        <v>372</v>
      </c>
      <c r="G134" s="8" t="str">
        <f t="shared" si="2"/>
        <v>BRUDER RICHARD</v>
      </c>
    </row>
    <row r="135" spans="1:7" x14ac:dyDescent="0.25">
      <c r="A135" s="8">
        <v>42768.623240740744</v>
      </c>
      <c r="B135" s="20" t="s">
        <v>238</v>
      </c>
      <c r="C135" s="20" t="s">
        <v>594</v>
      </c>
      <c r="D135" s="150">
        <v>1190000</v>
      </c>
      <c r="E135" s="20" t="s">
        <v>338</v>
      </c>
      <c r="F135" s="20" t="s">
        <v>339</v>
      </c>
      <c r="G135" s="8" t="str">
        <f t="shared" si="2"/>
        <v>BRANNON JEFFREY</v>
      </c>
    </row>
    <row r="136" spans="1:7" x14ac:dyDescent="0.25">
      <c r="A136" s="8">
        <v>42768.631053240744</v>
      </c>
      <c r="B136" s="20" t="s">
        <v>248</v>
      </c>
      <c r="C136" s="20" t="s">
        <v>595</v>
      </c>
      <c r="D136" s="150">
        <v>2230000</v>
      </c>
      <c r="E136" s="20" t="s">
        <v>553</v>
      </c>
      <c r="F136" s="20" t="s">
        <v>207</v>
      </c>
      <c r="G136" s="8" t="str">
        <f t="shared" si="2"/>
        <v>SMITH MICHAEL</v>
      </c>
    </row>
    <row r="137" spans="1:7" x14ac:dyDescent="0.25">
      <c r="A137" s="8">
        <v>42768.631747685184</v>
      </c>
      <c r="B137" s="20" t="s">
        <v>278</v>
      </c>
      <c r="C137" s="20" t="s">
        <v>596</v>
      </c>
      <c r="D137" s="150">
        <v>1180000</v>
      </c>
      <c r="E137" s="20" t="s">
        <v>327</v>
      </c>
      <c r="F137" s="20" t="s">
        <v>328</v>
      </c>
      <c r="G137" s="8" t="str">
        <f t="shared" si="2"/>
        <v>LEVERE CRAIG</v>
      </c>
    </row>
    <row r="138" spans="1:7" x14ac:dyDescent="0.25">
      <c r="A138" s="8">
        <v>42768.637824074074</v>
      </c>
      <c r="B138" s="20" t="s">
        <v>334</v>
      </c>
      <c r="C138" s="20" t="s">
        <v>597</v>
      </c>
      <c r="D138" s="150">
        <v>930000</v>
      </c>
      <c r="E138" s="20" t="s">
        <v>325</v>
      </c>
      <c r="F138" s="20" t="s">
        <v>326</v>
      </c>
      <c r="G138" s="8" t="str">
        <f t="shared" si="2"/>
        <v>CLARK KATHLEEN</v>
      </c>
    </row>
    <row r="139" spans="1:7" x14ac:dyDescent="0.25">
      <c r="A139" s="8">
        <v>42768.641157407408</v>
      </c>
      <c r="B139" s="20" t="s">
        <v>234</v>
      </c>
      <c r="C139" s="20" t="s">
        <v>456</v>
      </c>
      <c r="D139" s="150">
        <v>2370000</v>
      </c>
      <c r="E139" s="20" t="s">
        <v>373</v>
      </c>
      <c r="F139" s="20" t="s">
        <v>374</v>
      </c>
      <c r="G139" s="8" t="str">
        <f t="shared" si="2"/>
        <v>DELGADO DIANAH</v>
      </c>
    </row>
    <row r="140" spans="1:7" x14ac:dyDescent="0.25">
      <c r="A140" s="8">
        <v>42768.644629629627</v>
      </c>
      <c r="B140" s="20" t="s">
        <v>195</v>
      </c>
      <c r="C140" s="20" t="s">
        <v>598</v>
      </c>
      <c r="D140" s="150">
        <v>2150000</v>
      </c>
      <c r="E140" s="20" t="s">
        <v>555</v>
      </c>
      <c r="F140" s="20" t="s">
        <v>556</v>
      </c>
      <c r="G140" s="8" t="str">
        <f t="shared" si="2"/>
        <v>SWANSON BRYCE</v>
      </c>
    </row>
    <row r="141" spans="1:7" x14ac:dyDescent="0.25">
      <c r="A141" s="8">
        <v>42768.648020833331</v>
      </c>
      <c r="B141" s="20" t="s">
        <v>454</v>
      </c>
      <c r="C141" s="20" t="s">
        <v>455</v>
      </c>
      <c r="D141" s="150">
        <v>1740000</v>
      </c>
      <c r="E141" s="20" t="s">
        <v>242</v>
      </c>
      <c r="F141" s="20" t="s">
        <v>243</v>
      </c>
      <c r="G141" s="8" t="str">
        <f t="shared" si="2"/>
        <v>STORY SAMANTHA</v>
      </c>
    </row>
    <row r="142" spans="1:7" x14ac:dyDescent="0.25">
      <c r="A142" s="8">
        <v>42768.648969907408</v>
      </c>
      <c r="B142" s="20" t="s">
        <v>454</v>
      </c>
      <c r="C142" s="20" t="s">
        <v>455</v>
      </c>
      <c r="D142" s="150">
        <v>1740000</v>
      </c>
      <c r="E142" s="20" t="s">
        <v>242</v>
      </c>
      <c r="F142" s="20" t="s">
        <v>243</v>
      </c>
      <c r="G142" s="8" t="str">
        <f t="shared" si="2"/>
        <v>STORY SAMANTHA</v>
      </c>
    </row>
    <row r="143" spans="1:7" x14ac:dyDescent="0.25">
      <c r="A143" s="8">
        <v>42768.650740740741</v>
      </c>
      <c r="B143" s="20" t="s">
        <v>279</v>
      </c>
      <c r="C143" s="20" t="s">
        <v>599</v>
      </c>
      <c r="D143" s="150">
        <v>1180000</v>
      </c>
      <c r="E143" s="20" t="s">
        <v>327</v>
      </c>
      <c r="F143" s="20" t="s">
        <v>328</v>
      </c>
      <c r="G143" s="8" t="str">
        <f t="shared" si="2"/>
        <v>LEVERE CRAIG</v>
      </c>
    </row>
    <row r="144" spans="1:7" x14ac:dyDescent="0.25">
      <c r="A144" s="8">
        <v>42768.654583333337</v>
      </c>
      <c r="B144" s="20" t="s">
        <v>197</v>
      </c>
      <c r="C144" s="20" t="s">
        <v>600</v>
      </c>
      <c r="D144" s="150">
        <v>1540000</v>
      </c>
      <c r="E144" s="20" t="s">
        <v>369</v>
      </c>
      <c r="F144" s="20" t="s">
        <v>370</v>
      </c>
      <c r="G144" s="8" t="str">
        <f t="shared" si="2"/>
        <v>HELVIE ADAM</v>
      </c>
    </row>
    <row r="145" spans="1:7" x14ac:dyDescent="0.25">
      <c r="A145" s="8">
        <v>42768.656666666669</v>
      </c>
      <c r="B145" s="20" t="s">
        <v>497</v>
      </c>
      <c r="C145" s="20" t="s">
        <v>601</v>
      </c>
      <c r="D145" s="150">
        <v>1740000</v>
      </c>
      <c r="E145" s="20" t="s">
        <v>242</v>
      </c>
      <c r="F145" s="20" t="s">
        <v>243</v>
      </c>
      <c r="G145" s="8" t="str">
        <f t="shared" si="2"/>
        <v>STORY SAMANTHA</v>
      </c>
    </row>
    <row r="146" spans="1:7" x14ac:dyDescent="0.25">
      <c r="A146" s="8">
        <v>42768.661226851851</v>
      </c>
      <c r="B146" s="20" t="s">
        <v>320</v>
      </c>
      <c r="C146" s="20" t="s">
        <v>602</v>
      </c>
      <c r="D146" s="150">
        <v>1190000</v>
      </c>
      <c r="E146" s="20" t="s">
        <v>338</v>
      </c>
      <c r="F146" s="20" t="s">
        <v>339</v>
      </c>
      <c r="G146" s="8" t="str">
        <f t="shared" si="2"/>
        <v>BRANNON JEFFREY</v>
      </c>
    </row>
    <row r="147" spans="1:7" x14ac:dyDescent="0.25">
      <c r="A147" s="8">
        <v>42768.661226851851</v>
      </c>
      <c r="B147" s="20" t="s">
        <v>295</v>
      </c>
      <c r="C147" s="20" t="s">
        <v>603</v>
      </c>
      <c r="D147" s="150">
        <v>1770000</v>
      </c>
      <c r="E147" s="20" t="s">
        <v>371</v>
      </c>
      <c r="F147" s="20" t="s">
        <v>372</v>
      </c>
      <c r="G147" s="8" t="str">
        <f t="shared" si="2"/>
        <v>BRUDER RICHARD</v>
      </c>
    </row>
    <row r="148" spans="1:7" x14ac:dyDescent="0.25">
      <c r="A148" s="8">
        <v>42768.66265046296</v>
      </c>
      <c r="B148" s="20" t="s">
        <v>224</v>
      </c>
      <c r="C148" s="20" t="s">
        <v>604</v>
      </c>
      <c r="D148" s="150">
        <v>2230000</v>
      </c>
      <c r="E148" s="20" t="s">
        <v>553</v>
      </c>
      <c r="F148" s="20" t="s">
        <v>207</v>
      </c>
      <c r="G148" s="8" t="str">
        <f t="shared" si="2"/>
        <v>SMITH MICHAEL</v>
      </c>
    </row>
    <row r="149" spans="1:7" x14ac:dyDescent="0.25">
      <c r="A149" s="8">
        <v>42768.671469907407</v>
      </c>
      <c r="B149" s="20" t="s">
        <v>454</v>
      </c>
      <c r="C149" s="20" t="s">
        <v>605</v>
      </c>
      <c r="D149" s="150">
        <v>1740000</v>
      </c>
      <c r="E149" s="20" t="s">
        <v>242</v>
      </c>
      <c r="F149" s="20" t="s">
        <v>243</v>
      </c>
      <c r="G149" s="8" t="str">
        <f t="shared" si="2"/>
        <v>STORY SAMANTHA</v>
      </c>
    </row>
    <row r="150" spans="1:7" x14ac:dyDescent="0.25">
      <c r="A150" s="8">
        <v>42768.672395833331</v>
      </c>
      <c r="B150" s="20" t="s">
        <v>335</v>
      </c>
      <c r="C150" s="20" t="s">
        <v>606</v>
      </c>
      <c r="D150" s="150">
        <v>930000</v>
      </c>
      <c r="E150" s="20" t="s">
        <v>325</v>
      </c>
      <c r="F150" s="20" t="s">
        <v>326</v>
      </c>
      <c r="G150" s="8" t="str">
        <f t="shared" si="2"/>
        <v>CLARK KATHLEEN</v>
      </c>
    </row>
    <row r="151" spans="1:7" x14ac:dyDescent="0.25">
      <c r="A151" s="8">
        <v>42768.674513888887</v>
      </c>
      <c r="B151" s="20" t="s">
        <v>278</v>
      </c>
      <c r="C151" s="20" t="s">
        <v>607</v>
      </c>
      <c r="D151" s="150">
        <v>1180000</v>
      </c>
      <c r="E151" s="20" t="s">
        <v>327</v>
      </c>
      <c r="F151" s="20" t="s">
        <v>328</v>
      </c>
      <c r="G151" s="8" t="str">
        <f t="shared" si="2"/>
        <v>LEVERE CRAIG</v>
      </c>
    </row>
    <row r="152" spans="1:7" x14ac:dyDescent="0.25">
      <c r="A152" s="8">
        <v>42768.676759259259</v>
      </c>
      <c r="B152" s="20" t="s">
        <v>233</v>
      </c>
      <c r="C152" s="20" t="s">
        <v>608</v>
      </c>
      <c r="D152" s="150">
        <v>2370000</v>
      </c>
      <c r="E152" s="20" t="s">
        <v>373</v>
      </c>
      <c r="F152" s="20" t="s">
        <v>374</v>
      </c>
      <c r="G152" s="8" t="str">
        <f t="shared" si="2"/>
        <v>DELGADO DIANAH</v>
      </c>
    </row>
    <row r="153" spans="1:7" x14ac:dyDescent="0.25">
      <c r="A153" s="8">
        <v>42768.684004629627</v>
      </c>
      <c r="B153" s="20" t="s">
        <v>192</v>
      </c>
      <c r="C153" s="20" t="s">
        <v>609</v>
      </c>
      <c r="D153" s="150">
        <v>2150000</v>
      </c>
      <c r="E153" s="20" t="s">
        <v>555</v>
      </c>
      <c r="F153" s="20" t="s">
        <v>556</v>
      </c>
      <c r="G153" s="8" t="str">
        <f t="shared" si="2"/>
        <v>SWANSON BRYCE</v>
      </c>
    </row>
    <row r="154" spans="1:7" x14ac:dyDescent="0.25">
      <c r="A154" s="8">
        <v>42768.688645833332</v>
      </c>
      <c r="B154" s="20" t="s">
        <v>231</v>
      </c>
      <c r="C154" s="20" t="s">
        <v>610</v>
      </c>
      <c r="D154" s="150">
        <v>1540000</v>
      </c>
      <c r="E154" s="20" t="s">
        <v>369</v>
      </c>
      <c r="F154" s="20" t="s">
        <v>370</v>
      </c>
      <c r="G154" s="8" t="str">
        <f t="shared" si="2"/>
        <v>HELVIE ADAM</v>
      </c>
    </row>
    <row r="155" spans="1:7" x14ac:dyDescent="0.25">
      <c r="A155" s="8">
        <v>42768.692916666667</v>
      </c>
      <c r="B155" s="20" t="s">
        <v>279</v>
      </c>
      <c r="C155" s="20" t="s">
        <v>611</v>
      </c>
      <c r="D155" s="150">
        <v>1180000</v>
      </c>
      <c r="E155" s="20" t="s">
        <v>327</v>
      </c>
      <c r="F155" s="20" t="s">
        <v>328</v>
      </c>
      <c r="G155" s="8" t="str">
        <f t="shared" si="2"/>
        <v>LEVERE CRAIG</v>
      </c>
    </row>
    <row r="156" spans="1:7" x14ac:dyDescent="0.25">
      <c r="A156" s="8">
        <v>42768.692997685182</v>
      </c>
      <c r="B156" s="20" t="s">
        <v>497</v>
      </c>
      <c r="C156" s="20" t="s">
        <v>612</v>
      </c>
      <c r="D156" s="150">
        <v>1740000</v>
      </c>
      <c r="E156" s="20" t="s">
        <v>242</v>
      </c>
      <c r="F156" s="20" t="s">
        <v>243</v>
      </c>
      <c r="G156" s="8" t="str">
        <f t="shared" si="2"/>
        <v>STORY SAMANTHA</v>
      </c>
    </row>
    <row r="157" spans="1:7" x14ac:dyDescent="0.25">
      <c r="A157" s="8">
        <v>42768.69326388889</v>
      </c>
      <c r="B157" s="20" t="s">
        <v>238</v>
      </c>
      <c r="C157" s="20" t="s">
        <v>613</v>
      </c>
      <c r="D157" s="150">
        <v>1190000</v>
      </c>
      <c r="E157" s="20" t="s">
        <v>338</v>
      </c>
      <c r="F157" s="20" t="s">
        <v>339</v>
      </c>
      <c r="G157" s="8" t="str">
        <f t="shared" si="2"/>
        <v>BRANNON JEFFREY</v>
      </c>
    </row>
    <row r="158" spans="1:7" x14ac:dyDescent="0.25">
      <c r="A158" s="8">
        <v>42768.694224537037</v>
      </c>
      <c r="B158" s="20" t="s">
        <v>294</v>
      </c>
      <c r="C158" s="20" t="s">
        <v>614</v>
      </c>
      <c r="D158" s="150">
        <v>1770000</v>
      </c>
      <c r="E158" s="20" t="s">
        <v>371</v>
      </c>
      <c r="F158" s="20" t="s">
        <v>372</v>
      </c>
      <c r="G158" s="8" t="str">
        <f t="shared" si="2"/>
        <v>BRUDER RICHARD</v>
      </c>
    </row>
    <row r="159" spans="1:7" x14ac:dyDescent="0.25">
      <c r="A159" s="8">
        <v>42768.703923611109</v>
      </c>
      <c r="B159" s="20" t="s">
        <v>248</v>
      </c>
      <c r="C159" s="20" t="s">
        <v>615</v>
      </c>
      <c r="D159" s="150">
        <v>2230000</v>
      </c>
      <c r="E159" s="20" t="s">
        <v>553</v>
      </c>
      <c r="F159" s="20" t="s">
        <v>207</v>
      </c>
      <c r="G159" s="8" t="str">
        <f t="shared" si="2"/>
        <v>SMITH MICHAEL</v>
      </c>
    </row>
    <row r="160" spans="1:7" x14ac:dyDescent="0.25">
      <c r="A160" s="8">
        <v>42768.711157407408</v>
      </c>
      <c r="B160" s="20" t="s">
        <v>334</v>
      </c>
      <c r="C160" s="20" t="s">
        <v>616</v>
      </c>
      <c r="D160" s="150">
        <v>930000</v>
      </c>
      <c r="E160" s="20" t="s">
        <v>325</v>
      </c>
      <c r="F160" s="20" t="s">
        <v>326</v>
      </c>
      <c r="G160" s="8" t="str">
        <f t="shared" si="2"/>
        <v>CLARK KATHLEEN</v>
      </c>
    </row>
    <row r="161" spans="1:7" x14ac:dyDescent="0.25">
      <c r="A161" s="8">
        <v>42768.713518518518</v>
      </c>
      <c r="B161" s="20" t="s">
        <v>454</v>
      </c>
      <c r="C161" s="20" t="s">
        <v>457</v>
      </c>
      <c r="D161" s="150">
        <v>1740000</v>
      </c>
      <c r="E161" s="20" t="s">
        <v>242</v>
      </c>
      <c r="F161" s="20" t="s">
        <v>243</v>
      </c>
      <c r="G161" s="8" t="str">
        <f t="shared" si="2"/>
        <v>STORY SAMANTHA</v>
      </c>
    </row>
    <row r="162" spans="1:7" x14ac:dyDescent="0.25">
      <c r="A162" s="8">
        <v>42768.715636574074</v>
      </c>
      <c r="B162" s="20" t="s">
        <v>195</v>
      </c>
      <c r="C162" s="20" t="s">
        <v>617</v>
      </c>
      <c r="D162" s="150">
        <v>2150000</v>
      </c>
      <c r="E162" s="20" t="s">
        <v>555</v>
      </c>
      <c r="F162" s="20" t="s">
        <v>556</v>
      </c>
      <c r="G162" s="8" t="str">
        <f t="shared" si="2"/>
        <v>SWANSON BRYCE</v>
      </c>
    </row>
    <row r="163" spans="1:7" x14ac:dyDescent="0.25">
      <c r="A163" s="8">
        <v>42768.717395833337</v>
      </c>
      <c r="B163" s="20" t="s">
        <v>278</v>
      </c>
      <c r="C163" s="20" t="s">
        <v>618</v>
      </c>
      <c r="D163" s="150">
        <v>1180000</v>
      </c>
      <c r="E163" s="20" t="s">
        <v>327</v>
      </c>
      <c r="F163" s="20" t="s">
        <v>328</v>
      </c>
      <c r="G163" s="8" t="str">
        <f t="shared" si="2"/>
        <v>LEVERE CRAIG</v>
      </c>
    </row>
    <row r="164" spans="1:7" x14ac:dyDescent="0.25">
      <c r="A164" s="8">
        <v>42768.717581018522</v>
      </c>
      <c r="B164" s="20" t="s">
        <v>234</v>
      </c>
      <c r="C164" s="20" t="s">
        <v>619</v>
      </c>
      <c r="D164" s="150">
        <v>1800000</v>
      </c>
      <c r="E164" s="20" t="s">
        <v>280</v>
      </c>
      <c r="F164" s="20" t="s">
        <v>281</v>
      </c>
      <c r="G164" s="8" t="str">
        <f t="shared" si="2"/>
        <v>CHANDLER KELVIN</v>
      </c>
    </row>
    <row r="165" spans="1:7" x14ac:dyDescent="0.25">
      <c r="A165" s="8">
        <v>42768.720231481479</v>
      </c>
      <c r="B165" s="20" t="s">
        <v>620</v>
      </c>
      <c r="C165" s="20" t="s">
        <v>621</v>
      </c>
      <c r="D165" s="150">
        <v>2040000</v>
      </c>
      <c r="E165" s="20" t="s">
        <v>622</v>
      </c>
      <c r="F165" s="20" t="s">
        <v>623</v>
      </c>
      <c r="G165" s="8" t="str">
        <f t="shared" si="2"/>
        <v>MOSES BRADLEY</v>
      </c>
    </row>
    <row r="166" spans="1:7" x14ac:dyDescent="0.25">
      <c r="A166" s="8">
        <v>42768.725995370369</v>
      </c>
      <c r="B166" s="20" t="s">
        <v>197</v>
      </c>
      <c r="C166" s="20" t="s">
        <v>624</v>
      </c>
      <c r="D166" s="150">
        <v>2480000</v>
      </c>
      <c r="E166" s="20" t="s">
        <v>375</v>
      </c>
      <c r="F166" s="20" t="s">
        <v>228</v>
      </c>
      <c r="G166" s="8" t="str">
        <f t="shared" si="2"/>
        <v>WHITED DUSTIN</v>
      </c>
    </row>
    <row r="167" spans="1:7" x14ac:dyDescent="0.25">
      <c r="A167" s="8">
        <v>42768.731041666666</v>
      </c>
      <c r="B167" s="20" t="s">
        <v>295</v>
      </c>
      <c r="C167" s="20" t="s">
        <v>625</v>
      </c>
      <c r="D167" s="150">
        <v>1770000</v>
      </c>
      <c r="E167" s="20" t="s">
        <v>371</v>
      </c>
      <c r="F167" s="20" t="s">
        <v>372</v>
      </c>
      <c r="G167" s="8" t="str">
        <f t="shared" si="2"/>
        <v>BRUDER RICHARD</v>
      </c>
    </row>
    <row r="168" spans="1:7" x14ac:dyDescent="0.25">
      <c r="A168" s="8">
        <v>42768.732187499998</v>
      </c>
      <c r="B168" s="20" t="s">
        <v>497</v>
      </c>
      <c r="C168" s="20" t="s">
        <v>626</v>
      </c>
      <c r="D168" s="150">
        <v>1740000</v>
      </c>
      <c r="E168" s="20" t="s">
        <v>242</v>
      </c>
      <c r="F168" s="20" t="s">
        <v>243</v>
      </c>
      <c r="G168" s="8" t="str">
        <f t="shared" si="2"/>
        <v>STORY SAMANTHA</v>
      </c>
    </row>
    <row r="169" spans="1:7" x14ac:dyDescent="0.25">
      <c r="A169" s="8">
        <v>42768.734571759262</v>
      </c>
      <c r="B169" s="20" t="s">
        <v>320</v>
      </c>
      <c r="C169" s="20" t="s">
        <v>627</v>
      </c>
      <c r="D169" s="150">
        <v>1810000</v>
      </c>
      <c r="E169" s="20" t="s">
        <v>210</v>
      </c>
      <c r="F169" s="20" t="s">
        <v>203</v>
      </c>
      <c r="G169" s="8" t="str">
        <f t="shared" si="2"/>
        <v>NEWELL JAMES</v>
      </c>
    </row>
    <row r="170" spans="1:7" x14ac:dyDescent="0.25">
      <c r="A170" s="8">
        <v>42768.735752314817</v>
      </c>
      <c r="B170" s="20" t="s">
        <v>279</v>
      </c>
      <c r="C170" s="20" t="s">
        <v>628</v>
      </c>
      <c r="D170" s="150">
        <v>1180000</v>
      </c>
      <c r="E170" s="20" t="s">
        <v>327</v>
      </c>
      <c r="F170" s="20" t="s">
        <v>328</v>
      </c>
      <c r="G170" s="8" t="str">
        <f t="shared" si="2"/>
        <v>LEVERE CRAIG</v>
      </c>
    </row>
    <row r="171" spans="1:7" x14ac:dyDescent="0.25">
      <c r="A171" s="8">
        <v>42768.739004629628</v>
      </c>
      <c r="B171" s="20" t="s">
        <v>224</v>
      </c>
      <c r="C171" s="20" t="s">
        <v>629</v>
      </c>
      <c r="D171" s="150">
        <v>2230000</v>
      </c>
      <c r="E171" s="20" t="s">
        <v>553</v>
      </c>
      <c r="F171" s="20" t="s">
        <v>207</v>
      </c>
      <c r="G171" s="8" t="str">
        <f t="shared" si="2"/>
        <v>SMITH MICHAEL</v>
      </c>
    </row>
    <row r="172" spans="1:7" x14ac:dyDescent="0.25">
      <c r="A172" s="8">
        <v>42768.739641203705</v>
      </c>
      <c r="B172" s="20" t="s">
        <v>551</v>
      </c>
      <c r="C172" s="20" t="s">
        <v>630</v>
      </c>
      <c r="D172" s="150">
        <v>2560000</v>
      </c>
      <c r="E172" s="20" t="s">
        <v>631</v>
      </c>
      <c r="F172" s="20" t="s">
        <v>632</v>
      </c>
      <c r="G172" s="8" t="str">
        <f t="shared" si="2"/>
        <v>MACDONALD THOMAS</v>
      </c>
    </row>
    <row r="173" spans="1:7" x14ac:dyDescent="0.25">
      <c r="A173" s="8">
        <v>42768.746655092589</v>
      </c>
      <c r="B173" s="20" t="s">
        <v>335</v>
      </c>
      <c r="C173" s="20" t="s">
        <v>633</v>
      </c>
      <c r="D173" s="150">
        <v>1190000</v>
      </c>
      <c r="E173" s="20" t="s">
        <v>338</v>
      </c>
      <c r="F173" s="20" t="s">
        <v>339</v>
      </c>
      <c r="G173" s="8" t="str">
        <f t="shared" si="2"/>
        <v>BRANNON JEFFREY</v>
      </c>
    </row>
    <row r="174" spans="1:7" x14ac:dyDescent="0.25">
      <c r="A174" s="8">
        <v>42768.755659722221</v>
      </c>
      <c r="B174" s="20" t="s">
        <v>454</v>
      </c>
      <c r="C174" s="20" t="s">
        <v>626</v>
      </c>
      <c r="D174" s="150">
        <v>1740000</v>
      </c>
      <c r="E174" s="20" t="s">
        <v>242</v>
      </c>
      <c r="F174" s="20" t="s">
        <v>243</v>
      </c>
      <c r="G174" s="8" t="str">
        <f t="shared" si="2"/>
        <v>STORY SAMANTHA</v>
      </c>
    </row>
    <row r="175" spans="1:7" x14ac:dyDescent="0.25">
      <c r="A175" s="8">
        <v>42768.756203703706</v>
      </c>
      <c r="B175" s="20" t="s">
        <v>454</v>
      </c>
      <c r="C175" s="20" t="s">
        <v>458</v>
      </c>
      <c r="D175" s="150">
        <v>1740000</v>
      </c>
      <c r="E175" s="20" t="s">
        <v>242</v>
      </c>
      <c r="F175" s="20" t="s">
        <v>243</v>
      </c>
      <c r="G175" s="8" t="str">
        <f t="shared" si="2"/>
        <v>STORY SAMANTHA</v>
      </c>
    </row>
    <row r="176" spans="1:7" x14ac:dyDescent="0.25">
      <c r="A176" s="8">
        <v>42768.756562499999</v>
      </c>
      <c r="B176" s="20" t="s">
        <v>233</v>
      </c>
      <c r="C176" s="20" t="s">
        <v>634</v>
      </c>
      <c r="D176" s="150">
        <v>1800000</v>
      </c>
      <c r="E176" s="20" t="s">
        <v>280</v>
      </c>
      <c r="F176" s="20" t="s">
        <v>281</v>
      </c>
      <c r="G176" s="8" t="str">
        <f t="shared" si="2"/>
        <v>CHANDLER KELVIN</v>
      </c>
    </row>
    <row r="177" spans="1:7" x14ac:dyDescent="0.25">
      <c r="A177" s="8">
        <v>42768.757268518515</v>
      </c>
      <c r="B177" s="20" t="s">
        <v>231</v>
      </c>
      <c r="C177" s="20" t="s">
        <v>635</v>
      </c>
      <c r="D177" s="150">
        <v>2480000</v>
      </c>
      <c r="E177" s="20" t="s">
        <v>375</v>
      </c>
      <c r="F177" s="20" t="s">
        <v>228</v>
      </c>
      <c r="G177" s="8" t="str">
        <f t="shared" si="2"/>
        <v>WHITED DUSTIN</v>
      </c>
    </row>
    <row r="178" spans="1:7" x14ac:dyDescent="0.25">
      <c r="A178" s="8">
        <v>42768.757939814815</v>
      </c>
      <c r="B178" s="20" t="s">
        <v>192</v>
      </c>
      <c r="C178" s="20" t="s">
        <v>636</v>
      </c>
      <c r="D178" s="150">
        <v>2560000</v>
      </c>
      <c r="E178" s="20" t="s">
        <v>631</v>
      </c>
      <c r="F178" s="20" t="s">
        <v>632</v>
      </c>
      <c r="G178" s="8" t="str">
        <f t="shared" si="2"/>
        <v>MACDONALD THOMAS</v>
      </c>
    </row>
    <row r="179" spans="1:7" x14ac:dyDescent="0.25">
      <c r="A179" s="8">
        <v>42768.760057870371</v>
      </c>
      <c r="B179" s="20" t="s">
        <v>230</v>
      </c>
      <c r="C179" s="20" t="s">
        <v>637</v>
      </c>
      <c r="D179" s="150">
        <v>2730000</v>
      </c>
      <c r="E179" s="20" t="s">
        <v>638</v>
      </c>
      <c r="F179" s="20" t="s">
        <v>639</v>
      </c>
      <c r="G179" s="8" t="str">
        <f t="shared" si="2"/>
        <v>YANG JAN</v>
      </c>
    </row>
    <row r="180" spans="1:7" x14ac:dyDescent="0.25">
      <c r="A180" s="8">
        <v>42768.760208333333</v>
      </c>
      <c r="B180" s="20" t="s">
        <v>289</v>
      </c>
      <c r="C180" s="20" t="s">
        <v>640</v>
      </c>
      <c r="D180" s="150">
        <v>2150000</v>
      </c>
      <c r="E180" s="20" t="s">
        <v>555</v>
      </c>
      <c r="F180" s="20" t="s">
        <v>556</v>
      </c>
      <c r="G180" s="8" t="str">
        <f t="shared" si="2"/>
        <v>SWANSON BRYCE</v>
      </c>
    </row>
    <row r="181" spans="1:7" x14ac:dyDescent="0.25">
      <c r="A181" s="8">
        <v>42768.760868055557</v>
      </c>
      <c r="B181" s="20" t="s">
        <v>278</v>
      </c>
      <c r="C181" s="20" t="s">
        <v>641</v>
      </c>
      <c r="D181" s="150">
        <v>1180000</v>
      </c>
      <c r="E181" s="20" t="s">
        <v>327</v>
      </c>
      <c r="F181" s="20" t="s">
        <v>328</v>
      </c>
      <c r="G181" s="8" t="str">
        <f t="shared" si="2"/>
        <v>LEVERE CRAIG</v>
      </c>
    </row>
    <row r="182" spans="1:7" x14ac:dyDescent="0.25">
      <c r="A182" s="8">
        <v>42768.768206018518</v>
      </c>
      <c r="B182" s="20" t="s">
        <v>294</v>
      </c>
      <c r="C182" s="20" t="s">
        <v>459</v>
      </c>
      <c r="D182" s="150">
        <v>2220000</v>
      </c>
      <c r="E182" s="20" t="s">
        <v>227</v>
      </c>
      <c r="F182" s="20" t="s">
        <v>228</v>
      </c>
      <c r="G182" s="8" t="str">
        <f t="shared" si="2"/>
        <v>HILLS DUSTIN</v>
      </c>
    </row>
    <row r="183" spans="1:7" x14ac:dyDescent="0.25">
      <c r="A183" s="8">
        <v>42768.77239583333</v>
      </c>
      <c r="B183" s="20" t="s">
        <v>238</v>
      </c>
      <c r="C183" s="20" t="s">
        <v>642</v>
      </c>
      <c r="D183" s="150">
        <v>1810000</v>
      </c>
      <c r="E183" s="20" t="s">
        <v>210</v>
      </c>
      <c r="F183" s="20" t="s">
        <v>203</v>
      </c>
      <c r="G183" s="8" t="str">
        <f t="shared" si="2"/>
        <v>NEWELL JAMES</v>
      </c>
    </row>
    <row r="184" spans="1:7" x14ac:dyDescent="0.25">
      <c r="A184" s="8">
        <v>42768.776284722226</v>
      </c>
      <c r="B184" s="20" t="s">
        <v>279</v>
      </c>
      <c r="C184" s="20" t="s">
        <v>643</v>
      </c>
      <c r="D184" s="150">
        <v>1180000</v>
      </c>
      <c r="E184" s="20" t="s">
        <v>327</v>
      </c>
      <c r="F184" s="20" t="s">
        <v>328</v>
      </c>
      <c r="G184" s="8" t="str">
        <f t="shared" si="2"/>
        <v>LEVERE CRAIG</v>
      </c>
    </row>
    <row r="185" spans="1:7" x14ac:dyDescent="0.25">
      <c r="A185" s="8">
        <v>42768.778831018521</v>
      </c>
      <c r="B185" s="20" t="s">
        <v>248</v>
      </c>
      <c r="C185" s="20" t="s">
        <v>644</v>
      </c>
      <c r="D185" s="150">
        <v>2230000</v>
      </c>
      <c r="E185" s="20" t="s">
        <v>553</v>
      </c>
      <c r="F185" s="20" t="s">
        <v>207</v>
      </c>
      <c r="G185" s="8" t="str">
        <f t="shared" si="2"/>
        <v>SMITH MICHAEL</v>
      </c>
    </row>
    <row r="186" spans="1:7" x14ac:dyDescent="0.25">
      <c r="A186" s="8">
        <v>42768.782025462962</v>
      </c>
      <c r="B186" s="20" t="s">
        <v>497</v>
      </c>
      <c r="C186" s="20" t="s">
        <v>645</v>
      </c>
      <c r="D186" s="150">
        <v>1740000</v>
      </c>
      <c r="E186" s="20" t="s">
        <v>242</v>
      </c>
      <c r="F186" s="20" t="s">
        <v>243</v>
      </c>
      <c r="G186" s="8" t="str">
        <f t="shared" si="2"/>
        <v>STORY SAMANTHA</v>
      </c>
    </row>
    <row r="187" spans="1:7" x14ac:dyDescent="0.25">
      <c r="A187" s="8">
        <v>42768.78466435185</v>
      </c>
      <c r="B187" s="20" t="s">
        <v>334</v>
      </c>
      <c r="C187" s="20" t="s">
        <v>646</v>
      </c>
      <c r="D187" s="150">
        <v>1190000</v>
      </c>
      <c r="E187" s="20" t="s">
        <v>338</v>
      </c>
      <c r="F187" s="20" t="s">
        <v>339</v>
      </c>
      <c r="G187" s="8" t="str">
        <f t="shared" si="2"/>
        <v>BRANNON JEFFREY</v>
      </c>
    </row>
    <row r="188" spans="1:7" x14ac:dyDescent="0.25">
      <c r="A188" s="8">
        <v>42768.788587962961</v>
      </c>
      <c r="B188" s="20" t="s">
        <v>234</v>
      </c>
      <c r="C188" s="20" t="s">
        <v>647</v>
      </c>
      <c r="D188" s="150">
        <v>1800000</v>
      </c>
      <c r="E188" s="20" t="s">
        <v>280</v>
      </c>
      <c r="F188" s="20" t="s">
        <v>281</v>
      </c>
      <c r="G188" s="8" t="str">
        <f t="shared" si="2"/>
        <v>CHANDLER KELVIN</v>
      </c>
    </row>
    <row r="189" spans="1:7" x14ac:dyDescent="0.25">
      <c r="A189" s="8">
        <v>42768.796446759261</v>
      </c>
      <c r="B189" s="20" t="s">
        <v>454</v>
      </c>
      <c r="C189" s="20" t="s">
        <v>648</v>
      </c>
      <c r="D189" s="150">
        <v>1740000</v>
      </c>
      <c r="E189" s="20" t="s">
        <v>242</v>
      </c>
      <c r="F189" s="20" t="s">
        <v>243</v>
      </c>
      <c r="G189" s="8" t="str">
        <f t="shared" si="2"/>
        <v>STORY SAMANTHA</v>
      </c>
    </row>
    <row r="190" spans="1:7" x14ac:dyDescent="0.25">
      <c r="A190" s="8">
        <v>42768.796585648146</v>
      </c>
      <c r="B190" s="20" t="s">
        <v>195</v>
      </c>
      <c r="C190" s="20" t="s">
        <v>649</v>
      </c>
      <c r="D190" s="150">
        <v>2560000</v>
      </c>
      <c r="E190" s="20" t="s">
        <v>631</v>
      </c>
      <c r="F190" s="20" t="s">
        <v>632</v>
      </c>
      <c r="G190" s="8" t="str">
        <f t="shared" si="2"/>
        <v>MACDONALD THOMAS</v>
      </c>
    </row>
    <row r="191" spans="1:7" x14ac:dyDescent="0.25">
      <c r="A191" s="8">
        <v>42768.798113425924</v>
      </c>
      <c r="B191" s="20" t="s">
        <v>197</v>
      </c>
      <c r="C191" s="20" t="s">
        <v>650</v>
      </c>
      <c r="D191" s="150">
        <v>2370000</v>
      </c>
      <c r="E191" s="20" t="s">
        <v>373</v>
      </c>
      <c r="F191" s="20" t="s">
        <v>374</v>
      </c>
      <c r="G191" s="8" t="str">
        <f t="shared" si="2"/>
        <v>DELGADO DIANAH</v>
      </c>
    </row>
    <row r="192" spans="1:7" x14ac:dyDescent="0.25">
      <c r="A192" s="8">
        <v>42768.800567129627</v>
      </c>
      <c r="B192" s="20" t="s">
        <v>278</v>
      </c>
      <c r="C192" s="20" t="s">
        <v>461</v>
      </c>
      <c r="D192" s="150">
        <v>1180000</v>
      </c>
      <c r="E192" s="20" t="s">
        <v>327</v>
      </c>
      <c r="F192" s="20" t="s">
        <v>328</v>
      </c>
      <c r="G192" s="8" t="str">
        <f t="shared" si="2"/>
        <v>LEVERE CRAIG</v>
      </c>
    </row>
    <row r="193" spans="1:7" x14ac:dyDescent="0.25">
      <c r="A193" s="8">
        <v>42768.803078703706</v>
      </c>
      <c r="B193" s="20" t="s">
        <v>295</v>
      </c>
      <c r="C193" s="20" t="s">
        <v>460</v>
      </c>
      <c r="D193" s="150">
        <v>2220000</v>
      </c>
      <c r="E193" s="20" t="s">
        <v>227</v>
      </c>
      <c r="F193" s="20" t="s">
        <v>228</v>
      </c>
      <c r="G193" s="8" t="str">
        <f t="shared" si="2"/>
        <v>HILLS DUSTIN</v>
      </c>
    </row>
    <row r="194" spans="1:7" x14ac:dyDescent="0.25">
      <c r="A194" s="8">
        <v>42768.807210648149</v>
      </c>
      <c r="B194" s="20" t="s">
        <v>320</v>
      </c>
      <c r="C194" s="20" t="s">
        <v>651</v>
      </c>
      <c r="D194" s="150">
        <v>1810000</v>
      </c>
      <c r="E194" s="20" t="s">
        <v>210</v>
      </c>
      <c r="F194" s="20" t="s">
        <v>203</v>
      </c>
      <c r="G194" s="8" t="str">
        <f t="shared" si="2"/>
        <v>NEWELL JAMES</v>
      </c>
    </row>
    <row r="195" spans="1:7" x14ac:dyDescent="0.25">
      <c r="A195" s="8">
        <v>42768.818472222221</v>
      </c>
      <c r="B195" s="20" t="s">
        <v>279</v>
      </c>
      <c r="C195" s="20" t="s">
        <v>652</v>
      </c>
      <c r="D195" s="150">
        <v>1180000</v>
      </c>
      <c r="E195" s="20" t="s">
        <v>327</v>
      </c>
      <c r="F195" s="20" t="s">
        <v>328</v>
      </c>
      <c r="G195" s="8" t="str">
        <f t="shared" ref="G195:G258" si="3">E195&amp;" "&amp;F195</f>
        <v>LEVERE CRAIG</v>
      </c>
    </row>
    <row r="196" spans="1:7" x14ac:dyDescent="0.25">
      <c r="A196" s="8">
        <v>42768.827673611115</v>
      </c>
      <c r="B196" s="20" t="s">
        <v>335</v>
      </c>
      <c r="C196" s="20" t="s">
        <v>653</v>
      </c>
      <c r="D196" s="150">
        <v>1190000</v>
      </c>
      <c r="E196" s="20" t="s">
        <v>338</v>
      </c>
      <c r="F196" s="20" t="s">
        <v>339</v>
      </c>
      <c r="G196" s="8" t="str">
        <f t="shared" si="3"/>
        <v>BRANNON JEFFREY</v>
      </c>
    </row>
    <row r="197" spans="1:7" x14ac:dyDescent="0.25">
      <c r="A197" s="8">
        <v>42768.828356481485</v>
      </c>
      <c r="B197" s="20" t="s">
        <v>233</v>
      </c>
      <c r="C197" s="20" t="s">
        <v>654</v>
      </c>
      <c r="D197" s="150">
        <v>1800000</v>
      </c>
      <c r="E197" s="20" t="s">
        <v>280</v>
      </c>
      <c r="F197" s="20" t="s">
        <v>281</v>
      </c>
      <c r="G197" s="8" t="str">
        <f t="shared" si="3"/>
        <v>CHANDLER KELVIN</v>
      </c>
    </row>
    <row r="198" spans="1:7" x14ac:dyDescent="0.25">
      <c r="A198" s="8">
        <v>42768.828680555554</v>
      </c>
      <c r="B198" s="20" t="s">
        <v>192</v>
      </c>
      <c r="C198" s="20" t="s">
        <v>462</v>
      </c>
      <c r="D198" s="150">
        <v>2560000</v>
      </c>
      <c r="E198" s="20" t="s">
        <v>631</v>
      </c>
      <c r="F198" s="20" t="s">
        <v>632</v>
      </c>
      <c r="G198" s="8" t="str">
        <f t="shared" si="3"/>
        <v>MACDONALD THOMAS</v>
      </c>
    </row>
    <row r="199" spans="1:7" x14ac:dyDescent="0.25">
      <c r="A199" s="8">
        <v>42768.83871527778</v>
      </c>
      <c r="B199" s="20" t="s">
        <v>278</v>
      </c>
      <c r="C199" s="20" t="s">
        <v>655</v>
      </c>
      <c r="D199" s="150">
        <v>1180000</v>
      </c>
      <c r="E199" s="20" t="s">
        <v>327</v>
      </c>
      <c r="F199" s="20" t="s">
        <v>328</v>
      </c>
      <c r="G199" s="8" t="str">
        <f t="shared" si="3"/>
        <v>LEVERE CRAIG</v>
      </c>
    </row>
    <row r="200" spans="1:7" x14ac:dyDescent="0.25">
      <c r="A200" s="8">
        <v>42768.843136574076</v>
      </c>
      <c r="B200" s="20" t="s">
        <v>294</v>
      </c>
      <c r="C200" s="20" t="s">
        <v>463</v>
      </c>
      <c r="D200" s="150">
        <v>2220000</v>
      </c>
      <c r="E200" s="20" t="s">
        <v>227</v>
      </c>
      <c r="F200" s="20" t="s">
        <v>228</v>
      </c>
      <c r="G200" s="8" t="str">
        <f t="shared" si="3"/>
        <v>HILLS DUSTIN</v>
      </c>
    </row>
    <row r="201" spans="1:7" x14ac:dyDescent="0.25">
      <c r="A201" s="8">
        <v>42768.850115740737</v>
      </c>
      <c r="B201" s="20" t="s">
        <v>238</v>
      </c>
      <c r="C201" s="20" t="s">
        <v>656</v>
      </c>
      <c r="D201" s="150">
        <v>2540000</v>
      </c>
      <c r="E201" s="20" t="s">
        <v>235</v>
      </c>
      <c r="F201" s="20" t="s">
        <v>236</v>
      </c>
      <c r="G201" s="8" t="str">
        <f t="shared" si="3"/>
        <v>MCREYNOLDS KYLE</v>
      </c>
    </row>
    <row r="202" spans="1:7" x14ac:dyDescent="0.25">
      <c r="A202" s="26">
        <v>42768.859988425924</v>
      </c>
      <c r="B202" s="20" t="s">
        <v>279</v>
      </c>
      <c r="C202" s="20" t="s">
        <v>657</v>
      </c>
      <c r="D202" s="150">
        <v>1180000</v>
      </c>
      <c r="E202" s="20" t="s">
        <v>327</v>
      </c>
      <c r="F202" s="20" t="s">
        <v>328</v>
      </c>
      <c r="G202" s="8" t="str">
        <f t="shared" si="3"/>
        <v>LEVERE CRAIG</v>
      </c>
    </row>
    <row r="203" spans="1:7" x14ac:dyDescent="0.25">
      <c r="A203" s="8">
        <v>42768.863136574073</v>
      </c>
      <c r="B203" s="20" t="s">
        <v>376</v>
      </c>
      <c r="C203" s="20" t="s">
        <v>464</v>
      </c>
      <c r="D203" s="150">
        <v>2710000</v>
      </c>
      <c r="E203" s="20" t="s">
        <v>658</v>
      </c>
      <c r="F203" s="20" t="s">
        <v>659</v>
      </c>
      <c r="G203" s="8" t="str">
        <f t="shared" si="3"/>
        <v>SIMMONS SHYHESHA</v>
      </c>
    </row>
    <row r="204" spans="1:7" x14ac:dyDescent="0.25">
      <c r="A204" s="8">
        <v>42768.869745370372</v>
      </c>
      <c r="B204" s="20" t="s">
        <v>195</v>
      </c>
      <c r="C204" s="20" t="s">
        <v>660</v>
      </c>
      <c r="D204" s="150">
        <v>2560000</v>
      </c>
      <c r="E204" s="20" t="s">
        <v>631</v>
      </c>
      <c r="F204" s="20" t="s">
        <v>632</v>
      </c>
      <c r="G204" s="8" t="str">
        <f t="shared" si="3"/>
        <v>MACDONALD THOMAS</v>
      </c>
    </row>
    <row r="205" spans="1:7" x14ac:dyDescent="0.25">
      <c r="A205" s="8">
        <v>42768.870057870372</v>
      </c>
      <c r="B205" s="20" t="s">
        <v>234</v>
      </c>
      <c r="C205" s="20" t="s">
        <v>661</v>
      </c>
      <c r="D205" s="150">
        <v>1240000</v>
      </c>
      <c r="E205" s="20" t="s">
        <v>662</v>
      </c>
      <c r="F205" s="20" t="s">
        <v>663</v>
      </c>
      <c r="G205" s="8" t="str">
        <f t="shared" si="3"/>
        <v>GRASTON MATHEU</v>
      </c>
    </row>
    <row r="206" spans="1:7" x14ac:dyDescent="0.25">
      <c r="A206" s="8">
        <v>42768.87840277778</v>
      </c>
      <c r="B206" s="20" t="s">
        <v>278</v>
      </c>
      <c r="C206" s="20" t="s">
        <v>664</v>
      </c>
      <c r="D206" s="150">
        <v>1740000</v>
      </c>
      <c r="E206" s="20" t="s">
        <v>242</v>
      </c>
      <c r="F206" s="20" t="s">
        <v>243</v>
      </c>
      <c r="G206" s="8" t="str">
        <f t="shared" si="3"/>
        <v>STORY SAMANTHA</v>
      </c>
    </row>
    <row r="207" spans="1:7" x14ac:dyDescent="0.25">
      <c r="A207" s="8">
        <v>42768.881064814814</v>
      </c>
      <c r="B207" s="20" t="s">
        <v>320</v>
      </c>
      <c r="C207" s="20" t="s">
        <v>665</v>
      </c>
      <c r="D207" s="150">
        <v>1810000</v>
      </c>
      <c r="E207" s="20" t="s">
        <v>210</v>
      </c>
      <c r="F207" s="20" t="s">
        <v>203</v>
      </c>
      <c r="G207" s="8" t="str">
        <f t="shared" si="3"/>
        <v>NEWELL JAMES</v>
      </c>
    </row>
    <row r="208" spans="1:7" x14ac:dyDescent="0.25">
      <c r="A208" s="8">
        <v>42768.88140046296</v>
      </c>
      <c r="B208" s="20" t="s">
        <v>295</v>
      </c>
      <c r="C208" s="20" t="s">
        <v>466</v>
      </c>
      <c r="D208" s="150">
        <v>2220000</v>
      </c>
      <c r="E208" s="20" t="s">
        <v>227</v>
      </c>
      <c r="F208" s="20" t="s">
        <v>228</v>
      </c>
      <c r="G208" s="8" t="str">
        <f t="shared" si="3"/>
        <v>HILLS DUSTIN</v>
      </c>
    </row>
    <row r="209" spans="1:7" x14ac:dyDescent="0.25">
      <c r="A209" s="8">
        <v>42768.886388888888</v>
      </c>
      <c r="B209" s="20" t="s">
        <v>376</v>
      </c>
      <c r="C209" s="20" t="s">
        <v>464</v>
      </c>
      <c r="D209" s="150">
        <v>2710000</v>
      </c>
      <c r="E209" s="20" t="s">
        <v>658</v>
      </c>
      <c r="F209" s="20" t="s">
        <v>659</v>
      </c>
      <c r="G209" s="8" t="str">
        <f t="shared" si="3"/>
        <v>SIMMONS SHYHESHA</v>
      </c>
    </row>
    <row r="210" spans="1:7" x14ac:dyDescent="0.25">
      <c r="A210" s="8">
        <v>42768.898726851854</v>
      </c>
      <c r="B210" s="20" t="s">
        <v>362</v>
      </c>
      <c r="C210" s="20" t="s">
        <v>666</v>
      </c>
      <c r="D210" s="150">
        <v>2710000</v>
      </c>
      <c r="E210" s="20" t="s">
        <v>658</v>
      </c>
      <c r="F210" s="20" t="s">
        <v>659</v>
      </c>
      <c r="G210" s="8" t="str">
        <f t="shared" si="3"/>
        <v>SIMMONS SHYHESHA</v>
      </c>
    </row>
    <row r="211" spans="1:7" x14ac:dyDescent="0.25">
      <c r="A211" s="8">
        <v>42768.899583333332</v>
      </c>
      <c r="B211" s="20" t="s">
        <v>362</v>
      </c>
      <c r="C211" s="20" t="s">
        <v>464</v>
      </c>
      <c r="D211" s="150">
        <v>2710000</v>
      </c>
      <c r="E211" s="20" t="s">
        <v>658</v>
      </c>
      <c r="F211" s="20" t="s">
        <v>659</v>
      </c>
      <c r="G211" s="8" t="str">
        <f t="shared" si="3"/>
        <v>SIMMONS SHYHESHA</v>
      </c>
    </row>
    <row r="212" spans="1:7" x14ac:dyDescent="0.25">
      <c r="A212" s="8">
        <v>42768.901620370372</v>
      </c>
      <c r="B212" s="20" t="s">
        <v>192</v>
      </c>
      <c r="C212" s="20" t="s">
        <v>667</v>
      </c>
      <c r="D212" s="150">
        <v>2560000</v>
      </c>
      <c r="E212" s="20" t="s">
        <v>631</v>
      </c>
      <c r="F212" s="20" t="s">
        <v>632</v>
      </c>
      <c r="G212" s="8" t="str">
        <f t="shared" si="3"/>
        <v>MACDONALD THOMAS</v>
      </c>
    </row>
    <row r="213" spans="1:7" x14ac:dyDescent="0.25">
      <c r="A213" s="8">
        <v>42768.901747685188</v>
      </c>
      <c r="B213" s="20" t="s">
        <v>362</v>
      </c>
      <c r="C213" s="20" t="s">
        <v>666</v>
      </c>
      <c r="D213" s="150">
        <v>2710000</v>
      </c>
      <c r="E213" s="20" t="s">
        <v>658</v>
      </c>
      <c r="F213" s="20" t="s">
        <v>659</v>
      </c>
      <c r="G213" s="8" t="str">
        <f t="shared" si="3"/>
        <v>SIMMONS SHYHESHA</v>
      </c>
    </row>
    <row r="214" spans="1:7" x14ac:dyDescent="0.25">
      <c r="A214" s="8">
        <v>42768.902094907404</v>
      </c>
      <c r="B214" s="20" t="s">
        <v>279</v>
      </c>
      <c r="C214" s="20" t="s">
        <v>465</v>
      </c>
      <c r="D214" s="150">
        <v>1740000</v>
      </c>
      <c r="E214" s="20" t="s">
        <v>242</v>
      </c>
      <c r="F214" s="20" t="s">
        <v>243</v>
      </c>
      <c r="G214" s="8" t="str">
        <f t="shared" si="3"/>
        <v>STORY SAMANTHA</v>
      </c>
    </row>
    <row r="215" spans="1:7" x14ac:dyDescent="0.25">
      <c r="A215" s="8">
        <v>42768.902731481481</v>
      </c>
      <c r="B215" s="20" t="s">
        <v>233</v>
      </c>
      <c r="C215" s="20" t="s">
        <v>668</v>
      </c>
      <c r="D215" s="150">
        <v>1240000</v>
      </c>
      <c r="E215" s="20" t="s">
        <v>662</v>
      </c>
      <c r="F215" s="20" t="s">
        <v>663</v>
      </c>
      <c r="G215" s="8" t="str">
        <f t="shared" si="3"/>
        <v>GRASTON MATHEU</v>
      </c>
    </row>
    <row r="216" spans="1:7" x14ac:dyDescent="0.25">
      <c r="A216" s="8">
        <v>42768.902743055558</v>
      </c>
      <c r="B216" s="20" t="s">
        <v>362</v>
      </c>
      <c r="C216" s="20" t="s">
        <v>666</v>
      </c>
      <c r="D216" s="150">
        <v>2710000</v>
      </c>
      <c r="E216" s="20" t="s">
        <v>658</v>
      </c>
      <c r="F216" s="20" t="s">
        <v>659</v>
      </c>
      <c r="G216" s="8" t="str">
        <f t="shared" si="3"/>
        <v>SIMMONS SHYHESHA</v>
      </c>
    </row>
    <row r="217" spans="1:7" x14ac:dyDescent="0.25">
      <c r="A217" s="8">
        <v>42768.919317129628</v>
      </c>
      <c r="B217" s="20" t="s">
        <v>278</v>
      </c>
      <c r="C217" s="20" t="s">
        <v>669</v>
      </c>
      <c r="D217" s="150">
        <v>1740000</v>
      </c>
      <c r="E217" s="20" t="s">
        <v>242</v>
      </c>
      <c r="F217" s="20" t="s">
        <v>243</v>
      </c>
      <c r="G217" s="8" t="str">
        <f t="shared" si="3"/>
        <v>STORY SAMANTHA</v>
      </c>
    </row>
    <row r="218" spans="1:7" x14ac:dyDescent="0.25">
      <c r="A218" s="8">
        <v>42768.920775462961</v>
      </c>
      <c r="B218" s="20" t="s">
        <v>294</v>
      </c>
      <c r="C218" s="20" t="s">
        <v>670</v>
      </c>
      <c r="D218" s="150">
        <v>2220000</v>
      </c>
      <c r="E218" s="20" t="s">
        <v>227</v>
      </c>
      <c r="F218" s="20" t="s">
        <v>228</v>
      </c>
      <c r="G218" s="8" t="str">
        <f t="shared" si="3"/>
        <v>HILLS DUSTIN</v>
      </c>
    </row>
    <row r="219" spans="1:7" x14ac:dyDescent="0.25">
      <c r="A219" s="8">
        <v>42768.932974537034</v>
      </c>
      <c r="B219" s="20" t="s">
        <v>238</v>
      </c>
      <c r="C219" s="20" t="s">
        <v>671</v>
      </c>
      <c r="D219" s="150">
        <v>1810000</v>
      </c>
      <c r="E219" s="20" t="s">
        <v>210</v>
      </c>
      <c r="F219" s="20" t="s">
        <v>203</v>
      </c>
      <c r="G219" s="8" t="str">
        <f t="shared" si="3"/>
        <v>NEWELL JAMES</v>
      </c>
    </row>
    <row r="220" spans="1:7" x14ac:dyDescent="0.25">
      <c r="A220" s="8">
        <v>42768.942557870374</v>
      </c>
      <c r="B220" s="20" t="s">
        <v>376</v>
      </c>
      <c r="C220" s="20" t="s">
        <v>468</v>
      </c>
      <c r="D220" s="150">
        <v>2710000</v>
      </c>
      <c r="E220" s="20" t="s">
        <v>658</v>
      </c>
      <c r="F220" s="20" t="s">
        <v>659</v>
      </c>
      <c r="G220" s="8" t="str">
        <f t="shared" si="3"/>
        <v>SIMMONS SHYHESHA</v>
      </c>
    </row>
    <row r="221" spans="1:7" x14ac:dyDescent="0.25">
      <c r="A221" s="8">
        <v>42768.946122685185</v>
      </c>
      <c r="B221" s="20" t="s">
        <v>279</v>
      </c>
      <c r="C221" s="20" t="s">
        <v>672</v>
      </c>
      <c r="D221" s="150">
        <v>1740000</v>
      </c>
      <c r="E221" s="20" t="s">
        <v>242</v>
      </c>
      <c r="F221" s="20" t="s">
        <v>243</v>
      </c>
      <c r="G221" s="8" t="str">
        <f t="shared" si="3"/>
        <v>STORY SAMANTHA</v>
      </c>
    </row>
    <row r="222" spans="1:7" x14ac:dyDescent="0.25">
      <c r="A222" s="8">
        <v>42768.952951388892</v>
      </c>
      <c r="B222" s="20" t="s">
        <v>195</v>
      </c>
      <c r="C222" s="20" t="s">
        <v>673</v>
      </c>
      <c r="D222" s="150">
        <v>2560000</v>
      </c>
      <c r="E222" s="20" t="s">
        <v>631</v>
      </c>
      <c r="F222" s="20" t="s">
        <v>632</v>
      </c>
      <c r="G222" s="8" t="str">
        <f t="shared" si="3"/>
        <v>MACDONALD THOMAS</v>
      </c>
    </row>
    <row r="223" spans="1:7" x14ac:dyDescent="0.25">
      <c r="A223" s="8">
        <v>42768.956307870372</v>
      </c>
      <c r="B223" s="20" t="s">
        <v>234</v>
      </c>
      <c r="C223" s="20" t="s">
        <v>674</v>
      </c>
      <c r="D223" s="150">
        <v>1800000</v>
      </c>
      <c r="E223" s="20" t="s">
        <v>280</v>
      </c>
      <c r="F223" s="20" t="s">
        <v>281</v>
      </c>
      <c r="G223" s="8" t="str">
        <f t="shared" si="3"/>
        <v>CHANDLER KELVIN</v>
      </c>
    </row>
    <row r="224" spans="1:7" x14ac:dyDescent="0.25">
      <c r="A224" s="8">
        <v>42768.964120370372</v>
      </c>
      <c r="B224" t="s">
        <v>295</v>
      </c>
      <c r="C224" t="s">
        <v>467</v>
      </c>
      <c r="D224" s="150">
        <v>2220000</v>
      </c>
      <c r="E224" t="s">
        <v>227</v>
      </c>
      <c r="F224" s="20" t="s">
        <v>228</v>
      </c>
      <c r="G224" s="8" t="str">
        <f t="shared" si="3"/>
        <v>HILLS DUSTIN</v>
      </c>
    </row>
    <row r="225" spans="1:7" x14ac:dyDescent="0.25">
      <c r="A225" s="8">
        <v>42768.970370370371</v>
      </c>
      <c r="B225" t="s">
        <v>229</v>
      </c>
      <c r="C225" t="s">
        <v>675</v>
      </c>
      <c r="D225" s="150">
        <v>1810000</v>
      </c>
      <c r="E225" t="s">
        <v>210</v>
      </c>
      <c r="F225" s="20" t="s">
        <v>203</v>
      </c>
      <c r="G225" s="8" t="str">
        <f t="shared" si="3"/>
        <v>NEWELL JAMES</v>
      </c>
    </row>
    <row r="226" spans="1:7" x14ac:dyDescent="0.25">
      <c r="A226" s="8">
        <v>42768.978900462964</v>
      </c>
      <c r="B226" t="s">
        <v>362</v>
      </c>
      <c r="C226" t="s">
        <v>676</v>
      </c>
      <c r="D226" s="150">
        <v>2710000</v>
      </c>
      <c r="E226" t="s">
        <v>658</v>
      </c>
      <c r="F226" s="20" t="s">
        <v>659</v>
      </c>
      <c r="G226" s="8" t="str">
        <f t="shared" si="3"/>
        <v>SIMMONS SHYHESHA</v>
      </c>
    </row>
    <row r="227" spans="1:7" x14ac:dyDescent="0.25">
      <c r="A227" s="8">
        <v>42768.994351851848</v>
      </c>
      <c r="B227" t="s">
        <v>233</v>
      </c>
      <c r="C227" t="s">
        <v>469</v>
      </c>
      <c r="D227" s="150">
        <v>1800000</v>
      </c>
      <c r="E227" t="s">
        <v>280</v>
      </c>
      <c r="F227" s="20" t="s">
        <v>281</v>
      </c>
      <c r="G227" s="8" t="str">
        <f t="shared" si="3"/>
        <v>CHANDLER KELVIN</v>
      </c>
    </row>
    <row r="228" spans="1:7" x14ac:dyDescent="0.25">
      <c r="A228" s="8">
        <v>42768.997523148151</v>
      </c>
      <c r="B228" t="s">
        <v>192</v>
      </c>
      <c r="C228" t="s">
        <v>677</v>
      </c>
      <c r="D228" s="150">
        <v>2560000</v>
      </c>
      <c r="E228" t="s">
        <v>631</v>
      </c>
      <c r="F228" s="20" t="s">
        <v>632</v>
      </c>
      <c r="G228" s="8" t="str">
        <f t="shared" si="3"/>
        <v>MACDONALD THOMAS</v>
      </c>
    </row>
    <row r="229" spans="1:7" x14ac:dyDescent="0.25">
      <c r="A229" s="8">
        <v>42769.008194444446</v>
      </c>
      <c r="B229" t="s">
        <v>294</v>
      </c>
      <c r="C229" t="s">
        <v>471</v>
      </c>
      <c r="D229" s="150">
        <v>2220000</v>
      </c>
      <c r="E229" t="s">
        <v>227</v>
      </c>
      <c r="F229" s="20" t="s">
        <v>228</v>
      </c>
      <c r="G229" s="8" t="str">
        <f t="shared" si="3"/>
        <v>HILLS DUSTIN</v>
      </c>
    </row>
    <row r="230" spans="1:7" x14ac:dyDescent="0.25">
      <c r="A230" s="8">
        <v>42769.009513888886</v>
      </c>
      <c r="B230" t="s">
        <v>376</v>
      </c>
      <c r="C230" t="s">
        <v>468</v>
      </c>
      <c r="D230" s="150">
        <v>2710000</v>
      </c>
      <c r="E230" t="s">
        <v>658</v>
      </c>
      <c r="F230" s="20" t="s">
        <v>659</v>
      </c>
      <c r="G230" s="8" t="str">
        <f t="shared" si="3"/>
        <v>SIMMONS SHYHESHA</v>
      </c>
    </row>
    <row r="231" spans="1:7" x14ac:dyDescent="0.25">
      <c r="A231" s="8">
        <v>42769.016157407408</v>
      </c>
      <c r="B231" t="s">
        <v>230</v>
      </c>
      <c r="C231" t="s">
        <v>470</v>
      </c>
      <c r="D231" s="150">
        <v>1810000</v>
      </c>
      <c r="E231" t="s">
        <v>210</v>
      </c>
      <c r="F231" s="20" t="s">
        <v>203</v>
      </c>
      <c r="G231" s="8" t="str">
        <f t="shared" si="3"/>
        <v>NEWELL JAMES</v>
      </c>
    </row>
    <row r="232" spans="1:7" x14ac:dyDescent="0.25">
      <c r="A232" s="8">
        <v>42769.017314814817</v>
      </c>
      <c r="B232" t="s">
        <v>376</v>
      </c>
      <c r="C232" t="s">
        <v>468</v>
      </c>
      <c r="D232" s="150">
        <v>2710000</v>
      </c>
      <c r="E232" t="s">
        <v>658</v>
      </c>
      <c r="F232" s="20" t="s">
        <v>659</v>
      </c>
      <c r="G232" s="8" t="str">
        <f t="shared" si="3"/>
        <v>SIMMONS SHYHESHA</v>
      </c>
    </row>
    <row r="233" spans="1:7" x14ac:dyDescent="0.25">
      <c r="A233" s="8">
        <v>42769.02847222222</v>
      </c>
      <c r="B233" t="s">
        <v>234</v>
      </c>
      <c r="C233" t="s">
        <v>678</v>
      </c>
      <c r="D233" s="150">
        <v>1800000</v>
      </c>
      <c r="E233" t="s">
        <v>280</v>
      </c>
      <c r="F233" s="20" t="s">
        <v>281</v>
      </c>
      <c r="G233" s="8" t="str">
        <f t="shared" si="3"/>
        <v>CHANDLER KELVIN</v>
      </c>
    </row>
    <row r="234" spans="1:7" x14ac:dyDescent="0.25">
      <c r="A234" s="8">
        <v>42769.034826388888</v>
      </c>
      <c r="B234" t="s">
        <v>195</v>
      </c>
      <c r="C234" t="s">
        <v>679</v>
      </c>
      <c r="D234" s="150">
        <v>2560000</v>
      </c>
      <c r="E234" t="s">
        <v>631</v>
      </c>
      <c r="F234" s="20" t="s">
        <v>632</v>
      </c>
      <c r="G234" s="8" t="str">
        <f t="shared" si="3"/>
        <v>MACDONALD THOMAS</v>
      </c>
    </row>
    <row r="235" spans="1:7" x14ac:dyDescent="0.25">
      <c r="A235" s="8">
        <v>42769.048842592594</v>
      </c>
      <c r="B235" t="s">
        <v>320</v>
      </c>
      <c r="C235" t="s">
        <v>680</v>
      </c>
      <c r="D235" s="150">
        <v>1810000</v>
      </c>
      <c r="E235" t="s">
        <v>210</v>
      </c>
      <c r="F235" s="20" t="s">
        <v>203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295</v>
      </c>
      <c r="C236" t="s">
        <v>681</v>
      </c>
      <c r="D236" s="150">
        <v>2220000</v>
      </c>
      <c r="E236" t="s">
        <v>227</v>
      </c>
      <c r="F236" s="20" t="s">
        <v>228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362</v>
      </c>
      <c r="C237" t="s">
        <v>676</v>
      </c>
      <c r="D237" s="150">
        <v>2710000</v>
      </c>
      <c r="E237" t="s">
        <v>658</v>
      </c>
      <c r="F237" s="20" t="s">
        <v>659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192</v>
      </c>
      <c r="C238" t="s">
        <v>682</v>
      </c>
      <c r="D238" s="150">
        <v>2560000</v>
      </c>
      <c r="E238" t="s">
        <v>631</v>
      </c>
      <c r="F238" s="20" t="s">
        <v>632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294</v>
      </c>
      <c r="C239" t="s">
        <v>683</v>
      </c>
      <c r="D239" s="150">
        <v>2220000</v>
      </c>
      <c r="E239" t="s">
        <v>227</v>
      </c>
      <c r="F239" s="20" t="s">
        <v>228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376</v>
      </c>
      <c r="C240" t="s">
        <v>468</v>
      </c>
      <c r="D240" s="150">
        <v>2710000</v>
      </c>
      <c r="E240" t="s">
        <v>658</v>
      </c>
      <c r="F240" s="20" t="s">
        <v>659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198</v>
      </c>
      <c r="C241" t="s">
        <v>381</v>
      </c>
      <c r="D241" s="150">
        <v>1740000</v>
      </c>
      <c r="E241" t="s">
        <v>242</v>
      </c>
      <c r="F241" s="20" t="s">
        <v>243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283</v>
      </c>
      <c r="C242" t="s">
        <v>382</v>
      </c>
      <c r="D242" s="150">
        <v>2270000</v>
      </c>
      <c r="E242" t="s">
        <v>246</v>
      </c>
      <c r="F242" s="20" t="s">
        <v>247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229</v>
      </c>
      <c r="C243" t="s">
        <v>383</v>
      </c>
      <c r="D243" s="150">
        <v>2540000</v>
      </c>
      <c r="E243" t="s">
        <v>235</v>
      </c>
      <c r="F243" s="20" t="s">
        <v>236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294</v>
      </c>
      <c r="C244" t="s">
        <v>298</v>
      </c>
      <c r="D244" s="150">
        <v>1810000</v>
      </c>
      <c r="E244" t="s">
        <v>210</v>
      </c>
      <c r="F244" s="20" t="s">
        <v>203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278</v>
      </c>
      <c r="C245" t="s">
        <v>296</v>
      </c>
      <c r="D245" s="150">
        <v>2270000</v>
      </c>
      <c r="E245" t="s">
        <v>246</v>
      </c>
      <c r="F245" s="20" t="s">
        <v>247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230</v>
      </c>
      <c r="C246" t="s">
        <v>299</v>
      </c>
      <c r="D246" s="150">
        <v>1800000</v>
      </c>
      <c r="E246" t="s">
        <v>280</v>
      </c>
      <c r="F246" s="20" t="s">
        <v>281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283</v>
      </c>
      <c r="C247" t="s">
        <v>300</v>
      </c>
      <c r="D247" s="150">
        <v>2220000</v>
      </c>
      <c r="E247" t="s">
        <v>227</v>
      </c>
      <c r="F247" s="20" t="s">
        <v>228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295</v>
      </c>
      <c r="C248" t="s">
        <v>301</v>
      </c>
      <c r="D248" s="150">
        <v>1810000</v>
      </c>
      <c r="E248" t="s">
        <v>210</v>
      </c>
      <c r="F248" s="20" t="s">
        <v>203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229</v>
      </c>
      <c r="C249" t="s">
        <v>302</v>
      </c>
      <c r="D249" s="150">
        <v>1800000</v>
      </c>
      <c r="E249" t="s">
        <v>280</v>
      </c>
      <c r="F249" s="20" t="s">
        <v>281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279</v>
      </c>
      <c r="C250" t="s">
        <v>297</v>
      </c>
      <c r="D250" s="150">
        <v>2270000</v>
      </c>
      <c r="E250" t="s">
        <v>246</v>
      </c>
      <c r="F250" s="20" t="s">
        <v>247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294</v>
      </c>
      <c r="C251" t="s">
        <v>303</v>
      </c>
      <c r="D251" s="150">
        <v>1810000</v>
      </c>
      <c r="E251" t="s">
        <v>210</v>
      </c>
      <c r="F251" s="20" t="s">
        <v>203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282</v>
      </c>
      <c r="C252" t="s">
        <v>304</v>
      </c>
      <c r="D252" s="150">
        <v>2220000</v>
      </c>
      <c r="E252" t="s">
        <v>227</v>
      </c>
      <c r="F252" s="20" t="s">
        <v>228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282</v>
      </c>
      <c r="C253" t="s">
        <v>304</v>
      </c>
      <c r="D253" s="150">
        <v>2220000</v>
      </c>
      <c r="E253" t="s">
        <v>227</v>
      </c>
      <c r="F253" s="20" t="s">
        <v>228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278</v>
      </c>
      <c r="C254" t="s">
        <v>305</v>
      </c>
      <c r="D254" s="150">
        <v>2270000</v>
      </c>
      <c r="E254" t="s">
        <v>246</v>
      </c>
      <c r="F254" s="20" t="s">
        <v>247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283</v>
      </c>
      <c r="C255" t="s">
        <v>306</v>
      </c>
      <c r="D255" s="150">
        <v>2220000</v>
      </c>
      <c r="E255" t="s">
        <v>227</v>
      </c>
      <c r="F255" s="20" t="s">
        <v>228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214</v>
      </c>
      <c r="C256" t="s">
        <v>267</v>
      </c>
      <c r="D256" s="150">
        <v>2220000</v>
      </c>
      <c r="E256" t="s">
        <v>227</v>
      </c>
      <c r="F256" s="20" t="s">
        <v>228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198</v>
      </c>
      <c r="C257" t="s">
        <v>268</v>
      </c>
      <c r="D257" s="150">
        <v>2000000</v>
      </c>
      <c r="E257" t="s">
        <v>266</v>
      </c>
      <c r="F257" s="20" t="s">
        <v>203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239</v>
      </c>
      <c r="C258" t="s">
        <v>269</v>
      </c>
      <c r="D258" s="150">
        <v>2220000</v>
      </c>
      <c r="E258" t="s">
        <v>227</v>
      </c>
      <c r="F258" s="20" t="s">
        <v>228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265</v>
      </c>
      <c r="C259" t="s">
        <v>270</v>
      </c>
      <c r="D259" s="150">
        <v>1360000</v>
      </c>
      <c r="E259" t="s">
        <v>271</v>
      </c>
      <c r="F259" s="20" t="s">
        <v>272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248</v>
      </c>
      <c r="C260" t="s">
        <v>254</v>
      </c>
      <c r="D260" s="150">
        <v>2450000</v>
      </c>
      <c r="E260" t="s">
        <v>250</v>
      </c>
      <c r="F260" s="20" t="s">
        <v>251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233</v>
      </c>
      <c r="C261" t="s">
        <v>261</v>
      </c>
      <c r="D261" s="150">
        <v>1810000</v>
      </c>
      <c r="E261" t="s">
        <v>210</v>
      </c>
      <c r="F261" s="20" t="s">
        <v>203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255</v>
      </c>
      <c r="C262" t="s">
        <v>259</v>
      </c>
      <c r="D262" s="150">
        <v>2670000</v>
      </c>
      <c r="E262" t="s">
        <v>257</v>
      </c>
      <c r="F262" s="20" t="s">
        <v>258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229</v>
      </c>
      <c r="C263" t="s">
        <v>253</v>
      </c>
      <c r="D263" s="150">
        <v>2540000</v>
      </c>
      <c r="E263" t="s">
        <v>235</v>
      </c>
      <c r="F263" s="20" t="s">
        <v>236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224</v>
      </c>
      <c r="C264" t="s">
        <v>249</v>
      </c>
      <c r="D264" s="150">
        <v>2450000</v>
      </c>
      <c r="E264" t="s">
        <v>250</v>
      </c>
      <c r="F264" s="20" t="s">
        <v>251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245</v>
      </c>
      <c r="C265" t="s">
        <v>262</v>
      </c>
      <c r="D265" s="150">
        <v>2270000</v>
      </c>
      <c r="E265" t="s">
        <v>246</v>
      </c>
      <c r="F265" s="20" t="s">
        <v>247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230</v>
      </c>
      <c r="C266" t="s">
        <v>252</v>
      </c>
      <c r="D266" s="150">
        <v>2540000</v>
      </c>
      <c r="E266" t="s">
        <v>235</v>
      </c>
      <c r="F266" s="20" t="s">
        <v>236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248</v>
      </c>
      <c r="C267" t="s">
        <v>254</v>
      </c>
      <c r="D267" s="150">
        <v>2450000</v>
      </c>
      <c r="E267" t="s">
        <v>250</v>
      </c>
      <c r="F267" s="20" t="s">
        <v>251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245</v>
      </c>
      <c r="C268" t="s">
        <v>262</v>
      </c>
      <c r="D268" s="150">
        <v>2270000</v>
      </c>
      <c r="E268" t="s">
        <v>246</v>
      </c>
      <c r="F268" s="20" t="s">
        <v>247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229</v>
      </c>
      <c r="C269" t="s">
        <v>253</v>
      </c>
      <c r="D269" s="150">
        <v>2540000</v>
      </c>
      <c r="E269" t="s">
        <v>235</v>
      </c>
      <c r="F269" s="20" t="s">
        <v>236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234</v>
      </c>
      <c r="C270" t="s">
        <v>263</v>
      </c>
      <c r="D270" s="150">
        <v>1810000</v>
      </c>
      <c r="E270" t="s">
        <v>210</v>
      </c>
      <c r="F270" s="20" t="s">
        <v>203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260</v>
      </c>
      <c r="C271" t="s">
        <v>256</v>
      </c>
      <c r="D271" s="150">
        <v>2670000</v>
      </c>
      <c r="E271" t="s">
        <v>257</v>
      </c>
      <c r="F271" s="20" t="s">
        <v>258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224</v>
      </c>
      <c r="C272" t="s">
        <v>249</v>
      </c>
      <c r="D272" s="150">
        <v>2450000</v>
      </c>
      <c r="E272" t="s">
        <v>250</v>
      </c>
      <c r="F272" s="20" t="s">
        <v>251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230</v>
      </c>
      <c r="C273" t="s">
        <v>252</v>
      </c>
      <c r="D273" s="150">
        <v>2540000</v>
      </c>
      <c r="E273" t="s">
        <v>235</v>
      </c>
      <c r="F273" s="20" t="s">
        <v>236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54" customWidth="1"/>
    <col min="2" max="2" width="8.42578125" style="154" bestFit="1" customWidth="1"/>
    <col min="3" max="3" width="12.5703125" style="154" bestFit="1" customWidth="1"/>
    <col min="4" max="4" width="18.5703125" style="142" bestFit="1" customWidth="1"/>
    <col min="5" max="5" width="9.85546875" style="154" bestFit="1" customWidth="1"/>
    <col min="6" max="6" width="9" style="154" bestFit="1" customWidth="1"/>
    <col min="7" max="7" width="8.85546875" style="154" bestFit="1" customWidth="1"/>
    <col min="8" max="8" width="14" style="154" bestFit="1" customWidth="1"/>
    <col min="9" max="9" width="21.140625" style="154" bestFit="1" customWidth="1"/>
    <col min="10" max="10" width="8.7109375" style="154" bestFit="1" customWidth="1"/>
    <col min="11" max="11" width="11.28515625" style="154" bestFit="1" customWidth="1"/>
    <col min="12" max="12" width="11" style="154" bestFit="1" customWidth="1"/>
    <col min="13" max="13" width="11.28515625" style="154" bestFit="1" customWidth="1"/>
    <col min="14" max="14" width="13.7109375" style="154" bestFit="1" customWidth="1"/>
    <col min="15" max="15" width="14.85546875" style="154" bestFit="1" customWidth="1"/>
    <col min="16" max="16" width="16.7109375" style="154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72" t="s">
        <v>162</v>
      </c>
      <c r="B1" s="172" t="s">
        <v>165</v>
      </c>
      <c r="C1" s="172" t="s">
        <v>158</v>
      </c>
      <c r="D1" s="148" t="s">
        <v>170</v>
      </c>
      <c r="E1" s="172" t="s">
        <v>159</v>
      </c>
      <c r="F1" s="172" t="s">
        <v>157</v>
      </c>
      <c r="G1" s="172" t="s">
        <v>155</v>
      </c>
      <c r="H1" s="172" t="s">
        <v>384</v>
      </c>
      <c r="I1" s="172" t="s">
        <v>168</v>
      </c>
      <c r="J1" s="172" t="s">
        <v>169</v>
      </c>
      <c r="K1" s="172" t="s">
        <v>385</v>
      </c>
      <c r="L1" s="172" t="s">
        <v>163</v>
      </c>
      <c r="M1" s="172" t="s">
        <v>161</v>
      </c>
      <c r="N1" s="172" t="s">
        <v>156</v>
      </c>
      <c r="O1" s="172" t="s">
        <v>166</v>
      </c>
      <c r="P1" s="172" t="s">
        <v>160</v>
      </c>
      <c r="Q1" s="172" t="s">
        <v>167</v>
      </c>
      <c r="R1" s="172" t="s">
        <v>164</v>
      </c>
    </row>
    <row r="2" spans="1:18" x14ac:dyDescent="0.25">
      <c r="A2" s="173">
        <v>18.61</v>
      </c>
      <c r="B2" s="173">
        <v>0.71</v>
      </c>
      <c r="C2" s="173">
        <v>20.92</v>
      </c>
      <c r="D2" s="8">
        <v>42768</v>
      </c>
      <c r="E2" s="173">
        <v>0.9</v>
      </c>
      <c r="F2" s="173" t="s">
        <v>386</v>
      </c>
      <c r="G2" s="173">
        <v>281.87</v>
      </c>
      <c r="H2" s="173">
        <v>0.03</v>
      </c>
      <c r="I2" s="173">
        <v>2.3E-3</v>
      </c>
      <c r="J2" s="173">
        <v>0.06</v>
      </c>
      <c r="K2" s="173" t="s">
        <v>386</v>
      </c>
      <c r="L2" s="173">
        <v>1029.46</v>
      </c>
      <c r="M2" s="173" t="s">
        <v>684</v>
      </c>
      <c r="N2" s="173">
        <v>23.36</v>
      </c>
      <c r="O2" s="173">
        <v>1486018800</v>
      </c>
      <c r="P2" s="173">
        <v>1.1000000000000001</v>
      </c>
      <c r="Q2" s="173">
        <v>60</v>
      </c>
      <c r="R2" s="173">
        <v>3.62</v>
      </c>
    </row>
    <row r="3" spans="1:18" x14ac:dyDescent="0.25">
      <c r="A3" s="173">
        <v>17.68</v>
      </c>
      <c r="B3" s="173">
        <v>0.72</v>
      </c>
      <c r="C3" s="173">
        <v>19.79</v>
      </c>
      <c r="D3" s="8">
        <v>42768.041666666664</v>
      </c>
      <c r="E3" s="173">
        <v>0.9</v>
      </c>
      <c r="F3" s="173" t="s">
        <v>386</v>
      </c>
      <c r="G3" s="173">
        <v>281.79000000000002</v>
      </c>
      <c r="H3" s="173">
        <v>3.3000000000000002E-2</v>
      </c>
      <c r="I3" s="173">
        <v>2.3999999999999998E-3</v>
      </c>
      <c r="J3" s="173">
        <v>7.0000000000000007E-2</v>
      </c>
      <c r="K3" s="173" t="s">
        <v>386</v>
      </c>
      <c r="L3" s="173">
        <v>1029.0999999999999</v>
      </c>
      <c r="M3" s="173" t="s">
        <v>684</v>
      </c>
      <c r="N3" s="173">
        <v>22.26</v>
      </c>
      <c r="O3" s="173">
        <v>1486022400</v>
      </c>
      <c r="P3" s="173">
        <v>1.1000000000000001</v>
      </c>
      <c r="Q3" s="173">
        <v>58</v>
      </c>
      <c r="R3" s="173">
        <v>3.39</v>
      </c>
    </row>
    <row r="4" spans="1:18" x14ac:dyDescent="0.25">
      <c r="A4" s="173">
        <v>17.59</v>
      </c>
      <c r="B4" s="173">
        <v>0.81</v>
      </c>
      <c r="C4" s="173">
        <v>19.920000000000002</v>
      </c>
      <c r="D4" s="8">
        <v>42768.083333333336</v>
      </c>
      <c r="E4" s="173">
        <v>0.91</v>
      </c>
      <c r="F4" s="173" t="s">
        <v>386</v>
      </c>
      <c r="G4" s="173">
        <v>281.70999999999998</v>
      </c>
      <c r="H4" s="173">
        <v>3.4000000000000002E-2</v>
      </c>
      <c r="I4" s="173">
        <v>2.5000000000000001E-3</v>
      </c>
      <c r="J4" s="173">
        <v>7.0000000000000007E-2</v>
      </c>
      <c r="K4" s="173" t="s">
        <v>386</v>
      </c>
      <c r="L4" s="173">
        <v>1028.74</v>
      </c>
      <c r="M4" s="173" t="s">
        <v>684</v>
      </c>
      <c r="N4" s="173">
        <v>22.24</v>
      </c>
      <c r="O4" s="173">
        <v>1486026000</v>
      </c>
      <c r="P4" s="173">
        <v>1.1000000000000001</v>
      </c>
      <c r="Q4" s="173">
        <v>38</v>
      </c>
      <c r="R4" s="173">
        <v>3.44</v>
      </c>
    </row>
    <row r="5" spans="1:18" x14ac:dyDescent="0.25">
      <c r="A5" s="173">
        <v>17.100000000000001</v>
      </c>
      <c r="B5" s="173">
        <v>0.74</v>
      </c>
      <c r="C5" s="173">
        <v>19.95</v>
      </c>
      <c r="D5" s="8">
        <v>42768.125</v>
      </c>
      <c r="E5" s="173">
        <v>0.91</v>
      </c>
      <c r="F5" s="173" t="s">
        <v>386</v>
      </c>
      <c r="G5" s="173">
        <v>280.91000000000003</v>
      </c>
      <c r="H5" s="173">
        <v>0.03</v>
      </c>
      <c r="I5" s="173">
        <v>2.2000000000000001E-3</v>
      </c>
      <c r="J5" s="173">
        <v>0.06</v>
      </c>
      <c r="K5" s="173" t="s">
        <v>386</v>
      </c>
      <c r="L5" s="173">
        <v>1028.6500000000001</v>
      </c>
      <c r="M5" s="173" t="s">
        <v>684</v>
      </c>
      <c r="N5" s="173">
        <v>22.19</v>
      </c>
      <c r="O5" s="173">
        <v>1486029600</v>
      </c>
      <c r="P5" s="173">
        <v>1.1000000000000001</v>
      </c>
      <c r="Q5" s="173">
        <v>25</v>
      </c>
      <c r="R5" s="173">
        <v>3.73</v>
      </c>
    </row>
    <row r="6" spans="1:18" x14ac:dyDescent="0.25">
      <c r="A6" s="173">
        <v>16.78</v>
      </c>
      <c r="B6" s="173">
        <v>0.72</v>
      </c>
      <c r="C6" s="173">
        <v>19.72</v>
      </c>
      <c r="D6" s="8">
        <v>42768.166666666664</v>
      </c>
      <c r="E6" s="173">
        <v>0.92</v>
      </c>
      <c r="F6" s="173" t="s">
        <v>386</v>
      </c>
      <c r="G6" s="173">
        <v>279.92</v>
      </c>
      <c r="H6" s="173">
        <v>2.4E-2</v>
      </c>
      <c r="I6" s="173">
        <v>1.6999999999999999E-3</v>
      </c>
      <c r="J6" s="173">
        <v>0.04</v>
      </c>
      <c r="K6" s="173" t="s">
        <v>386</v>
      </c>
      <c r="L6" s="173">
        <v>1028.6500000000001</v>
      </c>
      <c r="M6" s="173" t="s">
        <v>387</v>
      </c>
      <c r="N6" s="173">
        <v>21.79</v>
      </c>
      <c r="O6" s="173">
        <v>1486033200</v>
      </c>
      <c r="P6" s="173">
        <v>1.1000000000000001</v>
      </c>
      <c r="Q6" s="173">
        <v>15</v>
      </c>
      <c r="R6" s="173">
        <v>3.63</v>
      </c>
    </row>
    <row r="7" spans="1:18" x14ac:dyDescent="0.25">
      <c r="A7" s="173">
        <v>16.63</v>
      </c>
      <c r="B7" s="173">
        <v>0.71</v>
      </c>
      <c r="C7" s="173">
        <v>19.829999999999998</v>
      </c>
      <c r="D7" s="8">
        <v>42768.208333333336</v>
      </c>
      <c r="E7" s="173">
        <v>0.92</v>
      </c>
      <c r="F7" s="173" t="s">
        <v>386</v>
      </c>
      <c r="G7" s="173">
        <v>279.66000000000003</v>
      </c>
      <c r="H7" s="173">
        <v>1.9E-2</v>
      </c>
      <c r="I7" s="173">
        <v>1.2999999999999999E-3</v>
      </c>
      <c r="J7" s="173">
        <v>0.02</v>
      </c>
      <c r="K7" s="173" t="s">
        <v>386</v>
      </c>
      <c r="L7" s="173">
        <v>1028.53</v>
      </c>
      <c r="M7" s="173" t="s">
        <v>387</v>
      </c>
      <c r="N7" s="173">
        <v>21.83</v>
      </c>
      <c r="O7" s="173">
        <v>1486036800</v>
      </c>
      <c r="P7" s="173">
        <v>1.1000000000000001</v>
      </c>
      <c r="Q7" s="173">
        <v>17</v>
      </c>
      <c r="R7" s="173">
        <v>3.78</v>
      </c>
    </row>
    <row r="8" spans="1:18" x14ac:dyDescent="0.25">
      <c r="A8" s="173">
        <v>17.04</v>
      </c>
      <c r="B8" s="173">
        <v>0.62</v>
      </c>
      <c r="C8" s="173">
        <v>19.8</v>
      </c>
      <c r="D8" s="8">
        <v>42768.25</v>
      </c>
      <c r="E8" s="173">
        <v>0.92</v>
      </c>
      <c r="F8" s="173" t="s">
        <v>386</v>
      </c>
      <c r="G8" s="173">
        <v>280.55</v>
      </c>
      <c r="H8" s="173">
        <v>1.4999999999999999E-2</v>
      </c>
      <c r="I8" s="173">
        <v>1.1000000000000001E-3</v>
      </c>
      <c r="J8" s="173">
        <v>0.02</v>
      </c>
      <c r="K8" s="173" t="s">
        <v>386</v>
      </c>
      <c r="L8" s="173">
        <v>1028.26</v>
      </c>
      <c r="M8" s="173" t="s">
        <v>387</v>
      </c>
      <c r="N8" s="173">
        <v>21.85</v>
      </c>
      <c r="O8" s="173">
        <v>1486040400</v>
      </c>
      <c r="P8" s="173">
        <v>0.48</v>
      </c>
      <c r="Q8" s="173">
        <v>16</v>
      </c>
      <c r="R8" s="173">
        <v>3.5</v>
      </c>
    </row>
    <row r="9" spans="1:18" x14ac:dyDescent="0.25">
      <c r="A9" s="173">
        <v>17.16</v>
      </c>
      <c r="B9" s="173">
        <v>0.66</v>
      </c>
      <c r="C9" s="173">
        <v>19.690000000000001</v>
      </c>
      <c r="D9" s="8">
        <v>42768.291666666664</v>
      </c>
      <c r="E9" s="173">
        <v>0.91</v>
      </c>
      <c r="F9" s="173" t="s">
        <v>685</v>
      </c>
      <c r="G9" s="173">
        <v>282.17</v>
      </c>
      <c r="H9" s="173">
        <v>1.2999999999999999E-2</v>
      </c>
      <c r="I9" s="173">
        <v>8.9999999999999998E-4</v>
      </c>
      <c r="J9" s="173">
        <v>0.01</v>
      </c>
      <c r="K9" s="173" t="s">
        <v>386</v>
      </c>
      <c r="L9" s="173">
        <v>1027.8699999999999</v>
      </c>
      <c r="M9" s="173" t="s">
        <v>686</v>
      </c>
      <c r="N9" s="173">
        <v>21.81</v>
      </c>
      <c r="O9" s="173">
        <v>1486044000</v>
      </c>
      <c r="P9" s="173">
        <v>0.78</v>
      </c>
      <c r="Q9" s="173">
        <v>3</v>
      </c>
      <c r="R9" s="173">
        <v>3.4</v>
      </c>
    </row>
    <row r="10" spans="1:18" x14ac:dyDescent="0.25">
      <c r="A10" s="173">
        <v>17.149999999999999</v>
      </c>
      <c r="B10" s="173">
        <v>0.61</v>
      </c>
      <c r="C10" s="173">
        <v>19.190000000000001</v>
      </c>
      <c r="D10" s="8">
        <v>42768.333333333336</v>
      </c>
      <c r="E10" s="173">
        <v>0.91</v>
      </c>
      <c r="F10" s="173" t="s">
        <v>685</v>
      </c>
      <c r="G10" s="173">
        <v>284.26</v>
      </c>
      <c r="H10" s="173">
        <v>1.0999999999999999E-2</v>
      </c>
      <c r="I10" s="173">
        <v>8.0000000000000004E-4</v>
      </c>
      <c r="J10" s="173">
        <v>0.01</v>
      </c>
      <c r="K10" s="173" t="s">
        <v>386</v>
      </c>
      <c r="L10" s="173">
        <v>1027.29</v>
      </c>
      <c r="M10" s="173" t="s">
        <v>686</v>
      </c>
      <c r="N10" s="173">
        <v>21.53</v>
      </c>
      <c r="O10" s="173">
        <v>1486047600</v>
      </c>
      <c r="P10" s="173">
        <v>0.78</v>
      </c>
      <c r="Q10" s="173">
        <v>3</v>
      </c>
      <c r="R10" s="173">
        <v>3.19</v>
      </c>
    </row>
    <row r="11" spans="1:18" x14ac:dyDescent="0.25">
      <c r="A11" s="173">
        <v>22.98</v>
      </c>
      <c r="B11" s="173">
        <v>0.67</v>
      </c>
      <c r="C11" s="173">
        <v>20.22</v>
      </c>
      <c r="D11" s="8">
        <v>42768.375</v>
      </c>
      <c r="E11" s="173">
        <v>0.89</v>
      </c>
      <c r="F11" s="173" t="s">
        <v>685</v>
      </c>
      <c r="G11" s="173">
        <v>286.87</v>
      </c>
      <c r="H11" s="173"/>
      <c r="I11" s="173">
        <v>0</v>
      </c>
      <c r="J11" s="173">
        <v>0</v>
      </c>
      <c r="K11" s="173"/>
      <c r="L11" s="173">
        <v>1026.5</v>
      </c>
      <c r="M11" s="173" t="s">
        <v>686</v>
      </c>
      <c r="N11" s="173">
        <v>22.98</v>
      </c>
      <c r="O11" s="173">
        <v>1486051200</v>
      </c>
      <c r="P11" s="173">
        <v>1.1000000000000001</v>
      </c>
      <c r="Q11" s="173">
        <v>7</v>
      </c>
      <c r="R11" s="173">
        <v>2.97</v>
      </c>
    </row>
    <row r="12" spans="1:18" x14ac:dyDescent="0.25">
      <c r="A12" s="173">
        <v>24.22</v>
      </c>
      <c r="B12" s="173">
        <v>0.64</v>
      </c>
      <c r="C12" s="173">
        <v>20.059999999999999</v>
      </c>
      <c r="D12" s="8">
        <v>42768.416666666664</v>
      </c>
      <c r="E12" s="173">
        <v>0.84</v>
      </c>
      <c r="F12" s="173" t="s">
        <v>685</v>
      </c>
      <c r="G12" s="173">
        <v>289.93</v>
      </c>
      <c r="H12" s="173"/>
      <c r="I12" s="173">
        <v>0</v>
      </c>
      <c r="J12" s="173">
        <v>0</v>
      </c>
      <c r="K12" s="173"/>
      <c r="L12" s="173">
        <v>1025.3399999999999</v>
      </c>
      <c r="M12" s="173" t="s">
        <v>686</v>
      </c>
      <c r="N12" s="173">
        <v>24.22</v>
      </c>
      <c r="O12" s="173">
        <v>1486054800</v>
      </c>
      <c r="P12" s="173">
        <v>1.1000000000000001</v>
      </c>
      <c r="Q12" s="173">
        <v>11</v>
      </c>
      <c r="R12" s="173">
        <v>2.56</v>
      </c>
    </row>
    <row r="13" spans="1:18" x14ac:dyDescent="0.25">
      <c r="A13" s="173">
        <v>25.71</v>
      </c>
      <c r="B13" s="173">
        <v>0.66</v>
      </c>
      <c r="C13" s="173">
        <v>21</v>
      </c>
      <c r="D13" s="8">
        <v>42768.458333333336</v>
      </c>
      <c r="E13" s="173">
        <v>0.82</v>
      </c>
      <c r="F13" s="173" t="s">
        <v>685</v>
      </c>
      <c r="G13" s="173">
        <v>292.95</v>
      </c>
      <c r="H13" s="173"/>
      <c r="I13" s="173">
        <v>0</v>
      </c>
      <c r="J13" s="173">
        <v>0</v>
      </c>
      <c r="K13" s="173"/>
      <c r="L13" s="173">
        <v>1024.44</v>
      </c>
      <c r="M13" s="173" t="s">
        <v>686</v>
      </c>
      <c r="N13" s="173">
        <v>25.71</v>
      </c>
      <c r="O13" s="173">
        <v>1486058400</v>
      </c>
      <c r="P13" s="173">
        <v>1.1000000000000001</v>
      </c>
      <c r="Q13" s="173">
        <v>16</v>
      </c>
      <c r="R13" s="173">
        <v>2.04</v>
      </c>
    </row>
    <row r="14" spans="1:18" x14ac:dyDescent="0.25">
      <c r="A14" s="173">
        <v>23.9</v>
      </c>
      <c r="B14" s="173">
        <v>0.66</v>
      </c>
      <c r="C14" s="173">
        <v>22.28</v>
      </c>
      <c r="D14" s="8">
        <v>42768.5</v>
      </c>
      <c r="E14" s="173">
        <v>0.81</v>
      </c>
      <c r="F14" s="173" t="s">
        <v>685</v>
      </c>
      <c r="G14" s="173">
        <v>295.43</v>
      </c>
      <c r="H14" s="173"/>
      <c r="I14" s="173">
        <v>0</v>
      </c>
      <c r="J14" s="173">
        <v>0</v>
      </c>
      <c r="K14" s="173"/>
      <c r="L14" s="173">
        <v>1022.95</v>
      </c>
      <c r="M14" s="173" t="s">
        <v>686</v>
      </c>
      <c r="N14" s="173">
        <v>27.32</v>
      </c>
      <c r="O14" s="173">
        <v>1486062000</v>
      </c>
      <c r="P14" s="173">
        <v>1.1000000000000001</v>
      </c>
      <c r="Q14" s="173">
        <v>20</v>
      </c>
      <c r="R14" s="173">
        <v>3.08</v>
      </c>
    </row>
    <row r="15" spans="1:18" x14ac:dyDescent="0.25">
      <c r="A15" s="173">
        <v>24.43</v>
      </c>
      <c r="B15" s="173">
        <v>0.68</v>
      </c>
      <c r="C15" s="173">
        <v>22.69</v>
      </c>
      <c r="D15" s="8">
        <v>42768.541666666664</v>
      </c>
      <c r="E15" s="173">
        <v>0.8</v>
      </c>
      <c r="F15" s="173" t="s">
        <v>685</v>
      </c>
      <c r="G15" s="173">
        <v>297.87</v>
      </c>
      <c r="H15" s="173"/>
      <c r="I15" s="173">
        <v>0</v>
      </c>
      <c r="J15" s="173">
        <v>0</v>
      </c>
      <c r="K15" s="173"/>
      <c r="L15" s="173">
        <v>1020.99</v>
      </c>
      <c r="M15" s="173" t="s">
        <v>686</v>
      </c>
      <c r="N15" s="173">
        <v>28.03</v>
      </c>
      <c r="O15" s="173">
        <v>1486065600</v>
      </c>
      <c r="P15" s="173">
        <v>1.1000000000000001</v>
      </c>
      <c r="Q15" s="173">
        <v>21</v>
      </c>
      <c r="R15" s="173">
        <v>3.27</v>
      </c>
    </row>
    <row r="16" spans="1:18" x14ac:dyDescent="0.25">
      <c r="A16" s="173">
        <v>28.42</v>
      </c>
      <c r="B16" s="173">
        <v>0.51</v>
      </c>
      <c r="C16" s="173">
        <v>22.91</v>
      </c>
      <c r="D16" s="8">
        <v>42768.583333333336</v>
      </c>
      <c r="E16" s="173">
        <v>0.8</v>
      </c>
      <c r="F16" s="173" t="s">
        <v>274</v>
      </c>
      <c r="G16" s="173">
        <v>301.24</v>
      </c>
      <c r="H16" s="173"/>
      <c r="I16" s="173">
        <v>0</v>
      </c>
      <c r="J16" s="173">
        <v>0</v>
      </c>
      <c r="K16" s="173"/>
      <c r="L16" s="173">
        <v>1019.43</v>
      </c>
      <c r="M16" s="173" t="s">
        <v>275</v>
      </c>
      <c r="N16" s="173">
        <v>28.42</v>
      </c>
      <c r="O16" s="173">
        <v>1486069200</v>
      </c>
      <c r="P16" s="173">
        <v>3.03</v>
      </c>
      <c r="Q16" s="173">
        <v>34</v>
      </c>
      <c r="R16" s="173">
        <v>2.63</v>
      </c>
    </row>
    <row r="17" spans="1:18" x14ac:dyDescent="0.25">
      <c r="A17" s="173">
        <v>28.47</v>
      </c>
      <c r="B17" s="173">
        <v>0.53</v>
      </c>
      <c r="C17" s="173">
        <v>23.19</v>
      </c>
      <c r="D17" s="8">
        <v>42768.625</v>
      </c>
      <c r="E17" s="173">
        <v>0.8</v>
      </c>
      <c r="F17" s="173" t="s">
        <v>274</v>
      </c>
      <c r="G17" s="173">
        <v>306.89</v>
      </c>
      <c r="H17" s="173">
        <v>8.0000000000000002E-3</v>
      </c>
      <c r="I17" s="173">
        <v>8.0000000000000004E-4</v>
      </c>
      <c r="J17" s="173">
        <v>0.01</v>
      </c>
      <c r="K17" s="173" t="s">
        <v>386</v>
      </c>
      <c r="L17" s="173">
        <v>1019.41</v>
      </c>
      <c r="M17" s="173" t="s">
        <v>275</v>
      </c>
      <c r="N17" s="173">
        <v>28.47</v>
      </c>
      <c r="O17" s="173">
        <v>1486072800</v>
      </c>
      <c r="P17" s="173">
        <v>3.09</v>
      </c>
      <c r="Q17" s="173">
        <v>29</v>
      </c>
      <c r="R17" s="173">
        <v>2.73</v>
      </c>
    </row>
    <row r="18" spans="1:18" x14ac:dyDescent="0.25">
      <c r="A18" s="173">
        <v>29.42</v>
      </c>
      <c r="B18" s="173">
        <v>0.56000000000000005</v>
      </c>
      <c r="C18" s="173">
        <v>24.26</v>
      </c>
      <c r="D18" s="8">
        <v>42768.666666666664</v>
      </c>
      <c r="E18" s="173">
        <v>0.81</v>
      </c>
      <c r="F18" s="173" t="s">
        <v>274</v>
      </c>
      <c r="G18" s="173">
        <v>313.48</v>
      </c>
      <c r="H18" s="173">
        <v>1.0999999999999999E-2</v>
      </c>
      <c r="I18" s="173">
        <v>1.1000000000000001E-3</v>
      </c>
      <c r="J18" s="173">
        <v>0.02</v>
      </c>
      <c r="K18" s="173" t="s">
        <v>386</v>
      </c>
      <c r="L18" s="173">
        <v>1020.02</v>
      </c>
      <c r="M18" s="173" t="s">
        <v>275</v>
      </c>
      <c r="N18" s="173">
        <v>29.42</v>
      </c>
      <c r="O18" s="173">
        <v>1486076400</v>
      </c>
      <c r="P18" s="173">
        <v>4.37</v>
      </c>
      <c r="Q18" s="173">
        <v>36</v>
      </c>
      <c r="R18" s="173">
        <v>2.29</v>
      </c>
    </row>
    <row r="19" spans="1:18" x14ac:dyDescent="0.25">
      <c r="A19" s="173">
        <v>26.85</v>
      </c>
      <c r="B19" s="173">
        <v>0.51</v>
      </c>
      <c r="C19" s="173">
        <v>22.13</v>
      </c>
      <c r="D19" s="8">
        <v>42768.708333333336</v>
      </c>
      <c r="E19" s="173">
        <v>0.82</v>
      </c>
      <c r="F19" s="173" t="s">
        <v>274</v>
      </c>
      <c r="G19" s="173">
        <v>317.89</v>
      </c>
      <c r="H19" s="173">
        <v>1.2E-2</v>
      </c>
      <c r="I19" s="173">
        <v>1.1000000000000001E-3</v>
      </c>
      <c r="J19" s="173">
        <v>0.02</v>
      </c>
      <c r="K19" s="173" t="s">
        <v>386</v>
      </c>
      <c r="L19" s="173">
        <v>1020.47</v>
      </c>
      <c r="M19" s="173" t="s">
        <v>275</v>
      </c>
      <c r="N19" s="173">
        <v>26.85</v>
      </c>
      <c r="O19" s="173">
        <v>1486080000</v>
      </c>
      <c r="P19" s="173">
        <v>4.8499999999999996</v>
      </c>
      <c r="Q19" s="173">
        <v>22</v>
      </c>
      <c r="R19" s="173">
        <v>2.54</v>
      </c>
    </row>
    <row r="20" spans="1:18" x14ac:dyDescent="0.25">
      <c r="A20" s="173">
        <v>25.61</v>
      </c>
      <c r="B20" s="173">
        <v>0.48</v>
      </c>
      <c r="C20" s="173">
        <v>21.01</v>
      </c>
      <c r="D20" s="8">
        <v>42768.75</v>
      </c>
      <c r="E20" s="173">
        <v>0.82</v>
      </c>
      <c r="F20" s="173" t="s">
        <v>273</v>
      </c>
      <c r="G20" s="173">
        <v>318.27</v>
      </c>
      <c r="H20" s="173"/>
      <c r="I20" s="173">
        <v>0</v>
      </c>
      <c r="J20" s="173">
        <v>0</v>
      </c>
      <c r="K20" s="173"/>
      <c r="L20" s="173">
        <v>1020.74</v>
      </c>
      <c r="M20" s="173" t="s">
        <v>275</v>
      </c>
      <c r="N20" s="173">
        <v>25.61</v>
      </c>
      <c r="O20" s="173">
        <v>1486083600</v>
      </c>
      <c r="P20" s="173">
        <v>5.31</v>
      </c>
      <c r="Q20" s="173">
        <v>9</v>
      </c>
      <c r="R20" s="173">
        <v>1.81</v>
      </c>
    </row>
    <row r="21" spans="1:18" x14ac:dyDescent="0.25">
      <c r="A21" s="173">
        <v>25.21</v>
      </c>
      <c r="B21" s="173">
        <v>0.35</v>
      </c>
      <c r="C21" s="173">
        <v>20.7</v>
      </c>
      <c r="D21" s="8">
        <v>42768.791666666664</v>
      </c>
      <c r="E21" s="173">
        <v>0.83</v>
      </c>
      <c r="F21" s="173" t="s">
        <v>273</v>
      </c>
      <c r="G21" s="173">
        <v>316.47000000000003</v>
      </c>
      <c r="H21" s="173"/>
      <c r="I21" s="173">
        <v>0</v>
      </c>
      <c r="J21" s="173">
        <v>0</v>
      </c>
      <c r="K21" s="173"/>
      <c r="L21" s="173">
        <v>1020.64</v>
      </c>
      <c r="M21" s="173" t="s">
        <v>275</v>
      </c>
      <c r="N21" s="173">
        <v>25.21</v>
      </c>
      <c r="O21" s="173">
        <v>1486087200</v>
      </c>
      <c r="P21" s="173">
        <v>4.3600000000000003</v>
      </c>
      <c r="Q21" s="173">
        <v>294</v>
      </c>
      <c r="R21" s="173">
        <v>0.85</v>
      </c>
    </row>
    <row r="22" spans="1:18" x14ac:dyDescent="0.25">
      <c r="A22" s="173">
        <v>25.36</v>
      </c>
      <c r="B22" s="173">
        <v>0.27</v>
      </c>
      <c r="C22" s="173">
        <v>20.57</v>
      </c>
      <c r="D22" s="8">
        <v>42768.833333333336</v>
      </c>
      <c r="E22" s="173">
        <v>0.82</v>
      </c>
      <c r="F22" s="173" t="s">
        <v>273</v>
      </c>
      <c r="G22" s="173">
        <v>314.93</v>
      </c>
      <c r="H22" s="173"/>
      <c r="I22" s="173">
        <v>0</v>
      </c>
      <c r="J22" s="173">
        <v>0</v>
      </c>
      <c r="K22" s="173"/>
      <c r="L22" s="173">
        <v>1020.89</v>
      </c>
      <c r="M22" s="173" t="s">
        <v>275</v>
      </c>
      <c r="N22" s="173">
        <v>25.36</v>
      </c>
      <c r="O22" s="173">
        <v>1486090800</v>
      </c>
      <c r="P22" s="173">
        <v>4.82</v>
      </c>
      <c r="Q22" s="173">
        <v>204</v>
      </c>
      <c r="R22" s="173">
        <v>0.8</v>
      </c>
    </row>
    <row r="23" spans="1:18" x14ac:dyDescent="0.25">
      <c r="A23" s="173">
        <v>24.41</v>
      </c>
      <c r="B23" s="173">
        <v>0.27</v>
      </c>
      <c r="C23" s="173">
        <v>19.62</v>
      </c>
      <c r="D23" s="8">
        <v>42768.875</v>
      </c>
      <c r="E23" s="173">
        <v>0.82</v>
      </c>
      <c r="F23" s="173" t="s">
        <v>273</v>
      </c>
      <c r="G23" s="173">
        <v>314.52</v>
      </c>
      <c r="H23" s="173"/>
      <c r="I23" s="173">
        <v>0</v>
      </c>
      <c r="J23" s="173">
        <v>0</v>
      </c>
      <c r="K23" s="173"/>
      <c r="L23" s="173">
        <v>1021.94</v>
      </c>
      <c r="M23" s="173" t="s">
        <v>275</v>
      </c>
      <c r="N23" s="173">
        <v>24.41</v>
      </c>
      <c r="O23" s="173">
        <v>1486094400</v>
      </c>
      <c r="P23" s="173">
        <v>4.45</v>
      </c>
      <c r="Q23" s="173">
        <v>248</v>
      </c>
      <c r="R23" s="173">
        <v>0.94</v>
      </c>
    </row>
    <row r="24" spans="1:18" x14ac:dyDescent="0.25">
      <c r="A24" s="173">
        <v>23.97</v>
      </c>
      <c r="B24" s="173">
        <v>0.38</v>
      </c>
      <c r="C24" s="173">
        <v>19.77</v>
      </c>
      <c r="D24" s="8">
        <v>42768.916666666664</v>
      </c>
      <c r="E24" s="173">
        <v>0.84</v>
      </c>
      <c r="F24" s="173" t="s">
        <v>273</v>
      </c>
      <c r="G24" s="173">
        <v>314.37</v>
      </c>
      <c r="H24" s="173"/>
      <c r="I24" s="173">
        <v>0</v>
      </c>
      <c r="J24" s="173">
        <v>0</v>
      </c>
      <c r="K24" s="173"/>
      <c r="L24" s="173">
        <v>1023.66</v>
      </c>
      <c r="M24" s="173" t="s">
        <v>275</v>
      </c>
      <c r="N24" s="173">
        <v>23.97</v>
      </c>
      <c r="O24" s="173">
        <v>1486098000</v>
      </c>
      <c r="P24" s="173">
        <v>3.21</v>
      </c>
      <c r="Q24" s="173">
        <v>332</v>
      </c>
      <c r="R24" s="173">
        <v>1.41</v>
      </c>
    </row>
    <row r="25" spans="1:18" x14ac:dyDescent="0.25">
      <c r="A25" s="173">
        <v>21.43</v>
      </c>
      <c r="B25" s="173">
        <v>0.5</v>
      </c>
      <c r="C25" s="173">
        <v>17.98</v>
      </c>
      <c r="D25" s="8">
        <v>42768.958333333336</v>
      </c>
      <c r="E25" s="173">
        <v>0.86</v>
      </c>
      <c r="F25" s="173" t="s">
        <v>273</v>
      </c>
      <c r="G25" s="173">
        <v>314.26</v>
      </c>
      <c r="H25" s="173"/>
      <c r="I25" s="173">
        <v>0</v>
      </c>
      <c r="J25" s="173">
        <v>0</v>
      </c>
      <c r="K25" s="173"/>
      <c r="L25" s="173">
        <v>1025.3800000000001</v>
      </c>
      <c r="M25" s="173" t="s">
        <v>275</v>
      </c>
      <c r="N25" s="173">
        <v>21.43</v>
      </c>
      <c r="O25" s="173">
        <v>1486101600</v>
      </c>
      <c r="P25" s="173">
        <v>2.99</v>
      </c>
      <c r="Q25" s="173">
        <v>15</v>
      </c>
      <c r="R25" s="173">
        <v>2.93</v>
      </c>
    </row>
    <row r="26" spans="1:18" x14ac:dyDescent="0.25">
      <c r="A26" s="173">
        <v>16.260000000000002</v>
      </c>
      <c r="B26" s="173">
        <v>0.62</v>
      </c>
      <c r="C26" s="173">
        <v>19.149999999999999</v>
      </c>
      <c r="D26" s="8">
        <v>42769</v>
      </c>
      <c r="E26" s="173">
        <v>0.9</v>
      </c>
      <c r="F26" s="173" t="s">
        <v>273</v>
      </c>
      <c r="G26" s="173">
        <v>314.14</v>
      </c>
      <c r="H26" s="173"/>
      <c r="I26" s="173">
        <v>0</v>
      </c>
      <c r="J26" s="173">
        <v>0</v>
      </c>
      <c r="K26" s="173"/>
      <c r="L26" s="173">
        <v>1026.8599999999999</v>
      </c>
      <c r="M26" s="173" t="s">
        <v>329</v>
      </c>
      <c r="N26" s="173">
        <v>21.7</v>
      </c>
      <c r="O26" s="173">
        <v>1486105200</v>
      </c>
      <c r="P26" s="173">
        <v>2.29</v>
      </c>
      <c r="Q26" s="173">
        <v>16</v>
      </c>
      <c r="R26" s="173">
        <v>3.93</v>
      </c>
    </row>
    <row r="27" spans="1:18" x14ac:dyDescent="0.25">
      <c r="A27" s="173">
        <v>15.57</v>
      </c>
      <c r="B27" s="173">
        <v>0.78</v>
      </c>
      <c r="C27" s="173">
        <v>19.649999999999999</v>
      </c>
      <c r="D27" s="8">
        <v>42769.041666666664</v>
      </c>
      <c r="E27" s="173">
        <v>0.91</v>
      </c>
      <c r="F27" s="173" t="s">
        <v>273</v>
      </c>
      <c r="G27" s="173">
        <v>314.02</v>
      </c>
      <c r="H27" s="173"/>
      <c r="I27" s="173">
        <v>0</v>
      </c>
      <c r="J27" s="173">
        <v>0</v>
      </c>
      <c r="K27" s="173"/>
      <c r="L27" s="173">
        <v>1028.29</v>
      </c>
      <c r="M27" s="173" t="s">
        <v>329</v>
      </c>
      <c r="N27" s="173">
        <v>21.82</v>
      </c>
      <c r="O27" s="173">
        <v>1486108800</v>
      </c>
      <c r="P27" s="173">
        <v>2.2599999999999998</v>
      </c>
      <c r="Q27" s="173">
        <v>5</v>
      </c>
      <c r="R27" s="173">
        <v>4.6100000000000003</v>
      </c>
    </row>
    <row r="28" spans="1:18" x14ac:dyDescent="0.25">
      <c r="A28" s="173">
        <v>14.43</v>
      </c>
      <c r="B28" s="173">
        <v>0.84</v>
      </c>
      <c r="C28" s="173">
        <v>19.09</v>
      </c>
      <c r="D28" s="8">
        <v>42769.083333333336</v>
      </c>
      <c r="E28" s="173">
        <v>0.9</v>
      </c>
      <c r="F28" s="173" t="s">
        <v>273</v>
      </c>
      <c r="G28" s="173">
        <v>313.89999999999998</v>
      </c>
      <c r="H28" s="173"/>
      <c r="I28" s="173">
        <v>0</v>
      </c>
      <c r="J28" s="173">
        <v>0</v>
      </c>
      <c r="K28" s="173"/>
      <c r="L28" s="173">
        <v>1029.68</v>
      </c>
      <c r="M28" s="173" t="s">
        <v>329</v>
      </c>
      <c r="N28" s="173">
        <v>21.58</v>
      </c>
      <c r="O28" s="173">
        <v>1486112400</v>
      </c>
      <c r="P28" s="173">
        <v>2.14</v>
      </c>
      <c r="Q28" s="173">
        <v>8</v>
      </c>
      <c r="R28" s="173">
        <v>5.39</v>
      </c>
    </row>
    <row r="29" spans="1:18" x14ac:dyDescent="0.25">
      <c r="A29" s="173">
        <v>12.34</v>
      </c>
      <c r="B29" s="173">
        <v>0.91</v>
      </c>
      <c r="C29" s="173">
        <v>15.59</v>
      </c>
      <c r="D29" s="8">
        <v>42769.125</v>
      </c>
      <c r="E29" s="173">
        <v>0.9</v>
      </c>
      <c r="F29" s="173" t="s">
        <v>273</v>
      </c>
      <c r="G29" s="173">
        <v>312.62</v>
      </c>
      <c r="H29" s="173"/>
      <c r="I29" s="173">
        <v>0</v>
      </c>
      <c r="J29" s="173">
        <v>0</v>
      </c>
      <c r="K29" s="173"/>
      <c r="L29" s="173">
        <v>1030.81</v>
      </c>
      <c r="M29" s="173" t="s">
        <v>329</v>
      </c>
      <c r="N29" s="173">
        <v>18.04</v>
      </c>
      <c r="O29" s="173">
        <v>1486116000</v>
      </c>
      <c r="P29" s="173">
        <v>2.86</v>
      </c>
      <c r="Q29" s="173">
        <v>12</v>
      </c>
      <c r="R29" s="173">
        <v>3.73</v>
      </c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4" t="s">
        <v>190</v>
      </c>
    </row>
    <row r="33" spans="1:1" x14ac:dyDescent="0.25">
      <c r="A33" s="15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7"/>
  <sheetViews>
    <sheetView workbookViewId="0">
      <selection activeCell="I16" sqref="I16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64" t="s">
        <v>101</v>
      </c>
      <c r="K1" s="164" t="s">
        <v>66</v>
      </c>
      <c r="L1" s="164" t="s">
        <v>67</v>
      </c>
      <c r="O1" s="165" t="s">
        <v>102</v>
      </c>
    </row>
    <row r="2" spans="1:16" ht="15.75" thickBot="1" x14ac:dyDescent="0.3">
      <c r="A2" s="12">
        <v>42768</v>
      </c>
      <c r="B2" s="4"/>
      <c r="C2" s="133">
        <v>50</v>
      </c>
      <c r="D2" s="134">
        <v>25</v>
      </c>
      <c r="F2" t="s">
        <v>113</v>
      </c>
      <c r="J2" s="164"/>
      <c r="K2" s="164" t="s">
        <v>66</v>
      </c>
      <c r="L2" s="164" t="s">
        <v>67</v>
      </c>
    </row>
    <row r="3" spans="1:16" x14ac:dyDescent="0.25">
      <c r="C3" s="64"/>
      <c r="F3" t="s">
        <v>52</v>
      </c>
      <c r="J3" s="166" t="s">
        <v>68</v>
      </c>
      <c r="K3" s="167">
        <v>2.7052</v>
      </c>
      <c r="L3" s="167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6" t="s">
        <v>69</v>
      </c>
      <c r="K4" s="167">
        <v>3.0830000000000002</v>
      </c>
      <c r="L4" s="167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6" t="s">
        <v>70</v>
      </c>
      <c r="K5" s="167">
        <v>3.3136000000000001</v>
      </c>
      <c r="L5" s="167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6" t="s">
        <v>71</v>
      </c>
      <c r="K6" s="167">
        <v>4.2778999999999998</v>
      </c>
      <c r="L6" s="167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6" t="s">
        <v>72</v>
      </c>
      <c r="K7" s="167">
        <v>4.7865000000000002</v>
      </c>
      <c r="L7" s="167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6" t="s">
        <v>73</v>
      </c>
      <c r="K8" s="167">
        <v>5.3155000000000001</v>
      </c>
      <c r="L8" s="167">
        <v>5.3277000000000001</v>
      </c>
      <c r="M8" s="152">
        <f t="shared" si="0"/>
        <v>5.3216000000000001</v>
      </c>
    </row>
    <row r="9" spans="1:16" x14ac:dyDescent="0.25">
      <c r="C9" s="64"/>
      <c r="J9" s="166" t="s">
        <v>74</v>
      </c>
      <c r="K9" s="167">
        <v>5.8117000000000001</v>
      </c>
      <c r="L9" s="167">
        <v>5.8300999999999998</v>
      </c>
      <c r="M9" s="152">
        <f t="shared" si="0"/>
        <v>5.8209</v>
      </c>
    </row>
    <row r="10" spans="1:16" x14ac:dyDescent="0.25">
      <c r="C10" s="64"/>
      <c r="J10" s="166" t="s">
        <v>75</v>
      </c>
      <c r="K10" s="167">
        <v>5.8783000000000003</v>
      </c>
      <c r="L10" s="167">
        <v>5.8903999999999996</v>
      </c>
      <c r="M10" s="152">
        <f t="shared" si="0"/>
        <v>5.8843499999999995</v>
      </c>
    </row>
    <row r="11" spans="1:16" x14ac:dyDescent="0.25">
      <c r="C11" s="64"/>
      <c r="J11" s="166" t="s">
        <v>76</v>
      </c>
      <c r="K11" s="167">
        <v>6.3068</v>
      </c>
      <c r="L11" s="167">
        <v>6.3308999999999997</v>
      </c>
      <c r="M11" s="152">
        <f t="shared" si="0"/>
        <v>6.3188499999999994</v>
      </c>
    </row>
    <row r="12" spans="1:16" x14ac:dyDescent="0.25">
      <c r="C12" s="64"/>
      <c r="J12" s="166" t="s">
        <v>77</v>
      </c>
      <c r="K12" s="167">
        <v>7.8349000000000002</v>
      </c>
      <c r="L12" s="167">
        <v>7.8468999999999998</v>
      </c>
      <c r="M12" s="152">
        <f t="shared" si="0"/>
        <v>7.8408999999999995</v>
      </c>
    </row>
    <row r="13" spans="1:16" x14ac:dyDescent="0.25">
      <c r="C13" s="64"/>
      <c r="J13" s="166" t="s">
        <v>78</v>
      </c>
      <c r="K13" s="167">
        <v>10.373799999999999</v>
      </c>
      <c r="L13" s="167">
        <v>10.38</v>
      </c>
      <c r="M13" s="152">
        <f t="shared" si="0"/>
        <v>10.376899999999999</v>
      </c>
    </row>
    <row r="14" spans="1:16" x14ac:dyDescent="0.25">
      <c r="C14" s="64"/>
      <c r="J14" s="166" t="s">
        <v>79</v>
      </c>
      <c r="K14" s="167">
        <v>10.8954</v>
      </c>
      <c r="L14" s="167">
        <v>10.913500000000001</v>
      </c>
      <c r="M14" s="152">
        <f t="shared" si="0"/>
        <v>10.904450000000001</v>
      </c>
    </row>
    <row r="15" spans="1:16" x14ac:dyDescent="0.25">
      <c r="C15" s="64"/>
      <c r="J15" s="166"/>
      <c r="K15" s="167"/>
      <c r="L15" s="167"/>
    </row>
    <row r="16" spans="1:16" x14ac:dyDescent="0.25">
      <c r="C16" s="64"/>
      <c r="J16" s="166"/>
      <c r="K16" s="167"/>
      <c r="L16" s="167"/>
    </row>
    <row r="17" spans="3:13" x14ac:dyDescent="0.25">
      <c r="C17" s="149" t="s">
        <v>191</v>
      </c>
      <c r="J17" s="166"/>
      <c r="K17" s="167"/>
      <c r="L17" s="167"/>
    </row>
    <row r="18" spans="3:13" x14ac:dyDescent="0.25">
      <c r="C18" t="s">
        <v>831</v>
      </c>
      <c r="J18" s="166" t="s">
        <v>85</v>
      </c>
      <c r="K18" s="167"/>
      <c r="L18" s="167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832</v>
      </c>
      <c r="J19" s="166" t="s">
        <v>86</v>
      </c>
      <c r="K19" s="167"/>
      <c r="L19" s="167"/>
      <c r="M19" s="152" t="s">
        <v>112</v>
      </c>
    </row>
    <row r="20" spans="3:13" x14ac:dyDescent="0.25">
      <c r="C20" t="s">
        <v>833</v>
      </c>
      <c r="J20" s="152" t="s">
        <v>87</v>
      </c>
      <c r="M20" s="152" t="s">
        <v>218</v>
      </c>
    </row>
    <row r="21" spans="3:13" x14ac:dyDescent="0.25">
      <c r="C21" t="s">
        <v>834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835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836</v>
      </c>
      <c r="J23" s="168" t="s">
        <v>95</v>
      </c>
      <c r="M23" s="152" t="str">
        <f>"-07"</f>
        <v>-07</v>
      </c>
    </row>
    <row r="24" spans="3:13" x14ac:dyDescent="0.25">
      <c r="C24" t="s">
        <v>832</v>
      </c>
      <c r="J24" s="152" t="s">
        <v>108</v>
      </c>
      <c r="M24" s="152" t="s">
        <v>110</v>
      </c>
    </row>
    <row r="25" spans="3:13" x14ac:dyDescent="0.25">
      <c r="C25" t="s">
        <v>833</v>
      </c>
      <c r="J25" s="152" t="s">
        <v>150</v>
      </c>
      <c r="M25" s="152" t="b">
        <v>1</v>
      </c>
    </row>
    <row r="26" spans="3:13" x14ac:dyDescent="0.25">
      <c r="C26" t="s">
        <v>834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C:\Users\stu\Documents\GitHub\eaglep3-reporting\EC\2017-02-02-refined-times.txt</v>
      </c>
    </row>
    <row r="27" spans="3:13" x14ac:dyDescent="0.25">
      <c r="C27" t="s">
        <v>833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C:\Users\stu\Documents\GitHub\eaglep3-reporting\EC\2017-02-02-Enforcements.txt</v>
      </c>
    </row>
    <row r="28" spans="3:13" x14ac:dyDescent="0.25">
      <c r="C28" t="s">
        <v>837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C:\Users\stu\Documents\GitHub\eaglep3-reporting\EC\2017-02-02-Runs-refined.txt</v>
      </c>
    </row>
    <row r="29" spans="3:13" x14ac:dyDescent="0.25">
      <c r="C29" t="s">
        <v>831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C:\Users\stu\Documents\GitHub\eaglep3-reporting\EC\2017-02-02-Trips.txt</v>
      </c>
    </row>
    <row r="30" spans="3:13" x14ac:dyDescent="0.25">
      <c r="C30" t="s">
        <v>831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C:\Users\stu\Documents\GitHub\eaglep3-reporting\EC\2017-02-02-Weather.txt</v>
      </c>
    </row>
    <row r="31" spans="3:13" x14ac:dyDescent="0.25">
      <c r="C31" t="s">
        <v>831</v>
      </c>
      <c r="J31" s="152" t="s">
        <v>216</v>
      </c>
      <c r="M31" s="152" t="s">
        <v>217</v>
      </c>
    </row>
    <row r="32" spans="3:13" x14ac:dyDescent="0.25">
      <c r="C32" t="s">
        <v>838</v>
      </c>
    </row>
    <row r="33" spans="3:3" x14ac:dyDescent="0.25">
      <c r="C33" t="s">
        <v>839</v>
      </c>
    </row>
    <row r="34" spans="3:3" x14ac:dyDescent="0.25">
      <c r="C34" t="s">
        <v>838</v>
      </c>
    </row>
    <row r="35" spans="3:3" x14ac:dyDescent="0.25">
      <c r="C35" t="s">
        <v>836</v>
      </c>
    </row>
    <row r="36" spans="3:3" x14ac:dyDescent="0.25">
      <c r="C36" t="s">
        <v>837</v>
      </c>
    </row>
    <row r="37" spans="3:3" x14ac:dyDescent="0.25">
      <c r="C37" t="s">
        <v>837</v>
      </c>
    </row>
    <row r="38" spans="3:3" x14ac:dyDescent="0.25">
      <c r="C38" t="s">
        <v>840</v>
      </c>
    </row>
    <row r="39" spans="3:3" x14ac:dyDescent="0.25">
      <c r="C39" t="s">
        <v>841</v>
      </c>
    </row>
    <row r="40" spans="3:3" x14ac:dyDescent="0.25">
      <c r="C40" t="s">
        <v>831</v>
      </c>
    </row>
    <row r="41" spans="3:3" x14ac:dyDescent="0.25">
      <c r="C41" t="s">
        <v>831</v>
      </c>
    </row>
    <row r="42" spans="3:3" x14ac:dyDescent="0.25">
      <c r="C42" t="s">
        <v>834</v>
      </c>
    </row>
    <row r="43" spans="3:3" x14ac:dyDescent="0.25">
      <c r="C43" t="s">
        <v>842</v>
      </c>
    </row>
    <row r="44" spans="3:3" x14ac:dyDescent="0.25">
      <c r="C44" t="s">
        <v>843</v>
      </c>
    </row>
    <row r="45" spans="3:3" x14ac:dyDescent="0.25">
      <c r="C45" t="s">
        <v>843</v>
      </c>
    </row>
    <row r="46" spans="3:3" x14ac:dyDescent="0.25">
      <c r="C46" t="s">
        <v>844</v>
      </c>
    </row>
    <row r="47" spans="3:3" x14ac:dyDescent="0.25">
      <c r="C47" t="s">
        <v>845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850</v>
      </c>
      <c r="B1" t="str">
        <f t="shared" ref="B1:B30" si="0">MID(A1,6,23)</f>
        <v>2017/02/02 13:23:38.347</v>
      </c>
      <c r="C1" t="e">
        <f>ABS(B1-#REF!)</f>
        <v>#REF!</v>
      </c>
    </row>
    <row r="2" spans="1:3" x14ac:dyDescent="0.25">
      <c r="A2" t="s">
        <v>851</v>
      </c>
      <c r="B2" s="20" t="str">
        <f t="shared" si="0"/>
        <v>2017/02/02 13:23:38.509</v>
      </c>
      <c r="C2">
        <f>ABS(B2-B1)</f>
        <v>1.8749997252598405E-6</v>
      </c>
    </row>
    <row r="3" spans="1:3" x14ac:dyDescent="0.25">
      <c r="A3" t="s">
        <v>852</v>
      </c>
      <c r="B3" s="20" t="str">
        <f t="shared" si="0"/>
        <v>2017/02/02 14:04:28.693</v>
      </c>
      <c r="C3" s="20">
        <f t="shared" ref="C3:C30" si="1">ABS(B3-B2)</f>
        <v>2.8358611110888887E-2</v>
      </c>
    </row>
    <row r="4" spans="1:3" x14ac:dyDescent="0.25">
      <c r="A4" t="s">
        <v>853</v>
      </c>
      <c r="B4" s="20" t="str">
        <f t="shared" si="0"/>
        <v>2017/02/02 14:04:28.994</v>
      </c>
      <c r="C4" s="20">
        <f t="shared" si="1"/>
        <v>3.483793989289552E-6</v>
      </c>
    </row>
    <row r="5" spans="1:3" x14ac:dyDescent="0.25">
      <c r="A5" t="s">
        <v>854</v>
      </c>
      <c r="B5" s="20" t="str">
        <f t="shared" si="0"/>
        <v>2017/02/02 14:04:29.154</v>
      </c>
      <c r="C5" s="20">
        <f t="shared" si="1"/>
        <v>1.851854904089123E-6</v>
      </c>
    </row>
    <row r="6" spans="1:3" x14ac:dyDescent="0.25">
      <c r="A6" t="s">
        <v>855</v>
      </c>
      <c r="B6" s="20" t="str">
        <f t="shared" si="0"/>
        <v>2017/02/02 14:21:42.185</v>
      </c>
      <c r="C6" s="20">
        <f t="shared" si="1"/>
        <v>1.1956377311435062E-2</v>
      </c>
    </row>
    <row r="7" spans="1:3" x14ac:dyDescent="0.25">
      <c r="A7" t="s">
        <v>856</v>
      </c>
      <c r="B7" s="20" t="str">
        <f t="shared" si="0"/>
        <v>2017/02/02 14:21:42.222</v>
      </c>
      <c r="C7" s="20">
        <f t="shared" si="1"/>
        <v>4.282410372979939E-7</v>
      </c>
    </row>
    <row r="8" spans="1:3" x14ac:dyDescent="0.25">
      <c r="A8" t="s">
        <v>857</v>
      </c>
      <c r="B8" s="20" t="str">
        <f t="shared" si="0"/>
        <v>2017/02/02 14:21:42.756</v>
      </c>
      <c r="C8" s="20">
        <f t="shared" si="1"/>
        <v>6.180554919410497E-6</v>
      </c>
    </row>
    <row r="9" spans="1:3" x14ac:dyDescent="0.25">
      <c r="A9" t="s">
        <v>858</v>
      </c>
      <c r="B9" s="20" t="str">
        <f t="shared" si="0"/>
        <v>2017/02/02 14:48:20.986</v>
      </c>
      <c r="C9" s="20">
        <f t="shared" si="1"/>
        <v>1.8498032412026078E-2</v>
      </c>
    </row>
    <row r="10" spans="1:3" x14ac:dyDescent="0.25">
      <c r="A10" t="s">
        <v>859</v>
      </c>
      <c r="B10" s="20" t="str">
        <f t="shared" si="0"/>
        <v>2017/02/02 14:48:21.182</v>
      </c>
      <c r="C10" s="20">
        <f t="shared" si="1"/>
        <v>2.2685198928229511E-6</v>
      </c>
    </row>
    <row r="11" spans="1:3" x14ac:dyDescent="0.25">
      <c r="A11" t="s">
        <v>860</v>
      </c>
      <c r="B11" s="20" t="str">
        <f t="shared" si="0"/>
        <v>2017/02/02 14:48:21.752</v>
      </c>
      <c r="C11" s="20">
        <f t="shared" si="1"/>
        <v>6.597219908144325E-6</v>
      </c>
    </row>
    <row r="12" spans="1:3" x14ac:dyDescent="0.25">
      <c r="A12" t="s">
        <v>861</v>
      </c>
      <c r="B12" s="20" t="str">
        <f t="shared" si="0"/>
        <v>2017/02/02 15:26:15.951</v>
      </c>
      <c r="C12" s="20">
        <f t="shared" si="1"/>
        <v>2.6321747682231944E-2</v>
      </c>
    </row>
    <row r="13" spans="1:3" x14ac:dyDescent="0.25">
      <c r="A13" t="s">
        <v>862</v>
      </c>
      <c r="B13" s="20" t="str">
        <f t="shared" si="0"/>
        <v>2017/02/02 15:26:15.964</v>
      </c>
      <c r="C13" s="20">
        <f t="shared" si="1"/>
        <v>1.5046680346131325E-7</v>
      </c>
    </row>
    <row r="14" spans="1:3" x14ac:dyDescent="0.25">
      <c r="A14" t="s">
        <v>863</v>
      </c>
      <c r="B14" s="20" t="str">
        <f t="shared" si="0"/>
        <v>2017/02/02 15:26:16.086</v>
      </c>
      <c r="C14" s="20">
        <f t="shared" si="1"/>
        <v>1.4120378182269633E-6</v>
      </c>
    </row>
    <row r="15" spans="1:3" x14ac:dyDescent="0.25">
      <c r="A15" t="s">
        <v>864</v>
      </c>
      <c r="B15" s="20" t="str">
        <f t="shared" si="0"/>
        <v>2017/02/02 15:36:15.778</v>
      </c>
      <c r="C15" s="20">
        <f t="shared" si="1"/>
        <v>6.9408796261996031E-3</v>
      </c>
    </row>
    <row r="16" spans="1:3" x14ac:dyDescent="0.25">
      <c r="A16" t="s">
        <v>865</v>
      </c>
      <c r="B16" s="20" t="str">
        <f t="shared" si="0"/>
        <v>2017/02/02 15:36:16.920</v>
      </c>
      <c r="C16" s="20">
        <f t="shared" si="1"/>
        <v>1.3217591913416982E-5</v>
      </c>
    </row>
    <row r="17" spans="1:3" x14ac:dyDescent="0.25">
      <c r="A17" t="s">
        <v>866</v>
      </c>
      <c r="B17" s="20" t="str">
        <f t="shared" si="0"/>
        <v>2017/02/02 15:36:17.400</v>
      </c>
      <c r="C17" s="20">
        <f t="shared" si="1"/>
        <v>5.5555574363097548E-6</v>
      </c>
    </row>
    <row r="18" spans="1:3" x14ac:dyDescent="0.25">
      <c r="A18" t="s">
        <v>867</v>
      </c>
      <c r="B18" s="20" t="str">
        <f t="shared" si="0"/>
        <v>2017/02/02 16:51:30.559</v>
      </c>
      <c r="C18" s="20">
        <f t="shared" si="1"/>
        <v>5.223563657636987E-2</v>
      </c>
    </row>
    <row r="19" spans="1:3" x14ac:dyDescent="0.25">
      <c r="A19" t="s">
        <v>868</v>
      </c>
      <c r="B19" s="20" t="str">
        <f t="shared" si="0"/>
        <v>2017/02/02 16:51:30.912</v>
      </c>
      <c r="C19" s="20">
        <f t="shared" si="1"/>
        <v>4.0856466512195766E-6</v>
      </c>
    </row>
    <row r="20" spans="1:3" x14ac:dyDescent="0.25">
      <c r="A20" t="s">
        <v>869</v>
      </c>
      <c r="B20" s="20" t="str">
        <f t="shared" si="0"/>
        <v>2017/02/02 16:51:31.380</v>
      </c>
      <c r="C20" s="20">
        <f t="shared" si="1"/>
        <v>5.4166666814126074E-6</v>
      </c>
    </row>
    <row r="21" spans="1:3" x14ac:dyDescent="0.25">
      <c r="A21" t="s">
        <v>870</v>
      </c>
      <c r="B21" s="20" t="str">
        <f t="shared" si="0"/>
        <v>2017/02/02 16:52:05.919</v>
      </c>
      <c r="C21" s="20">
        <f t="shared" si="1"/>
        <v>3.9975694380700588E-4</v>
      </c>
    </row>
    <row r="22" spans="1:3" x14ac:dyDescent="0.25">
      <c r="A22" t="s">
        <v>871</v>
      </c>
      <c r="B22" s="20" t="str">
        <f t="shared" si="0"/>
        <v>2017/02/02 16:52:06.371</v>
      </c>
      <c r="C22" s="20">
        <f t="shared" si="1"/>
        <v>5.2314790082164109E-6</v>
      </c>
    </row>
    <row r="23" spans="1:3" x14ac:dyDescent="0.25">
      <c r="A23" t="s">
        <v>872</v>
      </c>
      <c r="B23" s="20" t="str">
        <f t="shared" si="0"/>
        <v>2017/02/02 16:52:08.554</v>
      </c>
      <c r="C23" s="20">
        <f t="shared" si="1"/>
        <v>2.5266206648666412E-5</v>
      </c>
    </row>
    <row r="24" spans="1:3" x14ac:dyDescent="0.25">
      <c r="A24" t="s">
        <v>873</v>
      </c>
      <c r="B24" s="20" t="str">
        <f t="shared" si="0"/>
        <v>2017/02/02 16:55:07.476</v>
      </c>
      <c r="C24" s="20">
        <f t="shared" si="1"/>
        <v>2.0708564770757221E-3</v>
      </c>
    </row>
    <row r="25" spans="1:3" x14ac:dyDescent="0.25">
      <c r="A25" t="s">
        <v>874</v>
      </c>
      <c r="B25" s="20" t="str">
        <f t="shared" si="0"/>
        <v>2017/02/02 16:55:07.641</v>
      </c>
      <c r="C25" s="20">
        <f t="shared" si="1"/>
        <v>1.909727870952338E-6</v>
      </c>
    </row>
    <row r="26" spans="1:3" x14ac:dyDescent="0.25">
      <c r="A26" t="s">
        <v>875</v>
      </c>
      <c r="B26" s="20" t="str">
        <f t="shared" si="0"/>
        <v>2017/02/02 17:23:18.412</v>
      </c>
      <c r="C26" s="20">
        <f t="shared" si="1"/>
        <v>1.9569108793803025E-2</v>
      </c>
    </row>
    <row r="27" spans="1:3" x14ac:dyDescent="0.25">
      <c r="A27" t="s">
        <v>876</v>
      </c>
      <c r="B27" s="20" t="str">
        <f t="shared" si="0"/>
        <v>2017/02/02 17:47:02.206</v>
      </c>
      <c r="C27" s="20">
        <f t="shared" si="1"/>
        <v>1.6479097219416872E-2</v>
      </c>
    </row>
    <row r="28" spans="1:3" x14ac:dyDescent="0.25">
      <c r="A28" t="s">
        <v>877</v>
      </c>
      <c r="B28" s="20" t="str">
        <f t="shared" si="0"/>
        <v>2017/02/02 17:51:41.353</v>
      </c>
      <c r="C28" s="20">
        <f t="shared" si="1"/>
        <v>3.2308680602000095E-3</v>
      </c>
    </row>
    <row r="29" spans="1:3" x14ac:dyDescent="0.25">
      <c r="A29" t="s">
        <v>878</v>
      </c>
      <c r="B29" s="20" t="str">
        <f t="shared" si="0"/>
        <v>2017/02/02 17:52:57.736</v>
      </c>
      <c r="C29" s="20">
        <f t="shared" si="1"/>
        <v>8.8406250142725185E-4</v>
      </c>
    </row>
    <row r="30" spans="1:3" x14ac:dyDescent="0.25">
      <c r="A30" t="s">
        <v>879</v>
      </c>
      <c r="B30" s="20" t="str">
        <f t="shared" si="0"/>
        <v>2017/02/02 17:52:57.779</v>
      </c>
      <c r="C30" s="20">
        <f t="shared" si="1"/>
        <v>4.9768277676776052E-7</v>
      </c>
    </row>
    <row r="31" spans="1:3" x14ac:dyDescent="0.25">
      <c r="A31" t="s">
        <v>880</v>
      </c>
      <c r="B31" s="20" t="str">
        <f t="shared" ref="B31:B32" si="2">MID(A31,6,23)</f>
        <v>2017/02/02 18:17:02.566</v>
      </c>
      <c r="C31" s="20">
        <f t="shared" ref="C31:C32" si="3">ABS(B31-B30)</f>
        <v>1.6722071755793877E-2</v>
      </c>
    </row>
    <row r="32" spans="1:3" x14ac:dyDescent="0.25">
      <c r="A32" t="s">
        <v>881</v>
      </c>
      <c r="B32" s="20" t="str">
        <f t="shared" si="2"/>
        <v>2017/02/02 18:17:03.367</v>
      </c>
      <c r="C32" s="20">
        <f t="shared" si="3"/>
        <v>9.2708360170945525E-6</v>
      </c>
    </row>
    <row r="33" spans="1:3" x14ac:dyDescent="0.25">
      <c r="A33" t="s">
        <v>882</v>
      </c>
      <c r="B33" s="20" t="str">
        <f t="shared" ref="B33:B49" si="4">MID(A33,6,23)</f>
        <v>2017/02/02 18:36:23.340</v>
      </c>
      <c r="C33" s="20">
        <f t="shared" ref="C33:C49" si="5">ABS(B33-B32)</f>
        <v>1.3425613426079508E-2</v>
      </c>
    </row>
    <row r="34" spans="1:3" x14ac:dyDescent="0.25">
      <c r="A34" t="s">
        <v>883</v>
      </c>
      <c r="B34" s="20" t="str">
        <f t="shared" si="4"/>
        <v>2017/02/02 18:36:23.507</v>
      </c>
      <c r="C34" s="20">
        <f t="shared" si="5"/>
        <v>1.9328726921230555E-6</v>
      </c>
    </row>
    <row r="35" spans="1:3" x14ac:dyDescent="0.25">
      <c r="A35" t="s">
        <v>884</v>
      </c>
      <c r="B35" s="20" t="str">
        <f t="shared" si="4"/>
        <v>2017/02/02 18:36:23.897</v>
      </c>
      <c r="C35" s="20">
        <f t="shared" si="5"/>
        <v>4.5138876885175705E-6</v>
      </c>
    </row>
    <row r="36" spans="1:3" x14ac:dyDescent="0.25">
      <c r="A36" t="s">
        <v>885</v>
      </c>
      <c r="B36" s="20" t="str">
        <f t="shared" si="4"/>
        <v>2017/02/02 19:53:50.567</v>
      </c>
      <c r="C36" s="20">
        <f t="shared" si="5"/>
        <v>5.3780902773723938E-2</v>
      </c>
    </row>
    <row r="37" spans="1:3" x14ac:dyDescent="0.25">
      <c r="A37" t="s">
        <v>886</v>
      </c>
      <c r="B37" s="20" t="str">
        <f t="shared" si="4"/>
        <v>2017/02/02 19:53:51.381</v>
      </c>
      <c r="C37" s="20">
        <f t="shared" si="5"/>
        <v>9.4212955445982516E-6</v>
      </c>
    </row>
    <row r="38" spans="1:3" x14ac:dyDescent="0.25">
      <c r="A38" t="s">
        <v>887</v>
      </c>
      <c r="B38" s="20" t="str">
        <f t="shared" si="4"/>
        <v>2017/02/02 19:54:47.379</v>
      </c>
      <c r="C38" s="20">
        <f t="shared" si="5"/>
        <v>6.4812500204425305E-4</v>
      </c>
    </row>
    <row r="39" spans="1:3" x14ac:dyDescent="0.25">
      <c r="A39" t="s">
        <v>888</v>
      </c>
      <c r="B39" s="20" t="str">
        <f t="shared" si="4"/>
        <v>2017/02/02 20:35:40.453</v>
      </c>
      <c r="C39" s="20">
        <f t="shared" si="5"/>
        <v>2.8392060186888557E-2</v>
      </c>
    </row>
    <row r="40" spans="1:3" x14ac:dyDescent="0.25">
      <c r="A40" t="s">
        <v>889</v>
      </c>
      <c r="B40" s="20" t="str">
        <f t="shared" si="4"/>
        <v>2017/02/02 22:43:32.781</v>
      </c>
      <c r="C40" s="20">
        <f t="shared" si="5"/>
        <v>8.8800092591554858E-2</v>
      </c>
    </row>
    <row r="41" spans="1:3" x14ac:dyDescent="0.25">
      <c r="A41" t="s">
        <v>890</v>
      </c>
      <c r="B41" s="20" t="str">
        <f t="shared" si="4"/>
        <v>2017/02/02 22:43:34.398</v>
      </c>
      <c r="C41" s="20">
        <f t="shared" si="5"/>
        <v>1.8715276382863522E-5</v>
      </c>
    </row>
    <row r="42" spans="1:3" x14ac:dyDescent="0.25">
      <c r="A42" t="s">
        <v>891</v>
      </c>
      <c r="B42" s="20" t="str">
        <f t="shared" si="4"/>
        <v>2017/02/03 00:27:13.281</v>
      </c>
      <c r="C42" s="20">
        <f t="shared" si="5"/>
        <v>7.1977812505792826E-2</v>
      </c>
    </row>
    <row r="43" spans="1:3" x14ac:dyDescent="0.25">
      <c r="A43" t="s">
        <v>892</v>
      </c>
      <c r="B43" s="20" t="str">
        <f t="shared" si="4"/>
        <v>2017/02/03 00:27:13.461</v>
      </c>
      <c r="C43" s="20">
        <f t="shared" si="5"/>
        <v>2.0833322196267545E-6</v>
      </c>
    </row>
    <row r="44" spans="1:3" x14ac:dyDescent="0.25">
      <c r="A44" t="s">
        <v>893</v>
      </c>
      <c r="B44" s="20" t="str">
        <f t="shared" si="4"/>
        <v>2017/02/03 00:27:14.083</v>
      </c>
      <c r="C44" s="20">
        <f t="shared" si="5"/>
        <v>7.1990725700743496E-6</v>
      </c>
    </row>
    <row r="45" spans="1:3" x14ac:dyDescent="0.25">
      <c r="A45" t="s">
        <v>894</v>
      </c>
      <c r="B45" s="20" t="str">
        <f t="shared" si="4"/>
        <v>2017/02/03 01:27:26.085</v>
      </c>
      <c r="C45" s="20">
        <f t="shared" si="5"/>
        <v>4.1805578701314516E-2</v>
      </c>
    </row>
    <row r="46" spans="1:3" x14ac:dyDescent="0.25">
      <c r="A46" t="s">
        <v>895</v>
      </c>
      <c r="B46" s="20" t="str">
        <f t="shared" si="4"/>
        <v>2017/02/03 01:27:26.460</v>
      </c>
      <c r="C46" s="20">
        <f t="shared" si="5"/>
        <v>4.3402760638855398E-6</v>
      </c>
    </row>
    <row r="47" spans="1:3" x14ac:dyDescent="0.25">
      <c r="A47" t="s">
        <v>896</v>
      </c>
      <c r="B47" s="20" t="str">
        <f t="shared" si="4"/>
        <v>2017/02/03 01:27:27.274</v>
      </c>
      <c r="C47" s="20">
        <f t="shared" si="5"/>
        <v>9.4213028205558658E-6</v>
      </c>
    </row>
    <row r="48" spans="1:3" x14ac:dyDescent="0.25">
      <c r="A48" t="s">
        <v>897</v>
      </c>
      <c r="B48" s="20" t="str">
        <f t="shared" si="4"/>
        <v>2017/02/03 01:36:14.411</v>
      </c>
      <c r="C48" s="20">
        <f t="shared" si="5"/>
        <v>6.1011226789560169E-3</v>
      </c>
    </row>
    <row r="49" spans="1:3" x14ac:dyDescent="0.25">
      <c r="A49" t="s">
        <v>898</v>
      </c>
      <c r="B49" s="20" t="str">
        <f t="shared" si="4"/>
        <v>2017/02/03 01:36:14.993</v>
      </c>
      <c r="C49" s="20">
        <f t="shared" si="5"/>
        <v>6.7361106630414724E-6</v>
      </c>
    </row>
    <row r="50" spans="1:3" x14ac:dyDescent="0.25">
      <c r="A50" t="s">
        <v>899</v>
      </c>
      <c r="B50" s="20" t="str">
        <f t="shared" ref="B50:B54" si="6">MID(A50,6,23)</f>
        <v>2017/02/03 01:36:15.019</v>
      </c>
      <c r="C50" s="20">
        <f t="shared" ref="C50:C54" si="7">ABS(B50-B49)</f>
        <v>3.0092633096501231E-7</v>
      </c>
    </row>
    <row r="51" spans="1:3" x14ac:dyDescent="0.25">
      <c r="A51" t="s">
        <v>900</v>
      </c>
      <c r="B51" s="20" t="str">
        <f t="shared" si="6"/>
        <v>2017/02/03 02:28:20.686</v>
      </c>
      <c r="C51" s="20">
        <f t="shared" si="7"/>
        <v>3.6176701389194932E-2</v>
      </c>
    </row>
    <row r="52" spans="1:3" x14ac:dyDescent="0.25">
      <c r="A52" t="s">
        <v>901</v>
      </c>
      <c r="B52" s="20" t="str">
        <f t="shared" si="6"/>
        <v>2017/02/03 02:28:21.331</v>
      </c>
      <c r="C52" s="20">
        <f t="shared" si="7"/>
        <v>7.4652780313044786E-6</v>
      </c>
    </row>
    <row r="53" spans="1:3" x14ac:dyDescent="0.25">
      <c r="A53" t="s">
        <v>902</v>
      </c>
      <c r="B53" s="20" t="str">
        <f t="shared" si="6"/>
        <v>2017/02/03 02:28:21.373</v>
      </c>
      <c r="C53" s="20">
        <f t="shared" si="7"/>
        <v>4.8611400416120887E-7</v>
      </c>
    </row>
    <row r="54" spans="1:3" x14ac:dyDescent="0.25">
      <c r="A54" t="s">
        <v>903</v>
      </c>
      <c r="B54" s="20" t="str">
        <f t="shared" si="6"/>
        <v>2017/02/03 02:35:37.922</v>
      </c>
      <c r="C54" s="20">
        <f t="shared" si="7"/>
        <v>5.0526504637673497E-3</v>
      </c>
    </row>
    <row r="55" spans="1:3" x14ac:dyDescent="0.25">
      <c r="A55" t="s">
        <v>904</v>
      </c>
      <c r="B55" s="20" t="str">
        <f t="shared" ref="B55:B74" si="8">MID(A55,6,23)</f>
        <v>2017/02/03 02:35:37.943</v>
      </c>
      <c r="C55" s="20">
        <f t="shared" ref="C55:C74" si="9">ABS(B55-B54)</f>
        <v>2.4305336410179734E-7</v>
      </c>
    </row>
    <row r="56" spans="1:3" x14ac:dyDescent="0.25">
      <c r="A56" t="s">
        <v>905</v>
      </c>
      <c r="B56" s="20" t="str">
        <f t="shared" si="8"/>
        <v>2017/02/03 03:08:06.796</v>
      </c>
      <c r="C56" s="20">
        <f t="shared" si="9"/>
        <v>2.2556168980372604E-2</v>
      </c>
    </row>
    <row r="57" spans="1:3" x14ac:dyDescent="0.25">
      <c r="A57" t="s">
        <v>906</v>
      </c>
      <c r="B57" s="20" t="str">
        <f t="shared" si="8"/>
        <v>2017/02/03 03:08:06.975</v>
      </c>
      <c r="C57" s="20">
        <f t="shared" si="9"/>
        <v>2.0717634470202029E-6</v>
      </c>
    </row>
    <row r="58" spans="1:3" x14ac:dyDescent="0.25">
      <c r="A58" t="s">
        <v>907</v>
      </c>
      <c r="B58" s="20" t="str">
        <f t="shared" si="8"/>
        <v>2017/02/03 03:08:07.140</v>
      </c>
      <c r="C58" s="20">
        <f t="shared" si="9"/>
        <v>1.9097205949947238E-6</v>
      </c>
    </row>
    <row r="59" spans="1:3" x14ac:dyDescent="0.25">
      <c r="A59" t="s">
        <v>908</v>
      </c>
      <c r="B59" s="20" t="str">
        <f t="shared" si="8"/>
        <v>2017/02/03 03:36:46.408</v>
      </c>
      <c r="C59" s="20">
        <f t="shared" si="9"/>
        <v>1.9898935184755828E-2</v>
      </c>
    </row>
    <row r="60" spans="1:3" x14ac:dyDescent="0.25">
      <c r="A60" t="s">
        <v>909</v>
      </c>
      <c r="B60" s="20" t="str">
        <f t="shared" si="8"/>
        <v>2017/02/03 03:36:46.999</v>
      </c>
      <c r="C60" s="20">
        <f t="shared" si="9"/>
        <v>6.8402805482037365E-6</v>
      </c>
    </row>
    <row r="61" spans="1:3" x14ac:dyDescent="0.25">
      <c r="A61" t="s">
        <v>910</v>
      </c>
      <c r="B61" s="20" t="str">
        <f t="shared" si="8"/>
        <v>2017/02/03 03:36:47.034</v>
      </c>
      <c r="C61" s="20">
        <f t="shared" si="9"/>
        <v>4.0508894016966224E-7</v>
      </c>
    </row>
    <row r="62" spans="1:3" x14ac:dyDescent="0.25">
      <c r="A62" t="s">
        <v>911</v>
      </c>
      <c r="B62" s="20" t="str">
        <f t="shared" si="8"/>
        <v>2017/02/03 04:55:49.662</v>
      </c>
      <c r="C62" s="20">
        <f t="shared" si="9"/>
        <v>5.4891527775907889E-2</v>
      </c>
    </row>
    <row r="63" spans="1:3" x14ac:dyDescent="0.25">
      <c r="A63" t="s">
        <v>912</v>
      </c>
      <c r="B63" s="20" t="str">
        <f t="shared" si="8"/>
        <v>2017/02/03 04:55:50.376</v>
      </c>
      <c r="C63" s="20">
        <f t="shared" si="9"/>
        <v>8.2638944149948657E-6</v>
      </c>
    </row>
    <row r="64" spans="1:3" x14ac:dyDescent="0.25">
      <c r="A64" t="s">
        <v>913</v>
      </c>
      <c r="B64" s="20" t="str">
        <f t="shared" si="8"/>
        <v>2017/02/03 05:03:14.671</v>
      </c>
      <c r="C64" s="20">
        <f t="shared" si="9"/>
        <v>5.1423032346065156E-3</v>
      </c>
    </row>
    <row r="65" spans="1:3" x14ac:dyDescent="0.25">
      <c r="A65" t="s">
        <v>914</v>
      </c>
      <c r="B65" s="20" t="str">
        <f t="shared" si="8"/>
        <v>2017/02/03 05:03:16.315</v>
      </c>
      <c r="C65" s="20">
        <f t="shared" si="9"/>
        <v>1.90277787623927E-5</v>
      </c>
    </row>
    <row r="66" spans="1:3" x14ac:dyDescent="0.25">
      <c r="A66" t="s">
        <v>915</v>
      </c>
      <c r="B66" s="20" t="str">
        <f t="shared" si="8"/>
        <v>2017/02/03 05:03:16.362</v>
      </c>
      <c r="C66" s="20">
        <f t="shared" si="9"/>
        <v>5.4398697102442384E-7</v>
      </c>
    </row>
    <row r="67" spans="1:3" x14ac:dyDescent="0.25">
      <c r="A67" t="s">
        <v>916</v>
      </c>
      <c r="B67" s="20" t="str">
        <f t="shared" si="8"/>
        <v>2017/02/03 06:51:53.709</v>
      </c>
      <c r="C67" s="20">
        <f t="shared" si="9"/>
        <v>7.5432256940985098E-2</v>
      </c>
    </row>
    <row r="68" spans="1:3" x14ac:dyDescent="0.25">
      <c r="A68" t="s">
        <v>917</v>
      </c>
      <c r="B68" s="20" t="str">
        <f t="shared" si="8"/>
        <v>2017/02/03 07:03:32.365</v>
      </c>
      <c r="C68" s="20">
        <f t="shared" si="9"/>
        <v>8.0862962931860238E-3</v>
      </c>
    </row>
    <row r="69" spans="1:3" x14ac:dyDescent="0.25">
      <c r="A69" t="s">
        <v>918</v>
      </c>
      <c r="B69" s="20" t="str">
        <f t="shared" si="8"/>
        <v>2017/02/03 07:03:32.827</v>
      </c>
      <c r="C69" s="20">
        <f t="shared" si="9"/>
        <v>5.3472249419428408E-6</v>
      </c>
    </row>
    <row r="70" spans="1:3" x14ac:dyDescent="0.25">
      <c r="A70" t="s">
        <v>919</v>
      </c>
      <c r="B70" s="20" t="str">
        <f t="shared" si="8"/>
        <v>2017/02/03 08:03:54.498</v>
      </c>
      <c r="C70" s="20">
        <f t="shared" si="9"/>
        <v>4.1917488430044614E-2</v>
      </c>
    </row>
    <row r="71" spans="1:3" x14ac:dyDescent="0.25">
      <c r="A71" t="s">
        <v>920</v>
      </c>
      <c r="B71" s="20" t="str">
        <f t="shared" si="8"/>
        <v>2017/02/03 08:03:54.854</v>
      </c>
      <c r="C71" s="20">
        <f t="shared" si="9"/>
        <v>4.1203675209544599E-6</v>
      </c>
    </row>
    <row r="72" spans="1:3" x14ac:dyDescent="0.25">
      <c r="A72" t="s">
        <v>921</v>
      </c>
      <c r="B72" s="20" t="str">
        <f t="shared" si="8"/>
        <v>2017/02/03 08:04:07.975</v>
      </c>
      <c r="C72" s="20">
        <f t="shared" si="9"/>
        <v>1.5186342352535576E-4</v>
      </c>
    </row>
    <row r="73" spans="1:3" x14ac:dyDescent="0.25">
      <c r="A73" t="s">
        <v>922</v>
      </c>
      <c r="B73" s="20" t="str">
        <f t="shared" si="8"/>
        <v>2017/02/03 08:04:08.013</v>
      </c>
      <c r="C73" s="20">
        <f t="shared" si="9"/>
        <v>4.3981708586215973E-7</v>
      </c>
    </row>
    <row r="74" spans="1:3" x14ac:dyDescent="0.25">
      <c r="A74" t="s">
        <v>923</v>
      </c>
      <c r="B74" s="20" t="str">
        <f t="shared" si="8"/>
        <v>2017/02/03 08:04:08.394</v>
      </c>
      <c r="C74" s="20">
        <f t="shared" si="9"/>
        <v>4.4097250793129206E-6</v>
      </c>
    </row>
    <row r="75" spans="1:3" x14ac:dyDescent="0.25">
      <c r="B75" s="20"/>
      <c r="C75" s="20"/>
    </row>
    <row r="76" spans="1:3" x14ac:dyDescent="0.25">
      <c r="B76" s="20"/>
      <c r="C76" s="20"/>
    </row>
    <row r="77" spans="1:3" x14ac:dyDescent="0.25">
      <c r="B77" s="20"/>
      <c r="C77" s="20"/>
    </row>
    <row r="78" spans="1:3" x14ac:dyDescent="0.25">
      <c r="B78" s="20"/>
      <c r="C78" s="20"/>
    </row>
    <row r="79" spans="1:3" x14ac:dyDescent="0.25">
      <c r="B79" s="20"/>
      <c r="C79" s="20"/>
    </row>
    <row r="80" spans="1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2017-02-03T16:25:20Z</dcterms:modified>
</cp:coreProperties>
</file>