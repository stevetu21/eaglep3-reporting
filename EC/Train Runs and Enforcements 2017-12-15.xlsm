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Enforcements!$A$6:$AC$14</definedName>
    <definedName name="_xlnm._FilterDatabase" localSheetId="2" hidden="1">'Missing Trips'!$A$2:$J$26</definedName>
    <definedName name="_xlnm._FilterDatabase" localSheetId="0" hidden="1">'Train Runs'!$A$12:$AG$550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Runs'!$A$12:$J$82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10" i="1" l="1"/>
  <c r="Y210" i="1"/>
  <c r="Y211" i="1"/>
  <c r="Y212" i="1"/>
  <c r="Y213" i="1"/>
  <c r="Y214" i="1"/>
  <c r="Y215" i="1"/>
  <c r="K203" i="1"/>
  <c r="L203" i="1"/>
  <c r="M203" i="1"/>
  <c r="N203" i="1"/>
  <c r="V203" i="1"/>
  <c r="Y203" i="1"/>
  <c r="Z203" i="1"/>
  <c r="AA203" i="1" s="1"/>
  <c r="AB203" i="1"/>
  <c r="AC203" i="1"/>
  <c r="AD203" i="1"/>
  <c r="T203" i="1" s="1"/>
  <c r="AE203" i="1"/>
  <c r="AF203" i="1"/>
  <c r="AH203" i="1"/>
  <c r="AM203" i="1"/>
  <c r="AN203" i="1"/>
  <c r="AO203" i="1"/>
  <c r="K204" i="1"/>
  <c r="L204" i="1"/>
  <c r="M204" i="1"/>
  <c r="N204" i="1"/>
  <c r="V204" i="1"/>
  <c r="Y204" i="1"/>
  <c r="Z204" i="1"/>
  <c r="AA204" i="1" s="1"/>
  <c r="AB204" i="1"/>
  <c r="AC204" i="1"/>
  <c r="AD204" i="1"/>
  <c r="T204" i="1" s="1"/>
  <c r="AE204" i="1"/>
  <c r="AF204" i="1"/>
  <c r="AH204" i="1"/>
  <c r="AM204" i="1"/>
  <c r="AN204" i="1"/>
  <c r="AO204" i="1"/>
  <c r="K205" i="1"/>
  <c r="L205" i="1"/>
  <c r="M205" i="1"/>
  <c r="N205" i="1"/>
  <c r="V205" i="1"/>
  <c r="Y205" i="1"/>
  <c r="Z205" i="1"/>
  <c r="AA205" i="1" s="1"/>
  <c r="AB205" i="1"/>
  <c r="AC205" i="1"/>
  <c r="AD205" i="1"/>
  <c r="T205" i="1" s="1"/>
  <c r="AE205" i="1"/>
  <c r="AF205" i="1"/>
  <c r="AH205" i="1"/>
  <c r="AM205" i="1"/>
  <c r="AN205" i="1"/>
  <c r="AO205" i="1"/>
  <c r="K206" i="1"/>
  <c r="L206" i="1"/>
  <c r="M206" i="1"/>
  <c r="N206" i="1"/>
  <c r="V206" i="1"/>
  <c r="Y206" i="1"/>
  <c r="Z206" i="1"/>
  <c r="AA206" i="1" s="1"/>
  <c r="AB206" i="1"/>
  <c r="AC206" i="1"/>
  <c r="AD206" i="1"/>
  <c r="T206" i="1" s="1"/>
  <c r="AE206" i="1"/>
  <c r="AF206" i="1"/>
  <c r="AH206" i="1"/>
  <c r="AM206" i="1"/>
  <c r="AN206" i="1"/>
  <c r="AO206" i="1"/>
  <c r="K207" i="1"/>
  <c r="L207" i="1"/>
  <c r="M207" i="1"/>
  <c r="N207" i="1"/>
  <c r="V207" i="1"/>
  <c r="Y207" i="1"/>
  <c r="Z207" i="1"/>
  <c r="AA207" i="1" s="1"/>
  <c r="AB207" i="1"/>
  <c r="AC207" i="1"/>
  <c r="AD207" i="1"/>
  <c r="T207" i="1" s="1"/>
  <c r="AE207" i="1"/>
  <c r="AF207" i="1"/>
  <c r="AH207" i="1"/>
  <c r="AM207" i="1"/>
  <c r="AN207" i="1"/>
  <c r="AO207" i="1"/>
  <c r="K208" i="1"/>
  <c r="L208" i="1"/>
  <c r="M208" i="1"/>
  <c r="N208" i="1"/>
  <c r="V208" i="1"/>
  <c r="Y208" i="1"/>
  <c r="Z208" i="1"/>
  <c r="AA208" i="1" s="1"/>
  <c r="AB208" i="1"/>
  <c r="AC208" i="1"/>
  <c r="AD208" i="1"/>
  <c r="T208" i="1" s="1"/>
  <c r="AE208" i="1"/>
  <c r="AF208" i="1"/>
  <c r="AH208" i="1"/>
  <c r="AM208" i="1"/>
  <c r="AN208" i="1"/>
  <c r="AO208" i="1"/>
  <c r="K209" i="1"/>
  <c r="L209" i="1"/>
  <c r="M209" i="1"/>
  <c r="N209" i="1"/>
  <c r="V209" i="1"/>
  <c r="Y209" i="1"/>
  <c r="Z209" i="1"/>
  <c r="AA209" i="1" s="1"/>
  <c r="AB209" i="1"/>
  <c r="AC209" i="1"/>
  <c r="AD209" i="1"/>
  <c r="T209" i="1" s="1"/>
  <c r="AE209" i="1"/>
  <c r="AF209" i="1"/>
  <c r="AH209" i="1"/>
  <c r="AM209" i="1"/>
  <c r="AN209" i="1"/>
  <c r="AO209" i="1"/>
  <c r="K210" i="1"/>
  <c r="L210" i="1"/>
  <c r="M210" i="1"/>
  <c r="N210" i="1"/>
  <c r="V210" i="1"/>
  <c r="Z210" i="1"/>
  <c r="AA210" i="1" s="1"/>
  <c r="AB210" i="1"/>
  <c r="AC210" i="1"/>
  <c r="AD210" i="1"/>
  <c r="T210" i="1" s="1"/>
  <c r="AE210" i="1"/>
  <c r="AF210" i="1"/>
  <c r="AH210" i="1"/>
  <c r="AM210" i="1"/>
  <c r="AN210" i="1"/>
  <c r="AO210" i="1"/>
  <c r="K161" i="1"/>
  <c r="L161" i="1"/>
  <c r="M161" i="1"/>
  <c r="P161" i="1" s="1"/>
  <c r="V161" i="1"/>
  <c r="S27" i="3" s="1"/>
  <c r="Y161" i="1"/>
  <c r="Z161" i="1"/>
  <c r="AA161" i="1" s="1"/>
  <c r="AB161" i="1"/>
  <c r="AC161" i="1"/>
  <c r="AD161" i="1"/>
  <c r="T161" i="1" s="1"/>
  <c r="AE161" i="1"/>
  <c r="AF161" i="1"/>
  <c r="AH161" i="1"/>
  <c r="AM161" i="1"/>
  <c r="AN161" i="1"/>
  <c r="AO161" i="1"/>
  <c r="K148" i="1"/>
  <c r="L148" i="1"/>
  <c r="M148" i="1"/>
  <c r="N148" i="1" s="1"/>
  <c r="V148" i="1"/>
  <c r="S25" i="3" s="1"/>
  <c r="AA148" i="1"/>
  <c r="AB148" i="1"/>
  <c r="AC148" i="1"/>
  <c r="AD148" i="1"/>
  <c r="T148" i="1" s="1"/>
  <c r="AE148" i="1"/>
  <c r="R25" i="3" s="1"/>
  <c r="AF148" i="1"/>
  <c r="AH148" i="1"/>
  <c r="AM148" i="1"/>
  <c r="AN148" i="1"/>
  <c r="AO148" i="1"/>
  <c r="K130" i="1"/>
  <c r="L130" i="1"/>
  <c r="M130" i="1"/>
  <c r="N130" i="1" s="1"/>
  <c r="V130" i="1"/>
  <c r="AA130" i="1"/>
  <c r="AB130" i="1"/>
  <c r="AC130" i="1"/>
  <c r="AD130" i="1"/>
  <c r="T130" i="1" s="1"/>
  <c r="AE130" i="1"/>
  <c r="AF130" i="1"/>
  <c r="AH130" i="1"/>
  <c r="AM130" i="1"/>
  <c r="AN130" i="1"/>
  <c r="AO130" i="1"/>
  <c r="K102" i="1"/>
  <c r="L102" i="1"/>
  <c r="M102" i="1"/>
  <c r="N102" i="1" s="1"/>
  <c r="V102" i="1"/>
  <c r="AA102" i="1"/>
  <c r="AB102" i="1"/>
  <c r="AC102" i="1"/>
  <c r="AD102" i="1"/>
  <c r="T102" i="1" s="1"/>
  <c r="AE102" i="1"/>
  <c r="AF102" i="1"/>
  <c r="AH102" i="1"/>
  <c r="AM102" i="1"/>
  <c r="AN102" i="1"/>
  <c r="AO102" i="1"/>
  <c r="K14" i="1"/>
  <c r="L14" i="1"/>
  <c r="M14" i="1"/>
  <c r="N14" i="1" s="1"/>
  <c r="V14" i="1"/>
  <c r="S31" i="3" s="1"/>
  <c r="Y14" i="1"/>
  <c r="Z14" i="1"/>
  <c r="AB14" i="1"/>
  <c r="AC14" i="1"/>
  <c r="AD14" i="1"/>
  <c r="T14" i="1" s="1"/>
  <c r="AE14" i="1"/>
  <c r="R31" i="3" s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P16" i="1" s="1"/>
  <c r="V16" i="1"/>
  <c r="Y16" i="1"/>
  <c r="Z16" i="1"/>
  <c r="AB16" i="1"/>
  <c r="AC16" i="1"/>
  <c r="AD16" i="1"/>
  <c r="T16" i="1" s="1"/>
  <c r="AE16" i="1"/>
  <c r="R28" i="3" s="1"/>
  <c r="AF16" i="1"/>
  <c r="AH16" i="1"/>
  <c r="AM16" i="1"/>
  <c r="AN16" i="1"/>
  <c r="AO16" i="1"/>
  <c r="K17" i="1"/>
  <c r="L17" i="1"/>
  <c r="M17" i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R14" i="3" s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S7" i="3" s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S8" i="3" s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R29" i="3" s="1"/>
  <c r="AF47" i="1"/>
  <c r="AH47" i="1"/>
  <c r="AM47" i="1"/>
  <c r="AN47" i="1"/>
  <c r="AO47" i="1"/>
  <c r="K48" i="1"/>
  <c r="L48" i="1"/>
  <c r="M48" i="1"/>
  <c r="N48" i="1" s="1"/>
  <c r="V48" i="1"/>
  <c r="Y48" i="1"/>
  <c r="Z48" i="1"/>
  <c r="AA48" i="1" s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/>
  <c r="V50" i="1"/>
  <c r="Y50" i="1"/>
  <c r="AA50" i="1" s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V53" i="1"/>
  <c r="S18" i="3" s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P54" i="1" s="1"/>
  <c r="V54" i="1"/>
  <c r="Y54" i="1"/>
  <c r="AA54" i="1" s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T58" i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A60" i="1" s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A62" i="1" s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A65" i="1" s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X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T70" i="1"/>
  <c r="V70" i="1"/>
  <c r="Y70" i="1"/>
  <c r="Z70" i="1"/>
  <c r="AA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A72" i="1" s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T76" i="1"/>
  <c r="V76" i="1"/>
  <c r="Y76" i="1"/>
  <c r="Z76" i="1"/>
  <c r="AA76" i="1" s="1"/>
  <c r="AB76" i="1"/>
  <c r="AC76" i="1"/>
  <c r="AD76" i="1"/>
  <c r="X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A77" i="1" s="1"/>
  <c r="AB77" i="1"/>
  <c r="AC77" i="1"/>
  <c r="AD77" i="1"/>
  <c r="AE77" i="1"/>
  <c r="R19" i="3" s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S9" i="3" s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AO89" i="1"/>
  <c r="K90" i="1"/>
  <c r="L90" i="1"/>
  <c r="M90" i="1"/>
  <c r="N90" i="1" s="1"/>
  <c r="T90" i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A91" i="1" s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A94" i="1" s="1"/>
  <c r="AB94" i="1"/>
  <c r="AC94" i="1"/>
  <c r="AD94" i="1"/>
  <c r="T94" i="1" s="1"/>
  <c r="AE94" i="1"/>
  <c r="AF94" i="1"/>
  <c r="AH94" i="1"/>
  <c r="AM94" i="1"/>
  <c r="AN94" i="1"/>
  <c r="AO94" i="1"/>
  <c r="K95" i="1"/>
  <c r="L95" i="1"/>
  <c r="M95" i="1"/>
  <c r="N95" i="1" s="1"/>
  <c r="T95" i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S33" i="3" s="1"/>
  <c r="Y96" i="1"/>
  <c r="Z96" i="1"/>
  <c r="AB96" i="1"/>
  <c r="AC96" i="1"/>
  <c r="AD96" i="1"/>
  <c r="T96" i="1" s="1"/>
  <c r="AE96" i="1"/>
  <c r="R20" i="3" s="1"/>
  <c r="AF96" i="1"/>
  <c r="AH96" i="1"/>
  <c r="AM96" i="1"/>
  <c r="AN96" i="1"/>
  <c r="AO96" i="1"/>
  <c r="K97" i="1"/>
  <c r="L97" i="1"/>
  <c r="M97" i="1"/>
  <c r="N97" i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T99" i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AO100" i="1"/>
  <c r="K101" i="1"/>
  <c r="L101" i="1"/>
  <c r="M101" i="1"/>
  <c r="N101" i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3" i="1"/>
  <c r="L103" i="1"/>
  <c r="M103" i="1"/>
  <c r="N103" i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A106" i="1" s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S21" i="3" s="1"/>
  <c r="Y107" i="1"/>
  <c r="Z107" i="1"/>
  <c r="AB107" i="1"/>
  <c r="AC107" i="1"/>
  <c r="AD107" i="1"/>
  <c r="X107" i="1" s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A108" i="1" s="1"/>
  <c r="AB108" i="1"/>
  <c r="AC108" i="1"/>
  <c r="AD108" i="1"/>
  <c r="T108" i="1" s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AO109" i="1"/>
  <c r="K110" i="1"/>
  <c r="L110" i="1"/>
  <c r="M110" i="1"/>
  <c r="N110" i="1" s="1"/>
  <c r="V110" i="1"/>
  <c r="S10" i="3" s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N112" i="1" s="1"/>
  <c r="T112" i="1"/>
  <c r="V112" i="1"/>
  <c r="Y112" i="1"/>
  <c r="Z112" i="1"/>
  <c r="AA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AO113" i="1"/>
  <c r="K114" i="1"/>
  <c r="L114" i="1"/>
  <c r="M114" i="1"/>
  <c r="N114" i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T116" i="1"/>
  <c r="V116" i="1"/>
  <c r="Y116" i="1"/>
  <c r="Z116" i="1"/>
  <c r="AA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AO117" i="1"/>
  <c r="K118" i="1"/>
  <c r="L118" i="1"/>
  <c r="M118" i="1"/>
  <c r="N118" i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T120" i="1"/>
  <c r="V120" i="1"/>
  <c r="Y120" i="1"/>
  <c r="Z120" i="1"/>
  <c r="AA120" i="1"/>
  <c r="AB120" i="1"/>
  <c r="AC120" i="1"/>
  <c r="AD120" i="1"/>
  <c r="X120" i="1" s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A121" i="1" s="1"/>
  <c r="AB121" i="1"/>
  <c r="AC121" i="1"/>
  <c r="AD121" i="1"/>
  <c r="T121" i="1" s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AO122" i="1"/>
  <c r="K123" i="1"/>
  <c r="L123" i="1"/>
  <c r="M123" i="1"/>
  <c r="N123" i="1" s="1"/>
  <c r="V123" i="1"/>
  <c r="S23" i="3" s="1"/>
  <c r="Y123" i="1"/>
  <c r="Z123" i="1"/>
  <c r="AB123" i="1"/>
  <c r="AC123" i="1"/>
  <c r="AD123" i="1"/>
  <c r="T123" i="1" s="1"/>
  <c r="AE123" i="1"/>
  <c r="R23" i="3" s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X126" i="1" s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A128" i="1" s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S11" i="3" s="1"/>
  <c r="Y129" i="1"/>
  <c r="Z129" i="1"/>
  <c r="AB129" i="1"/>
  <c r="AC129" i="1"/>
  <c r="AD129" i="1"/>
  <c r="T129" i="1" s="1"/>
  <c r="AE129" i="1"/>
  <c r="AF129" i="1"/>
  <c r="AH129" i="1"/>
  <c r="AM129" i="1"/>
  <c r="AN129" i="1"/>
  <c r="AO129" i="1"/>
  <c r="K131" i="1"/>
  <c r="L131" i="1"/>
  <c r="M131" i="1"/>
  <c r="N131" i="1" s="1"/>
  <c r="V131" i="1"/>
  <c r="AB131" i="1"/>
  <c r="AC131" i="1"/>
  <c r="AD131" i="1"/>
  <c r="T131" i="1" s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A135" i="1" s="1"/>
  <c r="AB135" i="1"/>
  <c r="AC135" i="1"/>
  <c r="AD135" i="1"/>
  <c r="T135" i="1" s="1"/>
  <c r="AE135" i="1"/>
  <c r="AF135" i="1"/>
  <c r="AH135" i="1"/>
  <c r="AM135" i="1"/>
  <c r="AN135" i="1"/>
  <c r="AO135" i="1"/>
  <c r="K136" i="1"/>
  <c r="L136" i="1"/>
  <c r="M136" i="1"/>
  <c r="V136" i="1"/>
  <c r="Y136" i="1"/>
  <c r="Z136" i="1"/>
  <c r="AA136" i="1" s="1"/>
  <c r="AB136" i="1"/>
  <c r="AC136" i="1"/>
  <c r="AD136" i="1"/>
  <c r="T136" i="1" s="1"/>
  <c r="AE136" i="1"/>
  <c r="R24" i="3" s="1"/>
  <c r="AF136" i="1"/>
  <c r="AH136" i="1"/>
  <c r="AM136" i="1"/>
  <c r="AN136" i="1"/>
  <c r="AO136" i="1"/>
  <c r="K137" i="1"/>
  <c r="L137" i="1"/>
  <c r="M137" i="1"/>
  <c r="P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A139" i="1" s="1"/>
  <c r="AB139" i="1"/>
  <c r="AC139" i="1"/>
  <c r="AD139" i="1"/>
  <c r="T139" i="1" s="1"/>
  <c r="AE139" i="1"/>
  <c r="AF139" i="1"/>
  <c r="AH139" i="1"/>
  <c r="AM139" i="1"/>
  <c r="AN139" i="1"/>
  <c r="AO139" i="1"/>
  <c r="K140" i="1"/>
  <c r="L140" i="1"/>
  <c r="M140" i="1"/>
  <c r="N140" i="1" s="1"/>
  <c r="V140" i="1"/>
  <c r="S12" i="3" s="1"/>
  <c r="Y140" i="1"/>
  <c r="Z140" i="1"/>
  <c r="AA140" i="1" s="1"/>
  <c r="AB140" i="1"/>
  <c r="AC140" i="1"/>
  <c r="AD140" i="1"/>
  <c r="T140" i="1" s="1"/>
  <c r="AE140" i="1"/>
  <c r="R12" i="3" s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AO141" i="1"/>
  <c r="K142" i="1"/>
  <c r="L142" i="1"/>
  <c r="M142" i="1"/>
  <c r="N142" i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AO142" i="1"/>
  <c r="K143" i="1"/>
  <c r="L143" i="1"/>
  <c r="M143" i="1"/>
  <c r="N143" i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AO144" i="1"/>
  <c r="K145" i="1"/>
  <c r="L145" i="1"/>
  <c r="M145" i="1"/>
  <c r="N145" i="1" s="1"/>
  <c r="V145" i="1"/>
  <c r="S34" i="3" s="1"/>
  <c r="Y145" i="1"/>
  <c r="Z145" i="1"/>
  <c r="AB145" i="1"/>
  <c r="AC145" i="1"/>
  <c r="AD145" i="1"/>
  <c r="T145" i="1" s="1"/>
  <c r="AE145" i="1"/>
  <c r="R34" i="3" s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S30" i="3" s="1"/>
  <c r="Y147" i="1"/>
  <c r="Z147" i="1"/>
  <c r="AB147" i="1"/>
  <c r="AC147" i="1"/>
  <c r="AD147" i="1"/>
  <c r="AE147" i="1"/>
  <c r="R30" i="3" s="1"/>
  <c r="AF147" i="1"/>
  <c r="AH147" i="1"/>
  <c r="AM147" i="1"/>
  <c r="AN147" i="1"/>
  <c r="AO147" i="1"/>
  <c r="K149" i="1"/>
  <c r="L149" i="1"/>
  <c r="M149" i="1"/>
  <c r="N149" i="1" s="1"/>
  <c r="V149" i="1"/>
  <c r="Y149" i="1"/>
  <c r="Z149" i="1"/>
  <c r="AB149" i="1"/>
  <c r="AC149" i="1"/>
  <c r="AD149" i="1"/>
  <c r="X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AO156" i="1"/>
  <c r="K157" i="1"/>
  <c r="L157" i="1"/>
  <c r="M157" i="1"/>
  <c r="N157" i="1" s="1"/>
  <c r="V157" i="1"/>
  <c r="S26" i="3" s="1"/>
  <c r="Y157" i="1"/>
  <c r="Z157" i="1"/>
  <c r="AB157" i="1"/>
  <c r="AC157" i="1"/>
  <c r="AD157" i="1"/>
  <c r="AE157" i="1"/>
  <c r="R26" i="3" s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AO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AO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60" i="1"/>
  <c r="AM160" i="1"/>
  <c r="AN160" i="1"/>
  <c r="AO160" i="1"/>
  <c r="K211" i="1"/>
  <c r="L211" i="1"/>
  <c r="M211" i="1"/>
  <c r="N211" i="1" s="1"/>
  <c r="V211" i="1"/>
  <c r="Z211" i="1"/>
  <c r="AB211" i="1"/>
  <c r="AC211" i="1"/>
  <c r="AD211" i="1"/>
  <c r="X211" i="1" s="1"/>
  <c r="AE211" i="1"/>
  <c r="AF211" i="1"/>
  <c r="AH162" i="1"/>
  <c r="AM162" i="1"/>
  <c r="AN162" i="1"/>
  <c r="AO162" i="1"/>
  <c r="AH163" i="1"/>
  <c r="AM163" i="1"/>
  <c r="AN163" i="1"/>
  <c r="AO163" i="1"/>
  <c r="K212" i="1"/>
  <c r="L212" i="1"/>
  <c r="M212" i="1"/>
  <c r="N212" i="1" s="1"/>
  <c r="V212" i="1"/>
  <c r="Z212" i="1"/>
  <c r="AB212" i="1"/>
  <c r="AC212" i="1"/>
  <c r="AD212" i="1"/>
  <c r="X212" i="1" s="1"/>
  <c r="AE212" i="1"/>
  <c r="AF212" i="1"/>
  <c r="AH164" i="1"/>
  <c r="AM164" i="1"/>
  <c r="AN164" i="1"/>
  <c r="AO164" i="1"/>
  <c r="K213" i="1"/>
  <c r="L213" i="1"/>
  <c r="M213" i="1"/>
  <c r="N213" i="1" s="1"/>
  <c r="V213" i="1"/>
  <c r="Z213" i="1"/>
  <c r="AB213" i="1"/>
  <c r="AC213" i="1"/>
  <c r="AD213" i="1"/>
  <c r="AE213" i="1"/>
  <c r="AF213" i="1"/>
  <c r="AH165" i="1"/>
  <c r="AM165" i="1"/>
  <c r="AN165" i="1"/>
  <c r="AO165" i="1"/>
  <c r="K214" i="1"/>
  <c r="L214" i="1"/>
  <c r="M214" i="1"/>
  <c r="N214" i="1" s="1"/>
  <c r="V214" i="1"/>
  <c r="Z214" i="1"/>
  <c r="AA214" i="1" s="1"/>
  <c r="AB214" i="1"/>
  <c r="AC214" i="1"/>
  <c r="AD214" i="1"/>
  <c r="X214" i="1" s="1"/>
  <c r="AE214" i="1"/>
  <c r="AF214" i="1"/>
  <c r="AH166" i="1"/>
  <c r="AM166" i="1"/>
  <c r="AN166" i="1"/>
  <c r="AO166" i="1"/>
  <c r="K215" i="1"/>
  <c r="L215" i="1"/>
  <c r="M215" i="1"/>
  <c r="N215" i="1" s="1"/>
  <c r="V215" i="1"/>
  <c r="Z215" i="1"/>
  <c r="AA215" i="1" s="1"/>
  <c r="AB215" i="1"/>
  <c r="AC215" i="1"/>
  <c r="AD215" i="1"/>
  <c r="AE215" i="1"/>
  <c r="AF215" i="1"/>
  <c r="AH167" i="1"/>
  <c r="AM167" i="1"/>
  <c r="AN167" i="1"/>
  <c r="AO167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8" i="1"/>
  <c r="AM168" i="1"/>
  <c r="AN168" i="1"/>
  <c r="AO168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9" i="1"/>
  <c r="AM169" i="1"/>
  <c r="AN169" i="1"/>
  <c r="AO169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0" i="1"/>
  <c r="AM170" i="1"/>
  <c r="AN170" i="1"/>
  <c r="AO170" i="1"/>
  <c r="K219" i="1"/>
  <c r="L219" i="1"/>
  <c r="M219" i="1"/>
  <c r="N219" i="1" s="1"/>
  <c r="V219" i="1"/>
  <c r="Y219" i="1"/>
  <c r="Z219" i="1"/>
  <c r="AA219" i="1" s="1"/>
  <c r="AB219" i="1"/>
  <c r="AC219" i="1"/>
  <c r="AD219" i="1"/>
  <c r="AE219" i="1"/>
  <c r="AF219" i="1"/>
  <c r="AH171" i="1"/>
  <c r="AM171" i="1"/>
  <c r="AN171" i="1"/>
  <c r="AO171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2" i="1"/>
  <c r="AM172" i="1"/>
  <c r="AN172" i="1"/>
  <c r="AO172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3" i="1"/>
  <c r="AM173" i="1"/>
  <c r="AN173" i="1"/>
  <c r="AO173" i="1"/>
  <c r="K227" i="1"/>
  <c r="L227" i="1"/>
  <c r="M227" i="1"/>
  <c r="N227" i="1" s="1"/>
  <c r="V227" i="1"/>
  <c r="Y227" i="1"/>
  <c r="Z227" i="1"/>
  <c r="AA227" i="1" s="1"/>
  <c r="AB227" i="1"/>
  <c r="AC227" i="1"/>
  <c r="AD227" i="1"/>
  <c r="AE227" i="1"/>
  <c r="AF227" i="1"/>
  <c r="AH174" i="1"/>
  <c r="AM174" i="1"/>
  <c r="AN174" i="1"/>
  <c r="AO174" i="1"/>
  <c r="K228" i="1"/>
  <c r="L228" i="1"/>
  <c r="M228" i="1"/>
  <c r="N228" i="1" s="1"/>
  <c r="V228" i="1"/>
  <c r="Y228" i="1"/>
  <c r="Z228" i="1"/>
  <c r="AA228" i="1" s="1"/>
  <c r="AB228" i="1"/>
  <c r="AC228" i="1"/>
  <c r="AD228" i="1"/>
  <c r="AE228" i="1"/>
  <c r="AF228" i="1"/>
  <c r="AH175" i="1"/>
  <c r="AM175" i="1"/>
  <c r="AN175" i="1"/>
  <c r="AO175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6" i="1"/>
  <c r="AM176" i="1"/>
  <c r="AN176" i="1"/>
  <c r="AO17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7" i="1"/>
  <c r="AM177" i="1"/>
  <c r="AN177" i="1"/>
  <c r="AO177" i="1"/>
  <c r="K231" i="1"/>
  <c r="L231" i="1"/>
  <c r="M231" i="1"/>
  <c r="N231" i="1" s="1"/>
  <c r="V231" i="1"/>
  <c r="S40" i="3" s="1"/>
  <c r="Y231" i="1"/>
  <c r="Z231" i="1"/>
  <c r="AA231" i="1" s="1"/>
  <c r="AB231" i="1"/>
  <c r="AC231" i="1"/>
  <c r="AD231" i="1"/>
  <c r="AE231" i="1"/>
  <c r="R40" i="3" s="1"/>
  <c r="AF231" i="1"/>
  <c r="AH178" i="1"/>
  <c r="AM178" i="1"/>
  <c r="AN178" i="1"/>
  <c r="AO178" i="1"/>
  <c r="K232" i="1"/>
  <c r="L232" i="1"/>
  <c r="M232" i="1"/>
  <c r="N232" i="1" s="1"/>
  <c r="V232" i="1"/>
  <c r="Y232" i="1"/>
  <c r="Z232" i="1"/>
  <c r="AA232" i="1" s="1"/>
  <c r="AB232" i="1"/>
  <c r="AC232" i="1"/>
  <c r="AD232" i="1"/>
  <c r="AE232" i="1"/>
  <c r="AF232" i="1"/>
  <c r="AH179" i="1"/>
  <c r="AM179" i="1"/>
  <c r="AN179" i="1"/>
  <c r="AO179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AH180" i="1"/>
  <c r="AM180" i="1"/>
  <c r="AN180" i="1"/>
  <c r="AO180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AH181" i="1"/>
  <c r="AM181" i="1"/>
  <c r="AN181" i="1"/>
  <c r="AO181" i="1"/>
  <c r="K164" i="1"/>
  <c r="L164" i="1"/>
  <c r="M164" i="1"/>
  <c r="N164" i="1" s="1"/>
  <c r="V164" i="1"/>
  <c r="Y164" i="1"/>
  <c r="Z164" i="1"/>
  <c r="AB164" i="1"/>
  <c r="AC164" i="1"/>
  <c r="AD164" i="1"/>
  <c r="X164" i="1" s="1"/>
  <c r="AE164" i="1"/>
  <c r="AF164" i="1"/>
  <c r="AH182" i="1"/>
  <c r="AM182" i="1"/>
  <c r="AN182" i="1"/>
  <c r="AO182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3" i="1"/>
  <c r="AM183" i="1"/>
  <c r="AN183" i="1"/>
  <c r="AO18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4" i="1"/>
  <c r="AM184" i="1"/>
  <c r="AN184" i="1"/>
  <c r="AO184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5" i="1"/>
  <c r="AM185" i="1"/>
  <c r="AN185" i="1"/>
  <c r="AO185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86" i="1"/>
  <c r="AM186" i="1"/>
  <c r="AN186" i="1"/>
  <c r="AO186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87" i="1"/>
  <c r="AM187" i="1"/>
  <c r="AN187" i="1"/>
  <c r="AO187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88" i="1"/>
  <c r="AM188" i="1"/>
  <c r="AN188" i="1"/>
  <c r="AO188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89" i="1"/>
  <c r="AM189" i="1"/>
  <c r="AN189" i="1"/>
  <c r="AO189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0" i="1"/>
  <c r="AM190" i="1"/>
  <c r="AN190" i="1"/>
  <c r="AO190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1" i="1"/>
  <c r="AM191" i="1"/>
  <c r="AN191" i="1"/>
  <c r="AO191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2" i="1"/>
  <c r="AM192" i="1"/>
  <c r="AN192" i="1"/>
  <c r="AO192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3" i="1"/>
  <c r="AM193" i="1"/>
  <c r="AN193" i="1"/>
  <c r="AO193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4" i="1"/>
  <c r="AM194" i="1"/>
  <c r="AN194" i="1"/>
  <c r="AO194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95" i="1"/>
  <c r="AM195" i="1"/>
  <c r="AN195" i="1"/>
  <c r="AO195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96" i="1"/>
  <c r="AM196" i="1"/>
  <c r="AN196" i="1"/>
  <c r="AO196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7" i="1"/>
  <c r="AM197" i="1"/>
  <c r="AN197" i="1"/>
  <c r="AO197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98" i="1"/>
  <c r="AM198" i="1"/>
  <c r="AN198" i="1"/>
  <c r="AO198" i="1"/>
  <c r="K181" i="1"/>
  <c r="L181" i="1"/>
  <c r="M181" i="1"/>
  <c r="V181" i="1"/>
  <c r="Y181" i="1"/>
  <c r="Z181" i="1"/>
  <c r="AB181" i="1"/>
  <c r="AC181" i="1"/>
  <c r="AD181" i="1"/>
  <c r="T181" i="1" s="1"/>
  <c r="AE181" i="1"/>
  <c r="R36" i="3" s="1"/>
  <c r="AF181" i="1"/>
  <c r="AH199" i="1"/>
  <c r="AM199" i="1"/>
  <c r="AN199" i="1"/>
  <c r="AO199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0" i="1"/>
  <c r="AM200" i="1"/>
  <c r="AN200" i="1"/>
  <c r="AO200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1" i="1"/>
  <c r="AM201" i="1"/>
  <c r="AN201" i="1"/>
  <c r="AO201" i="1"/>
  <c r="K184" i="1"/>
  <c r="L184" i="1"/>
  <c r="M184" i="1"/>
  <c r="N184" i="1" s="1"/>
  <c r="V184" i="1"/>
  <c r="S39" i="3" s="1"/>
  <c r="Y184" i="1"/>
  <c r="Z184" i="1"/>
  <c r="AB184" i="1"/>
  <c r="AC184" i="1"/>
  <c r="AD184" i="1"/>
  <c r="T184" i="1" s="1"/>
  <c r="AE184" i="1"/>
  <c r="R39" i="3" s="1"/>
  <c r="AF184" i="1"/>
  <c r="AH202" i="1"/>
  <c r="AM202" i="1"/>
  <c r="AN202" i="1"/>
  <c r="AO202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1" i="1"/>
  <c r="AM211" i="1"/>
  <c r="AN211" i="1"/>
  <c r="AO211" i="1"/>
  <c r="K186" i="1"/>
  <c r="L186" i="1"/>
  <c r="M186" i="1"/>
  <c r="N186" i="1"/>
  <c r="V186" i="1"/>
  <c r="Y186" i="1"/>
  <c r="Z186" i="1"/>
  <c r="AA186" i="1" s="1"/>
  <c r="AB186" i="1"/>
  <c r="AC186" i="1"/>
  <c r="AD186" i="1"/>
  <c r="T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2" i="1"/>
  <c r="AM212" i="1"/>
  <c r="AN212" i="1"/>
  <c r="AO212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13" i="1"/>
  <c r="AM213" i="1"/>
  <c r="AN213" i="1"/>
  <c r="AO213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4" i="1"/>
  <c r="AM214" i="1"/>
  <c r="AN214" i="1"/>
  <c r="AO214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5" i="1"/>
  <c r="AM215" i="1"/>
  <c r="AN215" i="1"/>
  <c r="AO215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6" i="1"/>
  <c r="AM216" i="1"/>
  <c r="AN216" i="1"/>
  <c r="AO216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7" i="1"/>
  <c r="AM217" i="1"/>
  <c r="AN217" i="1"/>
  <c r="AO217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8" i="1"/>
  <c r="AM218" i="1"/>
  <c r="AN218" i="1"/>
  <c r="AO218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9" i="1"/>
  <c r="AM219" i="1"/>
  <c r="AN219" i="1"/>
  <c r="AO219" i="1"/>
  <c r="K195" i="1"/>
  <c r="L195" i="1"/>
  <c r="M195" i="1"/>
  <c r="N195" i="1" s="1"/>
  <c r="V195" i="1"/>
  <c r="S38" i="3" s="1"/>
  <c r="Y195" i="1"/>
  <c r="Z195" i="1"/>
  <c r="AB195" i="1"/>
  <c r="AC195" i="1"/>
  <c r="AD195" i="1"/>
  <c r="T195" i="1" s="1"/>
  <c r="AE195" i="1"/>
  <c r="R38" i="3" s="1"/>
  <c r="AF195" i="1"/>
  <c r="AH220" i="1"/>
  <c r="AM220" i="1"/>
  <c r="AN220" i="1"/>
  <c r="AO220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1" i="1"/>
  <c r="AM221" i="1"/>
  <c r="AN221" i="1"/>
  <c r="AO221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2" i="1"/>
  <c r="AM222" i="1"/>
  <c r="AN222" i="1"/>
  <c r="AO222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3" i="1"/>
  <c r="AM223" i="1"/>
  <c r="AN223" i="1"/>
  <c r="AO223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4" i="1"/>
  <c r="AM224" i="1"/>
  <c r="AN224" i="1"/>
  <c r="AO224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5" i="1"/>
  <c r="AM225" i="1"/>
  <c r="AN225" i="1"/>
  <c r="AO225" i="1"/>
  <c r="K201" i="1"/>
  <c r="L201" i="1"/>
  <c r="M201" i="1"/>
  <c r="N201" i="1" s="1"/>
  <c r="V201" i="1"/>
  <c r="X201" i="1"/>
  <c r="Y201" i="1"/>
  <c r="Z201" i="1"/>
  <c r="AB201" i="1"/>
  <c r="AC201" i="1"/>
  <c r="AD201" i="1"/>
  <c r="T201" i="1" s="1"/>
  <c r="AE201" i="1"/>
  <c r="AF201" i="1"/>
  <c r="AH226" i="1"/>
  <c r="AM226" i="1"/>
  <c r="AN226" i="1"/>
  <c r="AO226" i="1"/>
  <c r="K202" i="1"/>
  <c r="L202" i="1"/>
  <c r="M202" i="1"/>
  <c r="N202" i="1" s="1"/>
  <c r="T202" i="1"/>
  <c r="V202" i="1"/>
  <c r="Y202" i="1"/>
  <c r="Z202" i="1"/>
  <c r="AB202" i="1"/>
  <c r="AC202" i="1"/>
  <c r="AD202" i="1"/>
  <c r="AE202" i="1"/>
  <c r="AF202" i="1"/>
  <c r="AH227" i="1"/>
  <c r="AM227" i="1"/>
  <c r="AN227" i="1"/>
  <c r="AO227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8" i="1"/>
  <c r="AM228" i="1"/>
  <c r="AN228" i="1"/>
  <c r="AO228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29" i="1"/>
  <c r="AM229" i="1"/>
  <c r="AN229" i="1"/>
  <c r="AO22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0" i="1"/>
  <c r="AM230" i="1"/>
  <c r="AN230" i="1"/>
  <c r="AO230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1" i="1"/>
  <c r="AM231" i="1"/>
  <c r="AN231" i="1"/>
  <c r="AO231" i="1"/>
  <c r="K225" i="1"/>
  <c r="L225" i="1"/>
  <c r="M225" i="1"/>
  <c r="N225" i="1" s="1"/>
  <c r="V225" i="1"/>
  <c r="X225" i="1"/>
  <c r="Y225" i="1"/>
  <c r="Z225" i="1"/>
  <c r="AB225" i="1"/>
  <c r="AC225" i="1"/>
  <c r="AD225" i="1"/>
  <c r="T225" i="1" s="1"/>
  <c r="AE225" i="1"/>
  <c r="AF225" i="1"/>
  <c r="AH232" i="1"/>
  <c r="AM232" i="1"/>
  <c r="AN232" i="1"/>
  <c r="AO232" i="1"/>
  <c r="M31" i="3"/>
  <c r="U31" i="3"/>
  <c r="T31" i="3" s="1"/>
  <c r="V31" i="3"/>
  <c r="X31" i="3"/>
  <c r="M17" i="3"/>
  <c r="R17" i="3"/>
  <c r="S17" i="3"/>
  <c r="U17" i="3"/>
  <c r="AC17" i="3" s="1"/>
  <c r="V17" i="3"/>
  <c r="X17" i="3"/>
  <c r="M28" i="3"/>
  <c r="S28" i="3"/>
  <c r="U28" i="3"/>
  <c r="AC28" i="3" s="1"/>
  <c r="V28" i="3"/>
  <c r="X28" i="3"/>
  <c r="M14" i="3"/>
  <c r="S14" i="3"/>
  <c r="U14" i="3"/>
  <c r="V14" i="3"/>
  <c r="X14" i="3"/>
  <c r="M32" i="3"/>
  <c r="S32" i="3"/>
  <c r="U32" i="3"/>
  <c r="AC32" i="3" s="1"/>
  <c r="V32" i="3"/>
  <c r="X32" i="3"/>
  <c r="M7" i="3"/>
  <c r="R7" i="3"/>
  <c r="U7" i="3"/>
  <c r="AC7" i="3" s="1"/>
  <c r="V7" i="3"/>
  <c r="X7" i="3"/>
  <c r="M8" i="3"/>
  <c r="R8" i="3"/>
  <c r="U8" i="3"/>
  <c r="AC8" i="3" s="1"/>
  <c r="V8" i="3"/>
  <c r="X8" i="3"/>
  <c r="M29" i="3"/>
  <c r="S29" i="3"/>
  <c r="U29" i="3"/>
  <c r="T29" i="3" s="1"/>
  <c r="V29" i="3"/>
  <c r="X29" i="3"/>
  <c r="M18" i="3"/>
  <c r="R18" i="3"/>
  <c r="U18" i="3"/>
  <c r="AC18" i="3" s="1"/>
  <c r="V18" i="3"/>
  <c r="X18" i="3"/>
  <c r="M19" i="3"/>
  <c r="S19" i="3"/>
  <c r="U19" i="3"/>
  <c r="T19" i="3" s="1"/>
  <c r="V19" i="3"/>
  <c r="X19" i="3"/>
  <c r="M9" i="3"/>
  <c r="R9" i="3"/>
  <c r="U9" i="3"/>
  <c r="V9" i="3"/>
  <c r="X9" i="3"/>
  <c r="M36" i="3"/>
  <c r="S36" i="3"/>
  <c r="U36" i="3"/>
  <c r="AC36" i="3" s="1"/>
  <c r="V36" i="3"/>
  <c r="X36" i="3"/>
  <c r="M39" i="3"/>
  <c r="U39" i="3"/>
  <c r="AC39" i="3" s="1"/>
  <c r="V39" i="3"/>
  <c r="X39" i="3"/>
  <c r="M20" i="3"/>
  <c r="S20" i="3"/>
  <c r="U20" i="3"/>
  <c r="AC20" i="3" s="1"/>
  <c r="V20" i="3"/>
  <c r="X20" i="3"/>
  <c r="M35" i="3"/>
  <c r="U35" i="3"/>
  <c r="AC35" i="3" s="1"/>
  <c r="V35" i="3"/>
  <c r="X35" i="3"/>
  <c r="M33" i="3"/>
  <c r="R33" i="3"/>
  <c r="U33" i="3"/>
  <c r="T33" i="3" s="1"/>
  <c r="V33" i="3"/>
  <c r="X33" i="3"/>
  <c r="M21" i="3"/>
  <c r="R21" i="3"/>
  <c r="U21" i="3"/>
  <c r="AC21" i="3" s="1"/>
  <c r="V21" i="3"/>
  <c r="X21" i="3"/>
  <c r="M22" i="3"/>
  <c r="R22" i="3"/>
  <c r="U22" i="3"/>
  <c r="AC22" i="3" s="1"/>
  <c r="V22" i="3"/>
  <c r="X22" i="3"/>
  <c r="M37" i="3"/>
  <c r="U37" i="3"/>
  <c r="T37" i="3" s="1"/>
  <c r="V37" i="3"/>
  <c r="X37" i="3"/>
  <c r="M10" i="3"/>
  <c r="R10" i="3"/>
  <c r="U10" i="3"/>
  <c r="V10" i="3"/>
  <c r="X10" i="3"/>
  <c r="M40" i="3"/>
  <c r="U40" i="3"/>
  <c r="AC40" i="3" s="1"/>
  <c r="V40" i="3"/>
  <c r="X40" i="3"/>
  <c r="M38" i="3"/>
  <c r="U38" i="3"/>
  <c r="T38" i="3" s="1"/>
  <c r="V38" i="3"/>
  <c r="X38" i="3"/>
  <c r="M23" i="3"/>
  <c r="U23" i="3"/>
  <c r="AC23" i="3" s="1"/>
  <c r="V23" i="3"/>
  <c r="X23" i="3"/>
  <c r="M11" i="3"/>
  <c r="R11" i="3"/>
  <c r="U11" i="3"/>
  <c r="AC11" i="3" s="1"/>
  <c r="V11" i="3"/>
  <c r="X11" i="3"/>
  <c r="M15" i="3"/>
  <c r="R15" i="3"/>
  <c r="S15" i="3"/>
  <c r="U15" i="3"/>
  <c r="AC15" i="3" s="1"/>
  <c r="V15" i="3"/>
  <c r="X15" i="3"/>
  <c r="M24" i="3"/>
  <c r="U24" i="3"/>
  <c r="AD24" i="3" s="1"/>
  <c r="V24" i="3"/>
  <c r="X24" i="3"/>
  <c r="M12" i="3"/>
  <c r="U12" i="3"/>
  <c r="AC12" i="3" s="1"/>
  <c r="V12" i="3"/>
  <c r="X12" i="3"/>
  <c r="M25" i="3"/>
  <c r="U25" i="3"/>
  <c r="AC25" i="3" s="1"/>
  <c r="V25" i="3"/>
  <c r="X25" i="3"/>
  <c r="M16" i="3"/>
  <c r="S16" i="3"/>
  <c r="U16" i="3"/>
  <c r="V16" i="3"/>
  <c r="X16" i="3"/>
  <c r="M34" i="3"/>
  <c r="U34" i="3"/>
  <c r="AC34" i="3" s="1"/>
  <c r="V34" i="3"/>
  <c r="X34" i="3"/>
  <c r="M30" i="3"/>
  <c r="U30" i="3"/>
  <c r="T30" i="3" s="1"/>
  <c r="V30" i="3"/>
  <c r="X30" i="3"/>
  <c r="M26" i="3"/>
  <c r="U26" i="3"/>
  <c r="AC26" i="3" s="1"/>
  <c r="V26" i="3"/>
  <c r="X26" i="3"/>
  <c r="M27" i="3"/>
  <c r="R27" i="3"/>
  <c r="U27" i="3"/>
  <c r="AC27" i="3" s="1"/>
  <c r="V27" i="3"/>
  <c r="X27" i="3"/>
  <c r="AG203" i="1"/>
  <c r="AG204" i="1"/>
  <c r="AG205" i="1"/>
  <c r="AG206" i="1"/>
  <c r="AG207" i="1"/>
  <c r="AG208" i="1"/>
  <c r="AG209" i="1"/>
  <c r="AG210" i="1"/>
  <c r="AG161" i="1"/>
  <c r="AG148" i="1"/>
  <c r="AG130" i="1"/>
  <c r="AG102" i="1"/>
  <c r="AG14" i="1"/>
  <c r="AG18" i="1"/>
  <c r="AG22" i="1"/>
  <c r="AG26" i="1"/>
  <c r="AG30" i="1"/>
  <c r="AG34" i="1"/>
  <c r="AG38" i="1"/>
  <c r="AG42" i="1"/>
  <c r="AG46" i="1"/>
  <c r="AG50" i="1"/>
  <c r="AG54" i="1"/>
  <c r="AG62" i="1"/>
  <c r="AG66" i="1"/>
  <c r="AG70" i="1"/>
  <c r="AG74" i="1"/>
  <c r="AG78" i="1"/>
  <c r="AG86" i="1"/>
  <c r="AG90" i="1"/>
  <c r="AG98" i="1"/>
  <c r="AG107" i="1"/>
  <c r="AG115" i="1"/>
  <c r="AG123" i="1"/>
  <c r="AG132" i="1"/>
  <c r="AG140" i="1"/>
  <c r="AG149" i="1"/>
  <c r="AG157" i="1"/>
  <c r="AG218" i="1"/>
  <c r="AG231" i="1"/>
  <c r="AG175" i="1"/>
  <c r="AG180" i="1"/>
  <c r="AG188" i="1"/>
  <c r="AG200" i="1"/>
  <c r="AG16" i="1"/>
  <c r="AG20" i="1"/>
  <c r="AG24" i="1"/>
  <c r="AG28" i="1"/>
  <c r="AG32" i="1"/>
  <c r="AG36" i="1"/>
  <c r="AG40" i="1"/>
  <c r="AG44" i="1"/>
  <c r="AG48" i="1"/>
  <c r="AG52" i="1"/>
  <c r="AG56" i="1"/>
  <c r="AG60" i="1"/>
  <c r="AG64" i="1"/>
  <c r="AG68" i="1"/>
  <c r="AG72" i="1"/>
  <c r="AG76" i="1"/>
  <c r="AG80" i="1"/>
  <c r="AG84" i="1"/>
  <c r="AG88" i="1"/>
  <c r="AG92" i="1"/>
  <c r="AG96" i="1"/>
  <c r="AG100" i="1"/>
  <c r="AG105" i="1"/>
  <c r="AG109" i="1"/>
  <c r="AG113" i="1"/>
  <c r="AG117" i="1"/>
  <c r="AG121" i="1"/>
  <c r="AG125" i="1"/>
  <c r="AG129" i="1"/>
  <c r="AG134" i="1"/>
  <c r="AG138" i="1"/>
  <c r="AG142" i="1"/>
  <c r="AG146" i="1"/>
  <c r="AG151" i="1"/>
  <c r="AG155" i="1"/>
  <c r="AG159" i="1"/>
  <c r="AG212" i="1"/>
  <c r="AG216" i="1"/>
  <c r="AG220" i="1"/>
  <c r="AG229" i="1"/>
  <c r="AG163" i="1"/>
  <c r="AG171" i="1"/>
  <c r="AG162" i="1"/>
  <c r="AG170" i="1"/>
  <c r="AG178" i="1"/>
  <c r="AG182" i="1"/>
  <c r="AG186" i="1"/>
  <c r="AG190" i="1"/>
  <c r="AG194" i="1"/>
  <c r="AG198" i="1"/>
  <c r="AG202" i="1"/>
  <c r="AG224" i="1"/>
  <c r="AG17" i="1"/>
  <c r="AG21" i="1"/>
  <c r="AG25" i="1"/>
  <c r="AG29" i="1"/>
  <c r="AG33" i="1"/>
  <c r="AG37" i="1"/>
  <c r="AG41" i="1"/>
  <c r="AG45" i="1"/>
  <c r="AG49" i="1"/>
  <c r="AG53" i="1"/>
  <c r="AG57" i="1"/>
  <c r="AG61" i="1"/>
  <c r="AG65" i="1"/>
  <c r="AG69" i="1"/>
  <c r="AG73" i="1"/>
  <c r="AG77" i="1"/>
  <c r="AG81" i="1"/>
  <c r="AG85" i="1"/>
  <c r="AG89" i="1"/>
  <c r="AG93" i="1"/>
  <c r="AG97" i="1"/>
  <c r="AG101" i="1"/>
  <c r="AG106" i="1"/>
  <c r="AG110" i="1"/>
  <c r="AG114" i="1"/>
  <c r="AG118" i="1"/>
  <c r="AG122" i="1"/>
  <c r="AG126" i="1"/>
  <c r="AG131" i="1"/>
  <c r="AG135" i="1"/>
  <c r="AG139" i="1"/>
  <c r="AG143" i="1"/>
  <c r="AG147" i="1"/>
  <c r="AG152" i="1"/>
  <c r="AG156" i="1"/>
  <c r="AG160" i="1"/>
  <c r="AG213" i="1"/>
  <c r="AG217" i="1"/>
  <c r="AG226" i="1"/>
  <c r="AG230" i="1"/>
  <c r="AG165" i="1"/>
  <c r="AG173" i="1"/>
  <c r="AG164" i="1"/>
  <c r="AG172" i="1"/>
  <c r="AG179" i="1"/>
  <c r="AG183" i="1"/>
  <c r="AG187" i="1"/>
  <c r="AG191" i="1"/>
  <c r="AG195" i="1"/>
  <c r="AG199" i="1"/>
  <c r="AG221" i="1"/>
  <c r="AG225" i="1"/>
  <c r="AG58" i="1"/>
  <c r="AG82" i="1"/>
  <c r="AG94" i="1"/>
  <c r="AG103" i="1"/>
  <c r="AG111" i="1"/>
  <c r="AG119" i="1"/>
  <c r="AG127" i="1"/>
  <c r="AG136" i="1"/>
  <c r="AG144" i="1"/>
  <c r="AG153" i="1"/>
  <c r="AG211" i="1"/>
  <c r="AG214" i="1"/>
  <c r="AG227" i="1"/>
  <c r="AG167" i="1"/>
  <c r="AG166" i="1"/>
  <c r="AG174" i="1"/>
  <c r="AG184" i="1"/>
  <c r="AG192" i="1"/>
  <c r="AG196" i="1"/>
  <c r="AG222" i="1"/>
  <c r="AG215" i="1"/>
  <c r="AG15" i="1"/>
  <c r="AG31" i="1"/>
  <c r="AG47" i="1"/>
  <c r="AG63" i="1"/>
  <c r="AG79" i="1"/>
  <c r="AG95" i="1"/>
  <c r="AG112" i="1"/>
  <c r="AG128" i="1"/>
  <c r="AG145" i="1"/>
  <c r="AG232" i="1"/>
  <c r="AG176" i="1"/>
  <c r="AG193" i="1"/>
  <c r="AG19" i="1"/>
  <c r="AG35" i="1"/>
  <c r="AG51" i="1"/>
  <c r="AG67" i="1"/>
  <c r="AG83" i="1"/>
  <c r="AG99" i="1"/>
  <c r="AG116" i="1"/>
  <c r="AG150" i="1"/>
  <c r="AG169" i="1"/>
  <c r="AG197" i="1"/>
  <c r="AG23" i="1"/>
  <c r="AG39" i="1"/>
  <c r="AG55" i="1"/>
  <c r="AG71" i="1"/>
  <c r="AG87" i="1"/>
  <c r="AG104" i="1"/>
  <c r="AG120" i="1"/>
  <c r="AG137" i="1"/>
  <c r="AG154" i="1"/>
  <c r="AG219" i="1"/>
  <c r="AG177" i="1"/>
  <c r="AG185" i="1"/>
  <c r="AG201" i="1"/>
  <c r="AG27" i="1"/>
  <c r="AG43" i="1"/>
  <c r="AG59" i="1"/>
  <c r="AG75" i="1"/>
  <c r="AG91" i="1"/>
  <c r="AG108" i="1"/>
  <c r="AG124" i="1"/>
  <c r="AG141" i="1"/>
  <c r="AG158" i="1"/>
  <c r="AG228" i="1"/>
  <c r="AG168" i="1"/>
  <c r="AG189" i="1"/>
  <c r="AG223" i="1"/>
  <c r="AG133" i="1"/>
  <c r="AG181" i="1"/>
  <c r="W14" i="3"/>
  <c r="W32" i="3"/>
  <c r="W20" i="3"/>
  <c r="W12" i="3"/>
  <c r="W15" i="3"/>
  <c r="W28" i="3"/>
  <c r="W39" i="3"/>
  <c r="W33" i="3"/>
  <c r="W23" i="3"/>
  <c r="W36" i="3"/>
  <c r="W40" i="3"/>
  <c r="W24" i="3"/>
  <c r="W7" i="3"/>
  <c r="W16" i="3"/>
  <c r="W21" i="3"/>
  <c r="W34" i="3"/>
  <c r="W25" i="3"/>
  <c r="W35" i="3"/>
  <c r="W37" i="3"/>
  <c r="W30" i="3"/>
  <c r="W29" i="3"/>
  <c r="W10" i="3"/>
  <c r="W18" i="3"/>
  <c r="W26" i="3"/>
  <c r="W8" i="3"/>
  <c r="W22" i="3"/>
  <c r="W38" i="3"/>
  <c r="W31" i="3"/>
  <c r="W19" i="3"/>
  <c r="W9" i="3"/>
  <c r="W17" i="3"/>
  <c r="W11" i="3"/>
  <c r="W27" i="3"/>
  <c r="X88" i="1" l="1"/>
  <c r="X80" i="1"/>
  <c r="X64" i="1"/>
  <c r="X199" i="1"/>
  <c r="R37" i="3"/>
  <c r="AA217" i="1"/>
  <c r="W217" i="1" s="1"/>
  <c r="X151" i="1"/>
  <c r="AA99" i="1"/>
  <c r="AA92" i="1"/>
  <c r="AA87" i="1"/>
  <c r="W87" i="1" s="1"/>
  <c r="X86" i="1"/>
  <c r="AA83" i="1"/>
  <c r="X82" i="1"/>
  <c r="AA79" i="1"/>
  <c r="W79" i="1" s="1"/>
  <c r="X78" i="1"/>
  <c r="AA63" i="1"/>
  <c r="X62" i="1"/>
  <c r="X57" i="1"/>
  <c r="AA44" i="1"/>
  <c r="AA40" i="1"/>
  <c r="X132" i="1"/>
  <c r="X74" i="1"/>
  <c r="X215" i="1"/>
  <c r="X213" i="1"/>
  <c r="X150" i="1"/>
  <c r="AA111" i="1"/>
  <c r="W111" i="1" s="1"/>
  <c r="X109" i="1"/>
  <c r="AA95" i="1"/>
  <c r="X77" i="1"/>
  <c r="X71" i="1"/>
  <c r="X56" i="1"/>
  <c r="AA38" i="1"/>
  <c r="X222" i="1"/>
  <c r="X221" i="1"/>
  <c r="R35" i="3"/>
  <c r="AA174" i="1"/>
  <c r="AA170" i="1"/>
  <c r="AA166" i="1"/>
  <c r="W166" i="1" s="1"/>
  <c r="AA162" i="1"/>
  <c r="AA220" i="1"/>
  <c r="AA216" i="1"/>
  <c r="AA138" i="1"/>
  <c r="W138" i="1" s="1"/>
  <c r="AA134" i="1"/>
  <c r="AA105" i="1"/>
  <c r="AA101" i="1"/>
  <c r="AA100" i="1"/>
  <c r="W100" i="1" s="1"/>
  <c r="AA97" i="1"/>
  <c r="AA96" i="1"/>
  <c r="X95" i="1"/>
  <c r="AA88" i="1"/>
  <c r="AA84" i="1"/>
  <c r="AA80" i="1"/>
  <c r="T77" i="1"/>
  <c r="X75" i="1"/>
  <c r="T71" i="1"/>
  <c r="AA67" i="1"/>
  <c r="AA36" i="1"/>
  <c r="AA32" i="1"/>
  <c r="AA28" i="1"/>
  <c r="AA24" i="1"/>
  <c r="AA20" i="1"/>
  <c r="AA16" i="1"/>
  <c r="X105" i="1"/>
  <c r="X133" i="1"/>
  <c r="AD29" i="3"/>
  <c r="AA202" i="1"/>
  <c r="W202" i="1" s="1"/>
  <c r="S35" i="3"/>
  <c r="X185" i="1"/>
  <c r="X183" i="1"/>
  <c r="AA229" i="1"/>
  <c r="W229" i="1" s="1"/>
  <c r="AA218" i="1"/>
  <c r="AA153" i="1"/>
  <c r="X128" i="1"/>
  <c r="AA118" i="1"/>
  <c r="AA117" i="1"/>
  <c r="AA114" i="1"/>
  <c r="AA113" i="1"/>
  <c r="X112" i="1"/>
  <c r="AA107" i="1"/>
  <c r="AA90" i="1"/>
  <c r="X73" i="1"/>
  <c r="AA69" i="1"/>
  <c r="W69" i="1" s="1"/>
  <c r="AA68" i="1"/>
  <c r="T62" i="1"/>
  <c r="AA57" i="1"/>
  <c r="AA52" i="1"/>
  <c r="W52" i="1" s="1"/>
  <c r="AA46" i="1"/>
  <c r="AA14" i="1"/>
  <c r="X103" i="1"/>
  <c r="X130" i="1"/>
  <c r="X131" i="1"/>
  <c r="X104" i="1"/>
  <c r="AA137" i="1"/>
  <c r="AA126" i="1"/>
  <c r="W126" i="1" s="1"/>
  <c r="X102" i="1"/>
  <c r="X134" i="1"/>
  <c r="AI210" i="1"/>
  <c r="U210" i="1"/>
  <c r="S210" i="1" s="1"/>
  <c r="AI209" i="1"/>
  <c r="U209" i="1"/>
  <c r="S209" i="1" s="1"/>
  <c r="AI208" i="1"/>
  <c r="U208" i="1"/>
  <c r="S208" i="1" s="1"/>
  <c r="S207" i="1"/>
  <c r="AI207" i="1"/>
  <c r="U207" i="1"/>
  <c r="S206" i="1"/>
  <c r="AI206" i="1"/>
  <c r="U206" i="1"/>
  <c r="AI205" i="1"/>
  <c r="U205" i="1"/>
  <c r="S205" i="1" s="1"/>
  <c r="AI204" i="1"/>
  <c r="U204" i="1"/>
  <c r="S204" i="1" s="1"/>
  <c r="AI203" i="1"/>
  <c r="U203" i="1"/>
  <c r="S203" i="1" s="1"/>
  <c r="W210" i="1"/>
  <c r="W209" i="1"/>
  <c r="W208" i="1"/>
  <c r="W207" i="1"/>
  <c r="W206" i="1"/>
  <c r="W205" i="1"/>
  <c r="W204" i="1"/>
  <c r="W203" i="1"/>
  <c r="X209" i="1"/>
  <c r="X208" i="1"/>
  <c r="X207" i="1"/>
  <c r="X206" i="1"/>
  <c r="X205" i="1"/>
  <c r="X204" i="1"/>
  <c r="X203" i="1"/>
  <c r="X196" i="1"/>
  <c r="X195" i="1"/>
  <c r="X179" i="1"/>
  <c r="X180" i="1"/>
  <c r="X193" i="1"/>
  <c r="S37" i="3"/>
  <c r="X191" i="1"/>
  <c r="AA194" i="1"/>
  <c r="X188" i="1"/>
  <c r="X187" i="1"/>
  <c r="AA178" i="1"/>
  <c r="W178" i="1" s="1"/>
  <c r="AI161" i="1"/>
  <c r="U161" i="1"/>
  <c r="S161" i="1" s="1"/>
  <c r="W161" i="1"/>
  <c r="X161" i="1"/>
  <c r="S24" i="3"/>
  <c r="AD31" i="3"/>
  <c r="AI148" i="1"/>
  <c r="U148" i="1"/>
  <c r="S148" i="1" s="1"/>
  <c r="W148" i="1"/>
  <c r="X148" i="1"/>
  <c r="AI130" i="1"/>
  <c r="U130" i="1"/>
  <c r="S130" i="1" s="1"/>
  <c r="W130" i="1"/>
  <c r="AD32" i="3"/>
  <c r="R32" i="3"/>
  <c r="R16" i="3"/>
  <c r="AI102" i="1"/>
  <c r="U102" i="1"/>
  <c r="S102" i="1" s="1"/>
  <c r="W102" i="1"/>
  <c r="AD38" i="3"/>
  <c r="S22" i="3"/>
  <c r="AE32" i="3"/>
  <c r="AE40" i="3"/>
  <c r="AE14" i="3"/>
  <c r="AC31" i="3"/>
  <c r="X224" i="1"/>
  <c r="AA222" i="1"/>
  <c r="X198" i="1"/>
  <c r="AA196" i="1"/>
  <c r="X190" i="1"/>
  <c r="AA188" i="1"/>
  <c r="W188" i="1" s="1"/>
  <c r="X182" i="1"/>
  <c r="AA180" i="1"/>
  <c r="AA177" i="1"/>
  <c r="W177" i="1" s="1"/>
  <c r="AA173" i="1"/>
  <c r="AA169" i="1"/>
  <c r="AA165" i="1"/>
  <c r="AA213" i="1"/>
  <c r="W213" i="1" s="1"/>
  <c r="AA212" i="1"/>
  <c r="AA211" i="1"/>
  <c r="AA160" i="1"/>
  <c r="AA152" i="1"/>
  <c r="AA151" i="1"/>
  <c r="AA150" i="1"/>
  <c r="AA149" i="1"/>
  <c r="AA147" i="1"/>
  <c r="AA123" i="1"/>
  <c r="X92" i="1"/>
  <c r="AA89" i="1"/>
  <c r="AA85" i="1"/>
  <c r="W85" i="1" s="1"/>
  <c r="X84" i="1"/>
  <c r="AA81" i="1"/>
  <c r="AA75" i="1"/>
  <c r="AA71" i="1"/>
  <c r="W71" i="1" s="1"/>
  <c r="AA59" i="1"/>
  <c r="AA58" i="1"/>
  <c r="AA56" i="1"/>
  <c r="AA55" i="1"/>
  <c r="W55" i="1" s="1"/>
  <c r="AA41" i="1"/>
  <c r="AA39" i="1"/>
  <c r="AA86" i="1"/>
  <c r="AA82" i="1"/>
  <c r="W82" i="1" s="1"/>
  <c r="AA78" i="1"/>
  <c r="T78" i="1"/>
  <c r="AA74" i="1"/>
  <c r="T74" i="1"/>
  <c r="T73" i="1"/>
  <c r="X69" i="1"/>
  <c r="T67" i="1"/>
  <c r="X63" i="1"/>
  <c r="AA61" i="1"/>
  <c r="AA45" i="1"/>
  <c r="AA43" i="1"/>
  <c r="AA42" i="1"/>
  <c r="W42" i="1" s="1"/>
  <c r="AA33" i="1"/>
  <c r="AA29" i="1"/>
  <c r="AA25" i="1"/>
  <c r="AA21" i="1"/>
  <c r="W21" i="1" s="1"/>
  <c r="AA17" i="1"/>
  <c r="T224" i="1"/>
  <c r="U224" i="1" s="1"/>
  <c r="S224" i="1" s="1"/>
  <c r="X223" i="1"/>
  <c r="X202" i="1"/>
  <c r="AA200" i="1"/>
  <c r="T198" i="1"/>
  <c r="U198" i="1" s="1"/>
  <c r="S198" i="1" s="1"/>
  <c r="X197" i="1"/>
  <c r="X194" i="1"/>
  <c r="AA192" i="1"/>
  <c r="T190" i="1"/>
  <c r="U190" i="1" s="1"/>
  <c r="S190" i="1" s="1"/>
  <c r="X189" i="1"/>
  <c r="X186" i="1"/>
  <c r="AA184" i="1"/>
  <c r="T182" i="1"/>
  <c r="X181" i="1"/>
  <c r="AA175" i="1"/>
  <c r="AA171" i="1"/>
  <c r="AA167" i="1"/>
  <c r="AA163" i="1"/>
  <c r="AA230" i="1"/>
  <c r="W230" i="1" s="1"/>
  <c r="AA226" i="1"/>
  <c r="AA158" i="1"/>
  <c r="AA157" i="1"/>
  <c r="AA156" i="1"/>
  <c r="AA155" i="1"/>
  <c r="AA154" i="1"/>
  <c r="AA145" i="1"/>
  <c r="AA144" i="1"/>
  <c r="W144" i="1" s="1"/>
  <c r="AA143" i="1"/>
  <c r="AA142" i="1"/>
  <c r="AA141" i="1"/>
  <c r="AA49" i="1"/>
  <c r="AA47" i="1"/>
  <c r="AA34" i="1"/>
  <c r="AA30" i="1"/>
  <c r="AA26" i="1"/>
  <c r="W26" i="1" s="1"/>
  <c r="AA22" i="1"/>
  <c r="AA18" i="1"/>
  <c r="AA224" i="1"/>
  <c r="T222" i="1"/>
  <c r="U222" i="1" s="1"/>
  <c r="S222" i="1" s="1"/>
  <c r="X200" i="1"/>
  <c r="AA198" i="1"/>
  <c r="T196" i="1"/>
  <c r="X192" i="1"/>
  <c r="AA190" i="1"/>
  <c r="T188" i="1"/>
  <c r="U188" i="1" s="1"/>
  <c r="S188" i="1" s="1"/>
  <c r="X184" i="1"/>
  <c r="AA182" i="1"/>
  <c r="W182" i="1" s="1"/>
  <c r="T180" i="1"/>
  <c r="AA176" i="1"/>
  <c r="AA172" i="1"/>
  <c r="AA168" i="1"/>
  <c r="W168" i="1" s="1"/>
  <c r="AA164" i="1"/>
  <c r="AA159" i="1"/>
  <c r="AA146" i="1"/>
  <c r="X121" i="1"/>
  <c r="AA119" i="1"/>
  <c r="AA115" i="1"/>
  <c r="AA110" i="1"/>
  <c r="AA109" i="1"/>
  <c r="AA104" i="1"/>
  <c r="AA103" i="1"/>
  <c r="AA98" i="1"/>
  <c r="AA73" i="1"/>
  <c r="AA66" i="1"/>
  <c r="AA53" i="1"/>
  <c r="AA51" i="1"/>
  <c r="AA37" i="1"/>
  <c r="W37" i="1" s="1"/>
  <c r="AA35" i="1"/>
  <c r="AA31" i="1"/>
  <c r="AA27" i="1"/>
  <c r="AA23" i="1"/>
  <c r="W23" i="1" s="1"/>
  <c r="AA19" i="1"/>
  <c r="AA15" i="1"/>
  <c r="AA225" i="1"/>
  <c r="AA223" i="1"/>
  <c r="W223" i="1" s="1"/>
  <c r="AA221" i="1"/>
  <c r="AA201" i="1"/>
  <c r="AA199" i="1"/>
  <c r="AA197" i="1"/>
  <c r="W197" i="1" s="1"/>
  <c r="AA195" i="1"/>
  <c r="AA193" i="1"/>
  <c r="AA191" i="1"/>
  <c r="AA189" i="1"/>
  <c r="W189" i="1" s="1"/>
  <c r="AA187" i="1"/>
  <c r="AA185" i="1"/>
  <c r="AA183" i="1"/>
  <c r="AA181" i="1"/>
  <c r="W181" i="1" s="1"/>
  <c r="AA179" i="1"/>
  <c r="X118" i="1"/>
  <c r="T118" i="1"/>
  <c r="X119" i="1"/>
  <c r="X113" i="1"/>
  <c r="X101" i="1"/>
  <c r="T101" i="1"/>
  <c r="X96" i="1"/>
  <c r="AA127" i="1"/>
  <c r="T126" i="1"/>
  <c r="X124" i="1"/>
  <c r="X123" i="1"/>
  <c r="X117" i="1"/>
  <c r="X106" i="1"/>
  <c r="T106" i="1"/>
  <c r="X100" i="1"/>
  <c r="T92" i="1"/>
  <c r="X127" i="1"/>
  <c r="T127" i="1"/>
  <c r="X115" i="1"/>
  <c r="X110" i="1"/>
  <c r="T110" i="1"/>
  <c r="X111" i="1"/>
  <c r="X98" i="1"/>
  <c r="X93" i="1"/>
  <c r="T93" i="1"/>
  <c r="X94" i="1"/>
  <c r="AA133" i="1"/>
  <c r="W133" i="1" s="1"/>
  <c r="AA132" i="1"/>
  <c r="AA131" i="1"/>
  <c r="W131" i="1" s="1"/>
  <c r="AA129" i="1"/>
  <c r="T128" i="1"/>
  <c r="U128" i="1" s="1"/>
  <c r="S128" i="1" s="1"/>
  <c r="X122" i="1"/>
  <c r="X114" i="1"/>
  <c r="T114" i="1"/>
  <c r="X97" i="1"/>
  <c r="T97" i="1"/>
  <c r="T115" i="1"/>
  <c r="T107" i="1"/>
  <c r="T98" i="1"/>
  <c r="U98" i="1" s="1"/>
  <c r="S98" i="1" s="1"/>
  <c r="X65" i="1"/>
  <c r="AA64" i="1"/>
  <c r="X61" i="1"/>
  <c r="T57" i="1"/>
  <c r="U57" i="1" s="1"/>
  <c r="S57" i="1" s="1"/>
  <c r="X60" i="1"/>
  <c r="X59" i="1"/>
  <c r="AA125" i="1"/>
  <c r="AA124" i="1"/>
  <c r="W124" i="1" s="1"/>
  <c r="AA122" i="1"/>
  <c r="X116" i="1"/>
  <c r="X108" i="1"/>
  <c r="X99" i="1"/>
  <c r="X91" i="1"/>
  <c r="X72" i="1"/>
  <c r="X70" i="1"/>
  <c r="X68" i="1"/>
  <c r="X66" i="1"/>
  <c r="X58" i="1"/>
  <c r="T56" i="1"/>
  <c r="AI232" i="1"/>
  <c r="U225" i="1"/>
  <c r="S225" i="1" s="1"/>
  <c r="AI231" i="1"/>
  <c r="AI230" i="1"/>
  <c r="U223" i="1"/>
  <c r="S223" i="1" s="1"/>
  <c r="AI229" i="1"/>
  <c r="AI228" i="1"/>
  <c r="U221" i="1"/>
  <c r="S221" i="1" s="1"/>
  <c r="AI227" i="1"/>
  <c r="U202" i="1"/>
  <c r="S202" i="1" s="1"/>
  <c r="AI226" i="1"/>
  <c r="U201" i="1"/>
  <c r="S201" i="1" s="1"/>
  <c r="AI225" i="1"/>
  <c r="U200" i="1"/>
  <c r="S200" i="1" s="1"/>
  <c r="AI224" i="1"/>
  <c r="U199" i="1"/>
  <c r="S199" i="1" s="1"/>
  <c r="AI223" i="1"/>
  <c r="AI222" i="1"/>
  <c r="U197" i="1"/>
  <c r="S197" i="1" s="1"/>
  <c r="AI221" i="1"/>
  <c r="U196" i="1"/>
  <c r="S196" i="1" s="1"/>
  <c r="AI220" i="1"/>
  <c r="U195" i="1"/>
  <c r="S195" i="1" s="1"/>
  <c r="AI219" i="1"/>
  <c r="U194" i="1"/>
  <c r="S194" i="1" s="1"/>
  <c r="AI218" i="1"/>
  <c r="U193" i="1"/>
  <c r="S193" i="1" s="1"/>
  <c r="AI217" i="1"/>
  <c r="U192" i="1"/>
  <c r="S192" i="1" s="1"/>
  <c r="AI216" i="1"/>
  <c r="U191" i="1"/>
  <c r="S191" i="1" s="1"/>
  <c r="AI215" i="1"/>
  <c r="AI214" i="1"/>
  <c r="U189" i="1"/>
  <c r="S189" i="1" s="1"/>
  <c r="AI213" i="1"/>
  <c r="AI212" i="1"/>
  <c r="U187" i="1"/>
  <c r="S187" i="1" s="1"/>
  <c r="U186" i="1"/>
  <c r="S186" i="1" s="1"/>
  <c r="AI211" i="1"/>
  <c r="U185" i="1"/>
  <c r="S185" i="1" s="1"/>
  <c r="AI202" i="1"/>
  <c r="U184" i="1"/>
  <c r="S184" i="1" s="1"/>
  <c r="AI201" i="1"/>
  <c r="U183" i="1"/>
  <c r="S183" i="1" s="1"/>
  <c r="AI200" i="1"/>
  <c r="U182" i="1"/>
  <c r="S182" i="1" s="1"/>
  <c r="AI199" i="1"/>
  <c r="U181" i="1"/>
  <c r="AI198" i="1"/>
  <c r="U180" i="1"/>
  <c r="S180" i="1" s="1"/>
  <c r="AI197" i="1"/>
  <c r="U179" i="1"/>
  <c r="S179" i="1" s="1"/>
  <c r="AI196" i="1"/>
  <c r="AI194" i="1"/>
  <c r="AI192" i="1"/>
  <c r="AI190" i="1"/>
  <c r="AI188" i="1"/>
  <c r="AI186" i="1"/>
  <c r="AI184" i="1"/>
  <c r="AI182" i="1"/>
  <c r="AI180" i="1"/>
  <c r="AI195" i="1"/>
  <c r="AI193" i="1"/>
  <c r="AI191" i="1"/>
  <c r="AI189" i="1"/>
  <c r="AI187" i="1"/>
  <c r="AI185" i="1"/>
  <c r="AI183" i="1"/>
  <c r="AI181" i="1"/>
  <c r="AI179" i="1"/>
  <c r="AI178" i="1"/>
  <c r="AI177" i="1"/>
  <c r="AI176" i="1"/>
  <c r="AI175" i="1"/>
  <c r="W227" i="1"/>
  <c r="AI174" i="1"/>
  <c r="W226" i="1"/>
  <c r="AI173" i="1"/>
  <c r="W220" i="1"/>
  <c r="AI172" i="1"/>
  <c r="W219" i="1"/>
  <c r="AI171" i="1"/>
  <c r="AI170" i="1"/>
  <c r="AI169" i="1"/>
  <c r="AI168" i="1"/>
  <c r="AI167" i="1"/>
  <c r="AI166" i="1"/>
  <c r="AI165" i="1"/>
  <c r="AI164" i="1"/>
  <c r="AI163" i="1"/>
  <c r="AI162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7" i="1"/>
  <c r="AI146" i="1"/>
  <c r="U145" i="1"/>
  <c r="S145" i="1" s="1"/>
  <c r="AI145" i="1"/>
  <c r="U144" i="1"/>
  <c r="S144" i="1" s="1"/>
  <c r="AI144" i="1"/>
  <c r="U143" i="1"/>
  <c r="S143" i="1" s="1"/>
  <c r="AI143" i="1"/>
  <c r="U142" i="1"/>
  <c r="S142" i="1" s="1"/>
  <c r="AI142" i="1"/>
  <c r="U141" i="1"/>
  <c r="S141" i="1" s="1"/>
  <c r="AI141" i="1"/>
  <c r="U140" i="1"/>
  <c r="S140" i="1" s="1"/>
  <c r="AI140" i="1"/>
  <c r="U139" i="1"/>
  <c r="S139" i="1" s="1"/>
  <c r="AI139" i="1"/>
  <c r="U138" i="1"/>
  <c r="S138" i="1" s="1"/>
  <c r="AI138" i="1"/>
  <c r="U137" i="1"/>
  <c r="S137" i="1" s="1"/>
  <c r="AI137" i="1"/>
  <c r="U136" i="1"/>
  <c r="AI136" i="1"/>
  <c r="U135" i="1"/>
  <c r="S135" i="1" s="1"/>
  <c r="AI135" i="1"/>
  <c r="U134" i="1"/>
  <c r="S134" i="1" s="1"/>
  <c r="AI134" i="1"/>
  <c r="U133" i="1"/>
  <c r="S133" i="1" s="1"/>
  <c r="AI133" i="1"/>
  <c r="U132" i="1"/>
  <c r="S132" i="1" s="1"/>
  <c r="AI132" i="1"/>
  <c r="U131" i="1"/>
  <c r="S131" i="1" s="1"/>
  <c r="AI131" i="1"/>
  <c r="U129" i="1"/>
  <c r="S129" i="1" s="1"/>
  <c r="AI129" i="1"/>
  <c r="AI128" i="1"/>
  <c r="U127" i="1"/>
  <c r="S127" i="1" s="1"/>
  <c r="AI127" i="1"/>
  <c r="U126" i="1"/>
  <c r="S126" i="1" s="1"/>
  <c r="AI126" i="1"/>
  <c r="U125" i="1"/>
  <c r="S125" i="1" s="1"/>
  <c r="AI125" i="1"/>
  <c r="AI124" i="1"/>
  <c r="U124" i="1"/>
  <c r="S124" i="1" s="1"/>
  <c r="AI123" i="1"/>
  <c r="U123" i="1"/>
  <c r="S123" i="1" s="1"/>
  <c r="AI122" i="1"/>
  <c r="U122" i="1"/>
  <c r="S122" i="1" s="1"/>
  <c r="U121" i="1"/>
  <c r="S121" i="1" s="1"/>
  <c r="AI121" i="1"/>
  <c r="U120" i="1"/>
  <c r="S120" i="1" s="1"/>
  <c r="AI120" i="1"/>
  <c r="W120" i="1"/>
  <c r="U119" i="1"/>
  <c r="S119" i="1" s="1"/>
  <c r="AI119" i="1"/>
  <c r="U118" i="1"/>
  <c r="S118" i="1" s="1"/>
  <c r="AI118" i="1"/>
  <c r="W118" i="1"/>
  <c r="U117" i="1"/>
  <c r="S117" i="1" s="1"/>
  <c r="AI117" i="1"/>
  <c r="U116" i="1"/>
  <c r="S116" i="1" s="1"/>
  <c r="AI116" i="1"/>
  <c r="U115" i="1"/>
  <c r="S115" i="1" s="1"/>
  <c r="AI115" i="1"/>
  <c r="U114" i="1"/>
  <c r="S114" i="1" s="1"/>
  <c r="AI114" i="1"/>
  <c r="W114" i="1"/>
  <c r="U113" i="1"/>
  <c r="S113" i="1" s="1"/>
  <c r="AI113" i="1"/>
  <c r="U112" i="1"/>
  <c r="S112" i="1" s="1"/>
  <c r="AI112" i="1"/>
  <c r="U111" i="1"/>
  <c r="S111" i="1" s="1"/>
  <c r="AI111" i="1"/>
  <c r="U110" i="1"/>
  <c r="S110" i="1" s="1"/>
  <c r="AI110" i="1"/>
  <c r="W110" i="1"/>
  <c r="U109" i="1"/>
  <c r="S109" i="1" s="1"/>
  <c r="AI109" i="1"/>
  <c r="U108" i="1"/>
  <c r="S108" i="1" s="1"/>
  <c r="AI108" i="1"/>
  <c r="U107" i="1"/>
  <c r="S107" i="1" s="1"/>
  <c r="AI107" i="1"/>
  <c r="U106" i="1"/>
  <c r="S106" i="1" s="1"/>
  <c r="AI106" i="1"/>
  <c r="W106" i="1"/>
  <c r="U105" i="1"/>
  <c r="S105" i="1" s="1"/>
  <c r="AI105" i="1"/>
  <c r="U104" i="1"/>
  <c r="S104" i="1" s="1"/>
  <c r="AI104" i="1"/>
  <c r="U103" i="1"/>
  <c r="S103" i="1" s="1"/>
  <c r="AI103" i="1"/>
  <c r="U101" i="1"/>
  <c r="S101" i="1" s="1"/>
  <c r="AI101" i="1"/>
  <c r="W101" i="1"/>
  <c r="U100" i="1"/>
  <c r="S100" i="1" s="1"/>
  <c r="AI100" i="1"/>
  <c r="U99" i="1"/>
  <c r="S99" i="1" s="1"/>
  <c r="AI99" i="1"/>
  <c r="AI98" i="1"/>
  <c r="U97" i="1"/>
  <c r="S97" i="1" s="1"/>
  <c r="AI97" i="1"/>
  <c r="U96" i="1"/>
  <c r="S96" i="1" s="1"/>
  <c r="AI96" i="1"/>
  <c r="U95" i="1"/>
  <c r="S95" i="1" s="1"/>
  <c r="AI95" i="1"/>
  <c r="U94" i="1"/>
  <c r="S94" i="1" s="1"/>
  <c r="AI94" i="1"/>
  <c r="U93" i="1"/>
  <c r="S93" i="1" s="1"/>
  <c r="AI93" i="1"/>
  <c r="U92" i="1"/>
  <c r="S92" i="1" s="1"/>
  <c r="AI92" i="1"/>
  <c r="U91" i="1"/>
  <c r="S91" i="1" s="1"/>
  <c r="AI91" i="1"/>
  <c r="U90" i="1"/>
  <c r="S90" i="1" s="1"/>
  <c r="AI90" i="1"/>
  <c r="U89" i="1"/>
  <c r="S89" i="1" s="1"/>
  <c r="AI89" i="1"/>
  <c r="AI88" i="1"/>
  <c r="U87" i="1"/>
  <c r="S87" i="1" s="1"/>
  <c r="AI87" i="1"/>
  <c r="AI86" i="1"/>
  <c r="U85" i="1"/>
  <c r="S85" i="1" s="1"/>
  <c r="AI85" i="1"/>
  <c r="AI84" i="1"/>
  <c r="U83" i="1"/>
  <c r="S83" i="1" s="1"/>
  <c r="AI83" i="1"/>
  <c r="AI82" i="1"/>
  <c r="U81" i="1"/>
  <c r="S81" i="1" s="1"/>
  <c r="AI81" i="1"/>
  <c r="AI80" i="1"/>
  <c r="U79" i="1"/>
  <c r="S79" i="1" s="1"/>
  <c r="AI79" i="1"/>
  <c r="U78" i="1"/>
  <c r="S78" i="1" s="1"/>
  <c r="AI78" i="1"/>
  <c r="U77" i="1"/>
  <c r="S77" i="1" s="1"/>
  <c r="AI77" i="1"/>
  <c r="U76" i="1"/>
  <c r="S76" i="1" s="1"/>
  <c r="AI76" i="1"/>
  <c r="U75" i="1"/>
  <c r="S75" i="1" s="1"/>
  <c r="AI75" i="1"/>
  <c r="U74" i="1"/>
  <c r="S74" i="1" s="1"/>
  <c r="AI74" i="1"/>
  <c r="U73" i="1"/>
  <c r="S73" i="1" s="1"/>
  <c r="AI73" i="1"/>
  <c r="U72" i="1"/>
  <c r="S72" i="1" s="1"/>
  <c r="AI72" i="1"/>
  <c r="U71" i="1"/>
  <c r="S71" i="1" s="1"/>
  <c r="AI71" i="1"/>
  <c r="U70" i="1"/>
  <c r="S70" i="1" s="1"/>
  <c r="AI70" i="1"/>
  <c r="U69" i="1"/>
  <c r="S69" i="1" s="1"/>
  <c r="AI69" i="1"/>
  <c r="U68" i="1"/>
  <c r="S68" i="1" s="1"/>
  <c r="AI68" i="1"/>
  <c r="U67" i="1"/>
  <c r="S67" i="1" s="1"/>
  <c r="AI67" i="1"/>
  <c r="U66" i="1"/>
  <c r="S66" i="1" s="1"/>
  <c r="AI66" i="1"/>
  <c r="AI65" i="1"/>
  <c r="AI64" i="1"/>
  <c r="U63" i="1"/>
  <c r="S63" i="1" s="1"/>
  <c r="AI63" i="1"/>
  <c r="U62" i="1"/>
  <c r="S62" i="1" s="1"/>
  <c r="AI62" i="1"/>
  <c r="W62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W58" i="1"/>
  <c r="AI57" i="1"/>
  <c r="U56" i="1"/>
  <c r="S56" i="1" s="1"/>
  <c r="AI56" i="1"/>
  <c r="W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W36" i="1"/>
  <c r="AI35" i="1"/>
  <c r="W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AI16" i="1"/>
  <c r="U16" i="1"/>
  <c r="S16" i="1" s="1"/>
  <c r="AI15" i="1"/>
  <c r="U15" i="1"/>
  <c r="S15" i="1" s="1"/>
  <c r="AI14" i="1"/>
  <c r="U14" i="1"/>
  <c r="S14" i="1" s="1"/>
  <c r="W190" i="1"/>
  <c r="W186" i="1"/>
  <c r="W231" i="1"/>
  <c r="W225" i="1"/>
  <c r="W179" i="1"/>
  <c r="W221" i="1"/>
  <c r="W201" i="1"/>
  <c r="W199" i="1"/>
  <c r="W195" i="1"/>
  <c r="W193" i="1"/>
  <c r="W191" i="1"/>
  <c r="W187" i="1"/>
  <c r="W185" i="1"/>
  <c r="W183" i="1"/>
  <c r="W224" i="1"/>
  <c r="W222" i="1"/>
  <c r="W200" i="1"/>
  <c r="W198" i="1"/>
  <c r="W196" i="1"/>
  <c r="W194" i="1"/>
  <c r="W192" i="1"/>
  <c r="W184" i="1"/>
  <c r="W180" i="1"/>
  <c r="W176" i="1"/>
  <c r="W175" i="1"/>
  <c r="W174" i="1"/>
  <c r="W173" i="1"/>
  <c r="W172" i="1"/>
  <c r="W171" i="1"/>
  <c r="W170" i="1"/>
  <c r="W169" i="1"/>
  <c r="W167" i="1"/>
  <c r="W165" i="1"/>
  <c r="W164" i="1"/>
  <c r="W163" i="1"/>
  <c r="W162" i="1"/>
  <c r="W232" i="1"/>
  <c r="W228" i="1"/>
  <c r="T178" i="1"/>
  <c r="U178" i="1" s="1"/>
  <c r="S178" i="1" s="1"/>
  <c r="X178" i="1"/>
  <c r="T176" i="1"/>
  <c r="U176" i="1" s="1"/>
  <c r="S176" i="1" s="1"/>
  <c r="X176" i="1"/>
  <c r="T174" i="1"/>
  <c r="U174" i="1" s="1"/>
  <c r="S174" i="1" s="1"/>
  <c r="X174" i="1"/>
  <c r="T172" i="1"/>
  <c r="U172" i="1" s="1"/>
  <c r="S172" i="1" s="1"/>
  <c r="X172" i="1"/>
  <c r="T170" i="1"/>
  <c r="U170" i="1" s="1"/>
  <c r="S170" i="1" s="1"/>
  <c r="X170" i="1"/>
  <c r="T168" i="1"/>
  <c r="U168" i="1" s="1"/>
  <c r="S168" i="1" s="1"/>
  <c r="X168" i="1"/>
  <c r="T166" i="1"/>
  <c r="U166" i="1" s="1"/>
  <c r="S166" i="1" s="1"/>
  <c r="X166" i="1"/>
  <c r="T164" i="1"/>
  <c r="U164" i="1" s="1"/>
  <c r="S164" i="1" s="1"/>
  <c r="T162" i="1"/>
  <c r="U162" i="1" s="1"/>
  <c r="S162" i="1" s="1"/>
  <c r="W218" i="1"/>
  <c r="W216" i="1"/>
  <c r="W215" i="1"/>
  <c r="W214" i="1"/>
  <c r="W212" i="1"/>
  <c r="W21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7" i="1"/>
  <c r="W146" i="1"/>
  <c r="W145" i="1"/>
  <c r="W143" i="1"/>
  <c r="W142" i="1"/>
  <c r="W141" i="1"/>
  <c r="W140" i="1"/>
  <c r="W139" i="1"/>
  <c r="W137" i="1"/>
  <c r="W136" i="1"/>
  <c r="W135" i="1"/>
  <c r="W134" i="1"/>
  <c r="W132" i="1"/>
  <c r="W129" i="1"/>
  <c r="W128" i="1"/>
  <c r="W121" i="1"/>
  <c r="W113" i="1"/>
  <c r="W105" i="1"/>
  <c r="T232" i="1"/>
  <c r="U232" i="1" s="1"/>
  <c r="S232" i="1" s="1"/>
  <c r="X232" i="1"/>
  <c r="T231" i="1"/>
  <c r="U231" i="1" s="1"/>
  <c r="S231" i="1" s="1"/>
  <c r="X231" i="1"/>
  <c r="T230" i="1"/>
  <c r="U230" i="1" s="1"/>
  <c r="S230" i="1" s="1"/>
  <c r="X230" i="1"/>
  <c r="T229" i="1"/>
  <c r="U229" i="1" s="1"/>
  <c r="S229" i="1" s="1"/>
  <c r="X229" i="1"/>
  <c r="T228" i="1"/>
  <c r="U228" i="1" s="1"/>
  <c r="S228" i="1" s="1"/>
  <c r="X228" i="1"/>
  <c r="T227" i="1"/>
  <c r="U227" i="1" s="1"/>
  <c r="S227" i="1" s="1"/>
  <c r="X227" i="1"/>
  <c r="T226" i="1"/>
  <c r="U226" i="1" s="1"/>
  <c r="S226" i="1" s="1"/>
  <c r="X226" i="1"/>
  <c r="T220" i="1"/>
  <c r="U220" i="1" s="1"/>
  <c r="S220" i="1" s="1"/>
  <c r="X220" i="1"/>
  <c r="T219" i="1"/>
  <c r="U219" i="1" s="1"/>
  <c r="S219" i="1" s="1"/>
  <c r="X219" i="1"/>
  <c r="T218" i="1"/>
  <c r="U218" i="1" s="1"/>
  <c r="S218" i="1" s="1"/>
  <c r="X218" i="1"/>
  <c r="T217" i="1"/>
  <c r="U217" i="1" s="1"/>
  <c r="S217" i="1" s="1"/>
  <c r="X217" i="1"/>
  <c r="T216" i="1"/>
  <c r="U216" i="1" s="1"/>
  <c r="S216" i="1" s="1"/>
  <c r="X216" i="1"/>
  <c r="T215" i="1"/>
  <c r="U215" i="1" s="1"/>
  <c r="S215" i="1" s="1"/>
  <c r="T214" i="1"/>
  <c r="U214" i="1" s="1"/>
  <c r="S214" i="1" s="1"/>
  <c r="T213" i="1"/>
  <c r="U213" i="1" s="1"/>
  <c r="S213" i="1" s="1"/>
  <c r="T212" i="1"/>
  <c r="U212" i="1" s="1"/>
  <c r="S212" i="1" s="1"/>
  <c r="T211" i="1"/>
  <c r="U211" i="1" s="1"/>
  <c r="S211" i="1" s="1"/>
  <c r="T160" i="1"/>
  <c r="U160" i="1" s="1"/>
  <c r="S160" i="1" s="1"/>
  <c r="X160" i="1"/>
  <c r="T159" i="1"/>
  <c r="U159" i="1" s="1"/>
  <c r="S159" i="1" s="1"/>
  <c r="X159" i="1"/>
  <c r="T158" i="1"/>
  <c r="U158" i="1" s="1"/>
  <c r="S158" i="1" s="1"/>
  <c r="X158" i="1"/>
  <c r="T157" i="1"/>
  <c r="U157" i="1" s="1"/>
  <c r="S157" i="1" s="1"/>
  <c r="X157" i="1"/>
  <c r="T156" i="1"/>
  <c r="U156" i="1" s="1"/>
  <c r="S156" i="1" s="1"/>
  <c r="X156" i="1"/>
  <c r="T155" i="1"/>
  <c r="U155" i="1" s="1"/>
  <c r="S155" i="1" s="1"/>
  <c r="X155" i="1"/>
  <c r="T154" i="1"/>
  <c r="U154" i="1" s="1"/>
  <c r="S154" i="1" s="1"/>
  <c r="X154" i="1"/>
  <c r="T153" i="1"/>
  <c r="U153" i="1" s="1"/>
  <c r="S153" i="1" s="1"/>
  <c r="X153" i="1"/>
  <c r="T152" i="1"/>
  <c r="U152" i="1" s="1"/>
  <c r="S152" i="1" s="1"/>
  <c r="X152" i="1"/>
  <c r="T151" i="1"/>
  <c r="U151" i="1" s="1"/>
  <c r="S151" i="1" s="1"/>
  <c r="T150" i="1"/>
  <c r="U150" i="1" s="1"/>
  <c r="S150" i="1" s="1"/>
  <c r="T149" i="1"/>
  <c r="U149" i="1" s="1"/>
  <c r="S149" i="1" s="1"/>
  <c r="T147" i="1"/>
  <c r="U147" i="1" s="1"/>
  <c r="S147" i="1" s="1"/>
  <c r="X147" i="1"/>
  <c r="T146" i="1"/>
  <c r="U146" i="1" s="1"/>
  <c r="S146" i="1" s="1"/>
  <c r="X146" i="1"/>
  <c r="W119" i="1"/>
  <c r="W116" i="1"/>
  <c r="W108" i="1"/>
  <c r="W103" i="1"/>
  <c r="W99" i="1"/>
  <c r="T177" i="1"/>
  <c r="U177" i="1" s="1"/>
  <c r="S177" i="1" s="1"/>
  <c r="X177" i="1"/>
  <c r="T175" i="1"/>
  <c r="U175" i="1" s="1"/>
  <c r="S175" i="1" s="1"/>
  <c r="X175" i="1"/>
  <c r="T173" i="1"/>
  <c r="U173" i="1" s="1"/>
  <c r="S173" i="1" s="1"/>
  <c r="X173" i="1"/>
  <c r="T171" i="1"/>
  <c r="U171" i="1" s="1"/>
  <c r="S171" i="1" s="1"/>
  <c r="X171" i="1"/>
  <c r="T169" i="1"/>
  <c r="U169" i="1" s="1"/>
  <c r="S169" i="1" s="1"/>
  <c r="X169" i="1"/>
  <c r="T167" i="1"/>
  <c r="U167" i="1" s="1"/>
  <c r="S167" i="1" s="1"/>
  <c r="X167" i="1"/>
  <c r="T165" i="1"/>
  <c r="U165" i="1" s="1"/>
  <c r="S165" i="1" s="1"/>
  <c r="X165" i="1"/>
  <c r="T163" i="1"/>
  <c r="U163" i="1" s="1"/>
  <c r="S163" i="1" s="1"/>
  <c r="W127" i="1"/>
  <c r="W125" i="1"/>
  <c r="W117" i="1"/>
  <c r="W109" i="1"/>
  <c r="W115" i="1"/>
  <c r="W112" i="1"/>
  <c r="W107" i="1"/>
  <c r="W104" i="1"/>
  <c r="X125" i="1"/>
  <c r="W122" i="1"/>
  <c r="W96" i="1"/>
  <c r="W93" i="1"/>
  <c r="W94" i="1"/>
  <c r="W91" i="1"/>
  <c r="W123" i="1"/>
  <c r="W97" i="1"/>
  <c r="W92" i="1"/>
  <c r="X145" i="1"/>
  <c r="X144" i="1"/>
  <c r="X143" i="1"/>
  <c r="X142" i="1"/>
  <c r="X141" i="1"/>
  <c r="X140" i="1"/>
  <c r="X139" i="1"/>
  <c r="X138" i="1"/>
  <c r="X137" i="1"/>
  <c r="X136" i="1"/>
  <c r="X135" i="1"/>
  <c r="X129" i="1"/>
  <c r="W98" i="1"/>
  <c r="W95" i="1"/>
  <c r="W90" i="1"/>
  <c r="W64" i="1"/>
  <c r="W63" i="1"/>
  <c r="W60" i="1"/>
  <c r="X90" i="1"/>
  <c r="X89" i="1"/>
  <c r="W88" i="1"/>
  <c r="T88" i="1"/>
  <c r="U88" i="1" s="1"/>
  <c r="S88" i="1" s="1"/>
  <c r="X87" i="1"/>
  <c r="W86" i="1"/>
  <c r="T86" i="1"/>
  <c r="U86" i="1" s="1"/>
  <c r="S86" i="1" s="1"/>
  <c r="X85" i="1"/>
  <c r="W84" i="1"/>
  <c r="T84" i="1"/>
  <c r="U84" i="1" s="1"/>
  <c r="S84" i="1" s="1"/>
  <c r="X83" i="1"/>
  <c r="T82" i="1"/>
  <c r="U82" i="1" s="1"/>
  <c r="S82" i="1" s="1"/>
  <c r="X81" i="1"/>
  <c r="W80" i="1"/>
  <c r="T80" i="1"/>
  <c r="U80" i="1" s="1"/>
  <c r="S80" i="1" s="1"/>
  <c r="X79" i="1"/>
  <c r="W78" i="1"/>
  <c r="W76" i="1"/>
  <c r="W74" i="1"/>
  <c r="W72" i="1"/>
  <c r="W70" i="1"/>
  <c r="W68" i="1"/>
  <c r="W66" i="1"/>
  <c r="W61" i="1"/>
  <c r="W59" i="1"/>
  <c r="W89" i="1"/>
  <c r="W83" i="1"/>
  <c r="W81" i="1"/>
  <c r="W77" i="1"/>
  <c r="W75" i="1"/>
  <c r="W73" i="1"/>
  <c r="W67" i="1"/>
  <c r="W65" i="1"/>
  <c r="W57" i="1"/>
  <c r="W51" i="1"/>
  <c r="W47" i="1"/>
  <c r="W43" i="1"/>
  <c r="W39" i="1"/>
  <c r="T65" i="1"/>
  <c r="U65" i="1" s="1"/>
  <c r="S65" i="1" s="1"/>
  <c r="W54" i="1"/>
  <c r="W50" i="1"/>
  <c r="W46" i="1"/>
  <c r="W38" i="1"/>
  <c r="W34" i="1"/>
  <c r="T64" i="1"/>
  <c r="U64" i="1" s="1"/>
  <c r="S64" i="1" s="1"/>
  <c r="W53" i="1"/>
  <c r="W49" i="1"/>
  <c r="W45" i="1"/>
  <c r="W41" i="1"/>
  <c r="W48" i="1"/>
  <c r="W44" i="1"/>
  <c r="W40" i="1"/>
  <c r="W33" i="1"/>
  <c r="W32" i="1"/>
  <c r="W31" i="1"/>
  <c r="W30" i="1"/>
  <c r="W29" i="1"/>
  <c r="W28" i="1"/>
  <c r="W27" i="1"/>
  <c r="W25" i="1"/>
  <c r="W24" i="1"/>
  <c r="W22" i="1"/>
  <c r="W20" i="1"/>
  <c r="W19" i="1"/>
  <c r="W18" i="1"/>
  <c r="W17" i="1"/>
  <c r="W16" i="1"/>
  <c r="W15" i="1"/>
  <c r="W14" i="1"/>
  <c r="T55" i="1"/>
  <c r="U55" i="1" s="1"/>
  <c r="S55" i="1" s="1"/>
  <c r="X55" i="1"/>
  <c r="T54" i="1"/>
  <c r="U54" i="1" s="1"/>
  <c r="S54" i="1" s="1"/>
  <c r="X54" i="1"/>
  <c r="T53" i="1"/>
  <c r="U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X22" i="1"/>
  <c r="X21" i="1"/>
  <c r="X20" i="1"/>
  <c r="X19" i="1"/>
  <c r="X18" i="1"/>
  <c r="X17" i="1"/>
  <c r="X16" i="1"/>
  <c r="X15" i="1"/>
  <c r="AE36" i="3"/>
  <c r="AC30" i="3"/>
  <c r="AC24" i="3"/>
  <c r="T24" i="3"/>
  <c r="T15" i="3"/>
  <c r="AD18" i="3"/>
  <c r="AE18" i="3"/>
  <c r="AE30" i="3"/>
  <c r="AD37" i="3"/>
  <c r="AD39" i="3"/>
  <c r="T28" i="3"/>
  <c r="AD33" i="3"/>
  <c r="AC16" i="3"/>
  <c r="T22" i="3"/>
  <c r="AC37" i="3"/>
  <c r="AD25" i="3"/>
  <c r="AC29" i="3"/>
  <c r="AD26" i="3"/>
  <c r="AD15" i="3"/>
  <c r="AD34" i="3"/>
  <c r="T39" i="3"/>
  <c r="AC9" i="3"/>
  <c r="AD23" i="3"/>
  <c r="AE19" i="3"/>
  <c r="AD27" i="3"/>
  <c r="T8" i="3"/>
  <c r="AD16" i="3"/>
  <c r="AD9" i="3"/>
  <c r="AE24" i="3"/>
  <c r="AD21" i="3"/>
  <c r="AE20" i="3"/>
  <c r="AE7" i="3"/>
  <c r="AD10" i="3"/>
  <c r="AE34" i="3"/>
  <c r="AD20" i="3"/>
  <c r="AE27" i="3"/>
  <c r="AD7" i="3"/>
  <c r="AD8" i="3"/>
  <c r="AE37" i="3"/>
  <c r="AD36" i="3"/>
  <c r="T25" i="3"/>
  <c r="AC38" i="3"/>
  <c r="AE29" i="3"/>
  <c r="AD30" i="3"/>
  <c r="T35" i="3"/>
  <c r="AC19" i="3"/>
  <c r="AE16" i="3"/>
  <c r="AD14" i="3"/>
  <c r="AC14" i="3"/>
  <c r="AD40" i="3"/>
  <c r="T27" i="3"/>
  <c r="AE33" i="3"/>
  <c r="T40" i="3"/>
  <c r="AC10" i="3"/>
  <c r="AC33" i="3"/>
  <c r="AE23" i="3"/>
  <c r="AD19" i="3"/>
  <c r="Y19" i="3"/>
  <c r="Y29" i="3"/>
  <c r="Y31" i="3"/>
  <c r="Y30" i="3"/>
  <c r="Y24" i="3"/>
  <c r="Y38" i="3"/>
  <c r="Y37" i="3"/>
  <c r="Y33" i="3"/>
  <c r="Y22" i="3"/>
  <c r="Y35" i="3"/>
  <c r="Y39" i="3"/>
  <c r="Y8" i="3"/>
  <c r="Y28" i="3"/>
  <c r="Y27" i="3"/>
  <c r="Y25" i="3"/>
  <c r="Y15" i="3"/>
  <c r="Y40" i="3"/>
  <c r="Y26" i="3"/>
  <c r="Y34" i="3"/>
  <c r="Y12" i="3"/>
  <c r="Y11" i="3"/>
  <c r="Y21" i="3"/>
  <c r="Y20" i="3"/>
  <c r="Y36" i="3"/>
  <c r="Y18" i="3"/>
  <c r="Y32" i="3"/>
  <c r="Y17" i="3"/>
  <c r="Y16" i="3"/>
  <c r="Y23" i="3"/>
  <c r="Y10" i="3"/>
  <c r="Y9" i="3"/>
  <c r="Y7" i="3"/>
  <c r="Y14" i="3"/>
  <c r="T26" i="3"/>
  <c r="T34" i="3"/>
  <c r="AE35" i="3"/>
  <c r="T12" i="3"/>
  <c r="T11" i="3"/>
  <c r="T21" i="3"/>
  <c r="T36" i="3"/>
  <c r="AE22" i="3"/>
  <c r="T18" i="3"/>
  <c r="AE17" i="3"/>
  <c r="T32" i="3"/>
  <c r="AE12" i="3"/>
  <c r="T17" i="3"/>
  <c r="AE28" i="3"/>
  <c r="T20" i="3"/>
  <c r="AE39" i="3"/>
  <c r="AE38" i="3"/>
  <c r="T16" i="3"/>
  <c r="AD35" i="3"/>
  <c r="T23" i="3"/>
  <c r="T10" i="3"/>
  <c r="AE31" i="3"/>
  <c r="AD28" i="3"/>
  <c r="AE25" i="3"/>
  <c r="T9" i="3"/>
  <c r="AD22" i="3"/>
  <c r="AE21" i="3"/>
  <c r="AD17" i="3"/>
  <c r="AE26" i="3"/>
  <c r="T7" i="3"/>
  <c r="AE15" i="3"/>
  <c r="T14" i="3"/>
  <c r="AD12" i="3"/>
  <c r="AE10" i="3"/>
  <c r="AE9" i="3"/>
  <c r="AE8" i="3"/>
  <c r="S13" i="3"/>
  <c r="M13" i="3"/>
  <c r="R13" i="3"/>
  <c r="U13" i="3"/>
  <c r="T13" i="3" s="1"/>
  <c r="V13" i="3"/>
  <c r="X13" i="3"/>
  <c r="W13" i="3"/>
  <c r="AD13" i="3" l="1"/>
  <c r="AE13" i="3"/>
  <c r="AC13" i="3"/>
  <c r="Y13" i="3"/>
  <c r="AD11" i="3" l="1"/>
  <c r="AE11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N26" i="3" s="1"/>
  <c r="G236" i="4"/>
  <c r="G237" i="4"/>
  <c r="G238" i="4"/>
  <c r="G239" i="4"/>
  <c r="G240" i="4"/>
  <c r="N27" i="3" s="1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N31" i="3" s="1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N7" i="3" s="1"/>
  <c r="G64" i="4"/>
  <c r="G65" i="4"/>
  <c r="N8" i="3" s="1"/>
  <c r="G66" i="4"/>
  <c r="G67" i="4"/>
  <c r="G68" i="4"/>
  <c r="G69" i="4"/>
  <c r="G70" i="4"/>
  <c r="G71" i="4"/>
  <c r="N29" i="3" s="1"/>
  <c r="G72" i="4"/>
  <c r="G73" i="4"/>
  <c r="G74" i="4"/>
  <c r="G75" i="4"/>
  <c r="G76" i="4"/>
  <c r="G77" i="4"/>
  <c r="G78" i="4"/>
  <c r="G79" i="4"/>
  <c r="G80" i="4"/>
  <c r="G81" i="4"/>
  <c r="G82" i="4"/>
  <c r="G83" i="4"/>
  <c r="N18" i="3" s="1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N19" i="3" s="1"/>
  <c r="G105" i="4"/>
  <c r="G106" i="4"/>
  <c r="G107" i="4"/>
  <c r="G108" i="4"/>
  <c r="N9" i="3" s="1"/>
  <c r="G109" i="4"/>
  <c r="G110" i="4"/>
  <c r="G111" i="4"/>
  <c r="N36" i="3" s="1"/>
  <c r="G112" i="4"/>
  <c r="G113" i="4"/>
  <c r="G114" i="4"/>
  <c r="G115" i="4"/>
  <c r="G116" i="4"/>
  <c r="G117" i="4"/>
  <c r="G118" i="4"/>
  <c r="G119" i="4"/>
  <c r="G120" i="4"/>
  <c r="G121" i="4"/>
  <c r="N39" i="3" s="1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N35" i="3" s="1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N10" i="3" s="1"/>
  <c r="G162" i="4"/>
  <c r="G163" i="4"/>
  <c r="G164" i="4"/>
  <c r="N37" i="3" s="1"/>
  <c r="G165" i="4"/>
  <c r="G166" i="4"/>
  <c r="G167" i="4"/>
  <c r="N40" i="3" s="1"/>
  <c r="G168" i="4"/>
  <c r="G169" i="4"/>
  <c r="G170" i="4"/>
  <c r="N38" i="3" s="1"/>
  <c r="G171" i="4"/>
  <c r="G172" i="4"/>
  <c r="G173" i="4"/>
  <c r="G174" i="4"/>
  <c r="N23" i="3" s="1"/>
  <c r="G175" i="4"/>
  <c r="G176" i="4"/>
  <c r="G177" i="4"/>
  <c r="G178" i="4"/>
  <c r="G179" i="4"/>
  <c r="G180" i="4"/>
  <c r="G181" i="4"/>
  <c r="G182" i="4"/>
  <c r="G183" i="4"/>
  <c r="N11" i="3" s="1"/>
  <c r="G184" i="4"/>
  <c r="G185" i="4"/>
  <c r="G186" i="4"/>
  <c r="G187" i="4"/>
  <c r="G188" i="4"/>
  <c r="G189" i="4"/>
  <c r="G190" i="4"/>
  <c r="G191" i="4"/>
  <c r="G192" i="4"/>
  <c r="G193" i="4"/>
  <c r="G194" i="4"/>
  <c r="N15" i="3" s="1"/>
  <c r="G195" i="4"/>
  <c r="G196" i="4"/>
  <c r="G197" i="4"/>
  <c r="G198" i="4"/>
  <c r="G199" i="4"/>
  <c r="G200" i="4"/>
  <c r="G201" i="4"/>
  <c r="G202" i="4"/>
  <c r="G203" i="4"/>
  <c r="G204" i="4"/>
  <c r="G205" i="4"/>
  <c r="N12" i="3" s="1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N30" i="3" s="1"/>
  <c r="G2" i="4"/>
  <c r="N32" i="3" l="1"/>
  <c r="N14" i="3"/>
  <c r="N25" i="3"/>
  <c r="N24" i="3"/>
  <c r="N22" i="3"/>
  <c r="N21" i="3"/>
  <c r="N16" i="3"/>
  <c r="N34" i="3"/>
  <c r="N28" i="3"/>
  <c r="N17" i="3"/>
  <c r="N33" i="3"/>
  <c r="N20" i="3"/>
  <c r="N13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<sst xmlns="http://schemas.openxmlformats.org/spreadsheetml/2006/main" count="2860" uniqueCount="1098">
  <si>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</si>
  <si>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</si>
  <si>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</si>
  <si>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</si>
  <si>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</si>
  <si>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</si>
  <si>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</si>
  <si>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</si>
  <si>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</si>
  <si>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</si>
  <si>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</si>
  <si>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</si>
  <si>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</si>
  <si>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</si>
  <si>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</si>
  <si>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</si>
  <si>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</si>
  <si>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</si>
  <si>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</si>
  <si>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</si>
  <si>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</si>
  <si>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</si>
  <si>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</si>
  <si>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</si>
  <si>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</si>
  <si>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</si>
  <si>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</si>
  <si>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</si>
  <si>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</si>
  <si>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</si>
  <si>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</si>
  <si>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</si>
  <si>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</si>
  <si>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</si>
  <si>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</si>
  <si>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</si>
  <si>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</si>
  <si>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</si>
  <si>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</si>
  <si>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</si>
  <si>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</si>
  <si>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</si>
  <si>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</si>
  <si>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</si>
  <si>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</si>
  <si>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</si>
  <si>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</si>
  <si>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</si>
  <si>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</si>
  <si>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</si>
  <si>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</si>
  <si>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</si>
  <si>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</si>
  <si>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</si>
  <si>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</si>
  <si>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</si>
  <si>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</si>
  <si>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</si>
  <si>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</si>
  <si>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</si>
  <si>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</si>
  <si>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</si>
  <si>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</si>
  <si>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</si>
  <si>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</si>
  <si>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</si>
  <si>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</si>
  <si>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</si>
  <si>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</si>
  <si>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</si>
  <si>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</si>
  <si>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</si>
  <si>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</si>
  <si>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</si>
  <si>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</si>
  <si>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</si>
  <si>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</si>
  <si>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</si>
  <si>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</si>
  <si>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</si>
  <si>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</si>
  <si>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</si>
  <si>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</si>
  <si>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</si>
  <si>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</si>
  <si>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</si>
  <si>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</si>
  <si>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</si>
  <si>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</si>
  <si>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</si>
  <si>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</si>
  <si>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</si>
  <si>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</si>
  <si>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</si>
  <si>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</si>
  <si>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</si>
  <si>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</si>
  <si>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</si>
  <si>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</si>
  <si>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</si>
  <si>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</si>
  <si>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</si>
  <si>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</si>
  <si>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</si>
  <si>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</si>
  <si>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</si>
  <si>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</si>
  <si>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</si>
  <si>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</si>
  <si>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</si>
  <si>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</si>
  <si>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</si>
  <si>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</si>
  <si>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</si>
  <si>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</si>
  <si>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</si>
  <si>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</si>
  <si>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</si>
  <si>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</si>
  <si>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</si>
  <si>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</si>
  <si>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</si>
  <si>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</si>
  <si>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</si>
  <si>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</si>
  <si>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</si>
  <si>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</si>
  <si>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</si>
  <si>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</si>
  <si>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</si>
  <si>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</si>
  <si>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</si>
  <si>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</si>
  <si>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</si>
  <si>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</si>
  <si>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</si>
  <si>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</si>
  <si>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</si>
  <si>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</si>
  <si>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</si>
  <si>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</si>
  <si>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</si>
  <si>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</si>
  <si>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</si>
  <si>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</si>
  <si>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</si>
  <si>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</si>
  <si>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</si>
  <si>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</si>
  <si>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</si>
  <si>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</si>
  <si>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</si>
  <si>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</si>
  <si>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</si>
  <si>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</si>
  <si>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</si>
  <si>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</si>
  <si>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</si>
  <si>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</si>
  <si>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</si>
  <si>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</si>
  <si>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</si>
  <si>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</si>
  <si>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</si>
  <si>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</si>
  <si>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</si>
  <si>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</si>
  <si>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</si>
  <si>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</si>
  <si>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</si>
  <si>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</si>
  <si>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</si>
  <si>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</si>
  <si>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</si>
  <si>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</si>
  <si>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</si>
  <si>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</si>
  <si>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</si>
  <si>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</si>
  <si>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</si>
  <si>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</si>
  <si>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</si>
  <si>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</si>
  <si>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</si>
  <si>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</si>
  <si>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</si>
  <si>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</si>
  <si>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</si>
  <si>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</si>
  <si>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</si>
  <si>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</si>
  <si>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</si>
  <si>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</si>
  <si>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</si>
  <si>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</si>
  <si>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</si>
  <si>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</si>
  <si>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</si>
  <si>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</si>
  <si>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</si>
  <si>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</si>
  <si>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</si>
  <si>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</si>
  <si>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</si>
  <si>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</si>
  <si>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</si>
  <si>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</si>
  <si>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</si>
  <si>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</si>
  <si>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</si>
  <si>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</si>
  <si>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</si>
  <si>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</si>
  <si>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</si>
  <si>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</si>
  <si>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</si>
  <si>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</si>
  <si>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</si>
  <si>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</si>
  <si>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</si>
  <si>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</si>
  <si>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</si>
  <si>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</si>
  <si>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</si>
  <si>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</si>
  <si>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</si>
  <si>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</si>
  <si>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</si>
  <si>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</si>
  <si>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</si>
  <si>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</si>
  <si>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</si>
  <si>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</si>
  <si>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</si>
  <si>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</si>
  <si>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</si>
  <si>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</si>
  <si>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</si>
  <si>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</si>
  <si>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</si>
  <si>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</si>
  <si>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</si>
  <si>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</si>
  <si>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</si>
  <si>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</si>
  <si>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</si>
  <si>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</si>
  <si>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</si>
  <si>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</si>
  <si>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</si>
  <si>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</si>
  <si>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</si>
  <si>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</si>
  <si>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</si>
  <si>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</si>
  <si>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</si>
  <si>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</si>
  <si>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</si>
  <si>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</si>
  <si>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</si>
  <si>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</si>
  <si>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</si>
  <si>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</si>
  <si>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</si>
  <si>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</si>
  <si>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</si>
  <si>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</si>
  <si>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</si>
  <si>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</si>
  <si>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</si>
  <si>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</si>
  <si>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</si>
  <si>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</si>
  <si>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</si>
  <si>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</si>
  <si>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</si>
  <si>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</si>
  <si>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</si>
  <si>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</si>
  <si>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</si>
  <si>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</si>
  <si>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</si>
  <si>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</si>
  <si>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</si>
  <si>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</si>
  <si>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</si>
  <si>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</si>
  <si>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</si>
  <si>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</si>
  <si>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</si>
  <si>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</si>
  <si>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</si>
  <si>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</si>
  <si>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</si>
  <si>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</si>
  <si>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</si>
  <si>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</si>
  <si>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</si>
  <si>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</si>
  <si>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</si>
  <si>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</si>
  <si>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</si>
  <si>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</si>
  <si>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</si>
  <si>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</si>
  <si>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</si>
  <si>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</si>
  <si>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</si>
  <si>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</si>
  <si>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</si>
  <si>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</si>
  <si>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</si>
  <si>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</si>
  <si>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</si>
  <si>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</si>
  <si>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</si>
  <si>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</si>
  <si>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</si>
  <si>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</si>
  <si>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</si>
  <si>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</si>
  <si>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</si>
  <si>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</si>
  <si>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</si>
  <si>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</si>
  <si>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</si>
  <si>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</si>
  <si>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</si>
  <si>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</si>
  <si>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</si>
  <si>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</si>
  <si>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</si>
  <si>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</si>
  <si>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</si>
  <si>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</si>
  <si>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</si>
  <si>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</si>
  <si>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</si>
  <si>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</si>
  <si>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</si>
  <si>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</si>
  <si>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</si>
  <si>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</si>
  <si>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</si>
  <si>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</si>
  <si>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</si>
  <si>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</si>
  <si>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</si>
  <si>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</si>
  <si>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</si>
  <si>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</si>
  <si>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</si>
  <si>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</si>
  <si>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</si>
  <si>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</si>
  <si>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</si>
  <si>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</si>
  <si>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</si>
  <si>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</si>
  <si>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</si>
  <si>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</si>
  <si>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</si>
  <si>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</si>
  <si>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</si>
  <si>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</si>
  <si>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</si>
  <si>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rtdc.l.rtdc.4012:itc</t>
  </si>
  <si>
    <t>rtdc.l.rtdc.4011:itc</t>
  </si>
  <si>
    <t>GUNTHIER</t>
  </si>
  <si>
    <t>ERIC</t>
  </si>
  <si>
    <t>RESPASS</t>
  </si>
  <si>
    <t>AARON</t>
  </si>
  <si>
    <t>ANDREA</t>
  </si>
  <si>
    <t>rtdc.l.rtdc.4062:itc</t>
  </si>
  <si>
    <t>rtdc.l.rtdc.4022:itc</t>
  </si>
  <si>
    <t>rtdc.l.rtdc.4061:itc</t>
  </si>
  <si>
    <t>rtdc.l.rtdc.4029:itc</t>
  </si>
  <si>
    <t>232-31</t>
  </si>
  <si>
    <t>238-31</t>
  </si>
  <si>
    <t>rtdc.l.rtdc.4030:itc</t>
  </si>
  <si>
    <t>STAMBAUGH</t>
  </si>
  <si>
    <t>JAMES</t>
  </si>
  <si>
    <t>MOSES</t>
  </si>
  <si>
    <t>BRADLEY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</si>
  <si>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</si>
  <si>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</si>
  <si>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</si>
  <si>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</si>
  <si>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</si>
  <si>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</si>
  <si>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</si>
  <si>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</si>
  <si>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</si>
  <si>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</si>
  <si>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</si>
  <si>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</si>
  <si>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</si>
  <si>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</si>
  <si>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</si>
  <si>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</si>
  <si>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</si>
  <si>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</si>
  <si>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</si>
  <si>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</si>
  <si>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</si>
  <si>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</si>
  <si>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Clear</t>
  </si>
  <si>
    <t>clear-night</t>
  </si>
  <si>
    <t>ELBAUM</t>
  </si>
  <si>
    <t>MIKE</t>
  </si>
  <si>
    <t>rtdc.l.rtdc.4056:itc</t>
  </si>
  <si>
    <t>rtdc.l.rtdc.4025:itc</t>
  </si>
  <si>
    <t>rtdc.l.rtdc.4026:itc</t>
  </si>
  <si>
    <t>DONTE</t>
  </si>
  <si>
    <t>clear-day</t>
  </si>
  <si>
    <t>rtdc.l.rtdc.4044:itc</t>
  </si>
  <si>
    <t>rtdc.l.rtdc.4043:itc</t>
  </si>
  <si>
    <t>307-27</t>
  </si>
  <si>
    <t>rtdc.l.rtdc.4021:itc</t>
  </si>
  <si>
    <t>LORI</t>
  </si>
  <si>
    <t>SANTOS</t>
  </si>
  <si>
    <t>846-27</t>
  </si>
  <si>
    <t>237-27</t>
  </si>
  <si>
    <t>234-27</t>
  </si>
  <si>
    <t>849-27</t>
  </si>
  <si>
    <t>239-27</t>
  </si>
  <si>
    <t>236-27</t>
  </si>
  <si>
    <t>908-27</t>
  </si>
  <si>
    <t>238-27</t>
  </si>
  <si>
    <t>241-27</t>
  </si>
  <si>
    <t>240-27</t>
  </si>
  <si>
    <t>243-27</t>
  </si>
  <si>
    <t>313-27</t>
  </si>
  <si>
    <t>242-27</t>
  </si>
  <si>
    <t>244-27</t>
  </si>
  <si>
    <t>309-27</t>
  </si>
  <si>
    <t>311-27</t>
  </si>
  <si>
    <t>204:446</t>
  </si>
  <si>
    <t>Wi-MAX data drop</t>
  </si>
  <si>
    <t>ANDERS</t>
  </si>
  <si>
    <t>STEVEN</t>
  </si>
  <si>
    <t>204:216</t>
  </si>
  <si>
    <t>rtdc.l.rtdc.4031:itc</t>
  </si>
  <si>
    <t>rtdc.l.rtdc.4032:itc</t>
  </si>
  <si>
    <t>rtdc.l.rtdc.4006:itc</t>
  </si>
  <si>
    <t>311-29</t>
  </si>
  <si>
    <t>204:209</t>
  </si>
  <si>
    <t>rtdc.l.rtdc.4009:itc</t>
  </si>
  <si>
    <t>rtdc.l.rtdc.4010:itc</t>
  </si>
  <si>
    <t>rtdc.l.rtdc.4063:itc</t>
  </si>
  <si>
    <t>204:233291</t>
  </si>
  <si>
    <t>204:233232</t>
  </si>
  <si>
    <t>204:478</t>
  </si>
  <si>
    <t>204:233264</t>
  </si>
  <si>
    <t>204:528</t>
  </si>
  <si>
    <t>SWITCH UNKNOWN</t>
  </si>
  <si>
    <t>Track device (7)</t>
  </si>
  <si>
    <t>SPECTOR</t>
  </si>
  <si>
    <t>YANAI</t>
  </si>
  <si>
    <t>IAN</t>
  </si>
  <si>
    <t>rtdc.l.rtdc.4064:itc</t>
  </si>
  <si>
    <t>LONG</t>
  </si>
  <si>
    <t>FULLER</t>
  </si>
  <si>
    <t>LEVIN</t>
  </si>
  <si>
    <t>SCOTT</t>
  </si>
  <si>
    <t>Early Arrival</t>
  </si>
  <si>
    <t>rtdc.l.rtdc.4015:itc</t>
  </si>
  <si>
    <t>rtdc.l.rtdc.4060:itc</t>
  </si>
  <si>
    <t>204:149</t>
  </si>
  <si>
    <t>rtdc.l.rtdc.4050:itc</t>
  </si>
  <si>
    <t>236-06</t>
  </si>
  <si>
    <t>rtdc.l.rtdc.4049:itc</t>
  </si>
  <si>
    <t>CUSHING</t>
  </si>
  <si>
    <t>HARRY</t>
  </si>
  <si>
    <t>237-06</t>
  </si>
  <si>
    <t>849-06</t>
  </si>
  <si>
    <t>239-06</t>
  </si>
  <si>
    <t>908-06</t>
  </si>
  <si>
    <t>238-06</t>
  </si>
  <si>
    <t>241-06</t>
  </si>
  <si>
    <t>243-06</t>
  </si>
  <si>
    <t>240-06</t>
  </si>
  <si>
    <t>313-06</t>
  </si>
  <si>
    <t>242-06</t>
  </si>
  <si>
    <t>307-06</t>
  </si>
  <si>
    <t>244-06</t>
  </si>
  <si>
    <t>309-06</t>
  </si>
  <si>
    <t>311-06</t>
  </si>
  <si>
    <t>204:233278</t>
  </si>
  <si>
    <t>204:203</t>
  </si>
  <si>
    <t>204:451</t>
  </si>
  <si>
    <t>204:462</t>
  </si>
  <si>
    <t>204:480</t>
  </si>
  <si>
    <t>204:148</t>
  </si>
  <si>
    <t>204:455</t>
  </si>
  <si>
    <t>rtdc.l.rtdc.4027:itc</t>
  </si>
  <si>
    <t>rtdc.l.rtdc.4028:itc</t>
  </si>
  <si>
    <t>204:233289</t>
  </si>
  <si>
    <t>204:511</t>
  </si>
  <si>
    <t>204:245</t>
  </si>
  <si>
    <t>rtdc.l.rtdc.4042:itc</t>
  </si>
  <si>
    <t>204:232967</t>
  </si>
  <si>
    <t>204:233002</t>
  </si>
  <si>
    <t>204:192</t>
  </si>
  <si>
    <t>204:172</t>
  </si>
  <si>
    <t>204:232943</t>
  </si>
  <si>
    <t>204:200</t>
  </si>
  <si>
    <t>204:529</t>
  </si>
  <si>
    <t>204:191</t>
  </si>
  <si>
    <t>204:526</t>
  </si>
  <si>
    <t>204:185</t>
  </si>
  <si>
    <t>204:151</t>
  </si>
  <si>
    <t>300:58617</t>
  </si>
  <si>
    <t>300:58937</t>
  </si>
  <si>
    <t>300:58621</t>
  </si>
  <si>
    <t>204:155</t>
  </si>
  <si>
    <t>TRACK WARRANT AUTHORITY</t>
  </si>
  <si>
    <t>Form based authority (4)</t>
  </si>
  <si>
    <t>FORTUNATO</t>
  </si>
  <si>
    <t>FRANK</t>
  </si>
  <si>
    <t>NEWELL</t>
  </si>
  <si>
    <t>precipAccumulation</t>
  </si>
  <si>
    <t>precipType</t>
  </si>
  <si>
    <t>snow</t>
  </si>
  <si>
    <t>204:233288</t>
  </si>
  <si>
    <t>204:539</t>
  </si>
  <si>
    <t>204:154</t>
  </si>
  <si>
    <t>204:229</t>
  </si>
  <si>
    <t>204:522</t>
  </si>
  <si>
    <t>204:233293</t>
  </si>
  <si>
    <t>204:232882</t>
  </si>
  <si>
    <t>204:232917</t>
  </si>
  <si>
    <t>204:180</t>
  </si>
  <si>
    <t>204:146</t>
  </si>
  <si>
    <t>300:58931</t>
  </si>
  <si>
    <t>300:58948</t>
  </si>
  <si>
    <t>240-13</t>
  </si>
  <si>
    <t>244-13</t>
  </si>
  <si>
    <t>PAGE</t>
  </si>
  <si>
    <t>MARCUS</t>
  </si>
  <si>
    <t>rtdc.l.rtdc.4059:itc</t>
  </si>
  <si>
    <t>LOPES</t>
  </si>
  <si>
    <t>KIMBERLY</t>
  </si>
  <si>
    <t>GEBRETEKLE</t>
  </si>
  <si>
    <t>DAGNEW</t>
  </si>
  <si>
    <t>HOLCOMB</t>
  </si>
  <si>
    <t>KAMDEN</t>
  </si>
  <si>
    <t>243-13</t>
  </si>
  <si>
    <t>313-13</t>
  </si>
  <si>
    <t>242-13</t>
  </si>
  <si>
    <t>307-13</t>
  </si>
  <si>
    <t>309-13</t>
  </si>
  <si>
    <t>311-13</t>
  </si>
  <si>
    <t>partly-cloudy-night</t>
  </si>
  <si>
    <t>Partly Cloudy</t>
  </si>
  <si>
    <t>204:220</t>
  </si>
  <si>
    <t>204:495</t>
  </si>
  <si>
    <t>204:467</t>
  </si>
  <si>
    <t>204:214</t>
  </si>
  <si>
    <t>204:233312</t>
  </si>
  <si>
    <t>204:498</t>
  </si>
  <si>
    <t>204:557</t>
  </si>
  <si>
    <t>204:475</t>
  </si>
  <si>
    <t>204:232932</t>
  </si>
  <si>
    <t>204:232974</t>
  </si>
  <si>
    <t>204:233234</t>
  </si>
  <si>
    <t>300:23308</t>
  </si>
  <si>
    <t>300:58944</t>
  </si>
  <si>
    <t>204:448</t>
  </si>
  <si>
    <t>204:160</t>
  </si>
  <si>
    <t>300:58600</t>
  </si>
  <si>
    <t>244-14</t>
  </si>
  <si>
    <t>MAELZER</t>
  </si>
  <si>
    <t>KURT</t>
  </si>
  <si>
    <t>BADERTSCHER</t>
  </si>
  <si>
    <t>DIANE</t>
  </si>
  <si>
    <t>STRICKLAND</t>
  </si>
  <si>
    <t>EVAN</t>
  </si>
  <si>
    <t>DE LA ROSA</t>
  </si>
  <si>
    <t>ALEX</t>
  </si>
  <si>
    <t>THOMPSON</t>
  </si>
  <si>
    <t>243-14</t>
  </si>
  <si>
    <t>307-14</t>
  </si>
  <si>
    <t>311-14</t>
  </si>
  <si>
    <t>300-15</t>
  </si>
  <si>
    <t>rain</t>
  </si>
  <si>
    <t>204:232986</t>
  </si>
  <si>
    <t>204:161</t>
  </si>
  <si>
    <t>204:464</t>
  </si>
  <si>
    <t>204:233284</t>
  </si>
  <si>
    <t>204:232961</t>
  </si>
  <si>
    <t>204:504</t>
  </si>
  <si>
    <t>204:212</t>
  </si>
  <si>
    <t>204:232953</t>
  </si>
  <si>
    <t>204:234</t>
  </si>
  <si>
    <t>204:506</t>
  </si>
  <si>
    <t>204:232938</t>
  </si>
  <si>
    <t>204:486</t>
  </si>
  <si>
    <t>204:236</t>
  </si>
  <si>
    <t>204:513</t>
  </si>
  <si>
    <t>204:170</t>
  </si>
  <si>
    <t>204:233301</t>
  </si>
  <si>
    <t>204:196</t>
  </si>
  <si>
    <t>204:232905</t>
  </si>
  <si>
    <t>204:232902</t>
  </si>
  <si>
    <t>204:158</t>
  </si>
  <si>
    <t>204:232896</t>
  </si>
  <si>
    <t>204:242</t>
  </si>
  <si>
    <t>204:232907</t>
  </si>
  <si>
    <t>204:127849</t>
  </si>
  <si>
    <t>204:233206</t>
  </si>
  <si>
    <t>204:232977</t>
  </si>
  <si>
    <t>204:232913</t>
  </si>
  <si>
    <t>204:238</t>
  </si>
  <si>
    <t>204:232955</t>
  </si>
  <si>
    <t>204:233305</t>
  </si>
  <si>
    <t>204:232980</t>
  </si>
  <si>
    <t>204:263</t>
  </si>
  <si>
    <t>204:262</t>
  </si>
  <si>
    <t>204:251</t>
  </si>
  <si>
    <t>204:571</t>
  </si>
  <si>
    <t>204:542</t>
  </si>
  <si>
    <t>204:233195</t>
  </si>
  <si>
    <t>204:232879</t>
  </si>
  <si>
    <t>204:560</t>
  </si>
  <si>
    <t>300:23616</t>
  </si>
  <si>
    <t>300:23688</t>
  </si>
  <si>
    <t>300:23304</t>
  </si>
  <si>
    <t>300:58961</t>
  </si>
  <si>
    <t>204:95</t>
  </si>
  <si>
    <t>300:58649</t>
  </si>
  <si>
    <t>204:137</t>
  </si>
  <si>
    <t>204:468</t>
  </si>
  <si>
    <t>300:58960</t>
  </si>
  <si>
    <t>300:58643</t>
  </si>
  <si>
    <t>204:453</t>
  </si>
  <si>
    <t>204:142</t>
  </si>
  <si>
    <t>204:437</t>
  </si>
  <si>
    <t>300:58611</t>
  </si>
  <si>
    <t>300:58613</t>
  </si>
  <si>
    <t>300:58935</t>
  </si>
  <si>
    <t>204:430</t>
  </si>
  <si>
    <t>start /low /b %USERPROFILE%\Documents\GitHub\eaglep3\Utilities\DownloadLogsFromS3.py --loco 4062 --day 2017-12-15</t>
  </si>
  <si>
    <t>rtdc.l.rtdc.4003:itc</t>
  </si>
  <si>
    <t>102-15</t>
  </si>
  <si>
    <t>104-15</t>
  </si>
  <si>
    <t>rtdc.l.rtdc.4041:itc</t>
  </si>
  <si>
    <t>110-15</t>
  </si>
  <si>
    <t>112-15</t>
  </si>
  <si>
    <t>809-15</t>
  </si>
  <si>
    <t>126-15</t>
  </si>
  <si>
    <t>rtdc.l.rtdc.4057:itc</t>
  </si>
  <si>
    <t>128-15</t>
  </si>
  <si>
    <t>134-15</t>
  </si>
  <si>
    <t>rtdc.l.rtdc.4002:itc</t>
  </si>
  <si>
    <t>813-15</t>
  </si>
  <si>
    <t>140-15</t>
  </si>
  <si>
    <t>163-15</t>
  </si>
  <si>
    <t>165-15</t>
  </si>
  <si>
    <t>819-15</t>
  </si>
  <si>
    <t>821-15</t>
  </si>
  <si>
    <t>rtdc.l.rtdc.4001:itc</t>
  </si>
  <si>
    <t>824-15</t>
  </si>
  <si>
    <t>182-15</t>
  </si>
  <si>
    <t>825-15</t>
  </si>
  <si>
    <t>193-15</t>
  </si>
  <si>
    <t>831-15</t>
  </si>
  <si>
    <t>196-15</t>
  </si>
  <si>
    <t>71-15</t>
  </si>
  <si>
    <t>832-15</t>
  </si>
  <si>
    <t>TEMPORARY SPEED RESTRICTION</t>
  </si>
  <si>
    <t>rtdc.l.rtdc.4004:itc</t>
  </si>
  <si>
    <t>209-15</t>
  </si>
  <si>
    <t>215-15</t>
  </si>
  <si>
    <t>216-15</t>
  </si>
  <si>
    <t>222-15</t>
  </si>
  <si>
    <t>225-15</t>
  </si>
  <si>
    <t>233-15</t>
  </si>
  <si>
    <t>230-15</t>
  </si>
  <si>
    <t>232-15</t>
  </si>
  <si>
    <t>238-15</t>
  </si>
  <si>
    <t>242-15</t>
  </si>
  <si>
    <t>246-15</t>
  </si>
  <si>
    <t>51-15</t>
  </si>
  <si>
    <t>101-15</t>
  </si>
  <si>
    <t>302-15</t>
  </si>
  <si>
    <t>52-15</t>
  </si>
  <si>
    <t>103-15</t>
  </si>
  <si>
    <t>304-15</t>
  </si>
  <si>
    <t>306-15</t>
  </si>
  <si>
    <t>105-15</t>
  </si>
  <si>
    <t>308-15</t>
  </si>
  <si>
    <t>107-15</t>
  </si>
  <si>
    <t>109-15</t>
  </si>
  <si>
    <t>901-15</t>
  </si>
  <si>
    <t>310-15</t>
  </si>
  <si>
    <t>MACDONALD</t>
  </si>
  <si>
    <t>THOMAS</t>
  </si>
  <si>
    <t>rtdc.l.rtdc.4058:itc</t>
  </si>
  <si>
    <t>113-15</t>
  </si>
  <si>
    <t>111-15</t>
  </si>
  <si>
    <t>ROCHA</t>
  </si>
  <si>
    <t>YAOTL</t>
  </si>
  <si>
    <t>800-15</t>
  </si>
  <si>
    <t>106-15</t>
  </si>
  <si>
    <t>108-15</t>
  </si>
  <si>
    <t>115-15</t>
  </si>
  <si>
    <t>312-15</t>
  </si>
  <si>
    <t>801-15</t>
  </si>
  <si>
    <t>117-15</t>
  </si>
  <si>
    <t>902-15</t>
  </si>
  <si>
    <t>DELGADO</t>
  </si>
  <si>
    <t>DIANAH</t>
  </si>
  <si>
    <t>119-15</t>
  </si>
  <si>
    <t>803-15</t>
  </si>
  <si>
    <t>802-15</t>
  </si>
  <si>
    <t>121-15</t>
  </si>
  <si>
    <t>114-15</t>
  </si>
  <si>
    <t>116-15</t>
  </si>
  <si>
    <t>118-15</t>
  </si>
  <si>
    <t>123-15</t>
  </si>
  <si>
    <t>804-15</t>
  </si>
  <si>
    <t>805-15</t>
  </si>
  <si>
    <t>120-15</t>
  </si>
  <si>
    <t>125-15</t>
  </si>
  <si>
    <t>122-15</t>
  </si>
  <si>
    <t>127-15</t>
  </si>
  <si>
    <t>806-15</t>
  </si>
  <si>
    <t>807-15</t>
  </si>
  <si>
    <t>129-15</t>
  </si>
  <si>
    <t>124-15</t>
  </si>
  <si>
    <t>131-15</t>
  </si>
  <si>
    <t>808-15</t>
  </si>
  <si>
    <t>133-15</t>
  </si>
  <si>
    <t>135-15</t>
  </si>
  <si>
    <t>811-15</t>
  </si>
  <si>
    <t>810-15</t>
  </si>
  <si>
    <t>130-15</t>
  </si>
  <si>
    <t>137-15</t>
  </si>
  <si>
    <t>132-15</t>
  </si>
  <si>
    <t>139-15</t>
  </si>
  <si>
    <t>812-15</t>
  </si>
  <si>
    <t>903-15</t>
  </si>
  <si>
    <t>136-15</t>
  </si>
  <si>
    <t>141-15</t>
  </si>
  <si>
    <t>143-15</t>
  </si>
  <si>
    <t>138-15</t>
  </si>
  <si>
    <t>145-15</t>
  </si>
  <si>
    <t>147-15</t>
  </si>
  <si>
    <t>814-15</t>
  </si>
  <si>
    <t>149-15</t>
  </si>
  <si>
    <t>142-15</t>
  </si>
  <si>
    <t>144-15</t>
  </si>
  <si>
    <t>146-15</t>
  </si>
  <si>
    <t>151-15</t>
  </si>
  <si>
    <t>815-15</t>
  </si>
  <si>
    <t>153-15</t>
  </si>
  <si>
    <t>148-15</t>
  </si>
  <si>
    <t>150-15</t>
  </si>
  <si>
    <t>155-15</t>
  </si>
  <si>
    <t>157-15</t>
  </si>
  <si>
    <t>152-15</t>
  </si>
  <si>
    <t>159-15</t>
  </si>
  <si>
    <t>154-15</t>
  </si>
  <si>
    <t>817-15</t>
  </si>
  <si>
    <t>161-15</t>
  </si>
  <si>
    <t>156-15</t>
  </si>
  <si>
    <t>GONZALEZ</t>
  </si>
  <si>
    <t>ARMANDO</t>
  </si>
  <si>
    <t>818-15</t>
  </si>
  <si>
    <t>158-15</t>
  </si>
  <si>
    <t>160-15</t>
  </si>
  <si>
    <t>162-15</t>
  </si>
  <si>
    <t>167-15</t>
  </si>
  <si>
    <t>169-15</t>
  </si>
  <si>
    <t>164-15</t>
  </si>
  <si>
    <t>171-15</t>
  </si>
  <si>
    <t>820-15</t>
  </si>
  <si>
    <t>166-15</t>
  </si>
  <si>
    <t>168-15</t>
  </si>
  <si>
    <t>173-15</t>
  </si>
  <si>
    <t>175-15</t>
  </si>
  <si>
    <t>WEST</t>
  </si>
  <si>
    <t>BRYAN</t>
  </si>
  <si>
    <t>170-15</t>
  </si>
  <si>
    <t>177-15</t>
  </si>
  <si>
    <t>172-15</t>
  </si>
  <si>
    <t>179-15</t>
  </si>
  <si>
    <t>822-15</t>
  </si>
  <si>
    <t>181-15</t>
  </si>
  <si>
    <t>174-15</t>
  </si>
  <si>
    <t>176-15</t>
  </si>
  <si>
    <t>183-15</t>
  </si>
  <si>
    <t>823-15</t>
  </si>
  <si>
    <t>178-15</t>
  </si>
  <si>
    <t>185-15</t>
  </si>
  <si>
    <t>180-15</t>
  </si>
  <si>
    <t>187-15</t>
  </si>
  <si>
    <t>189-15</t>
  </si>
  <si>
    <t>184-15</t>
  </si>
  <si>
    <t>191-15</t>
  </si>
  <si>
    <t>186-15</t>
  </si>
  <si>
    <t>904-15</t>
  </si>
  <si>
    <t>188-15</t>
  </si>
  <si>
    <t>195-15</t>
  </si>
  <si>
    <t>190-15</t>
  </si>
  <si>
    <t>827-15</t>
  </si>
  <si>
    <t>826-15</t>
  </si>
  <si>
    <t>197-15</t>
  </si>
  <si>
    <t>192-15</t>
  </si>
  <si>
    <t>199-15</t>
  </si>
  <si>
    <t>828-15</t>
  </si>
  <si>
    <t>829-15</t>
  </si>
  <si>
    <t>194-15</t>
  </si>
  <si>
    <t>201-15</t>
  </si>
  <si>
    <t>830-15</t>
  </si>
  <si>
    <t>203-15</t>
  </si>
  <si>
    <t>198-15</t>
  </si>
  <si>
    <t>205-15</t>
  </si>
  <si>
    <t>200-15</t>
  </si>
  <si>
    <t>207-15</t>
  </si>
  <si>
    <t>LEVERE</t>
  </si>
  <si>
    <t>CRAIG</t>
  </si>
  <si>
    <t>833-15</t>
  </si>
  <si>
    <t>202-15</t>
  </si>
  <si>
    <t>204-15</t>
  </si>
  <si>
    <t>53-15</t>
  </si>
  <si>
    <t>211-15</t>
  </si>
  <si>
    <t>834-15</t>
  </si>
  <si>
    <t>206-15</t>
  </si>
  <si>
    <t>835-15</t>
  </si>
  <si>
    <t>213-15</t>
  </si>
  <si>
    <t>ZEWDU</t>
  </si>
  <si>
    <t>DEREJE</t>
  </si>
  <si>
    <t>208-15</t>
  </si>
  <si>
    <t>210-15</t>
  </si>
  <si>
    <t>836-15</t>
  </si>
  <si>
    <t>837-15</t>
  </si>
  <si>
    <t>217-15</t>
  </si>
  <si>
    <t>212-15</t>
  </si>
  <si>
    <t>219-15</t>
  </si>
  <si>
    <t>838-15</t>
  </si>
  <si>
    <t>839-15</t>
  </si>
  <si>
    <t>214-15</t>
  </si>
  <si>
    <t>301-15</t>
  </si>
  <si>
    <t>221-15</t>
  </si>
  <si>
    <t>906-15</t>
  </si>
  <si>
    <t>218-15</t>
  </si>
  <si>
    <t>841-15</t>
  </si>
  <si>
    <t>220-15</t>
  </si>
  <si>
    <t>303-15</t>
  </si>
  <si>
    <t>223-15</t>
  </si>
  <si>
    <t>840-15</t>
  </si>
  <si>
    <t>305-15</t>
  </si>
  <si>
    <t>75-15</t>
  </si>
  <si>
    <t>227-15</t>
  </si>
  <si>
    <t>843-15</t>
  </si>
  <si>
    <t>224-15</t>
  </si>
  <si>
    <t>842-15</t>
  </si>
  <si>
    <t>226-15</t>
  </si>
  <si>
    <t>229-15</t>
  </si>
  <si>
    <t>845-15</t>
  </si>
  <si>
    <t>228-15</t>
  </si>
  <si>
    <t>231-15</t>
  </si>
  <si>
    <t>844-15</t>
  </si>
  <si>
    <t>847-15</t>
  </si>
  <si>
    <t>235-15</t>
  </si>
  <si>
    <t>846-15</t>
  </si>
  <si>
    <t>234-15</t>
  </si>
  <si>
    <t>237-15</t>
  </si>
  <si>
    <t>849-15</t>
  </si>
  <si>
    <t>239-15</t>
  </si>
  <si>
    <t>236-15</t>
  </si>
  <si>
    <t>908-15</t>
  </si>
  <si>
    <t>241-15</t>
  </si>
  <si>
    <t>243-15</t>
  </si>
  <si>
    <t>240-15</t>
  </si>
  <si>
    <t>245-15</t>
  </si>
  <si>
    <t>307-15</t>
  </si>
  <si>
    <t>244-15</t>
  </si>
  <si>
    <t>309-15</t>
  </si>
  <si>
    <t>311-15</t>
  </si>
  <si>
    <t>300-16</t>
  </si>
  <si>
    <t>LESTER</t>
  </si>
  <si>
    <t>313-15</t>
  </si>
  <si>
    <t>204:746</t>
  </si>
  <si>
    <t>204:232971</t>
  </si>
  <si>
    <t>204:256</t>
  </si>
  <si>
    <t>204:508</t>
  </si>
  <si>
    <t>204:233297</t>
  </si>
  <si>
    <t>204:70256</t>
  </si>
  <si>
    <t>204:18770</t>
  </si>
  <si>
    <t>204:176</t>
  </si>
  <si>
    <t>204:484</t>
  </si>
  <si>
    <t>204:233332</t>
  </si>
  <si>
    <t>204:233019</t>
  </si>
  <si>
    <t>204:502</t>
  </si>
  <si>
    <t>204:141</t>
  </si>
  <si>
    <t>204:570</t>
  </si>
  <si>
    <t>204:233355</t>
  </si>
  <si>
    <t>204:233059</t>
  </si>
  <si>
    <t>204:233245</t>
  </si>
  <si>
    <t>204:233308</t>
  </si>
  <si>
    <t>204:232994</t>
  </si>
  <si>
    <t>204:181</t>
  </si>
  <si>
    <t>204:440</t>
  </si>
  <si>
    <t>204:233324</t>
  </si>
  <si>
    <t>204:233003</t>
  </si>
  <si>
    <t>204:233319</t>
  </si>
  <si>
    <t>204:194</t>
  </si>
  <si>
    <t>204:233311</t>
  </si>
  <si>
    <t>204:233001</t>
  </si>
  <si>
    <t>204:431</t>
  </si>
  <si>
    <t>204:500</t>
  </si>
  <si>
    <t>204:233307</t>
  </si>
  <si>
    <t>204:232990</t>
  </si>
  <si>
    <t>204:524</t>
  </si>
  <si>
    <t>204:233212</t>
  </si>
  <si>
    <t>204:232887</t>
  </si>
  <si>
    <t>204:240</t>
  </si>
  <si>
    <t>204:232978</t>
  </si>
  <si>
    <t>204:232991</t>
  </si>
  <si>
    <t>204:232963</t>
  </si>
  <si>
    <t>204:233285</t>
  </si>
  <si>
    <t>204:233010</t>
  </si>
  <si>
    <t>204:233330</t>
  </si>
  <si>
    <t>204:233023</t>
  </si>
  <si>
    <t>204:233357</t>
  </si>
  <si>
    <t>204:233081</t>
  </si>
  <si>
    <t>204:199297</t>
  </si>
  <si>
    <t>204:64151</t>
  </si>
  <si>
    <t>204:555</t>
  </si>
  <si>
    <t>204:232934</t>
  </si>
  <si>
    <t>204:232989</t>
  </si>
  <si>
    <t>204:232985</t>
  </si>
  <si>
    <t>204:233323</t>
  </si>
  <si>
    <t>204:233282</t>
  </si>
  <si>
    <t>204:449</t>
  </si>
  <si>
    <t>204:233210</t>
  </si>
  <si>
    <t>204:233216</t>
  </si>
  <si>
    <t>204:232909</t>
  </si>
  <si>
    <t>204:233340</t>
  </si>
  <si>
    <t>204:233032</t>
  </si>
  <si>
    <t>204:233228</t>
  </si>
  <si>
    <t>204:287</t>
  </si>
  <si>
    <t>204:233017</t>
  </si>
  <si>
    <t>204:233197</t>
  </si>
  <si>
    <t>204:232892</t>
  </si>
  <si>
    <t>204:254</t>
  </si>
  <si>
    <t>204:232891</t>
  </si>
  <si>
    <t>204:232982</t>
  </si>
  <si>
    <t>204:145</t>
  </si>
  <si>
    <t>204:233283</t>
  </si>
  <si>
    <t>204:232949</t>
  </si>
  <si>
    <t>204:201</t>
  </si>
  <si>
    <t>204:233201</t>
  </si>
  <si>
    <t>204:232884</t>
  </si>
  <si>
    <t>204:233315</t>
  </si>
  <si>
    <t>204:233006</t>
  </si>
  <si>
    <t>204:282</t>
  </si>
  <si>
    <t>204:233359</t>
  </si>
  <si>
    <t>204:233007</t>
  </si>
  <si>
    <t>204:533</t>
  </si>
  <si>
    <t>204:233219</t>
  </si>
  <si>
    <t>204:232915</t>
  </si>
  <si>
    <t>204:232873</t>
  </si>
  <si>
    <t>204:233317</t>
  </si>
  <si>
    <t>204:232998</t>
  </si>
  <si>
    <t>204:139</t>
  </si>
  <si>
    <t>204:469</t>
  </si>
  <si>
    <t>204:233300</t>
  </si>
  <si>
    <t>204:591</t>
  </si>
  <si>
    <t>204:233186</t>
  </si>
  <si>
    <t>204:232863</t>
  </si>
  <si>
    <t>204:291</t>
  </si>
  <si>
    <t>204:233280</t>
  </si>
  <si>
    <t>204:233196</t>
  </si>
  <si>
    <t>204:232872</t>
  </si>
  <si>
    <t>204:218</t>
  </si>
  <si>
    <t>204:233218</t>
  </si>
  <si>
    <t>204:233236</t>
  </si>
  <si>
    <t>204:232928</t>
  </si>
  <si>
    <t>204:233178</t>
  </si>
  <si>
    <t>204:211</t>
  </si>
  <si>
    <t>204:606</t>
  </si>
  <si>
    <t>204:233161</t>
  </si>
  <si>
    <t>204:232851</t>
  </si>
  <si>
    <t>204:233221</t>
  </si>
  <si>
    <t>204:515</t>
  </si>
  <si>
    <t>204:232856</t>
  </si>
  <si>
    <t>204:221</t>
  </si>
  <si>
    <t>204:488</t>
  </si>
  <si>
    <t>204:232981</t>
  </si>
  <si>
    <t>204:233314</t>
  </si>
  <si>
    <t>204:232965</t>
  </si>
  <si>
    <t>204:491</t>
  </si>
  <si>
    <t>204:232</t>
  </si>
  <si>
    <t>204:233272</t>
  </si>
  <si>
    <t>204:221542</t>
  </si>
  <si>
    <t>204:231</t>
  </si>
  <si>
    <t>204:509</t>
  </si>
  <si>
    <t>204:566</t>
  </si>
  <si>
    <t>204:233268</t>
  </si>
  <si>
    <t>204:285</t>
  </si>
  <si>
    <t>204:233249</t>
  </si>
  <si>
    <t>204:260</t>
  </si>
  <si>
    <t>204:233266</t>
  </si>
  <si>
    <t>204:608</t>
  </si>
  <si>
    <t>204:233242</t>
  </si>
  <si>
    <t>204:232927</t>
  </si>
  <si>
    <t>204:233176</t>
  </si>
  <si>
    <t>204:232868</t>
  </si>
  <si>
    <t>204:580</t>
  </si>
  <si>
    <t>204:269</t>
  </si>
  <si>
    <t>204:233240</t>
  </si>
  <si>
    <t>300:23306</t>
  </si>
  <si>
    <t>300:23290</t>
  </si>
  <si>
    <t>300:23542</t>
  </si>
  <si>
    <t>204:243</t>
  </si>
  <si>
    <t>204:577</t>
  </si>
  <si>
    <t>300:23302</t>
  </si>
  <si>
    <t>300:23711</t>
  </si>
  <si>
    <t>204:427</t>
  </si>
  <si>
    <t>204:3566</t>
  </si>
  <si>
    <t>300:5280</t>
  </si>
  <si>
    <t>204:120</t>
  </si>
  <si>
    <t>204:1484</t>
  </si>
  <si>
    <t>300:5552</t>
  </si>
  <si>
    <t>204:3243</t>
  </si>
  <si>
    <t>204:1171</t>
  </si>
  <si>
    <t>204:1148</t>
  </si>
  <si>
    <t>300:23640</t>
  </si>
  <si>
    <t>300:5440</t>
  </si>
  <si>
    <t>204:1186</t>
  </si>
  <si>
    <t>300:5399</t>
  </si>
  <si>
    <t>300:58929</t>
  </si>
  <si>
    <t>204:100</t>
  </si>
  <si>
    <t>204:450</t>
  </si>
  <si>
    <t>300:58636</t>
  </si>
  <si>
    <t>204:388</t>
  </si>
  <si>
    <t>204:399</t>
  </si>
  <si>
    <t>300:58888</t>
  </si>
  <si>
    <t>300:58570</t>
  </si>
  <si>
    <t>204:102</t>
  </si>
  <si>
    <t>300:58950</t>
  </si>
  <si>
    <t>300:58641</t>
  </si>
  <si>
    <t>204:419</t>
  </si>
  <si>
    <t>300:58922</t>
  </si>
  <si>
    <t>204:133</t>
  </si>
  <si>
    <t>204:432</t>
  </si>
  <si>
    <t>300:58941</t>
  </si>
  <si>
    <t>300:58971</t>
  </si>
  <si>
    <t>204:2020</t>
  </si>
  <si>
    <t>204:2024</t>
  </si>
  <si>
    <t>204:153</t>
  </si>
  <si>
    <t>300:58619</t>
  </si>
  <si>
    <t>204:441</t>
  </si>
  <si>
    <t>300:58626</t>
  </si>
  <si>
    <t>204:1002</t>
  </si>
  <si>
    <t>204:144</t>
  </si>
  <si>
    <t>300:58624</t>
  </si>
  <si>
    <t>300:58115</t>
  </si>
  <si>
    <t>204:426</t>
  </si>
  <si>
    <t>204:140</t>
  </si>
  <si>
    <t>204:424</t>
  </si>
  <si>
    <t>300:58956</t>
  </si>
  <si>
    <t>300:58645</t>
  </si>
  <si>
    <t>204:428</t>
  </si>
  <si>
    <t>300:29889</t>
  </si>
  <si>
    <t>300:22291</t>
  </si>
  <si>
    <t>204:403</t>
  </si>
  <si>
    <t>300:31379</t>
  </si>
  <si>
    <t>300:31059</t>
  </si>
  <si>
    <t>300:28778</t>
  </si>
  <si>
    <t>300:23368</t>
  </si>
  <si>
    <t>start /low /b %USERPROFILE%\Documents\GitHub\eaglep3\Utilities\DownloadLogsFromS3.py --loco 4043 --day 2017-12-15</t>
  </si>
  <si>
    <t>start /low /b %USERPROFILE%\Documents\GitHub\eaglep3\Utilities\DownloadLogsFromS3.py --loco 4003 --day 2017-12-15</t>
  </si>
  <si>
    <t>start /low /b %USERPROFILE%\Documents\GitHub\eaglep3\Utilities\DownloadLogsFromS3.py --loco 4032 --day 2017-12-15</t>
  </si>
  <si>
    <t>start /low /b %USERPROFILE%\Documents\GitHub\eaglep3\Utilities\DownloadLogsFromS3.py --loco 4002 --day 2017-12-15</t>
  </si>
  <si>
    <t>start /low /b %USERPROFILE%\Documents\GitHub\eaglep3\Utilities\DownloadLogsFromS3.py --loco 4036 --day 2017-12-16</t>
  </si>
  <si>
    <t>start /low /b %USERPROFILE%\Documents\GitHub\eaglep3\Utilities\DownloadLogsFromS3.py --loco 4057 --day 2017-12-15</t>
  </si>
  <si>
    <t>start /low /b %USERPROFILE%\Documents\GitHub\eaglep3\Utilities\DownloadLogsFromS3.py --loco 4032 --day 2017-12-16</t>
  </si>
  <si>
    <t>start /low /b %USERPROFILE%\Documents\GitHub\eaglep3\Utilities\DownloadLogsFromS3.py --loco 4042 --day 2017-12-15</t>
  </si>
  <si>
    <t>start /low /b %USERPROFILE%\Documents\GitHub\eaglep3\Utilities\DownloadLogsFromS3.py --loco 4035 --day 2017-12-16</t>
  </si>
  <si>
    <t>start /low /b %USERPROFILE%\Documents\GitHub\eaglep3\Utilities\DownloadLogsFromS3.py --loco 4003 --day 2017-12-16</t>
  </si>
  <si>
    <t>start /low /b %USERPROFILE%\Documents\GitHub\eaglep3\Utilities\DownloadLogsFromS3.py --loco 4031 --day 2017-12-16</t>
  </si>
  <si>
    <t>start /low /b %USERPROFILE%\Documents\GitHub\eaglep3\Utilities\DownloadLogsFromS3.py --loco 4004 --day 2017-12-16</t>
  </si>
  <si>
    <t>start /low /b %USERPROFILE%\Documents\GitHub\eaglep3\Utilities\DownloadLogsFromS3.py --loco 4043 --day 2017-12-16</t>
  </si>
  <si>
    <t>start /low /b %USERPROFILE%\Documents\GitHub\eaglep3\Utilities\DownloadLogsFromS3.py --loco 4031 --day 2017-12-15</t>
  </si>
  <si>
    <t>start /low /b %USERPROFILE%\Documents\GitHub\eaglep3\Utilities\DownloadLogsFromS3.py --loco 4050 --day 2017-12-15</t>
  </si>
  <si>
    <t>start /low /b %USERPROFILE%\Documents\GitHub\eaglep3\Utilities\DownloadLogsFromS3.py --loco 4008 --day 2017-12-15</t>
  </si>
  <si>
    <t>start /low /b %USERPROFILE%\Documents\GitHub\eaglep3\Utilities\DownloadLogsFromS3.py --loco 4007 --day 2017-12-16</t>
  </si>
  <si>
    <t>300:58933</t>
  </si>
  <si>
    <t>204:131</t>
  </si>
  <si>
    <t>300:58630</t>
  </si>
  <si>
    <t>Accidentally selected 814-15, should have chosen 816-15</t>
  </si>
  <si>
    <t>Poor GPS at DUS</t>
  </si>
  <si>
    <t>Brief Wi-MAX data drop caused signal unknown banner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</si>
</sst>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4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0" fillId="6" borderId="0" xfId="0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169" fontId="0" fillId="0" borderId="0" xfId="0" applyNumberFormat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69" fontId="0" fillId="0" borderId="5" xfId="0" applyNumberFormat="1" applyFill="1" applyBorder="1" applyAlignment="1">
      <alignment horizontal="left"/>
    </xf>
    <xf numFmtId="169" fontId="0" fillId="0" borderId="5" xfId="0" applyNumberFormat="1" applyFill="1" applyBorder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0" fontId="5" fillId="0" borderId="0" xfId="0" applyNumberFormat="1" applyFont="1" applyAlignment="1">
      <alignment horizontal="left"/>
    </xf>
    <xf numFmtId="0" fontId="0" fillId="0" borderId="0" xfId="0" applyNumberFormat="1" applyFill="1"/>
    <xf numFmtId="0" fontId="9" fillId="0" borderId="0" xfId="0" applyNumberFormat="1" applyFont="1" applyBorder="1" applyAlignment="1">
      <alignment horizontal="left" vertical="center" wrapText="1"/>
    </xf>
    <xf numFmtId="0" fontId="9" fillId="6" borderId="0" xfId="0" applyNumberFormat="1" applyFont="1" applyFill="1" applyBorder="1" applyAlignment="1">
      <alignment horizontal="center" vertical="center" wrapText="1"/>
    </xf>
    <xf numFmtId="0" fontId="9" fillId="5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 vertical="center" wrapText="1"/>
    </xf>
    <xf numFmtId="0" fontId="9" fillId="0" borderId="0" xfId="0" applyNumberFormat="1" applyFont="1" applyFill="1" applyBorder="1" applyAlignment="1">
      <alignment horizontal="left"/>
    </xf>
    <xf numFmtId="0" fontId="9" fillId="0" borderId="0" xfId="0" applyNumberFormat="1" applyFont="1" applyFill="1"/>
    <xf numFmtId="0" fontId="9" fillId="6" borderId="0" xfId="0" applyNumberFormat="1" applyFont="1" applyFill="1"/>
    <xf numFmtId="0" fontId="9" fillId="5" borderId="0" xfId="0" applyNumberFormat="1" applyFont="1" applyFill="1"/>
    <xf numFmtId="0" fontId="0" fillId="6" borderId="0" xfId="0" applyNumberFormat="1" applyFill="1"/>
    <xf numFmtId="0" fontId="0" fillId="5" borderId="0" xfId="0" applyNumberFormat="1" applyFill="1"/>
    <xf numFmtId="0" fontId="0" fillId="0" borderId="0" xfId="0" applyNumberFormat="1" applyBorder="1"/>
    <xf numFmtId="9" fontId="0" fillId="0" borderId="0" xfId="2" applyFont="1" applyAlignment="1">
      <alignment horizontal="left"/>
    </xf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55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5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50" customWidth="1"/>
    <col min="19" max="19" width="6" style="239" customWidth="1"/>
    <col min="20" max="20" width="3.85546875" style="200" customWidth="1"/>
    <col min="21" max="21" width="5" style="200" customWidth="1"/>
    <col min="22" max="22" width="5.7109375" style="223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225" hidden="1" customWidth="1"/>
    <col min="29" max="29" width="9.42578125" style="225" hidden="1" customWidth="1"/>
    <col min="30" max="30" width="7.85546875" style="200" customWidth="1"/>
    <col min="31" max="31" width="4.5703125" style="235" customWidth="1"/>
    <col min="32" max="32" width="6.28515625" style="236" customWidth="1"/>
    <col min="33" max="33" width="3.7109375" style="200" customWidth="1"/>
    <col min="34" max="34" width="5" style="68" customWidth="1"/>
    <col min="35" max="35" width="5.7109375" style="81" customWidth="1"/>
    <col min="36" max="36" width="9.85546875" customWidth="1"/>
    <col min="37" max="37" width="5" customWidth="1"/>
    <col min="38" max="38" width="4.140625" customWidth="1"/>
    <col min="39" max="39" width="9.140625" style="131"/>
    <col min="41" max="41" width="3.7109375" style="156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57"/>
      <c r="M1" s="35"/>
      <c r="N1" s="36"/>
      <c r="O1" s="2"/>
      <c r="P1" s="2"/>
      <c r="R1" s="149" t="s">
        <v>103</v>
      </c>
      <c r="S1" s="238"/>
      <c r="T1" s="198"/>
      <c r="U1" s="198"/>
      <c r="V1" s="199"/>
      <c r="W1" s="198"/>
      <c r="X1" s="200"/>
      <c r="Y1" s="201"/>
      <c r="Z1" s="201"/>
      <c r="AA1" s="201"/>
      <c r="AB1" s="225"/>
      <c r="AC1" s="225"/>
      <c r="AD1" s="200"/>
      <c r="AE1" s="226"/>
      <c r="AF1" s="226"/>
      <c r="AG1" s="226"/>
      <c r="AH1" s="47"/>
      <c r="AI1" s="1"/>
      <c r="AM1" s="131"/>
      <c r="AO1" s="156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1">
        <f>Variables!$A$2</f>
        <v>43084</v>
      </c>
      <c r="J2" s="52"/>
      <c r="K2" s="53"/>
      <c r="L2" s="158"/>
      <c r="M2" s="54" t="s">
        <v>8</v>
      </c>
      <c r="N2" s="55"/>
      <c r="O2" s="56"/>
      <c r="P2" s="2"/>
      <c r="R2" s="51">
        <f>Variables!$A$2</f>
        <v>43084</v>
      </c>
      <c r="S2" s="202"/>
      <c r="T2" s="203"/>
      <c r="U2" s="203"/>
      <c r="V2" s="204" t="s">
        <v>8</v>
      </c>
      <c r="W2" s="205"/>
      <c r="X2" s="206"/>
      <c r="Y2" s="201"/>
      <c r="Z2" s="201"/>
      <c r="AA2" s="201"/>
      <c r="AB2" s="225"/>
      <c r="AC2" s="225"/>
      <c r="AD2" s="200"/>
      <c r="AE2" s="226"/>
      <c r="AF2" s="226"/>
      <c r="AG2" s="226"/>
      <c r="AH2" s="47"/>
      <c r="AI2" s="1"/>
      <c r="AM2" s="131"/>
      <c r="AO2" s="156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57" t="s">
        <v>10</v>
      </c>
      <c r="J3" s="58"/>
      <c r="K3" s="59"/>
      <c r="L3" s="159"/>
      <c r="M3" s="37" t="s">
        <v>11</v>
      </c>
      <c r="N3" s="38" t="s">
        <v>12</v>
      </c>
      <c r="O3" s="3" t="s">
        <v>13</v>
      </c>
      <c r="P3" s="2"/>
      <c r="R3" s="151" t="s">
        <v>10</v>
      </c>
      <c r="S3" s="207"/>
      <c r="T3" s="208"/>
      <c r="U3" s="208"/>
      <c r="V3" s="209" t="s">
        <v>11</v>
      </c>
      <c r="W3" s="210" t="s">
        <v>12</v>
      </c>
      <c r="X3" s="211" t="s">
        <v>13</v>
      </c>
      <c r="Y3" s="201"/>
      <c r="Z3" s="201"/>
      <c r="AA3" s="201"/>
      <c r="AB3" s="225"/>
      <c r="AC3" s="225"/>
      <c r="AD3" s="200"/>
      <c r="AE3" s="226"/>
      <c r="AF3" s="226"/>
      <c r="AG3" s="226"/>
      <c r="AH3" s="47"/>
      <c r="AI3" s="1"/>
      <c r="AM3" s="131"/>
      <c r="AO3" s="156"/>
    </row>
    <row r="4" spans="1:91" s="20" customFormat="1" ht="15.75" thickBot="1" x14ac:dyDescent="0.3">
      <c r="A4" s="34"/>
      <c r="B4" s="36"/>
      <c r="C4" s="27"/>
      <c r="D4" s="27"/>
      <c r="E4" s="33"/>
      <c r="F4" s="149"/>
      <c r="G4" s="36"/>
      <c r="H4" s="33"/>
      <c r="I4" s="60" t="s">
        <v>14</v>
      </c>
      <c r="J4" s="48">
        <f>SUM(J5:J7)</f>
        <v>146</v>
      </c>
      <c r="K4" s="39"/>
      <c r="L4" s="160"/>
      <c r="M4" s="40" t="s">
        <v>15</v>
      </c>
      <c r="N4" s="38" t="s">
        <v>15</v>
      </c>
      <c r="O4" s="3" t="s">
        <v>15</v>
      </c>
      <c r="P4" s="2"/>
      <c r="R4" s="152" t="s">
        <v>14</v>
      </c>
      <c r="S4" s="212">
        <f>SUM(S5:S7)</f>
        <v>49</v>
      </c>
      <c r="T4" s="213"/>
      <c r="U4" s="213"/>
      <c r="V4" s="209" t="s">
        <v>15</v>
      </c>
      <c r="W4" s="210" t="s">
        <v>15</v>
      </c>
      <c r="X4" s="211" t="s">
        <v>15</v>
      </c>
      <c r="Y4" s="201"/>
      <c r="Z4" s="201"/>
      <c r="AA4" s="201"/>
      <c r="AB4" s="225"/>
      <c r="AC4" s="225"/>
      <c r="AD4" s="200"/>
      <c r="AE4" s="226"/>
      <c r="AF4" s="226"/>
      <c r="AG4" s="226"/>
      <c r="AH4" s="47"/>
      <c r="AI4" s="1"/>
      <c r="AM4" s="131"/>
      <c r="AO4" s="156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0" t="s">
        <v>17</v>
      </c>
      <c r="J5" s="48">
        <f>COUNTIFS($N$13:$N$9598,"&gt;0",$AG$13:$AG$9598,I1)</f>
        <v>142</v>
      </c>
      <c r="K5" s="39"/>
      <c r="L5" s="160"/>
      <c r="M5" s="40">
        <f>AVERAGEIFS($N$13:$N$9598,$AG$13:$AG$9598,I1)</f>
        <v>36.824178404091121</v>
      </c>
      <c r="N5" s="38">
        <f t="array" ref="N5">MIN(IF($AG$13:$AG$9598=I1,IF(ISNUMBER($N$13:$N$9598),IF($N$13:$N$9598&gt;0,$N$13:$N$9598))))</f>
        <v>33.616666666930541</v>
      </c>
      <c r="O5" s="3">
        <f t="array" ref="O5">MAX(IF($AG$13:$AG$9598=I1,IF(ISNUMBER($N$13:$N$9598),IF($N$13:$N$9598&gt;0,$N$13:$N$9598))))</f>
        <v>42.033333341823891</v>
      </c>
      <c r="P5" s="2"/>
      <c r="R5" s="152" t="s">
        <v>17</v>
      </c>
      <c r="S5" s="212">
        <f>COUNTIFS($N$13:$N$9598,"&gt;0",$AG$13:$AG$9598,R1)</f>
        <v>49</v>
      </c>
      <c r="T5" s="213"/>
      <c r="U5" s="213"/>
      <c r="V5" s="209">
        <f>AVERAGEIFS($N$13:$N$9598,$AG$13:$AG$9598,R1)</f>
        <v>14.597959183916753</v>
      </c>
      <c r="W5" s="210">
        <f t="array" ref="W5">MIN(IF($AG$13:$AG$9598=R1,IF(ISNUMBER($N$13:$N$9598),IF($N$13:$N$9598&gt;0,$N$13:$N$9598))))</f>
        <v>12.550000000046566</v>
      </c>
      <c r="X5" s="211">
        <f t="array" ref="X5">MAX(IF($AG$13:$AG$9598=R1,IF(ISNUMBER($N$13:$N$9598),IF($N$13:$N$9598&gt;0,$N$13:$N$9598))))</f>
        <v>23.299999998416752</v>
      </c>
      <c r="Y5" s="201"/>
      <c r="Z5" s="201"/>
      <c r="AA5" s="201"/>
      <c r="AB5" s="225"/>
      <c r="AC5" s="225"/>
      <c r="AD5" s="200"/>
      <c r="AE5" s="226"/>
      <c r="AF5" s="226"/>
      <c r="AG5" s="226"/>
      <c r="AH5" s="47"/>
      <c r="AI5" s="1"/>
      <c r="AM5" s="131"/>
      <c r="AO5" s="156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1" t="s">
        <v>43</v>
      </c>
      <c r="J6" s="48">
        <f>COUNT($O$13:$O$356)</f>
        <v>0</v>
      </c>
      <c r="K6" s="39"/>
      <c r="L6" s="160"/>
      <c r="M6" s="40">
        <f>IFERROR(AVERAGE($O$13:$O$356),0)</f>
        <v>0</v>
      </c>
      <c r="N6" s="38">
        <f>MIN($O$13:$O$356)</f>
        <v>0</v>
      </c>
      <c r="O6" s="3">
        <f>MAX($O$13:$O$356)</f>
        <v>0</v>
      </c>
      <c r="P6" s="2"/>
      <c r="R6" s="153" t="s">
        <v>43</v>
      </c>
      <c r="S6" s="212">
        <f>COUNT($O$13:$O$356)</f>
        <v>0</v>
      </c>
      <c r="T6" s="213"/>
      <c r="U6" s="213"/>
      <c r="V6" s="209">
        <f>IFERROR(AVERAGE($O$13:$O$356),0)</f>
        <v>0</v>
      </c>
      <c r="W6" s="210">
        <f>MIN($O$13:$O$356)</f>
        <v>0</v>
      </c>
      <c r="X6" s="211">
        <f>MAX($O$13:$O$356)</f>
        <v>0</v>
      </c>
      <c r="Y6" s="201"/>
      <c r="Z6" s="201"/>
      <c r="AA6" s="201"/>
      <c r="AB6" s="225"/>
      <c r="AC6" s="225"/>
      <c r="AD6" s="200"/>
      <c r="AE6" s="226"/>
      <c r="AF6" s="226"/>
      <c r="AG6" s="226"/>
      <c r="AH6" s="47"/>
      <c r="AI6" s="1"/>
      <c r="AM6" s="131"/>
      <c r="AO6" s="156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2" t="s">
        <v>9</v>
      </c>
      <c r="J7" s="48">
        <f>COUNTIFS($P$13:$P$9598,"&gt;0",$AG$13:$AG$9598,I1)</f>
        <v>4</v>
      </c>
      <c r="K7" s="39"/>
      <c r="L7" s="160"/>
      <c r="M7" s="38" t="s">
        <v>15</v>
      </c>
      <c r="N7" s="38" t="s">
        <v>15</v>
      </c>
      <c r="O7" s="3" t="s">
        <v>15</v>
      </c>
      <c r="P7" s="2"/>
      <c r="R7" s="154" t="s">
        <v>9</v>
      </c>
      <c r="S7" s="212">
        <f>COUNTIFS($P$13:$P$9598,"&gt;0",$AG$13:$AG$9598,R1)</f>
        <v>0</v>
      </c>
      <c r="T7" s="213"/>
      <c r="U7" s="213"/>
      <c r="V7" s="209" t="s">
        <v>15</v>
      </c>
      <c r="W7" s="210" t="s">
        <v>15</v>
      </c>
      <c r="X7" s="211" t="s">
        <v>15</v>
      </c>
      <c r="Y7" s="201"/>
      <c r="Z7" s="201"/>
      <c r="AA7" s="201"/>
      <c r="AB7" s="225"/>
      <c r="AC7" s="225"/>
      <c r="AD7" s="200"/>
      <c r="AE7" s="226"/>
      <c r="AF7" s="226"/>
      <c r="AG7" s="226"/>
      <c r="AH7" s="47"/>
      <c r="AI7" s="1"/>
      <c r="AM7" s="131"/>
      <c r="AO7" s="156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0" t="s">
        <v>16</v>
      </c>
      <c r="J8" s="48">
        <f>J5</f>
        <v>142</v>
      </c>
      <c r="K8" s="39"/>
      <c r="L8" s="160"/>
      <c r="M8" s="40">
        <f>M5</f>
        <v>36.824178404091121</v>
      </c>
      <c r="N8" s="38">
        <f>N5</f>
        <v>33.616666666930541</v>
      </c>
      <c r="O8" s="3">
        <f>O5</f>
        <v>42.033333341823891</v>
      </c>
      <c r="P8" s="2"/>
      <c r="R8" s="152" t="s">
        <v>16</v>
      </c>
      <c r="S8" s="212">
        <f>S5</f>
        <v>49</v>
      </c>
      <c r="T8" s="213"/>
      <c r="U8" s="213"/>
      <c r="V8" s="209">
        <f>V5</f>
        <v>14.597959183916753</v>
      </c>
      <c r="W8" s="210">
        <f>W5</f>
        <v>12.550000000046566</v>
      </c>
      <c r="X8" s="211">
        <f>X5</f>
        <v>23.299999998416752</v>
      </c>
      <c r="Y8" s="201"/>
      <c r="Z8" s="201"/>
      <c r="AA8" s="201"/>
      <c r="AB8" s="225"/>
      <c r="AC8" s="225"/>
      <c r="AD8" s="200"/>
      <c r="AE8" s="226"/>
      <c r="AF8" s="226"/>
      <c r="AG8" s="226"/>
      <c r="AH8" s="47"/>
      <c r="AI8" s="1"/>
      <c r="AM8" s="131"/>
      <c r="AO8" s="156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0" t="s">
        <v>19</v>
      </c>
      <c r="J9" s="113">
        <f>J8/J4</f>
        <v>0.9726027397260274</v>
      </c>
      <c r="K9" s="41"/>
      <c r="L9" s="157"/>
      <c r="M9" s="63"/>
      <c r="N9" s="36"/>
      <c r="O9" s="64"/>
      <c r="P9" s="2"/>
      <c r="R9" s="152" t="s">
        <v>19</v>
      </c>
      <c r="S9" s="238">
        <f>S8/S4</f>
        <v>1</v>
      </c>
      <c r="T9" s="198"/>
      <c r="U9" s="198"/>
      <c r="V9" s="214"/>
      <c r="W9" s="198"/>
      <c r="X9" s="215"/>
      <c r="Y9" s="201"/>
      <c r="Z9" s="201"/>
      <c r="AA9" s="201"/>
      <c r="AB9" s="225"/>
      <c r="AC9" s="225"/>
      <c r="AD9" s="200"/>
      <c r="AE9" s="226"/>
      <c r="AF9" s="226"/>
      <c r="AG9" s="226"/>
      <c r="AH9" s="47"/>
      <c r="AI9" s="1"/>
      <c r="AM9" s="131"/>
      <c r="AO9" s="156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57"/>
      <c r="M10" s="35"/>
      <c r="N10" s="36"/>
      <c r="O10" s="2"/>
      <c r="P10" s="2"/>
      <c r="R10" s="150"/>
      <c r="S10" s="239"/>
      <c r="T10" s="200"/>
      <c r="U10" s="200"/>
      <c r="V10" s="216"/>
      <c r="W10" s="201"/>
      <c r="X10" s="201"/>
      <c r="Y10" s="201"/>
      <c r="Z10" s="201"/>
      <c r="AA10" s="201"/>
      <c r="AB10" s="225"/>
      <c r="AC10" s="225"/>
      <c r="AD10" s="200"/>
      <c r="AE10" s="226"/>
      <c r="AF10" s="226"/>
      <c r="AG10" s="226"/>
      <c r="AH10" s="47"/>
      <c r="AI10" s="1"/>
      <c r="AM10" s="131"/>
      <c r="AO10" s="156"/>
    </row>
    <row r="11" spans="1:91" ht="16.5" thickBot="1" x14ac:dyDescent="0.3">
      <c r="A11" s="242" t="str">
        <f>"Eagle P3 System Performance - "&amp;TEXT(Variables!A2,"yyyy-mm-dd")</f>
        <v>Eagle P3 System Performance - 2017-12-15</v>
      </c>
      <c r="B11" s="242"/>
      <c r="C11" s="242"/>
      <c r="D11" s="242"/>
      <c r="E11" s="242"/>
      <c r="F11" s="242"/>
      <c r="G11" s="242"/>
      <c r="H11" s="242"/>
      <c r="I11" s="242"/>
      <c r="J11" s="242"/>
      <c r="K11" s="242"/>
      <c r="L11" s="242"/>
      <c r="M11" s="242"/>
      <c r="N11" s="242"/>
      <c r="O11" s="242"/>
      <c r="P11" s="242"/>
      <c r="S11" s="239">
        <f>AVERAGE(S13:S143)</f>
        <v>0.9921875</v>
      </c>
      <c r="V11" s="216"/>
      <c r="AE11" s="226"/>
      <c r="AF11" s="226"/>
      <c r="AG11" s="22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65" t="s">
        <v>54</v>
      </c>
      <c r="L12" s="168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55" t="s">
        <v>24</v>
      </c>
      <c r="S12" s="240" t="s">
        <v>63</v>
      </c>
      <c r="T12" s="217" t="s">
        <v>64</v>
      </c>
      <c r="U12" s="217" t="s">
        <v>65</v>
      </c>
      <c r="V12" s="218" t="s">
        <v>45</v>
      </c>
      <c r="W12" s="219" t="s">
        <v>23</v>
      </c>
      <c r="X12" s="219" t="s">
        <v>48</v>
      </c>
      <c r="Y12" s="219" t="s">
        <v>20</v>
      </c>
      <c r="Z12" s="219" t="s">
        <v>21</v>
      </c>
      <c r="AA12" s="219" t="s">
        <v>22</v>
      </c>
      <c r="AB12" s="227" t="s">
        <v>39</v>
      </c>
      <c r="AC12" s="227" t="s">
        <v>40</v>
      </c>
      <c r="AD12" s="219" t="s">
        <v>82</v>
      </c>
      <c r="AE12" s="228" t="s">
        <v>89</v>
      </c>
      <c r="AF12" s="229" t="s">
        <v>93</v>
      </c>
      <c r="AG12" s="230" t="s">
        <v>104</v>
      </c>
      <c r="AH12" s="69" t="s">
        <v>106</v>
      </c>
      <c r="AI12" s="85" t="s">
        <v>141</v>
      </c>
      <c r="AJ12" s="46" t="s">
        <v>142</v>
      </c>
      <c r="AK12" s="46" t="s">
        <v>115</v>
      </c>
      <c r="AL12" s="46" t="s">
        <v>143</v>
      </c>
      <c r="AM12" s="132" t="s">
        <v>187</v>
      </c>
      <c r="AN12" s="46" t="s">
        <v>329</v>
      </c>
      <c r="AO12" s="164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684</v>
      </c>
      <c r="B13" s="7">
        <v>4004</v>
      </c>
      <c r="C13" s="21" t="s">
        <v>192</v>
      </c>
      <c r="D13" s="21" t="s">
        <v>885</v>
      </c>
      <c r="E13" s="13">
        <v>43084.12363425926</v>
      </c>
      <c r="F13" s="13">
        <v>43084.135879629626</v>
      </c>
      <c r="G13" s="7">
        <v>65</v>
      </c>
      <c r="H13" s="21" t="s">
        <v>450</v>
      </c>
      <c r="I13" s="13">
        <v>43084.159467592595</v>
      </c>
      <c r="J13" s="7">
        <v>0</v>
      </c>
      <c r="K13" s="79" t="str">
        <f t="shared" ref="K13:K44" si="0">IF(ISEVEN(B13),(B13-1)&amp;"/"&amp;B13,B13&amp;"/"&amp;(B13+1))</f>
        <v>4003/4004</v>
      </c>
      <c r="L13" s="169" t="str">
        <f>VLOOKUP(A13,'Trips&amp;Operators'!$C$1:$G$99911,5,FALSE)</f>
        <v>YORK EDGAR</v>
      </c>
      <c r="M13" s="6">
        <f t="shared" ref="M13:M44" si="1">I13-F13</f>
        <v>2.3587962969031651E-2</v>
      </c>
      <c r="N13" s="7">
        <f>24*60*SUM($M13:$M13)</f>
        <v>33.966666675405577</v>
      </c>
      <c r="O13" s="7"/>
      <c r="P13" s="182"/>
      <c r="Q13" s="22"/>
      <c r="R13" s="195"/>
      <c r="S13" s="241">
        <f>1/IF(AG13="EC",12,1)*SUM(U13:U13)</f>
        <v>1</v>
      </c>
      <c r="T13" s="220" t="str">
        <f t="shared" ref="T13:T44" si="2">IF(ISEVEN(LEFT(AD13,4)),"Southbound","NorthBound")</f>
        <v>NorthBound</v>
      </c>
      <c r="U13" s="22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21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-15T01:58:02-0700',mode:absolute,to:'2017-12-15T04:49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" s="222" t="str">
        <f>IF(AA13&lt;VLOOKUP(AG13,Variables!$AC$3:$AD$8,2,FALSE),"Y","N")</f>
        <v>N</v>
      </c>
      <c r="X13" s="222" t="e">
        <f t="shared" ref="X13:X44" si="4">VALUE(LEFT(AD13,4))-VALUE(LEFT(AD12,4))</f>
        <v>#VALUE!</v>
      </c>
      <c r="Y13" s="222">
        <f t="shared" ref="Y13:Y44" si="5">RIGHT(D13,LEN(D13)-4)/10000</f>
        <v>7.46E-2</v>
      </c>
      <c r="Z13" s="222">
        <f t="shared" ref="Z13:Z44" si="6">RIGHT(H13,LEN(H13)-4)/10000</f>
        <v>23.3291</v>
      </c>
      <c r="AA13" s="222">
        <f t="shared" ref="AA13:AA44" si="7">ABS(Z13-Y13)</f>
        <v>23.2545</v>
      </c>
      <c r="AB13" s="231" t="e">
        <f>VLOOKUP(A13,Enforcements!$C$7:$K$9,8,0)</f>
        <v>#N/A</v>
      </c>
      <c r="AC13" s="231" t="e">
        <f>VLOOKUP(A13,Enforcements!$C$7:$E$9,3,0)</f>
        <v>#N/A</v>
      </c>
      <c r="AD13" s="232">
        <f t="shared" ref="AD13:AD44" si="8">VALUE(LEFT(A13,LEN(A13)-3))</f>
        <v>101</v>
      </c>
      <c r="AE13" s="233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s3://rtdc.mdm.uploadarchive.raw/RTDC4004/ "%USERPROFILE%\AppData\Local\Temp\OnboardLogs"\RTDC4004\2017-12-15 --exclude "*" --recursive --include "*20171215*" &amp; "%USERPROFILE%\Documents\GitHub\mrs-test-scripts\Headless Mode &amp; Sideloading\WalkAndUnGZ.bat" "%USERPROFILE%\AppData\Local\Temp\OnboardLogs"\RTDC4004\2017-12-15 &amp; aws s3 cp s3://rtdc.mdm.uploadarchive.raw/RTDC4004/ "%USERPROFILE%\AppData\Local\Temp\OnboardLogs"\RTDC4004\2017-12-16 --exclude "*" --recursive --include "*20171216*" &amp; "%USERPROFILE%\Documents\GitHub\mrs-test-scripts\Headless Mode &amp; Sideloading\WalkAndUnGZ.bat" "%USERPROFILE%\AppData\Local\Temp\OnboardLogs"\RTDC4004\2017-12-16</v>
      </c>
      <c r="AF13" s="234" t="str">
        <f t="shared" ref="AF13:AF76" si="10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/stypes="app*4004*20171215*" /stext=" 10:.+((SYSTEM_STATE.+slice.+state.+changed )|(ment ac)|(multiple cpu faults)|(system.+state.+changed )|(\[timeout)|(PRM\|1\|D)|(kpr)|(kdp)|(train st.+moving)|(\|lc)|(penalty))"</v>
      </c>
      <c r="AG13" s="226" t="str">
        <f t="shared" ref="AG13:AG44" si="11">DetSubdiv(A13)</f>
        <v>EC</v>
      </c>
      <c r="AH13" s="68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101-15 --locoid 4004 --swversion DE.1.0.9.0 --startMP 204:746 --initTime 2017-12-15T02:58:02 --startdatetime 2017-12-15T03:15:40 --delay 65 --endMP 204:233291 --enddatetime 2017-12-15T03:49:38 --enforcementcount 0 &gt;&gt;%USERPROFILE%\Documents\GitHub\eaglep3-reporting\EC\2017-12-15-refined-times.txt</v>
      </c>
      <c r="AI13" s="86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{"issue":{"subject":"","project_id":79,"tracker_id":40,"status_id":1,"priority_id":2,"assigned_to_id":338,"start_date":"2017-12-15","description":"","custom_fields":[{"id":1,"name":"Subdivision","value":"EC"},{"id":4,"name":"Milepost","value":"23.3291"},{"id":17,"name":"Train ID","value":"101-15"},{"id":16,"name":"Locomotive ID","value":"4004"},{"id":130,"name":"Impact","value":""},{"id":150,"name":"Time of Event (Mountain Time)","value":"03:49:38"},{"id":151,"name":"Denver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31" t="str">
        <f t="shared" ref="AM13" si="14">"start /low /b "&amp;dls3logs&amp;" --loco "&amp;B13&amp;" --day "&amp;TEXT(F13,"YYYY-MM-DD")</f>
        <v>start /low /b %USERPROFILE%\Documents\GitHub\eaglep3\Utilities\DownloadLogsFromS3.py --loco 4004 --day 2017-12-15</v>
      </c>
      <c r="AN13" s="140" t="str">
        <f t="shared" ref="AN13" si="15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10:49:38"},{"id":29,"name":"Sharepoint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56" t="str">
        <f t="shared" ref="AO13" si="16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-15T01:58:02-0700',mode:absolute,to:'2017-12-15T04:49:38-0700'))&amp;_a=(columns:!('Message%20ID',Summary),filters:!(),index:'emp_*',interval:auto,query:(query_string:(analyze_wildcard:!t,query:'%22rtdc.l.rtdc.4004%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186" t="s">
        <v>644</v>
      </c>
      <c r="B14" s="182">
        <v>4003</v>
      </c>
      <c r="C14" s="184" t="s">
        <v>192</v>
      </c>
      <c r="D14" s="184" t="s">
        <v>886</v>
      </c>
      <c r="E14" s="183">
        <v>43084.162280092591</v>
      </c>
      <c r="F14" s="183">
        <v>43084.175219907411</v>
      </c>
      <c r="G14" s="182">
        <v>51</v>
      </c>
      <c r="H14" s="184" t="s">
        <v>887</v>
      </c>
      <c r="I14" s="183">
        <v>43084.201296296298</v>
      </c>
      <c r="J14" s="182">
        <v>0</v>
      </c>
      <c r="K14" s="190" t="str">
        <f t="shared" si="0"/>
        <v>4003/4004</v>
      </c>
      <c r="L14" s="196" t="str">
        <f>VLOOKUP(A14,'Trips&amp;Operators'!$C$1:$G$99911,5,FALSE)</f>
        <v>YORK EDGAR</v>
      </c>
      <c r="M14" s="181">
        <f t="shared" si="1"/>
        <v>2.6076388887304347E-2</v>
      </c>
      <c r="N14" s="182">
        <f>24*60*SUM($M14:$M14)</f>
        <v>37.54999999771826</v>
      </c>
      <c r="O14" s="182"/>
      <c r="P14" s="182"/>
      <c r="Q14" s="185"/>
      <c r="R14" s="197"/>
      <c r="S14" s="241">
        <f>1/IF(AG14="EC",12,1)*SUM(U14:U14)</f>
        <v>1</v>
      </c>
      <c r="T14" s="220" t="str">
        <f t="shared" si="2"/>
        <v>Southbound</v>
      </c>
      <c r="U14" s="22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21" t="str">
        <f t="shared" si="3"/>
        <v>https://d0f6bd738d7f1b3e5a7ca70fe4ff75f0.us-east-1.aws.found.io/app/kibana#/discover/Steve-Slow-Train-Analysis-(2080s-and-2083s)?_g=(refreshInterval:(display:Off,pause:!f,section:0,value:0),time:(from:'2017-12-15T02:53:41-0700',mode:absolute,to:'2017-12-15T05:49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" s="222" t="str">
        <f>IF(AA14&lt;VLOOKUP(AG14,Variables!$AC$3:$AD$8,2,FALSE),"Y","N")</f>
        <v>N</v>
      </c>
      <c r="X14" s="222">
        <f t="shared" si="4"/>
        <v>1</v>
      </c>
      <c r="Y14" s="222">
        <f t="shared" si="5"/>
        <v>23.2971</v>
      </c>
      <c r="Z14" s="222">
        <f t="shared" si="6"/>
        <v>2.5600000000000001E-2</v>
      </c>
      <c r="AA14" s="222">
        <f t="shared" si="7"/>
        <v>23.2715</v>
      </c>
      <c r="AB14" s="231" t="e">
        <f>VLOOKUP(A14,Enforcements!$C$7:$K$9,8,0)</f>
        <v>#N/A</v>
      </c>
      <c r="AC14" s="231" t="e">
        <f>VLOOKUP(A14,Enforcements!$C$7:$E$9,3,0)</f>
        <v>#N/A</v>
      </c>
      <c r="AD14" s="232">
        <f t="shared" si="8"/>
        <v>102</v>
      </c>
      <c r="AE14" s="233" t="str">
        <f t="shared" si="9"/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AF14" s="234" t="str">
        <f t="shared" si="10"/>
        <v>"C:\Program Files (x86)\AstroGrep\AstroGrep.exe" /e /r /s /spath="%USERPROFILE%\AppData\Local\Temp\OnboardLogs" /stypes="app*4003*20171215*" /stext=" 11:.+((SYSTEM_STATE.+slice.+state.+changed )|(ment ac)|(multiple cpu faults)|(system.+state.+changed )|(\[timeout)|(PRM\|1\|D)|(kpr)|(kdp)|(train st.+moving)|(\|lc)|(penalty))"</v>
      </c>
      <c r="AG14" s="226" t="str">
        <f t="shared" si="11"/>
        <v>EC</v>
      </c>
      <c r="AH14" s="189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102-15 --locoid 4003 --swversion DE.1.0.9.0 --startMP 204:232971 --initTime 2017-12-15T03:53:41 --startdatetime 2017-12-15T04:12:19 --delay 51 --endMP 204:256 --enddatetime 2017-12-15T04:49:52 --enforcementcount 0 &gt;&gt;%USERPROFILE%\Documents\GitHub\eaglep3-reporting\EC\2017-12-15-refined-times.txt</v>
      </c>
      <c r="AI14" s="191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{"issue":{"subject":"","project_id":79,"tracker_id":40,"status_id":1,"priority_id":2,"assigned_to_id":338,"start_date":"2017-12-15","description":"","custom_fields":[{"id":1,"name":"Subdivision","value":"EC"},{"id":4,"name":"Milepost","value":"0.0256"},{"id":17,"name":"Train ID","value":"102-15"},{"id":16,"name":"Locomotive ID","value":"4003"},{"id":130,"name":"Impact","value":""},{"id":150,"name":"Time of Event (Mountain Time)","value":"04:49:52"},{"id":151,"name":"Denver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180"/>
      <c r="AK14" s="188"/>
      <c r="AL14" s="188"/>
      <c r="AM14" s="193" t="str">
        <f t="shared" ref="AM14:AM77" si="19">"start /low /b "&amp;dls3logs&amp;" --loco "&amp;B14&amp;" --day "&amp;TEXT(F14,"YYYY-MM-DD")</f>
        <v>start /low /b %USERPROFILE%\Documents\GitHub\eaglep3\Utilities\DownloadLogsFromS3.py --loco 4003 --day 2017-12-15</v>
      </c>
      <c r="AN14" s="194" t="str">
        <f t="shared" ref="AN14:AN77" si="20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11:49:52"},{"id":29,"name":"Sharepoint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87" t="str">
        <f t="shared" ref="AO14:AO77" si="21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-15T02:53:41-0700',mode:absolute,to:'2017-12-15T05:49:52-0700'))&amp;_a=(columns:!('Message%20ID',Summary),filters:!(),index:'emp_*',interval:auto,query:(query_string:(analyze_wildcard:!t,query:'%22rtdc.l.rtdc.4003%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186" t="s">
        <v>687</v>
      </c>
      <c r="B15" s="182">
        <v>4044</v>
      </c>
      <c r="C15" s="184" t="s">
        <v>192</v>
      </c>
      <c r="D15" s="184" t="s">
        <v>888</v>
      </c>
      <c r="E15" s="183">
        <v>43084.151770833334</v>
      </c>
      <c r="F15" s="183">
        <v>43084.156435185185</v>
      </c>
      <c r="G15" s="182">
        <v>56</v>
      </c>
      <c r="H15" s="184" t="s">
        <v>889</v>
      </c>
      <c r="I15" s="183">
        <v>43084.181030092594</v>
      </c>
      <c r="J15" s="182">
        <v>0</v>
      </c>
      <c r="K15" s="190" t="str">
        <f t="shared" si="0"/>
        <v>4043/4044</v>
      </c>
      <c r="L15" s="196" t="str">
        <f>VLOOKUP(A15,'Trips&amp;Operators'!$C$1:$G$99911,5,FALSE)</f>
        <v>MAELZER KURT</v>
      </c>
      <c r="M15" s="181">
        <f t="shared" si="1"/>
        <v>2.4594907408754807E-2</v>
      </c>
      <c r="N15" s="182">
        <f>24*60*SUM($M15:$M15)</f>
        <v>35.416666668606922</v>
      </c>
      <c r="O15" s="182"/>
      <c r="P15" s="182"/>
      <c r="Q15" s="185"/>
      <c r="R15" s="197"/>
      <c r="S15" s="241">
        <f>1/IF(AG15="EC",12,1)*SUM(U15:U15)</f>
        <v>1</v>
      </c>
      <c r="T15" s="220" t="str">
        <f t="shared" si="2"/>
        <v>NorthBound</v>
      </c>
      <c r="U15" s="22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21" t="str">
        <f t="shared" si="3"/>
        <v>https://d0f6bd738d7f1b3e5a7ca70fe4ff75f0.us-east-1.aws.found.io/app/kibana#/discover/Steve-Slow-Train-Analysis-(2080s-and-2083s)?_g=(refreshInterval:(display:Off,pause:!f,section:0,value:0),time:(from:'2017-12-15T02:38:33-0700',mode:absolute,to:'2017-12-15T05:20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" s="222" t="str">
        <f>IF(AA15&lt;VLOOKUP(AG15,Variables!$AC$3:$AD$8,2,FALSE),"Y","N")</f>
        <v>N</v>
      </c>
      <c r="X15" s="222">
        <f t="shared" si="4"/>
        <v>1</v>
      </c>
      <c r="Y15" s="222">
        <f t="shared" si="5"/>
        <v>5.0799999999999998E-2</v>
      </c>
      <c r="Z15" s="222">
        <f t="shared" si="6"/>
        <v>23.329699999999999</v>
      </c>
      <c r="AA15" s="222">
        <f t="shared" si="7"/>
        <v>23.2789</v>
      </c>
      <c r="AB15" s="231" t="e">
        <f>VLOOKUP(A15,Enforcements!$C$7:$K$9,8,0)</f>
        <v>#N/A</v>
      </c>
      <c r="AC15" s="231" t="e">
        <f>VLOOKUP(A15,Enforcements!$C$7:$E$9,3,0)</f>
        <v>#N/A</v>
      </c>
      <c r="AD15" s="232">
        <f t="shared" si="8"/>
        <v>103</v>
      </c>
      <c r="AE15" s="233" t="str">
        <f t="shared" si="9"/>
        <v>aws s3 cp s3://rtdc.mdm.uploadarchive.raw/RTDC4044/ "%USERPROFILE%\AppData\Local\Temp\OnboardLogs"\RTDC4044\2017-12-15 --exclude "*" --recursive --include "*20171215*" &amp; "%USERPROFILE%\Documents\GitHub\mrs-test-scripts\Headless Mode &amp; Sideloading\WalkAndUnGZ.bat" "%USERPROFILE%\AppData\Local\Temp\OnboardLogs"\RTDC4044\2017-12-15 &amp; aws s3 cp s3://rtdc.mdm.uploadarchive.raw/RTDC4044/ "%USERPROFILE%\AppData\Local\Temp\OnboardLogs"\RTDC4044\2017-12-16 --exclude "*" --recursive --include "*20171216*" &amp; "%USERPROFILE%\Documents\GitHub\mrs-test-scripts\Headless Mode &amp; Sideloading\WalkAndUnGZ.bat" "%USERPROFILE%\AppData\Local\Temp\OnboardLogs"\RTDC4044\2017-12-16</v>
      </c>
      <c r="AF15" s="234" t="str">
        <f t="shared" si="10"/>
        <v>"C:\Program Files (x86)\AstroGrep\AstroGrep.exe" /e /r /s /spath="%USERPROFILE%\AppData\Local\Temp\OnboardLogs" /stypes="app*4044*20171215*" /stext=" 11:.+((SYSTEM_STATE.+slice.+state.+changed )|(ment ac)|(multiple cpu faults)|(system.+state.+changed )|(\[timeout)|(PRM\|1\|D)|(kpr)|(kdp)|(train st.+moving)|(\|lc)|(penalty))"</v>
      </c>
      <c r="AG15" s="226" t="str">
        <f t="shared" si="11"/>
        <v>EC</v>
      </c>
      <c r="AH15" s="189" t="str">
        <f t="shared" si="17"/>
        <v>"%USERPROFILE%\Documents\GitHub\eaglep3\Utilities\RefineRTDCRunTimes.py" --tripid 103-15 --locoid 4044 --swversion DE.1.0.9.0 --startMP 204:508 --initTime 2017-12-15T03:38:33 --startdatetime 2017-12-15T03:45:16 --delay 56 --endMP 204:233297 --enddatetime 2017-12-15T04:20:41 --enforcementcount 0 &gt;&gt;%USERPROFILE%\Documents\GitHub\eaglep3-reporting\EC\2017-12-15-refined-times.txt</v>
      </c>
      <c r="AI15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{"issue":{"subject":"","project_id":79,"tracker_id":40,"status_id":1,"priority_id":2,"assigned_to_id":338,"start_date":"2017-12-15","description":"","custom_fields":[{"id":1,"name":"Subdivision","value":"EC"},{"id":4,"name":"Milepost","value":"23.3297"},{"id":17,"name":"Train ID","value":"103-15"},{"id":16,"name":"Locomotive ID","value":"4044"},{"id":130,"name":"Impact","value":""},{"id":150,"name":"Time of Event (Mountain Time)","value":"04:20:41"},{"id":151,"name":"Denver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180"/>
      <c r="AK15" s="188"/>
      <c r="AL15" s="188"/>
      <c r="AM15" s="193" t="str">
        <f t="shared" si="19"/>
        <v>start /low /b %USERPROFILE%\Documents\GitHub\eaglep3\Utilities\DownloadLogsFromS3.py --loco 4044 --day 2017-12-15</v>
      </c>
      <c r="AN15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11:20:41"},{"id":29,"name":"Sharepoint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87" t="str">
        <f t="shared" si="21"/>
        <v>https://d0f6bd738d7f1b3e5a7ca70fe4ff75f0.us-east-1.aws.found.io/app/kibana#/discover/Steve-Slow-Train-Analysis-(2080s-and-2083s)?_g=(refreshInterval:(display:Off,pause:!f,section:0,value:0),time:(from:'2017-12-15T02:38:33-0700',mode:absolute,to:'2017-12-15T05:20:41-0700'))&amp;_a=(columns:!('Message%20ID',Summary),filters:!(),index:'emp_*',interval:auto,query:(query_string:(analyze_wildcard:!t,query:'%22rtdc.l.rtdc.4044%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186" t="s">
        <v>645</v>
      </c>
      <c r="B16" s="182">
        <v>4043</v>
      </c>
      <c r="C16" s="184" t="s">
        <v>192</v>
      </c>
      <c r="D16" s="184" t="s">
        <v>611</v>
      </c>
      <c r="E16" s="183">
        <v>43084.191145833334</v>
      </c>
      <c r="F16" s="183">
        <v>43084.220092592594</v>
      </c>
      <c r="G16" s="182">
        <v>49</v>
      </c>
      <c r="H16" s="184" t="s">
        <v>890</v>
      </c>
      <c r="I16" s="183">
        <v>43084.223819444444</v>
      </c>
      <c r="J16" s="182">
        <v>0</v>
      </c>
      <c r="K16" s="190" t="str">
        <f t="shared" si="0"/>
        <v>4043/4044</v>
      </c>
      <c r="L16" s="196" t="str">
        <f>VLOOKUP(A16,'Trips&amp;Operators'!$C$1:$G$99911,5,FALSE)</f>
        <v>MAELZER KURT</v>
      </c>
      <c r="M16" s="181">
        <f t="shared" si="1"/>
        <v>3.7268518499331549E-3</v>
      </c>
      <c r="N16" s="182"/>
      <c r="O16" s="182"/>
      <c r="P16" s="182">
        <f>24*60*SUM($M16:$M16)</f>
        <v>5.366666663903743</v>
      </c>
      <c r="Q16" s="185"/>
      <c r="R16" s="197" t="s">
        <v>438</v>
      </c>
      <c r="S16" s="241">
        <f>1/IF(AG16="EC",12,1)*SUM(U16:U16)</f>
        <v>0.25</v>
      </c>
      <c r="T16" s="220" t="str">
        <f t="shared" si="2"/>
        <v>Southbound</v>
      </c>
      <c r="U16" s="22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3</v>
      </c>
      <c r="V16" s="221" t="str">
        <f t="shared" si="3"/>
        <v>https://d0f6bd738d7f1b3e5a7ca70fe4ff75f0.us-east-1.aws.found.io/app/kibana#/discover/Steve-Slow-Train-Analysis-(2080s-and-2083s)?_g=(refreshInterval:(display:Off,pause:!f,section:0,value:0),time:(from:'2017-12-15T03:35:15-0700',mode:absolute,to:'2017-12-15T06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" s="222" t="str">
        <f>IF(AA16&lt;VLOOKUP(AG16,Variables!$AC$3:$AD$8,2,FALSE),"Y","N")</f>
        <v>Y</v>
      </c>
      <c r="X16" s="222">
        <f t="shared" si="4"/>
        <v>1</v>
      </c>
      <c r="Y16" s="222">
        <f t="shared" si="5"/>
        <v>23.297699999999999</v>
      </c>
      <c r="Z16" s="222">
        <f t="shared" si="6"/>
        <v>7.0255999999999998</v>
      </c>
      <c r="AA16" s="222">
        <f t="shared" si="7"/>
        <v>16.272099999999998</v>
      </c>
      <c r="AB16" s="231" t="e">
        <f>VLOOKUP(A16,Enforcements!$C$7:$K$9,8,0)</f>
        <v>#N/A</v>
      </c>
      <c r="AC16" s="231" t="e">
        <f>VLOOKUP(A16,Enforcements!$C$7:$E$9,3,0)</f>
        <v>#N/A</v>
      </c>
      <c r="AD16" s="232">
        <f t="shared" si="8"/>
        <v>104</v>
      </c>
      <c r="AE16" s="233" t="str">
        <f t="shared" si="9"/>
        <v>aws s3 cp s3://rtdc.mdm.uploadarchive.raw/RTDC4043/ "%USERPROFILE%\AppData\Local\Temp\OnboardLogs"\RTDC4043\2017-12-15 --exclude "*" --recursive --include "*20171215*" &amp; "%USERPROFILE%\Documents\GitHub\mrs-test-scripts\Headless Mode &amp; Sideloading\WalkAndUnGZ.bat" "%USERPROFILE%\AppData\Local\Temp\OnboardLogs"\RTDC4043\2017-12-15 &amp; aws s3 cp s3://rtdc.mdm.uploadarchive.raw/RTDC4043/ "%USERPROFILE%\AppData\Local\Temp\OnboardLogs"\RTDC4043\2017-12-16 --exclude "*" --recursive --include "*20171216*" &amp; "%USERPROFILE%\Documents\GitHub\mrs-test-scripts\Headless Mode &amp; Sideloading\WalkAndUnGZ.bat" "%USERPROFILE%\AppData\Local\Temp\OnboardLogs"\RTDC4043\2017-12-16</v>
      </c>
      <c r="AF16" s="234" t="str">
        <f t="shared" si="10"/>
        <v>"C:\Program Files (x86)\AstroGrep\AstroGrep.exe" /e /r /s /spath="%USERPROFILE%\AppData\Local\Temp\OnboardLogs" /stypes="app*4043*20171215*" /stext=" 12:.+((SYSTEM_STATE.+slice.+state.+changed )|(ment ac)|(multiple cpu faults)|(system.+state.+changed )|(\[timeout)|(PRM\|1\|D)|(kpr)|(kdp)|(train st.+moving)|(\|lc)|(penalty))"</v>
      </c>
      <c r="AG16" s="226" t="str">
        <f t="shared" si="11"/>
        <v>EC</v>
      </c>
      <c r="AH16" s="189" t="str">
        <f t="shared" si="17"/>
        <v>"%USERPROFILE%\Documents\GitHub\eaglep3\Utilities\RefineRTDCRunTimes.py" --tripid 104-15 --locoid 4043 --swversion DE.1.0.9.0 --startMP 204:232977 --initTime 2017-12-15T04:35:15 --startdatetime 2017-12-15T05:16:56 --delay 49 --endMP 204:70256 --enddatetime 2017-12-15T05:22:18 --enforcementcount 0 &gt;&gt;%USERPROFILE%\Documents\GitHub\eaglep3-reporting\EC\2017-12-15-refined-times.txt</v>
      </c>
      <c r="AI16" s="191" t="str">
        <f t="shared" si="18"/>
        <v>echo {"issue":{"subject":"Wi-MAX data drop","project_id":79,"tracker_id":40,"status_id":1,"priority_id":2,"assigned_to_id":338,"start_date":"2017-12-15","description":"","custom_fields":[{"id":1,"name":"Subdivision","value":"EC"},{"id":4,"name":"Milepost","value":"7.0256"},{"id":17,"name":"Train ID","value":"104-15"},{"id":16,"name":"Locomotive ID","value":"4043"},{"id":130,"name":"Impact","value":""},{"id":150,"name":"Time of Event (Mountain Time)","value":"05:22:18"},{"id":151,"name":"Denver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180"/>
      <c r="AK16" s="188"/>
      <c r="AL16" s="188"/>
      <c r="AM16" s="193" t="str">
        <f t="shared" si="19"/>
        <v>start /low /b %USERPROFILE%\Documents\GitHub\eaglep3\Utilities\DownloadLogsFromS3.py --loco 4043 --day 2017-12-15</v>
      </c>
      <c r="AN16" s="194" t="str">
        <f t="shared" si="20"/>
        <v>echo {"issue":{"subject":"Wi-MAX data drop","project_id":30,"tracker_id":4,"status_id":1,"priority_id":1,"assigned_to_id":10,"start_date":"2017-12-15","description":"","custom_fields":[{"id":30,"name":"Category","value":"Issue"},{"id":3,"name":"Functional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12:22:18"},{"id":29,"name":"Sharepoint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87" t="str">
        <f t="shared" si="21"/>
        <v>https://d0f6bd738d7f1b3e5a7ca70fe4ff75f0.us-east-1.aws.found.io/app/kibana#/discover/Steve-Slow-Train-Analysis-(2080s-and-2083s)?_g=(refreshInterval:(display:Off,pause:!f,section:0,value:0),time:(from:'2017-12-15T03:35:15-0700',mode:absolute,to:'2017-12-15T06:22:18-0700'))&amp;_a=(columns:!('Message%20ID',Summary),filters:!(),index:'emp_*',interval:auto,query:(query_string:(analyze_wildcard:!t,query:'%22rtdc.l.rtdc.4043%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186" t="s">
        <v>645</v>
      </c>
      <c r="B17" s="182">
        <v>4043</v>
      </c>
      <c r="C17" s="184" t="s">
        <v>192</v>
      </c>
      <c r="D17" s="184" t="s">
        <v>891</v>
      </c>
      <c r="E17" s="183">
        <v>43084.219317129631</v>
      </c>
      <c r="F17" s="183">
        <v>43084.220092592594</v>
      </c>
      <c r="G17" s="182">
        <v>38</v>
      </c>
      <c r="H17" s="184" t="s">
        <v>892</v>
      </c>
      <c r="I17" s="183">
        <v>43084.223819444444</v>
      </c>
      <c r="J17" s="182">
        <v>0</v>
      </c>
      <c r="K17" s="190" t="str">
        <f t="shared" si="0"/>
        <v>4043/4044</v>
      </c>
      <c r="L17" s="196" t="str">
        <f>VLOOKUP(A17,'Trips&amp;Operators'!$C$1:$G$99911,5,FALSE)</f>
        <v>MAELZER KURT</v>
      </c>
      <c r="M17" s="181">
        <f t="shared" si="1"/>
        <v>3.7268518499331549E-3</v>
      </c>
      <c r="N17" s="182"/>
      <c r="O17" s="182"/>
      <c r="P17" s="182"/>
      <c r="Q17" s="185"/>
      <c r="R17" s="197"/>
      <c r="S17" s="241"/>
      <c r="T17" s="220" t="str">
        <f t="shared" si="2"/>
        <v>Southbound</v>
      </c>
      <c r="U17" s="22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221" t="str">
        <f t="shared" si="3"/>
        <v>https://d0f6bd738d7f1b3e5a7ca70fe4ff75f0.us-east-1.aws.found.io/app/kibana#/discover/Steve-Slow-Train-Analysis-(2080s-and-2083s)?_g=(refreshInterval:(display:Off,pause:!f,section:0,value:0),time:(from:'2017-12-15T04:15:49-0700',mode:absolute,to:'2017-12-15T06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" s="222" t="str">
        <f>IF(AA17&lt;VLOOKUP(AG17,Variables!$AC$3:$AD$8,2,FALSE),"Y","N")</f>
        <v>Y</v>
      </c>
      <c r="X17" s="222">
        <f t="shared" si="4"/>
        <v>0</v>
      </c>
      <c r="Y17" s="222">
        <f t="shared" si="5"/>
        <v>1.877</v>
      </c>
      <c r="Z17" s="222">
        <f t="shared" si="6"/>
        <v>1.7600000000000001E-2</v>
      </c>
      <c r="AA17" s="222">
        <f t="shared" si="7"/>
        <v>1.8593999999999999</v>
      </c>
      <c r="AB17" s="231" t="e">
        <f>VLOOKUP(A17,Enforcements!$C$7:$K$9,8,0)</f>
        <v>#N/A</v>
      </c>
      <c r="AC17" s="231" t="e">
        <f>VLOOKUP(A17,Enforcements!$C$7:$E$9,3,0)</f>
        <v>#N/A</v>
      </c>
      <c r="AD17" s="232">
        <f t="shared" si="8"/>
        <v>104</v>
      </c>
      <c r="AE17" s="233" t="str">
        <f t="shared" si="9"/>
        <v>aws s3 cp s3://rtdc.mdm.uploadarchive.raw/RTDC4043/ "%USERPROFILE%\AppData\Local\Temp\OnboardLogs"\RTDC4043\2017-12-15 --exclude "*" --recursive --include "*20171215*" &amp; "%USERPROFILE%\Documents\GitHub\mrs-test-scripts\Headless Mode &amp; Sideloading\WalkAndUnGZ.bat" "%USERPROFILE%\AppData\Local\Temp\OnboardLogs"\RTDC4043\2017-12-15 &amp; aws s3 cp s3://rtdc.mdm.uploadarchive.raw/RTDC4043/ "%USERPROFILE%\AppData\Local\Temp\OnboardLogs"\RTDC4043\2017-12-16 --exclude "*" --recursive --include "*20171216*" &amp; "%USERPROFILE%\Documents\GitHub\mrs-test-scripts\Headless Mode &amp; Sideloading\WalkAndUnGZ.bat" "%USERPROFILE%\AppData\Local\Temp\OnboardLogs"\RTDC4043\2017-12-16</v>
      </c>
      <c r="AF17" s="234" t="str">
        <f t="shared" si="10"/>
        <v>"C:\Program Files (x86)\AstroGrep\AstroGrep.exe" /e /r /s /spath="%USERPROFILE%\AppData\Local\Temp\OnboardLogs" /stypes="app*4043*20171215*" /stext=" 12:.+((SYSTEM_STATE.+slice.+state.+changed )|(ment ac)|(multiple cpu faults)|(system.+state.+changed )|(\[timeout)|(PRM\|1\|D)|(kpr)|(kdp)|(train st.+moving)|(\|lc)|(penalty))"</v>
      </c>
      <c r="AG17" s="226" t="str">
        <f t="shared" si="11"/>
        <v>EC</v>
      </c>
      <c r="AH17" s="189" t="str">
        <f t="shared" si="17"/>
        <v>"%USERPROFILE%\Documents\GitHub\eaglep3\Utilities\RefineRTDCRunTimes.py" --tripid 104-15 --locoid 4043 --swversion DE.1.0.9.0 --startMP 204:18770 --initTime 2017-12-15T05:15:49 --startdatetime 2017-12-15T05:16:56 --delay 38 --endMP 204:176 --enddatetime 2017-12-15T05:22:18 --enforcementcount 0 &gt;&gt;%USERPROFILE%\Documents\GitHub\eaglep3-reporting\EC\2017-12-15-refined-times.txt</v>
      </c>
      <c r="AI17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{"issue":{"subject":"","project_id":79,"tracker_id":40,"status_id":1,"priority_id":2,"assigned_to_id":338,"start_date":"2017-12-15","description":"","custom_fields":[{"id":1,"name":"Subdivision","value":"EC"},{"id":4,"name":"Milepost","value":"0.0176"},{"id":17,"name":"Train ID","value":"104-15"},{"id":16,"name":"Locomotive ID","value":"4043"},{"id":130,"name":"Impact","value":""},{"id":150,"name":"Time of Event (Mountain Time)","value":"05:22:18"},{"id":151,"name":"Denver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180"/>
      <c r="AK17" s="188"/>
      <c r="AL17" s="188"/>
      <c r="AM17" s="193" t="str">
        <f t="shared" si="19"/>
        <v>start /low /b %USERPROFILE%\Documents\GitHub\eaglep3\Utilities\DownloadLogsFromS3.py --loco 4043 --day 2017-12-15</v>
      </c>
      <c r="AN17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12:22:18"},{"id":29,"name":"Sharepoint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87" t="str">
        <f t="shared" si="21"/>
        <v>https://d0f6bd738d7f1b3e5a7ca70fe4ff75f0.us-east-1.aws.found.io/app/kibana#/discover/Steve-Slow-Train-Analysis-(2080s-and-2083s)?_g=(refreshInterval:(display:Off,pause:!f,section:0,value:0),time:(from:'2017-12-15T04:15:49-0700',mode:absolute,to:'2017-12-15T06:22:18-0700'))&amp;_a=(columns:!('Message%20ID',Summary),filters:!(),index:'emp_*',interval:auto,query:(query_string:(analyze_wildcard:!t,query:'%22rtdc.l.rtdc.4043%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186" t="s">
        <v>690</v>
      </c>
      <c r="B18" s="182">
        <v>4032</v>
      </c>
      <c r="C18" s="184" t="s">
        <v>192</v>
      </c>
      <c r="D18" s="184" t="s">
        <v>893</v>
      </c>
      <c r="E18" s="183">
        <v>43084.170694444445</v>
      </c>
      <c r="F18" s="183">
        <v>43084.18440972222</v>
      </c>
      <c r="G18" s="182">
        <v>78</v>
      </c>
      <c r="H18" s="184" t="s">
        <v>524</v>
      </c>
      <c r="I18" s="183">
        <v>43084.209861111114</v>
      </c>
      <c r="J18" s="182">
        <v>0</v>
      </c>
      <c r="K18" s="190" t="str">
        <f t="shared" si="0"/>
        <v>4031/4032</v>
      </c>
      <c r="L18" s="196" t="str">
        <f>VLOOKUP(A18,'Trips&amp;Operators'!$C$1:$G$99911,5,FALSE)</f>
        <v>PAGE MARCUS</v>
      </c>
      <c r="M18" s="181">
        <f t="shared" si="1"/>
        <v>2.5451388893998228E-2</v>
      </c>
      <c r="N18" s="182">
        <f t="shared" ref="N18:N52" si="22">24*60*SUM($M18:$M18)</f>
        <v>36.650000007357448</v>
      </c>
      <c r="O18" s="182"/>
      <c r="P18" s="182"/>
      <c r="Q18" s="185"/>
      <c r="R18" s="197"/>
      <c r="S18" s="241">
        <f t="shared" ref="S18:S52" si="23">1/IF(AG18="EC",12,1)*SUM(U18:U18)</f>
        <v>1</v>
      </c>
      <c r="T18" s="220" t="str">
        <f t="shared" si="2"/>
        <v>NorthBound</v>
      </c>
      <c r="U18" s="22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21" t="str">
        <f t="shared" si="3"/>
        <v>https://d0f6bd738d7f1b3e5a7ca70fe4ff75f0.us-east-1.aws.found.io/app/kibana#/discover/Steve-Slow-Train-Analysis-(2080s-and-2083s)?_g=(refreshInterval:(display:Off,pause:!f,section:0,value:0),time:(from:'2017-12-15T03:05:48-0700',mode:absolute,to:'2017-12-15T06:02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" s="222" t="str">
        <f>IF(AA18&lt;VLOOKUP(AG18,Variables!$AC$3:$AD$8,2,FALSE),"Y","N")</f>
        <v>N</v>
      </c>
      <c r="X18" s="222">
        <f t="shared" si="4"/>
        <v>1</v>
      </c>
      <c r="Y18" s="222">
        <f t="shared" si="5"/>
        <v>4.8399999999999999E-2</v>
      </c>
      <c r="Z18" s="222">
        <f t="shared" si="6"/>
        <v>23.328800000000001</v>
      </c>
      <c r="AA18" s="222">
        <f t="shared" si="7"/>
        <v>23.2804</v>
      </c>
      <c r="AB18" s="231" t="e">
        <f>VLOOKUP(A18,Enforcements!$C$7:$K$9,8,0)</f>
        <v>#N/A</v>
      </c>
      <c r="AC18" s="231" t="e">
        <f>VLOOKUP(A18,Enforcements!$C$7:$E$9,3,0)</f>
        <v>#N/A</v>
      </c>
      <c r="AD18" s="232">
        <f t="shared" si="8"/>
        <v>105</v>
      </c>
      <c r="AE18" s="233" t="str">
        <f t="shared" si="9"/>
        <v>aws s3 cp s3://rtdc.mdm.uploadarchive.raw/RTDC4032/ "%USERPROFILE%\AppData\Local\Temp\OnboardLogs"\RTDC4032\2017-12-15 --exclude "*" --recursive --include "*20171215*" &amp; "%USERPROFILE%\Documents\GitHub\mrs-test-scripts\Headless Mode &amp; Sideloading\WalkAndUnGZ.bat" "%USERPROFILE%\AppData\Local\Temp\OnboardLogs"\RTDC4032\2017-12-15 &amp; aws s3 cp s3://rtdc.mdm.uploadarchive.raw/RTDC4032/ "%USERPROFILE%\AppData\Local\Temp\OnboardLogs"\RTDC4032\2017-12-16 --exclude "*" --recursive --include "*20171216*" &amp; "%USERPROFILE%\Documents\GitHub\mrs-test-scripts\Headless Mode &amp; Sideloading\WalkAndUnGZ.bat" "%USERPROFILE%\AppData\Local\Temp\OnboardLogs"\RTDC4032\2017-12-16</v>
      </c>
      <c r="AF18" s="234" t="str">
        <f t="shared" si="10"/>
        <v>"C:\Program Files (x86)\AstroGrep\AstroGrep.exe" /e /r /s /spath="%USERPROFILE%\AppData\Local\Temp\OnboardLogs" /stypes="app*4032*20171215*" /stext=" 12:.+((SYSTEM_STATE.+slice.+state.+changed )|(ment ac)|(multiple cpu faults)|(system.+state.+changed )|(\[timeout)|(PRM\|1\|D)|(kpr)|(kdp)|(train st.+moving)|(\|lc)|(penalty))"</v>
      </c>
      <c r="AG18" s="226" t="str">
        <f t="shared" si="11"/>
        <v>EC</v>
      </c>
      <c r="AH18" s="189" t="str">
        <f t="shared" si="17"/>
        <v>"%USERPROFILE%\Documents\GitHub\eaglep3\Utilities\RefineRTDCRunTimes.py" --tripid 105-15 --locoid 4032 --swversion DE.1.0.9.0 --startMP 204:484 --initTime 2017-12-15T04:05:48 --startdatetime 2017-12-15T04:25:33 --delay 78 --endMP 204:233288 --enddatetime 2017-12-15T05:02:12 --enforcementcount 0 &gt;&gt;%USERPROFILE%\Documents\GitHub\eaglep3-reporting\EC\2017-12-15-refined-times.txt</v>
      </c>
      <c r="AI18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{"issue":{"subject":"","project_id":79,"tracker_id":40,"status_id":1,"priority_id":2,"assigned_to_id":338,"start_date":"2017-12-15","description":"","custom_fields":[{"id":1,"name":"Subdivision","value":"EC"},{"id":4,"name":"Milepost","value":"23.3288"},{"id":17,"name":"Train ID","value":"105-15"},{"id":16,"name":"Locomotive ID","value":"4032"},{"id":130,"name":"Impact","value":""},{"id":150,"name":"Time of Event (Mountain Time)","value":"05:02:12"},{"id":151,"name":"Denver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180"/>
      <c r="AK18" s="188"/>
      <c r="AL18" s="188"/>
      <c r="AM18" s="193" t="str">
        <f t="shared" si="19"/>
        <v>start /low /b %USERPROFILE%\Documents\GitHub\eaglep3\Utilities\DownloadLogsFromS3.py --loco 4032 --day 2017-12-15</v>
      </c>
      <c r="AN18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12:02:12"},{"id":29,"name":"Sharepoint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87" t="str">
        <f t="shared" si="21"/>
        <v>https://d0f6bd738d7f1b3e5a7ca70fe4ff75f0.us-east-1.aws.found.io/app/kibana#/discover/Steve-Slow-Train-Analysis-(2080s-and-2083s)?_g=(refreshInterval:(display:Off,pause:!f,section:0,value:0),time:(from:'2017-12-15T03:05:48-0700',mode:absolute,to:'2017-12-15T06:02:12-0700'))&amp;_a=(columns:!('Message%20ID',Summary),filters:!(),index:'emp_*',interval:auto,query:(query_string:(analyze_wildcard:!t,query:'%22rtdc.l.rtdc.4032%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186" t="s">
        <v>704</v>
      </c>
      <c r="B19" s="182">
        <v>4031</v>
      </c>
      <c r="C19" s="184" t="s">
        <v>192</v>
      </c>
      <c r="D19" s="184" t="s">
        <v>596</v>
      </c>
      <c r="E19" s="183">
        <v>43084.211481481485</v>
      </c>
      <c r="F19" s="183">
        <v>43084.216909722221</v>
      </c>
      <c r="G19" s="182">
        <v>60</v>
      </c>
      <c r="H19" s="184" t="s">
        <v>503</v>
      </c>
      <c r="I19" s="183">
        <v>43084.242395833331</v>
      </c>
      <c r="J19" s="182">
        <v>0</v>
      </c>
      <c r="K19" s="190" t="str">
        <f t="shared" si="0"/>
        <v>4031/4032</v>
      </c>
      <c r="L19" s="196" t="str">
        <f>VLOOKUP(A19,'Trips&amp;Operators'!$C$1:$G$99911,5,FALSE)</f>
        <v>PAGE MARCUS</v>
      </c>
      <c r="M19" s="181">
        <f t="shared" si="1"/>
        <v>2.548611110978527E-2</v>
      </c>
      <c r="N19" s="182">
        <f t="shared" si="22"/>
        <v>36.699999998090789</v>
      </c>
      <c r="O19" s="182"/>
      <c r="P19" s="182"/>
      <c r="Q19" s="185"/>
      <c r="R19" s="197"/>
      <c r="S19" s="241">
        <f t="shared" si="23"/>
        <v>1</v>
      </c>
      <c r="T19" s="220" t="str">
        <f t="shared" si="2"/>
        <v>Southbound</v>
      </c>
      <c r="U19" s="22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21" t="str">
        <f t="shared" si="3"/>
        <v>https://d0f6bd738d7f1b3e5a7ca70fe4ff75f0.us-east-1.aws.found.io/app/kibana#/discover/Steve-Slow-Train-Analysis-(2080s-and-2083s)?_g=(refreshInterval:(display:Off,pause:!f,section:0,value:0),time:(from:'2017-12-15T04:04:32-0700',mode:absolute,to:'2017-12-15T06:49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" s="222" t="str">
        <f>IF(AA19&lt;VLOOKUP(AG19,Variables!$AC$3:$AD$8,2,FALSE),"Y","N")</f>
        <v>N</v>
      </c>
      <c r="X19" s="222">
        <f t="shared" si="4"/>
        <v>1</v>
      </c>
      <c r="Y19" s="222">
        <f t="shared" si="5"/>
        <v>23.293800000000001</v>
      </c>
      <c r="Z19" s="222">
        <f t="shared" si="6"/>
        <v>1.9199999999999998E-2</v>
      </c>
      <c r="AA19" s="222">
        <f t="shared" si="7"/>
        <v>23.2746</v>
      </c>
      <c r="AB19" s="231" t="e">
        <f>VLOOKUP(A19,Enforcements!$C$7:$K$9,8,0)</f>
        <v>#N/A</v>
      </c>
      <c r="AC19" s="231" t="e">
        <f>VLOOKUP(A19,Enforcements!$C$7:$E$9,3,0)</f>
        <v>#N/A</v>
      </c>
      <c r="AD19" s="232">
        <f t="shared" si="8"/>
        <v>106</v>
      </c>
      <c r="AE19" s="233" t="str">
        <f t="shared" si="9"/>
        <v>aws s3 cp s3://rtdc.mdm.uploadarchive.raw/RTDC4031/ "%USERPROFILE%\AppData\Local\Temp\OnboardLogs"\RTDC4031\2017-12-15 --exclude "*" --recursive --include "*20171215*" &amp; "%USERPROFILE%\Documents\GitHub\mrs-test-scripts\Headless Mode &amp; Sideloading\WalkAndUnGZ.bat" "%USERPROFILE%\AppData\Local\Temp\OnboardLogs"\RTDC4031\2017-12-15 &amp; aws s3 cp s3://rtdc.mdm.uploadarchive.raw/RTDC4031/ "%USERPROFILE%\AppData\Local\Temp\OnboardLogs"\RTDC4031\2017-12-16 --exclude "*" --recursive --include "*20171216*" &amp; "%USERPROFILE%\Documents\GitHub\mrs-test-scripts\Headless Mode &amp; Sideloading\WalkAndUnGZ.bat" "%USERPROFILE%\AppData\Local\Temp\OnboardLogs"\RTDC4031\2017-12-16</v>
      </c>
      <c r="AF19" s="234" t="str">
        <f t="shared" si="10"/>
        <v>"C:\Program Files (x86)\AstroGrep\AstroGrep.exe" /e /r /s /spath="%USERPROFILE%\AppData\Local\Temp\OnboardLogs" /stypes="app*4031*20171215*" /stext=" 12:.+((SYSTEM_STATE.+slice.+state.+changed )|(ment ac)|(multiple cpu faults)|(system.+state.+changed )|(\[timeout)|(PRM\|1\|D)|(kpr)|(kdp)|(train st.+moving)|(\|lc)|(penalty))"</v>
      </c>
      <c r="AG19" s="226" t="str">
        <f t="shared" si="11"/>
        <v>EC</v>
      </c>
      <c r="AH19" s="189" t="str">
        <f t="shared" si="17"/>
        <v>"%USERPROFILE%\Documents\GitHub\eaglep3\Utilities\RefineRTDCRunTimes.py" --tripid 106-15 --locoid 4031 --swversion DE.1.0.9.0 --startMP 204:232938 --initTime 2017-12-15T05:04:32 --startdatetime 2017-12-15T05:12:21 --delay 60 --endMP 204:192 --enddatetime 2017-12-15T05:49:03 --enforcementcount 0 &gt;&gt;%USERPROFILE%\Documents\GitHub\eaglep3-reporting\EC\2017-12-15-refined-times.txt</v>
      </c>
      <c r="AI19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{"issue":{"subject":"","project_id":79,"tracker_id":40,"status_id":1,"priority_id":2,"assigned_to_id":338,"start_date":"2017-12-15","description":"","custom_fields":[{"id":1,"name":"Subdivision","value":"EC"},{"id":4,"name":"Milepost","value":"0.0192"},{"id":17,"name":"Train ID","value":"106-15"},{"id":16,"name":"Locomotive ID","value":"4031"},{"id":130,"name":"Impact","value":""},{"id":150,"name":"Time of Event (Mountain Time)","value":"05:49:03"},{"id":151,"name":"Denver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180"/>
      <c r="AK19" s="188"/>
      <c r="AL19" s="188"/>
      <c r="AM19" s="193" t="str">
        <f t="shared" si="19"/>
        <v>start /low /b %USERPROFILE%\Documents\GitHub\eaglep3\Utilities\DownloadLogsFromS3.py --loco 4031 --day 2017-12-15</v>
      </c>
      <c r="AN19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12:49:03"},{"id":29,"name":"Sharepoint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87" t="str">
        <f t="shared" si="21"/>
        <v>https://d0f6bd738d7f1b3e5a7ca70fe4ff75f0.us-east-1.aws.found.io/app/kibana#/discover/Steve-Slow-Train-Analysis-(2080s-and-2083s)?_g=(refreshInterval:(display:Off,pause:!f,section:0,value:0),time:(from:'2017-12-15T04:04:32-0700',mode:absolute,to:'2017-12-15T06:49:03-0700'))&amp;_a=(columns:!('Message%20ID',Summary),filters:!(),index:'emp_*',interval:auto,query:(query_string:(analyze_wildcard:!t,query:'%22rtdc.l.rtdc.4031%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186" t="s">
        <v>692</v>
      </c>
      <c r="B20" s="182">
        <v>4062</v>
      </c>
      <c r="C20" s="184" t="s">
        <v>192</v>
      </c>
      <c r="D20" s="184" t="s">
        <v>556</v>
      </c>
      <c r="E20" s="183">
        <v>43084.184571759259</v>
      </c>
      <c r="F20" s="183">
        <v>43084.187685185185</v>
      </c>
      <c r="G20" s="182">
        <v>59</v>
      </c>
      <c r="H20" s="184" t="s">
        <v>894</v>
      </c>
      <c r="I20" s="183">
        <v>43084.212592592594</v>
      </c>
      <c r="J20" s="182">
        <v>0</v>
      </c>
      <c r="K20" s="190" t="str">
        <f t="shared" si="0"/>
        <v>4061/4062</v>
      </c>
      <c r="L20" s="196" t="str">
        <f>VLOOKUP(A20,'Trips&amp;Operators'!$C$1:$G$99911,5,FALSE)</f>
        <v>GEBRETEKLE DAGNEW</v>
      </c>
      <c r="M20" s="181">
        <f t="shared" si="1"/>
        <v>2.4907407409045845E-2</v>
      </c>
      <c r="N20" s="182">
        <f t="shared" si="22"/>
        <v>35.866666669026017</v>
      </c>
      <c r="O20" s="182"/>
      <c r="P20" s="182"/>
      <c r="Q20" s="185"/>
      <c r="R20" s="197"/>
      <c r="S20" s="241">
        <f t="shared" si="23"/>
        <v>1</v>
      </c>
      <c r="T20" s="220" t="str">
        <f t="shared" si="2"/>
        <v>NorthBound</v>
      </c>
      <c r="U20" s="22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21" t="str">
        <f t="shared" si="3"/>
        <v>https://d0f6bd738d7f1b3e5a7ca70fe4ff75f0.us-east-1.aws.found.io/app/kibana#/discover/Steve-Slow-Train-Analysis-(2080s-and-2083s)?_g=(refreshInterval:(display:Off,pause:!f,section:0,value:0),time:(from:'2017-12-15T03:25:47-0700',mode:absolute,to:'2017-12-15T06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" s="222" t="str">
        <f>IF(AA20&lt;VLOOKUP(AG20,Variables!$AC$3:$AD$8,2,FALSE),"Y","N")</f>
        <v>N</v>
      </c>
      <c r="X20" s="222">
        <f t="shared" si="4"/>
        <v>1</v>
      </c>
      <c r="Y20" s="222">
        <f t="shared" si="5"/>
        <v>4.9500000000000002E-2</v>
      </c>
      <c r="Z20" s="222">
        <f t="shared" si="6"/>
        <v>23.333200000000001</v>
      </c>
      <c r="AA20" s="222">
        <f t="shared" si="7"/>
        <v>23.283700000000003</v>
      </c>
      <c r="AB20" s="231" t="e">
        <f>VLOOKUP(A20,Enforcements!$C$7:$K$9,8,0)</f>
        <v>#N/A</v>
      </c>
      <c r="AC20" s="231" t="e">
        <f>VLOOKUP(A20,Enforcements!$C$7:$E$9,3,0)</f>
        <v>#N/A</v>
      </c>
      <c r="AD20" s="232">
        <f t="shared" si="8"/>
        <v>107</v>
      </c>
      <c r="AE20" s="233" t="str">
        <f t="shared" si="9"/>
        <v>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 &amp; aws s3 cp s3://rtdc.mdm.uploadarchive.raw/RTDC4062/ "%USERPROFILE%\AppData\Local\Temp\OnboardLogs"\RTDC4062\2017-12-16 --exclude "*" --recursive --include "*20171216*" &amp; "%USERPROFILE%\Documents\GitHub\mrs-test-scripts\Headless Mode &amp; Sideloading\WalkAndUnGZ.bat" "%USERPROFILE%\AppData\Local\Temp\OnboardLogs"\RTDC4062\2017-12-16</v>
      </c>
      <c r="AF20" s="234" t="str">
        <f t="shared" si="10"/>
        <v>"C:\Program Files (x86)\AstroGrep\AstroGrep.exe" /e /r /s /spath="%USERPROFILE%\AppData\Local\Temp\OnboardLogs" /stypes="app*4062*20171215*" /stext=" 12:.+((SYSTEM_STATE.+slice.+state.+changed )|(ment ac)|(multiple cpu faults)|(system.+state.+changed )|(\[timeout)|(PRM\|1\|D)|(kpr)|(kdp)|(train st.+moving)|(\|lc)|(penalty))"</v>
      </c>
      <c r="AG20" s="226" t="str">
        <f t="shared" si="11"/>
        <v>EC</v>
      </c>
      <c r="AH20" s="189" t="str">
        <f t="shared" si="17"/>
        <v>"%USERPROFILE%\Documents\GitHub\eaglep3\Utilities\RefineRTDCRunTimes.py" --tripid 107-15 --locoid 4062 --swversion DE.1.0.9.0 --startMP 204:495 --initTime 2017-12-15T04:25:47 --startdatetime 2017-12-15T04:30:16 --delay 59 --endMP 204:233332 --enddatetime 2017-12-15T05:06:08 --enforcementcount 0 &gt;&gt;%USERPROFILE%\Documents\GitHub\eaglep3-reporting\EC\2017-12-15-refined-times.txt</v>
      </c>
      <c r="AI20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{"issue":{"subject":"","project_id":79,"tracker_id":40,"status_id":1,"priority_id":2,"assigned_to_id":338,"start_date":"2017-12-15","description":"","custom_fields":[{"id":1,"name":"Subdivision","value":"EC"},{"id":4,"name":"Milepost","value":"23.3332"},{"id":17,"name":"Train ID","value":"107-15"},{"id":16,"name":"Locomotive ID","value":"4062"},{"id":130,"name":"Impact","value":""},{"id":150,"name":"Time of Event (Mountain Time)","value":"05:06:08"},{"id":151,"name":"Denver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180"/>
      <c r="AK20" s="188"/>
      <c r="AL20" s="188"/>
      <c r="AM20" s="193" t="str">
        <f t="shared" si="19"/>
        <v>start /low /b %USERPROFILE%\Documents\GitHub\eaglep3\Utilities\DownloadLogsFromS3.py --loco 4062 --day 2017-12-15</v>
      </c>
      <c r="AN20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12:06:08"},{"id":29,"name":"Sharepoint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87" t="str">
        <f t="shared" si="21"/>
        <v>https://d0f6bd738d7f1b3e5a7ca70fe4ff75f0.us-east-1.aws.found.io/app/kibana#/discover/Steve-Slow-Train-Analysis-(2080s-and-2083s)?_g=(refreshInterval:(display:Off,pause:!f,section:0,value:0),time:(from:'2017-12-15T03:25:47-0700',mode:absolute,to:'2017-12-15T06:06:08-0700'))&amp;_a=(columns:!('Message%20ID',Summary),filters:!(),index:'emp_*',interval:auto,query:(query_string:(analyze_wildcard:!t,query:'%22rtdc.l.rtdc.4062%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186" t="s">
        <v>705</v>
      </c>
      <c r="B21" s="182">
        <v>4061</v>
      </c>
      <c r="C21" s="184" t="s">
        <v>192</v>
      </c>
      <c r="D21" s="184" t="s">
        <v>895</v>
      </c>
      <c r="E21" s="183">
        <v>43084.215219907404</v>
      </c>
      <c r="F21" s="183">
        <v>43084.22729166667</v>
      </c>
      <c r="G21" s="182">
        <v>74</v>
      </c>
      <c r="H21" s="184" t="s">
        <v>489</v>
      </c>
      <c r="I21" s="183">
        <v>43084.252384259256</v>
      </c>
      <c r="J21" s="182">
        <v>0</v>
      </c>
      <c r="K21" s="190" t="str">
        <f t="shared" si="0"/>
        <v>4061/4062</v>
      </c>
      <c r="L21" s="196" t="str">
        <f>VLOOKUP(A21,'Trips&amp;Operators'!$C$1:$G$99911,5,FALSE)</f>
        <v>GEBRETEKLE DAGNEW</v>
      </c>
      <c r="M21" s="181">
        <f t="shared" si="1"/>
        <v>2.509259258658858E-2</v>
      </c>
      <c r="N21" s="182">
        <f t="shared" si="22"/>
        <v>36.133333324687555</v>
      </c>
      <c r="O21" s="182"/>
      <c r="P21" s="182"/>
      <c r="Q21" s="185"/>
      <c r="R21" s="197"/>
      <c r="S21" s="241">
        <f t="shared" si="23"/>
        <v>1</v>
      </c>
      <c r="T21" s="220" t="str">
        <f t="shared" si="2"/>
        <v>Southbound</v>
      </c>
      <c r="U21" s="22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21" t="str">
        <f t="shared" si="3"/>
        <v>https://d0f6bd738d7f1b3e5a7ca70fe4ff75f0.us-east-1.aws.found.io/app/kibana#/discover/Steve-Slow-Train-Analysis-(2080s-and-2083s)?_g=(refreshInterval:(display:Off,pause:!f,section:0,value:0),time:(from:'2017-12-15T04:09:55-0700',mode:absolute,to:'2017-12-15T07:03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" s="222" t="str">
        <f>IF(AA21&lt;VLOOKUP(AG21,Variables!$AC$3:$AD$8,2,FALSE),"Y","N")</f>
        <v>N</v>
      </c>
      <c r="X21" s="222">
        <f t="shared" si="4"/>
        <v>1</v>
      </c>
      <c r="Y21" s="222">
        <f t="shared" si="5"/>
        <v>23.3019</v>
      </c>
      <c r="Z21" s="222">
        <f t="shared" si="6"/>
        <v>2.0299999999999999E-2</v>
      </c>
      <c r="AA21" s="222">
        <f t="shared" si="7"/>
        <v>23.281600000000001</v>
      </c>
      <c r="AB21" s="231" t="e">
        <f>VLOOKUP(A21,Enforcements!$C$7:$K$9,8,0)</f>
        <v>#N/A</v>
      </c>
      <c r="AC21" s="231" t="e">
        <f>VLOOKUP(A21,Enforcements!$C$7:$E$9,3,0)</f>
        <v>#N/A</v>
      </c>
      <c r="AD21" s="232">
        <f t="shared" si="8"/>
        <v>108</v>
      </c>
      <c r="AE21" s="233" t="str">
        <f t="shared" si="9"/>
        <v>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 &amp; aws s3 cp s3://rtdc.mdm.uploadarchive.raw/RTDC4061/ "%USERPROFILE%\AppData\Local\Temp\OnboardLogs"\RTDC4061\2017-12-16 --exclude "*" --recursive --include "*20171216*" &amp; "%USERPROFILE%\Documents\GitHub\mrs-test-scripts\Headless Mode &amp; Sideloading\WalkAndUnGZ.bat" "%USERPROFILE%\AppData\Local\Temp\OnboardLogs"\RTDC4061\2017-12-16</v>
      </c>
      <c r="AF21" s="234" t="str">
        <f t="shared" si="10"/>
        <v>"C:\Program Files (x86)\AstroGrep\AstroGrep.exe" /e /r /s /spath="%USERPROFILE%\AppData\Local\Temp\OnboardLogs" /stypes="app*4061*20171215*" /stext=" 13:.+((SYSTEM_STATE.+slice.+state.+changed )|(ment ac)|(multiple cpu faults)|(system.+state.+changed )|(\[timeout)|(PRM\|1\|D)|(kpr)|(kdp)|(train st.+moving)|(\|lc)|(penalty))"</v>
      </c>
      <c r="AG21" s="226" t="str">
        <f t="shared" si="11"/>
        <v>EC</v>
      </c>
      <c r="AH21" s="189" t="str">
        <f t="shared" si="17"/>
        <v>"%USERPROFILE%\Documents\GitHub\eaglep3\Utilities\RefineRTDCRunTimes.py" --tripid 108-15 --locoid 4061 --swversion DE.1.0.9.0 --startMP 204:233019 --initTime 2017-12-15T05:09:55 --startdatetime 2017-12-15T05:27:18 --delay 74 --endMP 204:203 --enddatetime 2017-12-15T06:03:26 --enforcementcount 0 &gt;&gt;%USERPROFILE%\Documents\GitHub\eaglep3-reporting\EC\2017-12-15-refined-times.txt</v>
      </c>
      <c r="AI21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{"issue":{"subject":"","project_id":79,"tracker_id":40,"status_id":1,"priority_id":2,"assigned_to_id":338,"start_date":"2017-12-15","description":"","custom_fields":[{"id":1,"name":"Subdivision","value":"EC"},{"id":4,"name":"Milepost","value":"0.0203"},{"id":17,"name":"Train ID","value":"108-15"},{"id":16,"name":"Locomotive ID","value":"4061"},{"id":130,"name":"Impact","value":""},{"id":150,"name":"Time of Event (Mountain Time)","value":"06:03:26"},{"id":151,"name":"Denver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180"/>
      <c r="AK21" s="188"/>
      <c r="AL21" s="188"/>
      <c r="AM21" s="193" t="str">
        <f t="shared" si="19"/>
        <v>start /low /b %USERPROFILE%\Documents\GitHub\eaglep3\Utilities\DownloadLogsFromS3.py --loco 4061 --day 2017-12-15</v>
      </c>
      <c r="AN21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13:03:26"},{"id":29,"name":"Sharepoint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87" t="str">
        <f t="shared" si="21"/>
        <v>https://d0f6bd738d7f1b3e5a7ca70fe4ff75f0.us-east-1.aws.found.io/app/kibana#/discover/Steve-Slow-Train-Analysis-(2080s-and-2083s)?_g=(refreshInterval:(display:Off,pause:!f,section:0,value:0),time:(from:'2017-12-15T04:09:55-0700',mode:absolute,to:'2017-12-15T07:03:26-0700'))&amp;_a=(columns:!('Message%20ID',Summary),filters:!(),index:'emp_*',interval:auto,query:(query_string:(analyze_wildcard:!t,query:'%22rtdc.l.rtdc.4061%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186" t="s">
        <v>693</v>
      </c>
      <c r="B22" s="182">
        <v>4042</v>
      </c>
      <c r="C22" s="184" t="s">
        <v>192</v>
      </c>
      <c r="D22" s="184" t="s">
        <v>896</v>
      </c>
      <c r="E22" s="183">
        <v>43084.192141203705</v>
      </c>
      <c r="F22" s="183">
        <v>43084.198078703703</v>
      </c>
      <c r="G22" s="182">
        <v>83</v>
      </c>
      <c r="H22" s="184" t="s">
        <v>615</v>
      </c>
      <c r="I22" s="183">
        <v>43084.222337962965</v>
      </c>
      <c r="J22" s="182">
        <v>0</v>
      </c>
      <c r="K22" s="190" t="str">
        <f t="shared" si="0"/>
        <v>4041/4042</v>
      </c>
      <c r="L22" s="196" t="str">
        <f>VLOOKUP(A22,'Trips&amp;Operators'!$C$1:$G$99911,5,FALSE)</f>
        <v>LOPES KIMBERLY</v>
      </c>
      <c r="M22" s="181">
        <f t="shared" si="1"/>
        <v>2.4259259262180422E-2</v>
      </c>
      <c r="N22" s="182">
        <f t="shared" si="22"/>
        <v>34.933333337539807</v>
      </c>
      <c r="O22" s="182"/>
      <c r="P22" s="182"/>
      <c r="Q22" s="185"/>
      <c r="R22" s="197"/>
      <c r="S22" s="241">
        <f t="shared" si="23"/>
        <v>1</v>
      </c>
      <c r="T22" s="220" t="str">
        <f t="shared" si="2"/>
        <v>NorthBound</v>
      </c>
      <c r="U22" s="22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21" t="str">
        <f t="shared" si="3"/>
        <v>https://d0f6bd738d7f1b3e5a7ca70fe4ff75f0.us-east-1.aws.found.io/app/kibana#/discover/Steve-Slow-Train-Analysis-(2080s-and-2083s)?_g=(refreshInterval:(display:Off,pause:!f,section:0,value:0),time:(from:'2017-12-15T03:36:41-0700',mode:absolute,to:'2017-12-15T06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" s="222" t="str">
        <f>IF(AA22&lt;VLOOKUP(AG22,Variables!$AC$3:$AD$8,2,FALSE),"Y","N")</f>
        <v>N</v>
      </c>
      <c r="X22" s="222">
        <f t="shared" si="4"/>
        <v>1</v>
      </c>
      <c r="Y22" s="222">
        <f t="shared" si="5"/>
        <v>5.0200000000000002E-2</v>
      </c>
      <c r="Z22" s="222">
        <f t="shared" si="6"/>
        <v>23.330500000000001</v>
      </c>
      <c r="AA22" s="222">
        <f t="shared" si="7"/>
        <v>23.2803</v>
      </c>
      <c r="AB22" s="231" t="e">
        <f>VLOOKUP(A22,Enforcements!$C$7:$K$9,8,0)</f>
        <v>#N/A</v>
      </c>
      <c r="AC22" s="231" t="e">
        <f>VLOOKUP(A22,Enforcements!$C$7:$E$9,3,0)</f>
        <v>#N/A</v>
      </c>
      <c r="AD22" s="232">
        <f t="shared" si="8"/>
        <v>109</v>
      </c>
      <c r="AE22" s="233" t="str">
        <f t="shared" si="9"/>
        <v>aws s3 cp s3://rtdc.mdm.uploadarchive.raw/RTDC4042/ "%USERPROFILE%\AppData\Local\Temp\OnboardLogs"\RTDC4042\2017-12-15 --exclude "*" --recursive --include "*20171215*" &amp; "%USERPROFILE%\Documents\GitHub\mrs-test-scripts\Headless Mode &amp; Sideloading\WalkAndUnGZ.bat" "%USERPROFILE%\AppData\Local\Temp\OnboardLogs"\RTDC4042\2017-12-15 &amp; aws s3 cp s3://rtdc.mdm.uploadarchive.raw/RTDC4042/ "%USERPROFILE%\AppData\Local\Temp\OnboardLogs"\RTDC4042\2017-12-16 --exclude "*" --recursive --include "*20171216*" &amp; "%USERPROFILE%\Documents\GitHub\mrs-test-scripts\Headless Mode &amp; Sideloading\WalkAndUnGZ.bat" "%USERPROFILE%\AppData\Local\Temp\OnboardLogs"\RTDC4042\2017-12-16</v>
      </c>
      <c r="AF22" s="234" t="str">
        <f t="shared" si="10"/>
        <v>"C:\Program Files (x86)\AstroGrep\AstroGrep.exe" /e /r /s /spath="%USERPROFILE%\AppData\Local\Temp\OnboardLogs" /stypes="app*4042*20171215*" /stext=" 12:.+((SYSTEM_STATE.+slice.+state.+changed )|(ment ac)|(multiple cpu faults)|(system.+state.+changed )|(\[timeout)|(PRM\|1\|D)|(kpr)|(kdp)|(train st.+moving)|(\|lc)|(penalty))"</v>
      </c>
      <c r="AG22" s="226" t="str">
        <f t="shared" si="11"/>
        <v>EC</v>
      </c>
      <c r="AH22" s="189" t="str">
        <f t="shared" si="17"/>
        <v>"%USERPROFILE%\Documents\GitHub\eaglep3\Utilities\RefineRTDCRunTimes.py" --tripid 109-15 --locoid 4042 --swversion DE.1.0.9.0 --startMP 204:502 --initTime 2017-12-15T04:36:41 --startdatetime 2017-12-15T04:45:14 --delay 83 --endMP 204:233305 --enddatetime 2017-12-15T05:20:10 --enforcementcount 0 &gt;&gt;%USERPROFILE%\Documents\GitHub\eaglep3-reporting\EC\2017-12-15-refined-times.txt</v>
      </c>
      <c r="AI22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{"issue":{"subject":"","project_id":79,"tracker_id":40,"status_id":1,"priority_id":2,"assigned_to_id":338,"start_date":"2017-12-15","description":"","custom_fields":[{"id":1,"name":"Subdivision","value":"EC"},{"id":4,"name":"Milepost","value":"23.3305"},{"id":17,"name":"Train ID","value":"109-15"},{"id":16,"name":"Locomotive ID","value":"4042"},{"id":130,"name":"Impact","value":""},{"id":150,"name":"Time of Event (Mountain Time)","value":"05:20:10"},{"id":151,"name":"Denver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180"/>
      <c r="AK22" s="188"/>
      <c r="AL22" s="188"/>
      <c r="AM22" s="193" t="str">
        <f t="shared" si="19"/>
        <v>start /low /b %USERPROFILE%\Documents\GitHub\eaglep3\Utilities\DownloadLogsFromS3.py --loco 4042 --day 2017-12-15</v>
      </c>
      <c r="AN22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12:20:10"},{"id":29,"name":"Sharepoint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87" t="str">
        <f t="shared" si="21"/>
        <v>https://d0f6bd738d7f1b3e5a7ca70fe4ff75f0.us-east-1.aws.found.io/app/kibana#/discover/Steve-Slow-Train-Analysis-(2080s-and-2083s)?_g=(refreshInterval:(display:Off,pause:!f,section:0,value:0),time:(from:'2017-12-15T03:36:41-0700',mode:absolute,to:'2017-12-15T06:20:10-0700'))&amp;_a=(columns:!('Message%20ID',Summary),filters:!(),index:'emp_*',interval:auto,query:(query_string:(analyze_wildcard:!t,query:'%22rtdc.l.rtdc.4042%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186" t="s">
        <v>647</v>
      </c>
      <c r="B23" s="182">
        <v>4041</v>
      </c>
      <c r="C23" s="184" t="s">
        <v>192</v>
      </c>
      <c r="D23" s="184" t="s">
        <v>586</v>
      </c>
      <c r="E23" s="183">
        <v>43084.235138888886</v>
      </c>
      <c r="F23" s="183">
        <v>43084.237673611111</v>
      </c>
      <c r="G23" s="182">
        <v>55</v>
      </c>
      <c r="H23" s="184" t="s">
        <v>897</v>
      </c>
      <c r="I23" s="183">
        <v>43084.264166666668</v>
      </c>
      <c r="J23" s="182">
        <v>0</v>
      </c>
      <c r="K23" s="190" t="str">
        <f t="shared" si="0"/>
        <v>4041/4042</v>
      </c>
      <c r="L23" s="196" t="str">
        <f>VLOOKUP(A23,'Trips&amp;Operators'!$C$1:$G$99911,5,FALSE)</f>
        <v>LOPES KIMBERLY</v>
      </c>
      <c r="M23" s="181">
        <f t="shared" si="1"/>
        <v>2.6493055556784384E-2</v>
      </c>
      <c r="N23" s="182">
        <f t="shared" si="22"/>
        <v>38.150000001769513</v>
      </c>
      <c r="O23" s="182"/>
      <c r="P23" s="182"/>
      <c r="Q23" s="185"/>
      <c r="R23" s="197"/>
      <c r="S23" s="241">
        <f t="shared" si="23"/>
        <v>1</v>
      </c>
      <c r="T23" s="220" t="str">
        <f t="shared" si="2"/>
        <v>Southbound</v>
      </c>
      <c r="U23" s="22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21" t="str">
        <f t="shared" si="3"/>
        <v>https://d0f6bd738d7f1b3e5a7ca70fe4ff75f0.us-east-1.aws.found.io/app/kibana#/discover/Steve-Slow-Train-Analysis-(2080s-and-2083s)?_g=(refreshInterval:(display:Off,pause:!f,section:0,value:0),time:(from:'2017-12-15T04:38:36-0700',mode:absolute,to:'2017-12-15T07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" s="222" t="str">
        <f>IF(AA23&lt;VLOOKUP(AG23,Variables!$AC$3:$AD$8,2,FALSE),"Y","N")</f>
        <v>N</v>
      </c>
      <c r="X23" s="222">
        <f t="shared" si="4"/>
        <v>1</v>
      </c>
      <c r="Y23" s="222">
        <f t="shared" si="5"/>
        <v>23.2986</v>
      </c>
      <c r="Z23" s="222">
        <f t="shared" si="6"/>
        <v>1.41E-2</v>
      </c>
      <c r="AA23" s="222">
        <f t="shared" si="7"/>
        <v>23.284500000000001</v>
      </c>
      <c r="AB23" s="231" t="e">
        <f>VLOOKUP(A23,Enforcements!$C$7:$K$9,8,0)</f>
        <v>#N/A</v>
      </c>
      <c r="AC23" s="231" t="e">
        <f>VLOOKUP(A23,Enforcements!$C$7:$E$9,3,0)</f>
        <v>#N/A</v>
      </c>
      <c r="AD23" s="232">
        <f t="shared" si="8"/>
        <v>110</v>
      </c>
      <c r="AE23" s="233" t="str">
        <f t="shared" si="9"/>
        <v>aws s3 cp s3://rtdc.mdm.uploadarchive.raw/RTDC4041/ "%USERPROFILE%\AppData\Local\Temp\OnboardLogs"\RTDC4041\2017-12-15 --exclude "*" --recursive --include "*20171215*" &amp; "%USERPROFILE%\Documents\GitHub\mrs-test-scripts\Headless Mode &amp; Sideloading\WalkAndUnGZ.bat" "%USERPROFILE%\AppData\Local\Temp\OnboardLogs"\RTDC4041\2017-12-15 &amp; aws s3 cp s3://rtdc.mdm.uploadarchive.raw/RTDC4041/ "%USERPROFILE%\AppData\Local\Temp\OnboardLogs"\RTDC4041\2017-12-16 --exclude "*" --recursive --include "*20171216*" &amp; "%USERPROFILE%\Documents\GitHub\mrs-test-scripts\Headless Mode &amp; Sideloading\WalkAndUnGZ.bat" "%USERPROFILE%\AppData\Local\Temp\OnboardLogs"\RTDC4041\2017-12-16</v>
      </c>
      <c r="AF23" s="234" t="str">
        <f t="shared" si="10"/>
        <v>"C:\Program Files (x86)\AstroGrep\AstroGrep.exe" /e /r /s /spath="%USERPROFILE%\AppData\Local\Temp\OnboardLogs" /stypes="app*4041*20171215*" /stext=" 13:.+((SYSTEM_STATE.+slice.+state.+changed )|(ment ac)|(multiple cpu faults)|(system.+state.+changed )|(\[timeout)|(PRM\|1\|D)|(kpr)|(kdp)|(train st.+moving)|(\|lc)|(penalty))"</v>
      </c>
      <c r="AG23" s="226" t="str">
        <f t="shared" si="11"/>
        <v>EC</v>
      </c>
      <c r="AH23" s="189" t="str">
        <f t="shared" si="17"/>
        <v>"%USERPROFILE%\Documents\GitHub\eaglep3\Utilities\RefineRTDCRunTimes.py" --tripid 110-15 --locoid 4041 --swversion DE.1.0.9.0 --startMP 204:232986 --initTime 2017-12-15T05:38:36 --startdatetime 2017-12-15T05:42:15 --delay 55 --endMP 204:141 --enddatetime 2017-12-15T06:20:24 --enforcementcount 0 &gt;&gt;%USERPROFILE%\Documents\GitHub\eaglep3-reporting\EC\2017-12-15-refined-times.txt</v>
      </c>
      <c r="AI23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{"issue":{"subject":"","project_id":79,"tracker_id":40,"status_id":1,"priority_id":2,"assigned_to_id":338,"start_date":"2017-12-15","description":"","custom_fields":[{"id":1,"name":"Subdivision","value":"EC"},{"id":4,"name":"Milepost","value":"0.0141"},{"id":17,"name":"Train ID","value":"110-15"},{"id":16,"name":"Locomotive ID","value":"4041"},{"id":130,"name":"Impact","value":""},{"id":150,"name":"Time of Event (Mountain Time)","value":"06:20:24"},{"id":151,"name":"Denver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180"/>
      <c r="AK23" s="188"/>
      <c r="AL23" s="188"/>
      <c r="AM23" s="193" t="str">
        <f t="shared" si="19"/>
        <v>start /low /b %USERPROFILE%\Documents\GitHub\eaglep3\Utilities\DownloadLogsFromS3.py --loco 4041 --day 2017-12-15</v>
      </c>
      <c r="AN23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13:20:24"},{"id":29,"name":"Sharepoint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87" t="str">
        <f t="shared" si="21"/>
        <v>https://d0f6bd738d7f1b3e5a7ca70fe4ff75f0.us-east-1.aws.found.io/app/kibana#/discover/Steve-Slow-Train-Analysis-(2080s-and-2083s)?_g=(refreshInterval:(display:Off,pause:!f,section:0,value:0),time:(from:'2017-12-15T04:38:36-0700',mode:absolute,to:'2017-12-15T07:20:24-0700'))&amp;_a=(columns:!('Message%20ID',Summary),filters:!(),index:'emp_*',interval:auto,query:(query_string:(analyze_wildcard:!t,query:'%22rtdc.l.rtdc.4041%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186" t="s">
        <v>700</v>
      </c>
      <c r="B24" s="182">
        <v>4004</v>
      </c>
      <c r="C24" s="184" t="s">
        <v>192</v>
      </c>
      <c r="D24" s="184" t="s">
        <v>898</v>
      </c>
      <c r="E24" s="183">
        <v>43084.20753472222</v>
      </c>
      <c r="F24" s="183">
        <v>43084.209166666667</v>
      </c>
      <c r="G24" s="182">
        <v>62</v>
      </c>
      <c r="H24" s="184" t="s">
        <v>899</v>
      </c>
      <c r="I24" s="183">
        <v>43084.234131944446</v>
      </c>
      <c r="J24" s="182">
        <v>0</v>
      </c>
      <c r="K24" s="190" t="str">
        <f t="shared" si="0"/>
        <v>4003/4004</v>
      </c>
      <c r="L24" s="196" t="str">
        <f>VLOOKUP(A24,'Trips&amp;Operators'!$C$1:$G$99911,5,FALSE)</f>
        <v>ROCHA YAOTL</v>
      </c>
      <c r="M24" s="181">
        <f t="shared" si="1"/>
        <v>2.4965277778392192E-2</v>
      </c>
      <c r="N24" s="182">
        <f t="shared" si="22"/>
        <v>35.950000000884756</v>
      </c>
      <c r="O24" s="182"/>
      <c r="P24" s="182"/>
      <c r="Q24" s="185"/>
      <c r="R24" s="197"/>
      <c r="S24" s="241">
        <f t="shared" si="23"/>
        <v>1</v>
      </c>
      <c r="T24" s="220" t="str">
        <f t="shared" si="2"/>
        <v>NorthBound</v>
      </c>
      <c r="U24" s="22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21" t="str">
        <f t="shared" si="3"/>
        <v>https://d0f6bd738d7f1b3e5a7ca70fe4ff75f0.us-east-1.aws.found.io/app/kibana#/discover/Steve-Slow-Train-Analysis-(2080s-and-2083s)?_g=(refreshInterval:(display:Off,pause:!f,section:0,value:0),time:(from:'2017-12-15T03:58:51-0700',mode:absolute,to:'2017-12-15T06:37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4" s="222" t="str">
        <f>IF(AA24&lt;VLOOKUP(AG24,Variables!$AC$3:$AD$8,2,FALSE),"Y","N")</f>
        <v>N</v>
      </c>
      <c r="X24" s="222">
        <f t="shared" si="4"/>
        <v>1</v>
      </c>
      <c r="Y24" s="222">
        <f t="shared" si="5"/>
        <v>5.7000000000000002E-2</v>
      </c>
      <c r="Z24" s="222">
        <f t="shared" si="6"/>
        <v>23.3355</v>
      </c>
      <c r="AA24" s="222">
        <f t="shared" si="7"/>
        <v>23.278500000000001</v>
      </c>
      <c r="AB24" s="231" t="e">
        <f>VLOOKUP(A24,Enforcements!$C$7:$K$9,8,0)</f>
        <v>#N/A</v>
      </c>
      <c r="AC24" s="231" t="e">
        <f>VLOOKUP(A24,Enforcements!$C$7:$E$9,3,0)</f>
        <v>#N/A</v>
      </c>
      <c r="AD24" s="232">
        <f t="shared" si="8"/>
        <v>111</v>
      </c>
      <c r="AE24" s="233" t="str">
        <f t="shared" si="9"/>
        <v>aws s3 cp s3://rtdc.mdm.uploadarchive.raw/RTDC4004/ "%USERPROFILE%\AppData\Local\Temp\OnboardLogs"\RTDC4004\2017-12-15 --exclude "*" --recursive --include "*20171215*" &amp; "%USERPROFILE%\Documents\GitHub\mrs-test-scripts\Headless Mode &amp; Sideloading\WalkAndUnGZ.bat" "%USERPROFILE%\AppData\Local\Temp\OnboardLogs"\RTDC4004\2017-12-15 &amp; aws s3 cp s3://rtdc.mdm.uploadarchive.raw/RTDC4004/ "%USERPROFILE%\AppData\Local\Temp\OnboardLogs"\RTDC4004\2017-12-16 --exclude "*" --recursive --include "*20171216*" &amp; "%USERPROFILE%\Documents\GitHub\mrs-test-scripts\Headless Mode &amp; Sideloading\WalkAndUnGZ.bat" "%USERPROFILE%\AppData\Local\Temp\OnboardLogs"\RTDC4004\2017-12-16</v>
      </c>
      <c r="AF24" s="234" t="str">
        <f t="shared" si="10"/>
        <v>"C:\Program Files (x86)\AstroGrep\AstroGrep.exe" /e /r /s /spath="%USERPROFILE%\AppData\Local\Temp\OnboardLogs" /stypes="app*4004*20171215*" /stext=" 12:.+((SYSTEM_STATE.+slice.+state.+changed )|(ment ac)|(multiple cpu faults)|(system.+state.+changed )|(\[timeout)|(PRM\|1\|D)|(kpr)|(kdp)|(train st.+moving)|(\|lc)|(penalty))"</v>
      </c>
      <c r="AG24" s="226" t="str">
        <f t="shared" si="11"/>
        <v>EC</v>
      </c>
      <c r="AH24" s="189" t="str">
        <f t="shared" si="17"/>
        <v>"%USERPROFILE%\Documents\GitHub\eaglep3\Utilities\RefineRTDCRunTimes.py" --tripid 111-15 --locoid 4004 --swversion DE.1.0.9.0 --startMP 204:570 --initTime 2017-12-15T04:58:51 --startdatetime 2017-12-15T05:01:12 --delay 62 --endMP 204:233355 --enddatetime 2017-12-15T05:37:09 --enforcementcount 0 &gt;&gt;%USERPROFILE%\Documents\GitHub\eaglep3-reporting\EC\2017-12-15-refined-times.txt</v>
      </c>
      <c r="AI24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{"issue":{"subject":"","project_id":79,"tracker_id":40,"status_id":1,"priority_id":2,"assigned_to_id":338,"start_date":"2017-12-15","description":"","custom_fields":[{"id":1,"name":"Subdivision","value":"EC"},{"id":4,"name":"Milepost","value":"23.3355"},{"id":17,"name":"Train ID","value":"111-15"},{"id":16,"name":"Locomotive ID","value":"4004"},{"id":130,"name":"Impact","value":""},{"id":150,"name":"Time of Event (Mountain Time)","value":"05:37:09"},{"id":151,"name":"Denver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180"/>
      <c r="AK24" s="188"/>
      <c r="AL24" s="188"/>
      <c r="AM24" s="193" t="str">
        <f t="shared" si="19"/>
        <v>start /low /b %USERPROFILE%\Documents\GitHub\eaglep3\Utilities\DownloadLogsFromS3.py --loco 4004 --day 2017-12-15</v>
      </c>
      <c r="AN24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12:37:09"},{"id":29,"name":"Sharepoint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87" t="str">
        <f t="shared" si="21"/>
        <v>https://d0f6bd738d7f1b3e5a7ca70fe4ff75f0.us-east-1.aws.found.io/app/kibana#/discover/Steve-Slow-Train-Analysis-(2080s-and-2083s)?_g=(refreshInterval:(display:Off,pause:!f,section:0,value:0),time:(from:'2017-12-15T03:58:51-0700',mode:absolute,to:'2017-12-15T06:37:09-0700'))&amp;_a=(columns:!('Message%20ID',Summary),filters:!(),index:'emp_*',interval:auto,query:(query_string:(analyze_wildcard:!t,query:'%22rtdc.l.rtdc.4004%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186" t="s">
        <v>648</v>
      </c>
      <c r="B25" s="182">
        <v>4003</v>
      </c>
      <c r="C25" s="184" t="s">
        <v>192</v>
      </c>
      <c r="D25" s="184" t="s">
        <v>900</v>
      </c>
      <c r="E25" s="183">
        <v>43084.246747685182</v>
      </c>
      <c r="F25" s="183">
        <v>43084.24827546296</v>
      </c>
      <c r="G25" s="182">
        <v>62</v>
      </c>
      <c r="H25" s="184" t="s">
        <v>510</v>
      </c>
      <c r="I25" s="183">
        <v>43084.274548611109</v>
      </c>
      <c r="J25" s="182">
        <v>0</v>
      </c>
      <c r="K25" s="190" t="str">
        <f t="shared" si="0"/>
        <v>4003/4004</v>
      </c>
      <c r="L25" s="196" t="str">
        <f>VLOOKUP(A25,'Trips&amp;Operators'!$C$1:$G$99911,5,FALSE)</f>
        <v>ROCHA YAOTL</v>
      </c>
      <c r="M25" s="181">
        <f t="shared" si="1"/>
        <v>2.6273148148902692E-2</v>
      </c>
      <c r="N25" s="182">
        <f t="shared" si="22"/>
        <v>37.833333334419876</v>
      </c>
      <c r="O25" s="182"/>
      <c r="P25" s="182"/>
      <c r="Q25" s="185"/>
      <c r="R25" s="197"/>
      <c r="S25" s="241">
        <f t="shared" si="23"/>
        <v>1</v>
      </c>
      <c r="T25" s="220" t="str">
        <f t="shared" si="2"/>
        <v>Southbound</v>
      </c>
      <c r="U25" s="22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21" t="str">
        <f t="shared" si="3"/>
        <v>https://d0f6bd738d7f1b3e5a7ca70fe4ff75f0.us-east-1.aws.found.io/app/kibana#/discover/Steve-Slow-Train-Analysis-(2080s-and-2083s)?_g=(refreshInterval:(display:Off,pause:!f,section:0,value:0),time:(from:'2017-12-15T04:55:19-0700',mode:absolute,to:'2017-12-15T07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5" s="222" t="str">
        <f>IF(AA25&lt;VLOOKUP(AG25,Variables!$AC$3:$AD$8,2,FALSE),"Y","N")</f>
        <v>N</v>
      </c>
      <c r="X25" s="222">
        <f t="shared" si="4"/>
        <v>1</v>
      </c>
      <c r="Y25" s="222">
        <f t="shared" si="5"/>
        <v>23.305900000000001</v>
      </c>
      <c r="Z25" s="222">
        <f t="shared" si="6"/>
        <v>1.8499999999999999E-2</v>
      </c>
      <c r="AA25" s="222">
        <f t="shared" si="7"/>
        <v>23.287400000000002</v>
      </c>
      <c r="AB25" s="231" t="e">
        <f>VLOOKUP(A25,Enforcements!$C$7:$K$9,8,0)</f>
        <v>#N/A</v>
      </c>
      <c r="AC25" s="231" t="e">
        <f>VLOOKUP(A25,Enforcements!$C$7:$E$9,3,0)</f>
        <v>#N/A</v>
      </c>
      <c r="AD25" s="232">
        <f t="shared" si="8"/>
        <v>112</v>
      </c>
      <c r="AE25" s="233" t="str">
        <f t="shared" si="9"/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AF25" s="234" t="str">
        <f t="shared" si="10"/>
        <v>"C:\Program Files (x86)\AstroGrep\AstroGrep.exe" /e /r /s /spath="%USERPROFILE%\AppData\Local\Temp\OnboardLogs" /stypes="app*4003*20171215*" /stext=" 13:.+((SYSTEM_STATE.+slice.+state.+changed )|(ment ac)|(multiple cpu faults)|(system.+state.+changed )|(\[timeout)|(PRM\|1\|D)|(kpr)|(kdp)|(train st.+moving)|(\|lc)|(penalty))"</v>
      </c>
      <c r="AG25" s="226" t="str">
        <f t="shared" si="11"/>
        <v>EC</v>
      </c>
      <c r="AH25" s="189" t="str">
        <f t="shared" si="17"/>
        <v>"%USERPROFILE%\Documents\GitHub\eaglep3\Utilities\RefineRTDCRunTimes.py" --tripid 112-15 --locoid 4003 --swversion DE.1.0.9.0 --startMP 204:233059 --initTime 2017-12-15T05:55:19 --startdatetime 2017-12-15T05:57:31 --delay 62 --endMP 204:185 --enddatetime 2017-12-15T06:35:21 --enforcementcount 0 &gt;&gt;%USERPROFILE%\Documents\GitHub\eaglep3-reporting\EC\2017-12-15-refined-times.txt</v>
      </c>
      <c r="AI25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{"issue":{"subject":"","project_id":79,"tracker_id":40,"status_id":1,"priority_id":2,"assigned_to_id":338,"start_date":"2017-12-15","description":"","custom_fields":[{"id":1,"name":"Subdivision","value":"EC"},{"id":4,"name":"Milepost","value":"0.0185"},{"id":17,"name":"Train ID","value":"112-15"},{"id":16,"name":"Locomotive ID","value":"4003"},{"id":130,"name":"Impact","value":""},{"id":150,"name":"Time of Event (Mountain Time)","value":"06:35:21"},{"id":151,"name":"Denver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180"/>
      <c r="AK25" s="188"/>
      <c r="AL25" s="188"/>
      <c r="AM25" s="193" t="str">
        <f t="shared" si="19"/>
        <v>start /low /b %USERPROFILE%\Documents\GitHub\eaglep3\Utilities\DownloadLogsFromS3.py --loco 4003 --day 2017-12-15</v>
      </c>
      <c r="AN25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13:35:21"},{"id":29,"name":"Sharepoint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87" t="str">
        <f t="shared" si="21"/>
        <v>https://d0f6bd738d7f1b3e5a7ca70fe4ff75f0.us-east-1.aws.found.io/app/kibana#/discover/Steve-Slow-Train-Analysis-(2080s-and-2083s)?_g=(refreshInterval:(display:Off,pause:!f,section:0,value:0),time:(from:'2017-12-15T04:55:19-0700',mode:absolute,to:'2017-12-15T07:35:21-0700'))&amp;_a=(columns:!('Message%20ID',Summary),filters:!(),index:'emp_*',interval:auto,query:(query_string:(analyze_wildcard:!t,query:'%22rtdc.l.rtdc.4003%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186" t="s">
        <v>699</v>
      </c>
      <c r="B26" s="182">
        <v>4058</v>
      </c>
      <c r="C26" s="184" t="s">
        <v>192</v>
      </c>
      <c r="D26" s="184" t="s">
        <v>509</v>
      </c>
      <c r="E26" s="183">
        <v>43084.207094907404</v>
      </c>
      <c r="F26" s="183">
        <v>43084.219143518516</v>
      </c>
      <c r="G26" s="182">
        <v>105</v>
      </c>
      <c r="H26" s="184" t="s">
        <v>901</v>
      </c>
      <c r="I26" s="183">
        <v>43084.243622685186</v>
      </c>
      <c r="J26" s="182">
        <v>0</v>
      </c>
      <c r="K26" s="190" t="str">
        <f t="shared" si="0"/>
        <v>4057/4058</v>
      </c>
      <c r="L26" s="196" t="str">
        <f>VLOOKUP(A26,'Trips&amp;Operators'!$C$1:$G$99911,5,FALSE)</f>
        <v>MACDONALD THOMAS</v>
      </c>
      <c r="M26" s="181">
        <f t="shared" si="1"/>
        <v>2.4479166670062114E-2</v>
      </c>
      <c r="N26" s="182">
        <f t="shared" si="22"/>
        <v>35.250000004889444</v>
      </c>
      <c r="O26" s="182"/>
      <c r="P26" s="182"/>
      <c r="Q26" s="185"/>
      <c r="R26" s="197"/>
      <c r="S26" s="241">
        <f t="shared" si="23"/>
        <v>1</v>
      </c>
      <c r="T26" s="220" t="str">
        <f t="shared" si="2"/>
        <v>NorthBound</v>
      </c>
      <c r="U26" s="22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21" t="str">
        <f t="shared" si="3"/>
        <v>https://d0f6bd738d7f1b3e5a7ca70fe4ff75f0.us-east-1.aws.found.io/app/kibana#/discover/Steve-Slow-Train-Analysis-(2080s-and-2083s)?_g=(refreshInterval:(display:Off,pause:!f,section:0,value:0),time:(from:'2017-12-15T03:58:13-0700',mode:absolute,to:'2017-12-15T06:50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6" s="222" t="str">
        <f>IF(AA26&lt;VLOOKUP(AG26,Variables!$AC$3:$AD$8,2,FALSE),"Y","N")</f>
        <v>N</v>
      </c>
      <c r="X26" s="222">
        <f t="shared" si="4"/>
        <v>1</v>
      </c>
      <c r="Y26" s="222">
        <f t="shared" si="5"/>
        <v>5.2600000000000001E-2</v>
      </c>
      <c r="Z26" s="222">
        <f t="shared" si="6"/>
        <v>23.3245</v>
      </c>
      <c r="AA26" s="222">
        <f t="shared" si="7"/>
        <v>23.271899999999999</v>
      </c>
      <c r="AB26" s="231" t="e">
        <f>VLOOKUP(A26,Enforcements!$C$7:$K$9,8,0)</f>
        <v>#N/A</v>
      </c>
      <c r="AC26" s="231" t="e">
        <f>VLOOKUP(A26,Enforcements!$C$7:$E$9,3,0)</f>
        <v>#N/A</v>
      </c>
      <c r="AD26" s="232">
        <f t="shared" si="8"/>
        <v>113</v>
      </c>
      <c r="AE26" s="233" t="str">
        <f t="shared" si="9"/>
        <v>aws s3 cp s3://rtdc.mdm.uploadarchive.raw/RTDC4058/ "%USERPROFILE%\AppData\Local\Temp\OnboardLogs"\RTDC4058\2017-12-15 --exclude "*" --recursive --include "*20171215*" &amp; "%USERPROFILE%\Documents\GitHub\mrs-test-scripts\Headless Mode &amp; Sideloading\WalkAndUnGZ.bat" "%USERPROFILE%\AppData\Local\Temp\OnboardLogs"\RTDC4058\2017-12-15 &amp; aws s3 cp s3://rtdc.mdm.uploadarchive.raw/RTDC4058/ "%USERPROFILE%\AppData\Local\Temp\OnboardLogs"\RTDC4058\2017-12-16 --exclude "*" --recursive --include "*20171216*" &amp; "%USERPROFILE%\Documents\GitHub\mrs-test-scripts\Headless Mode &amp; Sideloading\WalkAndUnGZ.bat" "%USERPROFILE%\AppData\Local\Temp\OnboardLogs"\RTDC4058\2017-12-16</v>
      </c>
      <c r="AF26" s="234" t="str">
        <f t="shared" si="10"/>
        <v>"C:\Program Files (x86)\AstroGrep\AstroGrep.exe" /e /r /s /spath="%USERPROFILE%\AppData\Local\Temp\OnboardLogs" /stypes="app*4058*20171215*" /stext=" 12:.+((SYSTEM_STATE.+slice.+state.+changed )|(ment ac)|(multiple cpu faults)|(system.+state.+changed )|(\[timeout)|(PRM\|1\|D)|(kpr)|(kdp)|(train st.+moving)|(\|lc)|(penalty))"</v>
      </c>
      <c r="AG26" s="226" t="str">
        <f t="shared" si="11"/>
        <v>EC</v>
      </c>
      <c r="AH26" s="189" t="str">
        <f t="shared" si="17"/>
        <v>"%USERPROFILE%\Documents\GitHub\eaglep3\Utilities\RefineRTDCRunTimes.py" --tripid 113-15 --locoid 4058 --swversion DE.1.0.9.0 --startMP 204:526 --initTime 2017-12-15T04:58:13 --startdatetime 2017-12-15T05:15:34 --delay 105 --endMP 204:233245 --enddatetime 2017-12-15T05:50:49 --enforcementcount 0 &gt;&gt;%USERPROFILE%\Documents\GitHub\eaglep3-reporting\EC\2017-12-15-refined-times.txt</v>
      </c>
      <c r="AI26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{"issue":{"subject":"","project_id":79,"tracker_id":40,"status_id":1,"priority_id":2,"assigned_to_id":338,"start_date":"2017-12-15","description":"","custom_fields":[{"id":1,"name":"Subdivision","value":"EC"},{"id":4,"name":"Milepost","value":"23.3245"},{"id":17,"name":"Train ID","value":"113-15"},{"id":16,"name":"Locomotive ID","value":"4058"},{"id":130,"name":"Impact","value":""},{"id":150,"name":"Time of Event (Mountain Time)","value":"05:50:49"},{"id":151,"name":"Denver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180"/>
      <c r="AK26" s="188"/>
      <c r="AL26" s="188"/>
      <c r="AM26" s="193" t="str">
        <f t="shared" si="19"/>
        <v>start /low /b %USERPROFILE%\Documents\GitHub\eaglep3\Utilities\DownloadLogsFromS3.py --loco 4058 --day 2017-12-15</v>
      </c>
      <c r="AN26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12:50:49"},{"id":29,"name":"Sharepoint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87" t="str">
        <f t="shared" si="21"/>
        <v>https://d0f6bd738d7f1b3e5a7ca70fe4ff75f0.us-east-1.aws.found.io/app/kibana#/discover/Steve-Slow-Train-Analysis-(2080s-and-2083s)?_g=(refreshInterval:(display:Off,pause:!f,section:0,value:0),time:(from:'2017-12-15T03:58:13-0700',mode:absolute,to:'2017-12-15T06:50:49-0700'))&amp;_a=(columns:!('Message%20ID',Summary),filters:!(),index:'emp_*',interval:auto,query:(query_string:(analyze_wildcard:!t,query:'%22rtdc.l.rtdc.4058%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186" t="s">
        <v>717</v>
      </c>
      <c r="B27" s="182">
        <v>4057</v>
      </c>
      <c r="C27" s="184" t="s">
        <v>192</v>
      </c>
      <c r="D27" s="184" t="s">
        <v>608</v>
      </c>
      <c r="E27" s="183">
        <v>43084.258090277777</v>
      </c>
      <c r="F27" s="183">
        <v>43084.259062500001</v>
      </c>
      <c r="G27" s="182">
        <v>43</v>
      </c>
      <c r="H27" s="184" t="s">
        <v>613</v>
      </c>
      <c r="I27" s="183">
        <v>43084.285543981481</v>
      </c>
      <c r="J27" s="182">
        <v>0</v>
      </c>
      <c r="K27" s="190" t="str">
        <f t="shared" si="0"/>
        <v>4057/4058</v>
      </c>
      <c r="L27" s="196" t="str">
        <f>VLOOKUP(A27,'Trips&amp;Operators'!$C$1:$G$99911,5,FALSE)</f>
        <v>MACDONALD THOMAS</v>
      </c>
      <c r="M27" s="181">
        <f t="shared" si="1"/>
        <v>2.6481481480004732E-2</v>
      </c>
      <c r="N27" s="182">
        <f t="shared" si="22"/>
        <v>38.133333331206813</v>
      </c>
      <c r="O27" s="182"/>
      <c r="P27" s="182"/>
      <c r="Q27" s="185"/>
      <c r="R27" s="197"/>
      <c r="S27" s="241">
        <f t="shared" si="23"/>
        <v>1</v>
      </c>
      <c r="T27" s="220" t="str">
        <f t="shared" si="2"/>
        <v>Southbound</v>
      </c>
      <c r="U27" s="22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21" t="str">
        <f t="shared" si="3"/>
        <v>https://d0f6bd738d7f1b3e5a7ca70fe4ff75f0.us-east-1.aws.found.io/app/kibana#/discover/Steve-Slow-Train-Analysis-(2080s-and-2083s)?_g=(refreshInterval:(display:Off,pause:!f,section:0,value:0),time:(from:'2017-12-15T05:11:39-0700',mode:absolute,to:'2017-12-15T07:51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7" s="222" t="str">
        <f>IF(AA27&lt;VLOOKUP(AG27,Variables!$AC$3:$AD$8,2,FALSE),"Y","N")</f>
        <v>N</v>
      </c>
      <c r="X27" s="222">
        <f t="shared" si="4"/>
        <v>1</v>
      </c>
      <c r="Y27" s="222">
        <f t="shared" si="5"/>
        <v>23.290700000000001</v>
      </c>
      <c r="Z27" s="222">
        <f t="shared" si="6"/>
        <v>2.3800000000000002E-2</v>
      </c>
      <c r="AA27" s="222">
        <f t="shared" si="7"/>
        <v>23.2669</v>
      </c>
      <c r="AB27" s="231" t="e">
        <f>VLOOKUP(A27,Enforcements!$C$7:$K$9,8,0)</f>
        <v>#N/A</v>
      </c>
      <c r="AC27" s="231" t="e">
        <f>VLOOKUP(A27,Enforcements!$C$7:$E$9,3,0)</f>
        <v>#N/A</v>
      </c>
      <c r="AD27" s="232">
        <f t="shared" si="8"/>
        <v>114</v>
      </c>
      <c r="AE27" s="233" t="str">
        <f t="shared" si="9"/>
        <v>aws s3 cp s3://rtdc.mdm.uploadarchive.raw/RTDC4057/ "%USERPROFILE%\AppData\Local\Temp\OnboardLogs"\RTDC4057\2017-12-15 --exclude "*" --recursive --include "*20171215*" &amp; "%USERPROFILE%\Documents\GitHub\mrs-test-scripts\Headless Mode &amp; Sideloading\WalkAndUnGZ.bat" "%USERPROFILE%\AppData\Local\Temp\OnboardLogs"\RTDC4057\2017-12-15 &amp; aws s3 cp s3://rtdc.mdm.uploadarchive.raw/RTDC4057/ "%USERPROFILE%\AppData\Local\Temp\OnboardLogs"\RTDC4057\2017-12-16 --exclude "*" --recursive --include "*20171216*" &amp; "%USERPROFILE%\Documents\GitHub\mrs-test-scripts\Headless Mode &amp; Sideloading\WalkAndUnGZ.bat" "%USERPROFILE%\AppData\Local\Temp\OnboardLogs"\RTDC4057\2017-12-16</v>
      </c>
      <c r="AF27" s="234" t="str">
        <f t="shared" si="10"/>
        <v>"C:\Program Files (x86)\AstroGrep\AstroGrep.exe" /e /r /s /spath="%USERPROFILE%\AppData\Local\Temp\OnboardLogs" /stypes="app*4057*20171215*" /stext=" 13:.+((SYSTEM_STATE.+slice.+state.+changed )|(ment ac)|(multiple cpu faults)|(system.+state.+changed )|(\[timeout)|(PRM\|1\|D)|(kpr)|(kdp)|(train st.+moving)|(\|lc)|(penalty))"</v>
      </c>
      <c r="AG27" s="226" t="str">
        <f t="shared" si="11"/>
        <v>EC</v>
      </c>
      <c r="AH27" s="189" t="str">
        <f t="shared" si="17"/>
        <v>"%USERPROFILE%\Documents\GitHub\eaglep3\Utilities\RefineRTDCRunTimes.py" --tripid 114-15 --locoid 4057 --swversion DE.1.0.9.0 --startMP 204:232907 --initTime 2017-12-15T06:11:39 --startdatetime 2017-12-15T06:13:03 --delay 43 --endMP 204:238 --enddatetime 2017-12-15T06:51:11 --enforcementcount 0 &gt;&gt;%USERPROFILE%\Documents\GitHub\eaglep3-reporting\EC\2017-12-15-refined-times.txt</v>
      </c>
      <c r="AI27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{"issue":{"subject":"","project_id":79,"tracker_id":40,"status_id":1,"priority_id":2,"assigned_to_id":338,"start_date":"2017-12-15","description":"","custom_fields":[{"id":1,"name":"Subdivision","value":"EC"},{"id":4,"name":"Milepost","value":"0.0238"},{"id":17,"name":"Train ID","value":"114-15"},{"id":16,"name":"Locomotive ID","value":"4057"},{"id":130,"name":"Impact","value":""},{"id":150,"name":"Time of Event (Mountain Time)","value":"06:51:11"},{"id":151,"name":"Denver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180"/>
      <c r="AK27" s="188"/>
      <c r="AL27" s="188"/>
      <c r="AM27" s="193" t="str">
        <f t="shared" si="19"/>
        <v>start /low /b %USERPROFILE%\Documents\GitHub\eaglep3\Utilities\DownloadLogsFromS3.py --loco 4057 --day 2017-12-15</v>
      </c>
      <c r="AN27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13:51:11"},{"id":29,"name":"Sharepoint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87" t="str">
        <f t="shared" si="21"/>
        <v>https://d0f6bd738d7f1b3e5a7ca70fe4ff75f0.us-east-1.aws.found.io/app/kibana#/discover/Steve-Slow-Train-Analysis-(2080s-and-2083s)?_g=(refreshInterval:(display:Off,pause:!f,section:0,value:0),time:(from:'2017-12-15T05:11:39-0700',mode:absolute,to:'2017-12-15T07:51:11-0700'))&amp;_a=(columns:!('Message%20ID',Summary),filters:!(),index:'emp_*',interval:auto,query:(query_string:(analyze_wildcard:!t,query:'%22rtdc.l.rtdc.4057%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186" t="s">
        <v>706</v>
      </c>
      <c r="B28" s="182">
        <v>4044</v>
      </c>
      <c r="C28" s="184" t="s">
        <v>192</v>
      </c>
      <c r="D28" s="184" t="s">
        <v>492</v>
      </c>
      <c r="E28" s="183">
        <v>43084.225219907406</v>
      </c>
      <c r="F28" s="183">
        <v>43084.229375000003</v>
      </c>
      <c r="G28" s="182">
        <v>47</v>
      </c>
      <c r="H28" s="184" t="s">
        <v>902</v>
      </c>
      <c r="I28" s="183">
        <v>43084.255231481482</v>
      </c>
      <c r="J28" s="182">
        <v>0</v>
      </c>
      <c r="K28" s="190" t="str">
        <f t="shared" si="0"/>
        <v>4043/4044</v>
      </c>
      <c r="L28" s="196" t="str">
        <f>VLOOKUP(A28,'Trips&amp;Operators'!$C$1:$G$99911,5,FALSE)</f>
        <v>MAELZER KURT</v>
      </c>
      <c r="M28" s="181">
        <f t="shared" si="1"/>
        <v>2.5856481479422655E-2</v>
      </c>
      <c r="N28" s="182">
        <f t="shared" si="22"/>
        <v>37.233333330368623</v>
      </c>
      <c r="O28" s="182"/>
      <c r="P28" s="182"/>
      <c r="Q28" s="185"/>
      <c r="R28" s="197"/>
      <c r="S28" s="241">
        <f t="shared" si="23"/>
        <v>1</v>
      </c>
      <c r="T28" s="220" t="str">
        <f t="shared" si="2"/>
        <v>NorthBound</v>
      </c>
      <c r="U28" s="22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21" t="str">
        <f t="shared" si="3"/>
        <v>https://d0f6bd738d7f1b3e5a7ca70fe4ff75f0.us-east-1.aws.found.io/app/kibana#/discover/Steve-Slow-Train-Analysis-(2080s-and-2083s)?_g=(refreshInterval:(display:Off,pause:!f,section:0,value:0),time:(from:'2017-12-15T04:24:19-0700',mode:absolute,to:'2017-12-15T07:07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8" s="222" t="str">
        <f>IF(AA28&lt;VLOOKUP(AG28,Variables!$AC$3:$AD$8,2,FALSE),"Y","N")</f>
        <v>N</v>
      </c>
      <c r="X28" s="222">
        <f t="shared" si="4"/>
        <v>1</v>
      </c>
      <c r="Y28" s="222">
        <f t="shared" si="5"/>
        <v>4.8000000000000001E-2</v>
      </c>
      <c r="Z28" s="222">
        <f t="shared" si="6"/>
        <v>23.3308</v>
      </c>
      <c r="AA28" s="222">
        <f t="shared" si="7"/>
        <v>23.282800000000002</v>
      </c>
      <c r="AB28" s="231" t="e">
        <f>VLOOKUP(A28,Enforcements!$C$7:$K$9,8,0)</f>
        <v>#N/A</v>
      </c>
      <c r="AC28" s="231" t="e">
        <f>VLOOKUP(A28,Enforcements!$C$7:$E$9,3,0)</f>
        <v>#N/A</v>
      </c>
      <c r="AD28" s="232">
        <f t="shared" si="8"/>
        <v>115</v>
      </c>
      <c r="AE28" s="233" t="str">
        <f t="shared" si="9"/>
        <v>aws s3 cp s3://rtdc.mdm.uploadarchive.raw/RTDC4044/ "%USERPROFILE%\AppData\Local\Temp\OnboardLogs"\RTDC4044\2017-12-15 --exclude "*" --recursive --include "*20171215*" &amp; "%USERPROFILE%\Documents\GitHub\mrs-test-scripts\Headless Mode &amp; Sideloading\WalkAndUnGZ.bat" "%USERPROFILE%\AppData\Local\Temp\OnboardLogs"\RTDC4044\2017-12-15 &amp; aws s3 cp s3://rtdc.mdm.uploadarchive.raw/RTDC4044/ "%USERPROFILE%\AppData\Local\Temp\OnboardLogs"\RTDC4044\2017-12-16 --exclude "*" --recursive --include "*20171216*" &amp; "%USERPROFILE%\Documents\GitHub\mrs-test-scripts\Headless Mode &amp; Sideloading\WalkAndUnGZ.bat" "%USERPROFILE%\AppData\Local\Temp\OnboardLogs"\RTDC4044\2017-12-16</v>
      </c>
      <c r="AF28" s="234" t="str">
        <f t="shared" si="10"/>
        <v>"C:\Program Files (x86)\AstroGrep\AstroGrep.exe" /e /r /s /spath="%USERPROFILE%\AppData\Local\Temp\OnboardLogs" /stypes="app*4044*20171215*" /stext=" 13:.+((SYSTEM_STATE.+slice.+state.+changed )|(ment ac)|(multiple cpu faults)|(system.+state.+changed )|(\[timeout)|(PRM\|1\|D)|(kpr)|(kdp)|(train st.+moving)|(\|lc)|(penalty))"</v>
      </c>
      <c r="AG28" s="226" t="str">
        <f t="shared" si="11"/>
        <v>EC</v>
      </c>
      <c r="AH28" s="189" t="str">
        <f t="shared" si="17"/>
        <v>"%USERPROFILE%\Documents\GitHub\eaglep3\Utilities\RefineRTDCRunTimes.py" --tripid 115-15 --locoid 4044 --swversion DE.1.0.9.0 --startMP 204:480 --initTime 2017-12-15T05:24:19 --startdatetime 2017-12-15T05:30:18 --delay 47 --endMP 204:233308 --enddatetime 2017-12-15T06:07:32 --enforcementcount 0 &gt;&gt;%USERPROFILE%\Documents\GitHub\eaglep3-reporting\EC\2017-12-15-refined-times.txt</v>
      </c>
      <c r="AI28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{"issue":{"subject":"","project_id":79,"tracker_id":40,"status_id":1,"priority_id":2,"assigned_to_id":338,"start_date":"2017-12-15","description":"","custom_fields":[{"id":1,"name":"Subdivision","value":"EC"},{"id":4,"name":"Milepost","value":"23.3308"},{"id":17,"name":"Train ID","value":"115-15"},{"id":16,"name":"Locomotive ID","value":"4044"},{"id":130,"name":"Impact","value":""},{"id":150,"name":"Time of Event (Mountain Time)","value":"06:07:32"},{"id":151,"name":"Denver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180"/>
      <c r="AK28" s="188"/>
      <c r="AL28" s="188"/>
      <c r="AM28" s="193" t="str">
        <f t="shared" si="19"/>
        <v>start /low /b %USERPROFILE%\Documents\GitHub\eaglep3\Utilities\DownloadLogsFromS3.py --loco 4044 --day 2017-12-15</v>
      </c>
      <c r="AN28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13:07:32"},{"id":29,"name":"Sharepoint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87" t="str">
        <f t="shared" si="21"/>
        <v>https://d0f6bd738d7f1b3e5a7ca70fe4ff75f0.us-east-1.aws.found.io/app/kibana#/discover/Steve-Slow-Train-Analysis-(2080s-and-2083s)?_g=(refreshInterval:(display:Off,pause:!f,section:0,value:0),time:(from:'2017-12-15T04:24:19-0700',mode:absolute,to:'2017-12-15T07:07:32-0700'))&amp;_a=(columns:!('Message%20ID',Summary),filters:!(),index:'emp_*',interval:auto,query:(query_string:(analyze_wildcard:!t,query:'%22rtdc.l.rtdc.4044%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186" t="s">
        <v>718</v>
      </c>
      <c r="B29" s="182">
        <v>4043</v>
      </c>
      <c r="C29" s="184" t="s">
        <v>192</v>
      </c>
      <c r="D29" s="184" t="s">
        <v>903</v>
      </c>
      <c r="E29" s="183">
        <v>43084.263159722221</v>
      </c>
      <c r="F29" s="183">
        <v>43084.269062500003</v>
      </c>
      <c r="G29" s="182">
        <v>47</v>
      </c>
      <c r="H29" s="184" t="s">
        <v>904</v>
      </c>
      <c r="I29" s="183">
        <v>43084.294641203705</v>
      </c>
      <c r="J29" s="182">
        <v>0</v>
      </c>
      <c r="K29" s="190" t="str">
        <f t="shared" si="0"/>
        <v>4043/4044</v>
      </c>
      <c r="L29" s="196" t="str">
        <f>VLOOKUP(A29,'Trips&amp;Operators'!$C$1:$G$99911,5,FALSE)</f>
        <v>MAELZER KURT</v>
      </c>
      <c r="M29" s="181">
        <f t="shared" si="1"/>
        <v>2.5578703702194616E-2</v>
      </c>
      <c r="N29" s="182">
        <f t="shared" si="22"/>
        <v>36.833333331160247</v>
      </c>
      <c r="O29" s="182"/>
      <c r="P29" s="182"/>
      <c r="Q29" s="185"/>
      <c r="R29" s="197"/>
      <c r="S29" s="241">
        <f t="shared" si="23"/>
        <v>1</v>
      </c>
      <c r="T29" s="220" t="str">
        <f t="shared" si="2"/>
        <v>Southbound</v>
      </c>
      <c r="U29" s="22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21" t="str">
        <f t="shared" si="3"/>
        <v>https://d0f6bd738d7f1b3e5a7ca70fe4ff75f0.us-east-1.aws.found.io/app/kibana#/discover/Steve-Slow-Train-Analysis-(2080s-and-2083s)?_g=(refreshInterval:(display:Off,pause:!f,section:0,value:0),time:(from:'2017-12-15T05:18:57-0700',mode:absolute,to:'2017-12-15T08:04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9" s="222" t="str">
        <f>IF(AA29&lt;VLOOKUP(AG29,Variables!$AC$3:$AD$8,2,FALSE),"Y","N")</f>
        <v>N</v>
      </c>
      <c r="X29" s="222">
        <f t="shared" si="4"/>
        <v>1</v>
      </c>
      <c r="Y29" s="222">
        <f t="shared" si="5"/>
        <v>23.299399999999999</v>
      </c>
      <c r="Z29" s="222">
        <f t="shared" si="6"/>
        <v>1.8100000000000002E-2</v>
      </c>
      <c r="AA29" s="222">
        <f t="shared" si="7"/>
        <v>23.281299999999998</v>
      </c>
      <c r="AB29" s="231" t="e">
        <f>VLOOKUP(A29,Enforcements!$C$7:$K$9,8,0)</f>
        <v>#N/A</v>
      </c>
      <c r="AC29" s="231" t="e">
        <f>VLOOKUP(A29,Enforcements!$C$7:$E$9,3,0)</f>
        <v>#N/A</v>
      </c>
      <c r="AD29" s="232">
        <f t="shared" si="8"/>
        <v>116</v>
      </c>
      <c r="AE29" s="233" t="str">
        <f t="shared" si="9"/>
        <v>aws s3 cp s3://rtdc.mdm.uploadarchive.raw/RTDC4043/ "%USERPROFILE%\AppData\Local\Temp\OnboardLogs"\RTDC4043\2017-12-15 --exclude "*" --recursive --include "*20171215*" &amp; "%USERPROFILE%\Documents\GitHub\mrs-test-scripts\Headless Mode &amp; Sideloading\WalkAndUnGZ.bat" "%USERPROFILE%\AppData\Local\Temp\OnboardLogs"\RTDC4043\2017-12-15 &amp; aws s3 cp s3://rtdc.mdm.uploadarchive.raw/RTDC4043/ "%USERPROFILE%\AppData\Local\Temp\OnboardLogs"\RTDC4043\2017-12-16 --exclude "*" --recursive --include "*20171216*" &amp; "%USERPROFILE%\Documents\GitHub\mrs-test-scripts\Headless Mode &amp; Sideloading\WalkAndUnGZ.bat" "%USERPROFILE%\AppData\Local\Temp\OnboardLogs"\RTDC4043\2017-12-16</v>
      </c>
      <c r="AF29" s="234" t="str">
        <f t="shared" si="10"/>
        <v>"C:\Program Files (x86)\AstroGrep\AstroGrep.exe" /e /r /s /spath="%USERPROFILE%\AppData\Local\Temp\OnboardLogs" /stypes="app*4043*20171215*" /stext=" 14:.+((SYSTEM_STATE.+slice.+state.+changed )|(ment ac)|(multiple cpu faults)|(system.+state.+changed )|(\[timeout)|(PRM\|1\|D)|(kpr)|(kdp)|(train st.+moving)|(\|lc)|(penalty))"</v>
      </c>
      <c r="AG29" s="226" t="str">
        <f t="shared" si="11"/>
        <v>EC</v>
      </c>
      <c r="AH29" s="189" t="str">
        <f t="shared" si="17"/>
        <v>"%USERPROFILE%\Documents\GitHub\eaglep3\Utilities\RefineRTDCRunTimes.py" --tripid 116-15 --locoid 4043 --swversion DE.1.0.9.0 --startMP 204:232994 --initTime 2017-12-15T06:18:57 --startdatetime 2017-12-15T06:27:27 --delay 47 --endMP 204:181 --enddatetime 2017-12-15T07:04:17 --enforcementcount 0 &gt;&gt;%USERPROFILE%\Documents\GitHub\eaglep3-reporting\EC\2017-12-15-refined-times.txt</v>
      </c>
      <c r="AI29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{"issue":{"subject":"","project_id":79,"tracker_id":40,"status_id":1,"priority_id":2,"assigned_to_id":338,"start_date":"2017-12-15","description":"","custom_fields":[{"id":1,"name":"Subdivision","value":"EC"},{"id":4,"name":"Milepost","value":"0.0181"},{"id":17,"name":"Train ID","value":"116-15"},{"id":16,"name":"Locomotive ID","value":"4043"},{"id":130,"name":"Impact","value":""},{"id":150,"name":"Time of Event (Mountain Time)","value":"07:04:17"},{"id":151,"name":"Denver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180"/>
      <c r="AK29" s="188"/>
      <c r="AL29" s="188"/>
      <c r="AM29" s="193" t="str">
        <f t="shared" si="19"/>
        <v>start /low /b %USERPROFILE%\Documents\GitHub\eaglep3\Utilities\DownloadLogsFromS3.py --loco 4043 --day 2017-12-15</v>
      </c>
      <c r="AN29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14:04:17"},{"id":29,"name":"Sharepoint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87" t="str">
        <f t="shared" si="21"/>
        <v>https://d0f6bd738d7f1b3e5a7ca70fe4ff75f0.us-east-1.aws.found.io/app/kibana#/discover/Steve-Slow-Train-Analysis-(2080s-and-2083s)?_g=(refreshInterval:(display:Off,pause:!f,section:0,value:0),time:(from:'2017-12-15T05:18:57-0700',mode:absolute,to:'2017-12-15T08:04:17-0700'))&amp;_a=(columns:!('Message%20ID',Summary),filters:!(),index:'emp_*',interval:auto,query:(query_string:(analyze_wildcard:!t,query:'%22rtdc.l.rtdc.4043%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186" t="s">
        <v>709</v>
      </c>
      <c r="B30" s="182">
        <v>4036</v>
      </c>
      <c r="C30" s="184" t="s">
        <v>192</v>
      </c>
      <c r="D30" s="184" t="s">
        <v>905</v>
      </c>
      <c r="E30" s="183">
        <v>43084.236446759256</v>
      </c>
      <c r="F30" s="183">
        <v>43084.239745370367</v>
      </c>
      <c r="G30" s="182">
        <v>54</v>
      </c>
      <c r="H30" s="184" t="s">
        <v>906</v>
      </c>
      <c r="I30" s="183">
        <v>43084.263865740744</v>
      </c>
      <c r="J30" s="182">
        <v>0</v>
      </c>
      <c r="K30" s="190" t="str">
        <f t="shared" si="0"/>
        <v>4035/4036</v>
      </c>
      <c r="L30" s="196" t="str">
        <f>VLOOKUP(A30,'Trips&amp;Operators'!$C$1:$G$99911,5,FALSE)</f>
        <v>YANAI IAN</v>
      </c>
      <c r="M30" s="181">
        <f t="shared" si="1"/>
        <v>2.4120370377204381E-2</v>
      </c>
      <c r="N30" s="182">
        <f t="shared" si="22"/>
        <v>34.733333343174309</v>
      </c>
      <c r="O30" s="182"/>
      <c r="P30" s="182"/>
      <c r="Q30" s="185"/>
      <c r="R30" s="197"/>
      <c r="S30" s="241">
        <f t="shared" si="23"/>
        <v>1</v>
      </c>
      <c r="T30" s="220" t="str">
        <f t="shared" si="2"/>
        <v>NorthBound</v>
      </c>
      <c r="U30" s="22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21" t="str">
        <f t="shared" si="3"/>
        <v>https://d0f6bd738d7f1b3e5a7ca70fe4ff75f0.us-east-1.aws.found.io/app/kibana#/discover/Steve-Slow-Train-Analysis-(2080s-and-2083s)?_g=(refreshInterval:(display:Off,pause:!f,section:0,value:0),time:(from:'2017-12-15T04:40:29-0700',mode:absolute,to:'2017-12-15T07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0" s="222" t="str">
        <f>IF(AA30&lt;VLOOKUP(AG30,Variables!$AC$3:$AD$8,2,FALSE),"Y","N")</f>
        <v>N</v>
      </c>
      <c r="X30" s="222">
        <f t="shared" si="4"/>
        <v>1</v>
      </c>
      <c r="Y30" s="222">
        <f t="shared" si="5"/>
        <v>4.3999999999999997E-2</v>
      </c>
      <c r="Z30" s="222">
        <f t="shared" si="6"/>
        <v>23.3324</v>
      </c>
      <c r="AA30" s="222">
        <f t="shared" si="7"/>
        <v>23.288399999999999</v>
      </c>
      <c r="AB30" s="231" t="e">
        <f>VLOOKUP(A30,Enforcements!$C$7:$K$9,8,0)</f>
        <v>#N/A</v>
      </c>
      <c r="AC30" s="231" t="e">
        <f>VLOOKUP(A30,Enforcements!$C$7:$E$9,3,0)</f>
        <v>#N/A</v>
      </c>
      <c r="AD30" s="232">
        <f t="shared" si="8"/>
        <v>117</v>
      </c>
      <c r="AE30" s="233" t="str">
        <f t="shared" si="9"/>
        <v>aws s3 cp s3://rtdc.mdm.uploadarchive.raw/RTDC4036/ "%USERPROFILE%\AppData\Local\Temp\OnboardLogs"\RTDC4036\2017-12-15 --exclude "*" --recursive --include "*20171215*" &amp; "%USERPROFILE%\Documents\GitHub\mrs-test-scripts\Headless Mode &amp; Sideloading\WalkAndUnGZ.bat" "%USERPROFILE%\AppData\Local\Temp\OnboardLogs"\RTDC4036\2017-12-15 &amp; aws s3 cp s3://rtdc.mdm.uploadarchive.raw/RTDC4036/ "%USERPROFILE%\AppData\Local\Temp\OnboardLogs"\RTDC4036\2017-12-16 --exclude "*" --recursive --include "*20171216*" &amp; "%USERPROFILE%\Documents\GitHub\mrs-test-scripts\Headless Mode &amp; Sideloading\WalkAndUnGZ.bat" "%USERPROFILE%\AppData\Local\Temp\OnboardLogs"\RTDC4036\2017-12-16</v>
      </c>
      <c r="AF30" s="234" t="str">
        <f t="shared" si="10"/>
        <v>"C:\Program Files (x86)\AstroGrep\AstroGrep.exe" /e /r /s /spath="%USERPROFILE%\AppData\Local\Temp\OnboardLogs" /stypes="app*4036*20171215*" /stext=" 13:.+((SYSTEM_STATE.+slice.+state.+changed )|(ment ac)|(multiple cpu faults)|(system.+state.+changed )|(\[timeout)|(PRM\|1\|D)|(kpr)|(kdp)|(train st.+moving)|(\|lc)|(penalty))"</v>
      </c>
      <c r="AG30" s="226" t="str">
        <f t="shared" si="11"/>
        <v>EC</v>
      </c>
      <c r="AH30" s="189" t="str">
        <f t="shared" si="17"/>
        <v>"%USERPROFILE%\Documents\GitHub\eaglep3\Utilities\RefineRTDCRunTimes.py" --tripid 117-15 --locoid 4036 --swversion DE.1.0.9.0 --startMP 204:440 --initTime 2017-12-15T05:40:29 --startdatetime 2017-12-15T05:45:14 --delay 54 --endMP 204:233324 --enddatetime 2017-12-15T06:19:58 --enforcementcount 0 &gt;&gt;%USERPROFILE%\Documents\GitHub\eaglep3-reporting\EC\2017-12-15-refined-times.txt</v>
      </c>
      <c r="AI30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{"issue":{"subject":"","project_id":79,"tracker_id":40,"status_id":1,"priority_id":2,"assigned_to_id":338,"start_date":"2017-12-15","description":"","custom_fields":[{"id":1,"name":"Subdivision","value":"EC"},{"id":4,"name":"Milepost","value":"23.3324"},{"id":17,"name":"Train ID","value":"117-15"},{"id":16,"name":"Locomotive ID","value":"4036"},{"id":130,"name":"Impact","value":""},{"id":150,"name":"Time of Event (Mountain Time)","value":"06:19:58"},{"id":151,"name":"Denver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180"/>
      <c r="AK30" s="188"/>
      <c r="AL30" s="188"/>
      <c r="AM30" s="193" t="str">
        <f t="shared" si="19"/>
        <v>start /low /b %USERPROFILE%\Documents\GitHub\eaglep3\Utilities\DownloadLogsFromS3.py --loco 4036 --day 2017-12-15</v>
      </c>
      <c r="AN30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13:19:58"},{"id":29,"name":"Sharepoint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87" t="str">
        <f t="shared" si="21"/>
        <v>https://d0f6bd738d7f1b3e5a7ca70fe4ff75f0.us-east-1.aws.found.io/app/kibana#/discover/Steve-Slow-Train-Analysis-(2080s-and-2083s)?_g=(refreshInterval:(display:Off,pause:!f,section:0,value:0),time:(from:'2017-12-15T04:40:29-0700',mode:absolute,to:'2017-12-15T07:19:58-0700'))&amp;_a=(columns:!('Message%20ID',Summary),filters:!(),index:'emp_*',interval:auto,query:(query_string:(analyze_wildcard:!t,query:'%22rtdc.l.rtdc.4036%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186" t="s">
        <v>719</v>
      </c>
      <c r="B31" s="182">
        <v>4035</v>
      </c>
      <c r="C31" s="184" t="s">
        <v>192</v>
      </c>
      <c r="D31" s="184" t="s">
        <v>907</v>
      </c>
      <c r="E31" s="183">
        <v>43084.265057870369</v>
      </c>
      <c r="F31" s="183">
        <v>43084.279328703706</v>
      </c>
      <c r="G31" s="182">
        <v>73</v>
      </c>
      <c r="H31" s="184" t="s">
        <v>602</v>
      </c>
      <c r="I31" s="183">
        <v>43084.304942129631</v>
      </c>
      <c r="J31" s="182">
        <v>0</v>
      </c>
      <c r="K31" s="190" t="str">
        <f t="shared" si="0"/>
        <v>4035/4036</v>
      </c>
      <c r="L31" s="196" t="str">
        <f>VLOOKUP(A31,'Trips&amp;Operators'!$C$1:$G$99911,5,FALSE)</f>
        <v>YANAI IAN</v>
      </c>
      <c r="M31" s="181">
        <f t="shared" si="1"/>
        <v>2.5613425925257616E-2</v>
      </c>
      <c r="N31" s="182">
        <f t="shared" si="22"/>
        <v>36.883333332370967</v>
      </c>
      <c r="O31" s="182"/>
      <c r="P31" s="182"/>
      <c r="Q31" s="185"/>
      <c r="R31" s="197"/>
      <c r="S31" s="241">
        <f t="shared" si="23"/>
        <v>1</v>
      </c>
      <c r="T31" s="220" t="str">
        <f t="shared" si="2"/>
        <v>Southbound</v>
      </c>
      <c r="U31" s="22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21" t="str">
        <f t="shared" si="3"/>
        <v>https://d0f6bd738d7f1b3e5a7ca70fe4ff75f0.us-east-1.aws.found.io/app/kibana#/discover/Steve-Slow-Train-Analysis-(2080s-and-2083s)?_g=(refreshInterval:(display:Off,pause:!f,section:0,value:0),time:(from:'2017-12-15T05:21:41-0700',mode:absolute,to:'2017-12-15T08:19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1" s="222" t="str">
        <f>IF(AA31&lt;VLOOKUP(AG31,Variables!$AC$3:$AD$8,2,FALSE),"Y","N")</f>
        <v>N</v>
      </c>
      <c r="X31" s="222">
        <f t="shared" si="4"/>
        <v>1</v>
      </c>
      <c r="Y31" s="222">
        <f t="shared" si="5"/>
        <v>23.3003</v>
      </c>
      <c r="Z31" s="222">
        <f t="shared" si="6"/>
        <v>1.9599999999999999E-2</v>
      </c>
      <c r="AA31" s="222">
        <f t="shared" si="7"/>
        <v>23.2807</v>
      </c>
      <c r="AB31" s="231" t="e">
        <f>VLOOKUP(A31,Enforcements!$C$7:$K$9,8,0)</f>
        <v>#N/A</v>
      </c>
      <c r="AC31" s="231" t="e">
        <f>VLOOKUP(A31,Enforcements!$C$7:$E$9,3,0)</f>
        <v>#N/A</v>
      </c>
      <c r="AD31" s="232">
        <f t="shared" si="8"/>
        <v>118</v>
      </c>
      <c r="AE31" s="233" t="str">
        <f t="shared" si="9"/>
        <v>aws s3 cp s3://rtdc.mdm.uploadarchive.raw/RTDC4035/ "%USERPROFILE%\AppData\Local\Temp\OnboardLogs"\RTDC4035\2017-12-15 --exclude "*" --recursive --include "*20171215*" &amp; "%USERPROFILE%\Documents\GitHub\mrs-test-scripts\Headless Mode &amp; Sideloading\WalkAndUnGZ.bat" "%USERPROFILE%\AppData\Local\Temp\OnboardLogs"\RTDC4035\2017-12-15 &amp; aws s3 cp s3://rtdc.mdm.uploadarchive.raw/RTDC4035/ "%USERPROFILE%\AppData\Local\Temp\OnboardLogs"\RTDC4035\2017-12-16 --exclude "*" --recursive --include "*20171216*" &amp; "%USERPROFILE%\Documents\GitHub\mrs-test-scripts\Headless Mode &amp; Sideloading\WalkAndUnGZ.bat" "%USERPROFILE%\AppData\Local\Temp\OnboardLogs"\RTDC4035\2017-12-16</v>
      </c>
      <c r="AF31" s="234" t="str">
        <f t="shared" si="10"/>
        <v>"C:\Program Files (x86)\AstroGrep\AstroGrep.exe" /e /r /s /spath="%USERPROFILE%\AppData\Local\Temp\OnboardLogs" /stypes="app*4035*20171215*" /stext=" 14:.+((SYSTEM_STATE.+slice.+state.+changed )|(ment ac)|(multiple cpu faults)|(system.+state.+changed )|(\[timeout)|(PRM\|1\|D)|(kpr)|(kdp)|(train st.+moving)|(\|lc)|(penalty))"</v>
      </c>
      <c r="AG31" s="226" t="str">
        <f t="shared" si="11"/>
        <v>EC</v>
      </c>
      <c r="AH31" s="189" t="str">
        <f t="shared" si="17"/>
        <v>"%USERPROFILE%\Documents\GitHub\eaglep3\Utilities\RefineRTDCRunTimes.py" --tripid 118-15 --locoid 4035 --swversion DE.1.0.9.0 --startMP 204:233003 --initTime 2017-12-15T06:21:41 --startdatetime 2017-12-15T06:42:14 --delay 73 --endMP 204:196 --enddatetime 2017-12-15T07:19:07 --enforcementcount 0 &gt;&gt;%USERPROFILE%\Documents\GitHub\eaglep3-reporting\EC\2017-12-15-refined-times.txt</v>
      </c>
      <c r="AI31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{"issue":{"subject":"","project_id":79,"tracker_id":40,"status_id":1,"priority_id":2,"assigned_to_id":338,"start_date":"2017-12-15","description":"","custom_fields":[{"id":1,"name":"Subdivision","value":"EC"},{"id":4,"name":"Milepost","value":"0.0196"},{"id":17,"name":"Train ID","value":"118-15"},{"id":16,"name":"Locomotive ID","value":"4035"},{"id":130,"name":"Impact","value":""},{"id":150,"name":"Time of Event (Mountain Time)","value":"07:19:07"},{"id":151,"name":"Denver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180"/>
      <c r="AK31" s="188"/>
      <c r="AL31" s="188"/>
      <c r="AM31" s="193" t="str">
        <f t="shared" si="19"/>
        <v>start /low /b %USERPROFILE%\Documents\GitHub\eaglep3\Utilities\DownloadLogsFromS3.py --loco 4035 --day 2017-12-15</v>
      </c>
      <c r="AN31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14:19:07"},{"id":29,"name":"Sharepoint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87" t="str">
        <f t="shared" si="21"/>
        <v>https://d0f6bd738d7f1b3e5a7ca70fe4ff75f0.us-east-1.aws.found.io/app/kibana#/discover/Steve-Slow-Train-Analysis-(2080s-and-2083s)?_g=(refreshInterval:(display:Off,pause:!f,section:0,value:0),time:(from:'2017-12-15T05:21:41-0700',mode:absolute,to:'2017-12-15T08:19:07-0700'))&amp;_a=(columns:!('Message%20ID',Summary),filters:!(),index:'emp_*',interval:auto,query:(query_string:(analyze_wildcard:!t,query:'%22rtdc.l.rtdc.4035%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186" t="s">
        <v>713</v>
      </c>
      <c r="B32" s="182">
        <v>4032</v>
      </c>
      <c r="C32" s="184" t="s">
        <v>192</v>
      </c>
      <c r="D32" s="184" t="s">
        <v>560</v>
      </c>
      <c r="E32" s="183">
        <v>43084.244189814817</v>
      </c>
      <c r="F32" s="183">
        <v>43084.250902777778</v>
      </c>
      <c r="G32" s="182">
        <v>66</v>
      </c>
      <c r="H32" s="184" t="s">
        <v>908</v>
      </c>
      <c r="I32" s="183">
        <v>43084.27480324074</v>
      </c>
      <c r="J32" s="182">
        <v>0</v>
      </c>
      <c r="K32" s="190" t="str">
        <f t="shared" si="0"/>
        <v>4031/4032</v>
      </c>
      <c r="L32" s="196" t="str">
        <f>VLOOKUP(A32,'Trips&amp;Operators'!$C$1:$G$99911,5,FALSE)</f>
        <v>PAGE MARCUS</v>
      </c>
      <c r="M32" s="181">
        <f t="shared" si="1"/>
        <v>2.3900462962046731E-2</v>
      </c>
      <c r="N32" s="182">
        <f t="shared" si="22"/>
        <v>34.416666665347293</v>
      </c>
      <c r="O32" s="182"/>
      <c r="P32" s="182"/>
      <c r="Q32" s="185"/>
      <c r="R32" s="197"/>
      <c r="S32" s="241">
        <f t="shared" si="23"/>
        <v>1</v>
      </c>
      <c r="T32" s="220" t="str">
        <f t="shared" si="2"/>
        <v>NorthBound</v>
      </c>
      <c r="U32" s="22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21" t="str">
        <f t="shared" si="3"/>
        <v>https://d0f6bd738d7f1b3e5a7ca70fe4ff75f0.us-east-1.aws.found.io/app/kibana#/discover/Steve-Slow-Train-Analysis-(2080s-and-2083s)?_g=(refreshInterval:(display:Off,pause:!f,section:0,value:0),time:(from:'2017-12-15T04:51:38-0700',mode:absolute,to:'2017-12-15T07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2" s="222" t="str">
        <f>IF(AA32&lt;VLOOKUP(AG32,Variables!$AC$3:$AD$8,2,FALSE),"Y","N")</f>
        <v>N</v>
      </c>
      <c r="X32" s="222">
        <f t="shared" si="4"/>
        <v>1</v>
      </c>
      <c r="Y32" s="222">
        <f t="shared" si="5"/>
        <v>4.9799999999999997E-2</v>
      </c>
      <c r="Z32" s="222">
        <f t="shared" si="6"/>
        <v>23.331900000000001</v>
      </c>
      <c r="AA32" s="222">
        <f t="shared" si="7"/>
        <v>23.2821</v>
      </c>
      <c r="AB32" s="231" t="e">
        <f>VLOOKUP(A32,Enforcements!$C$7:$K$9,8,0)</f>
        <v>#N/A</v>
      </c>
      <c r="AC32" s="231" t="e">
        <f>VLOOKUP(A32,Enforcements!$C$7:$E$9,3,0)</f>
        <v>#N/A</v>
      </c>
      <c r="AD32" s="232">
        <f t="shared" si="8"/>
        <v>119</v>
      </c>
      <c r="AE32" s="233" t="str">
        <f t="shared" si="9"/>
        <v>aws s3 cp s3://rtdc.mdm.uploadarchive.raw/RTDC4032/ "%USERPROFILE%\AppData\Local\Temp\OnboardLogs"\RTDC4032\2017-12-15 --exclude "*" --recursive --include "*20171215*" &amp; "%USERPROFILE%\Documents\GitHub\mrs-test-scripts\Headless Mode &amp; Sideloading\WalkAndUnGZ.bat" "%USERPROFILE%\AppData\Local\Temp\OnboardLogs"\RTDC4032\2017-12-15 &amp; aws s3 cp s3://rtdc.mdm.uploadarchive.raw/RTDC4032/ "%USERPROFILE%\AppData\Local\Temp\OnboardLogs"\RTDC4032\2017-12-16 --exclude "*" --recursive --include "*20171216*" &amp; "%USERPROFILE%\Documents\GitHub\mrs-test-scripts\Headless Mode &amp; Sideloading\WalkAndUnGZ.bat" "%USERPROFILE%\AppData\Local\Temp\OnboardLogs"\RTDC4032\2017-12-16</v>
      </c>
      <c r="AF32" s="234" t="str">
        <f t="shared" si="10"/>
        <v>"C:\Program Files (x86)\AstroGrep\AstroGrep.exe" /e /r /s /spath="%USERPROFILE%\AppData\Local\Temp\OnboardLogs" /stypes="app*4032*20171215*" /stext=" 13:.+((SYSTEM_STATE.+slice.+state.+changed )|(ment ac)|(multiple cpu faults)|(system.+state.+changed )|(\[timeout)|(PRM\|1\|D)|(kpr)|(kdp)|(train st.+moving)|(\|lc)|(penalty))"</v>
      </c>
      <c r="AG32" s="226" t="str">
        <f t="shared" si="11"/>
        <v>EC</v>
      </c>
      <c r="AH32" s="189" t="str">
        <f t="shared" si="17"/>
        <v>"%USERPROFILE%\Documents\GitHub\eaglep3\Utilities\RefineRTDCRunTimes.py" --tripid 119-15 --locoid 4032 --swversion DE.1.0.9.0 --startMP 204:498 --initTime 2017-12-15T05:51:38 --startdatetime 2017-12-15T06:01:18 --delay 66 --endMP 204:233319 --enddatetime 2017-12-15T06:35:43 --enforcementcount 0 &gt;&gt;%USERPROFILE%\Documents\GitHub\eaglep3-reporting\EC\2017-12-15-refined-times.txt</v>
      </c>
      <c r="AI32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{"issue":{"subject":"","project_id":79,"tracker_id":40,"status_id":1,"priority_id":2,"assigned_to_id":338,"start_date":"2017-12-15","description":"","custom_fields":[{"id":1,"name":"Subdivision","value":"EC"},{"id":4,"name":"Milepost","value":"23.3319"},{"id":17,"name":"Train ID","value":"119-15"},{"id":16,"name":"Locomotive ID","value":"4032"},{"id":130,"name":"Impact","value":""},{"id":150,"name":"Time of Event (Mountain Time)","value":"06:35:43"},{"id":151,"name":"Denver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180"/>
      <c r="AK32" s="188"/>
      <c r="AL32" s="188"/>
      <c r="AM32" s="193" t="str">
        <f t="shared" si="19"/>
        <v>start /low /b %USERPROFILE%\Documents\GitHub\eaglep3\Utilities\DownloadLogsFromS3.py --loco 4032 --day 2017-12-15</v>
      </c>
      <c r="AN32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13:35:43"},{"id":29,"name":"Sharepoint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87" t="str">
        <f t="shared" si="21"/>
        <v>https://d0f6bd738d7f1b3e5a7ca70fe4ff75f0.us-east-1.aws.found.io/app/kibana#/discover/Steve-Slow-Train-Analysis-(2080s-and-2083s)?_g=(refreshInterval:(display:Off,pause:!f,section:0,value:0),time:(from:'2017-12-15T04:51:38-0700',mode:absolute,to:'2017-12-15T07:35:43-0700'))&amp;_a=(columns:!('Message%20ID',Summary),filters:!(),index:'emp_*',interval:auto,query:(query_string:(analyze_wildcard:!t,query:'%22rtdc.l.rtdc.4032%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186" t="s">
        <v>723</v>
      </c>
      <c r="B33" s="182">
        <v>4031</v>
      </c>
      <c r="C33" s="184" t="s">
        <v>192</v>
      </c>
      <c r="D33" s="184" t="s">
        <v>502</v>
      </c>
      <c r="E33" s="183">
        <v>43084.275925925926</v>
      </c>
      <c r="F33" s="183">
        <v>43084.289837962962</v>
      </c>
      <c r="G33" s="182">
        <v>49</v>
      </c>
      <c r="H33" s="184" t="s">
        <v>909</v>
      </c>
      <c r="I33" s="183">
        <v>43084.315335648149</v>
      </c>
      <c r="J33" s="182">
        <v>0</v>
      </c>
      <c r="K33" s="190" t="str">
        <f t="shared" si="0"/>
        <v>4031/4032</v>
      </c>
      <c r="L33" s="196" t="str">
        <f>VLOOKUP(A33,'Trips&amp;Operators'!$C$1:$G$99911,5,FALSE)</f>
        <v>PAGE MARCUS</v>
      </c>
      <c r="M33" s="181">
        <f t="shared" si="1"/>
        <v>2.5497685186564922E-2</v>
      </c>
      <c r="N33" s="182">
        <f t="shared" si="22"/>
        <v>36.716666668653488</v>
      </c>
      <c r="O33" s="182"/>
      <c r="P33" s="182"/>
      <c r="Q33" s="185"/>
      <c r="R33" s="197"/>
      <c r="S33" s="241">
        <f t="shared" si="23"/>
        <v>1</v>
      </c>
      <c r="T33" s="220" t="str">
        <f t="shared" si="2"/>
        <v>Southbound</v>
      </c>
      <c r="U33" s="22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21" t="str">
        <f t="shared" si="3"/>
        <v>https://d0f6bd738d7f1b3e5a7ca70fe4ff75f0.us-east-1.aws.found.io/app/kibana#/discover/Steve-Slow-Train-Analysis-(2080s-and-2083s)?_g=(refreshInterval:(display:Off,pause:!f,section:0,value:0),time:(from:'2017-12-15T05:37:20-0700',mode:absolute,to:'2017-12-15T08:34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3" s="222" t="str">
        <f>IF(AA33&lt;VLOOKUP(AG33,Variables!$AC$3:$AD$8,2,FALSE),"Y","N")</f>
        <v>N</v>
      </c>
      <c r="X33" s="222">
        <f t="shared" si="4"/>
        <v>1</v>
      </c>
      <c r="Y33" s="222">
        <f t="shared" si="5"/>
        <v>23.3002</v>
      </c>
      <c r="Z33" s="222">
        <f t="shared" si="6"/>
        <v>1.9400000000000001E-2</v>
      </c>
      <c r="AA33" s="222">
        <f t="shared" si="7"/>
        <v>23.280799999999999</v>
      </c>
      <c r="AB33" s="231" t="e">
        <f>VLOOKUP(A33,Enforcements!$C$7:$K$9,8,0)</f>
        <v>#N/A</v>
      </c>
      <c r="AC33" s="231" t="e">
        <f>VLOOKUP(A33,Enforcements!$C$7:$E$9,3,0)</f>
        <v>#N/A</v>
      </c>
      <c r="AD33" s="232">
        <f t="shared" si="8"/>
        <v>120</v>
      </c>
      <c r="AE33" s="233" t="str">
        <f t="shared" si="9"/>
        <v>aws s3 cp s3://rtdc.mdm.uploadarchive.raw/RTDC4031/ "%USERPROFILE%\AppData\Local\Temp\OnboardLogs"\RTDC4031\2017-12-15 --exclude "*" --recursive --include "*20171215*" &amp; "%USERPROFILE%\Documents\GitHub\mrs-test-scripts\Headless Mode &amp; Sideloading\WalkAndUnGZ.bat" "%USERPROFILE%\AppData\Local\Temp\OnboardLogs"\RTDC4031\2017-12-15 &amp; aws s3 cp s3://rtdc.mdm.uploadarchive.raw/RTDC4031/ "%USERPROFILE%\AppData\Local\Temp\OnboardLogs"\RTDC4031\2017-12-16 --exclude "*" --recursive --include "*20171216*" &amp; "%USERPROFILE%\Documents\GitHub\mrs-test-scripts\Headless Mode &amp; Sideloading\WalkAndUnGZ.bat" "%USERPROFILE%\AppData\Local\Temp\OnboardLogs"\RTDC4031\2017-12-16</v>
      </c>
      <c r="AF33" s="234" t="str">
        <f t="shared" si="10"/>
        <v>"C:\Program Files (x86)\AstroGrep\AstroGrep.exe" /e /r /s /spath="%USERPROFILE%\AppData\Local\Temp\OnboardLogs" /stypes="app*4031*20171215*" /stext=" 14:.+((SYSTEM_STATE.+slice.+state.+changed )|(ment ac)|(multiple cpu faults)|(system.+state.+changed )|(\[timeout)|(PRM\|1\|D)|(kpr)|(kdp)|(train st.+moving)|(\|lc)|(penalty))"</v>
      </c>
      <c r="AG33" s="226" t="str">
        <f t="shared" si="11"/>
        <v>EC</v>
      </c>
      <c r="AH33" s="189" t="str">
        <f t="shared" si="17"/>
        <v>"%USERPROFILE%\Documents\GitHub\eaglep3\Utilities\RefineRTDCRunTimes.py" --tripid 120-15 --locoid 4031 --swversion DE.1.0.9.0 --startMP 204:233002 --initTime 2017-12-15T06:37:20 --startdatetime 2017-12-15T06:57:22 --delay 49 --endMP 204:194 --enddatetime 2017-12-15T07:34:05 --enforcementcount 0 &gt;&gt;%USERPROFILE%\Documents\GitHub\eaglep3-reporting\EC\2017-12-15-refined-times.txt</v>
      </c>
      <c r="AI33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{"issue":{"subject":"","project_id":79,"tracker_id":40,"status_id":1,"priority_id":2,"assigned_to_id":338,"start_date":"2017-12-15","description":"","custom_fields":[{"id":1,"name":"Subdivision","value":"EC"},{"id":4,"name":"Milepost","value":"0.0194"},{"id":17,"name":"Train ID","value":"120-15"},{"id":16,"name":"Locomotive ID","value":"4031"},{"id":130,"name":"Impact","value":""},{"id":150,"name":"Time of Event (Mountain Time)","value":"07:34:05"},{"id":151,"name":"Denver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180"/>
      <c r="AK33" s="188"/>
      <c r="AL33" s="188"/>
      <c r="AM33" s="193" t="str">
        <f t="shared" si="19"/>
        <v>start /low /b %USERPROFILE%\Documents\GitHub\eaglep3\Utilities\DownloadLogsFromS3.py --loco 4031 --day 2017-12-15</v>
      </c>
      <c r="AN33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14:34:05"},{"id":29,"name":"Sharepoint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87" t="str">
        <f t="shared" si="21"/>
        <v>https://d0f6bd738d7f1b3e5a7ca70fe4ff75f0.us-east-1.aws.found.io/app/kibana#/discover/Steve-Slow-Train-Analysis-(2080s-and-2083s)?_g=(refreshInterval:(display:Off,pause:!f,section:0,value:0),time:(from:'2017-12-15T05:37:20-0700',mode:absolute,to:'2017-12-15T08:34:05-0700'))&amp;_a=(columns:!('Message%20ID',Summary),filters:!(),index:'emp_*',interval:auto,query:(query_string:(analyze_wildcard:!t,query:'%22rtdc.l.rtdc.4031%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186" t="s">
        <v>716</v>
      </c>
      <c r="B34" s="182">
        <v>4062</v>
      </c>
      <c r="C34" s="184" t="s">
        <v>192</v>
      </c>
      <c r="D34" s="184" t="s">
        <v>888</v>
      </c>
      <c r="E34" s="183">
        <v>43084.255196759259</v>
      </c>
      <c r="F34" s="183">
        <v>43084.260601851849</v>
      </c>
      <c r="G34" s="182">
        <v>56</v>
      </c>
      <c r="H34" s="184" t="s">
        <v>910</v>
      </c>
      <c r="I34" s="183">
        <v>43084.284236111111</v>
      </c>
      <c r="J34" s="182">
        <v>0</v>
      </c>
      <c r="K34" s="190" t="str">
        <f t="shared" si="0"/>
        <v>4061/4062</v>
      </c>
      <c r="L34" s="196" t="str">
        <f>VLOOKUP(A34,'Trips&amp;Operators'!$C$1:$G$99911,5,FALSE)</f>
        <v>GEBRETEKLE DAGNEW</v>
      </c>
      <c r="M34" s="181">
        <f t="shared" si="1"/>
        <v>2.3634259261598345E-2</v>
      </c>
      <c r="N34" s="182">
        <f t="shared" si="22"/>
        <v>34.033333336701617</v>
      </c>
      <c r="O34" s="182"/>
      <c r="P34" s="182"/>
      <c r="Q34" s="185"/>
      <c r="R34" s="197"/>
      <c r="S34" s="241">
        <f t="shared" si="23"/>
        <v>1</v>
      </c>
      <c r="T34" s="220" t="str">
        <f t="shared" si="2"/>
        <v>NorthBound</v>
      </c>
      <c r="U34" s="22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21" t="str">
        <f t="shared" si="3"/>
        <v>https://d0f6bd738d7f1b3e5a7ca70fe4ff75f0.us-east-1.aws.found.io/app/kibana#/discover/Steve-Slow-Train-Analysis-(2080s-and-2083s)?_g=(refreshInterval:(display:Off,pause:!f,section:0,value:0),time:(from:'2017-12-15T05:07:29-0700',mode:absolute,to:'2017-12-15T07:49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4" s="222" t="str">
        <f>IF(AA34&lt;VLOOKUP(AG34,Variables!$AC$3:$AD$8,2,FALSE),"Y","N")</f>
        <v>N</v>
      </c>
      <c r="X34" s="222">
        <f t="shared" si="4"/>
        <v>1</v>
      </c>
      <c r="Y34" s="222">
        <f t="shared" si="5"/>
        <v>5.0799999999999998E-2</v>
      </c>
      <c r="Z34" s="222">
        <f t="shared" si="6"/>
        <v>23.331099999999999</v>
      </c>
      <c r="AA34" s="222">
        <f t="shared" si="7"/>
        <v>23.2803</v>
      </c>
      <c r="AB34" s="231" t="e">
        <f>VLOOKUP(A34,Enforcements!$C$7:$K$9,8,0)</f>
        <v>#N/A</v>
      </c>
      <c r="AC34" s="231" t="e">
        <f>VLOOKUP(A34,Enforcements!$C$7:$E$9,3,0)</f>
        <v>#N/A</v>
      </c>
      <c r="AD34" s="232">
        <f t="shared" si="8"/>
        <v>121</v>
      </c>
      <c r="AE34" s="233" t="str">
        <f t="shared" si="9"/>
        <v>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 &amp; aws s3 cp s3://rtdc.mdm.uploadarchive.raw/RTDC4062/ "%USERPROFILE%\AppData\Local\Temp\OnboardLogs"\RTDC4062\2017-12-16 --exclude "*" --recursive --include "*20171216*" &amp; "%USERPROFILE%\Documents\GitHub\mrs-test-scripts\Headless Mode &amp; Sideloading\WalkAndUnGZ.bat" "%USERPROFILE%\AppData\Local\Temp\OnboardLogs"\RTDC4062\2017-12-16</v>
      </c>
      <c r="AF34" s="234" t="str">
        <f t="shared" si="10"/>
        <v>"C:\Program Files (x86)\AstroGrep\AstroGrep.exe" /e /r /s /spath="%USERPROFILE%\AppData\Local\Temp\OnboardLogs" /stypes="app*4062*20171215*" /stext=" 13:.+((SYSTEM_STATE.+slice.+state.+changed )|(ment ac)|(multiple cpu faults)|(system.+state.+changed )|(\[timeout)|(PRM\|1\|D)|(kpr)|(kdp)|(train st.+moving)|(\|lc)|(penalty))"</v>
      </c>
      <c r="AG34" s="226" t="str">
        <f t="shared" si="11"/>
        <v>EC</v>
      </c>
      <c r="AH34" s="189" t="str">
        <f t="shared" si="17"/>
        <v>"%USERPROFILE%\Documents\GitHub\eaglep3\Utilities\RefineRTDCRunTimes.py" --tripid 121-15 --locoid 4062 --swversion DE.1.0.9.0 --startMP 204:508 --initTime 2017-12-15T06:07:29 --startdatetime 2017-12-15T06:15:16 --delay 56 --endMP 204:233311 --enddatetime 2017-12-15T06:49:18 --enforcementcount 0 &gt;&gt;%USERPROFILE%\Documents\GitHub\eaglep3-reporting\EC\2017-12-15-refined-times.txt</v>
      </c>
      <c r="AI34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{"issue":{"subject":"","project_id":79,"tracker_id":40,"status_id":1,"priority_id":2,"assigned_to_id":338,"start_date":"2017-12-15","description":"","custom_fields":[{"id":1,"name":"Subdivision","value":"EC"},{"id":4,"name":"Milepost","value":"23.3311"},{"id":17,"name":"Train ID","value":"121-15"},{"id":16,"name":"Locomotive ID","value":"4062"},{"id":130,"name":"Impact","value":""},{"id":150,"name":"Time of Event (Mountain Time)","value":"06:49:18"},{"id":151,"name":"Denver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180"/>
      <c r="AK34" s="188"/>
      <c r="AL34" s="188"/>
      <c r="AM34" s="193" t="str">
        <f t="shared" si="19"/>
        <v>start /low /b %USERPROFILE%\Documents\GitHub\eaglep3\Utilities\DownloadLogsFromS3.py --loco 4062 --day 2017-12-15</v>
      </c>
      <c r="AN34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13:49:18"},{"id":29,"name":"Sharepoint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87" t="str">
        <f t="shared" si="21"/>
        <v>https://d0f6bd738d7f1b3e5a7ca70fe4ff75f0.us-east-1.aws.found.io/app/kibana#/discover/Steve-Slow-Train-Analysis-(2080s-and-2083s)?_g=(refreshInterval:(display:Off,pause:!f,section:0,value:0),time:(from:'2017-12-15T05:07:29-0700',mode:absolute,to:'2017-12-15T07:49:18-0700'))&amp;_a=(columns:!('Message%20ID',Summary),filters:!(),index:'emp_*',interval:auto,query:(query_string:(analyze_wildcard:!t,query:'%22rtdc.l.rtdc.4062%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186" t="s">
        <v>725</v>
      </c>
      <c r="B35" s="182">
        <v>4061</v>
      </c>
      <c r="C35" s="184" t="s">
        <v>192</v>
      </c>
      <c r="D35" s="184" t="s">
        <v>911</v>
      </c>
      <c r="E35" s="183">
        <v>43084.285624999997</v>
      </c>
      <c r="F35" s="183">
        <v>43084.300208333334</v>
      </c>
      <c r="G35" s="182">
        <v>58</v>
      </c>
      <c r="H35" s="184" t="s">
        <v>587</v>
      </c>
      <c r="I35" s="183">
        <v>43084.325868055559</v>
      </c>
      <c r="J35" s="182">
        <v>0</v>
      </c>
      <c r="K35" s="190" t="str">
        <f t="shared" si="0"/>
        <v>4061/4062</v>
      </c>
      <c r="L35" s="196" t="str">
        <f>VLOOKUP(A35,'Trips&amp;Operators'!$C$1:$G$99911,5,FALSE)</f>
        <v>GEBRETEKLE DAGNEW</v>
      </c>
      <c r="M35" s="181">
        <f t="shared" si="1"/>
        <v>2.5659722225100268E-2</v>
      </c>
      <c r="N35" s="182">
        <f t="shared" si="22"/>
        <v>36.950000004144385</v>
      </c>
      <c r="O35" s="182"/>
      <c r="P35" s="182"/>
      <c r="Q35" s="185"/>
      <c r="R35" s="197"/>
      <c r="S35" s="241">
        <f t="shared" si="23"/>
        <v>1</v>
      </c>
      <c r="T35" s="220" t="str">
        <f t="shared" si="2"/>
        <v>Southbound</v>
      </c>
      <c r="U35" s="22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21" t="str">
        <f t="shared" si="3"/>
        <v>https://d0f6bd738d7f1b3e5a7ca70fe4ff75f0.us-east-1.aws.found.io/app/kibana#/discover/Steve-Slow-Train-Analysis-(2080s-and-2083s)?_g=(refreshInterval:(display:Off,pause:!f,section:0,value:0),time:(from:'2017-12-15T05:51:18-0700',mode:absolute,to:'2017-12-15T08:49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5" s="222" t="str">
        <f>IF(AA35&lt;VLOOKUP(AG35,Variables!$AC$3:$AD$8,2,FALSE),"Y","N")</f>
        <v>N</v>
      </c>
      <c r="X35" s="222">
        <f t="shared" si="4"/>
        <v>1</v>
      </c>
      <c r="Y35" s="222">
        <f t="shared" si="5"/>
        <v>23.3001</v>
      </c>
      <c r="Z35" s="222">
        <f t="shared" si="6"/>
        <v>1.61E-2</v>
      </c>
      <c r="AA35" s="222">
        <f t="shared" si="7"/>
        <v>23.283999999999999</v>
      </c>
      <c r="AB35" s="231" t="e">
        <f>VLOOKUP(A35,Enforcements!$C$7:$K$9,8,0)</f>
        <v>#N/A</v>
      </c>
      <c r="AC35" s="231" t="e">
        <f>VLOOKUP(A35,Enforcements!$C$7:$E$9,3,0)</f>
        <v>#N/A</v>
      </c>
      <c r="AD35" s="232">
        <f t="shared" si="8"/>
        <v>122</v>
      </c>
      <c r="AE35" s="233" t="str">
        <f t="shared" si="9"/>
        <v>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 &amp; aws s3 cp s3://rtdc.mdm.uploadarchive.raw/RTDC4061/ "%USERPROFILE%\AppData\Local\Temp\OnboardLogs"\RTDC4061\2017-12-16 --exclude "*" --recursive --include "*20171216*" &amp; "%USERPROFILE%\Documents\GitHub\mrs-test-scripts\Headless Mode &amp; Sideloading\WalkAndUnGZ.bat" "%USERPROFILE%\AppData\Local\Temp\OnboardLogs"\RTDC4061\2017-12-16</v>
      </c>
      <c r="AF35" s="234" t="str">
        <f t="shared" si="10"/>
        <v>"C:\Program Files (x86)\AstroGrep\AstroGrep.exe" /e /r /s /spath="%USERPROFILE%\AppData\Local\Temp\OnboardLogs" /stypes="app*4061*20171215*" /stext=" 14:.+((SYSTEM_STATE.+slice.+state.+changed )|(ment ac)|(multiple cpu faults)|(system.+state.+changed )|(\[timeout)|(PRM\|1\|D)|(kpr)|(kdp)|(train st.+moving)|(\|lc)|(penalty))"</v>
      </c>
      <c r="AG35" s="226" t="str">
        <f t="shared" si="11"/>
        <v>EC</v>
      </c>
      <c r="AH35" s="189" t="str">
        <f t="shared" si="17"/>
        <v>"%USERPROFILE%\Documents\GitHub\eaglep3\Utilities\RefineRTDCRunTimes.py" --tripid 122-15 --locoid 4061 --swversion DE.1.0.9.0 --startMP 204:233001 --initTime 2017-12-15T06:51:18 --startdatetime 2017-12-15T07:12:18 --delay 58 --endMP 204:161 --enddatetime 2017-12-15T07:49:15 --enforcementcount 0 &gt;&gt;%USERPROFILE%\Documents\GitHub\eaglep3-reporting\EC\2017-12-15-refined-times.txt</v>
      </c>
      <c r="AI35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{"issue":{"subject":"","project_id":79,"tracker_id":40,"status_id":1,"priority_id":2,"assigned_to_id":338,"start_date":"2017-12-15","description":"","custom_fields":[{"id":1,"name":"Subdivision","value":"EC"},{"id":4,"name":"Milepost","value":"0.0161"},{"id":17,"name":"Train ID","value":"122-15"},{"id":16,"name":"Locomotive ID","value":"4061"},{"id":130,"name":"Impact","value":""},{"id":150,"name":"Time of Event (Mountain Time)","value":"07:49:15"},{"id":151,"name":"Denver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180"/>
      <c r="AK35" s="188"/>
      <c r="AL35" s="188"/>
      <c r="AM35" s="193" t="str">
        <f t="shared" si="19"/>
        <v>start /low /b %USERPROFILE%\Documents\GitHub\eaglep3\Utilities\DownloadLogsFromS3.py --loco 4061 --day 2017-12-15</v>
      </c>
      <c r="AN35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14:49:15"},{"id":29,"name":"Sharepoint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87" t="str">
        <f t="shared" si="21"/>
        <v>https://d0f6bd738d7f1b3e5a7ca70fe4ff75f0.us-east-1.aws.found.io/app/kibana#/discover/Steve-Slow-Train-Analysis-(2080s-and-2083s)?_g=(refreshInterval:(display:Off,pause:!f,section:0,value:0),time:(from:'2017-12-15T05:51:18-0700',mode:absolute,to:'2017-12-15T08:49:15-0700'))&amp;_a=(columns:!('Message%20ID',Summary),filters:!(),index:'emp_*',interval:auto,query:(query_string:(analyze_wildcard:!t,query:'%22rtdc.l.rtdc.4061%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186" t="s">
        <v>720</v>
      </c>
      <c r="B36" s="182">
        <v>4042</v>
      </c>
      <c r="C36" s="184" t="s">
        <v>192</v>
      </c>
      <c r="D36" s="184" t="s">
        <v>912</v>
      </c>
      <c r="E36" s="183">
        <v>43084.265555555554</v>
      </c>
      <c r="F36" s="183">
        <v>43084.270983796298</v>
      </c>
      <c r="G36" s="182">
        <v>52</v>
      </c>
      <c r="H36" s="184" t="s">
        <v>488</v>
      </c>
      <c r="I36" s="183">
        <v>43084.295601851853</v>
      </c>
      <c r="J36" s="182">
        <v>0</v>
      </c>
      <c r="K36" s="190" t="str">
        <f t="shared" si="0"/>
        <v>4041/4042</v>
      </c>
      <c r="L36" s="196" t="str">
        <f>VLOOKUP(A36,'Trips&amp;Operators'!$C$1:$G$99911,5,FALSE)</f>
        <v>LOPES KIMBERLY</v>
      </c>
      <c r="M36" s="181">
        <f t="shared" si="1"/>
        <v>2.4618055555038154E-2</v>
      </c>
      <c r="N36" s="182">
        <f t="shared" si="22"/>
        <v>35.449999999254942</v>
      </c>
      <c r="O36" s="182"/>
      <c r="P36" s="182"/>
      <c r="Q36" s="185"/>
      <c r="R36" s="197"/>
      <c r="S36" s="241">
        <f t="shared" si="23"/>
        <v>1</v>
      </c>
      <c r="T36" s="220" t="str">
        <f t="shared" si="2"/>
        <v>NorthBound</v>
      </c>
      <c r="U36" s="22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21" t="str">
        <f t="shared" si="3"/>
        <v>https://d0f6bd738d7f1b3e5a7ca70fe4ff75f0.us-east-1.aws.found.io/app/kibana#/discover/Steve-Slow-Train-Analysis-(2080s-and-2083s)?_g=(refreshInterval:(display:Off,pause:!f,section:0,value:0),time:(from:'2017-12-15T05:22:24-0700',mode:absolute,to:'2017-12-15T08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6" s="222" t="str">
        <f>IF(AA36&lt;VLOOKUP(AG36,Variables!$AC$3:$AD$8,2,FALSE),"Y","N")</f>
        <v>N</v>
      </c>
      <c r="X36" s="222">
        <f t="shared" si="4"/>
        <v>1</v>
      </c>
      <c r="Y36" s="222">
        <f t="shared" si="5"/>
        <v>4.3099999999999999E-2</v>
      </c>
      <c r="Z36" s="222">
        <f t="shared" si="6"/>
        <v>23.3278</v>
      </c>
      <c r="AA36" s="222">
        <f t="shared" si="7"/>
        <v>23.284700000000001</v>
      </c>
      <c r="AB36" s="231" t="e">
        <f>VLOOKUP(A36,Enforcements!$C$7:$K$9,8,0)</f>
        <v>#N/A</v>
      </c>
      <c r="AC36" s="231" t="e">
        <f>VLOOKUP(A36,Enforcements!$C$7:$E$9,3,0)</f>
        <v>#N/A</v>
      </c>
      <c r="AD36" s="232">
        <f t="shared" si="8"/>
        <v>123</v>
      </c>
      <c r="AE36" s="233" t="str">
        <f t="shared" si="9"/>
        <v>aws s3 cp s3://rtdc.mdm.uploadarchive.raw/RTDC4042/ "%USERPROFILE%\AppData\Local\Temp\OnboardLogs"\RTDC4042\2017-12-15 --exclude "*" --recursive --include "*20171215*" &amp; "%USERPROFILE%\Documents\GitHub\mrs-test-scripts\Headless Mode &amp; Sideloading\WalkAndUnGZ.bat" "%USERPROFILE%\AppData\Local\Temp\OnboardLogs"\RTDC4042\2017-12-15 &amp; aws s3 cp s3://rtdc.mdm.uploadarchive.raw/RTDC4042/ "%USERPROFILE%\AppData\Local\Temp\OnboardLogs"\RTDC4042\2017-12-16 --exclude "*" --recursive --include "*20171216*" &amp; "%USERPROFILE%\Documents\GitHub\mrs-test-scripts\Headless Mode &amp; Sideloading\WalkAndUnGZ.bat" "%USERPROFILE%\AppData\Local\Temp\OnboardLogs"\RTDC4042\2017-12-16</v>
      </c>
      <c r="AF36" s="234" t="str">
        <f t="shared" si="10"/>
        <v>"C:\Program Files (x86)\AstroGrep\AstroGrep.exe" /e /r /s /spath="%USERPROFILE%\AppData\Local\Temp\OnboardLogs" /stypes="app*4042*20171215*" /stext=" 14:.+((SYSTEM_STATE.+slice.+state.+changed )|(ment ac)|(multiple cpu faults)|(system.+state.+changed )|(\[timeout)|(PRM\|1\|D)|(kpr)|(kdp)|(train st.+moving)|(\|lc)|(penalty))"</v>
      </c>
      <c r="AG36" s="226" t="str">
        <f t="shared" si="11"/>
        <v>EC</v>
      </c>
      <c r="AH36" s="189" t="str">
        <f t="shared" si="17"/>
        <v>"%USERPROFILE%\Documents\GitHub\eaglep3\Utilities\RefineRTDCRunTimes.py" --tripid 123-15 --locoid 4042 --swversion DE.1.0.9.0 --startMP 204:431 --initTime 2017-12-15T06:22:24 --startdatetime 2017-12-15T06:30:13 --delay 52 --endMP 204:233278 --enddatetime 2017-12-15T07:05:40 --enforcementcount 0 &gt;&gt;%USERPROFILE%\Documents\GitHub\eaglep3-reporting\EC\2017-12-15-refined-times.txt</v>
      </c>
      <c r="AI36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{"issue":{"subject":"","project_id":79,"tracker_id":40,"status_id":1,"priority_id":2,"assigned_to_id":338,"start_date":"2017-12-15","description":"","custom_fields":[{"id":1,"name":"Subdivision","value":"EC"},{"id":4,"name":"Milepost","value":"23.3278"},{"id":17,"name":"Train ID","value":"123-15"},{"id":16,"name":"Locomotive ID","value":"4042"},{"id":130,"name":"Impact","value":""},{"id":150,"name":"Time of Event (Mountain Time)","value":"07:05:40"},{"id":151,"name":"Denver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180"/>
      <c r="AK36" s="188"/>
      <c r="AL36" s="188"/>
      <c r="AM36" s="193" t="str">
        <f t="shared" si="19"/>
        <v>start /low /b %USERPROFILE%\Documents\GitHub\eaglep3\Utilities\DownloadLogsFromS3.py --loco 4042 --day 2017-12-15</v>
      </c>
      <c r="AN36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14:05:40"},{"id":29,"name":"Sharepoint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87" t="str">
        <f t="shared" si="21"/>
        <v>https://d0f6bd738d7f1b3e5a7ca70fe4ff75f0.us-east-1.aws.found.io/app/kibana#/discover/Steve-Slow-Train-Analysis-(2080s-and-2083s)?_g=(refreshInterval:(display:Off,pause:!f,section:0,value:0),time:(from:'2017-12-15T05:22:24-0700',mode:absolute,to:'2017-12-15T08:05:40-0700'))&amp;_a=(columns:!('Message%20ID',Summary),filters:!(),index:'emp_*',interval:auto,query:(query_string:(analyze_wildcard:!t,query:'%22rtdc.l.rtdc.4042%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186" t="s">
        <v>730</v>
      </c>
      <c r="B37" s="182">
        <v>4041</v>
      </c>
      <c r="C37" s="184" t="s">
        <v>192</v>
      </c>
      <c r="D37" s="184" t="s">
        <v>564</v>
      </c>
      <c r="E37" s="183">
        <v>43084.304293981484</v>
      </c>
      <c r="F37" s="183">
        <v>43084.310729166667</v>
      </c>
      <c r="G37" s="182">
        <v>50</v>
      </c>
      <c r="H37" s="184" t="s">
        <v>558</v>
      </c>
      <c r="I37" s="183">
        <v>43084.336354166669</v>
      </c>
      <c r="J37" s="182">
        <v>0</v>
      </c>
      <c r="K37" s="190" t="str">
        <f t="shared" si="0"/>
        <v>4041/4042</v>
      </c>
      <c r="L37" s="196" t="str">
        <f>VLOOKUP(A37,'Trips&amp;Operators'!$C$1:$G$99911,5,FALSE)</f>
        <v>LOPES KIMBERLY</v>
      </c>
      <c r="M37" s="181">
        <f t="shared" si="1"/>
        <v>2.5625000002037268E-2</v>
      </c>
      <c r="N37" s="182">
        <f t="shared" si="22"/>
        <v>36.900000002933666</v>
      </c>
      <c r="O37" s="182"/>
      <c r="P37" s="182"/>
      <c r="Q37" s="185"/>
      <c r="R37" s="197"/>
      <c r="S37" s="241">
        <f t="shared" si="23"/>
        <v>1</v>
      </c>
      <c r="T37" s="220" t="str">
        <f t="shared" si="2"/>
        <v>Southbound</v>
      </c>
      <c r="U37" s="22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21" t="str">
        <f t="shared" si="3"/>
        <v>https://d0f6bd738d7f1b3e5a7ca70fe4ff75f0.us-east-1.aws.found.io/app/kibana#/discover/Steve-Slow-Train-Analysis-(2080s-and-2083s)?_g=(refreshInterval:(display:Off,pause:!f,section:0,value:0),time:(from:'2017-12-15T06:18:11-0700',mode:absolute,to:'2017-12-15T09:04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7" s="222" t="str">
        <f>IF(AA37&lt;VLOOKUP(AG37,Variables!$AC$3:$AD$8,2,FALSE),"Y","N")</f>
        <v>N</v>
      </c>
      <c r="X37" s="222">
        <f t="shared" si="4"/>
        <v>1</v>
      </c>
      <c r="Y37" s="222">
        <f t="shared" si="5"/>
        <v>23.2974</v>
      </c>
      <c r="Z37" s="222">
        <f t="shared" si="6"/>
        <v>2.1399999999999999E-2</v>
      </c>
      <c r="AA37" s="222">
        <f t="shared" si="7"/>
        <v>23.276</v>
      </c>
      <c r="AB37" s="231" t="e">
        <f>VLOOKUP(A37,Enforcements!$C$7:$K$9,8,0)</f>
        <v>#N/A</v>
      </c>
      <c r="AC37" s="231" t="e">
        <f>VLOOKUP(A37,Enforcements!$C$7:$E$9,3,0)</f>
        <v>#N/A</v>
      </c>
      <c r="AD37" s="232">
        <f t="shared" si="8"/>
        <v>124</v>
      </c>
      <c r="AE37" s="233" t="str">
        <f t="shared" si="9"/>
        <v>aws s3 cp s3://rtdc.mdm.uploadarchive.raw/RTDC4041/ "%USERPROFILE%\AppData\Local\Temp\OnboardLogs"\RTDC4041\2017-12-15 --exclude "*" --recursive --include "*20171215*" &amp; "%USERPROFILE%\Documents\GitHub\mrs-test-scripts\Headless Mode &amp; Sideloading\WalkAndUnGZ.bat" "%USERPROFILE%\AppData\Local\Temp\OnboardLogs"\RTDC4041\2017-12-15 &amp; aws s3 cp s3://rtdc.mdm.uploadarchive.raw/RTDC4041/ "%USERPROFILE%\AppData\Local\Temp\OnboardLogs"\RTDC4041\2017-12-16 --exclude "*" --recursive --include "*20171216*" &amp; "%USERPROFILE%\Documents\GitHub\mrs-test-scripts\Headless Mode &amp; Sideloading\WalkAndUnGZ.bat" "%USERPROFILE%\AppData\Local\Temp\OnboardLogs"\RTDC4041\2017-12-16</v>
      </c>
      <c r="AF37" s="234" t="str">
        <f t="shared" si="10"/>
        <v>"C:\Program Files (x86)\AstroGrep\AstroGrep.exe" /e /r /s /spath="%USERPROFILE%\AppData\Local\Temp\OnboardLogs" /stypes="app*4041*20171215*" /stext=" 15:.+((SYSTEM_STATE.+slice.+state.+changed )|(ment ac)|(multiple cpu faults)|(system.+state.+changed )|(\[timeout)|(PRM\|1\|D)|(kpr)|(kdp)|(train st.+moving)|(\|lc)|(penalty))"</v>
      </c>
      <c r="AG37" s="226" t="str">
        <f t="shared" si="11"/>
        <v>EC</v>
      </c>
      <c r="AH37" s="189" t="str">
        <f t="shared" si="17"/>
        <v>"%USERPROFILE%\Documents\GitHub\eaglep3\Utilities\RefineRTDCRunTimes.py" --tripid 124-15 --locoid 4041 --swversion DE.1.0.9.0 --startMP 204:232974 --initTime 2017-12-15T07:18:11 --startdatetime 2017-12-15T07:27:27 --delay 50 --endMP 204:214 --enddatetime 2017-12-15T08:04:21 --enforcementcount 0 &gt;&gt;%USERPROFILE%\Documents\GitHub\eaglep3-reporting\EC\2017-12-15-refined-times.txt</v>
      </c>
      <c r="AI37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{"issue":{"subject":"","project_id":79,"tracker_id":40,"status_id":1,"priority_id":2,"assigned_to_id":338,"start_date":"2017-12-15","description":"","custom_fields":[{"id":1,"name":"Subdivision","value":"EC"},{"id":4,"name":"Milepost","value":"0.0214"},{"id":17,"name":"Train ID","value":"124-15"},{"id":16,"name":"Locomotive ID","value":"4041"},{"id":130,"name":"Impact","value":""},{"id":150,"name":"Time of Event (Mountain Time)","value":"08:04:21"},{"id":151,"name":"Denver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180"/>
      <c r="AK37" s="188"/>
      <c r="AL37" s="188"/>
      <c r="AM37" s="193" t="str">
        <f t="shared" si="19"/>
        <v>start /low /b %USERPROFILE%\Documents\GitHub\eaglep3\Utilities\DownloadLogsFromS3.py --loco 4041 --day 2017-12-15</v>
      </c>
      <c r="AN37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15:04:21"},{"id":29,"name":"Sharepoint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87" t="str">
        <f t="shared" si="21"/>
        <v>https://d0f6bd738d7f1b3e5a7ca70fe4ff75f0.us-east-1.aws.found.io/app/kibana#/discover/Steve-Slow-Train-Analysis-(2080s-and-2083s)?_g=(refreshInterval:(display:Off,pause:!f,section:0,value:0),time:(from:'2017-12-15T06:18:11-0700',mode:absolute,to:'2017-12-15T09:04:21-0700'))&amp;_a=(columns:!('Message%20ID',Summary),filters:!(),index:'emp_*',interval:auto,query:(query_string:(analyze_wildcard:!t,query:'%22rtdc.l.rtdc.4041%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186" t="s">
        <v>724</v>
      </c>
      <c r="B38" s="182">
        <v>4004</v>
      </c>
      <c r="C38" s="184" t="s">
        <v>192</v>
      </c>
      <c r="D38" s="184" t="s">
        <v>913</v>
      </c>
      <c r="E38" s="183">
        <v>43084.276979166665</v>
      </c>
      <c r="F38" s="183">
        <v>43084.281446759262</v>
      </c>
      <c r="G38" s="182">
        <v>54</v>
      </c>
      <c r="H38" s="184" t="s">
        <v>914</v>
      </c>
      <c r="I38" s="183">
        <v>43084.305254629631</v>
      </c>
      <c r="J38" s="182">
        <v>0</v>
      </c>
      <c r="K38" s="190" t="str">
        <f t="shared" si="0"/>
        <v>4003/4004</v>
      </c>
      <c r="L38" s="196" t="str">
        <f>VLOOKUP(A38,'Trips&amp;Operators'!$C$1:$G$99911,5,FALSE)</f>
        <v>ROCHA YAOTL</v>
      </c>
      <c r="M38" s="181">
        <f t="shared" si="1"/>
        <v>2.3807870369637385E-2</v>
      </c>
      <c r="N38" s="182">
        <f t="shared" si="22"/>
        <v>34.283333332277834</v>
      </c>
      <c r="O38" s="182"/>
      <c r="P38" s="182"/>
      <c r="Q38" s="185"/>
      <c r="R38" s="197"/>
      <c r="S38" s="241">
        <f t="shared" si="23"/>
        <v>1</v>
      </c>
      <c r="T38" s="220" t="str">
        <f t="shared" si="2"/>
        <v>NorthBound</v>
      </c>
      <c r="U38" s="22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21" t="str">
        <f t="shared" si="3"/>
        <v>https://d0f6bd738d7f1b3e5a7ca70fe4ff75f0.us-east-1.aws.found.io/app/kibana#/discover/Steve-Slow-Train-Analysis-(2080s-and-2083s)?_g=(refreshInterval:(display:Off,pause:!f,section:0,value:0),time:(from:'2017-12-15T05:38:51-0700',mode:absolute,to:'2017-12-15T08:19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8" s="222" t="str">
        <f>IF(AA38&lt;VLOOKUP(AG38,Variables!$AC$3:$AD$8,2,FALSE),"Y","N")</f>
        <v>N</v>
      </c>
      <c r="X38" s="222">
        <f t="shared" si="4"/>
        <v>1</v>
      </c>
      <c r="Y38" s="222">
        <f t="shared" si="5"/>
        <v>0.05</v>
      </c>
      <c r="Z38" s="222">
        <f t="shared" si="6"/>
        <v>23.3307</v>
      </c>
      <c r="AA38" s="222">
        <f t="shared" si="7"/>
        <v>23.2807</v>
      </c>
      <c r="AB38" s="231" t="e">
        <f>VLOOKUP(A38,Enforcements!$C$7:$K$9,8,0)</f>
        <v>#N/A</v>
      </c>
      <c r="AC38" s="231" t="e">
        <f>VLOOKUP(A38,Enforcements!$C$7:$E$9,3,0)</f>
        <v>#N/A</v>
      </c>
      <c r="AD38" s="232">
        <f t="shared" si="8"/>
        <v>125</v>
      </c>
      <c r="AE38" s="233" t="str">
        <f t="shared" si="9"/>
        <v>aws s3 cp s3://rtdc.mdm.uploadarchive.raw/RTDC4004/ "%USERPROFILE%\AppData\Local\Temp\OnboardLogs"\RTDC4004\2017-12-15 --exclude "*" --recursive --include "*20171215*" &amp; "%USERPROFILE%\Documents\GitHub\mrs-test-scripts\Headless Mode &amp; Sideloading\WalkAndUnGZ.bat" "%USERPROFILE%\AppData\Local\Temp\OnboardLogs"\RTDC4004\2017-12-15 &amp; aws s3 cp s3://rtdc.mdm.uploadarchive.raw/RTDC4004/ "%USERPROFILE%\AppData\Local\Temp\OnboardLogs"\RTDC4004\2017-12-16 --exclude "*" --recursive --include "*20171216*" &amp; "%USERPROFILE%\Documents\GitHub\mrs-test-scripts\Headless Mode &amp; Sideloading\WalkAndUnGZ.bat" "%USERPROFILE%\AppData\Local\Temp\OnboardLogs"\RTDC4004\2017-12-16</v>
      </c>
      <c r="AF38" s="234" t="str">
        <f t="shared" si="10"/>
        <v>"C:\Program Files (x86)\AstroGrep\AstroGrep.exe" /e /r /s /spath="%USERPROFILE%\AppData\Local\Temp\OnboardLogs" /stypes="app*4004*20171215*" /stext=" 14:.+((SYSTEM_STATE.+slice.+state.+changed )|(ment ac)|(multiple cpu faults)|(system.+state.+changed )|(\[timeout)|(PRM\|1\|D)|(kpr)|(kdp)|(train st.+moving)|(\|lc)|(penalty))"</v>
      </c>
      <c r="AG38" s="226" t="str">
        <f t="shared" si="11"/>
        <v>EC</v>
      </c>
      <c r="AH38" s="189" t="str">
        <f t="shared" si="17"/>
        <v>"%USERPROFILE%\Documents\GitHub\eaglep3\Utilities\RefineRTDCRunTimes.py" --tripid 125-15 --locoid 4004 --swversion DE.1.0.9.0 --startMP 204:500 --initTime 2017-12-15T06:38:51 --startdatetime 2017-12-15T06:45:17 --delay 54 --endMP 204:233307 --enddatetime 2017-12-15T07:19:34 --enforcementcount 0 &gt;&gt;%USERPROFILE%\Documents\GitHub\eaglep3-reporting\EC\2017-12-15-refined-times.txt</v>
      </c>
      <c r="AI38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{"issue":{"subject":"","project_id":79,"tracker_id":40,"status_id":1,"priority_id":2,"assigned_to_id":338,"start_date":"2017-12-15","description":"","custom_fields":[{"id":1,"name":"Subdivision","value":"EC"},{"id":4,"name":"Milepost","value":"23.3307"},{"id":17,"name":"Train ID","value":"125-15"},{"id":16,"name":"Locomotive ID","value":"4004"},{"id":130,"name":"Impact","value":""},{"id":150,"name":"Time of Event (Mountain Time)","value":"07:19:34"},{"id":151,"name":"Denver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180"/>
      <c r="AK38" s="188"/>
      <c r="AL38" s="188"/>
      <c r="AM38" s="193" t="str">
        <f t="shared" si="19"/>
        <v>start /low /b %USERPROFILE%\Documents\GitHub\eaglep3\Utilities\DownloadLogsFromS3.py --loco 4004 --day 2017-12-15</v>
      </c>
      <c r="AN38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14:19:34"},{"id":29,"name":"Sharepoint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87" t="str">
        <f t="shared" si="21"/>
        <v>https://d0f6bd738d7f1b3e5a7ca70fe4ff75f0.us-east-1.aws.found.io/app/kibana#/discover/Steve-Slow-Train-Analysis-(2080s-and-2083s)?_g=(refreshInterval:(display:Off,pause:!f,section:0,value:0),time:(from:'2017-12-15T05:38:51-0700',mode:absolute,to:'2017-12-15T08:19:34-0700'))&amp;_a=(columns:!('Message%20ID',Summary),filters:!(),index:'emp_*',interval:auto,query:(query_string:(analyze_wildcard:!t,query:'%22rtdc.l.rtdc.4004%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186" t="s">
        <v>650</v>
      </c>
      <c r="B39" s="182">
        <v>4003</v>
      </c>
      <c r="C39" s="184" t="s">
        <v>192</v>
      </c>
      <c r="D39" s="184" t="s">
        <v>915</v>
      </c>
      <c r="E39" s="183">
        <v>43084.320335648146</v>
      </c>
      <c r="F39" s="183">
        <v>43084.321458333332</v>
      </c>
      <c r="G39" s="182">
        <v>50</v>
      </c>
      <c r="H39" s="184" t="s">
        <v>532</v>
      </c>
      <c r="I39" s="183">
        <v>43084.347071759257</v>
      </c>
      <c r="J39" s="182">
        <v>0</v>
      </c>
      <c r="K39" s="190" t="str">
        <f t="shared" si="0"/>
        <v>4003/4004</v>
      </c>
      <c r="L39" s="196" t="str">
        <f>VLOOKUP(A39,'Trips&amp;Operators'!$C$1:$G$99911,5,FALSE)</f>
        <v>ROCHA YAOTL</v>
      </c>
      <c r="M39" s="181">
        <f t="shared" si="1"/>
        <v>2.5613425925257616E-2</v>
      </c>
      <c r="N39" s="182">
        <f t="shared" si="22"/>
        <v>36.883333332370967</v>
      </c>
      <c r="O39" s="182"/>
      <c r="P39" s="182"/>
      <c r="Q39" s="185"/>
      <c r="R39" s="197"/>
      <c r="S39" s="241">
        <f t="shared" si="23"/>
        <v>1</v>
      </c>
      <c r="T39" s="220" t="str">
        <f t="shared" si="2"/>
        <v>Southbound</v>
      </c>
      <c r="U39" s="22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21" t="str">
        <f t="shared" si="3"/>
        <v>https://d0f6bd738d7f1b3e5a7ca70fe4ff75f0.us-east-1.aws.found.io/app/kibana#/discover/Steve-Slow-Train-Analysis-(2080s-and-2083s)?_g=(refreshInterval:(display:Off,pause:!f,section:0,value:0),time:(from:'2017-12-15T06:41:17-0700',mode:absolute,to:'2017-12-15T09:19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9" s="222" t="str">
        <f>IF(AA39&lt;VLOOKUP(AG39,Variables!$AC$3:$AD$8,2,FALSE),"Y","N")</f>
        <v>N</v>
      </c>
      <c r="X39" s="222">
        <f t="shared" si="4"/>
        <v>1</v>
      </c>
      <c r="Y39" s="222">
        <f t="shared" si="5"/>
        <v>23.298999999999999</v>
      </c>
      <c r="Z39" s="222">
        <f t="shared" si="6"/>
        <v>1.7999999999999999E-2</v>
      </c>
      <c r="AA39" s="222">
        <f t="shared" si="7"/>
        <v>23.280999999999999</v>
      </c>
      <c r="AB39" s="231" t="str">
        <f>VLOOKUP(A39,Enforcements!$C$7:$K$9,8,0)</f>
        <v>Bulletin (2)</v>
      </c>
      <c r="AC39" s="231" t="str">
        <f>VLOOKUP(A39,Enforcements!$C$7:$E$9,3,0)</f>
        <v>GRADE CROSSING</v>
      </c>
      <c r="AD39" s="232">
        <f t="shared" si="8"/>
        <v>126</v>
      </c>
      <c r="AE39" s="233" t="str">
        <f t="shared" si="9"/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AF39" s="234" t="str">
        <f t="shared" si="10"/>
        <v>"C:\Program Files (x86)\AstroGrep\AstroGrep.exe" /e /r /s /spath="%USERPROFILE%\AppData\Local\Temp\OnboardLogs" /stypes="app*4003*20171215*" /stext=" 15:.+((SYSTEM_STATE.+slice.+state.+changed )|(ment ac)|(multiple cpu faults)|(system.+state.+changed )|(\[timeout)|(PRM\|1\|D)|(kpr)|(kdp)|(train st.+moving)|(\|lc)|(penalty))"</v>
      </c>
      <c r="AG39" s="226" t="str">
        <f t="shared" si="11"/>
        <v>EC</v>
      </c>
      <c r="AH39" s="189" t="str">
        <f t="shared" si="17"/>
        <v>"%USERPROFILE%\Documents\GitHub\eaglep3\Utilities\RefineRTDCRunTimes.py" --tripid 126-15 --locoid 4003 --swversion DE.1.0.9.0 --startMP 204:232990 --initTime 2017-12-15T07:41:17 --startdatetime 2017-12-15T07:42:54 --delay 50 --endMP 204:180 --enddatetime 2017-12-15T08:19:47 --enforcementcount 0 &gt;&gt;%USERPROFILE%\Documents\GitHub\eaglep3-reporting\EC\2017-12-15-refined-times.txt</v>
      </c>
      <c r="AI39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{"issue":{"subject":"","project_id":79,"tracker_id":40,"status_id":1,"priority_id":2,"assigned_to_id":338,"start_date":"2017-12-15","description":"","custom_fields":[{"id":1,"name":"Subdivision","value":"EC"},{"id":4,"name":"Milepost","value":"0.018"},{"id":17,"name":"Train ID","value":"126-15"},{"id":16,"name":"Locomotive ID","value":"4003"},{"id":130,"name":"Impact","value":""},{"id":150,"name":"Time of Event (Mountain Time)","value":"08:19:47"},{"id":151,"name":"Denver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180"/>
      <c r="AK39" s="188"/>
      <c r="AL39" s="188"/>
      <c r="AM39" s="193" t="str">
        <f t="shared" si="19"/>
        <v>start /low /b %USERPROFILE%\Documents\GitHub\eaglep3\Utilities\DownloadLogsFromS3.py --loco 4003 --day 2017-12-15</v>
      </c>
      <c r="AN39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15:19:47"},{"id":29,"name":"Sharepoint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87" t="str">
        <f t="shared" si="21"/>
        <v>https://d0f6bd738d7f1b3e5a7ca70fe4ff75f0.us-east-1.aws.found.io/app/kibana#/discover/Steve-Slow-Train-Analysis-(2080s-and-2083s)?_g=(refreshInterval:(display:Off,pause:!f,section:0,value:0),time:(from:'2017-12-15T06:41:17-0700',mode:absolute,to:'2017-12-15T09:19:47-0700'))&amp;_a=(columns:!('Message%20ID',Summary),filters:!(),index:'emp_*',interval:auto,query:(query_string:(analyze_wildcard:!t,query:'%22rtdc.l.rtdc.4003%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186" t="s">
        <v>726</v>
      </c>
      <c r="B40" s="182">
        <v>4058</v>
      </c>
      <c r="C40" s="184" t="s">
        <v>192</v>
      </c>
      <c r="D40" s="184" t="s">
        <v>916</v>
      </c>
      <c r="E40" s="183">
        <v>43084.287974537037</v>
      </c>
      <c r="F40" s="183">
        <v>43084.292025462964</v>
      </c>
      <c r="G40" s="182">
        <v>96</v>
      </c>
      <c r="H40" s="184" t="s">
        <v>917</v>
      </c>
      <c r="I40" s="183">
        <v>43084.316782407404</v>
      </c>
      <c r="J40" s="182">
        <v>0</v>
      </c>
      <c r="K40" s="190" t="str">
        <f t="shared" si="0"/>
        <v>4057/4058</v>
      </c>
      <c r="L40" s="196" t="str">
        <f>VLOOKUP(A40,'Trips&amp;Operators'!$C$1:$G$99911,5,FALSE)</f>
        <v>MACDONALD THOMAS</v>
      </c>
      <c r="M40" s="181">
        <f t="shared" si="1"/>
        <v>2.4756944440014195E-2</v>
      </c>
      <c r="N40" s="182">
        <f t="shared" si="22"/>
        <v>35.64999999362044</v>
      </c>
      <c r="O40" s="182"/>
      <c r="P40" s="182"/>
      <c r="Q40" s="185"/>
      <c r="R40" s="197"/>
      <c r="S40" s="241">
        <f t="shared" si="23"/>
        <v>1</v>
      </c>
      <c r="T40" s="220" t="str">
        <f t="shared" si="2"/>
        <v>NorthBound</v>
      </c>
      <c r="U40" s="22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21" t="str">
        <f t="shared" si="3"/>
        <v>https://d0f6bd738d7f1b3e5a7ca70fe4ff75f0.us-east-1.aws.found.io/app/kibana#/discover/Steve-Slow-Train-Analysis-(2080s-and-2083s)?_g=(refreshInterval:(display:Off,pause:!f,section:0,value:0),time:(from:'2017-12-15T05:54:41-0700',mode:absolute,to:'2017-12-15T08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0" s="222" t="str">
        <f>IF(AA40&lt;VLOOKUP(AG40,Variables!$AC$3:$AD$8,2,FALSE),"Y","N")</f>
        <v>N</v>
      </c>
      <c r="X40" s="222">
        <f t="shared" si="4"/>
        <v>1</v>
      </c>
      <c r="Y40" s="222">
        <f t="shared" si="5"/>
        <v>5.2400000000000002E-2</v>
      </c>
      <c r="Z40" s="222">
        <f t="shared" si="6"/>
        <v>23.321200000000001</v>
      </c>
      <c r="AA40" s="222">
        <f t="shared" si="7"/>
        <v>23.268800000000002</v>
      </c>
      <c r="AB40" s="231" t="e">
        <f>VLOOKUP(A40,Enforcements!$C$7:$K$9,8,0)</f>
        <v>#N/A</v>
      </c>
      <c r="AC40" s="231" t="e">
        <f>VLOOKUP(A40,Enforcements!$C$7:$E$9,3,0)</f>
        <v>#N/A</v>
      </c>
      <c r="AD40" s="232">
        <f t="shared" si="8"/>
        <v>127</v>
      </c>
      <c r="AE40" s="233" t="str">
        <f t="shared" si="9"/>
        <v>aws s3 cp s3://rtdc.mdm.uploadarchive.raw/RTDC4058/ "%USERPROFILE%\AppData\Local\Temp\OnboardLogs"\RTDC4058\2017-12-15 --exclude "*" --recursive --include "*20171215*" &amp; "%USERPROFILE%\Documents\GitHub\mrs-test-scripts\Headless Mode &amp; Sideloading\WalkAndUnGZ.bat" "%USERPROFILE%\AppData\Local\Temp\OnboardLogs"\RTDC4058\2017-12-15 &amp; aws s3 cp s3://rtdc.mdm.uploadarchive.raw/RTDC4058/ "%USERPROFILE%\AppData\Local\Temp\OnboardLogs"\RTDC4058\2017-12-16 --exclude "*" --recursive --include "*20171216*" &amp; "%USERPROFILE%\Documents\GitHub\mrs-test-scripts\Headless Mode &amp; Sideloading\WalkAndUnGZ.bat" "%USERPROFILE%\AppData\Local\Temp\OnboardLogs"\RTDC4058\2017-12-16</v>
      </c>
      <c r="AF40" s="234" t="str">
        <f t="shared" si="10"/>
        <v>"C:\Program Files (x86)\AstroGrep\AstroGrep.exe" /e /r /s /spath="%USERPROFILE%\AppData\Local\Temp\OnboardLogs" /stypes="app*4058*20171215*" /stext=" 14:.+((SYSTEM_STATE.+slice.+state.+changed )|(ment ac)|(multiple cpu faults)|(system.+state.+changed )|(\[timeout)|(PRM\|1\|D)|(kpr)|(kdp)|(train st.+moving)|(\|lc)|(penalty))"</v>
      </c>
      <c r="AG40" s="226" t="str">
        <f t="shared" si="11"/>
        <v>EC</v>
      </c>
      <c r="AH40" s="189" t="str">
        <f t="shared" si="17"/>
        <v>"%USERPROFILE%\Documents\GitHub\eaglep3\Utilities\RefineRTDCRunTimes.py" --tripid 127-15 --locoid 4058 --swversion DE.1.0.9.0 --startMP 204:524 --initTime 2017-12-15T06:54:41 --startdatetime 2017-12-15T07:00:31 --delay 96 --endMP 204:233212 --enddatetime 2017-12-15T07:36:10 --enforcementcount 0 &gt;&gt;%USERPROFILE%\Documents\GitHub\eaglep3-reporting\EC\2017-12-15-refined-times.txt</v>
      </c>
      <c r="AI40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{"issue":{"subject":"","project_id":79,"tracker_id":40,"status_id":1,"priority_id":2,"assigned_to_id":338,"start_date":"2017-12-15","description":"","custom_fields":[{"id":1,"name":"Subdivision","value":"EC"},{"id":4,"name":"Milepost","value":"23.3212"},{"id":17,"name":"Train ID","value":"127-15"},{"id":16,"name":"Locomotive ID","value":"4058"},{"id":130,"name":"Impact","value":""},{"id":150,"name":"Time of Event (Mountain Time)","value":"07:36:10"},{"id":151,"name":"Denver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180"/>
      <c r="AK40" s="188"/>
      <c r="AL40" s="188"/>
      <c r="AM40" s="193" t="str">
        <f t="shared" si="19"/>
        <v>start /low /b %USERPROFILE%\Documents\GitHub\eaglep3\Utilities\DownloadLogsFromS3.py --loco 4058 --day 2017-12-15</v>
      </c>
      <c r="AN40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14:36:10"},{"id":29,"name":"Sharepoint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87" t="str">
        <f t="shared" si="21"/>
        <v>https://d0f6bd738d7f1b3e5a7ca70fe4ff75f0.us-east-1.aws.found.io/app/kibana#/discover/Steve-Slow-Train-Analysis-(2080s-and-2083s)?_g=(refreshInterval:(display:Off,pause:!f,section:0,value:0),time:(from:'2017-12-15T05:54:41-0700',mode:absolute,to:'2017-12-15T08:36:10-0700'))&amp;_a=(columns:!('Message%20ID',Summary),filters:!(),index:'emp_*',interval:auto,query:(query_string:(analyze_wildcard:!t,query:'%22rtdc.l.rtdc.4058%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186" t="s">
        <v>652</v>
      </c>
      <c r="B41" s="182">
        <v>4057</v>
      </c>
      <c r="C41" s="184" t="s">
        <v>192</v>
      </c>
      <c r="D41" s="184" t="s">
        <v>918</v>
      </c>
      <c r="E41" s="183">
        <v>43084.329398148147</v>
      </c>
      <c r="F41" s="183">
        <v>43084.331701388888</v>
      </c>
      <c r="G41" s="182">
        <v>56</v>
      </c>
      <c r="H41" s="184" t="s">
        <v>919</v>
      </c>
      <c r="I41" s="183">
        <v>43084.357974537037</v>
      </c>
      <c r="J41" s="182">
        <v>0</v>
      </c>
      <c r="K41" s="190" t="str">
        <f t="shared" si="0"/>
        <v>4057/4058</v>
      </c>
      <c r="L41" s="196" t="str">
        <f>VLOOKUP(A41,'Trips&amp;Operators'!$C$1:$G$99911,5,FALSE)</f>
        <v>MACDONALD THOMAS</v>
      </c>
      <c r="M41" s="181">
        <f t="shared" si="1"/>
        <v>2.6273148148902692E-2</v>
      </c>
      <c r="N41" s="182">
        <f t="shared" si="22"/>
        <v>37.833333334419876</v>
      </c>
      <c r="O41" s="182"/>
      <c r="P41" s="182"/>
      <c r="Q41" s="185"/>
      <c r="R41" s="197"/>
      <c r="S41" s="241">
        <f t="shared" si="23"/>
        <v>1</v>
      </c>
      <c r="T41" s="220" t="str">
        <f t="shared" si="2"/>
        <v>Southbound</v>
      </c>
      <c r="U41" s="22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21" t="str">
        <f t="shared" si="3"/>
        <v>https://d0f6bd738d7f1b3e5a7ca70fe4ff75f0.us-east-1.aws.found.io/app/kibana#/discover/Steve-Slow-Train-Analysis-(2080s-and-2083s)?_g=(refreshInterval:(display:Off,pause:!f,section:0,value:0),time:(from:'2017-12-15T06:54:20-0700',mode:absolute,to:'2017-12-15T09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1" s="222" t="str">
        <f>IF(AA41&lt;VLOOKUP(AG41,Variables!$AC$3:$AD$8,2,FALSE),"Y","N")</f>
        <v>N</v>
      </c>
      <c r="X41" s="222">
        <f t="shared" si="4"/>
        <v>1</v>
      </c>
      <c r="Y41" s="222">
        <f t="shared" si="5"/>
        <v>23.288699999999999</v>
      </c>
      <c r="Z41" s="222">
        <f t="shared" si="6"/>
        <v>2.4E-2</v>
      </c>
      <c r="AA41" s="222">
        <f t="shared" si="7"/>
        <v>23.264699999999998</v>
      </c>
      <c r="AB41" s="231" t="str">
        <f>VLOOKUP(A41,Enforcements!$C$7:$K$9,8,0)</f>
        <v>Bulletin (2)</v>
      </c>
      <c r="AC41" s="231" t="str">
        <f>VLOOKUP(A41,Enforcements!$C$7:$E$9,3,0)</f>
        <v>GRADE CROSSING</v>
      </c>
      <c r="AD41" s="232">
        <f t="shared" si="8"/>
        <v>128</v>
      </c>
      <c r="AE41" s="233" t="str">
        <f t="shared" si="9"/>
        <v>aws s3 cp s3://rtdc.mdm.uploadarchive.raw/RTDC4057/ "%USERPROFILE%\AppData\Local\Temp\OnboardLogs"\RTDC4057\2017-12-15 --exclude "*" --recursive --include "*20171215*" &amp; "%USERPROFILE%\Documents\GitHub\mrs-test-scripts\Headless Mode &amp; Sideloading\WalkAndUnGZ.bat" "%USERPROFILE%\AppData\Local\Temp\OnboardLogs"\RTDC4057\2017-12-15 &amp; aws s3 cp s3://rtdc.mdm.uploadarchive.raw/RTDC4057/ "%USERPROFILE%\AppData\Local\Temp\OnboardLogs"\RTDC4057\2017-12-16 --exclude "*" --recursive --include "*20171216*" &amp; "%USERPROFILE%\Documents\GitHub\mrs-test-scripts\Headless Mode &amp; Sideloading\WalkAndUnGZ.bat" "%USERPROFILE%\AppData\Local\Temp\OnboardLogs"\RTDC4057\2017-12-16</v>
      </c>
      <c r="AF41" s="234" t="str">
        <f t="shared" si="10"/>
        <v>"C:\Program Files (x86)\AstroGrep\AstroGrep.exe" /e /r /s /spath="%USERPROFILE%\AppData\Local\Temp\OnboardLogs" /stypes="app*4057*20171215*" /stext=" 15:.+((SYSTEM_STATE.+slice.+state.+changed )|(ment ac)|(multiple cpu faults)|(system.+state.+changed )|(\[timeout)|(PRM\|1\|D)|(kpr)|(kdp)|(train st.+moving)|(\|lc)|(penalty))"</v>
      </c>
      <c r="AG41" s="226" t="str">
        <f t="shared" si="11"/>
        <v>EC</v>
      </c>
      <c r="AH41" s="189" t="str">
        <f t="shared" si="17"/>
        <v>"%USERPROFILE%\Documents\GitHub\eaglep3\Utilities\RefineRTDCRunTimes.py" --tripid 128-15 --locoid 4057 --swversion DE.1.0.9.0 --startMP 204:232887 --initTime 2017-12-15T07:54:20 --startdatetime 2017-12-15T07:57:39 --delay 56 --endMP 204:240 --enddatetime 2017-12-15T08:35:29 --enforcementcount 0 &gt;&gt;%USERPROFILE%\Documents\GitHub\eaglep3-reporting\EC\2017-12-15-refined-times.txt</v>
      </c>
      <c r="AI41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{"issue":{"subject":"","project_id":79,"tracker_id":40,"status_id":1,"priority_id":2,"assigned_to_id":338,"start_date":"2017-12-15","description":"","custom_fields":[{"id":1,"name":"Subdivision","value":"EC"},{"id":4,"name":"Milepost","value":"0.024"},{"id":17,"name":"Train ID","value":"128-15"},{"id":16,"name":"Locomotive ID","value":"4057"},{"id":130,"name":"Impact","value":""},{"id":150,"name":"Time of Event (Mountain Time)","value":"08:35:29"},{"id":151,"name":"Denver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180"/>
      <c r="AK41" s="188"/>
      <c r="AL41" s="188"/>
      <c r="AM41" s="193" t="str">
        <f t="shared" si="19"/>
        <v>start /low /b %USERPROFILE%\Documents\GitHub\eaglep3\Utilities\DownloadLogsFromS3.py --loco 4057 --day 2017-12-15</v>
      </c>
      <c r="AN41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15:35:29"},{"id":29,"name":"Sharepoint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87" t="str">
        <f t="shared" si="21"/>
        <v>https://d0f6bd738d7f1b3e5a7ca70fe4ff75f0.us-east-1.aws.found.io/app/kibana#/discover/Steve-Slow-Train-Analysis-(2080s-and-2083s)?_g=(refreshInterval:(display:Off,pause:!f,section:0,value:0),time:(from:'2017-12-15T06:54:20-0700',mode:absolute,to:'2017-12-15T09:35:29-0700'))&amp;_a=(columns:!('Message%20ID',Summary),filters:!(),index:'emp_*',interval:auto,query:(query_string:(analyze_wildcard:!t,query:'%22rtdc.l.rtdc.4057%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186" t="s">
        <v>729</v>
      </c>
      <c r="B42" s="182">
        <v>4044</v>
      </c>
      <c r="C42" s="184" t="s">
        <v>192</v>
      </c>
      <c r="D42" s="184" t="s">
        <v>562</v>
      </c>
      <c r="E42" s="183">
        <v>43084.297060185185</v>
      </c>
      <c r="F42" s="183">
        <v>43084.30228009259</v>
      </c>
      <c r="G42" s="182">
        <v>49</v>
      </c>
      <c r="H42" s="184" t="s">
        <v>589</v>
      </c>
      <c r="I42" s="183">
        <v>43084.326655092591</v>
      </c>
      <c r="J42" s="182">
        <v>0</v>
      </c>
      <c r="K42" s="190" t="str">
        <f t="shared" si="0"/>
        <v>4043/4044</v>
      </c>
      <c r="L42" s="196" t="str">
        <f>VLOOKUP(A42,'Trips&amp;Operators'!$C$1:$G$99911,5,FALSE)</f>
        <v>MAELZER KURT</v>
      </c>
      <c r="M42" s="181">
        <f t="shared" si="1"/>
        <v>2.4375000000873115E-2</v>
      </c>
      <c r="N42" s="182">
        <f t="shared" si="22"/>
        <v>35.100000001257285</v>
      </c>
      <c r="O42" s="182"/>
      <c r="P42" s="182"/>
      <c r="Q42" s="185"/>
      <c r="R42" s="197"/>
      <c r="S42" s="241">
        <f t="shared" si="23"/>
        <v>1</v>
      </c>
      <c r="T42" s="220" t="str">
        <f t="shared" si="2"/>
        <v>NorthBound</v>
      </c>
      <c r="U42" s="22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21" t="str">
        <f t="shared" si="3"/>
        <v>https://d0f6bd738d7f1b3e5a7ca70fe4ff75f0.us-east-1.aws.found.io/app/kibana#/discover/Steve-Slow-Train-Analysis-(2080s-and-2083s)?_g=(refreshInterval:(display:Off,pause:!f,section:0,value:0),time:(from:'2017-12-15T06:07:46-0700',mode:absolute,to:'2017-12-15T08:50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2" s="222" t="str">
        <f>IF(AA42&lt;VLOOKUP(AG42,Variables!$AC$3:$AD$8,2,FALSE),"Y","N")</f>
        <v>N</v>
      </c>
      <c r="X42" s="222">
        <f t="shared" si="4"/>
        <v>1</v>
      </c>
      <c r="Y42" s="222">
        <f t="shared" si="5"/>
        <v>4.7500000000000001E-2</v>
      </c>
      <c r="Z42" s="222">
        <f t="shared" si="6"/>
        <v>23.328399999999998</v>
      </c>
      <c r="AA42" s="222">
        <f t="shared" si="7"/>
        <v>23.280899999999999</v>
      </c>
      <c r="AB42" s="231" t="e">
        <f>VLOOKUP(A42,Enforcements!$C$7:$K$9,8,0)</f>
        <v>#N/A</v>
      </c>
      <c r="AC42" s="231" t="e">
        <f>VLOOKUP(A42,Enforcements!$C$7:$E$9,3,0)</f>
        <v>#N/A</v>
      </c>
      <c r="AD42" s="232">
        <f t="shared" si="8"/>
        <v>129</v>
      </c>
      <c r="AE42" s="233" t="str">
        <f t="shared" si="9"/>
        <v>aws s3 cp s3://rtdc.mdm.uploadarchive.raw/RTDC4044/ "%USERPROFILE%\AppData\Local\Temp\OnboardLogs"\RTDC4044\2017-12-15 --exclude "*" --recursive --include "*20171215*" &amp; "%USERPROFILE%\Documents\GitHub\mrs-test-scripts\Headless Mode &amp; Sideloading\WalkAndUnGZ.bat" "%USERPROFILE%\AppData\Local\Temp\OnboardLogs"\RTDC4044\2017-12-15 &amp; aws s3 cp s3://rtdc.mdm.uploadarchive.raw/RTDC4044/ "%USERPROFILE%\AppData\Local\Temp\OnboardLogs"\RTDC4044\2017-12-16 --exclude "*" --recursive --include "*20171216*" &amp; "%USERPROFILE%\Documents\GitHub\mrs-test-scripts\Headless Mode &amp; Sideloading\WalkAndUnGZ.bat" "%USERPROFILE%\AppData\Local\Temp\OnboardLogs"\RTDC4044\2017-12-16</v>
      </c>
      <c r="AF42" s="234" t="str">
        <f t="shared" si="10"/>
        <v>"C:\Program Files (x86)\AstroGrep\AstroGrep.exe" /e /r /s /spath="%USERPROFILE%\AppData\Local\Temp\OnboardLogs" /stypes="app*4044*20171215*" /stext=" 14:.+((SYSTEM_STATE.+slice.+state.+changed )|(ment ac)|(multiple cpu faults)|(system.+state.+changed )|(\[timeout)|(PRM\|1\|D)|(kpr)|(kdp)|(train st.+moving)|(\|lc)|(penalty))"</v>
      </c>
      <c r="AG42" s="226" t="str">
        <f t="shared" si="11"/>
        <v>EC</v>
      </c>
      <c r="AH42" s="189" t="str">
        <f t="shared" si="17"/>
        <v>"%USERPROFILE%\Documents\GitHub\eaglep3\Utilities\RefineRTDCRunTimes.py" --tripid 129-15 --locoid 4044 --swversion DE.1.0.9.0 --startMP 204:475 --initTime 2017-12-15T07:07:46 --startdatetime 2017-12-15T07:15:17 --delay 49 --endMP 204:233284 --enddatetime 2017-12-15T07:50:23 --enforcementcount 0 &gt;&gt;%USERPROFILE%\Documents\GitHub\eaglep3-reporting\EC\2017-12-15-refined-times.txt</v>
      </c>
      <c r="AI42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{"issue":{"subject":"","project_id":79,"tracker_id":40,"status_id":1,"priority_id":2,"assigned_to_id":338,"start_date":"2017-12-15","description":"","custom_fields":[{"id":1,"name":"Subdivision","value":"EC"},{"id":4,"name":"Milepost","value":"23.3284"},{"id":17,"name":"Train ID","value":"129-15"},{"id":16,"name":"Locomotive ID","value":"4044"},{"id":130,"name":"Impact","value":""},{"id":150,"name":"Time of Event (Mountain Time)","value":"07:50:23"},{"id":151,"name":"Denver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180"/>
      <c r="AK42" s="188"/>
      <c r="AL42" s="188"/>
      <c r="AM42" s="193" t="str">
        <f t="shared" si="19"/>
        <v>start /low /b %USERPROFILE%\Documents\GitHub\eaglep3\Utilities\DownloadLogsFromS3.py --loco 4044 --day 2017-12-15</v>
      </c>
      <c r="AN42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14:50:23"},{"id":29,"name":"Sharepoint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87" t="str">
        <f t="shared" si="21"/>
        <v>https://d0f6bd738d7f1b3e5a7ca70fe4ff75f0.us-east-1.aws.found.io/app/kibana#/discover/Steve-Slow-Train-Analysis-(2080s-and-2083s)?_g=(refreshInterval:(display:Off,pause:!f,section:0,value:0),time:(from:'2017-12-15T06:07:46-0700',mode:absolute,to:'2017-12-15T08:50:23-0700'))&amp;_a=(columns:!('Message%20ID',Summary),filters:!(),index:'emp_*',interval:auto,query:(query_string:(analyze_wildcard:!t,query:'%22rtdc.l.rtdc.4044%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186" t="s">
        <v>737</v>
      </c>
      <c r="B43" s="182">
        <v>4043</v>
      </c>
      <c r="C43" s="184" t="s">
        <v>192</v>
      </c>
      <c r="D43" s="184" t="s">
        <v>920</v>
      </c>
      <c r="E43" s="183">
        <v>43084.331307870372</v>
      </c>
      <c r="F43" s="183">
        <v>43084.341863425929</v>
      </c>
      <c r="G43" s="182">
        <v>43</v>
      </c>
      <c r="H43" s="184" t="s">
        <v>904</v>
      </c>
      <c r="I43" s="183">
        <v>43084.368483796294</v>
      </c>
      <c r="J43" s="182">
        <v>0</v>
      </c>
      <c r="K43" s="190" t="str">
        <f t="shared" si="0"/>
        <v>4043/4044</v>
      </c>
      <c r="L43" s="196" t="str">
        <f>VLOOKUP(A43,'Trips&amp;Operators'!$C$1:$G$99911,5,FALSE)</f>
        <v>MAELZER KURT</v>
      </c>
      <c r="M43" s="181">
        <f t="shared" si="1"/>
        <v>2.6620370364980772E-2</v>
      </c>
      <c r="N43" s="182">
        <f t="shared" si="22"/>
        <v>38.333333325572312</v>
      </c>
      <c r="O43" s="182"/>
      <c r="P43" s="182"/>
      <c r="Q43" s="185"/>
      <c r="R43" s="197"/>
      <c r="S43" s="241">
        <f t="shared" si="23"/>
        <v>1</v>
      </c>
      <c r="T43" s="220" t="str">
        <f t="shared" si="2"/>
        <v>Southbound</v>
      </c>
      <c r="U43" s="22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21" t="str">
        <f t="shared" si="3"/>
        <v>https://d0f6bd738d7f1b3e5a7ca70fe4ff75f0.us-east-1.aws.found.io/app/kibana#/discover/Steve-Slow-Train-Analysis-(2080s-and-2083s)?_g=(refreshInterval:(display:Off,pause:!f,section:0,value:0),time:(from:'2017-12-15T06:57:05-0700',mode:absolute,to:'2017-12-15T09:50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3" s="222" t="str">
        <f>IF(AA43&lt;VLOOKUP(AG43,Variables!$AC$3:$AD$8,2,FALSE),"Y","N")</f>
        <v>N</v>
      </c>
      <c r="X43" s="222">
        <f t="shared" si="4"/>
        <v>1</v>
      </c>
      <c r="Y43" s="222">
        <f t="shared" si="5"/>
        <v>23.297799999999999</v>
      </c>
      <c r="Z43" s="222">
        <f t="shared" si="6"/>
        <v>1.8100000000000002E-2</v>
      </c>
      <c r="AA43" s="222">
        <f t="shared" si="7"/>
        <v>23.279699999999998</v>
      </c>
      <c r="AB43" s="231" t="e">
        <f>VLOOKUP(A43,Enforcements!$C$7:$K$9,8,0)</f>
        <v>#N/A</v>
      </c>
      <c r="AC43" s="231" t="e">
        <f>VLOOKUP(A43,Enforcements!$C$7:$E$9,3,0)</f>
        <v>#N/A</v>
      </c>
      <c r="AD43" s="232">
        <f t="shared" si="8"/>
        <v>130</v>
      </c>
      <c r="AE43" s="233" t="str">
        <f t="shared" si="9"/>
        <v>aws s3 cp s3://rtdc.mdm.uploadarchive.raw/RTDC4043/ "%USERPROFILE%\AppData\Local\Temp\OnboardLogs"\RTDC4043\2017-12-15 --exclude "*" --recursive --include "*20171215*" &amp; "%USERPROFILE%\Documents\GitHub\mrs-test-scripts\Headless Mode &amp; Sideloading\WalkAndUnGZ.bat" "%USERPROFILE%\AppData\Local\Temp\OnboardLogs"\RTDC4043\2017-12-15 &amp; aws s3 cp s3://rtdc.mdm.uploadarchive.raw/RTDC4043/ "%USERPROFILE%\AppData\Local\Temp\OnboardLogs"\RTDC4043\2017-12-16 --exclude "*" --recursive --include "*20171216*" &amp; "%USERPROFILE%\Documents\GitHub\mrs-test-scripts\Headless Mode &amp; Sideloading\WalkAndUnGZ.bat" "%USERPROFILE%\AppData\Local\Temp\OnboardLogs"\RTDC4043\2017-12-16</v>
      </c>
      <c r="AF43" s="234" t="str">
        <f t="shared" si="10"/>
        <v>"C:\Program Files (x86)\AstroGrep\AstroGrep.exe" /e /r /s /spath="%USERPROFILE%\AppData\Local\Temp\OnboardLogs" /stypes="app*4043*20171215*" /stext=" 15:.+((SYSTEM_STATE.+slice.+state.+changed )|(ment ac)|(multiple cpu faults)|(system.+state.+changed )|(\[timeout)|(PRM\|1\|D)|(kpr)|(kdp)|(train st.+moving)|(\|lc)|(penalty))"</v>
      </c>
      <c r="AG43" s="226" t="str">
        <f t="shared" si="11"/>
        <v>EC</v>
      </c>
      <c r="AH43" s="189" t="str">
        <f t="shared" si="17"/>
        <v>"%USERPROFILE%\Documents\GitHub\eaglep3\Utilities\RefineRTDCRunTimes.py" --tripid 130-15 --locoid 4043 --swversion DE.1.0.9.0 --startMP 204:232978 --initTime 2017-12-15T07:57:05 --startdatetime 2017-12-15T08:12:17 --delay 43 --endMP 204:181 --enddatetime 2017-12-15T08:50:37 --enforcementcount 0 &gt;&gt;%USERPROFILE%\Documents\GitHub\eaglep3-reporting\EC\2017-12-15-refined-times.txt</v>
      </c>
      <c r="AI43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{"issue":{"subject":"","project_id":79,"tracker_id":40,"status_id":1,"priority_id":2,"assigned_to_id":338,"start_date":"2017-12-15","description":"","custom_fields":[{"id":1,"name":"Subdivision","value":"EC"},{"id":4,"name":"Milepost","value":"0.0181"},{"id":17,"name":"Train ID","value":"130-15"},{"id":16,"name":"Locomotive ID","value":"4043"},{"id":130,"name":"Impact","value":""},{"id":150,"name":"Time of Event (Mountain Time)","value":"08:50:37"},{"id":151,"name":"Denver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180"/>
      <c r="AK43" s="188"/>
      <c r="AL43" s="188"/>
      <c r="AM43" s="193" t="str">
        <f t="shared" si="19"/>
        <v>start /low /b %USERPROFILE%\Documents\GitHub\eaglep3\Utilities\DownloadLogsFromS3.py --loco 4043 --day 2017-12-15</v>
      </c>
      <c r="AN43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15:50:37"},{"id":29,"name":"Sharepoint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87" t="str">
        <f t="shared" si="21"/>
        <v>https://d0f6bd738d7f1b3e5a7ca70fe4ff75f0.us-east-1.aws.found.io/app/kibana#/discover/Steve-Slow-Train-Analysis-(2080s-and-2083s)?_g=(refreshInterval:(display:Off,pause:!f,section:0,value:0),time:(from:'2017-12-15T06:57:05-0700',mode:absolute,to:'2017-12-15T09:50:37-0700'))&amp;_a=(columns:!('Message%20ID',Summary),filters:!(),index:'emp_*',interval:auto,query:(query_string:(analyze_wildcard:!t,query:'%22rtdc.l.rtdc.4043%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186" t="s">
        <v>731</v>
      </c>
      <c r="B44" s="182">
        <v>4036</v>
      </c>
      <c r="C44" s="184" t="s">
        <v>192</v>
      </c>
      <c r="D44" s="184" t="s">
        <v>893</v>
      </c>
      <c r="E44" s="183">
        <v>43084.306921296295</v>
      </c>
      <c r="F44" s="183">
        <v>43084.312662037039</v>
      </c>
      <c r="G44" s="182">
        <v>50</v>
      </c>
      <c r="H44" s="184" t="s">
        <v>559</v>
      </c>
      <c r="I44" s="183">
        <v>43084.337557870371</v>
      </c>
      <c r="J44" s="182">
        <v>0</v>
      </c>
      <c r="K44" s="190" t="str">
        <f t="shared" si="0"/>
        <v>4035/4036</v>
      </c>
      <c r="L44" s="196" t="str">
        <f>VLOOKUP(A44,'Trips&amp;Operators'!$C$1:$G$99911,5,FALSE)</f>
        <v>YANAI IAN</v>
      </c>
      <c r="M44" s="181">
        <f t="shared" si="1"/>
        <v>2.4895833332266193E-2</v>
      </c>
      <c r="N44" s="182">
        <f t="shared" si="22"/>
        <v>35.849999998463318</v>
      </c>
      <c r="O44" s="182"/>
      <c r="P44" s="182"/>
      <c r="Q44" s="185"/>
      <c r="R44" s="197"/>
      <c r="S44" s="241">
        <f t="shared" si="23"/>
        <v>1</v>
      </c>
      <c r="T44" s="220" t="str">
        <f t="shared" si="2"/>
        <v>NorthBound</v>
      </c>
      <c r="U44" s="22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21" t="str">
        <f t="shared" si="3"/>
        <v>https://d0f6bd738d7f1b3e5a7ca70fe4ff75f0.us-east-1.aws.found.io/app/kibana#/discover/Steve-Slow-Train-Analysis-(2080s-and-2083s)?_g=(refreshInterval:(display:Off,pause:!f,section:0,value:0),time:(from:'2017-12-15T06:21:58-0700',mode:absolute,to:'2017-12-15T09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4" s="222" t="str">
        <f>IF(AA44&lt;VLOOKUP(AG44,Variables!$AC$3:$AD$8,2,FALSE),"Y","N")</f>
        <v>N</v>
      </c>
      <c r="X44" s="222">
        <f t="shared" si="4"/>
        <v>1</v>
      </c>
      <c r="Y44" s="222">
        <f t="shared" si="5"/>
        <v>4.8399999999999999E-2</v>
      </c>
      <c r="Z44" s="222">
        <f t="shared" si="6"/>
        <v>23.331199999999999</v>
      </c>
      <c r="AA44" s="222">
        <f t="shared" si="7"/>
        <v>23.282799999999998</v>
      </c>
      <c r="AB44" s="231" t="e">
        <f>VLOOKUP(A44,Enforcements!$C$7:$K$9,8,0)</f>
        <v>#N/A</v>
      </c>
      <c r="AC44" s="231" t="e">
        <f>VLOOKUP(A44,Enforcements!$C$7:$E$9,3,0)</f>
        <v>#N/A</v>
      </c>
      <c r="AD44" s="232">
        <f t="shared" si="8"/>
        <v>131</v>
      </c>
      <c r="AE44" s="233" t="str">
        <f t="shared" si="9"/>
        <v>aws s3 cp s3://rtdc.mdm.uploadarchive.raw/RTDC4036/ "%USERPROFILE%\AppData\Local\Temp\OnboardLogs"\RTDC4036\2017-12-15 --exclude "*" --recursive --include "*20171215*" &amp; "%USERPROFILE%\Documents\GitHub\mrs-test-scripts\Headless Mode &amp; Sideloading\WalkAndUnGZ.bat" "%USERPROFILE%\AppData\Local\Temp\OnboardLogs"\RTDC4036\2017-12-15 &amp; aws s3 cp s3://rtdc.mdm.uploadarchive.raw/RTDC4036/ "%USERPROFILE%\AppData\Local\Temp\OnboardLogs"\RTDC4036\2017-12-16 --exclude "*" --recursive --include "*20171216*" &amp; "%USERPROFILE%\Documents\GitHub\mrs-test-scripts\Headless Mode &amp; Sideloading\WalkAndUnGZ.bat" "%USERPROFILE%\AppData\Local\Temp\OnboardLogs"\RTDC4036\2017-12-16</v>
      </c>
      <c r="AF44" s="234" t="str">
        <f t="shared" si="10"/>
        <v>"C:\Program Files (x86)\AstroGrep\AstroGrep.exe" /e /r /s /spath="%USERPROFILE%\AppData\Local\Temp\OnboardLogs" /stypes="app*4036*20171215*" /stext=" 15:.+((SYSTEM_STATE.+slice.+state.+changed )|(ment ac)|(multiple cpu faults)|(system.+state.+changed )|(\[timeout)|(PRM\|1\|D)|(kpr)|(kdp)|(train st.+moving)|(\|lc)|(penalty))"</v>
      </c>
      <c r="AG44" s="226" t="str">
        <f t="shared" si="11"/>
        <v>EC</v>
      </c>
      <c r="AH44" s="189" t="str">
        <f t="shared" si="17"/>
        <v>"%USERPROFILE%\Documents\GitHub\eaglep3\Utilities\RefineRTDCRunTimes.py" --tripid 131-15 --locoid 4036 --swversion DE.1.0.9.0 --startMP 204:484 --initTime 2017-12-15T07:21:58 --startdatetime 2017-12-15T07:30:14 --delay 50 --endMP 204:233312 --enddatetime 2017-12-15T08:06:05 --enforcementcount 0 &gt;&gt;%USERPROFILE%\Documents\GitHub\eaglep3-reporting\EC\2017-12-15-refined-times.txt</v>
      </c>
      <c r="AI44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{"issue":{"subject":"","project_id":79,"tracker_id":40,"status_id":1,"priority_id":2,"assigned_to_id":338,"start_date":"2017-12-15","description":"","custom_fields":[{"id":1,"name":"Subdivision","value":"EC"},{"id":4,"name":"Milepost","value":"23.3312"},{"id":17,"name":"Train ID","value":"131-15"},{"id":16,"name":"Locomotive ID","value":"4036"},{"id":130,"name":"Impact","value":""},{"id":150,"name":"Time of Event (Mountain Time)","value":"08:06:05"},{"id":151,"name":"Denver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180"/>
      <c r="AK44" s="188"/>
      <c r="AL44" s="188"/>
      <c r="AM44" s="193" t="str">
        <f t="shared" si="19"/>
        <v>start /low /b %USERPROFILE%\Documents\GitHub\eaglep3\Utilities\DownloadLogsFromS3.py --loco 4036 --day 2017-12-15</v>
      </c>
      <c r="AN44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15:06:05"},{"id":29,"name":"Sharepoint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87" t="str">
        <f t="shared" si="21"/>
        <v>https://d0f6bd738d7f1b3e5a7ca70fe4ff75f0.us-east-1.aws.found.io/app/kibana#/discover/Steve-Slow-Train-Analysis-(2080s-and-2083s)?_g=(refreshInterval:(display:Off,pause:!f,section:0,value:0),time:(from:'2017-12-15T06:21:58-0700',mode:absolute,to:'2017-12-15T09:06:05-0700'))&amp;_a=(columns:!('Message%20ID',Summary),filters:!(),index:'emp_*',interval:auto,query:(query_string:(analyze_wildcard:!t,query:'%22rtdc.l.rtdc.4036%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186" t="s">
        <v>739</v>
      </c>
      <c r="B45" s="182">
        <v>4035</v>
      </c>
      <c r="C45" s="184" t="s">
        <v>192</v>
      </c>
      <c r="D45" s="184" t="s">
        <v>921</v>
      </c>
      <c r="E45" s="183">
        <v>43084.338530092595</v>
      </c>
      <c r="F45" s="183">
        <v>43084.352361111109</v>
      </c>
      <c r="G45" s="182">
        <v>87</v>
      </c>
      <c r="H45" s="184" t="s">
        <v>613</v>
      </c>
      <c r="I45" s="183">
        <v>43084.377523148149</v>
      </c>
      <c r="J45" s="182">
        <v>0</v>
      </c>
      <c r="K45" s="190" t="str">
        <f t="shared" ref="K45:K76" si="24">IF(ISEVEN(B45),(B45-1)&amp;"/"&amp;B45,B45&amp;"/"&amp;(B45+1))</f>
        <v>4035/4036</v>
      </c>
      <c r="L45" s="196" t="str">
        <f>VLOOKUP(A45,'Trips&amp;Operators'!$C$1:$G$99911,5,FALSE)</f>
        <v>YANAI IAN</v>
      </c>
      <c r="M45" s="181">
        <f t="shared" ref="M45:M76" si="25">I45-F45</f>
        <v>2.5162037039990537E-2</v>
      </c>
      <c r="N45" s="182">
        <f t="shared" si="22"/>
        <v>36.233333337586373</v>
      </c>
      <c r="O45" s="182"/>
      <c r="P45" s="182"/>
      <c r="Q45" s="185"/>
      <c r="R45" s="197"/>
      <c r="S45" s="241">
        <f t="shared" si="23"/>
        <v>1</v>
      </c>
      <c r="T45" s="220" t="str">
        <f t="shared" ref="T45:T76" si="26">IF(ISEVEN(LEFT(AD45,4)),"Southbound","NorthBound")</f>
        <v>Southbound</v>
      </c>
      <c r="U45" s="22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21" t="str">
        <f t="shared" si="3"/>
        <v>https://d0f6bd738d7f1b3e5a7ca70fe4ff75f0.us-east-1.aws.found.io/app/kibana#/discover/Steve-Slow-Train-Analysis-(2080s-and-2083s)?_g=(refreshInterval:(display:Off,pause:!f,section:0,value:0),time:(from:'2017-12-15T07:07:29-0700',mode:absolute,to:'2017-12-15T10:03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45" s="222" t="str">
        <f>IF(AA45&lt;VLOOKUP(AG45,Variables!$AC$3:$AD$8,2,FALSE),"Y","N")</f>
        <v>N</v>
      </c>
      <c r="X45" s="222">
        <f t="shared" ref="X45:X76" si="27">VALUE(LEFT(AD45,4))-VALUE(LEFT(AD44,4))</f>
        <v>1</v>
      </c>
      <c r="Y45" s="222">
        <f t="shared" ref="Y45:Y76" si="28">RIGHT(D45,LEN(D45)-4)/10000</f>
        <v>23.299099999999999</v>
      </c>
      <c r="Z45" s="222">
        <f t="shared" ref="Z45:Z76" si="29">RIGHT(H45,LEN(H45)-4)/10000</f>
        <v>2.3800000000000002E-2</v>
      </c>
      <c r="AA45" s="222">
        <f t="shared" ref="AA45:AA76" si="30">ABS(Z45-Y45)</f>
        <v>23.275299999999998</v>
      </c>
      <c r="AB45" s="231" t="e">
        <f>VLOOKUP(A45,Enforcements!$C$7:$K$9,8,0)</f>
        <v>#N/A</v>
      </c>
      <c r="AC45" s="231" t="e">
        <f>VLOOKUP(A45,Enforcements!$C$7:$E$9,3,0)</f>
        <v>#N/A</v>
      </c>
      <c r="AD45" s="232">
        <f t="shared" ref="AD45:AD76" si="31">VALUE(LEFT(A45,LEN(A45)-3))</f>
        <v>132</v>
      </c>
      <c r="AE45" s="233" t="str">
        <f t="shared" si="9"/>
        <v>aws s3 cp s3://rtdc.mdm.uploadarchive.raw/RTDC4035/ "%USERPROFILE%\AppData\Local\Temp\OnboardLogs"\RTDC4035\2017-12-15 --exclude "*" --recursive --include "*20171215*" &amp; "%USERPROFILE%\Documents\GitHub\mrs-test-scripts\Headless Mode &amp; Sideloading\WalkAndUnGZ.bat" "%USERPROFILE%\AppData\Local\Temp\OnboardLogs"\RTDC4035\2017-12-15 &amp; aws s3 cp s3://rtdc.mdm.uploadarchive.raw/RTDC4035/ "%USERPROFILE%\AppData\Local\Temp\OnboardLogs"\RTDC4035\2017-12-16 --exclude "*" --recursive --include "*20171216*" &amp; "%USERPROFILE%\Documents\GitHub\mrs-test-scripts\Headless Mode &amp; Sideloading\WalkAndUnGZ.bat" "%USERPROFILE%\AppData\Local\Temp\OnboardLogs"\RTDC4035\2017-12-16</v>
      </c>
      <c r="AF45" s="234" t="str">
        <f t="shared" si="10"/>
        <v>"C:\Program Files (x86)\AstroGrep\AstroGrep.exe" /e /r /s /spath="%USERPROFILE%\AppData\Local\Temp\OnboardLogs" /stypes="app*4035*20171215*" /stext=" 16:.+((SYSTEM_STATE.+slice.+state.+changed )|(ment ac)|(multiple cpu faults)|(system.+state.+changed )|(\[timeout)|(PRM\|1\|D)|(kpr)|(kdp)|(train st.+moving)|(\|lc)|(penalty))"</v>
      </c>
      <c r="AG45" s="226" t="str">
        <f t="shared" ref="AG45:AG76" si="32">DetSubdiv(A45)</f>
        <v>EC</v>
      </c>
      <c r="AH45" s="189" t="str">
        <f t="shared" si="17"/>
        <v>"%USERPROFILE%\Documents\GitHub\eaglep3\Utilities\RefineRTDCRunTimes.py" --tripid 132-15 --locoid 4035 --swversion DE.1.0.9.0 --startMP 204:232991 --initTime 2017-12-15T08:07:29 --startdatetime 2017-12-15T08:27:24 --delay 87 --endMP 204:238 --enddatetime 2017-12-15T09:03:38 --enforcementcount 0 &gt;&gt;%USERPROFILE%\Documents\GitHub\eaglep3-reporting\EC\2017-12-15-refined-times.txt</v>
      </c>
      <c r="AI45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{"issue":{"subject":"","project_id":79,"tracker_id":40,"status_id":1,"priority_id":2,"assigned_to_id":338,"start_date":"2017-12-15","description":"","custom_fields":[{"id":1,"name":"Subdivision","value":"EC"},{"id":4,"name":"Milepost","value":"0.0238"},{"id":17,"name":"Train ID","value":"132-15"},{"id":16,"name":"Locomotive ID","value":"4035"},{"id":130,"name":"Impact","value":""},{"id":150,"name":"Time of Event (Mountain Time)","value":"09:03:38"},{"id":151,"name":"Denver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180"/>
      <c r="AK45" s="188"/>
      <c r="AL45" s="188"/>
      <c r="AM45" s="193" t="str">
        <f t="shared" si="19"/>
        <v>start /low /b %USERPROFILE%\Documents\GitHub\eaglep3\Utilities\DownloadLogsFromS3.py --loco 4035 --day 2017-12-15</v>
      </c>
      <c r="AN45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16:03:38"},{"id":29,"name":"Sharepoint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87" t="str">
        <f t="shared" si="21"/>
        <v>https://d0f6bd738d7f1b3e5a7ca70fe4ff75f0.us-east-1.aws.found.io/app/kibana#/discover/Steve-Slow-Train-Analysis-(2080s-and-2083s)?_g=(refreshInterval:(display:Off,pause:!f,section:0,value:0),time:(from:'2017-12-15T07:07:29-0700',mode:absolute,to:'2017-12-15T10:03:38-0700'))&amp;_a=(columns:!('Message%20ID',Summary),filters:!(),index:'emp_*',interval:auto,query:(query_string:(analyze_wildcard:!t,query:'%22rtdc.l.rtdc.4035%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186" t="s">
        <v>733</v>
      </c>
      <c r="B46" s="182">
        <v>4032</v>
      </c>
      <c r="C46" s="184" t="s">
        <v>192</v>
      </c>
      <c r="D46" s="184" t="s">
        <v>560</v>
      </c>
      <c r="E46" s="183">
        <v>43084.317557870374</v>
      </c>
      <c r="F46" s="183">
        <v>43084.323067129626</v>
      </c>
      <c r="G46" s="182">
        <v>59</v>
      </c>
      <c r="H46" s="184" t="s">
        <v>601</v>
      </c>
      <c r="I46" s="183">
        <v>43084.346643518518</v>
      </c>
      <c r="J46" s="182">
        <v>0</v>
      </c>
      <c r="K46" s="190" t="str">
        <f t="shared" si="24"/>
        <v>4031/4032</v>
      </c>
      <c r="L46" s="196" t="str">
        <f>VLOOKUP(A46,'Trips&amp;Operators'!$C$1:$G$99911,5,FALSE)</f>
        <v>PAGE MARCUS</v>
      </c>
      <c r="M46" s="181">
        <f t="shared" si="25"/>
        <v>2.3576388892251998E-2</v>
      </c>
      <c r="N46" s="182">
        <f t="shared" si="22"/>
        <v>33.950000004842877</v>
      </c>
      <c r="O46" s="182"/>
      <c r="P46" s="182"/>
      <c r="Q46" s="185"/>
      <c r="R46" s="197"/>
      <c r="S46" s="241">
        <f t="shared" si="23"/>
        <v>1</v>
      </c>
      <c r="T46" s="220" t="str">
        <f t="shared" si="26"/>
        <v>NorthBound</v>
      </c>
      <c r="U46" s="22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21" t="str">
        <f t="shared" si="3"/>
        <v>https://d0f6bd738d7f1b3e5a7ca70fe4ff75f0.us-east-1.aws.found.io/app/kibana#/discover/Steve-Slow-Train-Analysis-(2080s-and-2083s)?_g=(refreshInterval:(display:Off,pause:!f,section:0,value:0),time:(from:'2017-12-15T06:37:17-0700',mode:absolute,to:'2017-12-15T09:19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6" s="222" t="str">
        <f>IF(AA46&lt;VLOOKUP(AG46,Variables!$AC$3:$AD$8,2,FALSE),"Y","N")</f>
        <v>N</v>
      </c>
      <c r="X46" s="222">
        <f t="shared" si="27"/>
        <v>1</v>
      </c>
      <c r="Y46" s="222">
        <f t="shared" si="28"/>
        <v>4.9799999999999997E-2</v>
      </c>
      <c r="Z46" s="222">
        <f t="shared" si="29"/>
        <v>23.330100000000002</v>
      </c>
      <c r="AA46" s="222">
        <f t="shared" si="30"/>
        <v>23.2803</v>
      </c>
      <c r="AB46" s="231" t="e">
        <f>VLOOKUP(A46,Enforcements!$C$7:$K$9,8,0)</f>
        <v>#N/A</v>
      </c>
      <c r="AC46" s="231" t="e">
        <f>VLOOKUP(A46,Enforcements!$C$7:$E$9,3,0)</f>
        <v>#N/A</v>
      </c>
      <c r="AD46" s="232">
        <f t="shared" si="31"/>
        <v>133</v>
      </c>
      <c r="AE46" s="233" t="str">
        <f t="shared" si="9"/>
        <v>aws s3 cp s3://rtdc.mdm.uploadarchive.raw/RTDC4032/ "%USERPROFILE%\AppData\Local\Temp\OnboardLogs"\RTDC4032\2017-12-15 --exclude "*" --recursive --include "*20171215*" &amp; "%USERPROFILE%\Documents\GitHub\mrs-test-scripts\Headless Mode &amp; Sideloading\WalkAndUnGZ.bat" "%USERPROFILE%\AppData\Local\Temp\OnboardLogs"\RTDC4032\2017-12-15 &amp; aws s3 cp s3://rtdc.mdm.uploadarchive.raw/RTDC4032/ "%USERPROFILE%\AppData\Local\Temp\OnboardLogs"\RTDC4032\2017-12-16 --exclude "*" --recursive --include "*20171216*" &amp; "%USERPROFILE%\Documents\GitHub\mrs-test-scripts\Headless Mode &amp; Sideloading\WalkAndUnGZ.bat" "%USERPROFILE%\AppData\Local\Temp\OnboardLogs"\RTDC4032\2017-12-16</v>
      </c>
      <c r="AF46" s="234" t="str">
        <f t="shared" si="10"/>
        <v>"C:\Program Files (x86)\AstroGrep\AstroGrep.exe" /e /r /s /spath="%USERPROFILE%\AppData\Local\Temp\OnboardLogs" /stypes="app*4032*20171215*" /stext=" 15:.+((SYSTEM_STATE.+slice.+state.+changed )|(ment ac)|(multiple cpu faults)|(system.+state.+changed )|(\[timeout)|(PRM\|1\|D)|(kpr)|(kdp)|(train st.+moving)|(\|lc)|(penalty))"</v>
      </c>
      <c r="AG46" s="226" t="str">
        <f t="shared" si="32"/>
        <v>EC</v>
      </c>
      <c r="AH46" s="189" t="str">
        <f t="shared" si="17"/>
        <v>"%USERPROFILE%\Documents\GitHub\eaglep3\Utilities\RefineRTDCRunTimes.py" --tripid 133-15 --locoid 4032 --swversion DE.1.0.9.0 --startMP 204:498 --initTime 2017-12-15T07:37:17 --startdatetime 2017-12-15T07:45:13 --delay 59 --endMP 204:233301 --enddatetime 2017-12-15T08:19:10 --enforcementcount 0 &gt;&gt;%USERPROFILE%\Documents\GitHub\eaglep3-reporting\EC\2017-12-15-refined-times.txt</v>
      </c>
      <c r="AI46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{"issue":{"subject":"","project_id":79,"tracker_id":40,"status_id":1,"priority_id":2,"assigned_to_id":338,"start_date":"2017-12-15","description":"","custom_fields":[{"id":1,"name":"Subdivision","value":"EC"},{"id":4,"name":"Milepost","value":"23.3301"},{"id":17,"name":"Train ID","value":"133-15"},{"id":16,"name":"Locomotive ID","value":"4032"},{"id":130,"name":"Impact","value":""},{"id":150,"name":"Time of Event (Mountain Time)","value":"08:19:10"},{"id":151,"name":"Denver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180"/>
      <c r="AK46" s="188"/>
      <c r="AL46" s="188"/>
      <c r="AM46" s="193" t="str">
        <f t="shared" si="19"/>
        <v>start /low /b %USERPROFILE%\Documents\GitHub\eaglep3\Utilities\DownloadLogsFromS3.py --loco 4032 --day 2017-12-15</v>
      </c>
      <c r="AN46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15:19:10"},{"id":29,"name":"Sharepoint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87" t="str">
        <f t="shared" si="21"/>
        <v>https://d0f6bd738d7f1b3e5a7ca70fe4ff75f0.us-east-1.aws.found.io/app/kibana#/discover/Steve-Slow-Train-Analysis-(2080s-and-2083s)?_g=(refreshInterval:(display:Off,pause:!f,section:0,value:0),time:(from:'2017-12-15T06:37:17-0700',mode:absolute,to:'2017-12-15T09:19:10-0700'))&amp;_a=(columns:!('Message%20ID',Summary),filters:!(),index:'emp_*',interval:auto,query:(query_string:(analyze_wildcard:!t,query:'%22rtdc.l.rtdc.4032%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186" t="s">
        <v>653</v>
      </c>
      <c r="B47" s="182">
        <v>4031</v>
      </c>
      <c r="C47" s="184" t="s">
        <v>192</v>
      </c>
      <c r="D47" s="184" t="s">
        <v>922</v>
      </c>
      <c r="E47" s="183">
        <v>43084.347893518519</v>
      </c>
      <c r="F47" s="183">
        <v>43084.362708333334</v>
      </c>
      <c r="G47" s="182">
        <v>46</v>
      </c>
      <c r="H47" s="184" t="s">
        <v>506</v>
      </c>
      <c r="I47" s="183">
        <v>43084.38925925926</v>
      </c>
      <c r="J47" s="182">
        <v>0</v>
      </c>
      <c r="K47" s="190" t="str">
        <f t="shared" si="24"/>
        <v>4031/4032</v>
      </c>
      <c r="L47" s="196" t="str">
        <f>VLOOKUP(A47,'Trips&amp;Operators'!$C$1:$G$99911,5,FALSE)</f>
        <v>PAGE MARCUS</v>
      </c>
      <c r="M47" s="181">
        <f t="shared" si="25"/>
        <v>2.6550925926130731E-2</v>
      </c>
      <c r="N47" s="182">
        <f t="shared" si="22"/>
        <v>38.233333333628252</v>
      </c>
      <c r="O47" s="182"/>
      <c r="P47" s="182"/>
      <c r="Q47" s="185"/>
      <c r="R47" s="197"/>
      <c r="S47" s="241">
        <f t="shared" si="23"/>
        <v>1</v>
      </c>
      <c r="T47" s="220" t="str">
        <f t="shared" si="26"/>
        <v>Southbound</v>
      </c>
      <c r="U47" s="22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21" t="str">
        <f t="shared" si="3"/>
        <v>https://d0f6bd738d7f1b3e5a7ca70fe4ff75f0.us-east-1.aws.found.io/app/kibana#/discover/Steve-Slow-Train-Analysis-(2080s-and-2083s)?_g=(refreshInterval:(display:Off,pause:!f,section:0,value:0),time:(from:'2017-12-15T07:20:58-0700',mode:absolute,to:'2017-12-15T10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7" s="222" t="str">
        <f>IF(AA47&lt;VLOOKUP(AG47,Variables!$AC$3:$AD$8,2,FALSE),"Y","N")</f>
        <v>N</v>
      </c>
      <c r="X47" s="222">
        <f t="shared" si="27"/>
        <v>1</v>
      </c>
      <c r="Y47" s="222">
        <f t="shared" si="28"/>
        <v>23.296299999999999</v>
      </c>
      <c r="Z47" s="222">
        <f t="shared" si="29"/>
        <v>0.02</v>
      </c>
      <c r="AA47" s="222">
        <f t="shared" si="30"/>
        <v>23.276299999999999</v>
      </c>
      <c r="AB47" s="231" t="e">
        <f>VLOOKUP(A47,Enforcements!$C$7:$K$9,8,0)</f>
        <v>#N/A</v>
      </c>
      <c r="AC47" s="231" t="e">
        <f>VLOOKUP(A47,Enforcements!$C$7:$E$9,3,0)</f>
        <v>#N/A</v>
      </c>
      <c r="AD47" s="232">
        <f t="shared" si="31"/>
        <v>134</v>
      </c>
      <c r="AE47" s="233" t="str">
        <f t="shared" si="9"/>
        <v>aws s3 cp s3://rtdc.mdm.uploadarchive.raw/RTDC4031/ "%USERPROFILE%\AppData\Local\Temp\OnboardLogs"\RTDC4031\2017-12-15 --exclude "*" --recursive --include "*20171215*" &amp; "%USERPROFILE%\Documents\GitHub\mrs-test-scripts\Headless Mode &amp; Sideloading\WalkAndUnGZ.bat" "%USERPROFILE%\AppData\Local\Temp\OnboardLogs"\RTDC4031\2017-12-15 &amp; aws s3 cp s3://rtdc.mdm.uploadarchive.raw/RTDC4031/ "%USERPROFILE%\AppData\Local\Temp\OnboardLogs"\RTDC4031\2017-12-16 --exclude "*" --recursive --include "*20171216*" &amp; "%USERPROFILE%\Documents\GitHub\mrs-test-scripts\Headless Mode &amp; Sideloading\WalkAndUnGZ.bat" "%USERPROFILE%\AppData\Local\Temp\OnboardLogs"\RTDC4031\2017-12-16</v>
      </c>
      <c r="AF47" s="234" t="str">
        <f t="shared" si="10"/>
        <v>"C:\Program Files (x86)\AstroGrep\AstroGrep.exe" /e /r /s /spath="%USERPROFILE%\AppData\Local\Temp\OnboardLogs" /stypes="app*4031*20171215*" /stext=" 16:.+((SYSTEM_STATE.+slice.+state.+changed )|(ment ac)|(multiple cpu faults)|(system.+state.+changed )|(\[timeout)|(PRM\|1\|D)|(kpr)|(kdp)|(train st.+moving)|(\|lc)|(penalty))"</v>
      </c>
      <c r="AG47" s="226" t="str">
        <f t="shared" si="32"/>
        <v>EC</v>
      </c>
      <c r="AH47" s="189" t="str">
        <f t="shared" si="17"/>
        <v>"%USERPROFILE%\Documents\GitHub\eaglep3\Utilities\RefineRTDCRunTimes.py" --tripid 134-15 --locoid 4031 --swversion DE.1.0.9.0 --startMP 204:232963 --initTime 2017-12-15T08:20:58 --startdatetime 2017-12-15T08:42:18 --delay 46 --endMP 204:200 --enddatetime 2017-12-15T09:20:32 --enforcementcount 0 &gt;&gt;%USERPROFILE%\Documents\GitHub\eaglep3-reporting\EC\2017-12-15-refined-times.txt</v>
      </c>
      <c r="AI47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{"issue":{"subject":"","project_id":79,"tracker_id":40,"status_id":1,"priority_id":2,"assigned_to_id":338,"start_date":"2017-12-15","description":"","custom_fields":[{"id":1,"name":"Subdivision","value":"EC"},{"id":4,"name":"Milepost","value":"0.02"},{"id":17,"name":"Train ID","value":"134-15"},{"id":16,"name":"Locomotive ID","value":"4031"},{"id":130,"name":"Impact","value":""},{"id":150,"name":"Time of Event (Mountain Time)","value":"09:20:32"},{"id":151,"name":"Denver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180"/>
      <c r="AK47" s="188"/>
      <c r="AL47" s="188"/>
      <c r="AM47" s="193" t="str">
        <f t="shared" si="19"/>
        <v>start /low /b %USERPROFILE%\Documents\GitHub\eaglep3\Utilities\DownloadLogsFromS3.py --loco 4031 --day 2017-12-15</v>
      </c>
      <c r="AN47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16:20:32"},{"id":29,"name":"Sharepoint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87" t="str">
        <f t="shared" si="21"/>
        <v>https://d0f6bd738d7f1b3e5a7ca70fe4ff75f0.us-east-1.aws.found.io/app/kibana#/discover/Steve-Slow-Train-Analysis-(2080s-and-2083s)?_g=(refreshInterval:(display:Off,pause:!f,section:0,value:0),time:(from:'2017-12-15T07:20:58-0700',mode:absolute,to:'2017-12-15T10:20:32-0700'))&amp;_a=(columns:!('Message%20ID',Summary),filters:!(),index:'emp_*',interval:auto,query:(query_string:(analyze_wildcard:!t,query:'%22rtdc.l.rtdc.4031%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186" t="s">
        <v>734</v>
      </c>
      <c r="B48" s="182">
        <v>4062</v>
      </c>
      <c r="C48" s="184" t="s">
        <v>192</v>
      </c>
      <c r="D48" s="184" t="s">
        <v>557</v>
      </c>
      <c r="E48" s="183">
        <v>43084.328159722223</v>
      </c>
      <c r="F48" s="183">
        <v>43084.333587962959</v>
      </c>
      <c r="G48" s="182">
        <v>54</v>
      </c>
      <c r="H48" s="184" t="s">
        <v>923</v>
      </c>
      <c r="I48" s="183">
        <v>43084.357905092591</v>
      </c>
      <c r="J48" s="182">
        <v>0</v>
      </c>
      <c r="K48" s="190" t="str">
        <f t="shared" si="24"/>
        <v>4061/4062</v>
      </c>
      <c r="L48" s="196" t="str">
        <f>VLOOKUP(A48,'Trips&amp;Operators'!$C$1:$G$99911,5,FALSE)</f>
        <v>GEBRETEKLE DAGNEW</v>
      </c>
      <c r="M48" s="181">
        <f t="shared" si="25"/>
        <v>2.4317129631526768E-2</v>
      </c>
      <c r="N48" s="182">
        <f t="shared" si="22"/>
        <v>35.016666669398546</v>
      </c>
      <c r="O48" s="182"/>
      <c r="P48" s="182"/>
      <c r="Q48" s="185"/>
      <c r="R48" s="197"/>
      <c r="S48" s="241">
        <f t="shared" si="23"/>
        <v>1</v>
      </c>
      <c r="T48" s="220" t="str">
        <f t="shared" si="26"/>
        <v>NorthBound</v>
      </c>
      <c r="U48" s="22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21" t="str">
        <f t="shared" si="3"/>
        <v>https://d0f6bd738d7f1b3e5a7ca70fe4ff75f0.us-east-1.aws.found.io/app/kibana#/discover/Steve-Slow-Train-Analysis-(2080s-and-2083s)?_g=(refreshInterval:(display:Off,pause:!f,section:0,value:0),time:(from:'2017-12-15T06:52:33-0700',mode:absolute,to:'2017-12-15T09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8" s="222" t="str">
        <f>IF(AA48&lt;VLOOKUP(AG48,Variables!$AC$3:$AD$8,2,FALSE),"Y","N")</f>
        <v>N</v>
      </c>
      <c r="X48" s="222">
        <f t="shared" si="27"/>
        <v>1</v>
      </c>
      <c r="Y48" s="222">
        <f t="shared" si="28"/>
        <v>4.6699999999999998E-2</v>
      </c>
      <c r="Z48" s="222">
        <f t="shared" si="29"/>
        <v>23.328499999999998</v>
      </c>
      <c r="AA48" s="222">
        <f t="shared" si="30"/>
        <v>23.281799999999997</v>
      </c>
      <c r="AB48" s="231" t="e">
        <f>VLOOKUP(A48,Enforcements!$C$7:$K$9,8,0)</f>
        <v>#N/A</v>
      </c>
      <c r="AC48" s="231" t="e">
        <f>VLOOKUP(A48,Enforcements!$C$7:$E$9,3,0)</f>
        <v>#N/A</v>
      </c>
      <c r="AD48" s="232">
        <f t="shared" si="31"/>
        <v>135</v>
      </c>
      <c r="AE48" s="233" t="str">
        <f t="shared" si="9"/>
        <v>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 &amp; aws s3 cp s3://rtdc.mdm.uploadarchive.raw/RTDC4062/ "%USERPROFILE%\AppData\Local\Temp\OnboardLogs"\RTDC4062\2017-12-16 --exclude "*" --recursive --include "*20171216*" &amp; "%USERPROFILE%\Documents\GitHub\mrs-test-scripts\Headless Mode &amp; Sideloading\WalkAndUnGZ.bat" "%USERPROFILE%\AppData\Local\Temp\OnboardLogs"\RTDC4062\2017-12-16</v>
      </c>
      <c r="AF48" s="234" t="str">
        <f t="shared" si="10"/>
        <v>"C:\Program Files (x86)\AstroGrep\AstroGrep.exe" /e /r /s /spath="%USERPROFILE%\AppData\Local\Temp\OnboardLogs" /stypes="app*4062*20171215*" /stext=" 15:.+((SYSTEM_STATE.+slice.+state.+changed )|(ment ac)|(multiple cpu faults)|(system.+state.+changed )|(\[timeout)|(PRM\|1\|D)|(kpr)|(kdp)|(train st.+moving)|(\|lc)|(penalty))"</v>
      </c>
      <c r="AG48" s="226" t="str">
        <f t="shared" si="32"/>
        <v>EC</v>
      </c>
      <c r="AH48" s="189" t="str">
        <f t="shared" si="17"/>
        <v>"%USERPROFILE%\Documents\GitHub\eaglep3\Utilities\RefineRTDCRunTimes.py" --tripid 135-15 --locoid 4062 --swversion DE.1.0.9.0 --startMP 204:467 --initTime 2017-12-15T07:52:33 --startdatetime 2017-12-15T08:00:22 --delay 54 --endMP 204:233285 --enddatetime 2017-12-15T08:35:23 --enforcementcount 0 &gt;&gt;%USERPROFILE%\Documents\GitHub\eaglep3-reporting\EC\2017-12-15-refined-times.txt</v>
      </c>
      <c r="AI48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{"issue":{"subject":"","project_id":79,"tracker_id":40,"status_id":1,"priority_id":2,"assigned_to_id":338,"start_date":"2017-12-15","description":"","custom_fields":[{"id":1,"name":"Subdivision","value":"EC"},{"id":4,"name":"Milepost","value":"23.3285"},{"id":17,"name":"Train ID","value":"135-15"},{"id":16,"name":"Locomotive ID","value":"4062"},{"id":130,"name":"Impact","value":""},{"id":150,"name":"Time of Event (Mountain Time)","value":"08:35:23"},{"id":151,"name":"Denver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180"/>
      <c r="AK48" s="188"/>
      <c r="AL48" s="188"/>
      <c r="AM48" s="193" t="str">
        <f t="shared" si="19"/>
        <v>start /low /b %USERPROFILE%\Documents\GitHub\eaglep3\Utilities\DownloadLogsFromS3.py --loco 4062 --day 2017-12-15</v>
      </c>
      <c r="AN48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15:35:23"},{"id":29,"name":"Sharepoint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87" t="str">
        <f t="shared" si="21"/>
        <v>https://d0f6bd738d7f1b3e5a7ca70fe4ff75f0.us-east-1.aws.found.io/app/kibana#/discover/Steve-Slow-Train-Analysis-(2080s-and-2083s)?_g=(refreshInterval:(display:Off,pause:!f,section:0,value:0),time:(from:'2017-12-15T06:52:33-0700',mode:absolute,to:'2017-12-15T09:35:23-0700'))&amp;_a=(columns:!('Message%20ID',Summary),filters:!(),index:'emp_*',interval:auto,query:(query_string:(analyze_wildcard:!t,query:'%22rtdc.l.rtdc.4062%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186" t="s">
        <v>743</v>
      </c>
      <c r="B49" s="182">
        <v>4061</v>
      </c>
      <c r="C49" s="184" t="s">
        <v>192</v>
      </c>
      <c r="D49" s="184" t="s">
        <v>924</v>
      </c>
      <c r="E49" s="183">
        <v>43084.359293981484</v>
      </c>
      <c r="F49" s="183">
        <v>43084.373148148145</v>
      </c>
      <c r="G49" s="182">
        <v>59</v>
      </c>
      <c r="H49" s="184" t="s">
        <v>569</v>
      </c>
      <c r="I49" s="183">
        <v>43084.398368055554</v>
      </c>
      <c r="J49" s="182">
        <v>0</v>
      </c>
      <c r="K49" s="190" t="str">
        <f t="shared" si="24"/>
        <v>4061/4062</v>
      </c>
      <c r="L49" s="196" t="str">
        <f>VLOOKUP(A49,'Trips&amp;Operators'!$C$1:$G$99911,5,FALSE)</f>
        <v>GEBRETEKLE DAGNEW</v>
      </c>
      <c r="M49" s="181">
        <f t="shared" si="25"/>
        <v>2.5219907409336884E-2</v>
      </c>
      <c r="N49" s="182">
        <f t="shared" si="22"/>
        <v>36.316666669445112</v>
      </c>
      <c r="O49" s="182"/>
      <c r="P49" s="182"/>
      <c r="Q49" s="185"/>
      <c r="R49" s="197"/>
      <c r="S49" s="241">
        <f t="shared" si="23"/>
        <v>1</v>
      </c>
      <c r="T49" s="220" t="str">
        <f t="shared" si="26"/>
        <v>Southbound</v>
      </c>
      <c r="U49" s="22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21" t="str">
        <f t="shared" si="3"/>
        <v>https://d0f6bd738d7f1b3e5a7ca70fe4ff75f0.us-east-1.aws.found.io/app/kibana#/discover/Steve-Slow-Train-Analysis-(2080s-and-2083s)?_g=(refreshInterval:(display:Off,pause:!f,section:0,value:0),time:(from:'2017-12-15T07:37:23-0700',mode:absolute,to:'2017-12-15T10:33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9" s="222" t="str">
        <f>IF(AA49&lt;VLOOKUP(AG49,Variables!$AC$3:$AD$8,2,FALSE),"Y","N")</f>
        <v>N</v>
      </c>
      <c r="X49" s="222">
        <f t="shared" si="27"/>
        <v>1</v>
      </c>
      <c r="Y49" s="222">
        <f t="shared" si="28"/>
        <v>23.300999999999998</v>
      </c>
      <c r="Z49" s="222">
        <f t="shared" si="29"/>
        <v>1.6E-2</v>
      </c>
      <c r="AA49" s="222">
        <f t="shared" si="30"/>
        <v>23.285</v>
      </c>
      <c r="AB49" s="231" t="e">
        <f>VLOOKUP(A49,Enforcements!$C$7:$K$9,8,0)</f>
        <v>#N/A</v>
      </c>
      <c r="AC49" s="231" t="e">
        <f>VLOOKUP(A49,Enforcements!$C$7:$E$9,3,0)</f>
        <v>#N/A</v>
      </c>
      <c r="AD49" s="232">
        <f t="shared" si="31"/>
        <v>136</v>
      </c>
      <c r="AE49" s="233" t="str">
        <f t="shared" si="9"/>
        <v>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 &amp; aws s3 cp s3://rtdc.mdm.uploadarchive.raw/RTDC4061/ "%USERPROFILE%\AppData\Local\Temp\OnboardLogs"\RTDC4061\2017-12-16 --exclude "*" --recursive --include "*20171216*" &amp; "%USERPROFILE%\Documents\GitHub\mrs-test-scripts\Headless Mode &amp; Sideloading\WalkAndUnGZ.bat" "%USERPROFILE%\AppData\Local\Temp\OnboardLogs"\RTDC4061\2017-12-16</v>
      </c>
      <c r="AF49" s="234" t="str">
        <f t="shared" si="10"/>
        <v>"C:\Program Files (x86)\AstroGrep\AstroGrep.exe" /e /r /s /spath="%USERPROFILE%\AppData\Local\Temp\OnboardLogs" /stypes="app*4061*20171215*" /stext=" 16:.+((SYSTEM_STATE.+slice.+state.+changed )|(ment ac)|(multiple cpu faults)|(system.+state.+changed )|(\[timeout)|(PRM\|1\|D)|(kpr)|(kdp)|(train st.+moving)|(\|lc)|(penalty))"</v>
      </c>
      <c r="AG49" s="226" t="str">
        <f t="shared" si="32"/>
        <v>EC</v>
      </c>
      <c r="AH49" s="189" t="str">
        <f t="shared" si="17"/>
        <v>"%USERPROFILE%\Documents\GitHub\eaglep3\Utilities\RefineRTDCRunTimes.py" --tripid 136-15 --locoid 4061 --swversion DE.1.0.9.0 --startMP 204:233010 --initTime 2017-12-15T08:37:23 --startdatetime 2017-12-15T08:57:20 --delay 59 --endMP 204:160 --enddatetime 2017-12-15T09:33:39 --enforcementcount 0 &gt;&gt;%USERPROFILE%\Documents\GitHub\eaglep3-reporting\EC\2017-12-15-refined-times.txt</v>
      </c>
      <c r="AI49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{"issue":{"subject":"","project_id":79,"tracker_id":40,"status_id":1,"priority_id":2,"assigned_to_id":338,"start_date":"2017-12-15","description":"","custom_fields":[{"id":1,"name":"Subdivision","value":"EC"},{"id":4,"name":"Milepost","value":"0.016"},{"id":17,"name":"Train ID","value":"136-15"},{"id":16,"name":"Locomotive ID","value":"4061"},{"id":130,"name":"Impact","value":""},{"id":150,"name":"Time of Event (Mountain Time)","value":"09:33:39"},{"id":151,"name":"Denver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180"/>
      <c r="AK49" s="188"/>
      <c r="AL49" s="188"/>
      <c r="AM49" s="193" t="str">
        <f t="shared" si="19"/>
        <v>start /low /b %USERPROFILE%\Documents\GitHub\eaglep3\Utilities\DownloadLogsFromS3.py --loco 4061 --day 2017-12-15</v>
      </c>
      <c r="AN49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16:33:39"},{"id":29,"name":"Sharepoint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87" t="str">
        <f t="shared" si="21"/>
        <v>https://d0f6bd738d7f1b3e5a7ca70fe4ff75f0.us-east-1.aws.found.io/app/kibana#/discover/Steve-Slow-Train-Analysis-(2080s-and-2083s)?_g=(refreshInterval:(display:Off,pause:!f,section:0,value:0),time:(from:'2017-12-15T07:37:23-0700',mode:absolute,to:'2017-12-15T10:33:39-0700'))&amp;_a=(columns:!('Message%20ID',Summary),filters:!(),index:'emp_*',interval:auto,query:(query_string:(analyze_wildcard:!t,query:'%22rtdc.l.rtdc.4061%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186" t="s">
        <v>738</v>
      </c>
      <c r="B50" s="182">
        <v>4042</v>
      </c>
      <c r="C50" s="184" t="s">
        <v>192</v>
      </c>
      <c r="D50" s="184" t="s">
        <v>599</v>
      </c>
      <c r="E50" s="183">
        <v>43084.337696759256</v>
      </c>
      <c r="F50" s="183">
        <v>43084.343912037039</v>
      </c>
      <c r="G50" s="182">
        <v>58</v>
      </c>
      <c r="H50" s="184" t="s">
        <v>925</v>
      </c>
      <c r="I50" s="183">
        <v>43084.367581018516</v>
      </c>
      <c r="J50" s="182">
        <v>0</v>
      </c>
      <c r="K50" s="190" t="str">
        <f t="shared" si="24"/>
        <v>4041/4042</v>
      </c>
      <c r="L50" s="196" t="str">
        <f>VLOOKUP(A50,'Trips&amp;Operators'!$C$1:$G$99911,5,FALSE)</f>
        <v>LOPES KIMBERLY</v>
      </c>
      <c r="M50" s="181">
        <f t="shared" si="25"/>
        <v>2.3668981477385387E-2</v>
      </c>
      <c r="N50" s="182">
        <f t="shared" si="22"/>
        <v>34.083333327434957</v>
      </c>
      <c r="O50" s="182"/>
      <c r="P50" s="182"/>
      <c r="Q50" s="185"/>
      <c r="R50" s="197"/>
      <c r="S50" s="241">
        <f t="shared" si="23"/>
        <v>1</v>
      </c>
      <c r="T50" s="220" t="str">
        <f t="shared" si="26"/>
        <v>NorthBound</v>
      </c>
      <c r="U50" s="22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21" t="str">
        <f t="shared" si="3"/>
        <v>https://d0f6bd738d7f1b3e5a7ca70fe4ff75f0.us-east-1.aws.found.io/app/kibana#/discover/Steve-Slow-Train-Analysis-(2080s-and-2083s)?_g=(refreshInterval:(display:Off,pause:!f,section:0,value:0),time:(from:'2017-12-15T07:06:17-0700',mode:absolute,to:'2017-12-15T09:49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0" s="222" t="str">
        <f>IF(AA50&lt;VLOOKUP(AG50,Variables!$AC$3:$AD$8,2,FALSE),"Y","N")</f>
        <v>N</v>
      </c>
      <c r="X50" s="222">
        <f t="shared" si="27"/>
        <v>1</v>
      </c>
      <c r="Y50" s="222">
        <f t="shared" si="28"/>
        <v>5.1299999999999998E-2</v>
      </c>
      <c r="Z50" s="222">
        <f t="shared" si="29"/>
        <v>23.332999999999998</v>
      </c>
      <c r="AA50" s="222">
        <f t="shared" si="30"/>
        <v>23.281699999999997</v>
      </c>
      <c r="AB50" s="231" t="e">
        <f>VLOOKUP(A50,Enforcements!$C$7:$K$9,8,0)</f>
        <v>#N/A</v>
      </c>
      <c r="AC50" s="231" t="e">
        <f>VLOOKUP(A50,Enforcements!$C$7:$E$9,3,0)</f>
        <v>#N/A</v>
      </c>
      <c r="AD50" s="232">
        <f t="shared" si="31"/>
        <v>137</v>
      </c>
      <c r="AE50" s="233" t="str">
        <f t="shared" si="9"/>
        <v>aws s3 cp s3://rtdc.mdm.uploadarchive.raw/RTDC4042/ "%USERPROFILE%\AppData\Local\Temp\OnboardLogs"\RTDC4042\2017-12-15 --exclude "*" --recursive --include "*20171215*" &amp; "%USERPROFILE%\Documents\GitHub\mrs-test-scripts\Headless Mode &amp; Sideloading\WalkAndUnGZ.bat" "%USERPROFILE%\AppData\Local\Temp\OnboardLogs"\RTDC4042\2017-12-15 &amp; aws s3 cp s3://rtdc.mdm.uploadarchive.raw/RTDC4042/ "%USERPROFILE%\AppData\Local\Temp\OnboardLogs"\RTDC4042\2017-12-16 --exclude "*" --recursive --include "*20171216*" &amp; "%USERPROFILE%\Documents\GitHub\mrs-test-scripts\Headless Mode &amp; Sideloading\WalkAndUnGZ.bat" "%USERPROFILE%\AppData\Local\Temp\OnboardLogs"\RTDC4042\2017-12-16</v>
      </c>
      <c r="AF50" s="234" t="str">
        <f t="shared" si="10"/>
        <v>"C:\Program Files (x86)\AstroGrep\AstroGrep.exe" /e /r /s /spath="%USERPROFILE%\AppData\Local\Temp\OnboardLogs" /stypes="app*4042*20171215*" /stext=" 15:.+((SYSTEM_STATE.+slice.+state.+changed )|(ment ac)|(multiple cpu faults)|(system.+state.+changed )|(\[timeout)|(PRM\|1\|D)|(kpr)|(kdp)|(train st.+moving)|(\|lc)|(penalty))"</v>
      </c>
      <c r="AG50" s="226" t="str">
        <f t="shared" si="32"/>
        <v>EC</v>
      </c>
      <c r="AH50" s="189" t="str">
        <f t="shared" si="17"/>
        <v>"%USERPROFILE%\Documents\GitHub\eaglep3\Utilities\RefineRTDCRunTimes.py" --tripid 137-15 --locoid 4042 --swversion DE.1.0.9.0 --startMP 204:513 --initTime 2017-12-15T08:06:17 --startdatetime 2017-12-15T08:15:14 --delay 58 --endMP 204:233330 --enddatetime 2017-12-15T08:49:19 --enforcementcount 0 &gt;&gt;%USERPROFILE%\Documents\GitHub\eaglep3-reporting\EC\2017-12-15-refined-times.txt</v>
      </c>
      <c r="AI50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{"issue":{"subject":"","project_id":79,"tracker_id":40,"status_id":1,"priority_id":2,"assigned_to_id":338,"start_date":"2017-12-15","description":"","custom_fields":[{"id":1,"name":"Subdivision","value":"EC"},{"id":4,"name":"Milepost","value":"23.333"},{"id":17,"name":"Train ID","value":"137-15"},{"id":16,"name":"Locomotive ID","value":"4042"},{"id":130,"name":"Impact","value":""},{"id":150,"name":"Time of Event (Mountain Time)","value":"08:49:19"},{"id":151,"name":"Denver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180"/>
      <c r="AK50" s="188"/>
      <c r="AL50" s="188"/>
      <c r="AM50" s="193" t="str">
        <f t="shared" si="19"/>
        <v>start /low /b %USERPROFILE%\Documents\GitHub\eaglep3\Utilities\DownloadLogsFromS3.py --loco 4042 --day 2017-12-15</v>
      </c>
      <c r="AN50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15:49:19"},{"id":29,"name":"Sharepoint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87" t="str">
        <f t="shared" si="21"/>
        <v>https://d0f6bd738d7f1b3e5a7ca70fe4ff75f0.us-east-1.aws.found.io/app/kibana#/discover/Steve-Slow-Train-Analysis-(2080s-and-2083s)?_g=(refreshInterval:(display:Off,pause:!f,section:0,value:0),time:(from:'2017-12-15T07:06:17-0700',mode:absolute,to:'2017-12-15T09:49:19-0700'))&amp;_a=(columns:!('Message%20ID',Summary),filters:!(),index:'emp_*',interval:auto,query:(query_string:(analyze_wildcard:!t,query:'%22rtdc.l.rtdc.4042%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186" t="s">
        <v>746</v>
      </c>
      <c r="B51" s="182">
        <v>4041</v>
      </c>
      <c r="C51" s="184" t="s">
        <v>192</v>
      </c>
      <c r="D51" s="184" t="s">
        <v>926</v>
      </c>
      <c r="E51" s="183">
        <v>43084.372013888889</v>
      </c>
      <c r="F51" s="183">
        <v>43084.383530092593</v>
      </c>
      <c r="G51" s="182">
        <v>54</v>
      </c>
      <c r="H51" s="184" t="s">
        <v>558</v>
      </c>
      <c r="I51" s="183">
        <v>43084.409351851849</v>
      </c>
      <c r="J51" s="182">
        <v>0</v>
      </c>
      <c r="K51" s="190" t="str">
        <f t="shared" si="24"/>
        <v>4041/4042</v>
      </c>
      <c r="L51" s="196" t="str">
        <f>VLOOKUP(A51,'Trips&amp;Operators'!$C$1:$G$99911,5,FALSE)</f>
        <v>LOPES KIMBERLY</v>
      </c>
      <c r="M51" s="181">
        <f t="shared" si="25"/>
        <v>2.5821759256359655E-2</v>
      </c>
      <c r="N51" s="182">
        <f t="shared" si="22"/>
        <v>37.183333329157904</v>
      </c>
      <c r="O51" s="182"/>
      <c r="P51" s="182"/>
      <c r="Q51" s="185"/>
      <c r="R51" s="197"/>
      <c r="S51" s="241">
        <f t="shared" si="23"/>
        <v>1</v>
      </c>
      <c r="T51" s="220" t="str">
        <f t="shared" si="26"/>
        <v>Southbound</v>
      </c>
      <c r="U51" s="22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21" t="str">
        <f t="shared" si="3"/>
        <v>https://d0f6bd738d7f1b3e5a7ca70fe4ff75f0.us-east-1.aws.found.io/app/kibana#/discover/Steve-Slow-Train-Analysis-(2080s-and-2083s)?_g=(refreshInterval:(display:Off,pause:!f,section:0,value:0),time:(from:'2017-12-15T07:55:42-0700',mode:absolute,to:'2017-12-15T10:49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1" s="222" t="str">
        <f>IF(AA51&lt;VLOOKUP(AG51,Variables!$AC$3:$AD$8,2,FALSE),"Y","N")</f>
        <v>N</v>
      </c>
      <c r="X51" s="222">
        <f t="shared" si="27"/>
        <v>1</v>
      </c>
      <c r="Y51" s="222">
        <f t="shared" si="28"/>
        <v>23.302299999999999</v>
      </c>
      <c r="Z51" s="222">
        <f t="shared" si="29"/>
        <v>2.1399999999999999E-2</v>
      </c>
      <c r="AA51" s="222">
        <f t="shared" si="30"/>
        <v>23.280899999999999</v>
      </c>
      <c r="AB51" s="231" t="e">
        <f>VLOOKUP(A51,Enforcements!$C$7:$K$9,8,0)</f>
        <v>#N/A</v>
      </c>
      <c r="AC51" s="231" t="e">
        <f>VLOOKUP(A51,Enforcements!$C$7:$E$9,3,0)</f>
        <v>#N/A</v>
      </c>
      <c r="AD51" s="232">
        <f t="shared" si="31"/>
        <v>138</v>
      </c>
      <c r="AE51" s="233" t="str">
        <f t="shared" si="9"/>
        <v>aws s3 cp s3://rtdc.mdm.uploadarchive.raw/RTDC4041/ "%USERPROFILE%\AppData\Local\Temp\OnboardLogs"\RTDC4041\2017-12-15 --exclude "*" --recursive --include "*20171215*" &amp; "%USERPROFILE%\Documents\GitHub\mrs-test-scripts\Headless Mode &amp; Sideloading\WalkAndUnGZ.bat" "%USERPROFILE%\AppData\Local\Temp\OnboardLogs"\RTDC4041\2017-12-15 &amp; aws s3 cp s3://rtdc.mdm.uploadarchive.raw/RTDC4041/ "%USERPROFILE%\AppData\Local\Temp\OnboardLogs"\RTDC4041\2017-12-16 --exclude "*" --recursive --include "*20171216*" &amp; "%USERPROFILE%\Documents\GitHub\mrs-test-scripts\Headless Mode &amp; Sideloading\WalkAndUnGZ.bat" "%USERPROFILE%\AppData\Local\Temp\OnboardLogs"\RTDC4041\2017-12-16</v>
      </c>
      <c r="AF51" s="234" t="str">
        <f t="shared" si="10"/>
        <v>"C:\Program Files (x86)\AstroGrep\AstroGrep.exe" /e /r /s /spath="%USERPROFILE%\AppData\Local\Temp\OnboardLogs" /stypes="app*4041*20171215*" /stext=" 16:.+((SYSTEM_STATE.+slice.+state.+changed )|(ment ac)|(multiple cpu faults)|(system.+state.+changed )|(\[timeout)|(PRM\|1\|D)|(kpr)|(kdp)|(train st.+moving)|(\|lc)|(penalty))"</v>
      </c>
      <c r="AG51" s="226" t="str">
        <f t="shared" si="32"/>
        <v>EC</v>
      </c>
      <c r="AH51" s="189" t="str">
        <f t="shared" si="17"/>
        <v>"%USERPROFILE%\Documents\GitHub\eaglep3\Utilities\RefineRTDCRunTimes.py" --tripid 138-15 --locoid 4041 --swversion DE.1.0.9.0 --startMP 204:233023 --initTime 2017-12-15T08:55:42 --startdatetime 2017-12-15T09:12:17 --delay 54 --endMP 204:214 --enddatetime 2017-12-15T09:49:28 --enforcementcount 0 &gt;&gt;%USERPROFILE%\Documents\GitHub\eaglep3-reporting\EC\2017-12-15-refined-times.txt</v>
      </c>
      <c r="AI51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{"issue":{"subject":"","project_id":79,"tracker_id":40,"status_id":1,"priority_id":2,"assigned_to_id":338,"start_date":"2017-12-15","description":"","custom_fields":[{"id":1,"name":"Subdivision","value":"EC"},{"id":4,"name":"Milepost","value":"0.0214"},{"id":17,"name":"Train ID","value":"138-15"},{"id":16,"name":"Locomotive ID","value":"4041"},{"id":130,"name":"Impact","value":""},{"id":150,"name":"Time of Event (Mountain Time)","value":"09:49:28"},{"id":151,"name":"Denver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180"/>
      <c r="AK51" s="188"/>
      <c r="AL51" s="188"/>
      <c r="AM51" s="193" t="str">
        <f t="shared" si="19"/>
        <v>start /low /b %USERPROFILE%\Documents\GitHub\eaglep3\Utilities\DownloadLogsFromS3.py --loco 4041 --day 2017-12-15</v>
      </c>
      <c r="AN51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16:49:28"},{"id":29,"name":"Sharepoint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87" t="str">
        <f t="shared" si="21"/>
        <v>https://d0f6bd738d7f1b3e5a7ca70fe4ff75f0.us-east-1.aws.found.io/app/kibana#/discover/Steve-Slow-Train-Analysis-(2080s-and-2083s)?_g=(refreshInterval:(display:Off,pause:!f,section:0,value:0),time:(from:'2017-12-15T07:55:42-0700',mode:absolute,to:'2017-12-15T10:49:28-0700'))&amp;_a=(columns:!('Message%20ID',Summary),filters:!(),index:'emp_*',interval:auto,query:(query_string:(analyze_wildcard:!t,query:'%22rtdc.l.rtdc.4041%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186" t="s">
        <v>740</v>
      </c>
      <c r="B52" s="182">
        <v>4004</v>
      </c>
      <c r="C52" s="184" t="s">
        <v>192</v>
      </c>
      <c r="D52" s="184" t="s">
        <v>492</v>
      </c>
      <c r="E52" s="183">
        <v>43084.347928240742</v>
      </c>
      <c r="F52" s="183">
        <v>43084.35434027778</v>
      </c>
      <c r="G52" s="182">
        <v>62</v>
      </c>
      <c r="H52" s="184" t="s">
        <v>927</v>
      </c>
      <c r="I52" s="183">
        <v>43084.378993055558</v>
      </c>
      <c r="J52" s="182">
        <v>0</v>
      </c>
      <c r="K52" s="190" t="str">
        <f t="shared" si="24"/>
        <v>4003/4004</v>
      </c>
      <c r="L52" s="196" t="str">
        <f>VLOOKUP(A52,'Trips&amp;Operators'!$C$1:$G$99911,5,FALSE)</f>
        <v>ROCHA YAOTL</v>
      </c>
      <c r="M52" s="181">
        <f t="shared" si="25"/>
        <v>2.4652777778101154E-2</v>
      </c>
      <c r="N52" s="182">
        <f t="shared" si="22"/>
        <v>35.500000000465661</v>
      </c>
      <c r="O52" s="182"/>
      <c r="P52" s="182"/>
      <c r="Q52" s="185"/>
      <c r="R52" s="197"/>
      <c r="S52" s="241">
        <f t="shared" si="23"/>
        <v>1</v>
      </c>
      <c r="T52" s="220" t="str">
        <f t="shared" si="26"/>
        <v>NorthBound</v>
      </c>
      <c r="U52" s="22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21" t="str">
        <f t="shared" si="3"/>
        <v>https://d0f6bd738d7f1b3e5a7ca70fe4ff75f0.us-east-1.aws.found.io/app/kibana#/discover/Steve-Slow-Train-Analysis-(2080s-and-2083s)?_g=(refreshInterval:(display:Off,pause:!f,section:0,value:0),time:(from:'2017-12-15T07:21:01-0700',mode:absolute,to:'2017-12-15T10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2" s="222" t="str">
        <f>IF(AA52&lt;VLOOKUP(AG52,Variables!$AC$3:$AD$8,2,FALSE),"Y","N")</f>
        <v>N</v>
      </c>
      <c r="X52" s="222">
        <f t="shared" si="27"/>
        <v>1</v>
      </c>
      <c r="Y52" s="222">
        <f t="shared" si="28"/>
        <v>4.8000000000000001E-2</v>
      </c>
      <c r="Z52" s="222">
        <f t="shared" si="29"/>
        <v>23.335699999999999</v>
      </c>
      <c r="AA52" s="222">
        <f t="shared" si="30"/>
        <v>23.287700000000001</v>
      </c>
      <c r="AB52" s="231" t="e">
        <f>VLOOKUP(A52,Enforcements!$C$7:$K$9,8,0)</f>
        <v>#N/A</v>
      </c>
      <c r="AC52" s="231" t="e">
        <f>VLOOKUP(A52,Enforcements!$C$7:$E$9,3,0)</f>
        <v>#N/A</v>
      </c>
      <c r="AD52" s="232">
        <f t="shared" si="31"/>
        <v>139</v>
      </c>
      <c r="AE52" s="233" t="str">
        <f t="shared" si="9"/>
        <v>aws s3 cp s3://rtdc.mdm.uploadarchive.raw/RTDC4004/ "%USERPROFILE%\AppData\Local\Temp\OnboardLogs"\RTDC4004\2017-12-15 --exclude "*" --recursive --include "*20171215*" &amp; "%USERPROFILE%\Documents\GitHub\mrs-test-scripts\Headless Mode &amp; Sideloading\WalkAndUnGZ.bat" "%USERPROFILE%\AppData\Local\Temp\OnboardLogs"\RTDC4004\2017-12-15 &amp; aws s3 cp s3://rtdc.mdm.uploadarchive.raw/RTDC4004/ "%USERPROFILE%\AppData\Local\Temp\OnboardLogs"\RTDC4004\2017-12-16 --exclude "*" --recursive --include "*20171216*" &amp; "%USERPROFILE%\Documents\GitHub\mrs-test-scripts\Headless Mode &amp; Sideloading\WalkAndUnGZ.bat" "%USERPROFILE%\AppData\Local\Temp\OnboardLogs"\RTDC4004\2017-12-16</v>
      </c>
      <c r="AF52" s="234" t="str">
        <f t="shared" si="10"/>
        <v>"C:\Program Files (x86)\AstroGrep\AstroGrep.exe" /e /r /s /spath="%USERPROFILE%\AppData\Local\Temp\OnboardLogs" /stypes="app*4004*20171215*" /stext=" 16:.+((SYSTEM_STATE.+slice.+state.+changed )|(ment ac)|(multiple cpu faults)|(system.+state.+changed )|(\[timeout)|(PRM\|1\|D)|(kpr)|(kdp)|(train st.+moving)|(\|lc)|(penalty))"</v>
      </c>
      <c r="AG52" s="226" t="str">
        <f t="shared" si="32"/>
        <v>EC</v>
      </c>
      <c r="AH52" s="189" t="str">
        <f t="shared" si="17"/>
        <v>"%USERPROFILE%\Documents\GitHub\eaglep3\Utilities\RefineRTDCRunTimes.py" --tripid 139-15 --locoid 4004 --swversion DE.1.0.9.0 --startMP 204:480 --initTime 2017-12-15T08:21:01 --startdatetime 2017-12-15T08:30:15 --delay 62 --endMP 204:233357 --enddatetime 2017-12-15T09:05:45 --enforcementcount 0 &gt;&gt;%USERPROFILE%\Documents\GitHub\eaglep3-reporting\EC\2017-12-15-refined-times.txt</v>
      </c>
      <c r="AI52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{"issue":{"subject":"","project_id":79,"tracker_id":40,"status_id":1,"priority_id":2,"assigned_to_id":338,"start_date":"2017-12-15","description":"","custom_fields":[{"id":1,"name":"Subdivision","value":"EC"},{"id":4,"name":"Milepost","value":"23.3357"},{"id":17,"name":"Train ID","value":"139-15"},{"id":16,"name":"Locomotive ID","value":"4004"},{"id":130,"name":"Impact","value":""},{"id":150,"name":"Time of Event (Mountain Time)","value":"09:05:45"},{"id":151,"name":"Denver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180"/>
      <c r="AK52" s="188"/>
      <c r="AL52" s="188"/>
      <c r="AM52" s="193" t="str">
        <f t="shared" si="19"/>
        <v>start /low /b %USERPROFILE%\Documents\GitHub\eaglep3\Utilities\DownloadLogsFromS3.py --loco 4004 --day 2017-12-15</v>
      </c>
      <c r="AN52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16:05:45"},{"id":29,"name":"Sharepoint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87" t="str">
        <f t="shared" si="21"/>
        <v>https://d0f6bd738d7f1b3e5a7ca70fe4ff75f0.us-east-1.aws.found.io/app/kibana#/discover/Steve-Slow-Train-Analysis-(2080s-and-2083s)?_g=(refreshInterval:(display:Off,pause:!f,section:0,value:0),time:(from:'2017-12-15T07:21:01-0700',mode:absolute,to:'2017-12-15T10:05:45-0700'))&amp;_a=(columns:!('Message%20ID',Summary),filters:!(),index:'emp_*',interval:auto,query:(query_string:(analyze_wildcard:!t,query:'%22rtdc.l.rtdc.4004%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186" t="s">
        <v>656</v>
      </c>
      <c r="B53" s="182">
        <v>4003</v>
      </c>
      <c r="C53" s="184" t="s">
        <v>192</v>
      </c>
      <c r="D53" s="184" t="s">
        <v>928</v>
      </c>
      <c r="E53" s="183">
        <v>43084.392245370371</v>
      </c>
      <c r="F53" s="183">
        <v>43084.40966435185</v>
      </c>
      <c r="G53" s="182">
        <v>63</v>
      </c>
      <c r="H53" s="184" t="s">
        <v>929</v>
      </c>
      <c r="I53" s="183">
        <v>43084.419259259259</v>
      </c>
      <c r="J53" s="182">
        <v>0</v>
      </c>
      <c r="K53" s="190" t="str">
        <f t="shared" si="24"/>
        <v>4003/4004</v>
      </c>
      <c r="L53" s="196" t="str">
        <f>VLOOKUP(A53,'Trips&amp;Operators'!$C$1:$G$99911,5,FALSE)</f>
        <v>ROCHA YAOTL</v>
      </c>
      <c r="M53" s="181">
        <f t="shared" si="25"/>
        <v>9.5949074093368836E-3</v>
      </c>
      <c r="N53" s="182"/>
      <c r="O53" s="182"/>
      <c r="P53" s="182"/>
      <c r="Q53" s="185"/>
      <c r="R53" s="197"/>
      <c r="S53" s="241"/>
      <c r="T53" s="220" t="str">
        <f t="shared" si="26"/>
        <v>Southbound</v>
      </c>
      <c r="U53" s="22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0</v>
      </c>
      <c r="V53" s="221" t="str">
        <f t="shared" si="3"/>
        <v>https://d0f6bd738d7f1b3e5a7ca70fe4ff75f0.us-east-1.aws.found.io/app/kibana#/discover/Steve-Slow-Train-Analysis-(2080s-and-2083s)?_g=(refreshInterval:(display:Off,pause:!f,section:0,value:0),time:(from:'2017-12-15T08:24:50-0700',mode:absolute,to:'2017-12-15T11:03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3" s="222" t="str">
        <f>IF(AA53&lt;VLOOKUP(AG53,Variables!$AC$3:$AD$8,2,FALSE),"Y","N")</f>
        <v>Y</v>
      </c>
      <c r="X53" s="222">
        <f t="shared" si="27"/>
        <v>1</v>
      </c>
      <c r="Y53" s="222">
        <f t="shared" si="28"/>
        <v>23.3081</v>
      </c>
      <c r="Z53" s="222">
        <f t="shared" si="29"/>
        <v>19.9297</v>
      </c>
      <c r="AA53" s="222">
        <f t="shared" si="30"/>
        <v>3.3783999999999992</v>
      </c>
      <c r="AB53" s="231" t="e">
        <f>VLOOKUP(A53,Enforcements!$C$7:$K$9,8,0)</f>
        <v>#N/A</v>
      </c>
      <c r="AC53" s="231" t="e">
        <f>VLOOKUP(A53,Enforcements!$C$7:$E$9,3,0)</f>
        <v>#N/A</v>
      </c>
      <c r="AD53" s="232">
        <f t="shared" si="31"/>
        <v>140</v>
      </c>
      <c r="AE53" s="233" t="str">
        <f t="shared" si="9"/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AF53" s="234" t="str">
        <f t="shared" si="10"/>
        <v>"C:\Program Files (x86)\AstroGrep\AstroGrep.exe" /e /r /s /spath="%USERPROFILE%\AppData\Local\Temp\OnboardLogs" /stypes="app*4003*20171215*" /stext=" 17:.+((SYSTEM_STATE.+slice.+state.+changed )|(ment ac)|(multiple cpu faults)|(system.+state.+changed )|(\[timeout)|(PRM\|1\|D)|(kpr)|(kdp)|(train st.+moving)|(\|lc)|(penalty))"</v>
      </c>
      <c r="AG53" s="226" t="str">
        <f t="shared" si="32"/>
        <v>EC</v>
      </c>
      <c r="AH53" s="189" t="str">
        <f t="shared" si="17"/>
        <v>"%USERPROFILE%\Documents\GitHub\eaglep3\Utilities\RefineRTDCRunTimes.py" --tripid 140-15 --locoid 4003 --swversion DE.1.0.9.0 --startMP 204:233081 --initTime 2017-12-15T09:24:50 --startdatetime 2017-12-15T09:49:55 --delay 63 --endMP 204:199297 --enddatetime 2017-12-15T10:03:44 --enforcementcount 0 &gt;&gt;%USERPROFILE%\Documents\GitHub\eaglep3-reporting\EC\2017-12-15-refined-times.txt</v>
      </c>
      <c r="AI53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{"issue":{"subject":"","project_id":79,"tracker_id":40,"status_id":1,"priority_id":2,"assigned_to_id":338,"start_date":"2017-12-15","description":"","custom_fields":[{"id":1,"name":"Subdivision","value":"EC"},{"id":4,"name":"Milepost","value":"19.9297"},{"id":17,"name":"Train ID","value":"140-15"},{"id":16,"name":"Locomotive ID","value":"4003"},{"id":130,"name":"Impact","value":""},{"id":150,"name":"Time of Event (Mountain Time)","value":"10:03:44"},{"id":151,"name":"Denver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180"/>
      <c r="AK53" s="188"/>
      <c r="AL53" s="188"/>
      <c r="AM53" s="193" t="str">
        <f t="shared" si="19"/>
        <v>start /low /b %USERPROFILE%\Documents\GitHub\eaglep3\Utilities\DownloadLogsFromS3.py --loco 4003 --day 2017-12-15</v>
      </c>
      <c r="AN53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17:03:44"},{"id":29,"name":"Sharepoint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87" t="str">
        <f t="shared" si="21"/>
        <v>https://d0f6bd738d7f1b3e5a7ca70fe4ff75f0.us-east-1.aws.found.io/app/kibana#/discover/Steve-Slow-Train-Analysis-(2080s-and-2083s)?_g=(refreshInterval:(display:Off,pause:!f,section:0,value:0),time:(from:'2017-12-15T08:24:50-0700',mode:absolute,to:'2017-12-15T11:03:44-0700'))&amp;_a=(columns:!('Message%20ID',Summary),filters:!(),index:'emp_*',interval:auto,query:(query_string:(analyze_wildcard:!t,query:'%22rtdc.l.rtdc.4003%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186" t="s">
        <v>656</v>
      </c>
      <c r="B54" s="182">
        <v>4003</v>
      </c>
      <c r="C54" s="184" t="s">
        <v>192</v>
      </c>
      <c r="D54" s="184" t="s">
        <v>930</v>
      </c>
      <c r="E54" s="183">
        <v>43084.408738425926</v>
      </c>
      <c r="F54" s="183">
        <v>43084.40966435185</v>
      </c>
      <c r="G54" s="182">
        <v>41</v>
      </c>
      <c r="H54" s="184" t="s">
        <v>605</v>
      </c>
      <c r="I54" s="183">
        <v>43084.419259259259</v>
      </c>
      <c r="J54" s="182">
        <v>0</v>
      </c>
      <c r="K54" s="190" t="str">
        <f t="shared" si="24"/>
        <v>4003/4004</v>
      </c>
      <c r="L54" s="196" t="str">
        <f>VLOOKUP(A54,'Trips&amp;Operators'!$C$1:$G$99911,5,FALSE)</f>
        <v>ROCHA YAOTL</v>
      </c>
      <c r="M54" s="181">
        <f t="shared" si="25"/>
        <v>9.5949074093368836E-3</v>
      </c>
      <c r="N54" s="182"/>
      <c r="O54" s="182"/>
      <c r="P54" s="182">
        <f>24*60*SUM($M54:$M54)</f>
        <v>13.816666669445112</v>
      </c>
      <c r="Q54" s="185"/>
      <c r="R54" s="197" t="s">
        <v>438</v>
      </c>
      <c r="S54" s="241">
        <f t="shared" ref="S54:S85" si="33">1/IF(AG54="EC",12,1)*SUM(U54:U54)</f>
        <v>0.75</v>
      </c>
      <c r="T54" s="220" t="str">
        <f t="shared" si="26"/>
        <v>Southbound</v>
      </c>
      <c r="U54" s="22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9</v>
      </c>
      <c r="V54" s="221" t="str">
        <f t="shared" si="3"/>
        <v>https://d0f6bd738d7f1b3e5a7ca70fe4ff75f0.us-east-1.aws.found.io/app/kibana#/discover/Steve-Slow-Train-Analysis-(2080s-and-2083s)?_g=(refreshInterval:(display:Off,pause:!f,section:0,value:0),time:(from:'2017-12-15T08:48:35-0700',mode:absolute,to:'2017-12-15T11:03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4" s="222" t="str">
        <f>IF(AA54&lt;VLOOKUP(AG54,Variables!$AC$3:$AD$8,2,FALSE),"Y","N")</f>
        <v>Y</v>
      </c>
      <c r="X54" s="222">
        <f t="shared" si="27"/>
        <v>0</v>
      </c>
      <c r="Y54" s="222">
        <f t="shared" si="28"/>
        <v>6.4150999999999998</v>
      </c>
      <c r="Z54" s="222">
        <f t="shared" si="29"/>
        <v>1.5800000000000002E-2</v>
      </c>
      <c r="AA54" s="222">
        <f t="shared" si="30"/>
        <v>6.3993000000000002</v>
      </c>
      <c r="AB54" s="231" t="e">
        <f>VLOOKUP(A54,Enforcements!$C$7:$K$9,8,0)</f>
        <v>#N/A</v>
      </c>
      <c r="AC54" s="231" t="e">
        <f>VLOOKUP(A54,Enforcements!$C$7:$E$9,3,0)</f>
        <v>#N/A</v>
      </c>
      <c r="AD54" s="232">
        <f t="shared" si="31"/>
        <v>140</v>
      </c>
      <c r="AE54" s="233" t="str">
        <f t="shared" si="9"/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AF54" s="234" t="str">
        <f t="shared" si="10"/>
        <v>"C:\Program Files (x86)\AstroGrep\AstroGrep.exe" /e /r /s /spath="%USERPROFILE%\AppData\Local\Temp\OnboardLogs" /stypes="app*4003*20171215*" /stext=" 17:.+((SYSTEM_STATE.+slice.+state.+changed )|(ment ac)|(multiple cpu faults)|(system.+state.+changed )|(\[timeout)|(PRM\|1\|D)|(kpr)|(kdp)|(train st.+moving)|(\|lc)|(penalty))"</v>
      </c>
      <c r="AG54" s="226" t="str">
        <f t="shared" si="32"/>
        <v>EC</v>
      </c>
      <c r="AH54" s="189" t="str">
        <f t="shared" si="17"/>
        <v>"%USERPROFILE%\Documents\GitHub\eaglep3\Utilities\RefineRTDCRunTimes.py" --tripid 140-15 --locoid 4003 --swversion DE.1.0.9.0 --startMP 204:64151 --initTime 2017-12-15T09:48:35 --startdatetime 2017-12-15T09:49:55 --delay 41 --endMP 204:158 --enddatetime 2017-12-15T10:03:44 --enforcementcount 0 &gt;&gt;%USERPROFILE%\Documents\GitHub\eaglep3-reporting\EC\2017-12-15-refined-times.txt</v>
      </c>
      <c r="AI54" s="191" t="str">
        <f t="shared" si="18"/>
        <v>echo {"issue":{"subject":"Wi-MAX data drop","project_id":79,"tracker_id":40,"status_id":1,"priority_id":2,"assigned_to_id":338,"start_date":"2017-12-15","description":"","custom_fields":[{"id":1,"name":"Subdivision","value":"EC"},{"id":4,"name":"Milepost","value":"0.0158"},{"id":17,"name":"Train ID","value":"140-15"},{"id":16,"name":"Locomotive ID","value":"4003"},{"id":130,"name":"Impact","value":""},{"id":150,"name":"Time of Event (Mountain Time)","value":"10:03:44"},{"id":151,"name":"Denver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180"/>
      <c r="AK54" s="188"/>
      <c r="AL54" s="188"/>
      <c r="AM54" s="193" t="str">
        <f t="shared" si="19"/>
        <v>start /low /b %USERPROFILE%\Documents\GitHub\eaglep3\Utilities\DownloadLogsFromS3.py --loco 4003 --day 2017-12-15</v>
      </c>
      <c r="AN54" s="194" t="str">
        <f t="shared" si="20"/>
        <v>echo {"issue":{"subject":"Wi-MAX data drop","project_id":30,"tracker_id":4,"status_id":1,"priority_id":1,"assigned_to_id":10,"start_date":"2017-12-15","description":"","custom_fields":[{"id":30,"name":"Category","value":"Issue"},{"id":3,"name":"Functional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17:03:44"},{"id":29,"name":"Sharepoint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87" t="str">
        <f t="shared" si="21"/>
        <v>https://d0f6bd738d7f1b3e5a7ca70fe4ff75f0.us-east-1.aws.found.io/app/kibana#/discover/Steve-Slow-Train-Analysis-(2080s-and-2083s)?_g=(refreshInterval:(display:Off,pause:!f,section:0,value:0),time:(from:'2017-12-15T08:48:35-0700',mode:absolute,to:'2017-12-15T11:03:44-0700'))&amp;_a=(columns:!('Message%20ID',Summary),filters:!(),index:'emp_*',interval:auto,query:(query_string:(analyze_wildcard:!t,query:'%22rtdc.l.rtdc.4003%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186" t="s">
        <v>744</v>
      </c>
      <c r="B55" s="182">
        <v>4058</v>
      </c>
      <c r="C55" s="184" t="s">
        <v>192</v>
      </c>
      <c r="D55" s="184" t="s">
        <v>931</v>
      </c>
      <c r="E55" s="183">
        <v>43084.362604166665</v>
      </c>
      <c r="F55" s="183">
        <v>43084.364803240744</v>
      </c>
      <c r="G55" s="182">
        <v>53</v>
      </c>
      <c r="H55" s="184" t="s">
        <v>565</v>
      </c>
      <c r="I55" s="183">
        <v>43084.388842592591</v>
      </c>
      <c r="J55" s="182">
        <v>0</v>
      </c>
      <c r="K55" s="190" t="str">
        <f t="shared" si="24"/>
        <v>4057/4058</v>
      </c>
      <c r="L55" s="196" t="str">
        <f>VLOOKUP(A55,'Trips&amp;Operators'!$C$1:$G$99911,5,FALSE)</f>
        <v>MACDONALD THOMAS</v>
      </c>
      <c r="M55" s="181">
        <f t="shared" si="25"/>
        <v>2.4039351847022772E-2</v>
      </c>
      <c r="N55" s="182">
        <f t="shared" ref="N55:N86" si="34">24*60*SUM($M55:$M55)</f>
        <v>34.616666659712791</v>
      </c>
      <c r="O55" s="182"/>
      <c r="P55" s="182"/>
      <c r="Q55" s="185"/>
      <c r="R55" s="197"/>
      <c r="S55" s="241">
        <f t="shared" si="33"/>
        <v>1</v>
      </c>
      <c r="T55" s="220" t="str">
        <f t="shared" si="26"/>
        <v>NorthBound</v>
      </c>
      <c r="U55" s="22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21" t="str">
        <f t="shared" si="3"/>
        <v>https://d0f6bd738d7f1b3e5a7ca70fe4ff75f0.us-east-1.aws.found.io/app/kibana#/discover/Steve-Slow-Train-Analysis-(2080s-and-2083s)?_g=(refreshInterval:(display:Off,pause:!f,section:0,value:0),time:(from:'2017-12-15T07:42:09-0700',mode:absolute,to:'2017-12-15T10:19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5" s="222" t="str">
        <f>IF(AA55&lt;VLOOKUP(AG55,Variables!$AC$3:$AD$8,2,FALSE),"Y","N")</f>
        <v>N</v>
      </c>
      <c r="X55" s="222">
        <f t="shared" si="27"/>
        <v>1</v>
      </c>
      <c r="Y55" s="222">
        <f t="shared" si="28"/>
        <v>5.5500000000000001E-2</v>
      </c>
      <c r="Z55" s="222">
        <f t="shared" si="29"/>
        <v>23.323399999999999</v>
      </c>
      <c r="AA55" s="222">
        <f t="shared" si="30"/>
        <v>23.267900000000001</v>
      </c>
      <c r="AB55" s="231" t="e">
        <f>VLOOKUP(A55,Enforcements!$C$7:$K$9,8,0)</f>
        <v>#N/A</v>
      </c>
      <c r="AC55" s="231" t="e">
        <f>VLOOKUP(A55,Enforcements!$C$7:$E$9,3,0)</f>
        <v>#N/A</v>
      </c>
      <c r="AD55" s="232">
        <f t="shared" si="31"/>
        <v>141</v>
      </c>
      <c r="AE55" s="233" t="str">
        <f t="shared" si="9"/>
        <v>aws s3 cp s3://rtdc.mdm.uploadarchive.raw/RTDC4058/ "%USERPROFILE%\AppData\Local\Temp\OnboardLogs"\RTDC4058\2017-12-15 --exclude "*" --recursive --include "*20171215*" &amp; "%USERPROFILE%\Documents\GitHub\mrs-test-scripts\Headless Mode &amp; Sideloading\WalkAndUnGZ.bat" "%USERPROFILE%\AppData\Local\Temp\OnboardLogs"\RTDC4058\2017-12-15 &amp; aws s3 cp s3://rtdc.mdm.uploadarchive.raw/RTDC4058/ "%USERPROFILE%\AppData\Local\Temp\OnboardLogs"\RTDC4058\2017-12-16 --exclude "*" --recursive --include "*20171216*" &amp; "%USERPROFILE%\Documents\GitHub\mrs-test-scripts\Headless Mode &amp; Sideloading\WalkAndUnGZ.bat" "%USERPROFILE%\AppData\Local\Temp\OnboardLogs"\RTDC4058\2017-12-16</v>
      </c>
      <c r="AF55" s="234" t="str">
        <f t="shared" si="10"/>
        <v>"C:\Program Files (x86)\AstroGrep\AstroGrep.exe" /e /r /s /spath="%USERPROFILE%\AppData\Local\Temp\OnboardLogs" /stypes="app*4058*20171215*" /stext=" 16:.+((SYSTEM_STATE.+slice.+state.+changed )|(ment ac)|(multiple cpu faults)|(system.+state.+changed )|(\[timeout)|(PRM\|1\|D)|(kpr)|(kdp)|(train st.+moving)|(\|lc)|(penalty))"</v>
      </c>
      <c r="AG55" s="226" t="str">
        <f t="shared" si="32"/>
        <v>EC</v>
      </c>
      <c r="AH55" s="189" t="str">
        <f t="shared" si="17"/>
        <v>"%USERPROFILE%\Documents\GitHub\eaglep3\Utilities\RefineRTDCRunTimes.py" --tripid 141-15 --locoid 4058 --swversion DE.1.0.9.0 --startMP 204:555 --initTime 2017-12-15T08:42:09 --startdatetime 2017-12-15T08:45:19 --delay 53 --endMP 204:233234 --enddatetime 2017-12-15T09:19:56 --enforcementcount 0 &gt;&gt;%USERPROFILE%\Documents\GitHub\eaglep3-reporting\EC\2017-12-15-refined-times.txt</v>
      </c>
      <c r="AI55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{"issue":{"subject":"","project_id":79,"tracker_id":40,"status_id":1,"priority_id":2,"assigned_to_id":338,"start_date":"2017-12-15","description":"","custom_fields":[{"id":1,"name":"Subdivision","value":"EC"},{"id":4,"name":"Milepost","value":"23.3234"},{"id":17,"name":"Train ID","value":"141-15"},{"id":16,"name":"Locomotive ID","value":"4058"},{"id":130,"name":"Impact","value":""},{"id":150,"name":"Time of Event (Mountain Time)","value":"09:19:56"},{"id":151,"name":"Denver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180"/>
      <c r="AK55" s="188"/>
      <c r="AL55" s="188"/>
      <c r="AM55" s="193" t="str">
        <f t="shared" si="19"/>
        <v>start /low /b %USERPROFILE%\Documents\GitHub\eaglep3\Utilities\DownloadLogsFromS3.py --loco 4058 --day 2017-12-15</v>
      </c>
      <c r="AN55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16:19:56"},{"id":29,"name":"Sharepoint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87" t="str">
        <f t="shared" si="21"/>
        <v>https://d0f6bd738d7f1b3e5a7ca70fe4ff75f0.us-east-1.aws.found.io/app/kibana#/discover/Steve-Slow-Train-Analysis-(2080s-and-2083s)?_g=(refreshInterval:(display:Off,pause:!f,section:0,value:0),time:(from:'2017-12-15T07:42:09-0700',mode:absolute,to:'2017-12-15T10:19:56-0700'))&amp;_a=(columns:!('Message%20ID',Summary),filters:!(),index:'emp_*',interval:auto,query:(query_string:(analyze_wildcard:!t,query:'%22rtdc.l.rtdc.4058%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186" t="s">
        <v>751</v>
      </c>
      <c r="B56" s="182">
        <v>4057</v>
      </c>
      <c r="C56" s="184" t="s">
        <v>192</v>
      </c>
      <c r="D56" s="184" t="s">
        <v>932</v>
      </c>
      <c r="E56" s="183">
        <v>43084.400520833333</v>
      </c>
      <c r="F56" s="183">
        <v>43084.404826388891</v>
      </c>
      <c r="G56" s="182">
        <v>77</v>
      </c>
      <c r="H56" s="184" t="s">
        <v>569</v>
      </c>
      <c r="I56" s="183">
        <v>43084.430995370371</v>
      </c>
      <c r="J56" s="182">
        <v>0</v>
      </c>
      <c r="K56" s="190" t="str">
        <f t="shared" si="24"/>
        <v>4057/4058</v>
      </c>
      <c r="L56" s="196" t="str">
        <f>VLOOKUP(A56,'Trips&amp;Operators'!$C$1:$G$99911,5,FALSE)</f>
        <v>MACDONALD THOMAS</v>
      </c>
      <c r="M56" s="181">
        <f t="shared" si="25"/>
        <v>2.6168981479713693E-2</v>
      </c>
      <c r="N56" s="182">
        <f t="shared" si="34"/>
        <v>37.683333330787718</v>
      </c>
      <c r="O56" s="182"/>
      <c r="P56" s="182"/>
      <c r="Q56" s="185"/>
      <c r="R56" s="197"/>
      <c r="S56" s="241">
        <f t="shared" si="33"/>
        <v>1</v>
      </c>
      <c r="T56" s="220" t="str">
        <f t="shared" si="26"/>
        <v>Southbound</v>
      </c>
      <c r="U56" s="22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21" t="str">
        <f t="shared" si="3"/>
        <v>https://d0f6bd738d7f1b3e5a7ca70fe4ff75f0.us-east-1.aws.found.io/app/kibana#/discover/Steve-Slow-Train-Analysis-(2080s-and-2083s)?_g=(refreshInterval:(display:Off,pause:!f,section:0,value:0),time:(from:'2017-12-15T08:36:45-0700',mode:absolute,to:'2017-12-15T11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6" s="222" t="str">
        <f>IF(AA56&lt;VLOOKUP(AG56,Variables!$AC$3:$AD$8,2,FALSE),"Y","N")</f>
        <v>N</v>
      </c>
      <c r="X56" s="222">
        <f t="shared" si="27"/>
        <v>1</v>
      </c>
      <c r="Y56" s="222">
        <f t="shared" si="28"/>
        <v>23.293399999999998</v>
      </c>
      <c r="Z56" s="222">
        <f t="shared" si="29"/>
        <v>1.6E-2</v>
      </c>
      <c r="AA56" s="222">
        <f t="shared" si="30"/>
        <v>23.2774</v>
      </c>
      <c r="AB56" s="231" t="e">
        <f>VLOOKUP(A56,Enforcements!$C$7:$K$9,8,0)</f>
        <v>#N/A</v>
      </c>
      <c r="AC56" s="231" t="e">
        <f>VLOOKUP(A56,Enforcements!$C$7:$E$9,3,0)</f>
        <v>#N/A</v>
      </c>
      <c r="AD56" s="232">
        <f t="shared" si="31"/>
        <v>142</v>
      </c>
      <c r="AE56" s="233" t="str">
        <f t="shared" si="9"/>
        <v>aws s3 cp s3://rtdc.mdm.uploadarchive.raw/RTDC4057/ "%USERPROFILE%\AppData\Local\Temp\OnboardLogs"\RTDC4057\2017-12-15 --exclude "*" --recursive --include "*20171215*" &amp; "%USERPROFILE%\Documents\GitHub\mrs-test-scripts\Headless Mode &amp; Sideloading\WalkAndUnGZ.bat" "%USERPROFILE%\AppData\Local\Temp\OnboardLogs"\RTDC4057\2017-12-15 &amp; aws s3 cp s3://rtdc.mdm.uploadarchive.raw/RTDC4057/ "%USERPROFILE%\AppData\Local\Temp\OnboardLogs"\RTDC4057\2017-12-16 --exclude "*" --recursive --include "*20171216*" &amp; "%USERPROFILE%\Documents\GitHub\mrs-test-scripts\Headless Mode &amp; Sideloading\WalkAndUnGZ.bat" "%USERPROFILE%\AppData\Local\Temp\OnboardLogs"\RTDC4057\2017-12-16</v>
      </c>
      <c r="AF56" s="234" t="str">
        <f t="shared" si="10"/>
        <v>"C:\Program Files (x86)\AstroGrep\AstroGrep.exe" /e /r /s /spath="%USERPROFILE%\AppData\Local\Temp\OnboardLogs" /stypes="app*4057*20171215*" /stext=" 17:.+((SYSTEM_STATE.+slice.+state.+changed )|(ment ac)|(multiple cpu faults)|(system.+state.+changed )|(\[timeout)|(PRM\|1\|D)|(kpr)|(kdp)|(train st.+moving)|(\|lc)|(penalty))"</v>
      </c>
      <c r="AG56" s="226" t="str">
        <f t="shared" si="32"/>
        <v>EC</v>
      </c>
      <c r="AH56" s="189" t="str">
        <f t="shared" si="17"/>
        <v>"%USERPROFILE%\Documents\GitHub\eaglep3\Utilities\RefineRTDCRunTimes.py" --tripid 142-15 --locoid 4057 --swversion DE.1.0.9.0 --startMP 204:232934 --initTime 2017-12-15T09:36:45 --startdatetime 2017-12-15T09:42:57 --delay 77 --endMP 204:160 --enddatetime 2017-12-15T10:20:38 --enforcementcount 0 &gt;&gt;%USERPROFILE%\Documents\GitHub\eaglep3-reporting\EC\2017-12-15-refined-times.txt</v>
      </c>
      <c r="AI56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{"issue":{"subject":"","project_id":79,"tracker_id":40,"status_id":1,"priority_id":2,"assigned_to_id":338,"start_date":"2017-12-15","description":"","custom_fields":[{"id":1,"name":"Subdivision","value":"EC"},{"id":4,"name":"Milepost","value":"0.016"},{"id":17,"name":"Train ID","value":"142-15"},{"id":16,"name":"Locomotive ID","value":"4057"},{"id":130,"name":"Impact","value":""},{"id":150,"name":"Time of Event (Mountain Time)","value":"10:20:38"},{"id":151,"name":"Denver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180"/>
      <c r="AK56" s="188"/>
      <c r="AL56" s="188"/>
      <c r="AM56" s="193" t="str">
        <f t="shared" si="19"/>
        <v>start /low /b %USERPROFILE%\Documents\GitHub\eaglep3\Utilities\DownloadLogsFromS3.py --loco 4057 --day 2017-12-15</v>
      </c>
      <c r="AN56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17:20:38"},{"id":29,"name":"Sharepoint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87" t="str">
        <f t="shared" si="21"/>
        <v>https://d0f6bd738d7f1b3e5a7ca70fe4ff75f0.us-east-1.aws.found.io/app/kibana#/discover/Steve-Slow-Train-Analysis-(2080s-and-2083s)?_g=(refreshInterval:(display:Off,pause:!f,section:0,value:0),time:(from:'2017-12-15T08:36:45-0700',mode:absolute,to:'2017-12-15T11:20:38-0700'))&amp;_a=(columns:!('Message%20ID',Summary),filters:!(),index:'emp_*',interval:auto,query:(query_string:(analyze_wildcard:!t,query:'%22rtdc.l.rtdc.4057%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186" t="s">
        <v>745</v>
      </c>
      <c r="B57" s="182">
        <v>4044</v>
      </c>
      <c r="C57" s="184" t="s">
        <v>192</v>
      </c>
      <c r="D57" s="184" t="s">
        <v>896</v>
      </c>
      <c r="E57" s="183">
        <v>43084.371064814812</v>
      </c>
      <c r="F57" s="183">
        <v>43084.375185185185</v>
      </c>
      <c r="G57" s="182">
        <v>56</v>
      </c>
      <c r="H57" s="184" t="s">
        <v>529</v>
      </c>
      <c r="I57" s="183">
        <v>43084.399837962963</v>
      </c>
      <c r="J57" s="182">
        <v>0</v>
      </c>
      <c r="K57" s="190" t="str">
        <f t="shared" si="24"/>
        <v>4043/4044</v>
      </c>
      <c r="L57" s="196" t="str">
        <f>VLOOKUP(A57,'Trips&amp;Operators'!$C$1:$G$99911,5,FALSE)</f>
        <v>MAELZER KURT</v>
      </c>
      <c r="M57" s="181">
        <f t="shared" si="25"/>
        <v>2.4652777778101154E-2</v>
      </c>
      <c r="N57" s="182">
        <f t="shared" si="34"/>
        <v>35.500000000465661</v>
      </c>
      <c r="O57" s="182"/>
      <c r="P57" s="182"/>
      <c r="Q57" s="185"/>
      <c r="R57" s="197"/>
      <c r="S57" s="241">
        <f t="shared" si="33"/>
        <v>1</v>
      </c>
      <c r="T57" s="220" t="str">
        <f t="shared" si="26"/>
        <v>NorthBound</v>
      </c>
      <c r="U57" s="22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21" t="str">
        <f t="shared" si="3"/>
        <v>https://d0f6bd738d7f1b3e5a7ca70fe4ff75f0.us-east-1.aws.found.io/app/kibana#/discover/Steve-Slow-Train-Analysis-(2080s-and-2083s)?_g=(refreshInterval:(display:Off,pause:!f,section:0,value:0),time:(from:'2017-12-15T07:54:20-0700',mode:absolute,to:'2017-12-15T10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7" s="222" t="str">
        <f>IF(AA57&lt;VLOOKUP(AG57,Variables!$AC$3:$AD$8,2,FALSE),"Y","N")</f>
        <v>N</v>
      </c>
      <c r="X57" s="222">
        <f t="shared" si="27"/>
        <v>1</v>
      </c>
      <c r="Y57" s="222">
        <f t="shared" si="28"/>
        <v>5.0200000000000002E-2</v>
      </c>
      <c r="Z57" s="222">
        <f t="shared" si="29"/>
        <v>23.3293</v>
      </c>
      <c r="AA57" s="222">
        <f t="shared" si="30"/>
        <v>23.2791</v>
      </c>
      <c r="AB57" s="231" t="e">
        <f>VLOOKUP(A57,Enforcements!$C$7:$K$9,8,0)</f>
        <v>#N/A</v>
      </c>
      <c r="AC57" s="231" t="e">
        <f>VLOOKUP(A57,Enforcements!$C$7:$E$9,3,0)</f>
        <v>#N/A</v>
      </c>
      <c r="AD57" s="232">
        <f t="shared" si="31"/>
        <v>143</v>
      </c>
      <c r="AE57" s="233" t="str">
        <f t="shared" si="9"/>
        <v>aws s3 cp s3://rtdc.mdm.uploadarchive.raw/RTDC4044/ "%USERPROFILE%\AppData\Local\Temp\OnboardLogs"\RTDC4044\2017-12-15 --exclude "*" --recursive --include "*20171215*" &amp; "%USERPROFILE%\Documents\GitHub\mrs-test-scripts\Headless Mode &amp; Sideloading\WalkAndUnGZ.bat" "%USERPROFILE%\AppData\Local\Temp\OnboardLogs"\RTDC4044\2017-12-15 &amp; aws s3 cp s3://rtdc.mdm.uploadarchive.raw/RTDC4044/ "%USERPROFILE%\AppData\Local\Temp\OnboardLogs"\RTDC4044\2017-12-16 --exclude "*" --recursive --include "*20171216*" &amp; "%USERPROFILE%\Documents\GitHub\mrs-test-scripts\Headless Mode &amp; Sideloading\WalkAndUnGZ.bat" "%USERPROFILE%\AppData\Local\Temp\OnboardLogs"\RTDC4044\2017-12-16</v>
      </c>
      <c r="AF57" s="234" t="str">
        <f t="shared" si="10"/>
        <v>"C:\Program Files (x86)\AstroGrep\AstroGrep.exe" /e /r /s /spath="%USERPROFILE%\AppData\Local\Temp\OnboardLogs" /stypes="app*4044*20171215*" /stext=" 16:.+((SYSTEM_STATE.+slice.+state.+changed )|(ment ac)|(multiple cpu faults)|(system.+state.+changed )|(\[timeout)|(PRM\|1\|D)|(kpr)|(kdp)|(train st.+moving)|(\|lc)|(penalty))"</v>
      </c>
      <c r="AG57" s="226" t="str">
        <f t="shared" si="32"/>
        <v>EC</v>
      </c>
      <c r="AH57" s="189" t="str">
        <f t="shared" si="17"/>
        <v>"%USERPROFILE%\Documents\GitHub\eaglep3\Utilities\RefineRTDCRunTimes.py" --tripid 143-15 --locoid 4044 --swversion DE.1.0.9.0 --startMP 204:502 --initTime 2017-12-15T08:54:20 --startdatetime 2017-12-15T09:00:16 --delay 56 --endMP 204:233293 --enddatetime 2017-12-15T09:35:46 --enforcementcount 0 &gt;&gt;%USERPROFILE%\Documents\GitHub\eaglep3-reporting\EC\2017-12-15-refined-times.txt</v>
      </c>
      <c r="AI57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{"issue":{"subject":"","project_id":79,"tracker_id":40,"status_id":1,"priority_id":2,"assigned_to_id":338,"start_date":"2017-12-15","description":"","custom_fields":[{"id":1,"name":"Subdivision","value":"EC"},{"id":4,"name":"Milepost","value":"23.3293"},{"id":17,"name":"Train ID","value":"143-15"},{"id":16,"name":"Locomotive ID","value":"4044"},{"id":130,"name":"Impact","value":""},{"id":150,"name":"Time of Event (Mountain Time)","value":"09:35:46"},{"id":151,"name":"Denver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180"/>
      <c r="AK57" s="188"/>
      <c r="AL57" s="188"/>
      <c r="AM57" s="193" t="str">
        <f t="shared" si="19"/>
        <v>start /low /b %USERPROFILE%\Documents\GitHub\eaglep3\Utilities\DownloadLogsFromS3.py --loco 4044 --day 2017-12-15</v>
      </c>
      <c r="AN57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16:35:46"},{"id":29,"name":"Sharepoint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87" t="str">
        <f t="shared" si="21"/>
        <v>https://d0f6bd738d7f1b3e5a7ca70fe4ff75f0.us-east-1.aws.found.io/app/kibana#/discover/Steve-Slow-Train-Analysis-(2080s-and-2083s)?_g=(refreshInterval:(display:Off,pause:!f,section:0,value:0),time:(from:'2017-12-15T07:54:20-0700',mode:absolute,to:'2017-12-15T10:35:46-0700'))&amp;_a=(columns:!('Message%20ID',Summary),filters:!(),index:'emp_*',interval:auto,query:(query_string:(analyze_wildcard:!t,query:'%22rtdc.l.rtdc.4044%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186" t="s">
        <v>752</v>
      </c>
      <c r="B58" s="182">
        <v>4043</v>
      </c>
      <c r="C58" s="184" t="s">
        <v>192</v>
      </c>
      <c r="D58" s="184" t="s">
        <v>933</v>
      </c>
      <c r="E58" s="183">
        <v>43084.402233796296</v>
      </c>
      <c r="F58" s="183">
        <v>43084.414803240739</v>
      </c>
      <c r="G58" s="182">
        <v>46</v>
      </c>
      <c r="H58" s="184" t="s">
        <v>605</v>
      </c>
      <c r="I58" s="183">
        <v>43084.440520833334</v>
      </c>
      <c r="J58" s="182">
        <v>0</v>
      </c>
      <c r="K58" s="190" t="str">
        <f t="shared" si="24"/>
        <v>4043/4044</v>
      </c>
      <c r="L58" s="196" t="str">
        <f>VLOOKUP(A58,'Trips&amp;Operators'!$C$1:$G$99911,5,FALSE)</f>
        <v>MAELZER KURT</v>
      </c>
      <c r="M58" s="181">
        <f t="shared" si="25"/>
        <v>2.5717592594446614E-2</v>
      </c>
      <c r="N58" s="182">
        <f t="shared" si="34"/>
        <v>37.033333336003125</v>
      </c>
      <c r="O58" s="182"/>
      <c r="P58" s="182"/>
      <c r="Q58" s="185"/>
      <c r="R58" s="197"/>
      <c r="S58" s="241">
        <f t="shared" si="33"/>
        <v>1</v>
      </c>
      <c r="T58" s="220" t="str">
        <f t="shared" si="26"/>
        <v>Southbound</v>
      </c>
      <c r="U58" s="22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21" t="str">
        <f t="shared" si="3"/>
        <v>https://d0f6bd738d7f1b3e5a7ca70fe4ff75f0.us-east-1.aws.found.io/app/kibana#/discover/Steve-Slow-Train-Analysis-(2080s-and-2083s)?_g=(refreshInterval:(display:Off,pause:!f,section:0,value:0),time:(from:'2017-12-15T08:39:13-0700',mode:absolute,to:'2017-12-15T11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8" s="222" t="str">
        <f>IF(AA58&lt;VLOOKUP(AG58,Variables!$AC$3:$AD$8,2,FALSE),"Y","N")</f>
        <v>N</v>
      </c>
      <c r="X58" s="222">
        <f t="shared" si="27"/>
        <v>1</v>
      </c>
      <c r="Y58" s="222">
        <f t="shared" si="28"/>
        <v>23.2989</v>
      </c>
      <c r="Z58" s="222">
        <f t="shared" si="29"/>
        <v>1.5800000000000002E-2</v>
      </c>
      <c r="AA58" s="222">
        <f t="shared" si="30"/>
        <v>23.283100000000001</v>
      </c>
      <c r="AB58" s="231" t="e">
        <f>VLOOKUP(A58,Enforcements!$C$7:$K$9,8,0)</f>
        <v>#N/A</v>
      </c>
      <c r="AC58" s="231" t="e">
        <f>VLOOKUP(A58,Enforcements!$C$7:$E$9,3,0)</f>
        <v>#N/A</v>
      </c>
      <c r="AD58" s="232">
        <f t="shared" si="31"/>
        <v>144</v>
      </c>
      <c r="AE58" s="233" t="str">
        <f t="shared" si="9"/>
        <v>aws s3 cp s3://rtdc.mdm.uploadarchive.raw/RTDC4043/ "%USERPROFILE%\AppData\Local\Temp\OnboardLogs"\RTDC4043\2017-12-15 --exclude "*" --recursive --include "*20171215*" &amp; "%USERPROFILE%\Documents\GitHub\mrs-test-scripts\Headless Mode &amp; Sideloading\WalkAndUnGZ.bat" "%USERPROFILE%\AppData\Local\Temp\OnboardLogs"\RTDC4043\2017-12-15 &amp; aws s3 cp s3://rtdc.mdm.uploadarchive.raw/RTDC4043/ "%USERPROFILE%\AppData\Local\Temp\OnboardLogs"\RTDC4043\2017-12-16 --exclude "*" --recursive --include "*20171216*" &amp; "%USERPROFILE%\Documents\GitHub\mrs-test-scripts\Headless Mode &amp; Sideloading\WalkAndUnGZ.bat" "%USERPROFILE%\AppData\Local\Temp\OnboardLogs"\RTDC4043\2017-12-16</v>
      </c>
      <c r="AF58" s="234" t="str">
        <f t="shared" si="10"/>
        <v>"C:\Program Files (x86)\AstroGrep\AstroGrep.exe" /e /r /s /spath="%USERPROFILE%\AppData\Local\Temp\OnboardLogs" /stypes="app*4043*20171215*" /stext=" 17:.+((SYSTEM_STATE.+slice.+state.+changed )|(ment ac)|(multiple cpu faults)|(system.+state.+changed )|(\[timeout)|(PRM\|1\|D)|(kpr)|(kdp)|(train st.+moving)|(\|lc)|(penalty))"</v>
      </c>
      <c r="AG58" s="226" t="str">
        <f t="shared" si="32"/>
        <v>EC</v>
      </c>
      <c r="AH58" s="189" t="str">
        <f t="shared" si="17"/>
        <v>"%USERPROFILE%\Documents\GitHub\eaglep3\Utilities\RefineRTDCRunTimes.py" --tripid 144-15 --locoid 4043 --swversion DE.1.0.9.0 --startMP 204:232989 --initTime 2017-12-15T09:39:13 --startdatetime 2017-12-15T09:57:19 --delay 46 --endMP 204:158 --enddatetime 2017-12-15T10:34:21 --enforcementcount 0 &gt;&gt;%USERPROFILE%\Documents\GitHub\eaglep3-reporting\EC\2017-12-15-refined-times.txt</v>
      </c>
      <c r="AI58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{"issue":{"subject":"","project_id":79,"tracker_id":40,"status_id":1,"priority_id":2,"assigned_to_id":338,"start_date":"2017-12-15","description":"","custom_fields":[{"id":1,"name":"Subdivision","value":"EC"},{"id":4,"name":"Milepost","value":"0.0158"},{"id":17,"name":"Train ID","value":"144-15"},{"id":16,"name":"Locomotive ID","value":"4043"},{"id":130,"name":"Impact","value":""},{"id":150,"name":"Time of Event (Mountain Time)","value":"10:34:21"},{"id":151,"name":"Denver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180"/>
      <c r="AK58" s="188"/>
      <c r="AL58" s="188"/>
      <c r="AM58" s="193" t="str">
        <f t="shared" si="19"/>
        <v>start /low /b %USERPROFILE%\Documents\GitHub\eaglep3\Utilities\DownloadLogsFromS3.py --loco 4043 --day 2017-12-15</v>
      </c>
      <c r="AN58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17:34:21"},{"id":29,"name":"Sharepoint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87" t="str">
        <f t="shared" si="21"/>
        <v>https://d0f6bd738d7f1b3e5a7ca70fe4ff75f0.us-east-1.aws.found.io/app/kibana#/discover/Steve-Slow-Train-Analysis-(2080s-and-2083s)?_g=(refreshInterval:(display:Off,pause:!f,section:0,value:0),time:(from:'2017-12-15T08:39:13-0700',mode:absolute,to:'2017-12-15T11:34:21-0700'))&amp;_a=(columns:!('Message%20ID',Summary),filters:!(),index:'emp_*',interval:auto,query:(query_string:(analyze_wildcard:!t,query:'%22rtdc.l.rtdc.4043%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186" t="s">
        <v>747</v>
      </c>
      <c r="B59" s="182">
        <v>4036</v>
      </c>
      <c r="C59" s="184" t="s">
        <v>192</v>
      </c>
      <c r="D59" s="184" t="s">
        <v>454</v>
      </c>
      <c r="E59" s="183">
        <v>43084.378680555557</v>
      </c>
      <c r="F59" s="183">
        <v>43084.385578703703</v>
      </c>
      <c r="G59" s="182">
        <v>47</v>
      </c>
      <c r="H59" s="184" t="s">
        <v>615</v>
      </c>
      <c r="I59" s="183">
        <v>43084.409629629627</v>
      </c>
      <c r="J59" s="182">
        <v>0</v>
      </c>
      <c r="K59" s="190" t="str">
        <f t="shared" si="24"/>
        <v>4035/4036</v>
      </c>
      <c r="L59" s="196" t="str">
        <f>VLOOKUP(A59,'Trips&amp;Operators'!$C$1:$G$99911,5,FALSE)</f>
        <v>YANAI IAN</v>
      </c>
      <c r="M59" s="181">
        <f t="shared" si="25"/>
        <v>2.4050925923802424E-2</v>
      </c>
      <c r="N59" s="182">
        <f t="shared" si="34"/>
        <v>34.633333330275491</v>
      </c>
      <c r="O59" s="182"/>
      <c r="P59" s="182"/>
      <c r="Q59" s="185"/>
      <c r="R59" s="197"/>
      <c r="S59" s="241">
        <f t="shared" si="33"/>
        <v>1</v>
      </c>
      <c r="T59" s="220" t="str">
        <f t="shared" si="26"/>
        <v>NorthBound</v>
      </c>
      <c r="U59" s="22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21" t="str">
        <f t="shared" si="3"/>
        <v>https://d0f6bd738d7f1b3e5a7ca70fe4ff75f0.us-east-1.aws.found.io/app/kibana#/discover/Steve-Slow-Train-Analysis-(2080s-and-2083s)?_g=(refreshInterval:(display:Off,pause:!f,section:0,value:0),time:(from:'2017-12-15T08:05:18-0700',mode:absolute,to:'2017-12-15T10:49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59" s="222" t="str">
        <f>IF(AA59&lt;VLOOKUP(AG59,Variables!$AC$3:$AD$8,2,FALSE),"Y","N")</f>
        <v>N</v>
      </c>
      <c r="X59" s="222">
        <f t="shared" si="27"/>
        <v>1</v>
      </c>
      <c r="Y59" s="222">
        <f t="shared" si="28"/>
        <v>5.28E-2</v>
      </c>
      <c r="Z59" s="222">
        <f t="shared" si="29"/>
        <v>23.330500000000001</v>
      </c>
      <c r="AA59" s="222">
        <f t="shared" si="30"/>
        <v>23.277699999999999</v>
      </c>
      <c r="AB59" s="231" t="e">
        <f>VLOOKUP(A59,Enforcements!$C$7:$K$9,8,0)</f>
        <v>#N/A</v>
      </c>
      <c r="AC59" s="231" t="e">
        <f>VLOOKUP(A59,Enforcements!$C$7:$E$9,3,0)</f>
        <v>#N/A</v>
      </c>
      <c r="AD59" s="232">
        <f t="shared" si="31"/>
        <v>145</v>
      </c>
      <c r="AE59" s="233" t="str">
        <f t="shared" si="9"/>
        <v>aws s3 cp s3://rtdc.mdm.uploadarchive.raw/RTDC4036/ "%USERPROFILE%\AppData\Local\Temp\OnboardLogs"\RTDC4036\2017-12-15 --exclude "*" --recursive --include "*20171215*" &amp; "%USERPROFILE%\Documents\GitHub\mrs-test-scripts\Headless Mode &amp; Sideloading\WalkAndUnGZ.bat" "%USERPROFILE%\AppData\Local\Temp\OnboardLogs"\RTDC4036\2017-12-15 &amp; aws s3 cp s3://rtdc.mdm.uploadarchive.raw/RTDC4036/ "%USERPROFILE%\AppData\Local\Temp\OnboardLogs"\RTDC4036\2017-12-16 --exclude "*" --recursive --include "*20171216*" &amp; "%USERPROFILE%\Documents\GitHub\mrs-test-scripts\Headless Mode &amp; Sideloading\WalkAndUnGZ.bat" "%USERPROFILE%\AppData\Local\Temp\OnboardLogs"\RTDC4036\2017-12-16</v>
      </c>
      <c r="AF59" s="234" t="str">
        <f t="shared" si="10"/>
        <v>"C:\Program Files (x86)\AstroGrep\AstroGrep.exe" /e /r /s /spath="%USERPROFILE%\AppData\Local\Temp\OnboardLogs" /stypes="app*4036*20171215*" /stext=" 16:.+((SYSTEM_STATE.+slice.+state.+changed )|(ment ac)|(multiple cpu faults)|(system.+state.+changed )|(\[timeout)|(PRM\|1\|D)|(kpr)|(kdp)|(train st.+moving)|(\|lc)|(penalty))"</v>
      </c>
      <c r="AG59" s="226" t="str">
        <f t="shared" si="32"/>
        <v>EC</v>
      </c>
      <c r="AH59" s="189" t="str">
        <f t="shared" si="17"/>
        <v>"%USERPROFILE%\Documents\GitHub\eaglep3\Utilities\RefineRTDCRunTimes.py" --tripid 145-15 --locoid 4036 --swversion DE.1.0.9.0 --startMP 204:528 --initTime 2017-12-15T09:05:18 --startdatetime 2017-12-15T09:15:14 --delay 47 --endMP 204:233305 --enddatetime 2017-12-15T09:49:52 --enforcementcount 0 &gt;&gt;%USERPROFILE%\Documents\GitHub\eaglep3-reporting\EC\2017-12-15-refined-times.txt</v>
      </c>
      <c r="AI59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{"issue":{"subject":"","project_id":79,"tracker_id":40,"status_id":1,"priority_id":2,"assigned_to_id":338,"start_date":"2017-12-15","description":"","custom_fields":[{"id":1,"name":"Subdivision","value":"EC"},{"id":4,"name":"Milepost","value":"23.3305"},{"id":17,"name":"Train ID","value":"145-15"},{"id":16,"name":"Locomotive ID","value":"4036"},{"id":130,"name":"Impact","value":""},{"id":150,"name":"Time of Event (Mountain Time)","value":"09:49:52"},{"id":151,"name":"Denver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180"/>
      <c r="AK59" s="188"/>
      <c r="AL59" s="188"/>
      <c r="AM59" s="193" t="str">
        <f t="shared" si="19"/>
        <v>start /low /b %USERPROFILE%\Documents\GitHub\eaglep3\Utilities\DownloadLogsFromS3.py --loco 4036 --day 2017-12-15</v>
      </c>
      <c r="AN59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16:49:52"},{"id":29,"name":"Sharepoint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87" t="str">
        <f t="shared" si="21"/>
        <v>https://d0f6bd738d7f1b3e5a7ca70fe4ff75f0.us-east-1.aws.found.io/app/kibana#/discover/Steve-Slow-Train-Analysis-(2080s-and-2083s)?_g=(refreshInterval:(display:Off,pause:!f,section:0,value:0),time:(from:'2017-12-15T08:05:18-0700',mode:absolute,to:'2017-12-15T10:49:52-0700'))&amp;_a=(columns:!('Message%20ID',Summary),filters:!(),index:'emp_*',interval:auto,query:(query_string:(analyze_wildcard:!t,query:'%22rtdc.l.rtdc.4036%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186" t="s">
        <v>753</v>
      </c>
      <c r="B60" s="182">
        <v>4035</v>
      </c>
      <c r="C60" s="184" t="s">
        <v>192</v>
      </c>
      <c r="D60" s="184" t="s">
        <v>586</v>
      </c>
      <c r="E60" s="183">
        <v>43084.410694444443</v>
      </c>
      <c r="F60" s="183">
        <v>43084.425162037034</v>
      </c>
      <c r="G60" s="182">
        <v>74</v>
      </c>
      <c r="H60" s="184" t="s">
        <v>558</v>
      </c>
      <c r="I60" s="183">
        <v>43084.450601851851</v>
      </c>
      <c r="J60" s="182">
        <v>0</v>
      </c>
      <c r="K60" s="190" t="str">
        <f t="shared" si="24"/>
        <v>4035/4036</v>
      </c>
      <c r="L60" s="196" t="str">
        <f>VLOOKUP(A60,'Trips&amp;Operators'!$C$1:$G$99911,5,FALSE)</f>
        <v>YANAI IAN</v>
      </c>
      <c r="M60" s="181">
        <f t="shared" si="25"/>
        <v>2.5439814817218576E-2</v>
      </c>
      <c r="N60" s="182">
        <f t="shared" si="34"/>
        <v>36.633333336794749</v>
      </c>
      <c r="O60" s="182"/>
      <c r="P60" s="182"/>
      <c r="Q60" s="185"/>
      <c r="R60" s="197"/>
      <c r="S60" s="241">
        <f t="shared" si="33"/>
        <v>1</v>
      </c>
      <c r="T60" s="220" t="str">
        <f t="shared" si="26"/>
        <v>Southbound</v>
      </c>
      <c r="U60" s="22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21" t="str">
        <f t="shared" si="3"/>
        <v>https://d0f6bd738d7f1b3e5a7ca70fe4ff75f0.us-east-1.aws.found.io/app/kibana#/discover/Steve-Slow-Train-Analysis-(2080s-and-2083s)?_g=(refreshInterval:(display:Off,pause:!f,section:0,value:0),time:(from:'2017-12-15T08:51:24-0700',mode:absolute,to:'2017-12-15T11:48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0" s="222" t="str">
        <f>IF(AA60&lt;VLOOKUP(AG60,Variables!$AC$3:$AD$8,2,FALSE),"Y","N")</f>
        <v>N</v>
      </c>
      <c r="X60" s="222">
        <f t="shared" si="27"/>
        <v>1</v>
      </c>
      <c r="Y60" s="222">
        <f t="shared" si="28"/>
        <v>23.2986</v>
      </c>
      <c r="Z60" s="222">
        <f t="shared" si="29"/>
        <v>2.1399999999999999E-2</v>
      </c>
      <c r="AA60" s="222">
        <f t="shared" si="30"/>
        <v>23.277200000000001</v>
      </c>
      <c r="AB60" s="231" t="e">
        <f>VLOOKUP(A60,Enforcements!$C$7:$K$9,8,0)</f>
        <v>#N/A</v>
      </c>
      <c r="AC60" s="231" t="e">
        <f>VLOOKUP(A60,Enforcements!$C$7:$E$9,3,0)</f>
        <v>#N/A</v>
      </c>
      <c r="AD60" s="232">
        <f t="shared" si="31"/>
        <v>146</v>
      </c>
      <c r="AE60" s="233" t="str">
        <f t="shared" si="9"/>
        <v>aws s3 cp s3://rtdc.mdm.uploadarchive.raw/RTDC4035/ "%USERPROFILE%\AppData\Local\Temp\OnboardLogs"\RTDC4035\2017-12-15 --exclude "*" --recursive --include "*20171215*" &amp; "%USERPROFILE%\Documents\GitHub\mrs-test-scripts\Headless Mode &amp; Sideloading\WalkAndUnGZ.bat" "%USERPROFILE%\AppData\Local\Temp\OnboardLogs"\RTDC4035\2017-12-15 &amp; aws s3 cp s3://rtdc.mdm.uploadarchive.raw/RTDC4035/ "%USERPROFILE%\AppData\Local\Temp\OnboardLogs"\RTDC4035\2017-12-16 --exclude "*" --recursive --include "*20171216*" &amp; "%USERPROFILE%\Documents\GitHub\mrs-test-scripts\Headless Mode &amp; Sideloading\WalkAndUnGZ.bat" "%USERPROFILE%\AppData\Local\Temp\OnboardLogs"\RTDC4035\2017-12-16</v>
      </c>
      <c r="AF60" s="234" t="str">
        <f t="shared" si="10"/>
        <v>"C:\Program Files (x86)\AstroGrep\AstroGrep.exe" /e /r /s /spath="%USERPROFILE%\AppData\Local\Temp\OnboardLogs" /stypes="app*4035*20171215*" /stext=" 17:.+((SYSTEM_STATE.+slice.+state.+changed )|(ment ac)|(multiple cpu faults)|(system.+state.+changed )|(\[timeout)|(PRM\|1\|D)|(kpr)|(kdp)|(train st.+moving)|(\|lc)|(penalty))"</v>
      </c>
      <c r="AG60" s="226" t="str">
        <f t="shared" si="32"/>
        <v>EC</v>
      </c>
      <c r="AH60" s="189" t="str">
        <f t="shared" si="17"/>
        <v>"%USERPROFILE%\Documents\GitHub\eaglep3\Utilities\RefineRTDCRunTimes.py" --tripid 146-15 --locoid 4035 --swversion DE.1.0.9.0 --startMP 204:232986 --initTime 2017-12-15T09:51:24 --startdatetime 2017-12-15T10:12:14 --delay 74 --endMP 204:214 --enddatetime 2017-12-15T10:48:52 --enforcementcount 0 &gt;&gt;%USERPROFILE%\Documents\GitHub\eaglep3-reporting\EC\2017-12-15-refined-times.txt</v>
      </c>
      <c r="AI60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{"issue":{"subject":"","project_id":79,"tracker_id":40,"status_id":1,"priority_id":2,"assigned_to_id":338,"start_date":"2017-12-15","description":"","custom_fields":[{"id":1,"name":"Subdivision","value":"EC"},{"id":4,"name":"Milepost","value":"0.0214"},{"id":17,"name":"Train ID","value":"146-15"},{"id":16,"name":"Locomotive ID","value":"4035"},{"id":130,"name":"Impact","value":""},{"id":150,"name":"Time of Event (Mountain Time)","value":"10:48:52"},{"id":151,"name":"Denver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180"/>
      <c r="AK60" s="188"/>
      <c r="AL60" s="188"/>
      <c r="AM60" s="193" t="str">
        <f t="shared" si="19"/>
        <v>start /low /b %USERPROFILE%\Documents\GitHub\eaglep3\Utilities\DownloadLogsFromS3.py --loco 4035 --day 2017-12-15</v>
      </c>
      <c r="AN60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17:48:52"},{"id":29,"name":"Sharepoint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87" t="str">
        <f t="shared" si="21"/>
        <v>https://d0f6bd738d7f1b3e5a7ca70fe4ff75f0.us-east-1.aws.found.io/app/kibana#/discover/Steve-Slow-Train-Analysis-(2080s-and-2083s)?_g=(refreshInterval:(display:Off,pause:!f,section:0,value:0),time:(from:'2017-12-15T08:51:24-0700',mode:absolute,to:'2017-12-15T11:48:52-0700'))&amp;_a=(columns:!('Message%20ID',Summary),filters:!(),index:'emp_*',interval:auto,query:(query_string:(analyze_wildcard:!t,query:'%22rtdc.l.rtdc.4035%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186" t="s">
        <v>748</v>
      </c>
      <c r="B61" s="182">
        <v>4032</v>
      </c>
      <c r="C61" s="184" t="s">
        <v>192</v>
      </c>
      <c r="D61" s="184" t="s">
        <v>591</v>
      </c>
      <c r="E61" s="183">
        <v>43084.390972222223</v>
      </c>
      <c r="F61" s="183">
        <v>43084.395995370367</v>
      </c>
      <c r="G61" s="182">
        <v>72</v>
      </c>
      <c r="H61" s="184" t="s">
        <v>889</v>
      </c>
      <c r="I61" s="183">
        <v>43084.420752314814</v>
      </c>
      <c r="J61" s="182">
        <v>0</v>
      </c>
      <c r="K61" s="190" t="str">
        <f t="shared" si="24"/>
        <v>4031/4032</v>
      </c>
      <c r="L61" s="196" t="str">
        <f>VLOOKUP(A61,'Trips&amp;Operators'!$C$1:$G$99911,5,FALSE)</f>
        <v>PAGE MARCUS</v>
      </c>
      <c r="M61" s="181">
        <f t="shared" si="25"/>
        <v>2.4756944447290152E-2</v>
      </c>
      <c r="N61" s="182">
        <f t="shared" si="34"/>
        <v>35.650000004097819</v>
      </c>
      <c r="O61" s="182"/>
      <c r="P61" s="182"/>
      <c r="Q61" s="185"/>
      <c r="R61" s="197"/>
      <c r="S61" s="241">
        <f t="shared" si="33"/>
        <v>1</v>
      </c>
      <c r="T61" s="220" t="str">
        <f t="shared" si="26"/>
        <v>NorthBound</v>
      </c>
      <c r="U61" s="22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21" t="str">
        <f t="shared" si="3"/>
        <v>https://d0f6bd738d7f1b3e5a7ca70fe4ff75f0.us-east-1.aws.found.io/app/kibana#/discover/Steve-Slow-Train-Analysis-(2080s-and-2083s)?_g=(refreshInterval:(display:Off,pause:!f,section:0,value:0),time:(from:'2017-12-15T08:23:00-0700',mode:absolute,to:'2017-12-15T11:05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1" s="222" t="str">
        <f>IF(AA61&lt;VLOOKUP(AG61,Variables!$AC$3:$AD$8,2,FALSE),"Y","N")</f>
        <v>N</v>
      </c>
      <c r="X61" s="222">
        <f t="shared" si="27"/>
        <v>1</v>
      </c>
      <c r="Y61" s="222">
        <f t="shared" si="28"/>
        <v>5.04E-2</v>
      </c>
      <c r="Z61" s="222">
        <f t="shared" si="29"/>
        <v>23.329699999999999</v>
      </c>
      <c r="AA61" s="222">
        <f t="shared" si="30"/>
        <v>23.279299999999999</v>
      </c>
      <c r="AB61" s="231" t="e">
        <f>VLOOKUP(A61,Enforcements!$C$7:$K$9,8,0)</f>
        <v>#N/A</v>
      </c>
      <c r="AC61" s="231" t="e">
        <f>VLOOKUP(A61,Enforcements!$C$7:$E$9,3,0)</f>
        <v>#N/A</v>
      </c>
      <c r="AD61" s="232">
        <f t="shared" si="31"/>
        <v>147</v>
      </c>
      <c r="AE61" s="233" t="str">
        <f t="shared" si="9"/>
        <v>aws s3 cp s3://rtdc.mdm.uploadarchive.raw/RTDC4032/ "%USERPROFILE%\AppData\Local\Temp\OnboardLogs"\RTDC4032\2017-12-15 --exclude "*" --recursive --include "*20171215*" &amp; "%USERPROFILE%\Documents\GitHub\mrs-test-scripts\Headless Mode &amp; Sideloading\WalkAndUnGZ.bat" "%USERPROFILE%\AppData\Local\Temp\OnboardLogs"\RTDC4032\2017-12-15 &amp; aws s3 cp s3://rtdc.mdm.uploadarchive.raw/RTDC4032/ "%USERPROFILE%\AppData\Local\Temp\OnboardLogs"\RTDC4032\2017-12-16 --exclude "*" --recursive --include "*20171216*" &amp; "%USERPROFILE%\Documents\GitHub\mrs-test-scripts\Headless Mode &amp; Sideloading\WalkAndUnGZ.bat" "%USERPROFILE%\AppData\Local\Temp\OnboardLogs"\RTDC4032\2017-12-16</v>
      </c>
      <c r="AF61" s="234" t="str">
        <f t="shared" si="10"/>
        <v>"C:\Program Files (x86)\AstroGrep\AstroGrep.exe" /e /r /s /spath="%USERPROFILE%\AppData\Local\Temp\OnboardLogs" /stypes="app*4032*20171215*" /stext=" 17:.+((SYSTEM_STATE.+slice.+state.+changed )|(ment ac)|(multiple cpu faults)|(system.+state.+changed )|(\[timeout)|(PRM\|1\|D)|(kpr)|(kdp)|(train st.+moving)|(\|lc)|(penalty))"</v>
      </c>
      <c r="AG61" s="226" t="str">
        <f t="shared" si="32"/>
        <v>EC</v>
      </c>
      <c r="AH61" s="189" t="str">
        <f t="shared" si="17"/>
        <v>"%USERPROFILE%\Documents\GitHub\eaglep3\Utilities\RefineRTDCRunTimes.py" --tripid 147-15 --locoid 4032 --swversion DE.1.0.9.0 --startMP 204:504 --initTime 2017-12-15T09:23:00 --startdatetime 2017-12-15T09:30:14 --delay 72 --endMP 204:233297 --enddatetime 2017-12-15T10:05:53 --enforcementcount 0 &gt;&gt;%USERPROFILE%\Documents\GitHub\eaglep3-reporting\EC\2017-12-15-refined-times.txt</v>
      </c>
      <c r="AI61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{"issue":{"subject":"","project_id":79,"tracker_id":40,"status_id":1,"priority_id":2,"assigned_to_id":338,"start_date":"2017-12-15","description":"","custom_fields":[{"id":1,"name":"Subdivision","value":"EC"},{"id":4,"name":"Milepost","value":"23.3297"},{"id":17,"name":"Train ID","value":"147-15"},{"id":16,"name":"Locomotive ID","value":"4032"},{"id":130,"name":"Impact","value":""},{"id":150,"name":"Time of Event (Mountain Time)","value":"10:05:53"},{"id":151,"name":"Denver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180"/>
      <c r="AK61" s="188"/>
      <c r="AL61" s="188"/>
      <c r="AM61" s="193" t="str">
        <f t="shared" si="19"/>
        <v>start /low /b %USERPROFILE%\Documents\GitHub\eaglep3\Utilities\DownloadLogsFromS3.py --loco 4032 --day 2017-12-15</v>
      </c>
      <c r="AN61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17:05:53"},{"id":29,"name":"Sharepoint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87" t="str">
        <f t="shared" si="21"/>
        <v>https://d0f6bd738d7f1b3e5a7ca70fe4ff75f0.us-east-1.aws.found.io/app/kibana#/discover/Steve-Slow-Train-Analysis-(2080s-and-2083s)?_g=(refreshInterval:(display:Off,pause:!f,section:0,value:0),time:(from:'2017-12-15T08:23:00-0700',mode:absolute,to:'2017-12-15T11:05:53-0700'))&amp;_a=(columns:!('Message%20ID',Summary),filters:!(),index:'emp_*',interval:auto,query:(query_string:(analyze_wildcard:!t,query:'%22rtdc.l.rtdc.4032%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186" t="s">
        <v>757</v>
      </c>
      <c r="B62" s="182">
        <v>4031</v>
      </c>
      <c r="C62" s="184" t="s">
        <v>192</v>
      </c>
      <c r="D62" s="184" t="s">
        <v>934</v>
      </c>
      <c r="E62" s="183">
        <v>43084.424317129633</v>
      </c>
      <c r="F62" s="183">
        <v>43084.435590277775</v>
      </c>
      <c r="G62" s="182">
        <v>61</v>
      </c>
      <c r="H62" s="184" t="s">
        <v>602</v>
      </c>
      <c r="I62" s="183">
        <v>43084.461145833331</v>
      </c>
      <c r="J62" s="182">
        <v>0</v>
      </c>
      <c r="K62" s="190" t="str">
        <f t="shared" si="24"/>
        <v>4031/4032</v>
      </c>
      <c r="L62" s="196" t="str">
        <f>VLOOKUP(A62,'Trips&amp;Operators'!$C$1:$G$99911,5,FALSE)</f>
        <v>PAGE MARCUS</v>
      </c>
      <c r="M62" s="181">
        <f t="shared" si="25"/>
        <v>2.5555555555911269E-2</v>
      </c>
      <c r="N62" s="182">
        <f t="shared" si="34"/>
        <v>36.800000000512227</v>
      </c>
      <c r="O62" s="182"/>
      <c r="P62" s="182"/>
      <c r="Q62" s="185"/>
      <c r="R62" s="197"/>
      <c r="S62" s="241">
        <f t="shared" si="33"/>
        <v>1</v>
      </c>
      <c r="T62" s="220" t="str">
        <f t="shared" si="26"/>
        <v>Southbound</v>
      </c>
      <c r="U62" s="22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21" t="str">
        <f t="shared" si="3"/>
        <v>https://d0f6bd738d7f1b3e5a7ca70fe4ff75f0.us-east-1.aws.found.io/app/kibana#/discover/Steve-Slow-Train-Analysis-(2080s-and-2083s)?_g=(refreshInterval:(display:Off,pause:!f,section:0,value:0),time:(from:'2017-12-15T09:11:01-0700',mode:absolute,to:'2017-12-15T12:04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2" s="222" t="str">
        <f>IF(AA62&lt;VLOOKUP(AG62,Variables!$AC$3:$AD$8,2,FALSE),"Y","N")</f>
        <v>N</v>
      </c>
      <c r="X62" s="222">
        <f t="shared" si="27"/>
        <v>1</v>
      </c>
      <c r="Y62" s="222">
        <f t="shared" si="28"/>
        <v>23.298500000000001</v>
      </c>
      <c r="Z62" s="222">
        <f t="shared" si="29"/>
        <v>1.9599999999999999E-2</v>
      </c>
      <c r="AA62" s="222">
        <f t="shared" si="30"/>
        <v>23.2789</v>
      </c>
      <c r="AB62" s="231" t="e">
        <f>VLOOKUP(A62,Enforcements!$C$7:$K$9,8,0)</f>
        <v>#N/A</v>
      </c>
      <c r="AC62" s="231" t="e">
        <f>VLOOKUP(A62,Enforcements!$C$7:$E$9,3,0)</f>
        <v>#N/A</v>
      </c>
      <c r="AD62" s="232">
        <f t="shared" si="31"/>
        <v>148</v>
      </c>
      <c r="AE62" s="233" t="str">
        <f t="shared" si="9"/>
        <v>aws s3 cp s3://rtdc.mdm.uploadarchive.raw/RTDC4031/ "%USERPROFILE%\AppData\Local\Temp\OnboardLogs"\RTDC4031\2017-12-15 --exclude "*" --recursive --include "*20171215*" &amp; "%USERPROFILE%\Documents\GitHub\mrs-test-scripts\Headless Mode &amp; Sideloading\WalkAndUnGZ.bat" "%USERPROFILE%\AppData\Local\Temp\OnboardLogs"\RTDC4031\2017-12-15 &amp; aws s3 cp s3://rtdc.mdm.uploadarchive.raw/RTDC4031/ "%USERPROFILE%\AppData\Local\Temp\OnboardLogs"\RTDC4031\2017-12-16 --exclude "*" --recursive --include "*20171216*" &amp; "%USERPROFILE%\Documents\GitHub\mrs-test-scripts\Headless Mode &amp; Sideloading\WalkAndUnGZ.bat" "%USERPROFILE%\AppData\Local\Temp\OnboardLogs"\RTDC4031\2017-12-16</v>
      </c>
      <c r="AF62" s="234" t="str">
        <f t="shared" si="10"/>
        <v>"C:\Program Files (x86)\AstroGrep\AstroGrep.exe" /e /r /s /spath="%USERPROFILE%\AppData\Local\Temp\OnboardLogs" /stypes="app*4031*20171215*" /stext=" 18:.+((SYSTEM_STATE.+slice.+state.+changed )|(ment ac)|(multiple cpu faults)|(system.+state.+changed )|(\[timeout)|(PRM\|1\|D)|(kpr)|(kdp)|(train st.+moving)|(\|lc)|(penalty))"</v>
      </c>
      <c r="AG62" s="226" t="str">
        <f t="shared" si="32"/>
        <v>EC</v>
      </c>
      <c r="AH62" s="189" t="str">
        <f t="shared" si="17"/>
        <v>"%USERPROFILE%\Documents\GitHub\eaglep3\Utilities\RefineRTDCRunTimes.py" --tripid 148-15 --locoid 4031 --swversion DE.1.0.9.0 --startMP 204:232985 --initTime 2017-12-15T10:11:01 --startdatetime 2017-12-15T10:27:15 --delay 61 --endMP 204:196 --enddatetime 2017-12-15T11:04:03 --enforcementcount 0 &gt;&gt;%USERPROFILE%\Documents\GitHub\eaglep3-reporting\EC\2017-12-15-refined-times.txt</v>
      </c>
      <c r="AI62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{"issue":{"subject":"","project_id":79,"tracker_id":40,"status_id":1,"priority_id":2,"assigned_to_id":338,"start_date":"2017-12-15","description":"","custom_fields":[{"id":1,"name":"Subdivision","value":"EC"},{"id":4,"name":"Milepost","value":"0.0196"},{"id":17,"name":"Train ID","value":"148-15"},{"id":16,"name":"Locomotive ID","value":"4031"},{"id":130,"name":"Impact","value":""},{"id":150,"name":"Time of Event (Mountain Time)","value":"11:04:03"},{"id":151,"name":"Denver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180"/>
      <c r="AK62" s="188"/>
      <c r="AL62" s="188"/>
      <c r="AM62" s="193" t="str">
        <f t="shared" si="19"/>
        <v>start /low /b %USERPROFILE%\Documents\GitHub\eaglep3\Utilities\DownloadLogsFromS3.py --loco 4031 --day 2017-12-15</v>
      </c>
      <c r="AN62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18:04:03"},{"id":29,"name":"Sharepoint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87" t="str">
        <f t="shared" si="21"/>
        <v>https://d0f6bd738d7f1b3e5a7ca70fe4ff75f0.us-east-1.aws.found.io/app/kibana#/discover/Steve-Slow-Train-Analysis-(2080s-and-2083s)?_g=(refreshInterval:(display:Off,pause:!f,section:0,value:0),time:(from:'2017-12-15T09:11:01-0700',mode:absolute,to:'2017-12-15T12:04:03-0700'))&amp;_a=(columns:!('Message%20ID',Summary),filters:!(),index:'emp_*',interval:auto,query:(query_string:(analyze_wildcard:!t,query:'%22rtdc.l.rtdc.4031%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186" t="s">
        <v>750</v>
      </c>
      <c r="B63" s="182">
        <v>4062</v>
      </c>
      <c r="C63" s="184" t="s">
        <v>192</v>
      </c>
      <c r="D63" s="184" t="s">
        <v>437</v>
      </c>
      <c r="E63" s="183">
        <v>43084.400451388887</v>
      </c>
      <c r="F63" s="183">
        <v>43084.406423611108</v>
      </c>
      <c r="G63" s="182">
        <v>48</v>
      </c>
      <c r="H63" s="184" t="s">
        <v>615</v>
      </c>
      <c r="I63" s="183">
        <v>43084.429976851854</v>
      </c>
      <c r="J63" s="182">
        <v>0</v>
      </c>
      <c r="K63" s="190" t="str">
        <f t="shared" si="24"/>
        <v>4061/4062</v>
      </c>
      <c r="L63" s="196" t="str">
        <f>VLOOKUP(A63,'Trips&amp;Operators'!$C$1:$G$99911,5,FALSE)</f>
        <v>GEBRETEKLE DAGNEW</v>
      </c>
      <c r="M63" s="181">
        <f t="shared" si="25"/>
        <v>2.3553240745968651E-2</v>
      </c>
      <c r="N63" s="182">
        <f t="shared" si="34"/>
        <v>33.916666674194857</v>
      </c>
      <c r="O63" s="182"/>
      <c r="P63" s="182"/>
      <c r="Q63" s="185"/>
      <c r="R63" s="197"/>
      <c r="S63" s="241">
        <f t="shared" si="33"/>
        <v>1</v>
      </c>
      <c r="T63" s="220" t="str">
        <f t="shared" si="26"/>
        <v>NorthBound</v>
      </c>
      <c r="U63" s="22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21" t="str">
        <f t="shared" si="3"/>
        <v>https://d0f6bd738d7f1b3e5a7ca70fe4ff75f0.us-east-1.aws.found.io/app/kibana#/discover/Steve-Slow-Train-Analysis-(2080s-and-2083s)?_g=(refreshInterval:(display:Off,pause:!f,section:0,value:0),time:(from:'2017-12-15T08:36:39-0700',mode:absolute,to:'2017-12-15T11:19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3" s="222" t="str">
        <f>IF(AA63&lt;VLOOKUP(AG63,Variables!$AC$3:$AD$8,2,FALSE),"Y","N")</f>
        <v>N</v>
      </c>
      <c r="X63" s="222">
        <f t="shared" si="27"/>
        <v>1</v>
      </c>
      <c r="Y63" s="222">
        <f t="shared" si="28"/>
        <v>4.4600000000000001E-2</v>
      </c>
      <c r="Z63" s="222">
        <f t="shared" si="29"/>
        <v>23.330500000000001</v>
      </c>
      <c r="AA63" s="222">
        <f t="shared" si="30"/>
        <v>23.285900000000002</v>
      </c>
      <c r="AB63" s="231" t="e">
        <f>VLOOKUP(A63,Enforcements!$C$7:$K$9,8,0)</f>
        <v>#N/A</v>
      </c>
      <c r="AC63" s="231" t="e">
        <f>VLOOKUP(A63,Enforcements!$C$7:$E$9,3,0)</f>
        <v>#N/A</v>
      </c>
      <c r="AD63" s="232">
        <f t="shared" si="31"/>
        <v>149</v>
      </c>
      <c r="AE63" s="233" t="str">
        <f t="shared" si="9"/>
        <v>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 &amp; aws s3 cp s3://rtdc.mdm.uploadarchive.raw/RTDC4062/ "%USERPROFILE%\AppData\Local\Temp\OnboardLogs"\RTDC4062\2017-12-16 --exclude "*" --recursive --include "*20171216*" &amp; "%USERPROFILE%\Documents\GitHub\mrs-test-scripts\Headless Mode &amp; Sideloading\WalkAndUnGZ.bat" "%USERPROFILE%\AppData\Local\Temp\OnboardLogs"\RTDC4062\2017-12-16</v>
      </c>
      <c r="AF63" s="234" t="str">
        <f t="shared" si="10"/>
        <v>"C:\Program Files (x86)\AstroGrep\AstroGrep.exe" /e /r /s /spath="%USERPROFILE%\AppData\Local\Temp\OnboardLogs" /stypes="app*4062*20171215*" /stext=" 17:.+((SYSTEM_STATE.+slice.+state.+changed )|(ment ac)|(multiple cpu faults)|(system.+state.+changed )|(\[timeout)|(PRM\|1\|D)|(kpr)|(kdp)|(train st.+moving)|(\|lc)|(penalty))"</v>
      </c>
      <c r="AG63" s="226" t="str">
        <f t="shared" si="32"/>
        <v>EC</v>
      </c>
      <c r="AH63" s="189" t="str">
        <f t="shared" si="17"/>
        <v>"%USERPROFILE%\Documents\GitHub\eaglep3\Utilities\RefineRTDCRunTimes.py" --tripid 149-15 --locoid 4062 --swversion DE.1.0.9.0 --startMP 204:446 --initTime 2017-12-15T09:36:39 --startdatetime 2017-12-15T09:45:15 --delay 48 --endMP 204:233305 --enddatetime 2017-12-15T10:19:10 --enforcementcount 0 &gt;&gt;%USERPROFILE%\Documents\GitHub\eaglep3-reporting\EC\2017-12-15-refined-times.txt</v>
      </c>
      <c r="AI63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{"issue":{"subject":"","project_id":79,"tracker_id":40,"status_id":1,"priority_id":2,"assigned_to_id":338,"start_date":"2017-12-15","description":"","custom_fields":[{"id":1,"name":"Subdivision","value":"EC"},{"id":4,"name":"Milepost","value":"23.3305"},{"id":17,"name":"Train ID","value":"149-15"},{"id":16,"name":"Locomotive ID","value":"4062"},{"id":130,"name":"Impact","value":""},{"id":150,"name":"Time of Event (Mountain Time)","value":"10:19:10"},{"id":151,"name":"Denver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180"/>
      <c r="AK63" s="188"/>
      <c r="AL63" s="188"/>
      <c r="AM63" s="193" t="str">
        <f t="shared" si="19"/>
        <v>start /low /b %USERPROFILE%\Documents\GitHub\eaglep3\Utilities\DownloadLogsFromS3.py --loco 4062 --day 2017-12-15</v>
      </c>
      <c r="AN63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17:19:10"},{"id":29,"name":"Sharepoint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87" t="str">
        <f t="shared" si="21"/>
        <v>https://d0f6bd738d7f1b3e5a7ca70fe4ff75f0.us-east-1.aws.found.io/app/kibana#/discover/Steve-Slow-Train-Analysis-(2080s-and-2083s)?_g=(refreshInterval:(display:Off,pause:!f,section:0,value:0),time:(from:'2017-12-15T08:36:39-0700',mode:absolute,to:'2017-12-15T11:19:10-0700'))&amp;_a=(columns:!('Message%20ID',Summary),filters:!(),index:'emp_*',interval:auto,query:(query_string:(analyze_wildcard:!t,query:'%22rtdc.l.rtdc.4062%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186" t="s">
        <v>758</v>
      </c>
      <c r="B64" s="182">
        <v>4061</v>
      </c>
      <c r="C64" s="184" t="s">
        <v>192</v>
      </c>
      <c r="D64" s="184" t="s">
        <v>586</v>
      </c>
      <c r="E64" s="183">
        <v>43084.431087962963</v>
      </c>
      <c r="F64" s="183">
        <v>43084.446053240739</v>
      </c>
      <c r="G64" s="182">
        <v>60</v>
      </c>
      <c r="H64" s="184" t="s">
        <v>904</v>
      </c>
      <c r="I64" s="183">
        <v>43084.472071759257</v>
      </c>
      <c r="J64" s="182">
        <v>0</v>
      </c>
      <c r="K64" s="190" t="str">
        <f t="shared" si="24"/>
        <v>4061/4062</v>
      </c>
      <c r="L64" s="196" t="str">
        <f>VLOOKUP(A64,'Trips&amp;Operators'!$C$1:$G$99911,5,FALSE)</f>
        <v>GEBRETEKLE DAGNEW</v>
      </c>
      <c r="M64" s="181">
        <f t="shared" si="25"/>
        <v>2.6018518517958E-2</v>
      </c>
      <c r="N64" s="182">
        <f t="shared" si="34"/>
        <v>37.46666666585952</v>
      </c>
      <c r="O64" s="182"/>
      <c r="P64" s="182"/>
      <c r="Q64" s="185"/>
      <c r="R64" s="197"/>
      <c r="S64" s="241">
        <f t="shared" si="33"/>
        <v>1</v>
      </c>
      <c r="T64" s="220" t="str">
        <f t="shared" si="26"/>
        <v>Southbound</v>
      </c>
      <c r="U64" s="22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21" t="str">
        <f t="shared" si="3"/>
        <v>https://d0f6bd738d7f1b3e5a7ca70fe4ff75f0.us-east-1.aws.found.io/app/kibana#/discover/Steve-Slow-Train-Analysis-(2080s-and-2083s)?_g=(refreshInterval:(display:Off,pause:!f,section:0,value:0),time:(from:'2017-12-15T09:20:46-0700',mode:absolute,to:'2017-12-15T12:19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4" s="222" t="str">
        <f>IF(AA64&lt;VLOOKUP(AG64,Variables!$AC$3:$AD$8,2,FALSE),"Y","N")</f>
        <v>N</v>
      </c>
      <c r="X64" s="222">
        <f t="shared" si="27"/>
        <v>1</v>
      </c>
      <c r="Y64" s="222">
        <f t="shared" si="28"/>
        <v>23.2986</v>
      </c>
      <c r="Z64" s="222">
        <f t="shared" si="29"/>
        <v>1.8100000000000002E-2</v>
      </c>
      <c r="AA64" s="222">
        <f t="shared" si="30"/>
        <v>23.2805</v>
      </c>
      <c r="AB64" s="231" t="e">
        <f>VLOOKUP(A64,Enforcements!$C$7:$K$9,8,0)</f>
        <v>#N/A</v>
      </c>
      <c r="AC64" s="231" t="e">
        <f>VLOOKUP(A64,Enforcements!$C$7:$E$9,3,0)</f>
        <v>#N/A</v>
      </c>
      <c r="AD64" s="232">
        <f t="shared" si="31"/>
        <v>150</v>
      </c>
      <c r="AE64" s="233" t="str">
        <f t="shared" si="9"/>
        <v>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 &amp; aws s3 cp s3://rtdc.mdm.uploadarchive.raw/RTDC4061/ "%USERPROFILE%\AppData\Local\Temp\OnboardLogs"\RTDC4061\2017-12-16 --exclude "*" --recursive --include "*20171216*" &amp; "%USERPROFILE%\Documents\GitHub\mrs-test-scripts\Headless Mode &amp; Sideloading\WalkAndUnGZ.bat" "%USERPROFILE%\AppData\Local\Temp\OnboardLogs"\RTDC4061\2017-12-16</v>
      </c>
      <c r="AF64" s="234" t="str">
        <f t="shared" si="10"/>
        <v>"C:\Program Files (x86)\AstroGrep\AstroGrep.exe" /e /r /s /spath="%USERPROFILE%\AppData\Local\Temp\OnboardLogs" /stypes="app*4061*20171215*" /stext=" 18:.+((SYSTEM_STATE.+slice.+state.+changed )|(ment ac)|(multiple cpu faults)|(system.+state.+changed )|(\[timeout)|(PRM\|1\|D)|(kpr)|(kdp)|(train st.+moving)|(\|lc)|(penalty))"</v>
      </c>
      <c r="AG64" s="226" t="str">
        <f t="shared" si="32"/>
        <v>EC</v>
      </c>
      <c r="AH64" s="189" t="str">
        <f t="shared" si="17"/>
        <v>"%USERPROFILE%\Documents\GitHub\eaglep3\Utilities\RefineRTDCRunTimes.py" --tripid 150-15 --locoid 4061 --swversion DE.1.0.9.0 --startMP 204:232986 --initTime 2017-12-15T10:20:46 --startdatetime 2017-12-15T10:42:19 --delay 60 --endMP 204:181 --enddatetime 2017-12-15T11:19:47 --enforcementcount 0 &gt;&gt;%USERPROFILE%\Documents\GitHub\eaglep3-reporting\EC\2017-12-15-refined-times.txt</v>
      </c>
      <c r="AI64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{"issue":{"subject":"","project_id":79,"tracker_id":40,"status_id":1,"priority_id":2,"assigned_to_id":338,"start_date":"2017-12-15","description":"","custom_fields":[{"id":1,"name":"Subdivision","value":"EC"},{"id":4,"name":"Milepost","value":"0.0181"},{"id":17,"name":"Train ID","value":"150-15"},{"id":16,"name":"Locomotive ID","value":"4061"},{"id":130,"name":"Impact","value":""},{"id":150,"name":"Time of Event (Mountain Time)","value":"11:19:47"},{"id":151,"name":"Denver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180"/>
      <c r="AK64" s="188"/>
      <c r="AL64" s="188"/>
      <c r="AM64" s="193" t="str">
        <f t="shared" si="19"/>
        <v>start /low /b %USERPROFILE%\Documents\GitHub\eaglep3\Utilities\DownloadLogsFromS3.py --loco 4061 --day 2017-12-15</v>
      </c>
      <c r="AN64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18:19:47"},{"id":29,"name":"Sharepoint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87" t="str">
        <f t="shared" si="21"/>
        <v>https://d0f6bd738d7f1b3e5a7ca70fe4ff75f0.us-east-1.aws.found.io/app/kibana#/discover/Steve-Slow-Train-Analysis-(2080s-and-2083s)?_g=(refreshInterval:(display:Off,pause:!f,section:0,value:0),time:(from:'2017-12-15T09:20:46-0700',mode:absolute,to:'2017-12-15T12:19:47-0700'))&amp;_a=(columns:!('Message%20ID',Summary),filters:!(),index:'emp_*',interval:auto,query:(query_string:(analyze_wildcard:!t,query:'%22rtdc.l.rtdc.4061%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186" t="s">
        <v>754</v>
      </c>
      <c r="B65" s="182">
        <v>4042</v>
      </c>
      <c r="C65" s="184" t="s">
        <v>192</v>
      </c>
      <c r="D65" s="184" t="s">
        <v>498</v>
      </c>
      <c r="E65" s="183">
        <v>43084.410752314812</v>
      </c>
      <c r="F65" s="183">
        <v>43084.416886574072</v>
      </c>
      <c r="G65" s="182">
        <v>82</v>
      </c>
      <c r="H65" s="184" t="s">
        <v>935</v>
      </c>
      <c r="I65" s="183">
        <v>43084.441180555557</v>
      </c>
      <c r="J65" s="182">
        <v>0</v>
      </c>
      <c r="K65" s="190" t="str">
        <f t="shared" si="24"/>
        <v>4041/4042</v>
      </c>
      <c r="L65" s="196" t="str">
        <f>VLOOKUP(A65,'Trips&amp;Operators'!$C$1:$G$99911,5,FALSE)</f>
        <v>LOPES KIMBERLY</v>
      </c>
      <c r="M65" s="181">
        <f t="shared" si="25"/>
        <v>2.4293981485243421E-2</v>
      </c>
      <c r="N65" s="182">
        <f t="shared" si="34"/>
        <v>34.983333338750526</v>
      </c>
      <c r="O65" s="182"/>
      <c r="P65" s="182"/>
      <c r="Q65" s="185"/>
      <c r="R65" s="197"/>
      <c r="S65" s="241">
        <f t="shared" si="33"/>
        <v>1</v>
      </c>
      <c r="T65" s="220" t="str">
        <f t="shared" si="26"/>
        <v>NorthBound</v>
      </c>
      <c r="U65" s="22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21" t="str">
        <f t="shared" si="3"/>
        <v>https://d0f6bd738d7f1b3e5a7ca70fe4ff75f0.us-east-1.aws.found.io/app/kibana#/discover/Steve-Slow-Train-Analysis-(2080s-and-2083s)?_g=(refreshInterval:(display:Off,pause:!f,section:0,value:0),time:(from:'2017-12-15T08:51:29-0700',mode:absolute,to:'2017-12-15T11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5" s="222" t="str">
        <f>IF(AA65&lt;VLOOKUP(AG65,Variables!$AC$3:$AD$8,2,FALSE),"Y","N")</f>
        <v>N</v>
      </c>
      <c r="X65" s="222">
        <f t="shared" si="27"/>
        <v>1</v>
      </c>
      <c r="Y65" s="222">
        <f t="shared" si="28"/>
        <v>5.11E-2</v>
      </c>
      <c r="Z65" s="222">
        <f t="shared" si="29"/>
        <v>23.3323</v>
      </c>
      <c r="AA65" s="222">
        <f t="shared" si="30"/>
        <v>23.281199999999998</v>
      </c>
      <c r="AB65" s="231" t="e">
        <f>VLOOKUP(A65,Enforcements!$C$7:$K$9,8,0)</f>
        <v>#N/A</v>
      </c>
      <c r="AC65" s="231" t="e">
        <f>VLOOKUP(A65,Enforcements!$C$7:$E$9,3,0)</f>
        <v>#N/A</v>
      </c>
      <c r="AD65" s="232">
        <f t="shared" si="31"/>
        <v>151</v>
      </c>
      <c r="AE65" s="233" t="str">
        <f t="shared" si="9"/>
        <v>aws s3 cp s3://rtdc.mdm.uploadarchive.raw/RTDC4042/ "%USERPROFILE%\AppData\Local\Temp\OnboardLogs"\RTDC4042\2017-12-15 --exclude "*" --recursive --include "*20171215*" &amp; "%USERPROFILE%\Documents\GitHub\mrs-test-scripts\Headless Mode &amp; Sideloading\WalkAndUnGZ.bat" "%USERPROFILE%\AppData\Local\Temp\OnboardLogs"\RTDC4042\2017-12-15 &amp; aws s3 cp s3://rtdc.mdm.uploadarchive.raw/RTDC4042/ "%USERPROFILE%\AppData\Local\Temp\OnboardLogs"\RTDC4042\2017-12-16 --exclude "*" --recursive --include "*20171216*" &amp; "%USERPROFILE%\Documents\GitHub\mrs-test-scripts\Headless Mode &amp; Sideloading\WalkAndUnGZ.bat" "%USERPROFILE%\AppData\Local\Temp\OnboardLogs"\RTDC4042\2017-12-16</v>
      </c>
      <c r="AF65" s="234" t="str">
        <f t="shared" si="10"/>
        <v>"C:\Program Files (x86)\AstroGrep\AstroGrep.exe" /e /r /s /spath="%USERPROFILE%\AppData\Local\Temp\OnboardLogs" /stypes="app*4042*20171215*" /stext=" 17:.+((SYSTEM_STATE.+slice.+state.+changed )|(ment ac)|(multiple cpu faults)|(system.+state.+changed )|(\[timeout)|(PRM\|1\|D)|(kpr)|(kdp)|(train st.+moving)|(\|lc)|(penalty))"</v>
      </c>
      <c r="AG65" s="226" t="str">
        <f t="shared" si="32"/>
        <v>EC</v>
      </c>
      <c r="AH65" s="189" t="str">
        <f t="shared" si="17"/>
        <v>"%USERPROFILE%\Documents\GitHub\eaglep3\Utilities\RefineRTDCRunTimes.py" --tripid 151-15 --locoid 4042 --swversion DE.1.0.9.0 --startMP 204:511 --initTime 2017-12-15T09:51:29 --startdatetime 2017-12-15T10:00:19 --delay 82 --endMP 204:233323 --enddatetime 2017-12-15T10:35:18 --enforcementcount 0 &gt;&gt;%USERPROFILE%\Documents\GitHub\eaglep3-reporting\EC\2017-12-15-refined-times.txt</v>
      </c>
      <c r="AI65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{"issue":{"subject":"","project_id":79,"tracker_id":40,"status_id":1,"priority_id":2,"assigned_to_id":338,"start_date":"2017-12-15","description":"","custom_fields":[{"id":1,"name":"Subdivision","value":"EC"},{"id":4,"name":"Milepost","value":"23.3323"},{"id":17,"name":"Train ID","value":"151-15"},{"id":16,"name":"Locomotive ID","value":"4042"},{"id":130,"name":"Impact","value":""},{"id":150,"name":"Time of Event (Mountain Time)","value":"10:35:18"},{"id":151,"name":"Denver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180"/>
      <c r="AK65" s="188"/>
      <c r="AL65" s="188"/>
      <c r="AM65" s="193" t="str">
        <f t="shared" si="19"/>
        <v>start /low /b %USERPROFILE%\Documents\GitHub\eaglep3\Utilities\DownloadLogsFromS3.py --loco 4042 --day 2017-12-15</v>
      </c>
      <c r="AN65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17:35:18"},{"id":29,"name":"Sharepoint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87" t="str">
        <f t="shared" si="21"/>
        <v>https://d0f6bd738d7f1b3e5a7ca70fe4ff75f0.us-east-1.aws.found.io/app/kibana#/discover/Steve-Slow-Train-Analysis-(2080s-and-2083s)?_g=(refreshInterval:(display:Off,pause:!f,section:0,value:0),time:(from:'2017-12-15T08:51:29-0700',mode:absolute,to:'2017-12-15T11:35:18-0700'))&amp;_a=(columns:!('Message%20ID',Summary),filters:!(),index:'emp_*',interval:auto,query:(query_string:(analyze_wildcard:!t,query:'%22rtdc.l.rtdc.4042%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186" t="s">
        <v>761</v>
      </c>
      <c r="B66" s="182">
        <v>4041</v>
      </c>
      <c r="C66" s="184" t="s">
        <v>192</v>
      </c>
      <c r="D66" s="184" t="s">
        <v>502</v>
      </c>
      <c r="E66" s="183">
        <v>43084.451851851853</v>
      </c>
      <c r="F66" s="183">
        <v>43084.456423611111</v>
      </c>
      <c r="G66" s="182">
        <v>66</v>
      </c>
      <c r="H66" s="184" t="s">
        <v>508</v>
      </c>
      <c r="I66" s="183">
        <v>43084.482060185182</v>
      </c>
      <c r="J66" s="182">
        <v>0</v>
      </c>
      <c r="K66" s="190" t="str">
        <f t="shared" si="24"/>
        <v>4041/4042</v>
      </c>
      <c r="L66" s="196" t="str">
        <f>VLOOKUP(A66,'Trips&amp;Operators'!$C$1:$G$99911,5,FALSE)</f>
        <v>LOPES KIMBERLY</v>
      </c>
      <c r="M66" s="181">
        <f t="shared" si="25"/>
        <v>2.5636574071540963E-2</v>
      </c>
      <c r="N66" s="182">
        <f t="shared" si="34"/>
        <v>36.916666663018987</v>
      </c>
      <c r="O66" s="182"/>
      <c r="P66" s="182"/>
      <c r="Q66" s="185"/>
      <c r="R66" s="197"/>
      <c r="S66" s="241">
        <f t="shared" si="33"/>
        <v>1</v>
      </c>
      <c r="T66" s="220" t="str">
        <f t="shared" si="26"/>
        <v>Southbound</v>
      </c>
      <c r="U66" s="22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21" t="str">
        <f t="shared" si="3"/>
        <v>https://d0f6bd738d7f1b3e5a7ca70fe4ff75f0.us-east-1.aws.found.io/app/kibana#/discover/Steve-Slow-Train-Analysis-(2080s-and-2083s)?_g=(refreshInterval:(display:Off,pause:!f,section:0,value:0),time:(from:'2017-12-15T09:50:40-0700',mode:absolute,to:'2017-12-15T12:34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6" s="222" t="str">
        <f>IF(AA66&lt;VLOOKUP(AG66,Variables!$AC$3:$AD$8,2,FALSE),"Y","N")</f>
        <v>N</v>
      </c>
      <c r="X66" s="222">
        <f t="shared" si="27"/>
        <v>1</v>
      </c>
      <c r="Y66" s="222">
        <f t="shared" si="28"/>
        <v>23.3002</v>
      </c>
      <c r="Z66" s="222">
        <f t="shared" si="29"/>
        <v>1.9099999999999999E-2</v>
      </c>
      <c r="AA66" s="222">
        <f t="shared" si="30"/>
        <v>23.281099999999999</v>
      </c>
      <c r="AB66" s="231" t="e">
        <f>VLOOKUP(A66,Enforcements!$C$7:$K$9,8,0)</f>
        <v>#N/A</v>
      </c>
      <c r="AC66" s="231" t="e">
        <f>VLOOKUP(A66,Enforcements!$C$7:$E$9,3,0)</f>
        <v>#N/A</v>
      </c>
      <c r="AD66" s="232">
        <f t="shared" si="31"/>
        <v>152</v>
      </c>
      <c r="AE66" s="233" t="str">
        <f t="shared" si="9"/>
        <v>aws s3 cp s3://rtdc.mdm.uploadarchive.raw/RTDC4041/ "%USERPROFILE%\AppData\Local\Temp\OnboardLogs"\RTDC4041\2017-12-15 --exclude "*" --recursive --include "*20171215*" &amp; "%USERPROFILE%\Documents\GitHub\mrs-test-scripts\Headless Mode &amp; Sideloading\WalkAndUnGZ.bat" "%USERPROFILE%\AppData\Local\Temp\OnboardLogs"\RTDC4041\2017-12-15 &amp; aws s3 cp s3://rtdc.mdm.uploadarchive.raw/RTDC4041/ "%USERPROFILE%\AppData\Local\Temp\OnboardLogs"\RTDC4041\2017-12-16 --exclude "*" --recursive --include "*20171216*" &amp; "%USERPROFILE%\Documents\GitHub\mrs-test-scripts\Headless Mode &amp; Sideloading\WalkAndUnGZ.bat" "%USERPROFILE%\AppData\Local\Temp\OnboardLogs"\RTDC4041\2017-12-16</v>
      </c>
      <c r="AF66" s="234" t="str">
        <f t="shared" si="10"/>
        <v>"C:\Program Files (x86)\AstroGrep\AstroGrep.exe" /e /r /s /spath="%USERPROFILE%\AppData\Local\Temp\OnboardLogs" /stypes="app*4041*20171215*" /stext=" 18:.+((SYSTEM_STATE.+slice.+state.+changed )|(ment ac)|(multiple cpu faults)|(system.+state.+changed )|(\[timeout)|(PRM\|1\|D)|(kpr)|(kdp)|(train st.+moving)|(\|lc)|(penalty))"</v>
      </c>
      <c r="AG66" s="226" t="str">
        <f t="shared" si="32"/>
        <v>EC</v>
      </c>
      <c r="AH66" s="189" t="str">
        <f t="shared" si="17"/>
        <v>"%USERPROFILE%\Documents\GitHub\eaglep3\Utilities\RefineRTDCRunTimes.py" --tripid 152-15 --locoid 4041 --swversion DE.1.0.9.0 --startMP 204:233002 --initTime 2017-12-15T10:50:40 --startdatetime 2017-12-15T10:57:15 --delay 66 --endMP 204:191 --enddatetime 2017-12-15T11:34:10 --enforcementcount 0 &gt;&gt;%USERPROFILE%\Documents\GitHub\eaglep3-reporting\EC\2017-12-15-refined-times.txt</v>
      </c>
      <c r="AI66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{"issue":{"subject":"","project_id":79,"tracker_id":40,"status_id":1,"priority_id":2,"assigned_to_id":338,"start_date":"2017-12-15","description":"","custom_fields":[{"id":1,"name":"Subdivision","value":"EC"},{"id":4,"name":"Milepost","value":"0.0191"},{"id":17,"name":"Train ID","value":"152-15"},{"id":16,"name":"Locomotive ID","value":"4041"},{"id":130,"name":"Impact","value":""},{"id":150,"name":"Time of Event (Mountain Time)","value":"11:34:10"},{"id":151,"name":"Denver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180"/>
      <c r="AK66" s="188"/>
      <c r="AL66" s="188"/>
      <c r="AM66" s="193" t="str">
        <f t="shared" si="19"/>
        <v>start /low /b %USERPROFILE%\Documents\GitHub\eaglep3\Utilities\DownloadLogsFromS3.py --loco 4041 --day 2017-12-15</v>
      </c>
      <c r="AN66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18:34:10"},{"id":29,"name":"Sharepoint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87" t="str">
        <f t="shared" si="21"/>
        <v>https://d0f6bd738d7f1b3e5a7ca70fe4ff75f0.us-east-1.aws.found.io/app/kibana#/discover/Steve-Slow-Train-Analysis-(2080s-and-2083s)?_g=(refreshInterval:(display:Off,pause:!f,section:0,value:0),time:(from:'2017-12-15T09:50:40-0700',mode:absolute,to:'2017-12-15T12:34:10-0700'))&amp;_a=(columns:!('Message%20ID',Summary),filters:!(),index:'emp_*',interval:auto,query:(query_string:(analyze_wildcard:!t,query:'%22rtdc.l.rtdc.4041%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186" t="s">
        <v>756</v>
      </c>
      <c r="B67" s="182">
        <v>4004</v>
      </c>
      <c r="C67" s="184" t="s">
        <v>192</v>
      </c>
      <c r="D67" s="184" t="s">
        <v>637</v>
      </c>
      <c r="E67" s="183">
        <v>43084.42260416667</v>
      </c>
      <c r="F67" s="183">
        <v>43084.427442129629</v>
      </c>
      <c r="G67" s="182">
        <v>146</v>
      </c>
      <c r="H67" s="184" t="s">
        <v>936</v>
      </c>
      <c r="I67" s="183">
        <v>43084.452372685184</v>
      </c>
      <c r="J67" s="182">
        <v>0</v>
      </c>
      <c r="K67" s="190" t="str">
        <f t="shared" si="24"/>
        <v>4003/4004</v>
      </c>
      <c r="L67" s="196" t="str">
        <f>VLOOKUP(A67,'Trips&amp;Operators'!$C$1:$G$99911,5,FALSE)</f>
        <v>WILLIAMS DONTE</v>
      </c>
      <c r="M67" s="181">
        <f t="shared" si="25"/>
        <v>2.4930555555329192E-2</v>
      </c>
      <c r="N67" s="182">
        <f t="shared" si="34"/>
        <v>35.899999999674037</v>
      </c>
      <c r="O67" s="182"/>
      <c r="P67" s="182"/>
      <c r="Q67" s="185"/>
      <c r="R67" s="197"/>
      <c r="S67" s="241">
        <f t="shared" si="33"/>
        <v>1</v>
      </c>
      <c r="T67" s="220" t="str">
        <f t="shared" si="26"/>
        <v>NorthBound</v>
      </c>
      <c r="U67" s="22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21" t="str">
        <f t="shared" si="3"/>
        <v>https://d0f6bd738d7f1b3e5a7ca70fe4ff75f0.us-east-1.aws.found.io/app/kibana#/discover/Steve-Slow-Train-Analysis-(2080s-and-2083s)?_g=(refreshInterval:(display:Off,pause:!f,section:0,value:0),time:(from:'2017-12-15T09:08:33-0700',mode:absolute,to:'2017-12-15T11:51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7" s="222" t="str">
        <f>IF(AA67&lt;VLOOKUP(AG67,Variables!$AC$3:$AD$8,2,FALSE),"Y","N")</f>
        <v>N</v>
      </c>
      <c r="X67" s="222">
        <f t="shared" si="27"/>
        <v>1</v>
      </c>
      <c r="Y67" s="222">
        <f t="shared" si="28"/>
        <v>4.3700000000000003E-2</v>
      </c>
      <c r="Z67" s="222">
        <f t="shared" si="29"/>
        <v>23.328199999999999</v>
      </c>
      <c r="AA67" s="222">
        <f t="shared" si="30"/>
        <v>23.284499999999998</v>
      </c>
      <c r="AB67" s="231" t="e">
        <f>VLOOKUP(A67,Enforcements!$C$7:$K$9,8,0)</f>
        <v>#N/A</v>
      </c>
      <c r="AC67" s="231" t="e">
        <f>VLOOKUP(A67,Enforcements!$C$7:$E$9,3,0)</f>
        <v>#N/A</v>
      </c>
      <c r="AD67" s="232">
        <f t="shared" si="31"/>
        <v>153</v>
      </c>
      <c r="AE67" s="233" t="str">
        <f t="shared" si="9"/>
        <v>aws s3 cp s3://rtdc.mdm.uploadarchive.raw/RTDC4004/ "%USERPROFILE%\AppData\Local\Temp\OnboardLogs"\RTDC4004\2017-12-15 --exclude "*" --recursive --include "*20171215*" &amp; "%USERPROFILE%\Documents\GitHub\mrs-test-scripts\Headless Mode &amp; Sideloading\WalkAndUnGZ.bat" "%USERPROFILE%\AppData\Local\Temp\OnboardLogs"\RTDC4004\2017-12-15 &amp; aws s3 cp s3://rtdc.mdm.uploadarchive.raw/RTDC4004/ "%USERPROFILE%\AppData\Local\Temp\OnboardLogs"\RTDC4004\2017-12-16 --exclude "*" --recursive --include "*20171216*" &amp; "%USERPROFILE%\Documents\GitHub\mrs-test-scripts\Headless Mode &amp; Sideloading\WalkAndUnGZ.bat" "%USERPROFILE%\AppData\Local\Temp\OnboardLogs"\RTDC4004\2017-12-16</v>
      </c>
      <c r="AF67" s="234" t="str">
        <f t="shared" si="10"/>
        <v>"C:\Program Files (x86)\AstroGrep\AstroGrep.exe" /e /r /s /spath="%USERPROFILE%\AppData\Local\Temp\OnboardLogs" /stypes="app*4004*20171215*" /stext=" 17:.+((SYSTEM_STATE.+slice.+state.+changed )|(ment ac)|(multiple cpu faults)|(system.+state.+changed )|(\[timeout)|(PRM\|1\|D)|(kpr)|(kdp)|(train st.+moving)|(\|lc)|(penalty))"</v>
      </c>
      <c r="AG67" s="226" t="str">
        <f t="shared" si="32"/>
        <v>EC</v>
      </c>
      <c r="AH67" s="189" t="str">
        <f t="shared" si="17"/>
        <v>"%USERPROFILE%\Documents\GitHub\eaglep3\Utilities\RefineRTDCRunTimes.py" --tripid 153-15 --locoid 4004 --swversion DE.1.0.9.0 --startMP 204:437 --initTime 2017-12-15T10:08:33 --startdatetime 2017-12-15T10:15:31 --delay 146 --endMP 204:233282 --enddatetime 2017-12-15T10:51:25 --enforcementcount 0 &gt;&gt;%USERPROFILE%\Documents\GitHub\eaglep3-reporting\EC\2017-12-15-refined-times.txt</v>
      </c>
      <c r="AI67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{"issue":{"subject":"","project_id":79,"tracker_id":40,"status_id":1,"priority_id":2,"assigned_to_id":338,"start_date":"2017-12-15","description":"","custom_fields":[{"id":1,"name":"Subdivision","value":"EC"},{"id":4,"name":"Milepost","value":"23.3282"},{"id":17,"name":"Train ID","value":"153-15"},{"id":16,"name":"Locomotive ID","value":"4004"},{"id":130,"name":"Impact","value":""},{"id":150,"name":"Time of Event (Mountain Time)","value":"10:51:25"},{"id":151,"name":"Denver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180"/>
      <c r="AK67" s="188"/>
      <c r="AL67" s="188"/>
      <c r="AM67" s="193" t="str">
        <f t="shared" si="19"/>
        <v>start /low /b %USERPROFILE%\Documents\GitHub\eaglep3\Utilities\DownloadLogsFromS3.py --loco 4004 --day 2017-12-15</v>
      </c>
      <c r="AN67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17:51:25"},{"id":29,"name":"Sharepoint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87" t="str">
        <f t="shared" si="21"/>
        <v>https://d0f6bd738d7f1b3e5a7ca70fe4ff75f0.us-east-1.aws.found.io/app/kibana#/discover/Steve-Slow-Train-Analysis-(2080s-and-2083s)?_g=(refreshInterval:(display:Off,pause:!f,section:0,value:0),time:(from:'2017-12-15T09:08:33-0700',mode:absolute,to:'2017-12-15T11:51:25-0700'))&amp;_a=(columns:!('Message%20ID',Summary),filters:!(),index:'emp_*',interval:auto,query:(query_string:(analyze_wildcard:!t,query:'%22rtdc.l.rtdc.4004%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186" t="s">
        <v>763</v>
      </c>
      <c r="B68" s="182">
        <v>4003</v>
      </c>
      <c r="C68" s="184" t="s">
        <v>192</v>
      </c>
      <c r="D68" s="184" t="s">
        <v>590</v>
      </c>
      <c r="E68" s="183">
        <v>43084.455717592595</v>
      </c>
      <c r="F68" s="183">
        <v>43084.466840277775</v>
      </c>
      <c r="G68" s="182">
        <v>129</v>
      </c>
      <c r="H68" s="184" t="s">
        <v>503</v>
      </c>
      <c r="I68" s="183">
        <v>43084.494189814817</v>
      </c>
      <c r="J68" s="182">
        <v>0</v>
      </c>
      <c r="K68" s="190" t="str">
        <f t="shared" si="24"/>
        <v>4003/4004</v>
      </c>
      <c r="L68" s="196" t="str">
        <f>VLOOKUP(A68,'Trips&amp;Operators'!$C$1:$G$99911,5,FALSE)</f>
        <v>WILLIAMS DONTE</v>
      </c>
      <c r="M68" s="181">
        <f t="shared" si="25"/>
        <v>2.7349537042027805E-2</v>
      </c>
      <c r="N68" s="182">
        <f t="shared" si="34"/>
        <v>39.383333340520039</v>
      </c>
      <c r="O68" s="182"/>
      <c r="P68" s="182"/>
      <c r="Q68" s="185"/>
      <c r="R68" s="197"/>
      <c r="S68" s="241">
        <f t="shared" si="33"/>
        <v>1</v>
      </c>
      <c r="T68" s="220" t="str">
        <f t="shared" si="26"/>
        <v>Southbound</v>
      </c>
      <c r="U68" s="22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21" t="str">
        <f t="shared" si="3"/>
        <v>https://d0f6bd738d7f1b3e5a7ca70fe4ff75f0.us-east-1.aws.found.io/app/kibana#/discover/Steve-Slow-Train-Analysis-(2080s-and-2083s)?_g=(refreshInterval:(display:Off,pause:!f,section:0,value:0),time:(from:'2017-12-15T09:56:14-0700',mode:absolute,to:'2017-12-15T12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8" s="222" t="str">
        <f>IF(AA68&lt;VLOOKUP(AG68,Variables!$AC$3:$AD$8,2,FALSE),"Y","N")</f>
        <v>N</v>
      </c>
      <c r="X68" s="222">
        <f t="shared" si="27"/>
        <v>1</v>
      </c>
      <c r="Y68" s="222">
        <f t="shared" si="28"/>
        <v>23.296099999999999</v>
      </c>
      <c r="Z68" s="222">
        <f t="shared" si="29"/>
        <v>1.9199999999999998E-2</v>
      </c>
      <c r="AA68" s="222">
        <f t="shared" si="30"/>
        <v>23.276899999999998</v>
      </c>
      <c r="AB68" s="231" t="e">
        <f>VLOOKUP(A68,Enforcements!$C$7:$K$9,8,0)</f>
        <v>#N/A</v>
      </c>
      <c r="AC68" s="231" t="e">
        <f>VLOOKUP(A68,Enforcements!$C$7:$E$9,3,0)</f>
        <v>#N/A</v>
      </c>
      <c r="AD68" s="232">
        <f t="shared" si="31"/>
        <v>154</v>
      </c>
      <c r="AE68" s="233" t="str">
        <f t="shared" si="9"/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AF68" s="234" t="str">
        <f t="shared" si="10"/>
        <v>"C:\Program Files (x86)\AstroGrep\AstroGrep.exe" /e /r /s /spath="%USERPROFILE%\AppData\Local\Temp\OnboardLogs" /stypes="app*4003*20171215*" /stext=" 18:.+((SYSTEM_STATE.+slice.+state.+changed )|(ment ac)|(multiple cpu faults)|(system.+state.+changed )|(\[timeout)|(PRM\|1\|D)|(kpr)|(kdp)|(train st.+moving)|(\|lc)|(penalty))"</v>
      </c>
      <c r="AG68" s="226" t="str">
        <f t="shared" si="32"/>
        <v>EC</v>
      </c>
      <c r="AH68" s="189" t="str">
        <f t="shared" si="17"/>
        <v>"%USERPROFILE%\Documents\GitHub\eaglep3\Utilities\RefineRTDCRunTimes.py" --tripid 154-15 --locoid 4003 --swversion DE.1.0.9.0 --startMP 204:232961 --initTime 2017-12-15T10:56:14 --startdatetime 2017-12-15T11:12:15 --delay 129 --endMP 204:192 --enddatetime 2017-12-15T11:51:38 --enforcementcount 0 &gt;&gt;%USERPROFILE%\Documents\GitHub\eaglep3-reporting\EC\2017-12-15-refined-times.txt</v>
      </c>
      <c r="AI68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{"issue":{"subject":"","project_id":79,"tracker_id":40,"status_id":1,"priority_id":2,"assigned_to_id":338,"start_date":"2017-12-15","description":"","custom_fields":[{"id":1,"name":"Subdivision","value":"EC"},{"id":4,"name":"Milepost","value":"0.0192"},{"id":17,"name":"Train ID","value":"154-15"},{"id":16,"name":"Locomotive ID","value":"4003"},{"id":130,"name":"Impact","value":""},{"id":150,"name":"Time of Event (Mountain Time)","value":"11:51:38"},{"id":151,"name":"Denver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180"/>
      <c r="AK68" s="188"/>
      <c r="AL68" s="188"/>
      <c r="AM68" s="193" t="str">
        <f t="shared" si="19"/>
        <v>start /low /b %USERPROFILE%\Documents\GitHub\eaglep3\Utilities\DownloadLogsFromS3.py --loco 4003 --day 2017-12-15</v>
      </c>
      <c r="AN68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18:51:38"},{"id":29,"name":"Sharepoint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87" t="str">
        <f t="shared" si="21"/>
        <v>https://d0f6bd738d7f1b3e5a7ca70fe4ff75f0.us-east-1.aws.found.io/app/kibana#/discover/Steve-Slow-Train-Analysis-(2080s-and-2083s)?_g=(refreshInterval:(display:Off,pause:!f,section:0,value:0),time:(from:'2017-12-15T09:56:14-0700',mode:absolute,to:'2017-12-15T12:51:38-0700'))&amp;_a=(columns:!('Message%20ID',Summary),filters:!(),index:'emp_*',interval:auto,query:(query_string:(analyze_wildcard:!t,query:'%22rtdc.l.rtdc.4003%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186" t="s">
        <v>759</v>
      </c>
      <c r="B69" s="182">
        <v>4058</v>
      </c>
      <c r="C69" s="184" t="s">
        <v>192</v>
      </c>
      <c r="D69" s="184" t="s">
        <v>937</v>
      </c>
      <c r="E69" s="183">
        <v>43084.434074074074</v>
      </c>
      <c r="F69" s="183">
        <v>43084.437673611108</v>
      </c>
      <c r="G69" s="182">
        <v>51</v>
      </c>
      <c r="H69" s="184" t="s">
        <v>938</v>
      </c>
      <c r="I69" s="183">
        <v>43084.462442129632</v>
      </c>
      <c r="J69" s="182">
        <v>0</v>
      </c>
      <c r="K69" s="190" t="str">
        <f t="shared" si="24"/>
        <v>4057/4058</v>
      </c>
      <c r="L69" s="196" t="str">
        <f>VLOOKUP(A69,'Trips&amp;Operators'!$C$1:$G$99911,5,FALSE)</f>
        <v>MACDONALD THOMAS</v>
      </c>
      <c r="M69" s="181">
        <f t="shared" si="25"/>
        <v>2.4768518524069805E-2</v>
      </c>
      <c r="N69" s="182">
        <f t="shared" si="34"/>
        <v>35.666666674660519</v>
      </c>
      <c r="O69" s="182"/>
      <c r="P69" s="182"/>
      <c r="Q69" s="185"/>
      <c r="R69" s="197"/>
      <c r="S69" s="241">
        <f t="shared" si="33"/>
        <v>1</v>
      </c>
      <c r="T69" s="220" t="str">
        <f t="shared" si="26"/>
        <v>NorthBound</v>
      </c>
      <c r="U69" s="22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21" t="str">
        <f t="shared" si="3"/>
        <v>https://d0f6bd738d7f1b3e5a7ca70fe4ff75f0.us-east-1.aws.found.io/app/kibana#/discover/Steve-Slow-Train-Analysis-(2080s-and-2083s)?_g=(refreshInterval:(display:Off,pause:!f,section:0,value:0),time:(from:'2017-12-15T09:25:04-0700',mode:absolute,to:'2017-12-15T12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9" s="222" t="str">
        <f>IF(AA69&lt;VLOOKUP(AG69,Variables!$AC$3:$AD$8,2,FALSE),"Y","N")</f>
        <v>N</v>
      </c>
      <c r="X69" s="222">
        <f t="shared" si="27"/>
        <v>1</v>
      </c>
      <c r="Y69" s="222">
        <f t="shared" si="28"/>
        <v>4.4900000000000002E-2</v>
      </c>
      <c r="Z69" s="222">
        <f t="shared" si="29"/>
        <v>23.321000000000002</v>
      </c>
      <c r="AA69" s="222">
        <f t="shared" si="30"/>
        <v>23.276100000000003</v>
      </c>
      <c r="AB69" s="231" t="e">
        <f>VLOOKUP(A69,Enforcements!$C$7:$K$9,8,0)</f>
        <v>#N/A</v>
      </c>
      <c r="AC69" s="231" t="e">
        <f>VLOOKUP(A69,Enforcements!$C$7:$E$9,3,0)</f>
        <v>#N/A</v>
      </c>
      <c r="AD69" s="232">
        <f t="shared" si="31"/>
        <v>155</v>
      </c>
      <c r="AE69" s="233" t="str">
        <f t="shared" si="9"/>
        <v>aws s3 cp s3://rtdc.mdm.uploadarchive.raw/RTDC4058/ "%USERPROFILE%\AppData\Local\Temp\OnboardLogs"\RTDC4058\2017-12-15 --exclude "*" --recursive --include "*20171215*" &amp; "%USERPROFILE%\Documents\GitHub\mrs-test-scripts\Headless Mode &amp; Sideloading\WalkAndUnGZ.bat" "%USERPROFILE%\AppData\Local\Temp\OnboardLogs"\RTDC4058\2017-12-15 &amp; aws s3 cp s3://rtdc.mdm.uploadarchive.raw/RTDC4058/ "%USERPROFILE%\AppData\Local\Temp\OnboardLogs"\RTDC4058\2017-12-16 --exclude "*" --recursive --include "*20171216*" &amp; "%USERPROFILE%\Documents\GitHub\mrs-test-scripts\Headless Mode &amp; Sideloading\WalkAndUnGZ.bat" "%USERPROFILE%\AppData\Local\Temp\OnboardLogs"\RTDC4058\2017-12-16</v>
      </c>
      <c r="AF69" s="234" t="str">
        <f t="shared" si="10"/>
        <v>"C:\Program Files (x86)\AstroGrep\AstroGrep.exe" /e /r /s /spath="%USERPROFILE%\AppData\Local\Temp\OnboardLogs" /stypes="app*4058*20171215*" /stext=" 18:.+((SYSTEM_STATE.+slice.+state.+changed )|(ment ac)|(multiple cpu faults)|(system.+state.+changed )|(\[timeout)|(PRM\|1\|D)|(kpr)|(kdp)|(train st.+moving)|(\|lc)|(penalty))"</v>
      </c>
      <c r="AG69" s="226" t="str">
        <f t="shared" si="32"/>
        <v>EC</v>
      </c>
      <c r="AH69" s="189" t="str">
        <f t="shared" si="17"/>
        <v>"%USERPROFILE%\Documents\GitHub\eaglep3\Utilities\RefineRTDCRunTimes.py" --tripid 155-15 --locoid 4058 --swversion DE.1.0.9.0 --startMP 204:449 --initTime 2017-12-15T10:25:04 --startdatetime 2017-12-15T10:30:15 --delay 51 --endMP 204:233210 --enddatetime 2017-12-15T11:05:55 --enforcementcount 0 &gt;&gt;%USERPROFILE%\Documents\GitHub\eaglep3-reporting\EC\2017-12-15-refined-times.txt</v>
      </c>
      <c r="AI69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{"issue":{"subject":"","project_id":79,"tracker_id":40,"status_id":1,"priority_id":2,"assigned_to_id":338,"start_date":"2017-12-15","description":"","custom_fields":[{"id":1,"name":"Subdivision","value":"EC"},{"id":4,"name":"Milepost","value":"23.321"},{"id":17,"name":"Train ID","value":"155-15"},{"id":16,"name":"Locomotive ID","value":"4058"},{"id":130,"name":"Impact","value":""},{"id":150,"name":"Time of Event (Mountain Time)","value":"11:05:55"},{"id":151,"name":"Denver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180"/>
      <c r="AK69" s="188"/>
      <c r="AL69" s="188"/>
      <c r="AM69" s="193" t="str">
        <f t="shared" si="19"/>
        <v>start /low /b %USERPROFILE%\Documents\GitHub\eaglep3\Utilities\DownloadLogsFromS3.py --loco 4058 --day 2017-12-15</v>
      </c>
      <c r="AN69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18:05:55"},{"id":29,"name":"Sharepoint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87" t="str">
        <f t="shared" si="21"/>
        <v>https://d0f6bd738d7f1b3e5a7ca70fe4ff75f0.us-east-1.aws.found.io/app/kibana#/discover/Steve-Slow-Train-Analysis-(2080s-and-2083s)?_g=(refreshInterval:(display:Off,pause:!f,section:0,value:0),time:(from:'2017-12-15T09:25:04-0700',mode:absolute,to:'2017-12-15T12:05:55-0700'))&amp;_a=(columns:!('Message%20ID',Summary),filters:!(),index:'emp_*',interval:auto,query:(query_string:(analyze_wildcard:!t,query:'%22rtdc.l.rtdc.4058%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186" t="s">
        <v>766</v>
      </c>
      <c r="B70" s="182">
        <v>4057</v>
      </c>
      <c r="C70" s="184" t="s">
        <v>192</v>
      </c>
      <c r="D70" s="184" t="s">
        <v>606</v>
      </c>
      <c r="E70" s="183">
        <v>43084.474722222221</v>
      </c>
      <c r="F70" s="183">
        <v>43084.477384259262</v>
      </c>
      <c r="G70" s="182">
        <v>49</v>
      </c>
      <c r="H70" s="184" t="s">
        <v>598</v>
      </c>
      <c r="I70" s="183">
        <v>43084.503009259257</v>
      </c>
      <c r="J70" s="182">
        <v>0</v>
      </c>
      <c r="K70" s="190" t="str">
        <f t="shared" si="24"/>
        <v>4057/4058</v>
      </c>
      <c r="L70" s="196" t="str">
        <f>VLOOKUP(A70,'Trips&amp;Operators'!$C$1:$G$99911,5,FALSE)</f>
        <v>MACDONALD THOMAS</v>
      </c>
      <c r="M70" s="181">
        <f t="shared" si="25"/>
        <v>2.5624999994761311E-2</v>
      </c>
      <c r="N70" s="182">
        <f t="shared" si="34"/>
        <v>36.899999992456287</v>
      </c>
      <c r="O70" s="182"/>
      <c r="P70" s="182"/>
      <c r="Q70" s="185"/>
      <c r="R70" s="197"/>
      <c r="S70" s="241">
        <f t="shared" si="33"/>
        <v>1</v>
      </c>
      <c r="T70" s="220" t="str">
        <f t="shared" si="26"/>
        <v>Southbound</v>
      </c>
      <c r="U70" s="22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21" t="str">
        <f t="shared" si="3"/>
        <v>https://d0f6bd738d7f1b3e5a7ca70fe4ff75f0.us-east-1.aws.found.io/app/kibana#/discover/Steve-Slow-Train-Analysis-(2080s-and-2083s)?_g=(refreshInterval:(display:Off,pause:!f,section:0,value:0),time:(from:'2017-12-15T10:23:36-0700',mode:absolute,to:'2017-12-15T13:04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0" s="222" t="str">
        <f>IF(AA70&lt;VLOOKUP(AG70,Variables!$AC$3:$AD$8,2,FALSE),"Y","N")</f>
        <v>N</v>
      </c>
      <c r="X70" s="222">
        <f t="shared" si="27"/>
        <v>1</v>
      </c>
      <c r="Y70" s="222">
        <f t="shared" si="28"/>
        <v>23.2896</v>
      </c>
      <c r="Z70" s="222">
        <f t="shared" si="29"/>
        <v>2.3599999999999999E-2</v>
      </c>
      <c r="AA70" s="222">
        <f t="shared" si="30"/>
        <v>23.266000000000002</v>
      </c>
      <c r="AB70" s="231" t="e">
        <f>VLOOKUP(A70,Enforcements!$C$7:$K$9,8,0)</f>
        <v>#N/A</v>
      </c>
      <c r="AC70" s="231" t="e">
        <f>VLOOKUP(A70,Enforcements!$C$7:$E$9,3,0)</f>
        <v>#N/A</v>
      </c>
      <c r="AD70" s="232">
        <f t="shared" si="31"/>
        <v>156</v>
      </c>
      <c r="AE70" s="233" t="str">
        <f t="shared" si="9"/>
        <v>aws s3 cp s3://rtdc.mdm.uploadarchive.raw/RTDC4057/ "%USERPROFILE%\AppData\Local\Temp\OnboardLogs"\RTDC4057\2017-12-15 --exclude "*" --recursive --include "*20171215*" &amp; "%USERPROFILE%\Documents\GitHub\mrs-test-scripts\Headless Mode &amp; Sideloading\WalkAndUnGZ.bat" "%USERPROFILE%\AppData\Local\Temp\OnboardLogs"\RTDC4057\2017-12-15 &amp; aws s3 cp s3://rtdc.mdm.uploadarchive.raw/RTDC4057/ "%USERPROFILE%\AppData\Local\Temp\OnboardLogs"\RTDC4057\2017-12-16 --exclude "*" --recursive --include "*20171216*" &amp; "%USERPROFILE%\Documents\GitHub\mrs-test-scripts\Headless Mode &amp; Sideloading\WalkAndUnGZ.bat" "%USERPROFILE%\AppData\Local\Temp\OnboardLogs"\RTDC4057\2017-12-16</v>
      </c>
      <c r="AF70" s="234" t="str">
        <f t="shared" si="10"/>
        <v>"C:\Program Files (x86)\AstroGrep\AstroGrep.exe" /e /r /s /spath="%USERPROFILE%\AppData\Local\Temp\OnboardLogs" /stypes="app*4057*20171215*" /stext=" 19:.+((SYSTEM_STATE.+slice.+state.+changed )|(ment ac)|(multiple cpu faults)|(system.+state.+changed )|(\[timeout)|(PRM\|1\|D)|(kpr)|(kdp)|(train st.+moving)|(\|lc)|(penalty))"</v>
      </c>
      <c r="AG70" s="226" t="str">
        <f t="shared" si="32"/>
        <v>EC</v>
      </c>
      <c r="AH70" s="189" t="str">
        <f t="shared" si="17"/>
        <v>"%USERPROFILE%\Documents\GitHub\eaglep3\Utilities\RefineRTDCRunTimes.py" --tripid 156-15 --locoid 4057 --swversion DE.1.0.9.0 --startMP 204:232896 --initTime 2017-12-15T11:23:36 --startdatetime 2017-12-15T11:27:26 --delay 49 --endMP 204:236 --enddatetime 2017-12-15T12:04:20 --enforcementcount 0 &gt;&gt;%USERPROFILE%\Documents\GitHub\eaglep3-reporting\EC\2017-12-15-refined-times.txt</v>
      </c>
      <c r="AI70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{"issue":{"subject":"","project_id":79,"tracker_id":40,"status_id":1,"priority_id":2,"assigned_to_id":338,"start_date":"2017-12-15","description":"","custom_fields":[{"id":1,"name":"Subdivision","value":"EC"},{"id":4,"name":"Milepost","value":"0.0236"},{"id":17,"name":"Train ID","value":"156-15"},{"id":16,"name":"Locomotive ID","value":"4057"},{"id":130,"name":"Impact","value":""},{"id":150,"name":"Time of Event (Mountain Time)","value":"12:04:20"},{"id":151,"name":"Denver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180"/>
      <c r="AK70" s="188"/>
      <c r="AL70" s="188"/>
      <c r="AM70" s="193" t="str">
        <f t="shared" si="19"/>
        <v>start /low /b %USERPROFILE%\Documents\GitHub\eaglep3\Utilities\DownloadLogsFromS3.py --loco 4057 --day 2017-12-15</v>
      </c>
      <c r="AN70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19:04:20"},{"id":29,"name":"Sharepoint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87" t="str">
        <f t="shared" si="21"/>
        <v>https://d0f6bd738d7f1b3e5a7ca70fe4ff75f0.us-east-1.aws.found.io/app/kibana#/discover/Steve-Slow-Train-Analysis-(2080s-and-2083s)?_g=(refreshInterval:(display:Off,pause:!f,section:0,value:0),time:(from:'2017-12-15T10:23:36-0700',mode:absolute,to:'2017-12-15T13:04:20-0700'))&amp;_a=(columns:!('Message%20ID',Summary),filters:!(),index:'emp_*',interval:auto,query:(query_string:(analyze_wildcard:!t,query:'%22rtdc.l.rtdc.4057%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186" t="s">
        <v>760</v>
      </c>
      <c r="B71" s="182">
        <v>4044</v>
      </c>
      <c r="C71" s="184" t="s">
        <v>192</v>
      </c>
      <c r="D71" s="184" t="s">
        <v>905</v>
      </c>
      <c r="E71" s="183">
        <v>43084.443124999998</v>
      </c>
      <c r="F71" s="183">
        <v>43084.448113425926</v>
      </c>
      <c r="G71" s="182">
        <v>102</v>
      </c>
      <c r="H71" s="184" t="s">
        <v>939</v>
      </c>
      <c r="I71" s="183">
        <v>43084.472881944443</v>
      </c>
      <c r="J71" s="182">
        <v>0</v>
      </c>
      <c r="K71" s="190" t="str">
        <f t="shared" si="24"/>
        <v>4043/4044</v>
      </c>
      <c r="L71" s="196" t="str">
        <f>VLOOKUP(A71,'Trips&amp;Operators'!$C$1:$G$99911,5,FALSE)</f>
        <v>BADERTSCHER DIANE</v>
      </c>
      <c r="M71" s="181">
        <f t="shared" si="25"/>
        <v>2.4768518516793847E-2</v>
      </c>
      <c r="N71" s="182">
        <f t="shared" si="34"/>
        <v>35.66666666418314</v>
      </c>
      <c r="O71" s="182"/>
      <c r="P71" s="182"/>
      <c r="Q71" s="185"/>
      <c r="R71" s="197"/>
      <c r="S71" s="241">
        <f t="shared" si="33"/>
        <v>1</v>
      </c>
      <c r="T71" s="220" t="str">
        <f t="shared" si="26"/>
        <v>NorthBound</v>
      </c>
      <c r="U71" s="22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21" t="str">
        <f t="shared" si="3"/>
        <v>https://d0f6bd738d7f1b3e5a7ca70fe4ff75f0.us-east-1.aws.found.io/app/kibana#/discover/Steve-Slow-Train-Analysis-(2080s-and-2083s)?_g=(refreshInterval:(display:Off,pause:!f,section:0,value:0),time:(from:'2017-12-15T09:38:06-0700',mode:absolute,to:'2017-12-15T12:20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1" s="222" t="str">
        <f>IF(AA71&lt;VLOOKUP(AG71,Variables!$AC$3:$AD$8,2,FALSE),"Y","N")</f>
        <v>N</v>
      </c>
      <c r="X71" s="222">
        <f t="shared" si="27"/>
        <v>1</v>
      </c>
      <c r="Y71" s="222">
        <f t="shared" si="28"/>
        <v>4.3999999999999997E-2</v>
      </c>
      <c r="Z71" s="222">
        <f t="shared" si="29"/>
        <v>23.3216</v>
      </c>
      <c r="AA71" s="222">
        <f t="shared" si="30"/>
        <v>23.2776</v>
      </c>
      <c r="AB71" s="231" t="e">
        <f>VLOOKUP(A71,Enforcements!$C$7:$K$9,8,0)</f>
        <v>#N/A</v>
      </c>
      <c r="AC71" s="231" t="e">
        <f>VLOOKUP(A71,Enforcements!$C$7:$E$9,3,0)</f>
        <v>#N/A</v>
      </c>
      <c r="AD71" s="232">
        <f t="shared" si="31"/>
        <v>157</v>
      </c>
      <c r="AE71" s="233" t="str">
        <f t="shared" si="9"/>
        <v>aws s3 cp s3://rtdc.mdm.uploadarchive.raw/RTDC4044/ "%USERPROFILE%\AppData\Local\Temp\OnboardLogs"\RTDC4044\2017-12-15 --exclude "*" --recursive --include "*20171215*" &amp; "%USERPROFILE%\Documents\GitHub\mrs-test-scripts\Headless Mode &amp; Sideloading\WalkAndUnGZ.bat" "%USERPROFILE%\AppData\Local\Temp\OnboardLogs"\RTDC4044\2017-12-15 &amp; aws s3 cp s3://rtdc.mdm.uploadarchive.raw/RTDC4044/ "%USERPROFILE%\AppData\Local\Temp\OnboardLogs"\RTDC4044\2017-12-16 --exclude "*" --recursive --include "*20171216*" &amp; "%USERPROFILE%\Documents\GitHub\mrs-test-scripts\Headless Mode &amp; Sideloading\WalkAndUnGZ.bat" "%USERPROFILE%\AppData\Local\Temp\OnboardLogs"\RTDC4044\2017-12-16</v>
      </c>
      <c r="AF71" s="234" t="str">
        <f t="shared" si="10"/>
        <v>"C:\Program Files (x86)\AstroGrep\AstroGrep.exe" /e /r /s /spath="%USERPROFILE%\AppData\Local\Temp\OnboardLogs" /stypes="app*4044*20171215*" /stext=" 18:.+((SYSTEM_STATE.+slice.+state.+changed )|(ment ac)|(multiple cpu faults)|(system.+state.+changed )|(\[timeout)|(PRM\|1\|D)|(kpr)|(kdp)|(train st.+moving)|(\|lc)|(penalty))"</v>
      </c>
      <c r="AG71" s="226" t="str">
        <f t="shared" si="32"/>
        <v>EC</v>
      </c>
      <c r="AH71" s="189" t="str">
        <f t="shared" si="17"/>
        <v>"%USERPROFILE%\Documents\GitHub\eaglep3\Utilities\RefineRTDCRunTimes.py" --tripid 157-15 --locoid 4044 --swversion DE.1.0.9.0 --startMP 204:440 --initTime 2017-12-15T10:38:06 --startdatetime 2017-12-15T10:45:17 --delay 102 --endMP 204:233216 --enddatetime 2017-12-15T11:20:57 --enforcementcount 0 &gt;&gt;%USERPROFILE%\Documents\GitHub\eaglep3-reporting\EC\2017-12-15-refined-times.txt</v>
      </c>
      <c r="AI71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{"issue":{"subject":"","project_id":79,"tracker_id":40,"status_id":1,"priority_id":2,"assigned_to_id":338,"start_date":"2017-12-15","description":"","custom_fields":[{"id":1,"name":"Subdivision","value":"EC"},{"id":4,"name":"Milepost","value":"23.3216"},{"id":17,"name":"Train ID","value":"157-15"},{"id":16,"name":"Locomotive ID","value":"4044"},{"id":130,"name":"Impact","value":""},{"id":150,"name":"Time of Event (Mountain Time)","value":"11:20:57"},{"id":151,"name":"Denver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180"/>
      <c r="AK71" s="188"/>
      <c r="AL71" s="188"/>
      <c r="AM71" s="193" t="str">
        <f t="shared" si="19"/>
        <v>start /low /b %USERPROFILE%\Documents\GitHub\eaglep3\Utilities\DownloadLogsFromS3.py --loco 4044 --day 2017-12-15</v>
      </c>
      <c r="AN71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18:20:57"},{"id":29,"name":"Sharepoint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87" t="str">
        <f t="shared" si="21"/>
        <v>https://d0f6bd738d7f1b3e5a7ca70fe4ff75f0.us-east-1.aws.found.io/app/kibana#/discover/Steve-Slow-Train-Analysis-(2080s-and-2083s)?_g=(refreshInterval:(display:Off,pause:!f,section:0,value:0),time:(from:'2017-12-15T09:38:06-0700',mode:absolute,to:'2017-12-15T12:20:57-0700'))&amp;_a=(columns:!('Message%20ID',Summary),filters:!(),index:'emp_*',interval:auto,query:(query_string:(analyze_wildcard:!t,query:'%22rtdc.l.rtdc.4044%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186" t="s">
        <v>770</v>
      </c>
      <c r="B72" s="182">
        <v>4043</v>
      </c>
      <c r="C72" s="184" t="s">
        <v>192</v>
      </c>
      <c r="D72" s="184" t="s">
        <v>940</v>
      </c>
      <c r="E72" s="183">
        <v>43084.482118055559</v>
      </c>
      <c r="F72" s="183">
        <v>43084.487673611111</v>
      </c>
      <c r="G72" s="182">
        <v>135</v>
      </c>
      <c r="H72" s="184" t="s">
        <v>510</v>
      </c>
      <c r="I72" s="183">
        <v>43084.514687499999</v>
      </c>
      <c r="J72" s="182">
        <v>0</v>
      </c>
      <c r="K72" s="190" t="str">
        <f t="shared" si="24"/>
        <v>4043/4044</v>
      </c>
      <c r="L72" s="196" t="str">
        <f>VLOOKUP(A72,'Trips&amp;Operators'!$C$1:$G$99911,5,FALSE)</f>
        <v>BADERTSCHER DIANE</v>
      </c>
      <c r="M72" s="181">
        <f t="shared" si="25"/>
        <v>2.7013888888177462E-2</v>
      </c>
      <c r="N72" s="182">
        <f t="shared" si="34"/>
        <v>38.899999998975545</v>
      </c>
      <c r="O72" s="182"/>
      <c r="P72" s="182"/>
      <c r="Q72" s="185"/>
      <c r="R72" s="197"/>
      <c r="S72" s="241">
        <f t="shared" si="33"/>
        <v>1</v>
      </c>
      <c r="T72" s="220" t="str">
        <f t="shared" si="26"/>
        <v>Southbound</v>
      </c>
      <c r="U72" s="22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21" t="str">
        <f t="shared" si="3"/>
        <v>https://d0f6bd738d7f1b3e5a7ca70fe4ff75f0.us-east-1.aws.found.io/app/kibana#/discover/Steve-Slow-Train-Analysis-(2080s-and-2083s)?_g=(refreshInterval:(display:Off,pause:!f,section:0,value:0),time:(from:'2017-12-15T10:34:15-0700',mode:absolute,to:'2017-12-15T13:21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2" s="222" t="str">
        <f>IF(AA72&lt;VLOOKUP(AG72,Variables!$AC$3:$AD$8,2,FALSE),"Y","N")</f>
        <v>N</v>
      </c>
      <c r="X72" s="222">
        <f t="shared" si="27"/>
        <v>1</v>
      </c>
      <c r="Y72" s="222">
        <f t="shared" si="28"/>
        <v>23.290900000000001</v>
      </c>
      <c r="Z72" s="222">
        <f t="shared" si="29"/>
        <v>1.8499999999999999E-2</v>
      </c>
      <c r="AA72" s="222">
        <f t="shared" si="30"/>
        <v>23.272400000000001</v>
      </c>
      <c r="AB72" s="231" t="e">
        <f>VLOOKUP(A72,Enforcements!$C$7:$K$9,8,0)</f>
        <v>#N/A</v>
      </c>
      <c r="AC72" s="231" t="e">
        <f>VLOOKUP(A72,Enforcements!$C$7:$E$9,3,0)</f>
        <v>#N/A</v>
      </c>
      <c r="AD72" s="232">
        <f t="shared" si="31"/>
        <v>158</v>
      </c>
      <c r="AE72" s="233" t="str">
        <f t="shared" si="9"/>
        <v>aws s3 cp s3://rtdc.mdm.uploadarchive.raw/RTDC4043/ "%USERPROFILE%\AppData\Local\Temp\OnboardLogs"\RTDC4043\2017-12-15 --exclude "*" --recursive --include "*20171215*" &amp; "%USERPROFILE%\Documents\GitHub\mrs-test-scripts\Headless Mode &amp; Sideloading\WalkAndUnGZ.bat" "%USERPROFILE%\AppData\Local\Temp\OnboardLogs"\RTDC4043\2017-12-15 &amp; aws s3 cp s3://rtdc.mdm.uploadarchive.raw/RTDC4043/ "%USERPROFILE%\AppData\Local\Temp\OnboardLogs"\RTDC4043\2017-12-16 --exclude "*" --recursive --include "*20171216*" &amp; "%USERPROFILE%\Documents\GitHub\mrs-test-scripts\Headless Mode &amp; Sideloading\WalkAndUnGZ.bat" "%USERPROFILE%\AppData\Local\Temp\OnboardLogs"\RTDC4043\2017-12-16</v>
      </c>
      <c r="AF72" s="234" t="str">
        <f t="shared" si="10"/>
        <v>"C:\Program Files (x86)\AstroGrep\AstroGrep.exe" /e /r /s /spath="%USERPROFILE%\AppData\Local\Temp\OnboardLogs" /stypes="app*4043*20171215*" /stext=" 19:.+((SYSTEM_STATE.+slice.+state.+changed )|(ment ac)|(multiple cpu faults)|(system.+state.+changed )|(\[timeout)|(PRM\|1\|D)|(kpr)|(kdp)|(train st.+moving)|(\|lc)|(penalty))"</v>
      </c>
      <c r="AG72" s="226" t="str">
        <f t="shared" si="32"/>
        <v>EC</v>
      </c>
      <c r="AH72" s="189" t="str">
        <f t="shared" si="17"/>
        <v>"%USERPROFILE%\Documents\GitHub\eaglep3\Utilities\RefineRTDCRunTimes.py" --tripid 158-15 --locoid 4043 --swversion DE.1.0.9.0 --startMP 204:232909 --initTime 2017-12-15T11:34:15 --startdatetime 2017-12-15T11:42:15 --delay 135 --endMP 204:185 --enddatetime 2017-12-15T12:21:09 --enforcementcount 0 &gt;&gt;%USERPROFILE%\Documents\GitHub\eaglep3-reporting\EC\2017-12-15-refined-times.txt</v>
      </c>
      <c r="AI72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{"issue":{"subject":"","project_id":79,"tracker_id":40,"status_id":1,"priority_id":2,"assigned_to_id":338,"start_date":"2017-12-15","description":"","custom_fields":[{"id":1,"name":"Subdivision","value":"EC"},{"id":4,"name":"Milepost","value":"0.0185"},{"id":17,"name":"Train ID","value":"158-15"},{"id":16,"name":"Locomotive ID","value":"4043"},{"id":130,"name":"Impact","value":""},{"id":150,"name":"Time of Event (Mountain Time)","value":"12:21:09"},{"id":151,"name":"Denver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180"/>
      <c r="AK72" s="188"/>
      <c r="AL72" s="188"/>
      <c r="AM72" s="193" t="str">
        <f t="shared" si="19"/>
        <v>start /low /b %USERPROFILE%\Documents\GitHub\eaglep3\Utilities\DownloadLogsFromS3.py --loco 4043 --day 2017-12-15</v>
      </c>
      <c r="AN72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19:21:09"},{"id":29,"name":"Sharepoint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87" t="str">
        <f t="shared" si="21"/>
        <v>https://d0f6bd738d7f1b3e5a7ca70fe4ff75f0.us-east-1.aws.found.io/app/kibana#/discover/Steve-Slow-Train-Analysis-(2080s-and-2083s)?_g=(refreshInterval:(display:Off,pause:!f,section:0,value:0),time:(from:'2017-12-15T10:34:15-0700',mode:absolute,to:'2017-12-15T13:21:09-0700'))&amp;_a=(columns:!('Message%20ID',Summary),filters:!(),index:'emp_*',interval:auto,query:(query_string:(analyze_wildcard:!t,query:'%22rtdc.l.rtdc.4043%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186" t="s">
        <v>762</v>
      </c>
      <c r="B73" s="182">
        <v>4036</v>
      </c>
      <c r="C73" s="184" t="s">
        <v>192</v>
      </c>
      <c r="D73" s="184" t="s">
        <v>599</v>
      </c>
      <c r="E73" s="183">
        <v>43084.452847222223</v>
      </c>
      <c r="F73" s="183">
        <v>43084.458495370367</v>
      </c>
      <c r="G73" s="182">
        <v>294</v>
      </c>
      <c r="H73" s="184" t="s">
        <v>941</v>
      </c>
      <c r="I73" s="183">
        <v>43084.483113425929</v>
      </c>
      <c r="J73" s="182">
        <v>0</v>
      </c>
      <c r="K73" s="190" t="str">
        <f t="shared" si="24"/>
        <v>4035/4036</v>
      </c>
      <c r="L73" s="196" t="str">
        <f>VLOOKUP(A73,'Trips&amp;Operators'!$C$1:$G$99911,5,FALSE)</f>
        <v>YANAI IAN</v>
      </c>
      <c r="M73" s="181">
        <f t="shared" si="25"/>
        <v>2.4618055562314112E-2</v>
      </c>
      <c r="N73" s="182">
        <f t="shared" si="34"/>
        <v>35.450000009732321</v>
      </c>
      <c r="O73" s="182"/>
      <c r="P73" s="182"/>
      <c r="Q73" s="185"/>
      <c r="R73" s="197"/>
      <c r="S73" s="241">
        <f t="shared" si="33"/>
        <v>1</v>
      </c>
      <c r="T73" s="220" t="str">
        <f t="shared" si="26"/>
        <v>NorthBound</v>
      </c>
      <c r="U73" s="22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21" t="str">
        <f t="shared" si="3"/>
        <v>https://d0f6bd738d7f1b3e5a7ca70fe4ff75f0.us-east-1.aws.found.io/app/kibana#/discover/Steve-Slow-Train-Analysis-(2080s-and-2083s)?_g=(refreshInterval:(display:Off,pause:!f,section:0,value:0),time:(from:'2017-12-15T09:52:06-0700',mode:absolute,to:'2017-12-15T12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73" s="222" t="str">
        <f>IF(AA73&lt;VLOOKUP(AG73,Variables!$AC$3:$AD$8,2,FALSE),"Y","N")</f>
        <v>N</v>
      </c>
      <c r="X73" s="222">
        <f t="shared" si="27"/>
        <v>1</v>
      </c>
      <c r="Y73" s="222">
        <f t="shared" si="28"/>
        <v>5.1299999999999998E-2</v>
      </c>
      <c r="Z73" s="222">
        <f t="shared" si="29"/>
        <v>23.334</v>
      </c>
      <c r="AA73" s="222">
        <f t="shared" si="30"/>
        <v>23.282699999999998</v>
      </c>
      <c r="AB73" s="231" t="e">
        <f>VLOOKUP(A73,Enforcements!$C$7:$K$9,8,0)</f>
        <v>#N/A</v>
      </c>
      <c r="AC73" s="231" t="e">
        <f>VLOOKUP(A73,Enforcements!$C$7:$E$9,3,0)</f>
        <v>#N/A</v>
      </c>
      <c r="AD73" s="232">
        <f t="shared" si="31"/>
        <v>159</v>
      </c>
      <c r="AE73" s="233" t="str">
        <f t="shared" si="9"/>
        <v>aws s3 cp s3://rtdc.mdm.uploadarchive.raw/RTDC4036/ "%USERPROFILE%\AppData\Local\Temp\OnboardLogs"\RTDC4036\2017-12-15 --exclude "*" --recursive --include "*20171215*" &amp; "%USERPROFILE%\Documents\GitHub\mrs-test-scripts\Headless Mode &amp; Sideloading\WalkAndUnGZ.bat" "%USERPROFILE%\AppData\Local\Temp\OnboardLogs"\RTDC4036\2017-12-15 &amp; aws s3 cp s3://rtdc.mdm.uploadarchive.raw/RTDC4036/ "%USERPROFILE%\AppData\Local\Temp\OnboardLogs"\RTDC4036\2017-12-16 --exclude "*" --recursive --include "*20171216*" &amp; "%USERPROFILE%\Documents\GitHub\mrs-test-scripts\Headless Mode &amp; Sideloading\WalkAndUnGZ.bat" "%USERPROFILE%\AppData\Local\Temp\OnboardLogs"\RTDC4036\2017-12-16</v>
      </c>
      <c r="AF73" s="234" t="str">
        <f t="shared" si="10"/>
        <v>"C:\Program Files (x86)\AstroGrep\AstroGrep.exe" /e /r /s /spath="%USERPROFILE%\AppData\Local\Temp\OnboardLogs" /stypes="app*4036*20171215*" /stext=" 18:.+((SYSTEM_STATE.+slice.+state.+changed )|(ment ac)|(multiple cpu faults)|(system.+state.+changed )|(\[timeout)|(PRM\|1\|D)|(kpr)|(kdp)|(train st.+moving)|(\|lc)|(penalty))"</v>
      </c>
      <c r="AG73" s="226" t="str">
        <f t="shared" si="32"/>
        <v>EC</v>
      </c>
      <c r="AH73" s="189" t="str">
        <f t="shared" si="17"/>
        <v>"%USERPROFILE%\Documents\GitHub\eaglep3\Utilities\RefineRTDCRunTimes.py" --tripid 159-15 --locoid 4036 --swversion DE.1.0.9.0 --startMP 204:513 --initTime 2017-12-15T10:52:06 --startdatetime 2017-12-15T11:00:14 --delay 294 --endMP 204:233340 --enddatetime 2017-12-15T11:35:41 --enforcementcount 0 &gt;&gt;%USERPROFILE%\Documents\GitHub\eaglep3-reporting\EC\2017-12-15-refined-times.txt</v>
      </c>
      <c r="AI73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{"issue":{"subject":"","project_id":79,"tracker_id":40,"status_id":1,"priority_id":2,"assigned_to_id":338,"start_date":"2017-12-15","description":"","custom_fields":[{"id":1,"name":"Subdivision","value":"EC"},{"id":4,"name":"Milepost","value":"23.334"},{"id":17,"name":"Train ID","value":"159-15"},{"id":16,"name":"Locomotive ID","value":"4036"},{"id":130,"name":"Impact","value":""},{"id":150,"name":"Time of Event (Mountain Time)","value":"11:35:41"},{"id":151,"name":"Denver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180"/>
      <c r="AK73" s="188"/>
      <c r="AL73" s="188"/>
      <c r="AM73" s="193" t="str">
        <f t="shared" si="19"/>
        <v>start /low /b %USERPROFILE%\Documents\GitHub\eaglep3\Utilities\DownloadLogsFromS3.py --loco 4036 --day 2017-12-15</v>
      </c>
      <c r="AN73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18:35:41"},{"id":29,"name":"Sharepoint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87" t="str">
        <f t="shared" si="21"/>
        <v>https://d0f6bd738d7f1b3e5a7ca70fe4ff75f0.us-east-1.aws.found.io/app/kibana#/discover/Steve-Slow-Train-Analysis-(2080s-and-2083s)?_g=(refreshInterval:(display:Off,pause:!f,section:0,value:0),time:(from:'2017-12-15T09:52:06-0700',mode:absolute,to:'2017-12-15T12:35:41-0700'))&amp;_a=(columns:!('Message%20ID',Summary),filters:!(),index:'emp_*',interval:auto,query:(query_string:(analyze_wildcard:!t,query:'%22rtdc.l.rtdc.4036%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186" t="s">
        <v>771</v>
      </c>
      <c r="B74" s="182">
        <v>4035</v>
      </c>
      <c r="C74" s="184" t="s">
        <v>192</v>
      </c>
      <c r="D74" s="184" t="s">
        <v>942</v>
      </c>
      <c r="E74" s="183">
        <v>43084.485196759262</v>
      </c>
      <c r="F74" s="183">
        <v>43084.498101851852</v>
      </c>
      <c r="G74" s="182">
        <v>53</v>
      </c>
      <c r="H74" s="184" t="s">
        <v>909</v>
      </c>
      <c r="I74" s="183">
        <v>43084.524097222224</v>
      </c>
      <c r="J74" s="182">
        <v>0</v>
      </c>
      <c r="K74" s="190" t="str">
        <f t="shared" si="24"/>
        <v>4035/4036</v>
      </c>
      <c r="L74" s="196" t="str">
        <f>VLOOKUP(A74,'Trips&amp;Operators'!$C$1:$G$99911,5,FALSE)</f>
        <v>YANAI IAN</v>
      </c>
      <c r="M74" s="181">
        <f t="shared" si="25"/>
        <v>2.5995370371674653E-2</v>
      </c>
      <c r="N74" s="182">
        <f t="shared" si="34"/>
        <v>37.433333335211501</v>
      </c>
      <c r="O74" s="182"/>
      <c r="P74" s="182"/>
      <c r="Q74" s="185"/>
      <c r="R74" s="197"/>
      <c r="S74" s="241">
        <f t="shared" si="33"/>
        <v>1</v>
      </c>
      <c r="T74" s="220" t="str">
        <f t="shared" si="26"/>
        <v>Southbound</v>
      </c>
      <c r="U74" s="22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21" t="str">
        <f t="shared" si="3"/>
        <v>https://d0f6bd738d7f1b3e5a7ca70fe4ff75f0.us-east-1.aws.found.io/app/kibana#/discover/Steve-Slow-Train-Analysis-(2080s-and-2083s)?_g=(refreshInterval:(display:Off,pause:!f,section:0,value:0),time:(from:'2017-12-15T10:38:41-0700',mode:absolute,to:'2017-12-15T13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74" s="222" t="str">
        <f>IF(AA74&lt;VLOOKUP(AG74,Variables!$AC$3:$AD$8,2,FALSE),"Y","N")</f>
        <v>N</v>
      </c>
      <c r="X74" s="222">
        <f t="shared" si="27"/>
        <v>1</v>
      </c>
      <c r="Y74" s="222">
        <f t="shared" si="28"/>
        <v>23.3032</v>
      </c>
      <c r="Z74" s="222">
        <f t="shared" si="29"/>
        <v>1.9400000000000001E-2</v>
      </c>
      <c r="AA74" s="222">
        <f t="shared" si="30"/>
        <v>23.283799999999999</v>
      </c>
      <c r="AB74" s="231" t="e">
        <f>VLOOKUP(A74,Enforcements!$C$7:$K$9,8,0)</f>
        <v>#N/A</v>
      </c>
      <c r="AC74" s="231" t="e">
        <f>VLOOKUP(A74,Enforcements!$C$7:$E$9,3,0)</f>
        <v>#N/A</v>
      </c>
      <c r="AD74" s="232">
        <f t="shared" si="31"/>
        <v>160</v>
      </c>
      <c r="AE74" s="233" t="str">
        <f t="shared" si="9"/>
        <v>aws s3 cp s3://rtdc.mdm.uploadarchive.raw/RTDC4035/ "%USERPROFILE%\AppData\Local\Temp\OnboardLogs"\RTDC4035\2017-12-15 --exclude "*" --recursive --include "*20171215*" &amp; "%USERPROFILE%\Documents\GitHub\mrs-test-scripts\Headless Mode &amp; Sideloading\WalkAndUnGZ.bat" "%USERPROFILE%\AppData\Local\Temp\OnboardLogs"\RTDC4035\2017-12-15 &amp; aws s3 cp s3://rtdc.mdm.uploadarchive.raw/RTDC4035/ "%USERPROFILE%\AppData\Local\Temp\OnboardLogs"\RTDC4035\2017-12-16 --exclude "*" --recursive --include "*20171216*" &amp; "%USERPROFILE%\Documents\GitHub\mrs-test-scripts\Headless Mode &amp; Sideloading\WalkAndUnGZ.bat" "%USERPROFILE%\AppData\Local\Temp\OnboardLogs"\RTDC4035\2017-12-16</v>
      </c>
      <c r="AF74" s="234" t="str">
        <f t="shared" si="10"/>
        <v>"C:\Program Files (x86)\AstroGrep\AstroGrep.exe" /e /r /s /spath="%USERPROFILE%\AppData\Local\Temp\OnboardLogs" /stypes="app*4035*20171215*" /stext=" 19:.+((SYSTEM_STATE.+slice.+state.+changed )|(ment ac)|(multiple cpu faults)|(system.+state.+changed )|(\[timeout)|(PRM\|1\|D)|(kpr)|(kdp)|(train st.+moving)|(\|lc)|(penalty))"</v>
      </c>
      <c r="AG74" s="226" t="str">
        <f t="shared" si="32"/>
        <v>EC</v>
      </c>
      <c r="AH74" s="189" t="str">
        <f t="shared" si="17"/>
        <v>"%USERPROFILE%\Documents\GitHub\eaglep3\Utilities\RefineRTDCRunTimes.py" --tripid 160-15 --locoid 4035 --swversion DE.1.0.9.0 --startMP 204:233032 --initTime 2017-12-15T11:38:41 --startdatetime 2017-12-15T11:57:16 --delay 53 --endMP 204:194 --enddatetime 2017-12-15T12:34:42 --enforcementcount 0 &gt;&gt;%USERPROFILE%\Documents\GitHub\eaglep3-reporting\EC\2017-12-15-refined-times.txt</v>
      </c>
      <c r="AI74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{"issue":{"subject":"","project_id":79,"tracker_id":40,"status_id":1,"priority_id":2,"assigned_to_id":338,"start_date":"2017-12-15","description":"","custom_fields":[{"id":1,"name":"Subdivision","value":"EC"},{"id":4,"name":"Milepost","value":"0.0194"},{"id":17,"name":"Train ID","value":"160-15"},{"id":16,"name":"Locomotive ID","value":"4035"},{"id":130,"name":"Impact","value":""},{"id":150,"name":"Time of Event (Mountain Time)","value":"12:34:42"},{"id":151,"name":"Denver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180"/>
      <c r="AK74" s="188"/>
      <c r="AL74" s="188"/>
      <c r="AM74" s="193" t="str">
        <f t="shared" si="19"/>
        <v>start /low /b %USERPROFILE%\Documents\GitHub\eaglep3\Utilities\DownloadLogsFromS3.py --loco 4035 --day 2017-12-15</v>
      </c>
      <c r="AN74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19:34:42"},{"id":29,"name":"Sharepoint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87" t="str">
        <f t="shared" si="21"/>
        <v>https://d0f6bd738d7f1b3e5a7ca70fe4ff75f0.us-east-1.aws.found.io/app/kibana#/discover/Steve-Slow-Train-Analysis-(2080s-and-2083s)?_g=(refreshInterval:(display:Off,pause:!f,section:0,value:0),time:(from:'2017-12-15T10:38:41-0700',mode:absolute,to:'2017-12-15T13:34:42-0700'))&amp;_a=(columns:!('Message%20ID',Summary),filters:!(),index:'emp_*',interval:auto,query:(query_string:(analyze_wildcard:!t,query:'%22rtdc.l.rtdc.4035%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186" t="s">
        <v>765</v>
      </c>
      <c r="B75" s="182">
        <v>4032</v>
      </c>
      <c r="C75" s="184" t="s">
        <v>192</v>
      </c>
      <c r="D75" s="184" t="s">
        <v>498</v>
      </c>
      <c r="E75" s="183">
        <v>43084.46466435185</v>
      </c>
      <c r="F75" s="183">
        <v>43084.468900462962</v>
      </c>
      <c r="G75" s="182">
        <v>76</v>
      </c>
      <c r="H75" s="184" t="s">
        <v>943</v>
      </c>
      <c r="I75" s="183">
        <v>43084.49255787037</v>
      </c>
      <c r="J75" s="182">
        <v>0</v>
      </c>
      <c r="K75" s="190" t="str">
        <f t="shared" si="24"/>
        <v>4031/4032</v>
      </c>
      <c r="L75" s="196" t="str">
        <f>VLOOKUP(A75,'Trips&amp;Operators'!$C$1:$G$99911,5,FALSE)</f>
        <v>NEWELL JAMES</v>
      </c>
      <c r="M75" s="181">
        <f t="shared" si="25"/>
        <v>2.3657407407881692E-2</v>
      </c>
      <c r="N75" s="182">
        <f t="shared" si="34"/>
        <v>34.066666667349637</v>
      </c>
      <c r="O75" s="182"/>
      <c r="P75" s="182"/>
      <c r="Q75" s="185"/>
      <c r="R75" s="197"/>
      <c r="S75" s="241">
        <f t="shared" si="33"/>
        <v>1</v>
      </c>
      <c r="T75" s="220" t="str">
        <f t="shared" si="26"/>
        <v>NorthBound</v>
      </c>
      <c r="U75" s="22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21" t="str">
        <f t="shared" si="3"/>
        <v>https://d0f6bd738d7f1b3e5a7ca70fe4ff75f0.us-east-1.aws.found.io/app/kibana#/discover/Steve-Slow-Train-Analysis-(2080s-and-2083s)?_g=(refreshInterval:(display:Off,pause:!f,section:0,value:0),time:(from:'2017-12-15T10:09:07-0700',mode:absolute,to:'2017-12-15T12:49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5" s="222" t="str">
        <f>IF(AA75&lt;VLOOKUP(AG75,Variables!$AC$3:$AD$8,2,FALSE),"Y","N")</f>
        <v>N</v>
      </c>
      <c r="X75" s="222">
        <f t="shared" si="27"/>
        <v>1</v>
      </c>
      <c r="Y75" s="222">
        <f t="shared" si="28"/>
        <v>5.11E-2</v>
      </c>
      <c r="Z75" s="222">
        <f t="shared" si="29"/>
        <v>23.322800000000001</v>
      </c>
      <c r="AA75" s="222">
        <f t="shared" si="30"/>
        <v>23.271699999999999</v>
      </c>
      <c r="AB75" s="231" t="e">
        <f>VLOOKUP(A75,Enforcements!$C$7:$K$9,8,0)</f>
        <v>#N/A</v>
      </c>
      <c r="AC75" s="231" t="e">
        <f>VLOOKUP(A75,Enforcements!$C$7:$E$9,3,0)</f>
        <v>#N/A</v>
      </c>
      <c r="AD75" s="232">
        <f t="shared" si="31"/>
        <v>161</v>
      </c>
      <c r="AE75" s="233" t="str">
        <f t="shared" si="9"/>
        <v>aws s3 cp s3://rtdc.mdm.uploadarchive.raw/RTDC4032/ "%USERPROFILE%\AppData\Local\Temp\OnboardLogs"\RTDC4032\2017-12-15 --exclude "*" --recursive --include "*20171215*" &amp; "%USERPROFILE%\Documents\GitHub\mrs-test-scripts\Headless Mode &amp; Sideloading\WalkAndUnGZ.bat" "%USERPROFILE%\AppData\Local\Temp\OnboardLogs"\RTDC4032\2017-12-15 &amp; aws s3 cp s3://rtdc.mdm.uploadarchive.raw/RTDC4032/ "%USERPROFILE%\AppData\Local\Temp\OnboardLogs"\RTDC4032\2017-12-16 --exclude "*" --recursive --include "*20171216*" &amp; "%USERPROFILE%\Documents\GitHub\mrs-test-scripts\Headless Mode &amp; Sideloading\WalkAndUnGZ.bat" "%USERPROFILE%\AppData\Local\Temp\OnboardLogs"\RTDC4032\2017-12-16</v>
      </c>
      <c r="AF75" s="234" t="str">
        <f t="shared" si="10"/>
        <v>"C:\Program Files (x86)\AstroGrep\AstroGrep.exe" /e /r /s /spath="%USERPROFILE%\AppData\Local\Temp\OnboardLogs" /stypes="app*4032*20171215*" /stext=" 18:.+((SYSTEM_STATE.+slice.+state.+changed )|(ment ac)|(multiple cpu faults)|(system.+state.+changed )|(\[timeout)|(PRM\|1\|D)|(kpr)|(kdp)|(train st.+moving)|(\|lc)|(penalty))"</v>
      </c>
      <c r="AG75" s="226" t="str">
        <f t="shared" si="32"/>
        <v>EC</v>
      </c>
      <c r="AH75" s="189" t="str">
        <f t="shared" si="17"/>
        <v>"%USERPROFILE%\Documents\GitHub\eaglep3\Utilities\RefineRTDCRunTimes.py" --tripid 161-15 --locoid 4032 --swversion DE.1.0.9.0 --startMP 204:511 --initTime 2017-12-15T11:09:07 --startdatetime 2017-12-15T11:15:13 --delay 76 --endMP 204:233228 --enddatetime 2017-12-15T11:49:17 --enforcementcount 0 &gt;&gt;%USERPROFILE%\Documents\GitHub\eaglep3-reporting\EC\2017-12-15-refined-times.txt</v>
      </c>
      <c r="AI75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{"issue":{"subject":"","project_id":79,"tracker_id":40,"status_id":1,"priority_id":2,"assigned_to_id":338,"start_date":"2017-12-15","description":"","custom_fields":[{"id":1,"name":"Subdivision","value":"EC"},{"id":4,"name":"Milepost","value":"23.3228"},{"id":17,"name":"Train ID","value":"161-15"},{"id":16,"name":"Locomotive ID","value":"4032"},{"id":130,"name":"Impact","value":""},{"id":150,"name":"Time of Event (Mountain Time)","value":"11:49:17"},{"id":151,"name":"Denver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180"/>
      <c r="AK75" s="188"/>
      <c r="AL75" s="188"/>
      <c r="AM75" s="193" t="str">
        <f t="shared" si="19"/>
        <v>start /low /b %USERPROFILE%\Documents\GitHub\eaglep3\Utilities\DownloadLogsFromS3.py --loco 4032 --day 2017-12-15</v>
      </c>
      <c r="AN75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18:49:17"},{"id":29,"name":"Sharepoint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87" t="str">
        <f t="shared" si="21"/>
        <v>https://d0f6bd738d7f1b3e5a7ca70fe4ff75f0.us-east-1.aws.found.io/app/kibana#/discover/Steve-Slow-Train-Analysis-(2080s-and-2083s)?_g=(refreshInterval:(display:Off,pause:!f,section:0,value:0),time:(from:'2017-12-15T10:09:07-0700',mode:absolute,to:'2017-12-15T12:49:17-0700'))&amp;_a=(columns:!('Message%20ID',Summary),filters:!(),index:'emp_*',interval:auto,query:(query_string:(analyze_wildcard:!t,query:'%22rtdc.l.rtdc.4032%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186" t="s">
        <v>772</v>
      </c>
      <c r="B76" s="182">
        <v>4031</v>
      </c>
      <c r="C76" s="184" t="s">
        <v>192</v>
      </c>
      <c r="D76" s="184" t="s">
        <v>612</v>
      </c>
      <c r="E76" s="183">
        <v>43084.494490740741</v>
      </c>
      <c r="F76" s="183">
        <v>43084.508645833332</v>
      </c>
      <c r="G76" s="182">
        <v>52</v>
      </c>
      <c r="H76" s="184" t="s">
        <v>944</v>
      </c>
      <c r="I76" s="183">
        <v>43084.535173611112</v>
      </c>
      <c r="J76" s="182">
        <v>0</v>
      </c>
      <c r="K76" s="190" t="str">
        <f t="shared" si="24"/>
        <v>4031/4032</v>
      </c>
      <c r="L76" s="196" t="str">
        <f>VLOOKUP(A76,'Trips&amp;Operators'!$C$1:$G$99911,5,FALSE)</f>
        <v>NEWELL JAMES</v>
      </c>
      <c r="M76" s="181">
        <f t="shared" si="25"/>
        <v>2.6527777779847383E-2</v>
      </c>
      <c r="N76" s="182">
        <f t="shared" si="34"/>
        <v>38.200000002980232</v>
      </c>
      <c r="O76" s="182"/>
      <c r="P76" s="182"/>
      <c r="Q76" s="185"/>
      <c r="R76" s="197"/>
      <c r="S76" s="241">
        <f t="shared" si="33"/>
        <v>1</v>
      </c>
      <c r="T76" s="220" t="str">
        <f t="shared" si="26"/>
        <v>Southbound</v>
      </c>
      <c r="U76" s="22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21" t="str">
        <f t="shared" si="3"/>
        <v>https://d0f6bd738d7f1b3e5a7ca70fe4ff75f0.us-east-1.aws.found.io/app/kibana#/discover/Steve-Slow-Train-Analysis-(2080s-and-2083s)?_g=(refreshInterval:(display:Off,pause:!f,section:0,value:0),time:(from:'2017-12-15T10:52:04-0700',mode:absolute,to:'2017-12-15T13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6" s="222" t="str">
        <f>IF(AA76&lt;VLOOKUP(AG76,Variables!$AC$3:$AD$8,2,FALSE),"Y","N")</f>
        <v>N</v>
      </c>
      <c r="X76" s="222">
        <f t="shared" si="27"/>
        <v>1</v>
      </c>
      <c r="Y76" s="222">
        <f t="shared" si="28"/>
        <v>23.2913</v>
      </c>
      <c r="Z76" s="222">
        <f t="shared" si="29"/>
        <v>2.87E-2</v>
      </c>
      <c r="AA76" s="222">
        <f t="shared" si="30"/>
        <v>23.262599999999999</v>
      </c>
      <c r="AB76" s="231" t="e">
        <f>VLOOKUP(A76,Enforcements!$C$7:$K$9,8,0)</f>
        <v>#N/A</v>
      </c>
      <c r="AC76" s="231" t="e">
        <f>VLOOKUP(A76,Enforcements!$C$7:$E$9,3,0)</f>
        <v>#N/A</v>
      </c>
      <c r="AD76" s="232">
        <f t="shared" si="31"/>
        <v>162</v>
      </c>
      <c r="AE76" s="233" t="str">
        <f t="shared" si="9"/>
        <v>aws s3 cp s3://rtdc.mdm.uploadarchive.raw/RTDC4031/ "%USERPROFILE%\AppData\Local\Temp\OnboardLogs"\RTDC4031\2017-12-15 --exclude "*" --recursive --include "*20171215*" &amp; "%USERPROFILE%\Documents\GitHub\mrs-test-scripts\Headless Mode &amp; Sideloading\WalkAndUnGZ.bat" "%USERPROFILE%\AppData\Local\Temp\OnboardLogs"\RTDC4031\2017-12-15 &amp; aws s3 cp s3://rtdc.mdm.uploadarchive.raw/RTDC4031/ "%USERPROFILE%\AppData\Local\Temp\OnboardLogs"\RTDC4031\2017-12-16 --exclude "*" --recursive --include "*20171216*" &amp; "%USERPROFILE%\Documents\GitHub\mrs-test-scripts\Headless Mode &amp; Sideloading\WalkAndUnGZ.bat" "%USERPROFILE%\AppData\Local\Temp\OnboardLogs"\RTDC4031\2017-12-16</v>
      </c>
      <c r="AF76" s="234" t="str">
        <f t="shared" si="10"/>
        <v>"C:\Program Files (x86)\AstroGrep\AstroGrep.exe" /e /r /s /spath="%USERPROFILE%\AppData\Local\Temp\OnboardLogs" /stypes="app*4031*20171215*" /stext=" 19:.+((SYSTEM_STATE.+slice.+state.+changed )|(ment ac)|(multiple cpu faults)|(system.+state.+changed )|(\[timeout)|(PRM\|1\|D)|(kpr)|(kdp)|(train st.+moving)|(\|lc)|(penalty))"</v>
      </c>
      <c r="AG76" s="226" t="str">
        <f t="shared" si="32"/>
        <v>EC</v>
      </c>
      <c r="AH76" s="189" t="str">
        <f t="shared" si="17"/>
        <v>"%USERPROFILE%\Documents\GitHub\eaglep3\Utilities\RefineRTDCRunTimes.py" --tripid 162-15 --locoid 4031 --swversion DE.1.0.9.0 --startMP 204:232913 --initTime 2017-12-15T11:52:04 --startdatetime 2017-12-15T12:12:27 --delay 52 --endMP 204:287 --enddatetime 2017-12-15T12:50:39 --enforcementcount 0 &gt;&gt;%USERPROFILE%\Documents\GitHub\eaglep3-reporting\EC\2017-12-15-refined-times.txt</v>
      </c>
      <c r="AI76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{"issue":{"subject":"","project_id":79,"tracker_id":40,"status_id":1,"priority_id":2,"assigned_to_id":338,"start_date":"2017-12-15","description":"","custom_fields":[{"id":1,"name":"Subdivision","value":"EC"},{"id":4,"name":"Milepost","value":"0.0287"},{"id":17,"name":"Train ID","value":"162-15"},{"id":16,"name":"Locomotive ID","value":"4031"},{"id":130,"name":"Impact","value":""},{"id":150,"name":"Time of Event (Mountain Time)","value":"12:50:39"},{"id":151,"name":"Denver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180"/>
      <c r="AK76" s="188"/>
      <c r="AL76" s="188"/>
      <c r="AM76" s="193" t="str">
        <f t="shared" si="19"/>
        <v>start /low /b %USERPROFILE%\Documents\GitHub\eaglep3\Utilities\DownloadLogsFromS3.py --loco 4031 --day 2017-12-15</v>
      </c>
      <c r="AN76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19:50:39"},{"id":29,"name":"Sharepoint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87" t="str">
        <f t="shared" si="21"/>
        <v>https://d0f6bd738d7f1b3e5a7ca70fe4ff75f0.us-east-1.aws.found.io/app/kibana#/discover/Steve-Slow-Train-Analysis-(2080s-and-2083s)?_g=(refreshInterval:(display:Off,pause:!f,section:0,value:0),time:(from:'2017-12-15T10:52:04-0700',mode:absolute,to:'2017-12-15T13:50:39-0700'))&amp;_a=(columns:!('Message%20ID',Summary),filters:!(),index:'emp_*',interval:auto,query:(query_string:(analyze_wildcard:!t,query:'%22rtdc.l.rtdc.4031%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186" t="s">
        <v>657</v>
      </c>
      <c r="B77" s="182">
        <v>4062</v>
      </c>
      <c r="C77" s="184" t="s">
        <v>192</v>
      </c>
      <c r="D77" s="184" t="s">
        <v>913</v>
      </c>
      <c r="E77" s="183">
        <v>43084.473993055559</v>
      </c>
      <c r="F77" s="183">
        <v>43084.47934027778</v>
      </c>
      <c r="G77" s="182">
        <v>198</v>
      </c>
      <c r="H77" s="184" t="s">
        <v>902</v>
      </c>
      <c r="I77" s="183">
        <v>43084.504675925928</v>
      </c>
      <c r="J77" s="182">
        <v>0</v>
      </c>
      <c r="K77" s="190" t="str">
        <f t="shared" ref="K77:K108" si="35">IF(ISEVEN(B77),(B77-1)&amp;"/"&amp;B77,B77&amp;"/"&amp;(B77+1))</f>
        <v>4061/4062</v>
      </c>
      <c r="L77" s="196" t="str">
        <f>VLOOKUP(A77,'Trips&amp;Operators'!$C$1:$G$99911,5,FALSE)</f>
        <v>GONZALEZ ARMANDO</v>
      </c>
      <c r="M77" s="181">
        <f t="shared" ref="M77:M108" si="36">I77-F77</f>
        <v>2.5335648148029577E-2</v>
      </c>
      <c r="N77" s="182">
        <f t="shared" si="34"/>
        <v>36.483333333162591</v>
      </c>
      <c r="O77" s="182"/>
      <c r="P77" s="182"/>
      <c r="Q77" s="185"/>
      <c r="R77" s="197"/>
      <c r="S77" s="241">
        <f t="shared" si="33"/>
        <v>1</v>
      </c>
      <c r="T77" s="220" t="str">
        <f t="shared" ref="T77:T108" si="37">IF(ISEVEN(LEFT(AD77,4)),"Southbound","NorthBound")</f>
        <v>NorthBound</v>
      </c>
      <c r="U77" s="22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21" t="str">
        <f t="shared" ref="V77:V140" si="3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-15T10:22:33-0700',mode:absolute,to:'2017-12-15T13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7" s="222" t="str">
        <f>IF(AA77&lt;VLOOKUP(AG77,Variables!$AC$3:$AD$8,2,FALSE),"Y","N")</f>
        <v>N</v>
      </c>
      <c r="X77" s="222">
        <f t="shared" ref="X77:X101" si="39">VALUE(LEFT(AD77,4))-VALUE(LEFT(AD76,4))</f>
        <v>1</v>
      </c>
      <c r="Y77" s="222">
        <f t="shared" ref="Y77:Y101" si="40">RIGHT(D77,LEN(D77)-4)/10000</f>
        <v>0.05</v>
      </c>
      <c r="Z77" s="222">
        <f t="shared" ref="Z77:Z101" si="41">RIGHT(H77,LEN(H77)-4)/10000</f>
        <v>23.3308</v>
      </c>
      <c r="AA77" s="222">
        <f t="shared" ref="AA77:AA108" si="42">ABS(Z77-Y77)</f>
        <v>23.280799999999999</v>
      </c>
      <c r="AB77" s="231" t="e">
        <f>VLOOKUP(A77,Enforcements!$C$7:$K$9,8,0)</f>
        <v>#N/A</v>
      </c>
      <c r="AC77" s="231" t="e">
        <f>VLOOKUP(A77,Enforcements!$C$7:$E$9,3,0)</f>
        <v>#N/A</v>
      </c>
      <c r="AD77" s="232">
        <f t="shared" ref="AD77:AD108" si="43">VALUE(LEFT(A77,LEN(A77)-3))</f>
        <v>163</v>
      </c>
      <c r="AE77" s="233" t="str">
        <f t="shared" ref="AE77:AE140" si="4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 &amp; aws s3 cp s3://rtdc.mdm.uploadarchive.raw/RTDC4062/ "%USERPROFILE%\AppData\Local\Temp\OnboardLogs"\RTDC4062\2017-12-16 --exclude "*" --recursive --include "*20171216*" &amp; "%USERPROFILE%\Documents\GitHub\mrs-test-scripts\Headless Mode &amp; Sideloading\WalkAndUnGZ.bat" "%USERPROFILE%\AppData\Local\Temp\OnboardLogs"\RTDC4062\2017-12-16</v>
      </c>
      <c r="AF77" s="234" t="str">
        <f t="shared" ref="AF77:AF140" si="45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/stypes="app*4062*20171215*" /stext=" 19:.+((SYSTEM_STATE.+slice.+state.+changed )|(ment ac)|(multiple cpu faults)|(system.+state.+changed )|(\[timeout)|(PRM\|1\|D)|(kpr)|(kdp)|(train st.+moving)|(\|lc)|(penalty))"</v>
      </c>
      <c r="AG77" s="226" t="str">
        <f t="shared" ref="AG77:AG108" si="46">DetSubdiv(A77)</f>
        <v>EC</v>
      </c>
      <c r="AH77" s="189" t="str">
        <f t="shared" si="17"/>
        <v>"%USERPROFILE%\Documents\GitHub\eaglep3\Utilities\RefineRTDCRunTimes.py" --tripid 163-15 --locoid 4062 --swversion DE.1.0.9.0 --startMP 204:500 --initTime 2017-12-15T11:22:33 --startdatetime 2017-12-15T11:30:15 --delay 198 --endMP 204:233308 --enddatetime 2017-12-15T12:06:44 --enforcementcount 0 &gt;&gt;%USERPROFILE%\Documents\GitHub\eaglep3-reporting\EC\2017-12-15-refined-times.txt</v>
      </c>
      <c r="AI77" s="191" t="str">
        <f t="shared" si="18"/>
        <v>echo {"issue":{"subject":"","project_id":79,"tracker_id":40,"status_id":1,"priority_id":2,"assigned_to_id":338,"start_date":"2017-12-15","description":"","custom_fields":[{"id":1,"name":"Subdivision","value":"EC"},{"id":4,"name":"Milepost","value":"23.3308"},{"id":17,"name":"Train ID","value":"163-15"},{"id":16,"name":"Locomotive ID","value":"4062"},{"id":130,"name":"Impact","value":""},{"id":150,"name":"Time of Event (Mountain Time)","value":"12:06:44"},{"id":151,"name":"Denver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180"/>
      <c r="AK77" s="188"/>
      <c r="AL77" s="188"/>
      <c r="AM77" s="193" t="str">
        <f t="shared" si="19"/>
        <v>start /low /b %USERPROFILE%\Documents\GitHub\eaglep3\Utilities\DownloadLogsFromS3.py --loco 4062 --day 2017-12-15</v>
      </c>
      <c r="AN77" s="194" t="str">
        <f t="shared" si="2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19:06:44"},{"id":29,"name":"Sharepoint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87" t="str">
        <f t="shared" si="21"/>
        <v>https://d0f6bd738d7f1b3e5a7ca70fe4ff75f0.us-east-1.aws.found.io/app/kibana#/discover/Steve-Slow-Train-Analysis-(2080s-and-2083s)?_g=(refreshInterval:(display:Off,pause:!f,section:0,value:0),time:(from:'2017-12-15T10:22:33-0700',mode:absolute,to:'2017-12-15T13:06:44-0700'))&amp;_a=(columns:!('Message%20ID',Summary),filters:!(),index:'emp_*',interval:auto,query:(query_string:(analyze_wildcard:!t,query:'%22rtdc.l.rtdc.4062%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186" t="s">
        <v>775</v>
      </c>
      <c r="B78" s="182">
        <v>4061</v>
      </c>
      <c r="C78" s="184" t="s">
        <v>192</v>
      </c>
      <c r="D78" s="184" t="s">
        <v>945</v>
      </c>
      <c r="E78" s="183">
        <v>43084.513715277775</v>
      </c>
      <c r="F78" s="183">
        <v>43084.518923611111</v>
      </c>
      <c r="G78" s="182">
        <v>63</v>
      </c>
      <c r="H78" s="184" t="s">
        <v>532</v>
      </c>
      <c r="I78" s="183">
        <v>43084.544479166667</v>
      </c>
      <c r="J78" s="182">
        <v>0</v>
      </c>
      <c r="K78" s="190" t="str">
        <f t="shared" si="35"/>
        <v>4061/4062</v>
      </c>
      <c r="L78" s="196" t="str">
        <f>VLOOKUP(A78,'Trips&amp;Operators'!$C$1:$G$99911,5,FALSE)</f>
        <v>GONZALEZ ARMANDO</v>
      </c>
      <c r="M78" s="181">
        <f t="shared" si="36"/>
        <v>2.5555555555911269E-2</v>
      </c>
      <c r="N78" s="182">
        <f t="shared" si="34"/>
        <v>36.800000000512227</v>
      </c>
      <c r="O78" s="182"/>
      <c r="P78" s="182"/>
      <c r="Q78" s="185"/>
      <c r="R78" s="197"/>
      <c r="S78" s="241">
        <f t="shared" si="33"/>
        <v>1</v>
      </c>
      <c r="T78" s="220" t="str">
        <f t="shared" si="37"/>
        <v>Southbound</v>
      </c>
      <c r="U78" s="22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21" t="str">
        <f t="shared" si="38"/>
        <v>https://d0f6bd738d7f1b3e5a7ca70fe4ff75f0.us-east-1.aws.found.io/app/kibana#/discover/Steve-Slow-Train-Analysis-(2080s-and-2083s)?_g=(refreshInterval:(display:Off,pause:!f,section:0,value:0),time:(from:'2017-12-15T11:19:45-0700',mode:absolute,to:'2017-12-15T14:04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8" s="222" t="str">
        <f>IF(AA78&lt;VLOOKUP(AG78,Variables!$AC$3:$AD$8,2,FALSE),"Y","N")</f>
        <v>N</v>
      </c>
      <c r="X78" s="222">
        <f t="shared" si="39"/>
        <v>1</v>
      </c>
      <c r="Y78" s="222">
        <f t="shared" si="40"/>
        <v>23.3017</v>
      </c>
      <c r="Z78" s="222">
        <f t="shared" si="41"/>
        <v>1.7999999999999999E-2</v>
      </c>
      <c r="AA78" s="222">
        <f t="shared" si="42"/>
        <v>23.2837</v>
      </c>
      <c r="AB78" s="231" t="e">
        <f>VLOOKUP(A78,Enforcements!$C$7:$K$9,8,0)</f>
        <v>#N/A</v>
      </c>
      <c r="AC78" s="231" t="e">
        <f>VLOOKUP(A78,Enforcements!$C$7:$E$9,3,0)</f>
        <v>#N/A</v>
      </c>
      <c r="AD78" s="232">
        <f t="shared" si="43"/>
        <v>164</v>
      </c>
      <c r="AE78" s="233" t="str">
        <f t="shared" si="44"/>
        <v>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 &amp; aws s3 cp s3://rtdc.mdm.uploadarchive.raw/RTDC4061/ "%USERPROFILE%\AppData\Local\Temp\OnboardLogs"\RTDC4061\2017-12-16 --exclude "*" --recursive --include "*20171216*" &amp; "%USERPROFILE%\Documents\GitHub\mrs-test-scripts\Headless Mode &amp; Sideloading\WalkAndUnGZ.bat" "%USERPROFILE%\AppData\Local\Temp\OnboardLogs"\RTDC4061\2017-12-16</v>
      </c>
      <c r="AF78" s="234" t="str">
        <f t="shared" si="45"/>
        <v>"C:\Program Files (x86)\AstroGrep\AstroGrep.exe" /e /r /s /spath="%USERPROFILE%\AppData\Local\Temp\OnboardLogs" /stypes="app*4061*20171215*" /stext=" 20:.+((SYSTEM_STATE.+slice.+state.+changed )|(ment ac)|(multiple cpu faults)|(system.+state.+changed )|(\[timeout)|(PRM\|1\|D)|(kpr)|(kdp)|(train st.+moving)|(\|lc)|(penalty))"</v>
      </c>
      <c r="AG78" s="226" t="str">
        <f t="shared" si="46"/>
        <v>EC</v>
      </c>
      <c r="AH78" s="189" t="str">
        <f t="shared" ref="AH78:AH143" si="4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164-15 --locoid 4061 --swversion DE.1.0.9.0 --startMP 204:233017 --initTime 2017-12-15T12:19:45 --startdatetime 2017-12-15T12:27:15 --delay 63 --endMP 204:180 --enddatetime 2017-12-15T13:04:03 --enforcementcount 0 &gt;&gt;%USERPROFILE%\Documents\GitHub\eaglep3-reporting\EC\2017-12-15-refined-times.txt</v>
      </c>
      <c r="AI78" s="191" t="str">
        <f t="shared" ref="AI78:AI143" si="4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{"issue":{"subject":"","project_id":79,"tracker_id":40,"status_id":1,"priority_id":2,"assigned_to_id":338,"start_date":"2017-12-15","description":"","custom_fields":[{"id":1,"name":"Subdivision","value":"EC"},{"id":4,"name":"Milepost","value":"0.018"},{"id":17,"name":"Train ID","value":"164-15"},{"id":16,"name":"Locomotive ID","value":"4061"},{"id":130,"name":"Impact","value":""},{"id":150,"name":"Time of Event (Mountain Time)","value":"13:04:03"},{"id":151,"name":"Denver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180"/>
      <c r="AK78" s="188"/>
      <c r="AL78" s="188"/>
      <c r="AM78" s="193" t="str">
        <f t="shared" ref="AM78:AM143" si="49">"start /low /b "&amp;dls3logs&amp;" --loco "&amp;B78&amp;" --day "&amp;TEXT(F78,"YYYY-MM-DD")</f>
        <v>start /low /b %USERPROFILE%\Documents\GitHub\eaglep3\Utilities\DownloadLogsFromS3.py --loco 4061 --day 2017-12-15</v>
      </c>
      <c r="AN78" s="194" t="str">
        <f t="shared" ref="AN78:AN143" si="50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20:04:03"},{"id":29,"name":"Sharepoint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87" t="str">
        <f t="shared" ref="AO78:AO143" si="51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-15T11:19:45-0700',mode:absolute,to:'2017-12-15T14:04:03-0700'))&amp;_a=(columns:!('Message%20ID',Summary),filters:!(),index:'emp_*',interval:auto,query:(query_string:(analyze_wildcard:!t,query:'%22rtdc.l.rtdc.4061%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186" t="s">
        <v>658</v>
      </c>
      <c r="B79" s="182">
        <v>4042</v>
      </c>
      <c r="C79" s="184" t="s">
        <v>192</v>
      </c>
      <c r="D79" s="184" t="s">
        <v>595</v>
      </c>
      <c r="E79" s="183">
        <v>43084.485324074078</v>
      </c>
      <c r="F79" s="183">
        <v>43084.489768518521</v>
      </c>
      <c r="G79" s="182">
        <v>121</v>
      </c>
      <c r="H79" s="184" t="s">
        <v>946</v>
      </c>
      <c r="I79" s="183">
        <v>43084.516134259262</v>
      </c>
      <c r="J79" s="182">
        <v>0</v>
      </c>
      <c r="K79" s="190" t="str">
        <f t="shared" si="35"/>
        <v>4041/4042</v>
      </c>
      <c r="L79" s="196" t="str">
        <f>VLOOKUP(A79,'Trips&amp;Operators'!$C$1:$G$99911,5,FALSE)</f>
        <v>LONG FULLER</v>
      </c>
      <c r="M79" s="181">
        <f t="shared" si="36"/>
        <v>2.6365740741312038E-2</v>
      </c>
      <c r="N79" s="182">
        <f t="shared" si="34"/>
        <v>37.966666667489335</v>
      </c>
      <c r="O79" s="182"/>
      <c r="P79" s="182"/>
      <c r="Q79" s="185"/>
      <c r="R79" s="197"/>
      <c r="S79" s="241">
        <f t="shared" si="33"/>
        <v>1</v>
      </c>
      <c r="T79" s="220" t="str">
        <f t="shared" si="37"/>
        <v>NorthBound</v>
      </c>
      <c r="U79" s="22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21" t="str">
        <f t="shared" si="38"/>
        <v>https://d0f6bd738d7f1b3e5a7ca70fe4ff75f0.us-east-1.aws.found.io/app/kibana#/discover/Steve-Slow-Train-Analysis-(2080s-and-2083s)?_g=(refreshInterval:(display:Off,pause:!f,section:0,value:0),time:(from:'2017-12-15T10:38:52-0700',mode:absolute,to:'2017-12-15T13:23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9" s="222" t="str">
        <f>IF(AA79&lt;VLOOKUP(AG79,Variables!$AC$3:$AD$8,2,FALSE),"Y","N")</f>
        <v>N</v>
      </c>
      <c r="X79" s="222">
        <f t="shared" si="39"/>
        <v>1</v>
      </c>
      <c r="Y79" s="222">
        <f t="shared" si="40"/>
        <v>5.0599999999999999E-2</v>
      </c>
      <c r="Z79" s="222">
        <f t="shared" si="41"/>
        <v>23.319700000000001</v>
      </c>
      <c r="AA79" s="222">
        <f t="shared" si="42"/>
        <v>23.269100000000002</v>
      </c>
      <c r="AB79" s="231" t="str">
        <f>VLOOKUP(A79,Enforcements!$C$7:$K$9,8,0)</f>
        <v>Bulletin (2)</v>
      </c>
      <c r="AC79" s="231" t="str">
        <f>VLOOKUP(A79,Enforcements!$C$7:$E$9,3,0)</f>
        <v>GRADE CROSSING</v>
      </c>
      <c r="AD79" s="232">
        <f t="shared" si="43"/>
        <v>165</v>
      </c>
      <c r="AE79" s="233" t="str">
        <f t="shared" si="44"/>
        <v>aws s3 cp s3://rtdc.mdm.uploadarchive.raw/RTDC4042/ "%USERPROFILE%\AppData\Local\Temp\OnboardLogs"\RTDC4042\2017-12-15 --exclude "*" --recursive --include "*20171215*" &amp; "%USERPROFILE%\Documents\GitHub\mrs-test-scripts\Headless Mode &amp; Sideloading\WalkAndUnGZ.bat" "%USERPROFILE%\AppData\Local\Temp\OnboardLogs"\RTDC4042\2017-12-15 &amp; aws s3 cp s3://rtdc.mdm.uploadarchive.raw/RTDC4042/ "%USERPROFILE%\AppData\Local\Temp\OnboardLogs"\RTDC4042\2017-12-16 --exclude "*" --recursive --include "*20171216*" &amp; "%USERPROFILE%\Documents\GitHub\mrs-test-scripts\Headless Mode &amp; Sideloading\WalkAndUnGZ.bat" "%USERPROFILE%\AppData\Local\Temp\OnboardLogs"\RTDC4042\2017-12-16</v>
      </c>
      <c r="AF79" s="234" t="str">
        <f t="shared" si="45"/>
        <v>"C:\Program Files (x86)\AstroGrep\AstroGrep.exe" /e /r /s /spath="%USERPROFILE%\AppData\Local\Temp\OnboardLogs" /stypes="app*4042*20171215*" /stext=" 19:.+((SYSTEM_STATE.+slice.+state.+changed )|(ment ac)|(multiple cpu faults)|(system.+state.+changed )|(\[timeout)|(PRM\|1\|D)|(kpr)|(kdp)|(train st.+moving)|(\|lc)|(penalty))"</v>
      </c>
      <c r="AG79" s="226" t="str">
        <f t="shared" si="46"/>
        <v>EC</v>
      </c>
      <c r="AH79" s="189" t="str">
        <f t="shared" si="47"/>
        <v>"%USERPROFILE%\Documents\GitHub\eaglep3\Utilities\RefineRTDCRunTimes.py" --tripid 165-15 --locoid 4042 --swversion DE.1.0.9.0 --startMP 204:506 --initTime 2017-12-15T11:38:52 --startdatetime 2017-12-15T11:45:16 --delay 121 --endMP 204:233197 --enddatetime 2017-12-15T12:23:14 --enforcementcount 0 &gt;&gt;%USERPROFILE%\Documents\GitHub\eaglep3-reporting\EC\2017-12-15-refined-times.txt</v>
      </c>
      <c r="AI79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{"issue":{"subject":"","project_id":79,"tracker_id":40,"status_id":1,"priority_id":2,"assigned_to_id":338,"start_date":"2017-12-15","description":"","custom_fields":[{"id":1,"name":"Subdivision","value":"EC"},{"id":4,"name":"Milepost","value":"23.3197"},{"id":17,"name":"Train ID","value":"165-15"},{"id":16,"name":"Locomotive ID","value":"4042"},{"id":130,"name":"Impact","value":""},{"id":150,"name":"Time of Event (Mountain Time)","value":"12:23:14"},{"id":151,"name":"Denver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180"/>
      <c r="AK79" s="188"/>
      <c r="AL79" s="188"/>
      <c r="AM79" s="193" t="str">
        <f t="shared" si="49"/>
        <v>start /low /b %USERPROFILE%\Documents\GitHub\eaglep3\Utilities\DownloadLogsFromS3.py --loco 4042 --day 2017-12-15</v>
      </c>
      <c r="AN79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19:23:14"},{"id":29,"name":"Sharepoint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87" t="str">
        <f t="shared" si="51"/>
        <v>https://d0f6bd738d7f1b3e5a7ca70fe4ff75f0.us-east-1.aws.found.io/app/kibana#/discover/Steve-Slow-Train-Analysis-(2080s-and-2083s)?_g=(refreshInterval:(display:Off,pause:!f,section:0,value:0),time:(from:'2017-12-15T10:38:52-0700',mode:absolute,to:'2017-12-15T13:23:14-0700'))&amp;_a=(columns:!('Message%20ID',Summary),filters:!(),index:'emp_*',interval:auto,query:(query_string:(analyze_wildcard:!t,query:'%22rtdc.l.rtdc.4042%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186" t="s">
        <v>778</v>
      </c>
      <c r="B80" s="182">
        <v>4041</v>
      </c>
      <c r="C80" s="184" t="s">
        <v>192</v>
      </c>
      <c r="D80" s="184" t="s">
        <v>947</v>
      </c>
      <c r="E80" s="183">
        <v>43084.525370370371</v>
      </c>
      <c r="F80" s="183">
        <v>43084.529351851852</v>
      </c>
      <c r="G80" s="182">
        <v>83</v>
      </c>
      <c r="H80" s="184" t="s">
        <v>948</v>
      </c>
      <c r="I80" s="183">
        <v>43084.557453703703</v>
      </c>
      <c r="J80" s="182">
        <v>0</v>
      </c>
      <c r="K80" s="190" t="str">
        <f t="shared" si="35"/>
        <v>4041/4042</v>
      </c>
      <c r="L80" s="196" t="str">
        <f>VLOOKUP(A80,'Trips&amp;Operators'!$C$1:$G$99911,5,FALSE)</f>
        <v>LONG FULLER</v>
      </c>
      <c r="M80" s="181">
        <f t="shared" si="36"/>
        <v>2.810185185080627E-2</v>
      </c>
      <c r="N80" s="182">
        <f t="shared" si="34"/>
        <v>40.466666665161029</v>
      </c>
      <c r="O80" s="182"/>
      <c r="P80" s="182"/>
      <c r="Q80" s="185"/>
      <c r="R80" s="197"/>
      <c r="S80" s="241">
        <f t="shared" si="33"/>
        <v>1</v>
      </c>
      <c r="T80" s="220" t="str">
        <f t="shared" si="37"/>
        <v>Southbound</v>
      </c>
      <c r="U80" s="22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21" t="str">
        <f t="shared" si="38"/>
        <v>https://d0f6bd738d7f1b3e5a7ca70fe4ff75f0.us-east-1.aws.found.io/app/kibana#/discover/Steve-Slow-Train-Analysis-(2080s-and-2083s)?_g=(refreshInterval:(display:Off,pause:!f,section:0,value:0),time:(from:'2017-12-15T11:36:32-0700',mode:absolute,to:'2017-12-15T14:22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0" s="222" t="str">
        <f>IF(AA80&lt;VLOOKUP(AG80,Variables!$AC$3:$AD$8,2,FALSE),"Y","N")</f>
        <v>N</v>
      </c>
      <c r="X80" s="222">
        <f t="shared" si="39"/>
        <v>1</v>
      </c>
      <c r="Y80" s="222">
        <f t="shared" si="40"/>
        <v>23.289200000000001</v>
      </c>
      <c r="Z80" s="222">
        <f t="shared" si="41"/>
        <v>2.5399999999999999E-2</v>
      </c>
      <c r="AA80" s="222">
        <f t="shared" si="42"/>
        <v>23.2638</v>
      </c>
      <c r="AB80" s="231" t="e">
        <f>VLOOKUP(A80,Enforcements!$C$7:$K$9,8,0)</f>
        <v>#N/A</v>
      </c>
      <c r="AC80" s="231" t="e">
        <f>VLOOKUP(A80,Enforcements!$C$7:$E$9,3,0)</f>
        <v>#N/A</v>
      </c>
      <c r="AD80" s="232">
        <f t="shared" si="43"/>
        <v>166</v>
      </c>
      <c r="AE80" s="233" t="str">
        <f t="shared" si="44"/>
        <v>aws s3 cp s3://rtdc.mdm.uploadarchive.raw/RTDC4041/ "%USERPROFILE%\AppData\Local\Temp\OnboardLogs"\RTDC4041\2017-12-15 --exclude "*" --recursive --include "*20171215*" &amp; "%USERPROFILE%\Documents\GitHub\mrs-test-scripts\Headless Mode &amp; Sideloading\WalkAndUnGZ.bat" "%USERPROFILE%\AppData\Local\Temp\OnboardLogs"\RTDC4041\2017-12-15 &amp; aws s3 cp s3://rtdc.mdm.uploadarchive.raw/RTDC4041/ "%USERPROFILE%\AppData\Local\Temp\OnboardLogs"\RTDC4041\2017-12-16 --exclude "*" --recursive --include "*20171216*" &amp; "%USERPROFILE%\Documents\GitHub\mrs-test-scripts\Headless Mode &amp; Sideloading\WalkAndUnGZ.bat" "%USERPROFILE%\AppData\Local\Temp\OnboardLogs"\RTDC4041\2017-12-16</v>
      </c>
      <c r="AF80" s="234" t="str">
        <f t="shared" si="45"/>
        <v>"C:\Program Files (x86)\AstroGrep\AstroGrep.exe" /e /r /s /spath="%USERPROFILE%\AppData\Local\Temp\OnboardLogs" /stypes="app*4041*20171215*" /stext=" 20:.+((SYSTEM_STATE.+slice.+state.+changed )|(ment ac)|(multiple cpu faults)|(system.+state.+changed )|(\[timeout)|(PRM\|1\|D)|(kpr)|(kdp)|(train st.+moving)|(\|lc)|(penalty))"</v>
      </c>
      <c r="AG80" s="226" t="str">
        <f t="shared" si="46"/>
        <v>EC</v>
      </c>
      <c r="AH80" s="189" t="str">
        <f t="shared" si="47"/>
        <v>"%USERPROFILE%\Documents\GitHub\eaglep3\Utilities\RefineRTDCRunTimes.py" --tripid 166-15 --locoid 4041 --swversion DE.1.0.9.0 --startMP 204:232892 --initTime 2017-12-15T12:36:32 --startdatetime 2017-12-15T12:42:16 --delay 83 --endMP 204:254 --enddatetime 2017-12-15T13:22:44 --enforcementcount 0 &gt;&gt;%USERPROFILE%\Documents\GitHub\eaglep3-reporting\EC\2017-12-15-refined-times.txt</v>
      </c>
      <c r="AI80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{"issue":{"subject":"","project_id":79,"tracker_id":40,"status_id":1,"priority_id":2,"assigned_to_id":338,"start_date":"2017-12-15","description":"","custom_fields":[{"id":1,"name":"Subdivision","value":"EC"},{"id":4,"name":"Milepost","value":"0.0254"},{"id":17,"name":"Train ID","value":"166-15"},{"id":16,"name":"Locomotive ID","value":"4041"},{"id":130,"name":"Impact","value":""},{"id":150,"name":"Time of Event (Mountain Time)","value":"13:22:44"},{"id":151,"name":"Denver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180"/>
      <c r="AK80" s="188"/>
      <c r="AL80" s="188"/>
      <c r="AM80" s="193" t="str">
        <f t="shared" si="49"/>
        <v>start /low /b %USERPROFILE%\Documents\GitHub\eaglep3\Utilities\DownloadLogsFromS3.py --loco 4041 --day 2017-12-15</v>
      </c>
      <c r="AN80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20:22:44"},{"id":29,"name":"Sharepoint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87" t="str">
        <f t="shared" si="51"/>
        <v>https://d0f6bd738d7f1b3e5a7ca70fe4ff75f0.us-east-1.aws.found.io/app/kibana#/discover/Steve-Slow-Train-Analysis-(2080s-and-2083s)?_g=(refreshInterval:(display:Off,pause:!f,section:0,value:0),time:(from:'2017-12-15T11:36:32-0700',mode:absolute,to:'2017-12-15T14:22:44-0700'))&amp;_a=(columns:!('Message%20ID',Summary),filters:!(),index:'emp_*',interval:auto,query:(query_string:(analyze_wildcard:!t,query:'%22rtdc.l.rtdc.4041%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186" t="s">
        <v>773</v>
      </c>
      <c r="B81" s="182">
        <v>4004</v>
      </c>
      <c r="C81" s="184" t="s">
        <v>192</v>
      </c>
      <c r="D81" s="184" t="s">
        <v>498</v>
      </c>
      <c r="E81" s="183">
        <v>43084.496539351851</v>
      </c>
      <c r="F81" s="183">
        <v>43084.500254629631</v>
      </c>
      <c r="G81" s="182">
        <v>142</v>
      </c>
      <c r="H81" s="184" t="s">
        <v>622</v>
      </c>
      <c r="I81" s="183">
        <v>43084.525069444448</v>
      </c>
      <c r="J81" s="182">
        <v>0</v>
      </c>
      <c r="K81" s="190" t="str">
        <f t="shared" si="35"/>
        <v>4003/4004</v>
      </c>
      <c r="L81" s="196" t="str">
        <f>VLOOKUP(A81,'Trips&amp;Operators'!$C$1:$G$99911,5,FALSE)</f>
        <v>FORTUNATO FRANK</v>
      </c>
      <c r="M81" s="181">
        <f t="shared" si="36"/>
        <v>2.4814814816636499E-2</v>
      </c>
      <c r="N81" s="182">
        <f t="shared" si="34"/>
        <v>35.733333335956559</v>
      </c>
      <c r="O81" s="182"/>
      <c r="P81" s="182"/>
      <c r="Q81" s="185"/>
      <c r="R81" s="197"/>
      <c r="S81" s="241">
        <f t="shared" si="33"/>
        <v>1</v>
      </c>
      <c r="T81" s="220" t="str">
        <f t="shared" si="37"/>
        <v>NorthBound</v>
      </c>
      <c r="U81" s="22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21" t="str">
        <f t="shared" si="38"/>
        <v>https://d0f6bd738d7f1b3e5a7ca70fe4ff75f0.us-east-1.aws.found.io/app/kibana#/discover/Steve-Slow-Train-Analysis-(2080s-and-2083s)?_g=(refreshInterval:(display:Off,pause:!f,section:0,value:0),time:(from:'2017-12-15T10:55:01-0700',mode:absolute,to:'2017-12-15T13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1" s="222" t="str">
        <f>IF(AA81&lt;VLOOKUP(AG81,Variables!$AC$3:$AD$8,2,FALSE),"Y","N")</f>
        <v>N</v>
      </c>
      <c r="X81" s="222">
        <f t="shared" si="39"/>
        <v>1</v>
      </c>
      <c r="Y81" s="222">
        <f t="shared" si="40"/>
        <v>5.11E-2</v>
      </c>
      <c r="Z81" s="222">
        <f t="shared" si="41"/>
        <v>23.319500000000001</v>
      </c>
      <c r="AA81" s="222">
        <f t="shared" si="42"/>
        <v>23.2684</v>
      </c>
      <c r="AB81" s="231" t="e">
        <f>VLOOKUP(A81,Enforcements!$C$7:$K$9,8,0)</f>
        <v>#N/A</v>
      </c>
      <c r="AC81" s="231" t="e">
        <f>VLOOKUP(A81,Enforcements!$C$7:$E$9,3,0)</f>
        <v>#N/A</v>
      </c>
      <c r="AD81" s="232">
        <f t="shared" si="43"/>
        <v>167</v>
      </c>
      <c r="AE81" s="233" t="str">
        <f t="shared" si="44"/>
        <v>aws s3 cp s3://rtdc.mdm.uploadarchive.raw/RTDC4004/ "%USERPROFILE%\AppData\Local\Temp\OnboardLogs"\RTDC4004\2017-12-15 --exclude "*" --recursive --include "*20171215*" &amp; "%USERPROFILE%\Documents\GitHub\mrs-test-scripts\Headless Mode &amp; Sideloading\WalkAndUnGZ.bat" "%USERPROFILE%\AppData\Local\Temp\OnboardLogs"\RTDC4004\2017-12-15 &amp; aws s3 cp s3://rtdc.mdm.uploadarchive.raw/RTDC4004/ "%USERPROFILE%\AppData\Local\Temp\OnboardLogs"\RTDC4004\2017-12-16 --exclude "*" --recursive --include "*20171216*" &amp; "%USERPROFILE%\Documents\GitHub\mrs-test-scripts\Headless Mode &amp; Sideloading\WalkAndUnGZ.bat" "%USERPROFILE%\AppData\Local\Temp\OnboardLogs"\RTDC4004\2017-12-16</v>
      </c>
      <c r="AF81" s="234" t="str">
        <f t="shared" si="45"/>
        <v>"C:\Program Files (x86)\AstroGrep\AstroGrep.exe" /e /r /s /spath="%USERPROFILE%\AppData\Local\Temp\OnboardLogs" /stypes="app*4004*20171215*" /stext=" 19:.+((SYSTEM_STATE.+slice.+state.+changed )|(ment ac)|(multiple cpu faults)|(system.+state.+changed )|(\[timeout)|(PRM\|1\|D)|(kpr)|(kdp)|(train st.+moving)|(\|lc)|(penalty))"</v>
      </c>
      <c r="AG81" s="226" t="str">
        <f t="shared" si="46"/>
        <v>EC</v>
      </c>
      <c r="AH81" s="189" t="str">
        <f t="shared" si="47"/>
        <v>"%USERPROFILE%\Documents\GitHub\eaglep3\Utilities\RefineRTDCRunTimes.py" --tripid 167-15 --locoid 4004 --swversion DE.1.0.9.0 --startMP 204:511 --initTime 2017-12-15T11:55:01 --startdatetime 2017-12-15T12:00:22 --delay 142 --endMP 204:233195 --enddatetime 2017-12-15T12:36:06 --enforcementcount 0 &gt;&gt;%USERPROFILE%\Documents\GitHub\eaglep3-reporting\EC\2017-12-15-refined-times.txt</v>
      </c>
      <c r="AI81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{"issue":{"subject":"","project_id":79,"tracker_id":40,"status_id":1,"priority_id":2,"assigned_to_id":338,"start_date":"2017-12-15","description":"","custom_fields":[{"id":1,"name":"Subdivision","value":"EC"},{"id":4,"name":"Milepost","value":"23.3195"},{"id":17,"name":"Train ID","value":"167-15"},{"id":16,"name":"Locomotive ID","value":"4004"},{"id":130,"name":"Impact","value":""},{"id":150,"name":"Time of Event (Mountain Time)","value":"12:36:06"},{"id":151,"name":"Denver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180"/>
      <c r="AK81" s="188"/>
      <c r="AL81" s="188"/>
      <c r="AM81" s="193" t="str">
        <f t="shared" si="49"/>
        <v>start /low /b %USERPROFILE%\Documents\GitHub\eaglep3\Utilities\DownloadLogsFromS3.py --loco 4004 --day 2017-12-15</v>
      </c>
      <c r="AN81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19:36:06"},{"id":29,"name":"Sharepoint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87" t="str">
        <f t="shared" si="51"/>
        <v>https://d0f6bd738d7f1b3e5a7ca70fe4ff75f0.us-east-1.aws.found.io/app/kibana#/discover/Steve-Slow-Train-Analysis-(2080s-and-2083s)?_g=(refreshInterval:(display:Off,pause:!f,section:0,value:0),time:(from:'2017-12-15T10:55:01-0700',mode:absolute,to:'2017-12-15T13:36:06-0700'))&amp;_a=(columns:!('Message%20ID',Summary),filters:!(),index:'emp_*',interval:auto,query:(query_string:(analyze_wildcard:!t,query:'%22rtdc.l.rtdc.4004%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186" t="s">
        <v>779</v>
      </c>
      <c r="B82" s="182">
        <v>4003</v>
      </c>
      <c r="C82" s="184" t="s">
        <v>192</v>
      </c>
      <c r="D82" s="184" t="s">
        <v>949</v>
      </c>
      <c r="E82" s="183">
        <v>43084.526400462964</v>
      </c>
      <c r="F82" s="183">
        <v>43084.540439814817</v>
      </c>
      <c r="G82" s="182">
        <v>61</v>
      </c>
      <c r="H82" s="184" t="s">
        <v>592</v>
      </c>
      <c r="I82" s="183">
        <v>43084.565810185188</v>
      </c>
      <c r="J82" s="182">
        <v>0</v>
      </c>
      <c r="K82" s="190" t="str">
        <f t="shared" si="35"/>
        <v>4003/4004</v>
      </c>
      <c r="L82" s="196" t="str">
        <f>VLOOKUP(A82,'Trips&amp;Operators'!$C$1:$G$99911,5,FALSE)</f>
        <v>FORTUNATO FRANK</v>
      </c>
      <c r="M82" s="181">
        <f t="shared" si="36"/>
        <v>2.5370370371092577E-2</v>
      </c>
      <c r="N82" s="182">
        <f t="shared" si="34"/>
        <v>36.53333333437331</v>
      </c>
      <c r="O82" s="182"/>
      <c r="P82" s="182"/>
      <c r="Q82" s="185"/>
      <c r="R82" s="197"/>
      <c r="S82" s="241">
        <f t="shared" si="33"/>
        <v>1</v>
      </c>
      <c r="T82" s="220" t="str">
        <f t="shared" si="37"/>
        <v>Southbound</v>
      </c>
      <c r="U82" s="22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21" t="str">
        <f t="shared" si="38"/>
        <v>https://d0f6bd738d7f1b3e5a7ca70fe4ff75f0.us-east-1.aws.found.io/app/kibana#/discover/Steve-Slow-Train-Analysis-(2080s-and-2083s)?_g=(refreshInterval:(display:Off,pause:!f,section:0,value:0),time:(from:'2017-12-15T11:38:01-0700',mode:absolute,to:'2017-12-15T14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2" s="222" t="str">
        <f>IF(AA82&lt;VLOOKUP(AG82,Variables!$AC$3:$AD$8,2,FALSE),"Y","N")</f>
        <v>N</v>
      </c>
      <c r="X82" s="222">
        <f t="shared" si="39"/>
        <v>1</v>
      </c>
      <c r="Y82" s="222">
        <f t="shared" si="40"/>
        <v>23.289100000000001</v>
      </c>
      <c r="Z82" s="222">
        <f t="shared" si="41"/>
        <v>2.12E-2</v>
      </c>
      <c r="AA82" s="222">
        <f t="shared" si="42"/>
        <v>23.267900000000001</v>
      </c>
      <c r="AB82" s="231" t="e">
        <f>VLOOKUP(A82,Enforcements!$C$7:$K$9,8,0)</f>
        <v>#N/A</v>
      </c>
      <c r="AC82" s="231" t="e">
        <f>VLOOKUP(A82,Enforcements!$C$7:$E$9,3,0)</f>
        <v>#N/A</v>
      </c>
      <c r="AD82" s="232">
        <f t="shared" si="43"/>
        <v>168</v>
      </c>
      <c r="AE82" s="233" t="str">
        <f t="shared" si="44"/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AF82" s="234" t="str">
        <f t="shared" si="45"/>
        <v>"C:\Program Files (x86)\AstroGrep\AstroGrep.exe" /e /r /s /spath="%USERPROFILE%\AppData\Local\Temp\OnboardLogs" /stypes="app*4003*20171215*" /stext=" 20:.+((SYSTEM_STATE.+slice.+state.+changed )|(ment ac)|(multiple cpu faults)|(system.+state.+changed )|(\[timeout)|(PRM\|1\|D)|(kpr)|(kdp)|(train st.+moving)|(\|lc)|(penalty))"</v>
      </c>
      <c r="AG82" s="226" t="str">
        <f t="shared" si="46"/>
        <v>EC</v>
      </c>
      <c r="AH82" s="189" t="str">
        <f t="shared" si="47"/>
        <v>"%USERPROFILE%\Documents\GitHub\eaglep3\Utilities\RefineRTDCRunTimes.py" --tripid 168-15 --locoid 4003 --swversion DE.1.0.9.0 --startMP 204:232891 --initTime 2017-12-15T12:38:01 --startdatetime 2017-12-15T12:58:14 --delay 61 --endMP 204:212 --enddatetime 2017-12-15T13:34:46 --enforcementcount 0 &gt;&gt;%USERPROFILE%\Documents\GitHub\eaglep3-reporting\EC\2017-12-15-refined-times.txt</v>
      </c>
      <c r="AI82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{"issue":{"subject":"","project_id":79,"tracker_id":40,"status_id":1,"priority_id":2,"assigned_to_id":338,"start_date":"2017-12-15","description":"","custom_fields":[{"id":1,"name":"Subdivision","value":"EC"},{"id":4,"name":"Milepost","value":"0.0212"},{"id":17,"name":"Train ID","value":"168-15"},{"id":16,"name":"Locomotive ID","value":"4003"},{"id":130,"name":"Impact","value":""},{"id":150,"name":"Time of Event (Mountain Time)","value":"13:34:46"},{"id":151,"name":"Denver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180"/>
      <c r="AK82" s="188"/>
      <c r="AL82" s="188"/>
      <c r="AM82" s="193" t="str">
        <f t="shared" si="49"/>
        <v>start /low /b %USERPROFILE%\Documents\GitHub\eaglep3\Utilities\DownloadLogsFromS3.py --loco 4003 --day 2017-12-15</v>
      </c>
      <c r="AN82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20:34:46"},{"id":29,"name":"Sharepoint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87" t="str">
        <f t="shared" si="51"/>
        <v>https://d0f6bd738d7f1b3e5a7ca70fe4ff75f0.us-east-1.aws.found.io/app/kibana#/discover/Steve-Slow-Train-Analysis-(2080s-and-2083s)?_g=(refreshInterval:(display:Off,pause:!f,section:0,value:0),time:(from:'2017-12-15T11:38:01-0700',mode:absolute,to:'2017-12-15T14:34:46-0700'))&amp;_a=(columns:!('Message%20ID',Summary),filters:!(),index:'emp_*',interval:auto,query:(query_string:(analyze_wildcard:!t,query:'%22rtdc.l.rtdc.4003%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186" t="s">
        <v>774</v>
      </c>
      <c r="B83" s="182">
        <v>4058</v>
      </c>
      <c r="C83" s="184" t="s">
        <v>192</v>
      </c>
      <c r="D83" s="184" t="s">
        <v>507</v>
      </c>
      <c r="E83" s="183">
        <v>43084.50503472222</v>
      </c>
      <c r="F83" s="183">
        <v>43084.510625000003</v>
      </c>
      <c r="G83" s="182">
        <v>93</v>
      </c>
      <c r="H83" s="184" t="s">
        <v>914</v>
      </c>
      <c r="I83" s="183">
        <v>43084.53434027778</v>
      </c>
      <c r="J83" s="182">
        <v>0</v>
      </c>
      <c r="K83" s="190" t="str">
        <f t="shared" si="35"/>
        <v>4057/4058</v>
      </c>
      <c r="L83" s="196" t="str">
        <f>VLOOKUP(A83,'Trips&amp;Operators'!$C$1:$G$99911,5,FALSE)</f>
        <v>LEVIN SCOTT</v>
      </c>
      <c r="M83" s="181">
        <f t="shared" si="36"/>
        <v>2.3715277777228039E-2</v>
      </c>
      <c r="N83" s="182">
        <f t="shared" si="34"/>
        <v>34.149999999208376</v>
      </c>
      <c r="O83" s="182"/>
      <c r="P83" s="182"/>
      <c r="Q83" s="185"/>
      <c r="R83" s="197"/>
      <c r="S83" s="241">
        <f t="shared" si="33"/>
        <v>1</v>
      </c>
      <c r="T83" s="220" t="str">
        <f t="shared" si="37"/>
        <v>NorthBound</v>
      </c>
      <c r="U83" s="22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21" t="str">
        <f t="shared" si="38"/>
        <v>https://d0f6bd738d7f1b3e5a7ca70fe4ff75f0.us-east-1.aws.found.io/app/kibana#/discover/Steve-Slow-Train-Analysis-(2080s-and-2083s)?_g=(refreshInterval:(display:Off,pause:!f,section:0,value:0),time:(from:'2017-12-15T11:07:15-0700',mode:absolute,to:'2017-12-15T13:49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3" s="222" t="str">
        <f>IF(AA83&lt;VLOOKUP(AG83,Variables!$AC$3:$AD$8,2,FALSE),"Y","N")</f>
        <v>N</v>
      </c>
      <c r="X83" s="222">
        <f t="shared" si="39"/>
        <v>1</v>
      </c>
      <c r="Y83" s="222">
        <f t="shared" si="40"/>
        <v>5.2900000000000003E-2</v>
      </c>
      <c r="Z83" s="222">
        <f t="shared" si="41"/>
        <v>23.3307</v>
      </c>
      <c r="AA83" s="222">
        <f t="shared" si="42"/>
        <v>23.277799999999999</v>
      </c>
      <c r="AB83" s="231" t="e">
        <f>VLOOKUP(A83,Enforcements!$C$7:$K$9,8,0)</f>
        <v>#N/A</v>
      </c>
      <c r="AC83" s="231" t="e">
        <f>VLOOKUP(A83,Enforcements!$C$7:$E$9,3,0)</f>
        <v>#N/A</v>
      </c>
      <c r="AD83" s="232">
        <f t="shared" si="43"/>
        <v>169</v>
      </c>
      <c r="AE83" s="233" t="str">
        <f t="shared" si="44"/>
        <v>aws s3 cp s3://rtdc.mdm.uploadarchive.raw/RTDC4058/ "%USERPROFILE%\AppData\Local\Temp\OnboardLogs"\RTDC4058\2017-12-15 --exclude "*" --recursive --include "*20171215*" &amp; "%USERPROFILE%\Documents\GitHub\mrs-test-scripts\Headless Mode &amp; Sideloading\WalkAndUnGZ.bat" "%USERPROFILE%\AppData\Local\Temp\OnboardLogs"\RTDC4058\2017-12-15 &amp; aws s3 cp s3://rtdc.mdm.uploadarchive.raw/RTDC4058/ "%USERPROFILE%\AppData\Local\Temp\OnboardLogs"\RTDC4058\2017-12-16 --exclude "*" --recursive --include "*20171216*" &amp; "%USERPROFILE%\Documents\GitHub\mrs-test-scripts\Headless Mode &amp; Sideloading\WalkAndUnGZ.bat" "%USERPROFILE%\AppData\Local\Temp\OnboardLogs"\RTDC4058\2017-12-16</v>
      </c>
      <c r="AF83" s="234" t="str">
        <f t="shared" si="45"/>
        <v>"C:\Program Files (x86)\AstroGrep\AstroGrep.exe" /e /r /s /spath="%USERPROFILE%\AppData\Local\Temp\OnboardLogs" /stypes="app*4058*20171215*" /stext=" 19:.+((SYSTEM_STATE.+slice.+state.+changed )|(ment ac)|(multiple cpu faults)|(system.+state.+changed )|(\[timeout)|(PRM\|1\|D)|(kpr)|(kdp)|(train st.+moving)|(\|lc)|(penalty))"</v>
      </c>
      <c r="AG83" s="226" t="str">
        <f t="shared" si="46"/>
        <v>EC</v>
      </c>
      <c r="AH83" s="189" t="str">
        <f t="shared" si="47"/>
        <v>"%USERPROFILE%\Documents\GitHub\eaglep3\Utilities\RefineRTDCRunTimes.py" --tripid 169-15 --locoid 4058 --swversion DE.1.0.9.0 --startMP 204:529 --initTime 2017-12-15T12:07:15 --startdatetime 2017-12-15T12:15:18 --delay 93 --endMP 204:233307 --enddatetime 2017-12-15T12:49:27 --enforcementcount 0 &gt;&gt;%USERPROFILE%\Documents\GitHub\eaglep3-reporting\EC\2017-12-15-refined-times.txt</v>
      </c>
      <c r="AI83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{"issue":{"subject":"","project_id":79,"tracker_id":40,"status_id":1,"priority_id":2,"assigned_to_id":338,"start_date":"2017-12-15","description":"","custom_fields":[{"id":1,"name":"Subdivision","value":"EC"},{"id":4,"name":"Milepost","value":"23.3307"},{"id":17,"name":"Train ID","value":"169-15"},{"id":16,"name":"Locomotive ID","value":"4058"},{"id":130,"name":"Impact","value":""},{"id":150,"name":"Time of Event (Mountain Time)","value":"12:49:27"},{"id":151,"name":"Denver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180"/>
      <c r="AK83" s="188"/>
      <c r="AL83" s="188"/>
      <c r="AM83" s="193" t="str">
        <f t="shared" si="49"/>
        <v>start /low /b %USERPROFILE%\Documents\GitHub\eaglep3\Utilities\DownloadLogsFromS3.py --loco 4058 --day 2017-12-15</v>
      </c>
      <c r="AN83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19:49:27"},{"id":29,"name":"Sharepoint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87" t="str">
        <f t="shared" si="51"/>
        <v>https://d0f6bd738d7f1b3e5a7ca70fe4ff75f0.us-east-1.aws.found.io/app/kibana#/discover/Steve-Slow-Train-Analysis-(2080s-and-2083s)?_g=(refreshInterval:(display:Off,pause:!f,section:0,value:0),time:(from:'2017-12-15T11:07:15-0700',mode:absolute,to:'2017-12-15T13:49:27-0700'))&amp;_a=(columns:!('Message%20ID',Summary),filters:!(),index:'emp_*',interval:auto,query:(query_string:(analyze_wildcard:!t,query:'%22rtdc.l.rtdc.4058%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186" t="s">
        <v>784</v>
      </c>
      <c r="B84" s="182">
        <v>4057</v>
      </c>
      <c r="C84" s="184" t="s">
        <v>192</v>
      </c>
      <c r="D84" s="184" t="s">
        <v>950</v>
      </c>
      <c r="E84" s="183">
        <v>43084.543587962966</v>
      </c>
      <c r="F84" s="183">
        <v>43084.550162037034</v>
      </c>
      <c r="G84" s="182">
        <v>69</v>
      </c>
      <c r="H84" s="184" t="s">
        <v>951</v>
      </c>
      <c r="I84" s="183">
        <v>43084.576469907406</v>
      </c>
      <c r="J84" s="182">
        <v>0</v>
      </c>
      <c r="K84" s="190" t="str">
        <f t="shared" si="35"/>
        <v>4057/4058</v>
      </c>
      <c r="L84" s="196" t="str">
        <f>VLOOKUP(A84,'Trips&amp;Operators'!$C$1:$G$99911,5,FALSE)</f>
        <v>LEVIN SCOTT</v>
      </c>
      <c r="M84" s="181">
        <f t="shared" si="36"/>
        <v>2.6307870371965691E-2</v>
      </c>
      <c r="N84" s="182">
        <f t="shared" si="34"/>
        <v>37.883333335630596</v>
      </c>
      <c r="O84" s="182"/>
      <c r="P84" s="182"/>
      <c r="Q84" s="185"/>
      <c r="R84" s="197"/>
      <c r="S84" s="241">
        <f t="shared" si="33"/>
        <v>1</v>
      </c>
      <c r="T84" s="220" t="str">
        <f t="shared" si="37"/>
        <v>Southbound</v>
      </c>
      <c r="U84" s="22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21" t="str">
        <f t="shared" si="38"/>
        <v>https://d0f6bd738d7f1b3e5a7ca70fe4ff75f0.us-east-1.aws.found.io/app/kibana#/discover/Steve-Slow-Train-Analysis-(2080s-and-2083s)?_g=(refreshInterval:(display:Off,pause:!f,section:0,value:0),time:(from:'2017-12-15T12:02:46-0700',mode:absolute,to:'2017-12-15T14:50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4" s="222" t="str">
        <f>IF(AA84&lt;VLOOKUP(AG84,Variables!$AC$3:$AD$8,2,FALSE),"Y","N")</f>
        <v>N</v>
      </c>
      <c r="X84" s="222">
        <f t="shared" si="39"/>
        <v>1</v>
      </c>
      <c r="Y84" s="222">
        <f t="shared" si="40"/>
        <v>23.298200000000001</v>
      </c>
      <c r="Z84" s="222">
        <f t="shared" si="41"/>
        <v>1.4500000000000001E-2</v>
      </c>
      <c r="AA84" s="222">
        <f t="shared" si="42"/>
        <v>23.2837</v>
      </c>
      <c r="AB84" s="231" t="e">
        <f>VLOOKUP(A84,Enforcements!$C$7:$K$9,8,0)</f>
        <v>#N/A</v>
      </c>
      <c r="AC84" s="231" t="e">
        <f>VLOOKUP(A84,Enforcements!$C$7:$E$9,3,0)</f>
        <v>#N/A</v>
      </c>
      <c r="AD84" s="232">
        <f t="shared" si="43"/>
        <v>170</v>
      </c>
      <c r="AE84" s="233" t="str">
        <f t="shared" si="44"/>
        <v>aws s3 cp s3://rtdc.mdm.uploadarchive.raw/RTDC4057/ "%USERPROFILE%\AppData\Local\Temp\OnboardLogs"\RTDC4057\2017-12-15 --exclude "*" --recursive --include "*20171215*" &amp; "%USERPROFILE%\Documents\GitHub\mrs-test-scripts\Headless Mode &amp; Sideloading\WalkAndUnGZ.bat" "%USERPROFILE%\AppData\Local\Temp\OnboardLogs"\RTDC4057\2017-12-15 &amp; aws s3 cp s3://rtdc.mdm.uploadarchive.raw/RTDC4057/ "%USERPROFILE%\AppData\Local\Temp\OnboardLogs"\RTDC4057\2017-12-16 --exclude "*" --recursive --include "*20171216*" &amp; "%USERPROFILE%\Documents\GitHub\mrs-test-scripts\Headless Mode &amp; Sideloading\WalkAndUnGZ.bat" "%USERPROFILE%\AppData\Local\Temp\OnboardLogs"\RTDC4057\2017-12-16</v>
      </c>
      <c r="AF84" s="234" t="str">
        <f t="shared" si="45"/>
        <v>"C:\Program Files (x86)\AstroGrep\AstroGrep.exe" /e /r /s /spath="%USERPROFILE%\AppData\Local\Temp\OnboardLogs" /stypes="app*4057*20171215*" /stext=" 20:.+((SYSTEM_STATE.+slice.+state.+changed )|(ment ac)|(multiple cpu faults)|(system.+state.+changed )|(\[timeout)|(PRM\|1\|D)|(kpr)|(kdp)|(train st.+moving)|(\|lc)|(penalty))"</v>
      </c>
      <c r="AG84" s="226" t="str">
        <f t="shared" si="46"/>
        <v>EC</v>
      </c>
      <c r="AH84" s="189" t="str">
        <f t="shared" si="47"/>
        <v>"%USERPROFILE%\Documents\GitHub\eaglep3\Utilities\RefineRTDCRunTimes.py" --tripid 170-15 --locoid 4057 --swversion DE.1.0.9.0 --startMP 204:232982 --initTime 2017-12-15T13:02:46 --startdatetime 2017-12-15T13:12:14 --delay 69 --endMP 204:145 --enddatetime 2017-12-15T13:50:07 --enforcementcount 0 &gt;&gt;%USERPROFILE%\Documents\GitHub\eaglep3-reporting\EC\2017-12-15-refined-times.txt</v>
      </c>
      <c r="AI84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{"issue":{"subject":"","project_id":79,"tracker_id":40,"status_id":1,"priority_id":2,"assigned_to_id":338,"start_date":"2017-12-15","description":"","custom_fields":[{"id":1,"name":"Subdivision","value":"EC"},{"id":4,"name":"Milepost","value":"0.0145"},{"id":17,"name":"Train ID","value":"170-15"},{"id":16,"name":"Locomotive ID","value":"4057"},{"id":130,"name":"Impact","value":""},{"id":150,"name":"Time of Event (Mountain Time)","value":"13:50:07"},{"id":151,"name":"Denver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180"/>
      <c r="AK84" s="188"/>
      <c r="AL84" s="188"/>
      <c r="AM84" s="193" t="str">
        <f t="shared" si="49"/>
        <v>start /low /b %USERPROFILE%\Documents\GitHub\eaglep3\Utilities\DownloadLogsFromS3.py --loco 4057 --day 2017-12-15</v>
      </c>
      <c r="AN84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20:50:07"},{"id":29,"name":"Sharepoint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87" t="str">
        <f t="shared" si="51"/>
        <v>https://d0f6bd738d7f1b3e5a7ca70fe4ff75f0.us-east-1.aws.found.io/app/kibana#/discover/Steve-Slow-Train-Analysis-(2080s-and-2083s)?_g=(refreshInterval:(display:Off,pause:!f,section:0,value:0),time:(from:'2017-12-15T12:02:46-0700',mode:absolute,to:'2017-12-15T14:50:07-0700'))&amp;_a=(columns:!('Message%20ID',Summary),filters:!(),index:'emp_*',interval:auto,query:(query_string:(analyze_wildcard:!t,query:'%22rtdc.l.rtdc.4057%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186" t="s">
        <v>776</v>
      </c>
      <c r="B85" s="182">
        <v>4044</v>
      </c>
      <c r="C85" s="184" t="s">
        <v>192</v>
      </c>
      <c r="D85" s="184" t="s">
        <v>888</v>
      </c>
      <c r="E85" s="183">
        <v>43084.517199074071</v>
      </c>
      <c r="F85" s="183">
        <v>43084.521099537036</v>
      </c>
      <c r="G85" s="182">
        <v>67</v>
      </c>
      <c r="H85" s="184" t="s">
        <v>952</v>
      </c>
      <c r="I85" s="183">
        <v>43084.546458333331</v>
      </c>
      <c r="J85" s="182">
        <v>0</v>
      </c>
      <c r="K85" s="190" t="str">
        <f t="shared" si="35"/>
        <v>4043/4044</v>
      </c>
      <c r="L85" s="196" t="str">
        <f>VLOOKUP(A85,'Trips&amp;Operators'!$C$1:$G$99911,5,FALSE)</f>
        <v>BADERTSCHER DIANE</v>
      </c>
      <c r="M85" s="181">
        <f t="shared" si="36"/>
        <v>2.5358796294312924E-2</v>
      </c>
      <c r="N85" s="182">
        <f t="shared" si="34"/>
        <v>36.516666663810611</v>
      </c>
      <c r="O85" s="182"/>
      <c r="P85" s="182"/>
      <c r="Q85" s="185"/>
      <c r="R85" s="197"/>
      <c r="S85" s="241">
        <f t="shared" si="33"/>
        <v>1</v>
      </c>
      <c r="T85" s="220" t="str">
        <f t="shared" si="37"/>
        <v>NorthBound</v>
      </c>
      <c r="U85" s="22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21" t="str">
        <f t="shared" si="38"/>
        <v>https://d0f6bd738d7f1b3e5a7ca70fe4ff75f0.us-east-1.aws.found.io/app/kibana#/discover/Steve-Slow-Train-Analysis-(2080s-and-2083s)?_g=(refreshInterval:(display:Off,pause:!f,section:0,value:0),time:(from:'2017-12-15T11:24:46-0700',mode:absolute,to:'2017-12-15T14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5" s="222" t="str">
        <f>IF(AA85&lt;VLOOKUP(AG85,Variables!$AC$3:$AD$8,2,FALSE),"Y","N")</f>
        <v>N</v>
      </c>
      <c r="X85" s="222">
        <f t="shared" si="39"/>
        <v>1</v>
      </c>
      <c r="Y85" s="222">
        <f t="shared" si="40"/>
        <v>5.0799999999999998E-2</v>
      </c>
      <c r="Z85" s="222">
        <f t="shared" si="41"/>
        <v>23.328299999999999</v>
      </c>
      <c r="AA85" s="222">
        <f t="shared" si="42"/>
        <v>23.2775</v>
      </c>
      <c r="AB85" s="231" t="e">
        <f>VLOOKUP(A85,Enforcements!$C$7:$K$9,8,0)</f>
        <v>#N/A</v>
      </c>
      <c r="AC85" s="231" t="e">
        <f>VLOOKUP(A85,Enforcements!$C$7:$E$9,3,0)</f>
        <v>#N/A</v>
      </c>
      <c r="AD85" s="232">
        <f t="shared" si="43"/>
        <v>171</v>
      </c>
      <c r="AE85" s="233" t="str">
        <f t="shared" si="44"/>
        <v>aws s3 cp s3://rtdc.mdm.uploadarchive.raw/RTDC4044/ "%USERPROFILE%\AppData\Local\Temp\OnboardLogs"\RTDC4044\2017-12-15 --exclude "*" --recursive --include "*20171215*" &amp; "%USERPROFILE%\Documents\GitHub\mrs-test-scripts\Headless Mode &amp; Sideloading\WalkAndUnGZ.bat" "%USERPROFILE%\AppData\Local\Temp\OnboardLogs"\RTDC4044\2017-12-15 &amp; aws s3 cp s3://rtdc.mdm.uploadarchive.raw/RTDC4044/ "%USERPROFILE%\AppData\Local\Temp\OnboardLogs"\RTDC4044\2017-12-16 --exclude "*" --recursive --include "*20171216*" &amp; "%USERPROFILE%\Documents\GitHub\mrs-test-scripts\Headless Mode &amp; Sideloading\WalkAndUnGZ.bat" "%USERPROFILE%\AppData\Local\Temp\OnboardLogs"\RTDC4044\2017-12-16</v>
      </c>
      <c r="AF85" s="234" t="str">
        <f t="shared" si="45"/>
        <v>"C:\Program Files (x86)\AstroGrep\AstroGrep.exe" /e /r /s /spath="%USERPROFILE%\AppData\Local\Temp\OnboardLogs" /stypes="app*4044*20171215*" /stext=" 20:.+((SYSTEM_STATE.+slice.+state.+changed )|(ment ac)|(multiple cpu faults)|(system.+state.+changed )|(\[timeout)|(PRM\|1\|D)|(kpr)|(kdp)|(train st.+moving)|(\|lc)|(penalty))"</v>
      </c>
      <c r="AG85" s="226" t="str">
        <f t="shared" si="46"/>
        <v>EC</v>
      </c>
      <c r="AH85" s="189" t="str">
        <f t="shared" si="47"/>
        <v>"%USERPROFILE%\Documents\GitHub\eaglep3\Utilities\RefineRTDCRunTimes.py" --tripid 171-15 --locoid 4044 --swversion DE.1.0.9.0 --startMP 204:508 --initTime 2017-12-15T12:24:46 --startdatetime 2017-12-15T12:30:23 --delay 67 --endMP 204:233283 --enddatetime 2017-12-15T13:06:54 --enforcementcount 0 &gt;&gt;%USERPROFILE%\Documents\GitHub\eaglep3-reporting\EC\2017-12-15-refined-times.txt</v>
      </c>
      <c r="AI85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{"issue":{"subject":"","project_id":79,"tracker_id":40,"status_id":1,"priority_id":2,"assigned_to_id":338,"start_date":"2017-12-15","description":"","custom_fields":[{"id":1,"name":"Subdivision","value":"EC"},{"id":4,"name":"Milepost","value":"23.3283"},{"id":17,"name":"Train ID","value":"171-15"},{"id":16,"name":"Locomotive ID","value":"4044"},{"id":130,"name":"Impact","value":""},{"id":150,"name":"Time of Event (Mountain Time)","value":"13:06:54"},{"id":151,"name":"Denver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180"/>
      <c r="AK85" s="188"/>
      <c r="AL85" s="188"/>
      <c r="AM85" s="193" t="str">
        <f t="shared" si="49"/>
        <v>start /low /b %USERPROFILE%\Documents\GitHub\eaglep3\Utilities\DownloadLogsFromS3.py --loco 4044 --day 2017-12-15</v>
      </c>
      <c r="AN85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20:06:54"},{"id":29,"name":"Sharepoint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87" t="str">
        <f t="shared" si="51"/>
        <v>https://d0f6bd738d7f1b3e5a7ca70fe4ff75f0.us-east-1.aws.found.io/app/kibana#/discover/Steve-Slow-Train-Analysis-(2080s-and-2083s)?_g=(refreshInterval:(display:Off,pause:!f,section:0,value:0),time:(from:'2017-12-15T11:24:46-0700',mode:absolute,to:'2017-12-15T14:06:54-0700'))&amp;_a=(columns:!('Message%20ID',Summary),filters:!(),index:'emp_*',interval:auto,query:(query_string:(analyze_wildcard:!t,query:'%22rtdc.l.rtdc.4044%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186" t="s">
        <v>786</v>
      </c>
      <c r="B86" s="182">
        <v>4043</v>
      </c>
      <c r="C86" s="184" t="s">
        <v>192</v>
      </c>
      <c r="D86" s="184" t="s">
        <v>953</v>
      </c>
      <c r="E86" s="183">
        <v>43084.5544212963</v>
      </c>
      <c r="F86" s="183">
        <v>43084.560601851852</v>
      </c>
      <c r="G86" s="182">
        <v>72</v>
      </c>
      <c r="H86" s="184" t="s">
        <v>954</v>
      </c>
      <c r="I86" s="183">
        <v>43084.588148148148</v>
      </c>
      <c r="J86" s="182">
        <v>0</v>
      </c>
      <c r="K86" s="190" t="str">
        <f t="shared" si="35"/>
        <v>4043/4044</v>
      </c>
      <c r="L86" s="196" t="str">
        <f>VLOOKUP(A86,'Trips&amp;Operators'!$C$1:$G$99911,5,FALSE)</f>
        <v>BADERTSCHER DIANE</v>
      </c>
      <c r="M86" s="181">
        <f t="shared" si="36"/>
        <v>2.7546296296350192E-2</v>
      </c>
      <c r="N86" s="182">
        <f t="shared" si="34"/>
        <v>39.666666666744277</v>
      </c>
      <c r="O86" s="182"/>
      <c r="P86" s="182"/>
      <c r="Q86" s="185"/>
      <c r="R86" s="197"/>
      <c r="S86" s="241">
        <f t="shared" ref="S86:S117" si="52">1/IF(AG86="EC",12,1)*SUM(U86:U86)</f>
        <v>1</v>
      </c>
      <c r="T86" s="220" t="str">
        <f t="shared" si="37"/>
        <v>Southbound</v>
      </c>
      <c r="U86" s="22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21" t="str">
        <f t="shared" si="38"/>
        <v>https://d0f6bd738d7f1b3e5a7ca70fe4ff75f0.us-east-1.aws.found.io/app/kibana#/discover/Steve-Slow-Train-Analysis-(2080s-and-2083s)?_g=(refreshInterval:(display:Off,pause:!f,section:0,value:0),time:(from:'2017-12-15T12:18:22-0700',mode:absolute,to:'2017-12-15T15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6" s="222" t="str">
        <f>IF(AA86&lt;VLOOKUP(AG86,Variables!$AC$3:$AD$8,2,FALSE),"Y","N")</f>
        <v>N</v>
      </c>
      <c r="X86" s="222">
        <f t="shared" si="39"/>
        <v>1</v>
      </c>
      <c r="Y86" s="222">
        <f t="shared" si="40"/>
        <v>23.294899999999998</v>
      </c>
      <c r="Z86" s="222">
        <f t="shared" si="41"/>
        <v>2.01E-2</v>
      </c>
      <c r="AA86" s="222">
        <f t="shared" si="42"/>
        <v>23.274799999999999</v>
      </c>
      <c r="AB86" s="231" t="e">
        <f>VLOOKUP(A86,Enforcements!$C$7:$K$9,8,0)</f>
        <v>#N/A</v>
      </c>
      <c r="AC86" s="231" t="e">
        <f>VLOOKUP(A86,Enforcements!$C$7:$E$9,3,0)</f>
        <v>#N/A</v>
      </c>
      <c r="AD86" s="232">
        <f t="shared" si="43"/>
        <v>172</v>
      </c>
      <c r="AE86" s="233" t="str">
        <f t="shared" si="44"/>
        <v>aws s3 cp s3://rtdc.mdm.uploadarchive.raw/RTDC4043/ "%USERPROFILE%\AppData\Local\Temp\OnboardLogs"\RTDC4043\2017-12-15 --exclude "*" --recursive --include "*20171215*" &amp; "%USERPROFILE%\Documents\GitHub\mrs-test-scripts\Headless Mode &amp; Sideloading\WalkAndUnGZ.bat" "%USERPROFILE%\AppData\Local\Temp\OnboardLogs"\RTDC4043\2017-12-15 &amp; aws s3 cp s3://rtdc.mdm.uploadarchive.raw/RTDC4043/ "%USERPROFILE%\AppData\Local\Temp\OnboardLogs"\RTDC4043\2017-12-16 --exclude "*" --recursive --include "*20171216*" &amp; "%USERPROFILE%\Documents\GitHub\mrs-test-scripts\Headless Mode &amp; Sideloading\WalkAndUnGZ.bat" "%USERPROFILE%\AppData\Local\Temp\OnboardLogs"\RTDC4043\2017-12-16</v>
      </c>
      <c r="AF86" s="234" t="str">
        <f t="shared" si="45"/>
        <v>"C:\Program Files (x86)\AstroGrep\AstroGrep.exe" /e /r /s /spath="%USERPROFILE%\AppData\Local\Temp\OnboardLogs" /stypes="app*4043*20171215*" /stext=" 21:.+((SYSTEM_STATE.+slice.+state.+changed )|(ment ac)|(multiple cpu faults)|(system.+state.+changed )|(\[timeout)|(PRM\|1\|D)|(kpr)|(kdp)|(train st.+moving)|(\|lc)|(penalty))"</v>
      </c>
      <c r="AG86" s="226" t="str">
        <f t="shared" si="46"/>
        <v>EC</v>
      </c>
      <c r="AH86" s="189" t="str">
        <f t="shared" si="47"/>
        <v>"%USERPROFILE%\Documents\GitHub\eaglep3\Utilities\RefineRTDCRunTimes.py" --tripid 172-15 --locoid 4043 --swversion DE.1.0.9.0 --startMP 204:232949 --initTime 2017-12-15T13:18:22 --startdatetime 2017-12-15T13:27:16 --delay 72 --endMP 204:201 --enddatetime 2017-12-15T14:06:56 --enforcementcount 0 &gt;&gt;%USERPROFILE%\Documents\GitHub\eaglep3-reporting\EC\2017-12-15-refined-times.txt</v>
      </c>
      <c r="AI86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{"issue":{"subject":"","project_id":79,"tracker_id":40,"status_id":1,"priority_id":2,"assigned_to_id":338,"start_date":"2017-12-15","description":"","custom_fields":[{"id":1,"name":"Subdivision","value":"EC"},{"id":4,"name":"Milepost","value":"0.0201"},{"id":17,"name":"Train ID","value":"172-15"},{"id":16,"name":"Locomotive ID","value":"4043"},{"id":130,"name":"Impact","value":""},{"id":150,"name":"Time of Event (Mountain Time)","value":"14:06:56"},{"id":151,"name":"Denver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180"/>
      <c r="AK86" s="188"/>
      <c r="AL86" s="188"/>
      <c r="AM86" s="193" t="str">
        <f t="shared" si="49"/>
        <v>start /low /b %USERPROFILE%\Documents\GitHub\eaglep3\Utilities\DownloadLogsFromS3.py --loco 4043 --day 2017-12-15</v>
      </c>
      <c r="AN86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21:06:56"},{"id":29,"name":"Sharepoint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87" t="str">
        <f t="shared" si="51"/>
        <v>https://d0f6bd738d7f1b3e5a7ca70fe4ff75f0.us-east-1.aws.found.io/app/kibana#/discover/Steve-Slow-Train-Analysis-(2080s-and-2083s)?_g=(refreshInterval:(display:Off,pause:!f,section:0,value:0),time:(from:'2017-12-15T12:18:22-0700',mode:absolute,to:'2017-12-15T15:06:56-0700'))&amp;_a=(columns:!('Message%20ID',Summary),filters:!(),index:'emp_*',interval:auto,query:(query_string:(analyze_wildcard:!t,query:'%22rtdc.l.rtdc.4043%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186" t="s">
        <v>780</v>
      </c>
      <c r="B87" s="182">
        <v>4036</v>
      </c>
      <c r="C87" s="184" t="s">
        <v>192</v>
      </c>
      <c r="D87" s="184" t="s">
        <v>597</v>
      </c>
      <c r="E87" s="183">
        <v>43084.527187500003</v>
      </c>
      <c r="F87" s="183">
        <v>43084.531469907408</v>
      </c>
      <c r="G87" s="182">
        <v>78</v>
      </c>
      <c r="H87" s="184" t="s">
        <v>955</v>
      </c>
      <c r="I87" s="183">
        <v>43084.554814814815</v>
      </c>
      <c r="J87" s="182">
        <v>0</v>
      </c>
      <c r="K87" s="190" t="str">
        <f t="shared" si="35"/>
        <v>4035/4036</v>
      </c>
      <c r="L87" s="196" t="str">
        <f>VLOOKUP(A87,'Trips&amp;Operators'!$C$1:$G$99911,5,FALSE)</f>
        <v>HOLCOMB KAMDEN</v>
      </c>
      <c r="M87" s="181">
        <f t="shared" si="36"/>
        <v>2.3344907407590654E-2</v>
      </c>
      <c r="N87" s="182">
        <f t="shared" ref="N87:N118" si="53">24*60*SUM($M87:$M87)</f>
        <v>33.616666666930541</v>
      </c>
      <c r="O87" s="182"/>
      <c r="P87" s="182"/>
      <c r="Q87" s="185"/>
      <c r="R87" s="197"/>
      <c r="S87" s="241">
        <f t="shared" si="52"/>
        <v>1</v>
      </c>
      <c r="T87" s="220" t="str">
        <f t="shared" si="37"/>
        <v>NorthBound</v>
      </c>
      <c r="U87" s="22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21" t="str">
        <f t="shared" si="38"/>
        <v>https://d0f6bd738d7f1b3e5a7ca70fe4ff75f0.us-east-1.aws.found.io/app/kibana#/discover/Steve-Slow-Train-Analysis-(2080s-and-2083s)?_g=(refreshInterval:(display:Off,pause:!f,section:0,value:0),time:(from:'2017-12-15T11:39:09-0700',mode:absolute,to:'2017-12-15T14:18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87" s="222" t="str">
        <f>IF(AA87&lt;VLOOKUP(AG87,Variables!$AC$3:$AD$8,2,FALSE),"Y","N")</f>
        <v>N</v>
      </c>
      <c r="X87" s="222">
        <f t="shared" si="39"/>
        <v>1</v>
      </c>
      <c r="Y87" s="222">
        <f t="shared" si="40"/>
        <v>4.8599999999999997E-2</v>
      </c>
      <c r="Z87" s="222">
        <f t="shared" si="41"/>
        <v>23.3201</v>
      </c>
      <c r="AA87" s="222">
        <f t="shared" si="42"/>
        <v>23.2715</v>
      </c>
      <c r="AB87" s="231" t="e">
        <f>VLOOKUP(A87,Enforcements!$C$7:$K$9,8,0)</f>
        <v>#N/A</v>
      </c>
      <c r="AC87" s="231" t="e">
        <f>VLOOKUP(A87,Enforcements!$C$7:$E$9,3,0)</f>
        <v>#N/A</v>
      </c>
      <c r="AD87" s="232">
        <f t="shared" si="43"/>
        <v>173</v>
      </c>
      <c r="AE87" s="233" t="str">
        <f t="shared" si="44"/>
        <v>aws s3 cp s3://rtdc.mdm.uploadarchive.raw/RTDC4036/ "%USERPROFILE%\AppData\Local\Temp\OnboardLogs"\RTDC4036\2017-12-15 --exclude "*" --recursive --include "*20171215*" &amp; "%USERPROFILE%\Documents\GitHub\mrs-test-scripts\Headless Mode &amp; Sideloading\WalkAndUnGZ.bat" "%USERPROFILE%\AppData\Local\Temp\OnboardLogs"\RTDC4036\2017-12-15 &amp; aws s3 cp s3://rtdc.mdm.uploadarchive.raw/RTDC4036/ "%USERPROFILE%\AppData\Local\Temp\OnboardLogs"\RTDC4036\2017-12-16 --exclude "*" --recursive --include "*20171216*" &amp; "%USERPROFILE%\Documents\GitHub\mrs-test-scripts\Headless Mode &amp; Sideloading\WalkAndUnGZ.bat" "%USERPROFILE%\AppData\Local\Temp\OnboardLogs"\RTDC4036\2017-12-16</v>
      </c>
      <c r="AF87" s="234" t="str">
        <f t="shared" si="45"/>
        <v>"C:\Program Files (x86)\AstroGrep\AstroGrep.exe" /e /r /s /spath="%USERPROFILE%\AppData\Local\Temp\OnboardLogs" /stypes="app*4036*20171215*" /stext=" 20:.+((SYSTEM_STATE.+slice.+state.+changed )|(ment ac)|(multiple cpu faults)|(system.+state.+changed )|(\[timeout)|(PRM\|1\|D)|(kpr)|(kdp)|(train st.+moving)|(\|lc)|(penalty))"</v>
      </c>
      <c r="AG87" s="226" t="str">
        <f t="shared" si="46"/>
        <v>EC</v>
      </c>
      <c r="AH87" s="189" t="str">
        <f t="shared" si="47"/>
        <v>"%USERPROFILE%\Documents\GitHub\eaglep3\Utilities\RefineRTDCRunTimes.py" --tripid 173-15 --locoid 4036 --swversion DE.1.0.9.0 --startMP 204:486 --initTime 2017-12-15T12:39:09 --startdatetime 2017-12-15T12:45:19 --delay 78 --endMP 204:233201 --enddatetime 2017-12-15T13:18:56 --enforcementcount 0 &gt;&gt;%USERPROFILE%\Documents\GitHub\eaglep3-reporting\EC\2017-12-15-refined-times.txt</v>
      </c>
      <c r="AI87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{"issue":{"subject":"","project_id":79,"tracker_id":40,"status_id":1,"priority_id":2,"assigned_to_id":338,"start_date":"2017-12-15","description":"","custom_fields":[{"id":1,"name":"Subdivision","value":"EC"},{"id":4,"name":"Milepost","value":"23.3201"},{"id":17,"name":"Train ID","value":"173-15"},{"id":16,"name":"Locomotive ID","value":"4036"},{"id":130,"name":"Impact","value":""},{"id":150,"name":"Time of Event (Mountain Time)","value":"13:18:56"},{"id":151,"name":"Denver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180"/>
      <c r="AK87" s="188"/>
      <c r="AL87" s="188"/>
      <c r="AM87" s="193" t="str">
        <f t="shared" si="49"/>
        <v>start /low /b %USERPROFILE%\Documents\GitHub\eaglep3\Utilities\DownloadLogsFromS3.py --loco 4036 --day 2017-12-15</v>
      </c>
      <c r="AN87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20:18:56"},{"id":29,"name":"Sharepoint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87" t="str">
        <f t="shared" si="51"/>
        <v>https://d0f6bd738d7f1b3e5a7ca70fe4ff75f0.us-east-1.aws.found.io/app/kibana#/discover/Steve-Slow-Train-Analysis-(2080s-and-2083s)?_g=(refreshInterval:(display:Off,pause:!f,section:0,value:0),time:(from:'2017-12-15T11:39:09-0700',mode:absolute,to:'2017-12-15T14:18:56-0700'))&amp;_a=(columns:!('Message%20ID',Summary),filters:!(),index:'emp_*',interval:auto,query:(query_string:(analyze_wildcard:!t,query:'%22rtdc.l.rtdc.4036%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186" t="s">
        <v>790</v>
      </c>
      <c r="B88" s="182">
        <v>4035</v>
      </c>
      <c r="C88" s="184" t="s">
        <v>192</v>
      </c>
      <c r="D88" s="184" t="s">
        <v>956</v>
      </c>
      <c r="E88" s="183">
        <v>43084.568240740744</v>
      </c>
      <c r="F88" s="183">
        <v>43084.571215277778</v>
      </c>
      <c r="G88" s="182">
        <v>61</v>
      </c>
      <c r="H88" s="184" t="s">
        <v>605</v>
      </c>
      <c r="I88" s="183">
        <v>43084.596643518518</v>
      </c>
      <c r="J88" s="182">
        <v>0</v>
      </c>
      <c r="K88" s="190" t="str">
        <f t="shared" si="35"/>
        <v>4035/4036</v>
      </c>
      <c r="L88" s="196" t="str">
        <f>VLOOKUP(A88,'Trips&amp;Operators'!$C$1:$G$99911,5,FALSE)</f>
        <v>HOLCOMB KAMDEN</v>
      </c>
      <c r="M88" s="181">
        <f t="shared" si="36"/>
        <v>2.5428240740438923E-2</v>
      </c>
      <c r="N88" s="182">
        <f t="shared" si="53"/>
        <v>36.616666666232049</v>
      </c>
      <c r="O88" s="182"/>
      <c r="P88" s="182"/>
      <c r="Q88" s="185"/>
      <c r="R88" s="197"/>
      <c r="S88" s="241">
        <f t="shared" si="52"/>
        <v>1</v>
      </c>
      <c r="T88" s="220" t="str">
        <f t="shared" si="37"/>
        <v>Southbound</v>
      </c>
      <c r="U88" s="22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21" t="str">
        <f t="shared" si="38"/>
        <v>https://d0f6bd738d7f1b3e5a7ca70fe4ff75f0.us-east-1.aws.found.io/app/kibana#/discover/Steve-Slow-Train-Analysis-(2080s-and-2083s)?_g=(refreshInterval:(display:Off,pause:!f,section:0,value:0),time:(from:'2017-12-15T12:38:16-0700',mode:absolute,to:'2017-12-15T15:19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88" s="222" t="str">
        <f>IF(AA88&lt;VLOOKUP(AG88,Variables!$AC$3:$AD$8,2,FALSE),"Y","N")</f>
        <v>N</v>
      </c>
      <c r="X88" s="222">
        <f t="shared" si="39"/>
        <v>1</v>
      </c>
      <c r="Y88" s="222">
        <f t="shared" si="40"/>
        <v>23.288399999999999</v>
      </c>
      <c r="Z88" s="222">
        <f t="shared" si="41"/>
        <v>1.5800000000000002E-2</v>
      </c>
      <c r="AA88" s="222">
        <f t="shared" si="42"/>
        <v>23.272600000000001</v>
      </c>
      <c r="AB88" s="231" t="e">
        <f>VLOOKUP(A88,Enforcements!$C$7:$K$9,8,0)</f>
        <v>#N/A</v>
      </c>
      <c r="AC88" s="231" t="e">
        <f>VLOOKUP(A88,Enforcements!$C$7:$E$9,3,0)</f>
        <v>#N/A</v>
      </c>
      <c r="AD88" s="232">
        <f t="shared" si="43"/>
        <v>174</v>
      </c>
      <c r="AE88" s="233" t="str">
        <f t="shared" si="44"/>
        <v>aws s3 cp s3://rtdc.mdm.uploadarchive.raw/RTDC4035/ "%USERPROFILE%\AppData\Local\Temp\OnboardLogs"\RTDC4035\2017-12-15 --exclude "*" --recursive --include "*20171215*" &amp; "%USERPROFILE%\Documents\GitHub\mrs-test-scripts\Headless Mode &amp; Sideloading\WalkAndUnGZ.bat" "%USERPROFILE%\AppData\Local\Temp\OnboardLogs"\RTDC4035\2017-12-15 &amp; aws s3 cp s3://rtdc.mdm.uploadarchive.raw/RTDC4035/ "%USERPROFILE%\AppData\Local\Temp\OnboardLogs"\RTDC4035\2017-12-16 --exclude "*" --recursive --include "*20171216*" &amp; "%USERPROFILE%\Documents\GitHub\mrs-test-scripts\Headless Mode &amp; Sideloading\WalkAndUnGZ.bat" "%USERPROFILE%\AppData\Local\Temp\OnboardLogs"\RTDC4035\2017-12-16</v>
      </c>
      <c r="AF88" s="234" t="str">
        <f t="shared" si="45"/>
        <v>"C:\Program Files (x86)\AstroGrep\AstroGrep.exe" /e /r /s /spath="%USERPROFILE%\AppData\Local\Temp\OnboardLogs" /stypes="app*4035*20171215*" /stext=" 21:.+((SYSTEM_STATE.+slice.+state.+changed )|(ment ac)|(multiple cpu faults)|(system.+state.+changed )|(\[timeout)|(PRM\|1\|D)|(kpr)|(kdp)|(train st.+moving)|(\|lc)|(penalty))"</v>
      </c>
      <c r="AG88" s="226" t="str">
        <f t="shared" si="46"/>
        <v>EC</v>
      </c>
      <c r="AH88" s="189" t="str">
        <f t="shared" si="47"/>
        <v>"%USERPROFILE%\Documents\GitHub\eaglep3\Utilities\RefineRTDCRunTimes.py" --tripid 174-15 --locoid 4035 --swversion DE.1.0.9.0 --startMP 204:232884 --initTime 2017-12-15T13:38:16 --startdatetime 2017-12-15T13:42:33 --delay 61 --endMP 204:158 --enddatetime 2017-12-15T14:19:10 --enforcementcount 0 &gt;&gt;%USERPROFILE%\Documents\GitHub\eaglep3-reporting\EC\2017-12-15-refined-times.txt</v>
      </c>
      <c r="AI88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{"issue":{"subject":"","project_id":79,"tracker_id":40,"status_id":1,"priority_id":2,"assigned_to_id":338,"start_date":"2017-12-15","description":"","custom_fields":[{"id":1,"name":"Subdivision","value":"EC"},{"id":4,"name":"Milepost","value":"0.0158"},{"id":17,"name":"Train ID","value":"174-15"},{"id":16,"name":"Locomotive ID","value":"4035"},{"id":130,"name":"Impact","value":""},{"id":150,"name":"Time of Event (Mountain Time)","value":"14:19:10"},{"id":151,"name":"Denver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180"/>
      <c r="AK88" s="188"/>
      <c r="AL88" s="188"/>
      <c r="AM88" s="193" t="str">
        <f t="shared" si="49"/>
        <v>start /low /b %USERPROFILE%\Documents\GitHub\eaglep3\Utilities\DownloadLogsFromS3.py --loco 4035 --day 2017-12-15</v>
      </c>
      <c r="AN88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21:19:10"},{"id":29,"name":"Sharepoint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87" t="str">
        <f t="shared" si="51"/>
        <v>https://d0f6bd738d7f1b3e5a7ca70fe4ff75f0.us-east-1.aws.found.io/app/kibana#/discover/Steve-Slow-Train-Analysis-(2080s-and-2083s)?_g=(refreshInterval:(display:Off,pause:!f,section:0,value:0),time:(from:'2017-12-15T12:38:16-0700',mode:absolute,to:'2017-12-15T15:19:10-0700'))&amp;_a=(columns:!('Message%20ID',Summary),filters:!(),index:'emp_*',interval:auto,query:(query_string:(analyze_wildcard:!t,query:'%22rtdc.l.rtdc.4035%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186" t="s">
        <v>781</v>
      </c>
      <c r="B89" s="182">
        <v>4032</v>
      </c>
      <c r="C89" s="184" t="s">
        <v>192</v>
      </c>
      <c r="D89" s="184" t="s">
        <v>898</v>
      </c>
      <c r="E89" s="183">
        <v>43084.536458333336</v>
      </c>
      <c r="F89" s="183">
        <v>43084.541875000003</v>
      </c>
      <c r="G89" s="182">
        <v>54</v>
      </c>
      <c r="H89" s="184" t="s">
        <v>957</v>
      </c>
      <c r="I89" s="183">
        <v>43084.566516203704</v>
      </c>
      <c r="J89" s="182">
        <v>0</v>
      </c>
      <c r="K89" s="190" t="str">
        <f t="shared" si="35"/>
        <v>4031/4032</v>
      </c>
      <c r="L89" s="196" t="str">
        <f>VLOOKUP(A89,'Trips&amp;Operators'!$C$1:$G$99911,5,FALSE)</f>
        <v>NEWELL JAMES</v>
      </c>
      <c r="M89" s="181">
        <f t="shared" si="36"/>
        <v>2.4641203701321501E-2</v>
      </c>
      <c r="N89" s="182">
        <f t="shared" si="53"/>
        <v>35.483333329902962</v>
      </c>
      <c r="O89" s="182"/>
      <c r="P89" s="182"/>
      <c r="Q89" s="185"/>
      <c r="R89" s="197"/>
      <c r="S89" s="241">
        <f t="shared" si="52"/>
        <v>1</v>
      </c>
      <c r="T89" s="220" t="str">
        <f t="shared" si="37"/>
        <v>NorthBound</v>
      </c>
      <c r="U89" s="22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21" t="str">
        <f t="shared" si="38"/>
        <v>https://d0f6bd738d7f1b3e5a7ca70fe4ff75f0.us-east-1.aws.found.io/app/kibana#/discover/Steve-Slow-Train-Analysis-(2080s-and-2083s)?_g=(refreshInterval:(display:Off,pause:!f,section:0,value:0),time:(from:'2017-12-15T11:52:30-0700',mode:absolute,to:'2017-12-15T14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9" s="222" t="str">
        <f>IF(AA89&lt;VLOOKUP(AG89,Variables!$AC$3:$AD$8,2,FALSE),"Y","N")</f>
        <v>N</v>
      </c>
      <c r="X89" s="222">
        <f t="shared" si="39"/>
        <v>1</v>
      </c>
      <c r="Y89" s="222">
        <f t="shared" si="40"/>
        <v>5.7000000000000002E-2</v>
      </c>
      <c r="Z89" s="222">
        <f t="shared" si="41"/>
        <v>23.331499999999998</v>
      </c>
      <c r="AA89" s="222">
        <f t="shared" si="42"/>
        <v>23.2745</v>
      </c>
      <c r="AB89" s="231" t="e">
        <f>VLOOKUP(A89,Enforcements!$C$7:$K$9,8,0)</f>
        <v>#N/A</v>
      </c>
      <c r="AC89" s="231" t="e">
        <f>VLOOKUP(A89,Enforcements!$C$7:$E$9,3,0)</f>
        <v>#N/A</v>
      </c>
      <c r="AD89" s="232">
        <f t="shared" si="43"/>
        <v>175</v>
      </c>
      <c r="AE89" s="233" t="str">
        <f t="shared" si="44"/>
        <v>aws s3 cp s3://rtdc.mdm.uploadarchive.raw/RTDC4032/ "%USERPROFILE%\AppData\Local\Temp\OnboardLogs"\RTDC4032\2017-12-15 --exclude "*" --recursive --include "*20171215*" &amp; "%USERPROFILE%\Documents\GitHub\mrs-test-scripts\Headless Mode &amp; Sideloading\WalkAndUnGZ.bat" "%USERPROFILE%\AppData\Local\Temp\OnboardLogs"\RTDC4032\2017-12-15 &amp; aws s3 cp s3://rtdc.mdm.uploadarchive.raw/RTDC4032/ "%USERPROFILE%\AppData\Local\Temp\OnboardLogs"\RTDC4032\2017-12-16 --exclude "*" --recursive --include "*20171216*" &amp; "%USERPROFILE%\Documents\GitHub\mrs-test-scripts\Headless Mode &amp; Sideloading\WalkAndUnGZ.bat" "%USERPROFILE%\AppData\Local\Temp\OnboardLogs"\RTDC4032\2017-12-16</v>
      </c>
      <c r="AF89" s="234" t="str">
        <f t="shared" si="45"/>
        <v>"C:\Program Files (x86)\AstroGrep\AstroGrep.exe" /e /r /s /spath="%USERPROFILE%\AppData\Local\Temp\OnboardLogs" /stypes="app*4032*20171215*" /stext=" 20:.+((SYSTEM_STATE.+slice.+state.+changed )|(ment ac)|(multiple cpu faults)|(system.+state.+changed )|(\[timeout)|(PRM\|1\|D)|(kpr)|(kdp)|(train st.+moving)|(\|lc)|(penalty))"</v>
      </c>
      <c r="AG89" s="226" t="str">
        <f t="shared" si="46"/>
        <v>EC</v>
      </c>
      <c r="AH89" s="189" t="str">
        <f t="shared" si="47"/>
        <v>"%USERPROFILE%\Documents\GitHub\eaglep3\Utilities\RefineRTDCRunTimes.py" --tripid 175-15 --locoid 4032 --swversion DE.1.0.9.0 --startMP 204:570 --initTime 2017-12-15T12:52:30 --startdatetime 2017-12-15T13:00:18 --delay 54 --endMP 204:233315 --enddatetime 2017-12-15T13:35:47 --enforcementcount 0 &gt;&gt;%USERPROFILE%\Documents\GitHub\eaglep3-reporting\EC\2017-12-15-refined-times.txt</v>
      </c>
      <c r="AI89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{"issue":{"subject":"","project_id":79,"tracker_id":40,"status_id":1,"priority_id":2,"assigned_to_id":338,"start_date":"2017-12-15","description":"","custom_fields":[{"id":1,"name":"Subdivision","value":"EC"},{"id":4,"name":"Milepost","value":"23.3315"},{"id":17,"name":"Train ID","value":"175-15"},{"id":16,"name":"Locomotive ID","value":"4032"},{"id":130,"name":"Impact","value":""},{"id":150,"name":"Time of Event (Mountain Time)","value":"13:35:47"},{"id":151,"name":"Denver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180"/>
      <c r="AK89" s="188"/>
      <c r="AL89" s="188"/>
      <c r="AM89" s="193" t="str">
        <f t="shared" si="49"/>
        <v>start /low /b %USERPROFILE%\Documents\GitHub\eaglep3\Utilities\DownloadLogsFromS3.py --loco 4032 --day 2017-12-15</v>
      </c>
      <c r="AN89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20:35:47"},{"id":29,"name":"Sharepoint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87" t="str">
        <f t="shared" si="51"/>
        <v>https://d0f6bd738d7f1b3e5a7ca70fe4ff75f0.us-east-1.aws.found.io/app/kibana#/discover/Steve-Slow-Train-Analysis-(2080s-and-2083s)?_g=(refreshInterval:(display:Off,pause:!f,section:0,value:0),time:(from:'2017-12-15T11:52:30-0700',mode:absolute,to:'2017-12-15T14:35:47-0700'))&amp;_a=(columns:!('Message%20ID',Summary),filters:!(),index:'emp_*',interval:auto,query:(query_string:(analyze_wildcard:!t,query:'%22rtdc.l.rtdc.4032%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186" t="s">
        <v>791</v>
      </c>
      <c r="B90" s="182">
        <v>4031</v>
      </c>
      <c r="C90" s="184" t="s">
        <v>192</v>
      </c>
      <c r="D90" s="184" t="s">
        <v>958</v>
      </c>
      <c r="E90" s="183">
        <v>43084.571435185186</v>
      </c>
      <c r="F90" s="183">
        <v>43084.581412037034</v>
      </c>
      <c r="G90" s="182">
        <v>47</v>
      </c>
      <c r="H90" s="184" t="s">
        <v>959</v>
      </c>
      <c r="I90" s="183">
        <v>43084.606805555559</v>
      </c>
      <c r="J90" s="182">
        <v>0</v>
      </c>
      <c r="K90" s="190" t="str">
        <f t="shared" si="35"/>
        <v>4031/4032</v>
      </c>
      <c r="L90" s="196" t="str">
        <f>VLOOKUP(A90,'Trips&amp;Operators'!$C$1:$G$99911,5,FALSE)</f>
        <v>NEWELL JAMES</v>
      </c>
      <c r="M90" s="181">
        <f t="shared" si="36"/>
        <v>2.5393518524651881E-2</v>
      </c>
      <c r="N90" s="182">
        <f t="shared" si="53"/>
        <v>36.566666675498709</v>
      </c>
      <c r="O90" s="182"/>
      <c r="P90" s="182"/>
      <c r="Q90" s="185"/>
      <c r="R90" s="197"/>
      <c r="S90" s="241">
        <f t="shared" si="52"/>
        <v>1</v>
      </c>
      <c r="T90" s="220" t="str">
        <f t="shared" si="37"/>
        <v>Southbound</v>
      </c>
      <c r="U90" s="22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21" t="str">
        <f t="shared" si="38"/>
        <v>https://d0f6bd738d7f1b3e5a7ca70fe4ff75f0.us-east-1.aws.found.io/app/kibana#/discover/Steve-Slow-Train-Analysis-(2080s-and-2083s)?_g=(refreshInterval:(display:Off,pause:!f,section:0,value:0),time:(from:'2017-12-15T12:42:52-0700',mode:absolute,to:'2017-12-15T15:33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0" s="222" t="str">
        <f>IF(AA90&lt;VLOOKUP(AG90,Variables!$AC$3:$AD$8,2,FALSE),"Y","N")</f>
        <v>N</v>
      </c>
      <c r="X90" s="222">
        <f t="shared" si="39"/>
        <v>1</v>
      </c>
      <c r="Y90" s="222">
        <f t="shared" si="40"/>
        <v>23.300599999999999</v>
      </c>
      <c r="Z90" s="222">
        <f t="shared" si="41"/>
        <v>2.8199999999999999E-2</v>
      </c>
      <c r="AA90" s="222">
        <f t="shared" si="42"/>
        <v>23.272400000000001</v>
      </c>
      <c r="AB90" s="231" t="e">
        <f>VLOOKUP(A90,Enforcements!$C$7:$K$9,8,0)</f>
        <v>#N/A</v>
      </c>
      <c r="AC90" s="231" t="e">
        <f>VLOOKUP(A90,Enforcements!$C$7:$E$9,3,0)</f>
        <v>#N/A</v>
      </c>
      <c r="AD90" s="232">
        <f t="shared" si="43"/>
        <v>176</v>
      </c>
      <c r="AE90" s="233" t="str">
        <f t="shared" si="44"/>
        <v>aws s3 cp s3://rtdc.mdm.uploadarchive.raw/RTDC4031/ "%USERPROFILE%\AppData\Local\Temp\OnboardLogs"\RTDC4031\2017-12-15 --exclude "*" --recursive --include "*20171215*" &amp; "%USERPROFILE%\Documents\GitHub\mrs-test-scripts\Headless Mode &amp; Sideloading\WalkAndUnGZ.bat" "%USERPROFILE%\AppData\Local\Temp\OnboardLogs"\RTDC4031\2017-12-15 &amp; aws s3 cp s3://rtdc.mdm.uploadarchive.raw/RTDC4031/ "%USERPROFILE%\AppData\Local\Temp\OnboardLogs"\RTDC4031\2017-12-16 --exclude "*" --recursive --include "*20171216*" &amp; "%USERPROFILE%\Documents\GitHub\mrs-test-scripts\Headless Mode &amp; Sideloading\WalkAndUnGZ.bat" "%USERPROFILE%\AppData\Local\Temp\OnboardLogs"\RTDC4031\2017-12-16</v>
      </c>
      <c r="AF90" s="234" t="str">
        <f t="shared" si="45"/>
        <v>"C:\Program Files (x86)\AstroGrep\AstroGrep.exe" /e /r /s /spath="%USERPROFILE%\AppData\Local\Temp\OnboardLogs" /stypes="app*4031*20171215*" /stext=" 21:.+((SYSTEM_STATE.+slice.+state.+changed )|(ment ac)|(multiple cpu faults)|(system.+state.+changed )|(\[timeout)|(PRM\|1\|D)|(kpr)|(kdp)|(train st.+moving)|(\|lc)|(penalty))"</v>
      </c>
      <c r="AG90" s="226" t="str">
        <f t="shared" si="46"/>
        <v>EC</v>
      </c>
      <c r="AH90" s="189" t="str">
        <f t="shared" si="47"/>
        <v>"%USERPROFILE%\Documents\GitHub\eaglep3\Utilities\RefineRTDCRunTimes.py" --tripid 176-15 --locoid 4031 --swversion DE.1.0.9.0 --startMP 204:233006 --initTime 2017-12-15T13:42:52 --startdatetime 2017-12-15T13:57:14 --delay 47 --endMP 204:282 --enddatetime 2017-12-15T14:33:48 --enforcementcount 0 &gt;&gt;%USERPROFILE%\Documents\GitHub\eaglep3-reporting\EC\2017-12-15-refined-times.txt</v>
      </c>
      <c r="AI90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{"issue":{"subject":"","project_id":79,"tracker_id":40,"status_id":1,"priority_id":2,"assigned_to_id":338,"start_date":"2017-12-15","description":"","custom_fields":[{"id":1,"name":"Subdivision","value":"EC"},{"id":4,"name":"Milepost","value":"0.0282"},{"id":17,"name":"Train ID","value":"176-15"},{"id":16,"name":"Locomotive ID","value":"4031"},{"id":130,"name":"Impact","value":""},{"id":150,"name":"Time of Event (Mountain Time)","value":"14:33:48"},{"id":151,"name":"Denver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180"/>
      <c r="AK90" s="188"/>
      <c r="AL90" s="188"/>
      <c r="AM90" s="193" t="str">
        <f t="shared" si="49"/>
        <v>start /low /b %USERPROFILE%\Documents\GitHub\eaglep3\Utilities\DownloadLogsFromS3.py --loco 4031 --day 2017-12-15</v>
      </c>
      <c r="AN90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21:33:48"},{"id":29,"name":"Sharepoint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87" t="str">
        <f t="shared" si="51"/>
        <v>https://d0f6bd738d7f1b3e5a7ca70fe4ff75f0.us-east-1.aws.found.io/app/kibana#/discover/Steve-Slow-Train-Analysis-(2080s-and-2083s)?_g=(refreshInterval:(display:Off,pause:!f,section:0,value:0),time:(from:'2017-12-15T12:42:52-0700',mode:absolute,to:'2017-12-15T15:33:48-0700'))&amp;_a=(columns:!('Message%20ID',Summary),filters:!(),index:'emp_*',interval:auto,query:(query_string:(analyze_wildcard:!t,query:'%22rtdc.l.rtdc.4031%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186" t="s">
        <v>785</v>
      </c>
      <c r="B91" s="182">
        <v>4062</v>
      </c>
      <c r="C91" s="184" t="s">
        <v>192</v>
      </c>
      <c r="D91" s="184" t="s">
        <v>635</v>
      </c>
      <c r="E91" s="183">
        <v>43084.545856481483</v>
      </c>
      <c r="F91" s="183">
        <v>43084.552256944444</v>
      </c>
      <c r="G91" s="182">
        <v>207</v>
      </c>
      <c r="H91" s="184" t="s">
        <v>960</v>
      </c>
      <c r="I91" s="183">
        <v>43084.576284722221</v>
      </c>
      <c r="J91" s="182">
        <v>0</v>
      </c>
      <c r="K91" s="190" t="str">
        <f t="shared" si="35"/>
        <v>4061/4062</v>
      </c>
      <c r="L91" s="196" t="str">
        <f>VLOOKUP(A91,'Trips&amp;Operators'!$C$1:$G$99911,5,FALSE)</f>
        <v>GONZALEZ ARMANDO</v>
      </c>
      <c r="M91" s="181">
        <f t="shared" si="36"/>
        <v>2.4027777777519077E-2</v>
      </c>
      <c r="N91" s="182">
        <f t="shared" si="53"/>
        <v>34.599999999627471</v>
      </c>
      <c r="O91" s="182"/>
      <c r="P91" s="182"/>
      <c r="Q91" s="185"/>
      <c r="R91" s="197"/>
      <c r="S91" s="241">
        <f t="shared" si="52"/>
        <v>1</v>
      </c>
      <c r="T91" s="220" t="str">
        <f t="shared" si="37"/>
        <v>NorthBound</v>
      </c>
      <c r="U91" s="22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21" t="str">
        <f t="shared" si="38"/>
        <v>https://d0f6bd738d7f1b3e5a7ca70fe4ff75f0.us-east-1.aws.found.io/app/kibana#/discover/Steve-Slow-Train-Analysis-(2080s-and-2083s)?_g=(refreshInterval:(display:Off,pause:!f,section:0,value:0),time:(from:'2017-12-15T12:06:02-0700',mode:absolute,to:'2017-12-15T14:49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1" s="222" t="str">
        <f>IF(AA91&lt;VLOOKUP(AG91,Variables!$AC$3:$AD$8,2,FALSE),"Y","N")</f>
        <v>N</v>
      </c>
      <c r="X91" s="222">
        <f t="shared" si="39"/>
        <v>1</v>
      </c>
      <c r="Y91" s="222">
        <f t="shared" si="40"/>
        <v>4.53E-2</v>
      </c>
      <c r="Z91" s="222">
        <f t="shared" si="41"/>
        <v>23.335899999999999</v>
      </c>
      <c r="AA91" s="222">
        <f t="shared" si="42"/>
        <v>23.290599999999998</v>
      </c>
      <c r="AB91" s="231" t="e">
        <f>VLOOKUP(A91,Enforcements!$C$7:$K$9,8,0)</f>
        <v>#N/A</v>
      </c>
      <c r="AC91" s="231" t="e">
        <f>VLOOKUP(A91,Enforcements!$C$7:$E$9,3,0)</f>
        <v>#N/A</v>
      </c>
      <c r="AD91" s="232">
        <f t="shared" si="43"/>
        <v>177</v>
      </c>
      <c r="AE91" s="233" t="str">
        <f t="shared" si="44"/>
        <v>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 &amp; aws s3 cp s3://rtdc.mdm.uploadarchive.raw/RTDC4062/ "%USERPROFILE%\AppData\Local\Temp\OnboardLogs"\RTDC4062\2017-12-16 --exclude "*" --recursive --include "*20171216*" &amp; "%USERPROFILE%\Documents\GitHub\mrs-test-scripts\Headless Mode &amp; Sideloading\WalkAndUnGZ.bat" "%USERPROFILE%\AppData\Local\Temp\OnboardLogs"\RTDC4062\2017-12-16</v>
      </c>
      <c r="AF91" s="234" t="str">
        <f t="shared" si="45"/>
        <v>"C:\Program Files (x86)\AstroGrep\AstroGrep.exe" /e /r /s /spath="%USERPROFILE%\AppData\Local\Temp\OnboardLogs" /stypes="app*4062*20171215*" /stext=" 20:.+((SYSTEM_STATE.+slice.+state.+changed )|(ment ac)|(multiple cpu faults)|(system.+state.+changed )|(\[timeout)|(PRM\|1\|D)|(kpr)|(kdp)|(train st.+moving)|(\|lc)|(penalty))"</v>
      </c>
      <c r="AG91" s="226" t="str">
        <f t="shared" si="46"/>
        <v>EC</v>
      </c>
      <c r="AH91" s="189" t="str">
        <f t="shared" si="47"/>
        <v>"%USERPROFILE%\Documents\GitHub\eaglep3\Utilities\RefineRTDCRunTimes.py" --tripid 177-15 --locoid 4062 --swversion DE.1.0.9.0 --startMP 204:453 --initTime 2017-12-15T13:06:02 --startdatetime 2017-12-15T13:15:15 --delay 207 --endMP 204:233359 --enddatetime 2017-12-15T13:49:51 --enforcementcount 0 &gt;&gt;%USERPROFILE%\Documents\GitHub\eaglep3-reporting\EC\2017-12-15-refined-times.txt</v>
      </c>
      <c r="AI91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{"issue":{"subject":"","project_id":79,"tracker_id":40,"status_id":1,"priority_id":2,"assigned_to_id":338,"start_date":"2017-12-15","description":"","custom_fields":[{"id":1,"name":"Subdivision","value":"EC"},{"id":4,"name":"Milepost","value":"23.3359"},{"id":17,"name":"Train ID","value":"177-15"},{"id":16,"name":"Locomotive ID","value":"4062"},{"id":130,"name":"Impact","value":""},{"id":150,"name":"Time of Event (Mountain Time)","value":"13:49:51"},{"id":151,"name":"Denver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180"/>
      <c r="AK91" s="188"/>
      <c r="AL91" s="188"/>
      <c r="AM91" s="193" t="str">
        <f t="shared" si="49"/>
        <v>start /low /b %USERPROFILE%\Documents\GitHub\eaglep3\Utilities\DownloadLogsFromS3.py --loco 4062 --day 2017-12-15</v>
      </c>
      <c r="AN91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20:49:51"},{"id":29,"name":"Sharepoint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87" t="str">
        <f t="shared" si="51"/>
        <v>https://d0f6bd738d7f1b3e5a7ca70fe4ff75f0.us-east-1.aws.found.io/app/kibana#/discover/Steve-Slow-Train-Analysis-(2080s-and-2083s)?_g=(refreshInterval:(display:Off,pause:!f,section:0,value:0),time:(from:'2017-12-15T12:06:02-0700',mode:absolute,to:'2017-12-15T14:49:51-0700'))&amp;_a=(columns:!('Message%20ID',Summary),filters:!(),index:'emp_*',interval:auto,query:(query_string:(analyze_wildcard:!t,query:'%22rtdc.l.rtdc.4062%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186" t="s">
        <v>794</v>
      </c>
      <c r="B92" s="182">
        <v>4061</v>
      </c>
      <c r="C92" s="184" t="s">
        <v>192</v>
      </c>
      <c r="D92" s="184" t="s">
        <v>961</v>
      </c>
      <c r="E92" s="183">
        <v>43084.587708333333</v>
      </c>
      <c r="F92" s="183">
        <v>43084.591828703706</v>
      </c>
      <c r="G92" s="182">
        <v>80</v>
      </c>
      <c r="H92" s="184" t="s">
        <v>892</v>
      </c>
      <c r="I92" s="183">
        <v>43084.617534722223</v>
      </c>
      <c r="J92" s="182">
        <v>0</v>
      </c>
      <c r="K92" s="190" t="str">
        <f t="shared" si="35"/>
        <v>4061/4062</v>
      </c>
      <c r="L92" s="196" t="str">
        <f>VLOOKUP(A92,'Trips&amp;Operators'!$C$1:$G$99911,5,FALSE)</f>
        <v>GONZALEZ ARMANDO</v>
      </c>
      <c r="M92" s="181">
        <f t="shared" si="36"/>
        <v>2.5706018517666962E-2</v>
      </c>
      <c r="N92" s="182">
        <f t="shared" si="53"/>
        <v>37.016666665440425</v>
      </c>
      <c r="O92" s="182"/>
      <c r="P92" s="182"/>
      <c r="Q92" s="185"/>
      <c r="R92" s="197"/>
      <c r="S92" s="241">
        <f t="shared" si="52"/>
        <v>1</v>
      </c>
      <c r="T92" s="220" t="str">
        <f t="shared" si="37"/>
        <v>Southbound</v>
      </c>
      <c r="U92" s="22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21" t="str">
        <f t="shared" si="38"/>
        <v>https://d0f6bd738d7f1b3e5a7ca70fe4ff75f0.us-east-1.aws.found.io/app/kibana#/discover/Steve-Slow-Train-Analysis-(2080s-and-2083s)?_g=(refreshInterval:(display:Off,pause:!f,section:0,value:0),time:(from:'2017-12-15T13:06:18-0700',mode:absolute,to:'2017-12-15T15:49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2" s="222" t="str">
        <f>IF(AA92&lt;VLOOKUP(AG92,Variables!$AC$3:$AD$8,2,FALSE),"Y","N")</f>
        <v>N</v>
      </c>
      <c r="X92" s="222">
        <f t="shared" si="39"/>
        <v>1</v>
      </c>
      <c r="Y92" s="222">
        <f t="shared" si="40"/>
        <v>23.300699999999999</v>
      </c>
      <c r="Z92" s="222">
        <f t="shared" si="41"/>
        <v>1.7600000000000001E-2</v>
      </c>
      <c r="AA92" s="222">
        <f t="shared" si="42"/>
        <v>23.283099999999997</v>
      </c>
      <c r="AB92" s="231" t="e">
        <f>VLOOKUP(A92,Enforcements!$C$7:$K$9,8,0)</f>
        <v>#N/A</v>
      </c>
      <c r="AC92" s="231" t="e">
        <f>VLOOKUP(A92,Enforcements!$C$7:$E$9,3,0)</f>
        <v>#N/A</v>
      </c>
      <c r="AD92" s="232">
        <f t="shared" si="43"/>
        <v>178</v>
      </c>
      <c r="AE92" s="233" t="str">
        <f t="shared" si="44"/>
        <v>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 &amp; aws s3 cp s3://rtdc.mdm.uploadarchive.raw/RTDC4061/ "%USERPROFILE%\AppData\Local\Temp\OnboardLogs"\RTDC4061\2017-12-16 --exclude "*" --recursive --include "*20171216*" &amp; "%USERPROFILE%\Documents\GitHub\mrs-test-scripts\Headless Mode &amp; Sideloading\WalkAndUnGZ.bat" "%USERPROFILE%\AppData\Local\Temp\OnboardLogs"\RTDC4061\2017-12-16</v>
      </c>
      <c r="AF92" s="234" t="str">
        <f t="shared" si="45"/>
        <v>"C:\Program Files (x86)\AstroGrep\AstroGrep.exe" /e /r /s /spath="%USERPROFILE%\AppData\Local\Temp\OnboardLogs" /stypes="app*4061*20171215*" /stext=" 21:.+((SYSTEM_STATE.+slice.+state.+changed )|(ment ac)|(multiple cpu faults)|(system.+state.+changed )|(\[timeout)|(PRM\|1\|D)|(kpr)|(kdp)|(train st.+moving)|(\|lc)|(penalty))"</v>
      </c>
      <c r="AG92" s="226" t="str">
        <f t="shared" si="46"/>
        <v>EC</v>
      </c>
      <c r="AH92" s="189" t="str">
        <f t="shared" si="47"/>
        <v>"%USERPROFILE%\Documents\GitHub\eaglep3\Utilities\RefineRTDCRunTimes.py" --tripid 178-15 --locoid 4061 --swversion DE.1.0.9.0 --startMP 204:233007 --initTime 2017-12-15T14:06:18 --startdatetime 2017-12-15T14:12:14 --delay 80 --endMP 204:176 --enddatetime 2017-12-15T14:49:15 --enforcementcount 0 &gt;&gt;%USERPROFILE%\Documents\GitHub\eaglep3-reporting\EC\2017-12-15-refined-times.txt</v>
      </c>
      <c r="AI92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{"issue":{"subject":"","project_id":79,"tracker_id":40,"status_id":1,"priority_id":2,"assigned_to_id":338,"start_date":"2017-12-15","description":"","custom_fields":[{"id":1,"name":"Subdivision","value":"EC"},{"id":4,"name":"Milepost","value":"0.0176"},{"id":17,"name":"Train ID","value":"178-15"},{"id":16,"name":"Locomotive ID","value":"4061"},{"id":130,"name":"Impact","value":""},{"id":150,"name":"Time of Event (Mountain Time)","value":"14:49:15"},{"id":151,"name":"Denver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180"/>
      <c r="AK92" s="188"/>
      <c r="AL92" s="188"/>
      <c r="AM92" s="193" t="str">
        <f t="shared" si="49"/>
        <v>start /low /b %USERPROFILE%\Documents\GitHub\eaglep3\Utilities\DownloadLogsFromS3.py --loco 4061 --day 2017-12-15</v>
      </c>
      <c r="AN92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21:49:15"},{"id":29,"name":"Sharepoint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87" t="str">
        <f t="shared" si="51"/>
        <v>https://d0f6bd738d7f1b3e5a7ca70fe4ff75f0.us-east-1.aws.found.io/app/kibana#/discover/Steve-Slow-Train-Analysis-(2080s-and-2083s)?_g=(refreshInterval:(display:Off,pause:!f,section:0,value:0),time:(from:'2017-12-15T13:06:18-0700',mode:absolute,to:'2017-12-15T15:49:15-0700'))&amp;_a=(columns:!('Message%20ID',Summary),filters:!(),index:'emp_*',interval:auto,query:(query_string:(analyze_wildcard:!t,query:'%22rtdc.l.rtdc.4061%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186" t="s">
        <v>787</v>
      </c>
      <c r="B93" s="182">
        <v>4042</v>
      </c>
      <c r="C93" s="184" t="s">
        <v>192</v>
      </c>
      <c r="D93" s="184" t="s">
        <v>962</v>
      </c>
      <c r="E93" s="183">
        <v>43084.558738425927</v>
      </c>
      <c r="F93" s="183">
        <v>43084.562685185185</v>
      </c>
      <c r="G93" s="182">
        <v>56</v>
      </c>
      <c r="H93" s="184" t="s">
        <v>963</v>
      </c>
      <c r="I93" s="183">
        <v>43084.587789351855</v>
      </c>
      <c r="J93" s="182">
        <v>0</v>
      </c>
      <c r="K93" s="190" t="str">
        <f t="shared" si="35"/>
        <v>4041/4042</v>
      </c>
      <c r="L93" s="196" t="str">
        <f>VLOOKUP(A93,'Trips&amp;Operators'!$C$1:$G$99911,5,FALSE)</f>
        <v>LONG FULLER</v>
      </c>
      <c r="M93" s="181">
        <f t="shared" si="36"/>
        <v>2.510416667064419E-2</v>
      </c>
      <c r="N93" s="182">
        <f t="shared" si="53"/>
        <v>36.150000005727634</v>
      </c>
      <c r="O93" s="182"/>
      <c r="P93" s="182"/>
      <c r="Q93" s="185"/>
      <c r="R93" s="197"/>
      <c r="S93" s="241">
        <f t="shared" si="52"/>
        <v>1</v>
      </c>
      <c r="T93" s="220" t="str">
        <f t="shared" si="37"/>
        <v>NorthBound</v>
      </c>
      <c r="U93" s="22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21" t="str">
        <f t="shared" si="38"/>
        <v>https://d0f6bd738d7f1b3e5a7ca70fe4ff75f0.us-east-1.aws.found.io/app/kibana#/discover/Steve-Slow-Train-Analysis-(2080s-and-2083s)?_g=(refreshInterval:(display:Off,pause:!f,section:0,value:0),time:(from:'2017-12-15T12:24:35-0700',mode:absolute,to:'2017-12-15T15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3" s="222" t="str">
        <f>IF(AA93&lt;VLOOKUP(AG93,Variables!$AC$3:$AD$8,2,FALSE),"Y","N")</f>
        <v>N</v>
      </c>
      <c r="X93" s="222">
        <f t="shared" si="39"/>
        <v>1</v>
      </c>
      <c r="Y93" s="222">
        <f t="shared" si="40"/>
        <v>5.33E-2</v>
      </c>
      <c r="Z93" s="222">
        <f t="shared" si="41"/>
        <v>23.321899999999999</v>
      </c>
      <c r="AA93" s="222">
        <f t="shared" si="42"/>
        <v>23.268599999999999</v>
      </c>
      <c r="AB93" s="231" t="e">
        <f>VLOOKUP(A93,Enforcements!$C$7:$K$9,8,0)</f>
        <v>#N/A</v>
      </c>
      <c r="AC93" s="231" t="e">
        <f>VLOOKUP(A93,Enforcements!$C$7:$E$9,3,0)</f>
        <v>#N/A</v>
      </c>
      <c r="AD93" s="232">
        <f t="shared" si="43"/>
        <v>179</v>
      </c>
      <c r="AE93" s="233" t="str">
        <f t="shared" si="44"/>
        <v>aws s3 cp s3://rtdc.mdm.uploadarchive.raw/RTDC4042/ "%USERPROFILE%\AppData\Local\Temp\OnboardLogs"\RTDC4042\2017-12-15 --exclude "*" --recursive --include "*20171215*" &amp; "%USERPROFILE%\Documents\GitHub\mrs-test-scripts\Headless Mode &amp; Sideloading\WalkAndUnGZ.bat" "%USERPROFILE%\AppData\Local\Temp\OnboardLogs"\RTDC4042\2017-12-15 &amp; aws s3 cp s3://rtdc.mdm.uploadarchive.raw/RTDC4042/ "%USERPROFILE%\AppData\Local\Temp\OnboardLogs"\RTDC4042\2017-12-16 --exclude "*" --recursive --include "*20171216*" &amp; "%USERPROFILE%\Documents\GitHub\mrs-test-scripts\Headless Mode &amp; Sideloading\WalkAndUnGZ.bat" "%USERPROFILE%\AppData\Local\Temp\OnboardLogs"\RTDC4042\2017-12-16</v>
      </c>
      <c r="AF93" s="234" t="str">
        <f t="shared" si="45"/>
        <v>"C:\Program Files (x86)\AstroGrep\AstroGrep.exe" /e /r /s /spath="%USERPROFILE%\AppData\Local\Temp\OnboardLogs" /stypes="app*4042*20171215*" /stext=" 21:.+((SYSTEM_STATE.+slice.+state.+changed )|(ment ac)|(multiple cpu faults)|(system.+state.+changed )|(\[timeout)|(PRM\|1\|D)|(kpr)|(kdp)|(train st.+moving)|(\|lc)|(penalty))"</v>
      </c>
      <c r="AG93" s="226" t="str">
        <f t="shared" si="46"/>
        <v>EC</v>
      </c>
      <c r="AH93" s="189" t="str">
        <f t="shared" si="47"/>
        <v>"%USERPROFILE%\Documents\GitHub\eaglep3\Utilities\RefineRTDCRunTimes.py" --tripid 179-15 --locoid 4042 --swversion DE.1.0.9.0 --startMP 204:533 --initTime 2017-12-15T13:24:35 --startdatetime 2017-12-15T13:30:16 --delay 56 --endMP 204:233219 --enddatetime 2017-12-15T14:06:25 --enforcementcount 0 &gt;&gt;%USERPROFILE%\Documents\GitHub\eaglep3-reporting\EC\2017-12-15-refined-times.txt</v>
      </c>
      <c r="AI93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{"issue":{"subject":"","project_id":79,"tracker_id":40,"status_id":1,"priority_id":2,"assigned_to_id":338,"start_date":"2017-12-15","description":"","custom_fields":[{"id":1,"name":"Subdivision","value":"EC"},{"id":4,"name":"Milepost","value":"23.3219"},{"id":17,"name":"Train ID","value":"179-15"},{"id":16,"name":"Locomotive ID","value":"4042"},{"id":130,"name":"Impact","value":""},{"id":150,"name":"Time of Event (Mountain Time)","value":"14:06:25"},{"id":151,"name":"Denver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180"/>
      <c r="AK93" s="188"/>
      <c r="AL93" s="188"/>
      <c r="AM93" s="193" t="str">
        <f t="shared" si="49"/>
        <v>start /low /b %USERPROFILE%\Documents\GitHub\eaglep3\Utilities\DownloadLogsFromS3.py --loco 4042 --day 2017-12-15</v>
      </c>
      <c r="AN93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21:06:25"},{"id":29,"name":"Sharepoint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87" t="str">
        <f t="shared" si="51"/>
        <v>https://d0f6bd738d7f1b3e5a7ca70fe4ff75f0.us-east-1.aws.found.io/app/kibana#/discover/Steve-Slow-Train-Analysis-(2080s-and-2083s)?_g=(refreshInterval:(display:Off,pause:!f,section:0,value:0),time:(from:'2017-12-15T12:24:35-0700',mode:absolute,to:'2017-12-15T15:06:25-0700'))&amp;_a=(columns:!('Message%20ID',Summary),filters:!(),index:'emp_*',interval:auto,query:(query_string:(analyze_wildcard:!t,query:'%22rtdc.l.rtdc.4042%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186" t="s">
        <v>796</v>
      </c>
      <c r="B94" s="182">
        <v>4041</v>
      </c>
      <c r="C94" s="184" t="s">
        <v>192</v>
      </c>
      <c r="D94" s="184" t="s">
        <v>964</v>
      </c>
      <c r="E94" s="183">
        <v>43084.594074074077</v>
      </c>
      <c r="F94" s="183">
        <v>43084.602384259262</v>
      </c>
      <c r="G94" s="182">
        <v>58</v>
      </c>
      <c r="H94" s="184" t="s">
        <v>527</v>
      </c>
      <c r="I94" s="183">
        <v>43084.630324074074</v>
      </c>
      <c r="J94" s="182">
        <v>0</v>
      </c>
      <c r="K94" s="190" t="str">
        <f t="shared" si="35"/>
        <v>4041/4042</v>
      </c>
      <c r="L94" s="196" t="str">
        <f>VLOOKUP(A94,'Trips&amp;Operators'!$C$1:$G$99911,5,FALSE)</f>
        <v>LONG FULLER</v>
      </c>
      <c r="M94" s="181">
        <f t="shared" si="36"/>
        <v>2.7939814812270924E-2</v>
      </c>
      <c r="N94" s="182">
        <f t="shared" si="53"/>
        <v>40.233333329670131</v>
      </c>
      <c r="O94" s="182"/>
      <c r="P94" s="182"/>
      <c r="Q94" s="185"/>
      <c r="R94" s="197"/>
      <c r="S94" s="241">
        <f t="shared" si="52"/>
        <v>1</v>
      </c>
      <c r="T94" s="220" t="str">
        <f t="shared" si="37"/>
        <v>Southbound</v>
      </c>
      <c r="U94" s="22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21" t="str">
        <f t="shared" si="38"/>
        <v>https://d0f6bd738d7f1b3e5a7ca70fe4ff75f0.us-east-1.aws.found.io/app/kibana#/discover/Steve-Slow-Train-Analysis-(2080s-and-2083s)?_g=(refreshInterval:(display:Off,pause:!f,section:0,value:0),time:(from:'2017-12-15T13:15:28-0700',mode:absolute,to:'2017-12-15T16:07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4" s="222" t="str">
        <f>IF(AA94&lt;VLOOKUP(AG94,Variables!$AC$3:$AD$8,2,FALSE),"Y","N")</f>
        <v>N</v>
      </c>
      <c r="X94" s="222">
        <f t="shared" si="39"/>
        <v>1</v>
      </c>
      <c r="Y94" s="222">
        <f t="shared" si="40"/>
        <v>23.291499999999999</v>
      </c>
      <c r="Z94" s="222">
        <f t="shared" si="41"/>
        <v>2.29E-2</v>
      </c>
      <c r="AA94" s="222">
        <f t="shared" si="42"/>
        <v>23.268599999999999</v>
      </c>
      <c r="AB94" s="231" t="e">
        <f>VLOOKUP(A94,Enforcements!$C$7:$K$9,8,0)</f>
        <v>#N/A</v>
      </c>
      <c r="AC94" s="231" t="e">
        <f>VLOOKUP(A94,Enforcements!$C$7:$E$9,3,0)</f>
        <v>#N/A</v>
      </c>
      <c r="AD94" s="232">
        <f t="shared" si="43"/>
        <v>180</v>
      </c>
      <c r="AE94" s="233" t="str">
        <f t="shared" si="44"/>
        <v>aws s3 cp s3://rtdc.mdm.uploadarchive.raw/RTDC4041/ "%USERPROFILE%\AppData\Local\Temp\OnboardLogs"\RTDC4041\2017-12-15 --exclude "*" --recursive --include "*20171215*" &amp; "%USERPROFILE%\Documents\GitHub\mrs-test-scripts\Headless Mode &amp; Sideloading\WalkAndUnGZ.bat" "%USERPROFILE%\AppData\Local\Temp\OnboardLogs"\RTDC4041\2017-12-15 &amp; aws s3 cp s3://rtdc.mdm.uploadarchive.raw/RTDC4041/ "%USERPROFILE%\AppData\Local\Temp\OnboardLogs"\RTDC4041\2017-12-16 --exclude "*" --recursive --include "*20171216*" &amp; "%USERPROFILE%\Documents\GitHub\mrs-test-scripts\Headless Mode &amp; Sideloading\WalkAndUnGZ.bat" "%USERPROFILE%\AppData\Local\Temp\OnboardLogs"\RTDC4041\2017-12-16</v>
      </c>
      <c r="AF94" s="234" t="str">
        <f t="shared" si="45"/>
        <v>"C:\Program Files (x86)\AstroGrep\AstroGrep.exe" /e /r /s /spath="%USERPROFILE%\AppData\Local\Temp\OnboardLogs" /stypes="app*4041*20171215*" /stext=" 22:.+((SYSTEM_STATE.+slice.+state.+changed )|(ment ac)|(multiple cpu faults)|(system.+state.+changed )|(\[timeout)|(PRM\|1\|D)|(kpr)|(kdp)|(train st.+moving)|(\|lc)|(penalty))"</v>
      </c>
      <c r="AG94" s="226" t="str">
        <f t="shared" si="46"/>
        <v>EC</v>
      </c>
      <c r="AH94" s="189" t="str">
        <f t="shared" si="47"/>
        <v>"%USERPROFILE%\Documents\GitHub\eaglep3\Utilities\RefineRTDCRunTimes.py" --tripid 180-15 --locoid 4041 --swversion DE.1.0.9.0 --startMP 204:232915 --initTime 2017-12-15T14:15:28 --startdatetime 2017-12-15T14:27:26 --delay 58 --endMP 204:229 --enddatetime 2017-12-15T15:07:40 --enforcementcount 0 &gt;&gt;%USERPROFILE%\Documents\GitHub\eaglep3-reporting\EC\2017-12-15-refined-times.txt</v>
      </c>
      <c r="AI94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{"issue":{"subject":"","project_id":79,"tracker_id":40,"status_id":1,"priority_id":2,"assigned_to_id":338,"start_date":"2017-12-15","description":"","custom_fields":[{"id":1,"name":"Subdivision","value":"EC"},{"id":4,"name":"Milepost","value":"0.0229"},{"id":17,"name":"Train ID","value":"180-15"},{"id":16,"name":"Locomotive ID","value":"4041"},{"id":130,"name":"Impact","value":""},{"id":150,"name":"Time of Event (Mountain Time)","value":"15:07:40"},{"id":151,"name":"Denver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180"/>
      <c r="AK94" s="188"/>
      <c r="AL94" s="188"/>
      <c r="AM94" s="193" t="str">
        <f t="shared" si="49"/>
        <v>start /low /b %USERPROFILE%\Documents\GitHub\eaglep3\Utilities\DownloadLogsFromS3.py --loco 4041 --day 2017-12-15</v>
      </c>
      <c r="AN94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22:07:40"},{"id":29,"name":"Sharepoint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87" t="str">
        <f t="shared" si="51"/>
        <v>https://d0f6bd738d7f1b3e5a7ca70fe4ff75f0.us-east-1.aws.found.io/app/kibana#/discover/Steve-Slow-Train-Analysis-(2080s-and-2083s)?_g=(refreshInterval:(display:Off,pause:!f,section:0,value:0),time:(from:'2017-12-15T13:15:28-0700',mode:absolute,to:'2017-12-15T16:07:40-0700'))&amp;_a=(columns:!('Message%20ID',Summary),filters:!(),index:'emp_*',interval:auto,query:(query_string:(analyze_wildcard:!t,query:'%22rtdc.l.rtdc.4041%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186" t="s">
        <v>789</v>
      </c>
      <c r="B95" s="182">
        <v>4004</v>
      </c>
      <c r="C95" s="184" t="s">
        <v>192</v>
      </c>
      <c r="D95" s="184" t="s">
        <v>913</v>
      </c>
      <c r="E95" s="183">
        <v>43084.567812499998</v>
      </c>
      <c r="F95" s="183">
        <v>43084.573067129626</v>
      </c>
      <c r="G95" s="182">
        <v>50</v>
      </c>
      <c r="H95" s="184" t="s">
        <v>955</v>
      </c>
      <c r="I95" s="183">
        <v>43084.597442129627</v>
      </c>
      <c r="J95" s="182">
        <v>0</v>
      </c>
      <c r="K95" s="190" t="str">
        <f t="shared" si="35"/>
        <v>4003/4004</v>
      </c>
      <c r="L95" s="196" t="str">
        <f>VLOOKUP(A95,'Trips&amp;Operators'!$C$1:$G$99911,5,FALSE)</f>
        <v>FORTUNATO FRANK</v>
      </c>
      <c r="M95" s="181">
        <f t="shared" si="36"/>
        <v>2.4375000000873115E-2</v>
      </c>
      <c r="N95" s="182">
        <f t="shared" si="53"/>
        <v>35.100000001257285</v>
      </c>
      <c r="O95" s="182"/>
      <c r="P95" s="182"/>
      <c r="Q95" s="185"/>
      <c r="R95" s="197"/>
      <c r="S95" s="241">
        <f t="shared" si="52"/>
        <v>1</v>
      </c>
      <c r="T95" s="220" t="str">
        <f t="shared" si="37"/>
        <v>NorthBound</v>
      </c>
      <c r="U95" s="22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21" t="str">
        <f t="shared" si="38"/>
        <v>https://d0f6bd738d7f1b3e5a7ca70fe4ff75f0.us-east-1.aws.found.io/app/kibana#/discover/Steve-Slow-Train-Analysis-(2080s-and-2083s)?_g=(refreshInterval:(display:Off,pause:!f,section:0,value:0),time:(from:'2017-12-15T12:37:39-0700',mode:absolute,to:'2017-12-15T15:20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5" s="222" t="str">
        <f>IF(AA95&lt;VLOOKUP(AG95,Variables!$AC$3:$AD$8,2,FALSE),"Y","N")</f>
        <v>N</v>
      </c>
      <c r="X95" s="222">
        <f t="shared" si="39"/>
        <v>1</v>
      </c>
      <c r="Y95" s="222">
        <f t="shared" si="40"/>
        <v>0.05</v>
      </c>
      <c r="Z95" s="222">
        <f t="shared" si="41"/>
        <v>23.3201</v>
      </c>
      <c r="AA95" s="222">
        <f t="shared" si="42"/>
        <v>23.270099999999999</v>
      </c>
      <c r="AB95" s="231" t="e">
        <f>VLOOKUP(A95,Enforcements!$C$7:$K$9,8,0)</f>
        <v>#N/A</v>
      </c>
      <c r="AC95" s="231" t="e">
        <f>VLOOKUP(A95,Enforcements!$C$7:$E$9,3,0)</f>
        <v>#N/A</v>
      </c>
      <c r="AD95" s="232">
        <f t="shared" si="43"/>
        <v>181</v>
      </c>
      <c r="AE95" s="233" t="str">
        <f t="shared" si="44"/>
        <v>aws s3 cp s3://rtdc.mdm.uploadarchive.raw/RTDC4004/ "%USERPROFILE%\AppData\Local\Temp\OnboardLogs"\RTDC4004\2017-12-15 --exclude "*" --recursive --include "*20171215*" &amp; "%USERPROFILE%\Documents\GitHub\mrs-test-scripts\Headless Mode &amp; Sideloading\WalkAndUnGZ.bat" "%USERPROFILE%\AppData\Local\Temp\OnboardLogs"\RTDC4004\2017-12-15 &amp; aws s3 cp s3://rtdc.mdm.uploadarchive.raw/RTDC4004/ "%USERPROFILE%\AppData\Local\Temp\OnboardLogs"\RTDC4004\2017-12-16 --exclude "*" --recursive --include "*20171216*" &amp; "%USERPROFILE%\Documents\GitHub\mrs-test-scripts\Headless Mode &amp; Sideloading\WalkAndUnGZ.bat" "%USERPROFILE%\AppData\Local\Temp\OnboardLogs"\RTDC4004\2017-12-16</v>
      </c>
      <c r="AF95" s="234" t="str">
        <f t="shared" si="45"/>
        <v>"C:\Program Files (x86)\AstroGrep\AstroGrep.exe" /e /r /s /spath="%USERPROFILE%\AppData\Local\Temp\OnboardLogs" /stypes="app*4004*20171215*" /stext=" 21:.+((SYSTEM_STATE.+slice.+state.+changed )|(ment ac)|(multiple cpu faults)|(system.+state.+changed )|(\[timeout)|(PRM\|1\|D)|(kpr)|(kdp)|(train st.+moving)|(\|lc)|(penalty))"</v>
      </c>
      <c r="AG95" s="226" t="str">
        <f t="shared" si="46"/>
        <v>EC</v>
      </c>
      <c r="AH95" s="189" t="str">
        <f t="shared" si="47"/>
        <v>"%USERPROFILE%\Documents\GitHub\eaglep3\Utilities\RefineRTDCRunTimes.py" --tripid 181-15 --locoid 4004 --swversion DE.1.0.9.0 --startMP 204:500 --initTime 2017-12-15T13:37:39 --startdatetime 2017-12-15T13:45:13 --delay 50 --endMP 204:233201 --enddatetime 2017-12-15T14:20:19 --enforcementcount 0 &gt;&gt;%USERPROFILE%\Documents\GitHub\eaglep3-reporting\EC\2017-12-15-refined-times.txt</v>
      </c>
      <c r="AI95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{"issue":{"subject":"","project_id":79,"tracker_id":40,"status_id":1,"priority_id":2,"assigned_to_id":338,"start_date":"2017-12-15","description":"","custom_fields":[{"id":1,"name":"Subdivision","value":"EC"},{"id":4,"name":"Milepost","value":"23.3201"},{"id":17,"name":"Train ID","value":"181-15"},{"id":16,"name":"Locomotive ID","value":"4004"},{"id":130,"name":"Impact","value":""},{"id":150,"name":"Time of Event (Mountain Time)","value":"14:20:19"},{"id":151,"name":"Denver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180"/>
      <c r="AK95" s="188"/>
      <c r="AL95" s="188"/>
      <c r="AM95" s="193" t="str">
        <f t="shared" si="49"/>
        <v>start /low /b %USERPROFILE%\Documents\GitHub\eaglep3\Utilities\DownloadLogsFromS3.py --loco 4004 --day 2017-12-15</v>
      </c>
      <c r="AN95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21:20:19"},{"id":29,"name":"Sharepoint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87" t="str">
        <f t="shared" si="51"/>
        <v>https://d0f6bd738d7f1b3e5a7ca70fe4ff75f0.us-east-1.aws.found.io/app/kibana#/discover/Steve-Slow-Train-Analysis-(2080s-and-2083s)?_g=(refreshInterval:(display:Off,pause:!f,section:0,value:0),time:(from:'2017-12-15T12:37:39-0700',mode:absolute,to:'2017-12-15T15:20:19-0700'))&amp;_a=(columns:!('Message%20ID',Summary),filters:!(),index:'emp_*',interval:auto,query:(query_string:(analyze_wildcard:!t,query:'%22rtdc.l.rtdc.4004%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186" t="s">
        <v>663</v>
      </c>
      <c r="B96" s="182">
        <v>4003</v>
      </c>
      <c r="C96" s="184" t="s">
        <v>192</v>
      </c>
      <c r="D96" s="184" t="s">
        <v>965</v>
      </c>
      <c r="E96" s="183">
        <v>43084.598761574074</v>
      </c>
      <c r="F96" s="183">
        <v>43084.612650462965</v>
      </c>
      <c r="G96" s="182">
        <v>47</v>
      </c>
      <c r="H96" s="184" t="s">
        <v>441</v>
      </c>
      <c r="I96" s="183">
        <v>43084.639490740738</v>
      </c>
      <c r="J96" s="182">
        <v>0</v>
      </c>
      <c r="K96" s="190" t="str">
        <f t="shared" si="35"/>
        <v>4003/4004</v>
      </c>
      <c r="L96" s="196" t="str">
        <f>VLOOKUP(A96,'Trips&amp;Operators'!$C$1:$G$99911,5,FALSE)</f>
        <v>FORTUNATO FRANK</v>
      </c>
      <c r="M96" s="181">
        <f t="shared" si="36"/>
        <v>2.6840277772862464E-2</v>
      </c>
      <c r="N96" s="182">
        <f t="shared" si="53"/>
        <v>38.649999992921948</v>
      </c>
      <c r="O96" s="182"/>
      <c r="P96" s="182"/>
      <c r="Q96" s="185"/>
      <c r="R96" s="197"/>
      <c r="S96" s="241">
        <f t="shared" si="52"/>
        <v>1</v>
      </c>
      <c r="T96" s="220" t="str">
        <f t="shared" si="37"/>
        <v>Southbound</v>
      </c>
      <c r="U96" s="22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21" t="str">
        <f t="shared" si="38"/>
        <v>https://d0f6bd738d7f1b3e5a7ca70fe4ff75f0.us-east-1.aws.found.io/app/kibana#/discover/Steve-Slow-Train-Analysis-(2080s-and-2083s)?_g=(refreshInterval:(display:Off,pause:!f,section:0,value:0),time:(from:'2017-12-15T13:22:13-0700',mode:absolute,to:'2017-12-15T16:20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6" s="222" t="str">
        <f>IF(AA96&lt;VLOOKUP(AG96,Variables!$AC$3:$AD$8,2,FALSE),"Y","N")</f>
        <v>N</v>
      </c>
      <c r="X96" s="222">
        <f t="shared" si="39"/>
        <v>1</v>
      </c>
      <c r="Y96" s="222">
        <f t="shared" si="40"/>
        <v>23.287299999999998</v>
      </c>
      <c r="Z96" s="222">
        <f t="shared" si="41"/>
        <v>2.1600000000000001E-2</v>
      </c>
      <c r="AA96" s="222">
        <f t="shared" si="42"/>
        <v>23.265699999999999</v>
      </c>
      <c r="AB96" s="231" t="e">
        <f>VLOOKUP(A96,Enforcements!$C$7:$K$9,8,0)</f>
        <v>#N/A</v>
      </c>
      <c r="AC96" s="231" t="e">
        <f>VLOOKUP(A96,Enforcements!$C$7:$E$9,3,0)</f>
        <v>#N/A</v>
      </c>
      <c r="AD96" s="232">
        <f t="shared" si="43"/>
        <v>182</v>
      </c>
      <c r="AE96" s="233" t="str">
        <f t="shared" si="44"/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AF96" s="234" t="str">
        <f t="shared" si="45"/>
        <v>"C:\Program Files (x86)\AstroGrep\AstroGrep.exe" /e /r /s /spath="%USERPROFILE%\AppData\Local\Temp\OnboardLogs" /stypes="app*4003*20171215*" /stext=" 22:.+((SYSTEM_STATE.+slice.+state.+changed )|(ment ac)|(multiple cpu faults)|(system.+state.+changed )|(\[timeout)|(PRM\|1\|D)|(kpr)|(kdp)|(train st.+moving)|(\|lc)|(penalty))"</v>
      </c>
      <c r="AG96" s="226" t="str">
        <f t="shared" si="46"/>
        <v>EC</v>
      </c>
      <c r="AH96" s="189" t="str">
        <f t="shared" si="47"/>
        <v>"%USERPROFILE%\Documents\GitHub\eaglep3\Utilities\RefineRTDCRunTimes.py" --tripid 182-15 --locoid 4003 --swversion DE.1.0.9.0 --startMP 204:232873 --initTime 2017-12-15T14:22:13 --startdatetime 2017-12-15T14:42:13 --delay 47 --endMP 204:216 --enddatetime 2017-12-15T15:20:52 --enforcementcount 0 &gt;&gt;%USERPROFILE%\Documents\GitHub\eaglep3-reporting\EC\2017-12-15-refined-times.txt</v>
      </c>
      <c r="AI96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{"issue":{"subject":"","project_id":79,"tracker_id":40,"status_id":1,"priority_id":2,"assigned_to_id":338,"start_date":"2017-12-15","description":"","custom_fields":[{"id":1,"name":"Subdivision","value":"EC"},{"id":4,"name":"Milepost","value":"0.0216"},{"id":17,"name":"Train ID","value":"182-15"},{"id":16,"name":"Locomotive ID","value":"4003"},{"id":130,"name":"Impact","value":""},{"id":150,"name":"Time of Event (Mountain Time)","value":"15:20:52"},{"id":151,"name":"Denver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180"/>
      <c r="AK96" s="188"/>
      <c r="AL96" s="188"/>
      <c r="AM96" s="193" t="str">
        <f t="shared" si="49"/>
        <v>start /low /b %USERPROFILE%\Documents\GitHub\eaglep3\Utilities\DownloadLogsFromS3.py --loco 4003 --day 2017-12-15</v>
      </c>
      <c r="AN96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22:20:52"},{"id":29,"name":"Sharepoint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87" t="str">
        <f t="shared" si="51"/>
        <v>https://d0f6bd738d7f1b3e5a7ca70fe4ff75f0.us-east-1.aws.found.io/app/kibana#/discover/Steve-Slow-Train-Analysis-(2080s-and-2083s)?_g=(refreshInterval:(display:Off,pause:!f,section:0,value:0),time:(from:'2017-12-15T13:22:13-0700',mode:absolute,to:'2017-12-15T16:20:52-0700'))&amp;_a=(columns:!('Message%20ID',Summary),filters:!(),index:'emp_*',interval:auto,query:(query_string:(analyze_wildcard:!t,query:'%22rtdc.l.rtdc.4003%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186" t="s">
        <v>792</v>
      </c>
      <c r="B97" s="182">
        <v>4058</v>
      </c>
      <c r="C97" s="184" t="s">
        <v>192</v>
      </c>
      <c r="D97" s="184" t="s">
        <v>905</v>
      </c>
      <c r="E97" s="183">
        <v>43084.577523148146</v>
      </c>
      <c r="F97" s="183">
        <v>43084.583495370367</v>
      </c>
      <c r="G97" s="182">
        <v>58</v>
      </c>
      <c r="H97" s="184" t="s">
        <v>966</v>
      </c>
      <c r="I97" s="183">
        <v>43084.608171296299</v>
      </c>
      <c r="J97" s="182">
        <v>0</v>
      </c>
      <c r="K97" s="190" t="str">
        <f t="shared" si="35"/>
        <v>4057/4058</v>
      </c>
      <c r="L97" s="196" t="str">
        <f>VLOOKUP(A97,'Trips&amp;Operators'!$C$1:$G$99911,5,FALSE)</f>
        <v>LEVIN SCOTT</v>
      </c>
      <c r="M97" s="181">
        <f t="shared" si="36"/>
        <v>2.4675925931660458E-2</v>
      </c>
      <c r="N97" s="182">
        <f t="shared" si="53"/>
        <v>35.53333334159106</v>
      </c>
      <c r="O97" s="182"/>
      <c r="P97" s="182"/>
      <c r="Q97" s="185"/>
      <c r="R97" s="197"/>
      <c r="S97" s="241">
        <f t="shared" si="52"/>
        <v>1</v>
      </c>
      <c r="T97" s="220" t="str">
        <f t="shared" si="37"/>
        <v>NorthBound</v>
      </c>
      <c r="U97" s="22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21" t="str">
        <f t="shared" si="38"/>
        <v>https://d0f6bd738d7f1b3e5a7ca70fe4ff75f0.us-east-1.aws.found.io/app/kibana#/discover/Steve-Slow-Train-Analysis-(2080s-and-2083s)?_g=(refreshInterval:(display:Off,pause:!f,section:0,value:0),time:(from:'2017-12-15T12:51:38-0700',mode:absolute,to:'2017-12-15T15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7" s="222" t="str">
        <f>IF(AA97&lt;VLOOKUP(AG97,Variables!$AC$3:$AD$8,2,FALSE),"Y","N")</f>
        <v>N</v>
      </c>
      <c r="X97" s="222">
        <f t="shared" si="39"/>
        <v>1</v>
      </c>
      <c r="Y97" s="222">
        <f t="shared" si="40"/>
        <v>4.3999999999999997E-2</v>
      </c>
      <c r="Z97" s="222">
        <f t="shared" si="41"/>
        <v>23.331700000000001</v>
      </c>
      <c r="AA97" s="222">
        <f t="shared" si="42"/>
        <v>23.287700000000001</v>
      </c>
      <c r="AB97" s="231" t="e">
        <f>VLOOKUP(A97,Enforcements!$C$7:$K$9,8,0)</f>
        <v>#N/A</v>
      </c>
      <c r="AC97" s="231" t="e">
        <f>VLOOKUP(A97,Enforcements!$C$7:$E$9,3,0)</f>
        <v>#N/A</v>
      </c>
      <c r="AD97" s="232">
        <f t="shared" si="43"/>
        <v>183</v>
      </c>
      <c r="AE97" s="233" t="str">
        <f t="shared" si="44"/>
        <v>aws s3 cp s3://rtdc.mdm.uploadarchive.raw/RTDC4058/ "%USERPROFILE%\AppData\Local\Temp\OnboardLogs"\RTDC4058\2017-12-15 --exclude "*" --recursive --include "*20171215*" &amp; "%USERPROFILE%\Documents\GitHub\mrs-test-scripts\Headless Mode &amp; Sideloading\WalkAndUnGZ.bat" "%USERPROFILE%\AppData\Local\Temp\OnboardLogs"\RTDC4058\2017-12-15 &amp; aws s3 cp s3://rtdc.mdm.uploadarchive.raw/RTDC4058/ "%USERPROFILE%\AppData\Local\Temp\OnboardLogs"\RTDC4058\2017-12-16 --exclude "*" --recursive --include "*20171216*" &amp; "%USERPROFILE%\Documents\GitHub\mrs-test-scripts\Headless Mode &amp; Sideloading\WalkAndUnGZ.bat" "%USERPROFILE%\AppData\Local\Temp\OnboardLogs"\RTDC4058\2017-12-16</v>
      </c>
      <c r="AF97" s="234" t="str">
        <f t="shared" si="45"/>
        <v>"C:\Program Files (x86)\AstroGrep\AstroGrep.exe" /e /r /s /spath="%USERPROFILE%\AppData\Local\Temp\OnboardLogs" /stypes="app*4058*20171215*" /stext=" 21:.+((SYSTEM_STATE.+slice.+state.+changed )|(ment ac)|(multiple cpu faults)|(system.+state.+changed )|(\[timeout)|(PRM\|1\|D)|(kpr)|(kdp)|(train st.+moving)|(\|lc)|(penalty))"</v>
      </c>
      <c r="AG97" s="226" t="str">
        <f t="shared" si="46"/>
        <v>EC</v>
      </c>
      <c r="AH97" s="189" t="str">
        <f t="shared" si="47"/>
        <v>"%USERPROFILE%\Documents\GitHub\eaglep3\Utilities\RefineRTDCRunTimes.py" --tripid 183-15 --locoid 4058 --swversion DE.1.0.9.0 --startMP 204:440 --initTime 2017-12-15T13:51:38 --startdatetime 2017-12-15T14:00:14 --delay 58 --endMP 204:233317 --enddatetime 2017-12-15T14:35:46 --enforcementcount 0 &gt;&gt;%USERPROFILE%\Documents\GitHub\eaglep3-reporting\EC\2017-12-15-refined-times.txt</v>
      </c>
      <c r="AI97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{"issue":{"subject":"","project_id":79,"tracker_id":40,"status_id":1,"priority_id":2,"assigned_to_id":338,"start_date":"2017-12-15","description":"","custom_fields":[{"id":1,"name":"Subdivision","value":"EC"},{"id":4,"name":"Milepost","value":"23.3317"},{"id":17,"name":"Train ID","value":"183-15"},{"id":16,"name":"Locomotive ID","value":"4058"},{"id":130,"name":"Impact","value":""},{"id":150,"name":"Time of Event (Mountain Time)","value":"14:35:46"},{"id":151,"name":"Denver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180"/>
      <c r="AK97" s="188"/>
      <c r="AL97" s="188"/>
      <c r="AM97" s="193" t="str">
        <f t="shared" si="49"/>
        <v>start /low /b %USERPROFILE%\Documents\GitHub\eaglep3\Utilities\DownloadLogsFromS3.py --loco 4058 --day 2017-12-15</v>
      </c>
      <c r="AN97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21:35:46"},{"id":29,"name":"Sharepoint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87" t="str">
        <f t="shared" si="51"/>
        <v>https://d0f6bd738d7f1b3e5a7ca70fe4ff75f0.us-east-1.aws.found.io/app/kibana#/discover/Steve-Slow-Train-Analysis-(2080s-and-2083s)?_g=(refreshInterval:(display:Off,pause:!f,section:0,value:0),time:(from:'2017-12-15T12:51:38-0700',mode:absolute,to:'2017-12-15T15:35:46-0700'))&amp;_a=(columns:!('Message%20ID',Summary),filters:!(),index:'emp_*',interval:auto,query:(query_string:(analyze_wildcard:!t,query:'%22rtdc.l.rtdc.4058%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186" t="s">
        <v>799</v>
      </c>
      <c r="B98" s="182">
        <v>4057</v>
      </c>
      <c r="C98" s="184" t="s">
        <v>192</v>
      </c>
      <c r="D98" s="184" t="s">
        <v>967</v>
      </c>
      <c r="E98" s="183">
        <v>43084.612071759257</v>
      </c>
      <c r="F98" s="183">
        <v>43084.623090277775</v>
      </c>
      <c r="G98" s="182">
        <v>51</v>
      </c>
      <c r="H98" s="184" t="s">
        <v>968</v>
      </c>
      <c r="I98" s="183">
        <v>43084.648946759262</v>
      </c>
      <c r="J98" s="182">
        <v>0</v>
      </c>
      <c r="K98" s="190" t="str">
        <f t="shared" si="35"/>
        <v>4057/4058</v>
      </c>
      <c r="L98" s="196" t="str">
        <f>VLOOKUP(A98,'Trips&amp;Operators'!$C$1:$G$99911,5,FALSE)</f>
        <v>LEVIN SCOTT</v>
      </c>
      <c r="M98" s="181">
        <f t="shared" si="36"/>
        <v>2.5856481486698613E-2</v>
      </c>
      <c r="N98" s="182">
        <f t="shared" si="53"/>
        <v>37.233333340846002</v>
      </c>
      <c r="O98" s="182"/>
      <c r="P98" s="182"/>
      <c r="Q98" s="185"/>
      <c r="R98" s="197"/>
      <c r="S98" s="241">
        <f t="shared" si="52"/>
        <v>1</v>
      </c>
      <c r="T98" s="220" t="str">
        <f t="shared" si="37"/>
        <v>Southbound</v>
      </c>
      <c r="U98" s="22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21" t="str">
        <f t="shared" si="38"/>
        <v>https://d0f6bd738d7f1b3e5a7ca70fe4ff75f0.us-east-1.aws.found.io/app/kibana#/discover/Steve-Slow-Train-Analysis-(2080s-and-2083s)?_g=(refreshInterval:(display:Off,pause:!f,section:0,value:0),time:(from:'2017-12-15T13:41:23-0700',mode:absolute,to:'2017-12-15T16:34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8" s="222" t="str">
        <f>IF(AA98&lt;VLOOKUP(AG98,Variables!$AC$3:$AD$8,2,FALSE),"Y","N")</f>
        <v>N</v>
      </c>
      <c r="X98" s="222">
        <f t="shared" si="39"/>
        <v>1</v>
      </c>
      <c r="Y98" s="222">
        <f t="shared" si="40"/>
        <v>23.299800000000001</v>
      </c>
      <c r="Z98" s="222">
        <f t="shared" si="41"/>
        <v>1.3899999999999999E-2</v>
      </c>
      <c r="AA98" s="222">
        <f t="shared" si="42"/>
        <v>23.285900000000002</v>
      </c>
      <c r="AB98" s="231" t="e">
        <f>VLOOKUP(A98,Enforcements!$C$7:$K$9,8,0)</f>
        <v>#N/A</v>
      </c>
      <c r="AC98" s="231" t="e">
        <f>VLOOKUP(A98,Enforcements!$C$7:$E$9,3,0)</f>
        <v>#N/A</v>
      </c>
      <c r="AD98" s="232">
        <f t="shared" si="43"/>
        <v>184</v>
      </c>
      <c r="AE98" s="233" t="str">
        <f t="shared" si="44"/>
        <v>aws s3 cp s3://rtdc.mdm.uploadarchive.raw/RTDC4057/ "%USERPROFILE%\AppData\Local\Temp\OnboardLogs"\RTDC4057\2017-12-15 --exclude "*" --recursive --include "*20171215*" &amp; "%USERPROFILE%\Documents\GitHub\mrs-test-scripts\Headless Mode &amp; Sideloading\WalkAndUnGZ.bat" "%USERPROFILE%\AppData\Local\Temp\OnboardLogs"\RTDC4057\2017-12-15 &amp; aws s3 cp s3://rtdc.mdm.uploadarchive.raw/RTDC4057/ "%USERPROFILE%\AppData\Local\Temp\OnboardLogs"\RTDC4057\2017-12-16 --exclude "*" --recursive --include "*20171216*" &amp; "%USERPROFILE%\Documents\GitHub\mrs-test-scripts\Headless Mode &amp; Sideloading\WalkAndUnGZ.bat" "%USERPROFILE%\AppData\Local\Temp\OnboardLogs"\RTDC4057\2017-12-16</v>
      </c>
      <c r="AF98" s="234" t="str">
        <f t="shared" si="45"/>
        <v>"C:\Program Files (x86)\AstroGrep\AstroGrep.exe" /e /r /s /spath="%USERPROFILE%\AppData\Local\Temp\OnboardLogs" /stypes="app*4057*20171215*" /stext=" 22:.+((SYSTEM_STATE.+slice.+state.+changed )|(ment ac)|(multiple cpu faults)|(system.+state.+changed )|(\[timeout)|(PRM\|1\|D)|(kpr)|(kdp)|(train st.+moving)|(\|lc)|(penalty))"</v>
      </c>
      <c r="AG98" s="226" t="str">
        <f t="shared" si="46"/>
        <v>EC</v>
      </c>
      <c r="AH98" s="189" t="str">
        <f t="shared" si="47"/>
        <v>"%USERPROFILE%\Documents\GitHub\eaglep3\Utilities\RefineRTDCRunTimes.py" --tripid 184-15 --locoid 4057 --swversion DE.1.0.9.0 --startMP 204:232998 --initTime 2017-12-15T14:41:23 --startdatetime 2017-12-15T14:57:15 --delay 51 --endMP 204:139 --enddatetime 2017-12-15T15:34:29 --enforcementcount 0 &gt;&gt;%USERPROFILE%\Documents\GitHub\eaglep3-reporting\EC\2017-12-15-refined-times.txt</v>
      </c>
      <c r="AI98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{"issue":{"subject":"","project_id":79,"tracker_id":40,"status_id":1,"priority_id":2,"assigned_to_id":338,"start_date":"2017-12-15","description":"","custom_fields":[{"id":1,"name":"Subdivision","value":"EC"},{"id":4,"name":"Milepost","value":"0.0139"},{"id":17,"name":"Train ID","value":"184-15"},{"id":16,"name":"Locomotive ID","value":"4057"},{"id":130,"name":"Impact","value":""},{"id":150,"name":"Time of Event (Mountain Time)","value":"15:34:29"},{"id":151,"name":"Denver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180"/>
      <c r="AK98" s="188"/>
      <c r="AL98" s="188"/>
      <c r="AM98" s="193" t="str">
        <f t="shared" si="49"/>
        <v>start /low /b %USERPROFILE%\Documents\GitHub\eaglep3\Utilities\DownloadLogsFromS3.py --loco 4057 --day 2017-12-15</v>
      </c>
      <c r="AN98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22:34:29"},{"id":29,"name":"Sharepoint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87" t="str">
        <f t="shared" si="51"/>
        <v>https://d0f6bd738d7f1b3e5a7ca70fe4ff75f0.us-east-1.aws.found.io/app/kibana#/discover/Steve-Slow-Train-Analysis-(2080s-and-2083s)?_g=(refreshInterval:(display:Off,pause:!f,section:0,value:0),time:(from:'2017-12-15T13:41:23-0700',mode:absolute,to:'2017-12-15T16:34:29-0700'))&amp;_a=(columns:!('Message%20ID',Summary),filters:!(),index:'emp_*',interval:auto,query:(query_string:(analyze_wildcard:!t,query:'%22rtdc.l.rtdc.4057%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186" t="s">
        <v>795</v>
      </c>
      <c r="B99" s="182">
        <v>4044</v>
      </c>
      <c r="C99" s="184" t="s">
        <v>192</v>
      </c>
      <c r="D99" s="184" t="s">
        <v>896</v>
      </c>
      <c r="E99" s="183">
        <v>43084.590405092589</v>
      </c>
      <c r="F99" s="183">
        <v>43084.593912037039</v>
      </c>
      <c r="G99" s="182">
        <v>54</v>
      </c>
      <c r="H99" s="184" t="s">
        <v>497</v>
      </c>
      <c r="I99" s="183">
        <v>43084.619641203702</v>
      </c>
      <c r="J99" s="182">
        <v>0</v>
      </c>
      <c r="K99" s="190" t="str">
        <f t="shared" si="35"/>
        <v>4043/4044</v>
      </c>
      <c r="L99" s="196" t="str">
        <f>VLOOKUP(A99,'Trips&amp;Operators'!$C$1:$G$99911,5,FALSE)</f>
        <v>BADERTSCHER DIANE</v>
      </c>
      <c r="M99" s="181">
        <f t="shared" si="36"/>
        <v>2.5729166663950309E-2</v>
      </c>
      <c r="N99" s="182">
        <f t="shared" si="53"/>
        <v>37.049999996088445</v>
      </c>
      <c r="O99" s="182"/>
      <c r="P99" s="182"/>
      <c r="Q99" s="185"/>
      <c r="R99" s="197"/>
      <c r="S99" s="241">
        <f t="shared" si="52"/>
        <v>1</v>
      </c>
      <c r="T99" s="220" t="str">
        <f t="shared" si="37"/>
        <v>NorthBound</v>
      </c>
      <c r="U99" s="22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21" t="str">
        <f t="shared" si="38"/>
        <v>https://d0f6bd738d7f1b3e5a7ca70fe4ff75f0.us-east-1.aws.found.io/app/kibana#/discover/Steve-Slow-Train-Analysis-(2080s-and-2083s)?_g=(refreshInterval:(display:Off,pause:!f,section:0,value:0),time:(from:'2017-12-15T13:10:11-0700',mode:absolute,to:'2017-12-15T15:52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9" s="222" t="str">
        <f>IF(AA99&lt;VLOOKUP(AG99,Variables!$AC$3:$AD$8,2,FALSE),"Y","N")</f>
        <v>N</v>
      </c>
      <c r="X99" s="222">
        <f t="shared" si="39"/>
        <v>1</v>
      </c>
      <c r="Y99" s="222">
        <f t="shared" si="40"/>
        <v>5.0200000000000002E-2</v>
      </c>
      <c r="Z99" s="222">
        <f t="shared" si="41"/>
        <v>23.328900000000001</v>
      </c>
      <c r="AA99" s="222">
        <f t="shared" si="42"/>
        <v>23.278700000000001</v>
      </c>
      <c r="AB99" s="231" t="e">
        <f>VLOOKUP(A99,Enforcements!$C$7:$K$9,8,0)</f>
        <v>#N/A</v>
      </c>
      <c r="AC99" s="231" t="e">
        <f>VLOOKUP(A99,Enforcements!$C$7:$E$9,3,0)</f>
        <v>#N/A</v>
      </c>
      <c r="AD99" s="232">
        <f t="shared" si="43"/>
        <v>185</v>
      </c>
      <c r="AE99" s="233" t="str">
        <f t="shared" si="44"/>
        <v>aws s3 cp s3://rtdc.mdm.uploadarchive.raw/RTDC4044/ "%USERPROFILE%\AppData\Local\Temp\OnboardLogs"\RTDC4044\2017-12-15 --exclude "*" --recursive --include "*20171215*" &amp; "%USERPROFILE%\Documents\GitHub\mrs-test-scripts\Headless Mode &amp; Sideloading\WalkAndUnGZ.bat" "%USERPROFILE%\AppData\Local\Temp\OnboardLogs"\RTDC4044\2017-12-15 &amp; aws s3 cp s3://rtdc.mdm.uploadarchive.raw/RTDC4044/ "%USERPROFILE%\AppData\Local\Temp\OnboardLogs"\RTDC4044\2017-12-16 --exclude "*" --recursive --include "*20171216*" &amp; "%USERPROFILE%\Documents\GitHub\mrs-test-scripts\Headless Mode &amp; Sideloading\WalkAndUnGZ.bat" "%USERPROFILE%\AppData\Local\Temp\OnboardLogs"\RTDC4044\2017-12-16</v>
      </c>
      <c r="AF99" s="234" t="str">
        <f t="shared" si="45"/>
        <v>"C:\Program Files (x86)\AstroGrep\AstroGrep.exe" /e /r /s /spath="%USERPROFILE%\AppData\Local\Temp\OnboardLogs" /stypes="app*4044*20171215*" /stext=" 21:.+((SYSTEM_STATE.+slice.+state.+changed )|(ment ac)|(multiple cpu faults)|(system.+state.+changed )|(\[timeout)|(PRM\|1\|D)|(kpr)|(kdp)|(train st.+moving)|(\|lc)|(penalty))"</v>
      </c>
      <c r="AG99" s="226" t="str">
        <f t="shared" si="46"/>
        <v>EC</v>
      </c>
      <c r="AH99" s="189" t="str">
        <f t="shared" si="47"/>
        <v>"%USERPROFILE%\Documents\GitHub\eaglep3\Utilities\RefineRTDCRunTimes.py" --tripid 185-15 --locoid 4044 --swversion DE.1.0.9.0 --startMP 204:502 --initTime 2017-12-15T14:10:11 --startdatetime 2017-12-15T14:15:14 --delay 54 --endMP 204:233289 --enddatetime 2017-12-15T14:52:17 --enforcementcount 0 &gt;&gt;%USERPROFILE%\Documents\GitHub\eaglep3-reporting\EC\2017-12-15-refined-times.txt</v>
      </c>
      <c r="AI99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{"issue":{"subject":"","project_id":79,"tracker_id":40,"status_id":1,"priority_id":2,"assigned_to_id":338,"start_date":"2017-12-15","description":"","custom_fields":[{"id":1,"name":"Subdivision","value":"EC"},{"id":4,"name":"Milepost","value":"23.3289"},{"id":17,"name":"Train ID","value":"185-15"},{"id":16,"name":"Locomotive ID","value":"4044"},{"id":130,"name":"Impact","value":""},{"id":150,"name":"Time of Event (Mountain Time)","value":"14:52:17"},{"id":151,"name":"Denver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180"/>
      <c r="AK99" s="188"/>
      <c r="AL99" s="188"/>
      <c r="AM99" s="193" t="str">
        <f t="shared" si="49"/>
        <v>start /low /b %USERPROFILE%\Documents\GitHub\eaglep3\Utilities\DownloadLogsFromS3.py --loco 4044 --day 2017-12-15</v>
      </c>
      <c r="AN99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21:52:17"},{"id":29,"name":"Sharepoint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87" t="str">
        <f t="shared" si="51"/>
        <v>https://d0f6bd738d7f1b3e5a7ca70fe4ff75f0.us-east-1.aws.found.io/app/kibana#/discover/Steve-Slow-Train-Analysis-(2080s-and-2083s)?_g=(refreshInterval:(display:Off,pause:!f,section:0,value:0),time:(from:'2017-12-15T13:10:11-0700',mode:absolute,to:'2017-12-15T15:52:17-0700'))&amp;_a=(columns:!('Message%20ID',Summary),filters:!(),index:'emp_*',interval:auto,query:(query_string:(analyze_wildcard:!t,query:'%22rtdc.l.rtdc.4044%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186" t="s">
        <v>801</v>
      </c>
      <c r="B100" s="182">
        <v>4043</v>
      </c>
      <c r="C100" s="184" t="s">
        <v>192</v>
      </c>
      <c r="D100" s="184" t="s">
        <v>501</v>
      </c>
      <c r="E100" s="183">
        <v>43084.631018518521</v>
      </c>
      <c r="F100" s="183">
        <v>43084.633506944447</v>
      </c>
      <c r="G100" s="182">
        <v>53</v>
      </c>
      <c r="H100" s="184" t="s">
        <v>954</v>
      </c>
      <c r="I100" s="183">
        <v>43084.660104166665</v>
      </c>
      <c r="J100" s="182">
        <v>0</v>
      </c>
      <c r="K100" s="190" t="str">
        <f t="shared" si="35"/>
        <v>4043/4044</v>
      </c>
      <c r="L100" s="196" t="str">
        <f>VLOOKUP(A100,'Trips&amp;Operators'!$C$1:$G$99911,5,FALSE)</f>
        <v>BADERTSCHER DIANE</v>
      </c>
      <c r="M100" s="181">
        <f t="shared" si="36"/>
        <v>2.6597222218697425E-2</v>
      </c>
      <c r="N100" s="182">
        <f t="shared" si="53"/>
        <v>38.299999994924292</v>
      </c>
      <c r="O100" s="182"/>
      <c r="P100" s="182"/>
      <c r="Q100" s="185"/>
      <c r="R100" s="197"/>
      <c r="S100" s="241">
        <f t="shared" si="52"/>
        <v>1</v>
      </c>
      <c r="T100" s="220" t="str">
        <f t="shared" si="37"/>
        <v>Southbound</v>
      </c>
      <c r="U100" s="22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21" t="str">
        <f t="shared" si="38"/>
        <v>https://d0f6bd738d7f1b3e5a7ca70fe4ff75f0.us-east-1.aws.found.io/app/kibana#/discover/Steve-Slow-Train-Analysis-(2080s-and-2083s)?_g=(refreshInterval:(display:Off,pause:!f,section:0,value:0),time:(from:'2017-12-15T14:08:40-0700',mode:absolute,to:'2017-12-15T16:50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0" s="222" t="str">
        <f>IF(AA100&lt;VLOOKUP(AG100,Variables!$AC$3:$AD$8,2,FALSE),"Y","N")</f>
        <v>N</v>
      </c>
      <c r="X100" s="222">
        <f t="shared" si="39"/>
        <v>1</v>
      </c>
      <c r="Y100" s="222">
        <f t="shared" si="40"/>
        <v>23.296700000000001</v>
      </c>
      <c r="Z100" s="222">
        <f t="shared" si="41"/>
        <v>2.01E-2</v>
      </c>
      <c r="AA100" s="222">
        <f t="shared" si="42"/>
        <v>23.276600000000002</v>
      </c>
      <c r="AB100" s="231" t="e">
        <f>VLOOKUP(A100,Enforcements!$C$7:$K$9,8,0)</f>
        <v>#N/A</v>
      </c>
      <c r="AC100" s="231" t="e">
        <f>VLOOKUP(A100,Enforcements!$C$7:$E$9,3,0)</f>
        <v>#N/A</v>
      </c>
      <c r="AD100" s="232">
        <f t="shared" si="43"/>
        <v>186</v>
      </c>
      <c r="AE100" s="233" t="str">
        <f t="shared" si="44"/>
        <v>aws s3 cp s3://rtdc.mdm.uploadarchive.raw/RTDC4043/ "%USERPROFILE%\AppData\Local\Temp\OnboardLogs"\RTDC4043\2017-12-15 --exclude "*" --recursive --include "*20171215*" &amp; "%USERPROFILE%\Documents\GitHub\mrs-test-scripts\Headless Mode &amp; Sideloading\WalkAndUnGZ.bat" "%USERPROFILE%\AppData\Local\Temp\OnboardLogs"\RTDC4043\2017-12-15 &amp; aws s3 cp s3://rtdc.mdm.uploadarchive.raw/RTDC4043/ "%USERPROFILE%\AppData\Local\Temp\OnboardLogs"\RTDC4043\2017-12-16 --exclude "*" --recursive --include "*20171216*" &amp; "%USERPROFILE%\Documents\GitHub\mrs-test-scripts\Headless Mode &amp; Sideloading\WalkAndUnGZ.bat" "%USERPROFILE%\AppData\Local\Temp\OnboardLogs"\RTDC4043\2017-12-16</v>
      </c>
      <c r="AF100" s="234" t="str">
        <f t="shared" si="45"/>
        <v>"C:\Program Files (x86)\AstroGrep\AstroGrep.exe" /e /r /s /spath="%USERPROFILE%\AppData\Local\Temp\OnboardLogs" /stypes="app*4043*20171215*" /stext=" 22:.+((SYSTEM_STATE.+slice.+state.+changed )|(ment ac)|(multiple cpu faults)|(system.+state.+changed )|(\[timeout)|(PRM\|1\|D)|(kpr)|(kdp)|(train st.+moving)|(\|lc)|(penalty))"</v>
      </c>
      <c r="AG100" s="226" t="str">
        <f t="shared" si="46"/>
        <v>EC</v>
      </c>
      <c r="AH100" s="189" t="str">
        <f t="shared" si="47"/>
        <v>"%USERPROFILE%\Documents\GitHub\eaglep3\Utilities\RefineRTDCRunTimes.py" --tripid 186-15 --locoid 4043 --swversion DE.1.0.9.0 --startMP 204:232967 --initTime 2017-12-15T15:08:40 --startdatetime 2017-12-15T15:12:15 --delay 53 --endMP 204:201 --enddatetime 2017-12-15T15:50:33 --enforcementcount 0 &gt;&gt;%USERPROFILE%\Documents\GitHub\eaglep3-reporting\EC\2017-12-15-refined-times.txt</v>
      </c>
      <c r="AI100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{"issue":{"subject":"","project_id":79,"tracker_id":40,"status_id":1,"priority_id":2,"assigned_to_id":338,"start_date":"2017-12-15","description":"","custom_fields":[{"id":1,"name":"Subdivision","value":"EC"},{"id":4,"name":"Milepost","value":"0.0201"},{"id":17,"name":"Train ID","value":"186-15"},{"id":16,"name":"Locomotive ID","value":"4043"},{"id":130,"name":"Impact","value":""},{"id":150,"name":"Time of Event (Mountain Time)","value":"15:50:33"},{"id":151,"name":"Denver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180"/>
      <c r="AK100" s="188"/>
      <c r="AL100" s="188"/>
      <c r="AM100" s="193" t="str">
        <f t="shared" si="49"/>
        <v>start /low /b %USERPROFILE%\Documents\GitHub\eaglep3\Utilities\DownloadLogsFromS3.py --loco 4043 --day 2017-12-15</v>
      </c>
      <c r="AN100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22:50:33"},{"id":29,"name":"Sharepoint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87" t="str">
        <f t="shared" si="51"/>
        <v>https://d0f6bd738d7f1b3e5a7ca70fe4ff75f0.us-east-1.aws.found.io/app/kibana#/discover/Steve-Slow-Train-Analysis-(2080s-and-2083s)?_g=(refreshInterval:(display:Off,pause:!f,section:0,value:0),time:(from:'2017-12-15T14:08:40-0700',mode:absolute,to:'2017-12-15T16:50:33-0700'))&amp;_a=(columns:!('Message%20ID',Summary),filters:!(),index:'emp_*',interval:auto,query:(query_string:(analyze_wildcard:!t,query:'%22rtdc.l.rtdc.4043%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186" t="s">
        <v>797</v>
      </c>
      <c r="B101" s="182">
        <v>4036</v>
      </c>
      <c r="C101" s="184" t="s">
        <v>192</v>
      </c>
      <c r="D101" s="184" t="s">
        <v>969</v>
      </c>
      <c r="E101" s="183">
        <v>43084.600023148145</v>
      </c>
      <c r="F101" s="183">
        <v>43084.604502314818</v>
      </c>
      <c r="G101" s="182">
        <v>53</v>
      </c>
      <c r="H101" s="184" t="s">
        <v>970</v>
      </c>
      <c r="I101" s="183">
        <v>43084.629120370373</v>
      </c>
      <c r="J101" s="182">
        <v>0</v>
      </c>
      <c r="K101" s="190" t="str">
        <f t="shared" si="35"/>
        <v>4035/4036</v>
      </c>
      <c r="L101" s="196" t="str">
        <f>VLOOKUP(A101,'Trips&amp;Operators'!$C$1:$G$99911,5,FALSE)</f>
        <v>HOLCOMB KAMDEN</v>
      </c>
      <c r="M101" s="181">
        <f t="shared" si="36"/>
        <v>2.4618055555038154E-2</v>
      </c>
      <c r="N101" s="182">
        <f t="shared" si="53"/>
        <v>35.449999999254942</v>
      </c>
      <c r="O101" s="182"/>
      <c r="P101" s="182"/>
      <c r="Q101" s="185"/>
      <c r="R101" s="197" t="s">
        <v>1097</v>
      </c>
      <c r="S101" s="241">
        <f t="shared" si="52"/>
        <v>1</v>
      </c>
      <c r="T101" s="220" t="str">
        <f t="shared" si="37"/>
        <v>NorthBound</v>
      </c>
      <c r="U101" s="22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21" t="str">
        <f t="shared" si="38"/>
        <v>https://d0f6bd738d7f1b3e5a7ca70fe4ff75f0.us-east-1.aws.found.io/app/kibana#/discover/Steve-Slow-Train-Analysis-(2080s-and-2083s)?_g=(refreshInterval:(display:Off,pause:!f,section:0,value:0),time:(from:'2017-12-15T13:24:02-0700',mode:absolute,to:'2017-12-15T16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1" s="222" t="str">
        <f>IF(AA101&lt;VLOOKUP(AG101,Variables!$AC$3:$AD$8,2,FALSE),"Y","N")</f>
        <v>N</v>
      </c>
      <c r="X101" s="222">
        <f t="shared" si="39"/>
        <v>1</v>
      </c>
      <c r="Y101" s="222">
        <f t="shared" si="40"/>
        <v>4.6899999999999997E-2</v>
      </c>
      <c r="Z101" s="222">
        <f t="shared" si="41"/>
        <v>23.33</v>
      </c>
      <c r="AA101" s="222">
        <f t="shared" si="42"/>
        <v>23.283099999999997</v>
      </c>
      <c r="AB101" s="231" t="e">
        <f>VLOOKUP(A101,Enforcements!$C$7:$K$9,8,0)</f>
        <v>#N/A</v>
      </c>
      <c r="AC101" s="231" t="e">
        <f>VLOOKUP(A101,Enforcements!$C$7:$E$9,3,0)</f>
        <v>#N/A</v>
      </c>
      <c r="AD101" s="232">
        <f t="shared" si="43"/>
        <v>187</v>
      </c>
      <c r="AE101" s="233" t="str">
        <f t="shared" si="44"/>
        <v>aws s3 cp s3://rtdc.mdm.uploadarchive.raw/RTDC4036/ "%USERPROFILE%\AppData\Local\Temp\OnboardLogs"\RTDC4036\2017-12-15 --exclude "*" --recursive --include "*20171215*" &amp; "%USERPROFILE%\Documents\GitHub\mrs-test-scripts\Headless Mode &amp; Sideloading\WalkAndUnGZ.bat" "%USERPROFILE%\AppData\Local\Temp\OnboardLogs"\RTDC4036\2017-12-15 &amp; aws s3 cp s3://rtdc.mdm.uploadarchive.raw/RTDC4036/ "%USERPROFILE%\AppData\Local\Temp\OnboardLogs"\RTDC4036\2017-12-16 --exclude "*" --recursive --include "*20171216*" &amp; "%USERPROFILE%\Documents\GitHub\mrs-test-scripts\Headless Mode &amp; Sideloading\WalkAndUnGZ.bat" "%USERPROFILE%\AppData\Local\Temp\OnboardLogs"\RTDC4036\2017-12-16</v>
      </c>
      <c r="AF101" s="234" t="str">
        <f t="shared" si="45"/>
        <v>"C:\Program Files (x86)\AstroGrep\AstroGrep.exe" /e /r /s /spath="%USERPROFILE%\AppData\Local\Temp\OnboardLogs" /stypes="app*4036*20171215*" /stext=" 22:.+((SYSTEM_STATE.+slice.+state.+changed )|(ment ac)|(multiple cpu faults)|(system.+state.+changed )|(\[timeout)|(PRM\|1\|D)|(kpr)|(kdp)|(train st.+moving)|(\|lc)|(penalty))"</v>
      </c>
      <c r="AG101" s="226" t="str">
        <f t="shared" si="46"/>
        <v>EC</v>
      </c>
      <c r="AH101" s="189" t="str">
        <f t="shared" si="47"/>
        <v>"%USERPROFILE%\Documents\GitHub\eaglep3\Utilities\RefineRTDCRunTimes.py" --tripid 187-15 --locoid 4036 --swversion DE.1.0.9.0 --startMP 204:469 --initTime 2017-12-15T14:24:02 --startdatetime 2017-12-15T14:30:29 --delay 53 --endMP 204:233300 --enddatetime 2017-12-15T15:05:56 --enforcementcount 0 &gt;&gt;%USERPROFILE%\Documents\GitHub\eaglep3-reporting\EC\2017-12-15-refined-times.txt</v>
      </c>
      <c r="AI101" s="191" t="str">
        <f t="shared" si="48"/>
        <v>echo {"issue":{"subject":"Brief Wi-MAX data drop caused signal unknown banner","project_id":79,"tracker_id":40,"status_id":1,"priority_id":2,"assigned_to_id":338,"start_date":"2017-12-15","description":"","custom_fields":[{"id":1,"name":"Subdivision","value":"EC"},{"id":4,"name":"Milepost","value":"23.33"},{"id":17,"name":"Train ID","value":"187-15"},{"id":16,"name":"Locomotive ID","value":"4036"},{"id":130,"name":"Impact","value":""},{"id":150,"name":"Time of Event (Mountain Time)","value":"15:05:56"},{"id":151,"name":"Denver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180"/>
      <c r="AK101" s="188"/>
      <c r="AL101" s="188"/>
      <c r="AM101" s="193" t="str">
        <f t="shared" si="49"/>
        <v>start /low /b %USERPROFILE%\Documents\GitHub\eaglep3\Utilities\DownloadLogsFromS3.py --loco 4036 --day 2017-12-15</v>
      </c>
      <c r="AN101" s="194" t="str">
        <f t="shared" si="50"/>
        <v>echo {"issue":{"subject":"Brief Wi-MAX data drop caused signal unknown banner","project_id":30,"tracker_id":4,"status_id":1,"priority_id":1,"assigned_to_id":10,"start_date":"2017-12-15","description":"","custom_fields":[{"id":30,"name":"Category","value":"Issue"},{"id":3,"name":"Functional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22:05:56"},{"id":29,"name":"Sharepoint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87" t="str">
        <f t="shared" si="51"/>
        <v>https://d0f6bd738d7f1b3e5a7ca70fe4ff75f0.us-east-1.aws.found.io/app/kibana#/discover/Steve-Slow-Train-Analysis-(2080s-and-2083s)?_g=(refreshInterval:(display:Off,pause:!f,section:0,value:0),time:(from:'2017-12-15T13:24:02-0700',mode:absolute,to:'2017-12-15T16:05:56-0700'))&amp;_a=(columns:!('Message%20ID',Summary),filters:!(),index:'emp_*',interval:auto,query:(query_string:(analyze_wildcard:!t,query:'%22rtdc.l.rtdc.4036%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186" t="s">
        <v>803</v>
      </c>
      <c r="B102" s="182">
        <v>4035</v>
      </c>
      <c r="C102" s="184" t="s">
        <v>192</v>
      </c>
      <c r="D102" s="184" t="s">
        <v>969</v>
      </c>
      <c r="E102" s="183">
        <v>43084.600023148145</v>
      </c>
      <c r="F102" s="183">
        <v>43084.644074074073</v>
      </c>
      <c r="G102" s="182">
        <v>53</v>
      </c>
      <c r="H102" s="184" t="s">
        <v>970</v>
      </c>
      <c r="I102" s="183">
        <v>43084.670312499999</v>
      </c>
      <c r="J102" s="182">
        <v>0</v>
      </c>
      <c r="K102" s="190" t="str">
        <f t="shared" si="35"/>
        <v>4035/4036</v>
      </c>
      <c r="L102" s="196" t="str">
        <f>VLOOKUP(A102,'Trips&amp;Operators'!$C$1:$G$99911,5,FALSE)</f>
        <v>HOLCOMB KAMDEN</v>
      </c>
      <c r="M102" s="181">
        <f t="shared" si="36"/>
        <v>2.6238425925839692E-2</v>
      </c>
      <c r="N102" s="182">
        <f t="shared" si="53"/>
        <v>37.783333333209157</v>
      </c>
      <c r="O102" s="182"/>
      <c r="P102" s="182"/>
      <c r="Q102" s="185"/>
      <c r="R102" s="197"/>
      <c r="S102" s="241">
        <f t="shared" si="52"/>
        <v>1</v>
      </c>
      <c r="T102" s="220" t="str">
        <f t="shared" si="37"/>
        <v>Southbound</v>
      </c>
      <c r="U102" s="22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21" t="str">
        <f t="shared" si="38"/>
        <v>https://d0f6bd738d7f1b3e5a7ca70fe4ff75f0.us-east-1.aws.found.io/app/kibana#/discover/Steve-Slow-Train-Analysis-(2080s-and-2083s)?_g=(refreshInterval:(display:Off,pause:!f,section:0,value:0),time:(from:'2017-12-15T13:24:02-0700',mode:absolute,to:'2017-12-15T17:05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2" s="222" t="str">
        <f>IF(AA102&lt;VLOOKUP(AG102,Variables!$AC$3:$AD$8,2,FALSE),"Y","N")</f>
        <v>N</v>
      </c>
      <c r="X102" s="222">
        <f t="shared" ref="X102:X105" si="54">VALUE(LEFT(AD102,4))-VALUE(LEFT(AD101,4))</f>
        <v>1</v>
      </c>
      <c r="Y102" s="222">
        <v>23.296700000000001</v>
      </c>
      <c r="Z102" s="222">
        <v>2.01E-2</v>
      </c>
      <c r="AA102" s="222">
        <f t="shared" si="42"/>
        <v>23.276600000000002</v>
      </c>
      <c r="AB102" s="231" t="e">
        <f>VLOOKUP(A102,Enforcements!$C$7:$K$9,8,0)</f>
        <v>#N/A</v>
      </c>
      <c r="AC102" s="231" t="e">
        <f>VLOOKUP(A102,Enforcements!$C$7:$E$9,3,0)</f>
        <v>#N/A</v>
      </c>
      <c r="AD102" s="232">
        <f t="shared" si="43"/>
        <v>188</v>
      </c>
      <c r="AE102" s="233" t="str">
        <f t="shared" si="44"/>
        <v>aws s3 cp s3://rtdc.mdm.uploadarchive.raw/RTDC4035/ "%USERPROFILE%\AppData\Local\Temp\OnboardLogs"\RTDC4035\2017-12-15 --exclude "*" --recursive --include "*20171215*" &amp; "%USERPROFILE%\Documents\GitHub\mrs-test-scripts\Headless Mode &amp; Sideloading\WalkAndUnGZ.bat" "%USERPROFILE%\AppData\Local\Temp\OnboardLogs"\RTDC4035\2017-12-15 &amp; aws s3 cp s3://rtdc.mdm.uploadarchive.raw/RTDC4035/ "%USERPROFILE%\AppData\Local\Temp\OnboardLogs"\RTDC4035\2017-12-16 --exclude "*" --recursive --include "*20171216*" &amp; "%USERPROFILE%\Documents\GitHub\mrs-test-scripts\Headless Mode &amp; Sideloading\WalkAndUnGZ.bat" "%USERPROFILE%\AppData\Local\Temp\OnboardLogs"\RTDC4035\2017-12-16</v>
      </c>
      <c r="AF102" s="234" t="str">
        <f t="shared" si="45"/>
        <v>"C:\Program Files (x86)\AstroGrep\AstroGrep.exe" /e /r /s /spath="%USERPROFILE%\AppData\Local\Temp\OnboardLogs" /stypes="app*4035*20171215*" /stext=" 23:.+((SYSTEM_STATE.+slice.+state.+changed )|(ment ac)|(multiple cpu faults)|(system.+state.+changed )|(\[timeout)|(PRM\|1\|D)|(kpr)|(kdp)|(train st.+moving)|(\|lc)|(penalty))"</v>
      </c>
      <c r="AG102" s="226" t="str">
        <f t="shared" si="46"/>
        <v>EC</v>
      </c>
      <c r="AH102" s="189" t="str">
        <f t="shared" ref="AH102" si="55">refinertdcruntimes&amp;" --tripid "&amp;A102&amp;" --locoid "&amp;B102&amp;" --swversion "&amp;C102&amp;" --startMP "&amp;D102&amp;" --initTime "&amp;TEXT(E102,"yyyy-mm-ddTHH:MM:SS")&amp;" --startdatetime "&amp;TEXT(F102,"yyyy-mm-ddTHH:MM:SS")&amp;" --delay "&amp;G102&amp;" --endMP "&amp;H102&amp;" --enddatetime "&amp;TEXT(I102,"yyyy-mm-ddTHH:MM:SS")&amp;" --enforcementcount "&amp;J102&amp;IF(outputrefinedruntimes," &gt;&gt;"&amp;RefinedRTDCRunTimesOutputFile,"")</f>
        <v>"%USERPROFILE%\Documents\GitHub\eaglep3\Utilities\RefineRTDCRunTimes.py" --tripid 188-15 --locoid 4035 --swversion DE.1.0.9.0 --startMP 204:469 --initTime 2017-12-15T14:24:02 --startdatetime 2017-12-15T15:27:28 --delay 53 --endMP 204:233300 --enddatetime 2017-12-15T16:05:15 --enforcementcount 0 &gt;&gt;%USERPROFILE%\Documents\GitHub\eaglep3-reporting\EC\2017-12-15-refined-times.txt</v>
      </c>
      <c r="AI102" s="191" t="str">
        <f t="shared" ref="AI102" si="56">"echo {""issue"":{""subject"":"""&amp;R102&amp;""",""project_id"":79,""tracker_id"":40,""status_id"":"&amp;redmine_status&amp;",""priority_id"":"&amp;redmine_priority&amp;",""assigned_to_id"":"&amp;redmine_assignee&amp;",""start_date"":"""&amp;TEXT(I102,"YYYY-mm-dd")&amp;""",""description"":"""&amp;AJ102&amp;""",""custom_fields"":[{""id"":1,""name"":""Subdivision"",""value"":"""&amp;AG102&amp;"""},{""id"":4,""name"":""Milepost"",""value"":"""&amp;Z102&amp;"""},{""id"":17,""name"":""Train ID"",""value"":"""&amp;A102&amp;"""},{""id"":16,""name"":""Locomotive ID"",""value"":"""&amp;B102&amp;"""},{""id"":130,""name"":""Impact"",""value"":"""&amp;AK102&amp;"""},{""id"":150,""name"":""Time of Event (Mountain Time)"",""value"":"""&amp;TEXT(I102,"hh:mm:ss")&amp;"""},{""id"":151,""name"":""Denver Issue ID"",""value"":"""&amp;"""},{""id"":178,""name"":""Operational Impact"",""value"":"""&amp;redmine_op_impact&amp;"""},{""id"":179,""name"":""Denver Segment Assigned"",""value"":"""&amp;AL102&amp;"""}]}}"&amp;"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{"issue":{"subject":"","project_id":79,"tracker_id":40,"status_id":1,"priority_id":2,"assigned_to_id":338,"start_date":"2017-12-15","description":"","custom_fields":[{"id":1,"name":"Subdivision","value":"EC"},{"id":4,"name":"Milepost","value":"0.0201"},{"id":17,"name":"Train ID","value":"188-15"},{"id":16,"name":"Locomotive ID","value":"4035"},{"id":130,"name":"Impact","value":""},{"id":150,"name":"Time of Event (Mountain Time)","value":"16:05:15"},{"id":151,"name":"Denver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180"/>
      <c r="AK102" s="188"/>
      <c r="AL102" s="188"/>
      <c r="AM102" s="193" t="str">
        <f t="shared" ref="AM102" si="57">"start /low /b "&amp;dls3logs&amp;" --loco "&amp;B102&amp;" --day "&amp;TEXT(F102,"YYYY-MM-DD")</f>
        <v>start /low /b %USERPROFILE%\Documents\GitHub\eaglep3\Utilities\DownloadLogsFromS3.py --loco 4035 --day 2017-12-15</v>
      </c>
      <c r="AN102" s="194" t="str">
        <f t="shared" ref="AN102" si="58">"echo {""issue"":{""subject"":"""&amp;R102&amp;""",""project_id"":30,""tracker_id"":4,""status_id"":"&amp;redmine_status_wcr&amp;",""priority_id"":"&amp;redmine_priority_wcr&amp;",""assigned_to_id"":"&amp;redmine_assignee_wcr&amp;",""start_date"":"""&amp;TEXT(I102-utc_offset/24,"YYYY-mm-dd")&amp;""",""description"":"""&amp;AJ102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23:05:15"},{"id":29,"name":"Sharepoint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87" t="str">
        <f t="shared" ref="AO102" si="59"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Message%20ID',Summary),filters:!(),index:'emp_*',interval:auto,query:"&amp;"(query_string:(analyze_wildcard:!t,query:'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-12-15T13:24:02-0700',mode:absolute,to:'2017-12-15T17:05:15-0700'))&amp;_a=(columns:!('Message%20ID',Summary),filters:!(),index:'emp_*',interval:auto,query:(query_string:(analyze_wildcard:!t,query:'%22rtdc.l.rtdc.4035%22')),sort:!(Time.ISO8601,asc))</v>
      </c>
      <c r="AP102" s="180"/>
      <c r="AQ102" s="180"/>
      <c r="AR102" s="180"/>
      <c r="AS102" s="180"/>
      <c r="AT102" s="180"/>
      <c r="AU102" s="180"/>
      <c r="AV102" s="180"/>
      <c r="AW102" s="180"/>
      <c r="AX102" s="180"/>
      <c r="AY102" s="180"/>
      <c r="AZ102" s="180"/>
      <c r="BA102" s="180"/>
      <c r="BB102" s="180"/>
      <c r="BC102" s="180"/>
      <c r="BD102" s="180"/>
      <c r="BE102" s="180"/>
      <c r="BF102" s="180"/>
      <c r="BG102" s="180"/>
      <c r="BH102" s="180"/>
      <c r="BI102" s="180"/>
      <c r="BJ102" s="180"/>
      <c r="BK102" s="180"/>
      <c r="BL102" s="180"/>
      <c r="BM102" s="180"/>
      <c r="BN102" s="180"/>
      <c r="BO102" s="180"/>
      <c r="BP102" s="180"/>
      <c r="BQ102" s="180"/>
      <c r="BR102" s="180"/>
      <c r="BS102" s="180"/>
      <c r="BT102" s="180"/>
      <c r="BU102" s="180"/>
      <c r="BV102" s="180"/>
      <c r="BW102" s="180"/>
      <c r="BX102" s="180"/>
      <c r="BY102" s="180"/>
      <c r="BZ102" s="180"/>
      <c r="CA102" s="180"/>
      <c r="CB102" s="180"/>
      <c r="CC102" s="180"/>
      <c r="CD102" s="180"/>
      <c r="CE102" s="180"/>
      <c r="CF102" s="180"/>
      <c r="CG102" s="180"/>
      <c r="CH102" s="180"/>
      <c r="CI102" s="180"/>
      <c r="CJ102" s="180"/>
      <c r="CK102" s="180"/>
      <c r="CL102" s="180"/>
      <c r="CM102" s="180"/>
    </row>
    <row r="103" spans="1:91" s="1" customFormat="1" x14ac:dyDescent="0.25">
      <c r="A103" s="186" t="s">
        <v>798</v>
      </c>
      <c r="B103" s="182">
        <v>4032</v>
      </c>
      <c r="C103" s="184" t="s">
        <v>192</v>
      </c>
      <c r="D103" s="184" t="s">
        <v>971</v>
      </c>
      <c r="E103" s="183">
        <v>43084.610856481479</v>
      </c>
      <c r="F103" s="183">
        <v>43084.614722222221</v>
      </c>
      <c r="G103" s="182">
        <v>58</v>
      </c>
      <c r="H103" s="184" t="s">
        <v>972</v>
      </c>
      <c r="I103" s="183">
        <v>43084.639363425929</v>
      </c>
      <c r="J103" s="182">
        <v>0</v>
      </c>
      <c r="K103" s="190" t="str">
        <f t="shared" si="35"/>
        <v>4031/4032</v>
      </c>
      <c r="L103" s="196" t="str">
        <f>VLOOKUP(A103,'Trips&amp;Operators'!$C$1:$G$99911,5,FALSE)</f>
        <v>NEWELL JAMES</v>
      </c>
      <c r="M103" s="181">
        <f t="shared" si="36"/>
        <v>2.4641203708597459E-2</v>
      </c>
      <c r="N103" s="182">
        <f t="shared" si="53"/>
        <v>35.483333340380341</v>
      </c>
      <c r="O103" s="182"/>
      <c r="P103" s="182"/>
      <c r="Q103" s="185"/>
      <c r="R103" s="197"/>
      <c r="S103" s="241">
        <f t="shared" si="52"/>
        <v>1</v>
      </c>
      <c r="T103" s="220" t="str">
        <f t="shared" si="37"/>
        <v>NorthBound</v>
      </c>
      <c r="U103" s="22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21" t="str">
        <f t="shared" si="38"/>
        <v>https://d0f6bd738d7f1b3e5a7ca70fe4ff75f0.us-east-1.aws.found.io/app/kibana#/discover/Steve-Slow-Train-Analysis-(2080s-and-2083s)?_g=(refreshInterval:(display:Off,pause:!f,section:0,value:0),time:(from:'2017-12-15T13:39:38-0700',mode:absolute,to:'2017-12-15T16:20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3" s="222" t="str">
        <f>IF(AA103&lt;VLOOKUP(AG103,Variables!$AC$3:$AD$8,2,FALSE),"Y","N")</f>
        <v>N</v>
      </c>
      <c r="X103" s="222">
        <f t="shared" si="54"/>
        <v>1</v>
      </c>
      <c r="Y103" s="222">
        <f t="shared" ref="Y103:Y129" si="60">RIGHT(D103,LEN(D103)-4)/10000</f>
        <v>5.91E-2</v>
      </c>
      <c r="Z103" s="222">
        <f t="shared" ref="Z103:Z129" si="61">RIGHT(H103,LEN(H103)-4)/10000</f>
        <v>23.3186</v>
      </c>
      <c r="AA103" s="222">
        <f t="shared" si="42"/>
        <v>23.259499999999999</v>
      </c>
      <c r="AB103" s="231" t="e">
        <f>VLOOKUP(A103,Enforcements!$C$7:$K$9,8,0)</f>
        <v>#N/A</v>
      </c>
      <c r="AC103" s="231" t="e">
        <f>VLOOKUP(A103,Enforcements!$C$7:$E$9,3,0)</f>
        <v>#N/A</v>
      </c>
      <c r="AD103" s="232">
        <f t="shared" si="43"/>
        <v>189</v>
      </c>
      <c r="AE103" s="233" t="str">
        <f t="shared" si="44"/>
        <v>aws s3 cp s3://rtdc.mdm.uploadarchive.raw/RTDC4032/ "%USERPROFILE%\AppData\Local\Temp\OnboardLogs"\RTDC4032\2017-12-15 --exclude "*" --recursive --include "*20171215*" &amp; "%USERPROFILE%\Documents\GitHub\mrs-test-scripts\Headless Mode &amp; Sideloading\WalkAndUnGZ.bat" "%USERPROFILE%\AppData\Local\Temp\OnboardLogs"\RTDC4032\2017-12-15 &amp; aws s3 cp s3://rtdc.mdm.uploadarchive.raw/RTDC4032/ "%USERPROFILE%\AppData\Local\Temp\OnboardLogs"\RTDC4032\2017-12-16 --exclude "*" --recursive --include "*20171216*" &amp; "%USERPROFILE%\Documents\GitHub\mrs-test-scripts\Headless Mode &amp; Sideloading\WalkAndUnGZ.bat" "%USERPROFILE%\AppData\Local\Temp\OnboardLogs"\RTDC4032\2017-12-16</v>
      </c>
      <c r="AF103" s="234" t="str">
        <f t="shared" si="45"/>
        <v>"C:\Program Files (x86)\AstroGrep\AstroGrep.exe" /e /r /s /spath="%USERPROFILE%\AppData\Local\Temp\OnboardLogs" /stypes="app*4032*20171215*" /stext=" 22:.+((SYSTEM_STATE.+slice.+state.+changed )|(ment ac)|(multiple cpu faults)|(system.+state.+changed )|(\[timeout)|(PRM\|1\|D)|(kpr)|(kdp)|(train st.+moving)|(\|lc)|(penalty))"</v>
      </c>
      <c r="AG103" s="226" t="str">
        <f t="shared" si="46"/>
        <v>EC</v>
      </c>
      <c r="AH103" s="189" t="str">
        <f t="shared" si="47"/>
        <v>"%USERPROFILE%\Documents\GitHub\eaglep3\Utilities\RefineRTDCRunTimes.py" --tripid 189-15 --locoid 4032 --swversion DE.1.0.9.0 --startMP 204:591 --initTime 2017-12-15T14:39:38 --startdatetime 2017-12-15T14:45:12 --delay 58 --endMP 204:233186 --enddatetime 2017-12-15T15:20:41 --enforcementcount 0 &gt;&gt;%USERPROFILE%\Documents\GitHub\eaglep3-reporting\EC\2017-12-15-refined-times.txt</v>
      </c>
      <c r="AI103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{"issue":{"subject":"","project_id":79,"tracker_id":40,"status_id":1,"priority_id":2,"assigned_to_id":338,"start_date":"2017-12-15","description":"","custom_fields":[{"id":1,"name":"Subdivision","value":"EC"},{"id":4,"name":"Milepost","value":"23.3186"},{"id":17,"name":"Train ID","value":"189-15"},{"id":16,"name":"Locomotive ID","value":"4032"},{"id":130,"name":"Impact","value":""},{"id":150,"name":"Time of Event (Mountain Time)","value":"15:20:41"},{"id":151,"name":"Denver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180"/>
      <c r="AK103" s="188"/>
      <c r="AL103" s="188"/>
      <c r="AM103" s="193" t="str">
        <f t="shared" si="49"/>
        <v>start /low /b %USERPROFILE%\Documents\GitHub\eaglep3\Utilities\DownloadLogsFromS3.py --loco 4032 --day 2017-12-15</v>
      </c>
      <c r="AN103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22:20:41"},{"id":29,"name":"Sharepoint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87" t="str">
        <f t="shared" si="51"/>
        <v>https://d0f6bd738d7f1b3e5a7ca70fe4ff75f0.us-east-1.aws.found.io/app/kibana#/discover/Steve-Slow-Train-Analysis-(2080s-and-2083s)?_g=(refreshInterval:(display:Off,pause:!f,section:0,value:0),time:(from:'2017-12-15T13:39:38-0700',mode:absolute,to:'2017-12-15T16:20:41-0700'))&amp;_a=(columns:!('Message%20ID',Summary),filters:!(),index:'emp_*',interval:auto,query:(query_string:(analyze_wildcard:!t,query:'%22rtdc.l.rtdc.4032%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25">
      <c r="A104" s="186" t="s">
        <v>805</v>
      </c>
      <c r="B104" s="182">
        <v>4031</v>
      </c>
      <c r="C104" s="184" t="s">
        <v>192</v>
      </c>
      <c r="D104" s="184" t="s">
        <v>973</v>
      </c>
      <c r="E104" s="183">
        <v>43084.64366898148</v>
      </c>
      <c r="F104" s="183">
        <v>43084.655011574076</v>
      </c>
      <c r="G104" s="182">
        <v>344</v>
      </c>
      <c r="H104" s="184" t="s">
        <v>974</v>
      </c>
      <c r="I104" s="183">
        <v>43084.681828703702</v>
      </c>
      <c r="J104" s="182">
        <v>0</v>
      </c>
      <c r="K104" s="190" t="str">
        <f t="shared" si="35"/>
        <v>4031/4032</v>
      </c>
      <c r="L104" s="196" t="str">
        <f>VLOOKUP(A104,'Trips&amp;Operators'!$C$1:$G$99911,5,FALSE)</f>
        <v>NEWELL JAMES</v>
      </c>
      <c r="M104" s="181">
        <f t="shared" si="36"/>
        <v>2.6817129626579117E-2</v>
      </c>
      <c r="N104" s="182">
        <f t="shared" si="53"/>
        <v>38.616666662273929</v>
      </c>
      <c r="O104" s="182"/>
      <c r="P104" s="182"/>
      <c r="Q104" s="185"/>
      <c r="R104" s="197"/>
      <c r="S104" s="241">
        <f t="shared" si="52"/>
        <v>1</v>
      </c>
      <c r="T104" s="220" t="str">
        <f t="shared" si="37"/>
        <v>Southbound</v>
      </c>
      <c r="U104" s="22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21" t="str">
        <f t="shared" si="38"/>
        <v>https://d0f6bd738d7f1b3e5a7ca70fe4ff75f0.us-east-1.aws.found.io/app/kibana#/discover/Steve-Slow-Train-Analysis-(2080s-and-2083s)?_g=(refreshInterval:(display:Off,pause:!f,section:0,value:0),time:(from:'2017-12-15T14:26:53-0700',mode:absolute,to:'2017-12-15T17:21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4" s="222" t="str">
        <f>IF(AA104&lt;VLOOKUP(AG104,Variables!$AC$3:$AD$8,2,FALSE),"Y","N")</f>
        <v>N</v>
      </c>
      <c r="X104" s="222">
        <f t="shared" si="54"/>
        <v>1</v>
      </c>
      <c r="Y104" s="222">
        <f t="shared" si="60"/>
        <v>23.286300000000001</v>
      </c>
      <c r="Z104" s="222">
        <f t="shared" si="61"/>
        <v>2.9100000000000001E-2</v>
      </c>
      <c r="AA104" s="222">
        <f t="shared" si="42"/>
        <v>23.257200000000001</v>
      </c>
      <c r="AB104" s="231" t="e">
        <f>VLOOKUP(A104,Enforcements!$C$7:$K$9,8,0)</f>
        <v>#N/A</v>
      </c>
      <c r="AC104" s="231" t="e">
        <f>VLOOKUP(A104,Enforcements!$C$7:$E$9,3,0)</f>
        <v>#N/A</v>
      </c>
      <c r="AD104" s="232">
        <f t="shared" si="43"/>
        <v>190</v>
      </c>
      <c r="AE104" s="233" t="str">
        <f t="shared" si="44"/>
        <v>aws s3 cp s3://rtdc.mdm.uploadarchive.raw/RTDC4031/ "%USERPROFILE%\AppData\Local\Temp\OnboardLogs"\RTDC4031\2017-12-15 --exclude "*" --recursive --include "*20171215*" &amp; "%USERPROFILE%\Documents\GitHub\mrs-test-scripts\Headless Mode &amp; Sideloading\WalkAndUnGZ.bat" "%USERPROFILE%\AppData\Local\Temp\OnboardLogs"\RTDC4031\2017-12-15 &amp; aws s3 cp s3://rtdc.mdm.uploadarchive.raw/RTDC4031/ "%USERPROFILE%\AppData\Local\Temp\OnboardLogs"\RTDC4031\2017-12-16 --exclude "*" --recursive --include "*20171216*" &amp; "%USERPROFILE%\Documents\GitHub\mrs-test-scripts\Headless Mode &amp; Sideloading\WalkAndUnGZ.bat" "%USERPROFILE%\AppData\Local\Temp\OnboardLogs"\RTDC4031\2017-12-16</v>
      </c>
      <c r="AF104" s="234" t="str">
        <f t="shared" si="45"/>
        <v>"C:\Program Files (x86)\AstroGrep\AstroGrep.exe" /e /r /s /spath="%USERPROFILE%\AppData\Local\Temp\OnboardLogs" /stypes="app*4031*20171215*" /stext=" 23:.+((SYSTEM_STATE.+slice.+state.+changed )|(ment ac)|(multiple cpu faults)|(system.+state.+changed )|(\[timeout)|(PRM\|1\|D)|(kpr)|(kdp)|(train st.+moving)|(\|lc)|(penalty))"</v>
      </c>
      <c r="AG104" s="226" t="str">
        <f t="shared" si="46"/>
        <v>EC</v>
      </c>
      <c r="AH104" s="189" t="str">
        <f t="shared" si="47"/>
        <v>"%USERPROFILE%\Documents\GitHub\eaglep3\Utilities\RefineRTDCRunTimes.py" --tripid 190-15 --locoid 4031 --swversion DE.1.0.9.0 --startMP 204:232863 --initTime 2017-12-15T15:26:53 --startdatetime 2017-12-15T15:43:13 --delay 344 --endMP 204:291 --enddatetime 2017-12-15T16:21:50 --enforcementcount 0 &gt;&gt;%USERPROFILE%\Documents\GitHub\eaglep3-reporting\EC\2017-12-15-refined-times.txt</v>
      </c>
      <c r="AI104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{"issue":{"subject":"","project_id":79,"tracker_id":40,"status_id":1,"priority_id":2,"assigned_to_id":338,"start_date":"2017-12-15","description":"","custom_fields":[{"id":1,"name":"Subdivision","value":"EC"},{"id":4,"name":"Milepost","value":"0.0291"},{"id":17,"name":"Train ID","value":"190-15"},{"id":16,"name":"Locomotive ID","value":"4031"},{"id":130,"name":"Impact","value":""},{"id":150,"name":"Time of Event (Mountain Time)","value":"16:21:50"},{"id":151,"name":"Denver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180"/>
      <c r="AK104" s="188"/>
      <c r="AL104" s="188"/>
      <c r="AM104" s="193" t="str">
        <f t="shared" si="49"/>
        <v>start /low /b %USERPROFILE%\Documents\GitHub\eaglep3\Utilities\DownloadLogsFromS3.py --loco 4031 --day 2017-12-15</v>
      </c>
      <c r="AN104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23:21:50"},{"id":29,"name":"Sharepoint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87" t="str">
        <f t="shared" si="51"/>
        <v>https://d0f6bd738d7f1b3e5a7ca70fe4ff75f0.us-east-1.aws.found.io/app/kibana#/discover/Steve-Slow-Train-Analysis-(2080s-and-2083s)?_g=(refreshInterval:(display:Off,pause:!f,section:0,value:0),time:(from:'2017-12-15T14:26:53-0700',mode:absolute,to:'2017-12-15T17:21:50-0700'))&amp;_a=(columns:!('Message%20ID',Summary),filters:!(),index:'emp_*',interval:auto,query:(query_string:(analyze_wildcard:!t,query:'%22rtdc.l.rtdc.4031%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25">
      <c r="A105" s="186" t="s">
        <v>800</v>
      </c>
      <c r="B105" s="182">
        <v>4062</v>
      </c>
      <c r="C105" s="184" t="s">
        <v>192</v>
      </c>
      <c r="D105" s="184" t="s">
        <v>452</v>
      </c>
      <c r="E105" s="183">
        <v>43084.621249999997</v>
      </c>
      <c r="F105" s="183">
        <v>43084.625219907408</v>
      </c>
      <c r="G105" s="182">
        <v>69</v>
      </c>
      <c r="H105" s="184" t="s">
        <v>975</v>
      </c>
      <c r="I105" s="183">
        <v>43084.649189814816</v>
      </c>
      <c r="J105" s="182">
        <v>0</v>
      </c>
      <c r="K105" s="190" t="str">
        <f t="shared" si="35"/>
        <v>4061/4062</v>
      </c>
      <c r="L105" s="196" t="str">
        <f>VLOOKUP(A105,'Trips&amp;Operators'!$C$1:$G$99911,5,FALSE)</f>
        <v>GONZALEZ ARMANDO</v>
      </c>
      <c r="M105" s="181">
        <f t="shared" si="36"/>
        <v>2.396990740817273E-2</v>
      </c>
      <c r="N105" s="182">
        <f t="shared" si="53"/>
        <v>34.516666667768732</v>
      </c>
      <c r="O105" s="182"/>
      <c r="P105" s="182"/>
      <c r="Q105" s="185"/>
      <c r="R105" s="197"/>
      <c r="S105" s="241">
        <f t="shared" si="52"/>
        <v>1</v>
      </c>
      <c r="T105" s="220" t="str">
        <f t="shared" si="37"/>
        <v>NorthBound</v>
      </c>
      <c r="U105" s="22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21" t="str">
        <f t="shared" si="38"/>
        <v>https://d0f6bd738d7f1b3e5a7ca70fe4ff75f0.us-east-1.aws.found.io/app/kibana#/discover/Steve-Slow-Train-Analysis-(2080s-and-2083s)?_g=(refreshInterval:(display:Off,pause:!f,section:0,value:0),time:(from:'2017-12-15T13:54:36-0700',mode:absolute,to:'2017-12-15T16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5" s="222" t="str">
        <f>IF(AA105&lt;VLOOKUP(AG105,Variables!$AC$3:$AD$8,2,FALSE),"Y","N")</f>
        <v>N</v>
      </c>
      <c r="X105" s="222">
        <f t="shared" si="54"/>
        <v>1</v>
      </c>
      <c r="Y105" s="222">
        <f t="shared" si="60"/>
        <v>4.7800000000000002E-2</v>
      </c>
      <c r="Z105" s="222">
        <f t="shared" si="61"/>
        <v>23.327999999999999</v>
      </c>
      <c r="AA105" s="222">
        <f t="shared" si="42"/>
        <v>23.280200000000001</v>
      </c>
      <c r="AB105" s="231" t="e">
        <f>VLOOKUP(A105,Enforcements!$C$7:$K$9,8,0)</f>
        <v>#N/A</v>
      </c>
      <c r="AC105" s="231" t="e">
        <f>VLOOKUP(A105,Enforcements!$C$7:$E$9,3,0)</f>
        <v>#N/A</v>
      </c>
      <c r="AD105" s="232">
        <f t="shared" si="43"/>
        <v>191</v>
      </c>
      <c r="AE105" s="233" t="str">
        <f t="shared" si="44"/>
        <v>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 &amp; aws s3 cp s3://rtdc.mdm.uploadarchive.raw/RTDC4062/ "%USERPROFILE%\AppData\Local\Temp\OnboardLogs"\RTDC4062\2017-12-16 --exclude "*" --recursive --include "*20171216*" &amp; "%USERPROFILE%\Documents\GitHub\mrs-test-scripts\Headless Mode &amp; Sideloading\WalkAndUnGZ.bat" "%USERPROFILE%\AppData\Local\Temp\OnboardLogs"\RTDC4062\2017-12-16</v>
      </c>
      <c r="AF105" s="234" t="str">
        <f t="shared" si="45"/>
        <v>"C:\Program Files (x86)\AstroGrep\AstroGrep.exe" /e /r /s /spath="%USERPROFILE%\AppData\Local\Temp\OnboardLogs" /stypes="app*4062*20171215*" /stext=" 22:.+((SYSTEM_STATE.+slice.+state.+changed )|(ment ac)|(multiple cpu faults)|(system.+state.+changed )|(\[timeout)|(PRM\|1\|D)|(kpr)|(kdp)|(train st.+moving)|(\|lc)|(penalty))"</v>
      </c>
      <c r="AG105" s="226" t="str">
        <f t="shared" si="46"/>
        <v>EC</v>
      </c>
      <c r="AH105" s="189" t="str">
        <f t="shared" si="47"/>
        <v>"%USERPROFILE%\Documents\GitHub\eaglep3\Utilities\RefineRTDCRunTimes.py" --tripid 191-15 --locoid 4062 --swversion DE.1.0.9.0 --startMP 204:478 --initTime 2017-12-15T14:54:36 --startdatetime 2017-12-15T15:00:19 --delay 69 --endMP 204:233280 --enddatetime 2017-12-15T15:34:50 --enforcementcount 0 &gt;&gt;%USERPROFILE%\Documents\GitHub\eaglep3-reporting\EC\2017-12-15-refined-times.txt</v>
      </c>
      <c r="AI105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{"issue":{"subject":"","project_id":79,"tracker_id":40,"status_id":1,"priority_id":2,"assigned_to_id":338,"start_date":"2017-12-15","description":"","custom_fields":[{"id":1,"name":"Subdivision","value":"EC"},{"id":4,"name":"Milepost","value":"23.328"},{"id":17,"name":"Train ID","value":"191-15"},{"id":16,"name":"Locomotive ID","value":"4062"},{"id":130,"name":"Impact","value":""},{"id":150,"name":"Time of Event (Mountain Time)","value":"15:34:50"},{"id":151,"name":"Denver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180"/>
      <c r="AK105" s="188"/>
      <c r="AL105" s="188"/>
      <c r="AM105" s="193" t="str">
        <f t="shared" si="49"/>
        <v>start /low /b %USERPROFILE%\Documents\GitHub\eaglep3\Utilities\DownloadLogsFromS3.py --loco 4062 --day 2017-12-15</v>
      </c>
      <c r="AN105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22:34:50"},{"id":29,"name":"Sharepoint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87" t="str">
        <f t="shared" si="51"/>
        <v>https://d0f6bd738d7f1b3e5a7ca70fe4ff75f0.us-east-1.aws.found.io/app/kibana#/discover/Steve-Slow-Train-Analysis-(2080s-and-2083s)?_g=(refreshInterval:(display:Off,pause:!f,section:0,value:0),time:(from:'2017-12-15T13:54:36-0700',mode:absolute,to:'2017-12-15T16:34:50-0700'))&amp;_a=(columns:!('Message%20ID',Summary),filters:!(),index:'emp_*',interval:auto,query:(query_string:(analyze_wildcard:!t,query:'%22rtdc.l.rtdc.4062%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1" customFormat="1" x14ac:dyDescent="0.25">
      <c r="A106" s="186" t="s">
        <v>809</v>
      </c>
      <c r="B106" s="182">
        <v>4061</v>
      </c>
      <c r="C106" s="184" t="s">
        <v>192</v>
      </c>
      <c r="D106" s="184" t="s">
        <v>505</v>
      </c>
      <c r="E106" s="183">
        <v>43084.658819444441</v>
      </c>
      <c r="F106" s="183">
        <v>43084.664780092593</v>
      </c>
      <c r="G106" s="182">
        <v>54</v>
      </c>
      <c r="H106" s="184" t="s">
        <v>504</v>
      </c>
      <c r="I106" s="183">
        <v>43084.690578703703</v>
      </c>
      <c r="J106" s="182">
        <v>0</v>
      </c>
      <c r="K106" s="190" t="str">
        <f t="shared" si="35"/>
        <v>4061/4062</v>
      </c>
      <c r="L106" s="196" t="str">
        <f>VLOOKUP(A106,'Trips&amp;Operators'!$C$1:$G$99911,5,FALSE)</f>
        <v>GONZALEZ ARMANDO</v>
      </c>
      <c r="M106" s="181">
        <f t="shared" si="36"/>
        <v>2.5798611110076308E-2</v>
      </c>
      <c r="N106" s="182">
        <f t="shared" si="53"/>
        <v>37.149999998509884</v>
      </c>
      <c r="O106" s="182"/>
      <c r="P106" s="182"/>
      <c r="Q106" s="185"/>
      <c r="R106" s="197"/>
      <c r="S106" s="241">
        <f t="shared" si="52"/>
        <v>1</v>
      </c>
      <c r="T106" s="220" t="str">
        <f t="shared" si="37"/>
        <v>Southbound</v>
      </c>
      <c r="U106" s="22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21" t="str">
        <f t="shared" si="38"/>
        <v>https://d0f6bd738d7f1b3e5a7ca70fe4ff75f0.us-east-1.aws.found.io/app/kibana#/discover/Steve-Slow-Train-Analysis-(2080s-and-2083s)?_g=(refreshInterval:(display:Off,pause:!f,section:0,value:0),time:(from:'2017-12-15T14:48:42-0700',mode:absolute,to:'2017-12-15T17:34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6" s="222" t="str">
        <f>IF(AA106&lt;VLOOKUP(AG106,Variables!$AC$3:$AD$8,2,FALSE),"Y","N")</f>
        <v>N</v>
      </c>
      <c r="X106" s="222">
        <f t="shared" ref="X106:X130" si="62">VALUE(LEFT(AD106,4))-VALUE(LEFT(AD105,4))</f>
        <v>1</v>
      </c>
      <c r="Y106" s="222">
        <f t="shared" si="60"/>
        <v>23.2943</v>
      </c>
      <c r="Z106" s="222">
        <f t="shared" si="61"/>
        <v>1.72E-2</v>
      </c>
      <c r="AA106" s="222">
        <f t="shared" si="42"/>
        <v>23.277100000000001</v>
      </c>
      <c r="AB106" s="231" t="e">
        <f>VLOOKUP(A106,Enforcements!$C$7:$K$9,8,0)</f>
        <v>#N/A</v>
      </c>
      <c r="AC106" s="231" t="e">
        <f>VLOOKUP(A106,Enforcements!$C$7:$E$9,3,0)</f>
        <v>#N/A</v>
      </c>
      <c r="AD106" s="232">
        <f t="shared" si="43"/>
        <v>192</v>
      </c>
      <c r="AE106" s="233" t="str">
        <f t="shared" si="44"/>
        <v>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 &amp; aws s3 cp s3://rtdc.mdm.uploadarchive.raw/RTDC4061/ "%USERPROFILE%\AppData\Local\Temp\OnboardLogs"\RTDC4061\2017-12-16 --exclude "*" --recursive --include "*20171216*" &amp; "%USERPROFILE%\Documents\GitHub\mrs-test-scripts\Headless Mode &amp; Sideloading\WalkAndUnGZ.bat" "%USERPROFILE%\AppData\Local\Temp\OnboardLogs"\RTDC4061\2017-12-16</v>
      </c>
      <c r="AF106" s="234" t="str">
        <f t="shared" si="45"/>
        <v>"C:\Program Files (x86)\AstroGrep\AstroGrep.exe" /e /r /s /spath="%USERPROFILE%\AppData\Local\Temp\OnboardLogs" /stypes="app*4061*20171215*" /stext=" 23:.+((SYSTEM_STATE.+slice.+state.+changed )|(ment ac)|(multiple cpu faults)|(system.+state.+changed )|(\[timeout)|(PRM\|1\|D)|(kpr)|(kdp)|(train st.+moving)|(\|lc)|(penalty))"</v>
      </c>
      <c r="AG106" s="226" t="str">
        <f t="shared" si="46"/>
        <v>EC</v>
      </c>
      <c r="AH106" s="189" t="str">
        <f t="shared" si="47"/>
        <v>"%USERPROFILE%\Documents\GitHub\eaglep3\Utilities\RefineRTDCRunTimes.py" --tripid 192-15 --locoid 4061 --swversion DE.1.0.9.0 --startMP 204:232943 --initTime 2017-12-15T15:48:42 --startdatetime 2017-12-15T15:57:17 --delay 54 --endMP 204:172 --enddatetime 2017-12-15T16:34:26 --enforcementcount 0 &gt;&gt;%USERPROFILE%\Documents\GitHub\eaglep3-reporting\EC\2017-12-15-refined-times.txt</v>
      </c>
      <c r="AI106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{"issue":{"subject":"","project_id":79,"tracker_id":40,"status_id":1,"priority_id":2,"assigned_to_id":338,"start_date":"2017-12-15","description":"","custom_fields":[{"id":1,"name":"Subdivision","value":"EC"},{"id":4,"name":"Milepost","value":"0.0172"},{"id":17,"name":"Train ID","value":"192-15"},{"id":16,"name":"Locomotive ID","value":"4061"},{"id":130,"name":"Impact","value":""},{"id":150,"name":"Time of Event (Mountain Time)","value":"16:34:26"},{"id":151,"name":"Denver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180"/>
      <c r="AK106" s="188"/>
      <c r="AL106" s="188"/>
      <c r="AM106" s="193" t="str">
        <f t="shared" si="49"/>
        <v>start /low /b %USERPROFILE%\Documents\GitHub\eaglep3\Utilities\DownloadLogsFromS3.py --loco 4061 --day 2017-12-15</v>
      </c>
      <c r="AN106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23:34:26"},{"id":29,"name":"Sharepoint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87" t="str">
        <f t="shared" si="51"/>
        <v>https://d0f6bd738d7f1b3e5a7ca70fe4ff75f0.us-east-1.aws.found.io/app/kibana#/discover/Steve-Slow-Train-Analysis-(2080s-and-2083s)?_g=(refreshInterval:(display:Off,pause:!f,section:0,value:0),time:(from:'2017-12-15T14:48:42-0700',mode:absolute,to:'2017-12-15T17:34:26-0700'))&amp;_a=(columns:!('Message%20ID',Summary),filters:!(),index:'emp_*',interval:auto,query:(query_string:(analyze_wildcard:!t,query:'%22rtdc.l.rtdc.4061%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1" customFormat="1" x14ac:dyDescent="0.25">
      <c r="A107" s="186" t="s">
        <v>665</v>
      </c>
      <c r="B107" s="182">
        <v>4042</v>
      </c>
      <c r="C107" s="184" t="s">
        <v>192</v>
      </c>
      <c r="D107" s="184" t="s">
        <v>916</v>
      </c>
      <c r="E107" s="183">
        <v>43084.631412037037</v>
      </c>
      <c r="F107" s="183">
        <v>43084.636666666665</v>
      </c>
      <c r="G107" s="182">
        <v>67</v>
      </c>
      <c r="H107" s="184" t="s">
        <v>451</v>
      </c>
      <c r="I107" s="183">
        <v>43084.663888888892</v>
      </c>
      <c r="J107" s="182">
        <v>0</v>
      </c>
      <c r="K107" s="190" t="str">
        <f t="shared" si="35"/>
        <v>4041/4042</v>
      </c>
      <c r="L107" s="196" t="str">
        <f>VLOOKUP(A107,'Trips&amp;Operators'!$C$1:$G$99911,5,FALSE)</f>
        <v>LONG FULLER</v>
      </c>
      <c r="M107" s="181">
        <f t="shared" si="36"/>
        <v>2.7222222226555459E-2</v>
      </c>
      <c r="N107" s="182">
        <f t="shared" si="53"/>
        <v>39.200000006239861</v>
      </c>
      <c r="O107" s="182"/>
      <c r="P107" s="182"/>
      <c r="Q107" s="185"/>
      <c r="R107" s="197"/>
      <c r="S107" s="241">
        <f t="shared" si="52"/>
        <v>1</v>
      </c>
      <c r="T107" s="220" t="str">
        <f t="shared" si="37"/>
        <v>NorthBound</v>
      </c>
      <c r="U107" s="22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21" t="str">
        <f t="shared" si="38"/>
        <v>https://d0f6bd738d7f1b3e5a7ca70fe4ff75f0.us-east-1.aws.found.io/app/kibana#/discover/Steve-Slow-Train-Analysis-(2080s-and-2083s)?_g=(refreshInterval:(display:Off,pause:!f,section:0,value:0),time:(from:'2017-12-15T14:09:14-0700',mode:absolute,to:'2017-12-15T16:56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7" s="222" t="str">
        <f>IF(AA107&lt;VLOOKUP(AG107,Variables!$AC$3:$AD$8,2,FALSE),"Y","N")</f>
        <v>N</v>
      </c>
      <c r="X107" s="222">
        <f t="shared" si="62"/>
        <v>1</v>
      </c>
      <c r="Y107" s="222">
        <f t="shared" si="60"/>
        <v>5.2400000000000002E-2</v>
      </c>
      <c r="Z107" s="222">
        <f t="shared" si="61"/>
        <v>23.3232</v>
      </c>
      <c r="AA107" s="222">
        <f t="shared" si="42"/>
        <v>23.270800000000001</v>
      </c>
      <c r="AB107" s="231" t="e">
        <f>VLOOKUP(A107,Enforcements!$C$7:$K$9,8,0)</f>
        <v>#N/A</v>
      </c>
      <c r="AC107" s="231" t="e">
        <f>VLOOKUP(A107,Enforcements!$C$7:$E$9,3,0)</f>
        <v>#N/A</v>
      </c>
      <c r="AD107" s="232">
        <f t="shared" si="43"/>
        <v>193</v>
      </c>
      <c r="AE107" s="233" t="str">
        <f t="shared" si="44"/>
        <v>aws s3 cp s3://rtdc.mdm.uploadarchive.raw/RTDC4042/ "%USERPROFILE%\AppData\Local\Temp\OnboardLogs"\RTDC4042\2017-12-15 --exclude "*" --recursive --include "*20171215*" &amp; "%USERPROFILE%\Documents\GitHub\mrs-test-scripts\Headless Mode &amp; Sideloading\WalkAndUnGZ.bat" "%USERPROFILE%\AppData\Local\Temp\OnboardLogs"\RTDC4042\2017-12-15 &amp; aws s3 cp s3://rtdc.mdm.uploadarchive.raw/RTDC4042/ "%USERPROFILE%\AppData\Local\Temp\OnboardLogs"\RTDC4042\2017-12-16 --exclude "*" --recursive --include "*20171216*" &amp; "%USERPROFILE%\Documents\GitHub\mrs-test-scripts\Headless Mode &amp; Sideloading\WalkAndUnGZ.bat" "%USERPROFILE%\AppData\Local\Temp\OnboardLogs"\RTDC4042\2017-12-16</v>
      </c>
      <c r="AF107" s="234" t="str">
        <f t="shared" si="45"/>
        <v>"C:\Program Files (x86)\AstroGrep\AstroGrep.exe" /e /r /s /spath="%USERPROFILE%\AppData\Local\Temp\OnboardLogs" /stypes="app*4042*20171215*" /stext=" 22:.+((SYSTEM_STATE.+slice.+state.+changed )|(ment ac)|(multiple cpu faults)|(system.+state.+changed )|(\[timeout)|(PRM\|1\|D)|(kpr)|(kdp)|(train st.+moving)|(\|lc)|(penalty))"</v>
      </c>
      <c r="AG107" s="226" t="str">
        <f t="shared" si="46"/>
        <v>EC</v>
      </c>
      <c r="AH107" s="189" t="str">
        <f t="shared" si="47"/>
        <v>"%USERPROFILE%\Documents\GitHub\eaglep3\Utilities\RefineRTDCRunTimes.py" --tripid 193-15 --locoid 4042 --swversion DE.1.0.9.0 --startMP 204:524 --initTime 2017-12-15T15:09:14 --startdatetime 2017-12-15T15:16:48 --delay 67 --endMP 204:233232 --enddatetime 2017-12-15T15:56:00 --enforcementcount 0 &gt;&gt;%USERPROFILE%\Documents\GitHub\eaglep3-reporting\EC\2017-12-15-refined-times.txt</v>
      </c>
      <c r="AI107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{"issue":{"subject":"","project_id":79,"tracker_id":40,"status_id":1,"priority_id":2,"assigned_to_id":338,"start_date":"2017-12-15","description":"","custom_fields":[{"id":1,"name":"Subdivision","value":"EC"},{"id":4,"name":"Milepost","value":"23.3232"},{"id":17,"name":"Train ID","value":"193-15"},{"id":16,"name":"Locomotive ID","value":"4042"},{"id":130,"name":"Impact","value":""},{"id":150,"name":"Time of Event (Mountain Time)","value":"15:56:00"},{"id":151,"name":"Denver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180"/>
      <c r="AK107" s="188"/>
      <c r="AL107" s="188"/>
      <c r="AM107" s="193" t="str">
        <f t="shared" si="49"/>
        <v>start /low /b %USERPROFILE%\Documents\GitHub\eaglep3\Utilities\DownloadLogsFromS3.py --loco 4042 --day 2017-12-15</v>
      </c>
      <c r="AN107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22:56:00"},{"id":29,"name":"Sharepoint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87" t="str">
        <f t="shared" si="51"/>
        <v>https://d0f6bd738d7f1b3e5a7ca70fe4ff75f0.us-east-1.aws.found.io/app/kibana#/discover/Steve-Slow-Train-Analysis-(2080s-and-2083s)?_g=(refreshInterval:(display:Off,pause:!f,section:0,value:0),time:(from:'2017-12-15T14:09:14-0700',mode:absolute,to:'2017-12-15T16:56:00-0700'))&amp;_a=(columns:!('Message%20ID',Summary),filters:!(),index:'emp_*',interval:auto,query:(query_string:(analyze_wildcard:!t,query:'%22rtdc.l.rtdc.4042%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1" customFormat="1" x14ac:dyDescent="0.25">
      <c r="A108" s="186" t="s">
        <v>813</v>
      </c>
      <c r="B108" s="182">
        <v>4041</v>
      </c>
      <c r="C108" s="184" t="s">
        <v>192</v>
      </c>
      <c r="D108" s="184" t="s">
        <v>531</v>
      </c>
      <c r="E108" s="183">
        <v>43084.67087962963</v>
      </c>
      <c r="F108" s="183">
        <v>43084.675173611111</v>
      </c>
      <c r="G108" s="182">
        <v>72</v>
      </c>
      <c r="H108" s="184" t="s">
        <v>619</v>
      </c>
      <c r="I108" s="183">
        <v>43084.702025462961</v>
      </c>
      <c r="J108" s="182">
        <v>0</v>
      </c>
      <c r="K108" s="190" t="str">
        <f t="shared" si="35"/>
        <v>4041/4042</v>
      </c>
      <c r="L108" s="196" t="str">
        <f>VLOOKUP(A108,'Trips&amp;Operators'!$C$1:$G$99911,5,FALSE)</f>
        <v>LONG FULLER</v>
      </c>
      <c r="M108" s="181">
        <f t="shared" si="36"/>
        <v>2.6851851849642117E-2</v>
      </c>
      <c r="N108" s="182">
        <f t="shared" si="53"/>
        <v>38.666666663484648</v>
      </c>
      <c r="O108" s="182"/>
      <c r="P108" s="182"/>
      <c r="Q108" s="185"/>
      <c r="R108" s="197"/>
      <c r="S108" s="241">
        <f t="shared" si="52"/>
        <v>1</v>
      </c>
      <c r="T108" s="220" t="str">
        <f t="shared" si="37"/>
        <v>Southbound</v>
      </c>
      <c r="U108" s="22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21" t="str">
        <f t="shared" si="38"/>
        <v>https://d0f6bd738d7f1b3e5a7ca70fe4ff75f0.us-east-1.aws.found.io/app/kibana#/discover/Steve-Slow-Train-Analysis-(2080s-and-2083s)?_g=(refreshInterval:(display:Off,pause:!f,section:0,value:0),time:(from:'2017-12-15T15:06:04-0700',mode:absolute,to:'2017-12-15T17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8" s="222" t="str">
        <f>IF(AA108&lt;VLOOKUP(AG108,Variables!$AC$3:$AD$8,2,FALSE),"Y","N")</f>
        <v>N</v>
      </c>
      <c r="X108" s="222">
        <f t="shared" si="62"/>
        <v>1</v>
      </c>
      <c r="Y108" s="222">
        <f t="shared" si="60"/>
        <v>23.291699999999999</v>
      </c>
      <c r="Z108" s="222">
        <f t="shared" si="61"/>
        <v>2.5100000000000001E-2</v>
      </c>
      <c r="AA108" s="222">
        <f t="shared" si="42"/>
        <v>23.2666</v>
      </c>
      <c r="AB108" s="231" t="e">
        <f>VLOOKUP(A108,Enforcements!$C$7:$K$9,8,0)</f>
        <v>#N/A</v>
      </c>
      <c r="AC108" s="231" t="e">
        <f>VLOOKUP(A108,Enforcements!$C$7:$E$9,3,0)</f>
        <v>#N/A</v>
      </c>
      <c r="AD108" s="232">
        <f t="shared" si="43"/>
        <v>194</v>
      </c>
      <c r="AE108" s="233" t="str">
        <f t="shared" si="44"/>
        <v>aws s3 cp s3://rtdc.mdm.uploadarchive.raw/RTDC4041/ "%USERPROFILE%\AppData\Local\Temp\OnboardLogs"\RTDC4041\2017-12-15 --exclude "*" --recursive --include "*20171215*" &amp; "%USERPROFILE%\Documents\GitHub\mrs-test-scripts\Headless Mode &amp; Sideloading\WalkAndUnGZ.bat" "%USERPROFILE%\AppData\Local\Temp\OnboardLogs"\RTDC4041\2017-12-15 &amp; aws s3 cp s3://rtdc.mdm.uploadarchive.raw/RTDC4041/ "%USERPROFILE%\AppData\Local\Temp\OnboardLogs"\RTDC4041\2017-12-16 --exclude "*" --recursive --include "*20171216*" &amp; "%USERPROFILE%\Documents\GitHub\mrs-test-scripts\Headless Mode &amp; Sideloading\WalkAndUnGZ.bat" "%USERPROFILE%\AppData\Local\Temp\OnboardLogs"\RTDC4041\2017-12-16</v>
      </c>
      <c r="AF108" s="234" t="str">
        <f t="shared" si="45"/>
        <v>"C:\Program Files (x86)\AstroGrep\AstroGrep.exe" /e /r /s /spath="%USERPROFILE%\AppData\Local\Temp\OnboardLogs" /stypes="app*4041*20171215*" /stext=" 23:.+((SYSTEM_STATE.+slice.+state.+changed )|(ment ac)|(multiple cpu faults)|(system.+state.+changed )|(\[timeout)|(PRM\|1\|D)|(kpr)|(kdp)|(train st.+moving)|(\|lc)|(penalty))"</v>
      </c>
      <c r="AG108" s="226" t="str">
        <f t="shared" si="46"/>
        <v>EC</v>
      </c>
      <c r="AH108" s="189" t="str">
        <f t="shared" si="47"/>
        <v>"%USERPROFILE%\Documents\GitHub\eaglep3\Utilities\RefineRTDCRunTimes.py" --tripid 194-15 --locoid 4041 --swversion DE.1.0.9.0 --startMP 204:232917 --initTime 2017-12-15T16:06:04 --startdatetime 2017-12-15T16:12:15 --delay 72 --endMP 204:251 --enddatetime 2017-12-15T16:50:55 --enforcementcount 0 &gt;&gt;%USERPROFILE%\Documents\GitHub\eaglep3-reporting\EC\2017-12-15-refined-times.txt</v>
      </c>
      <c r="AI108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{"issue":{"subject":"","project_id":79,"tracker_id":40,"status_id":1,"priority_id":2,"assigned_to_id":338,"start_date":"2017-12-15","description":"","custom_fields":[{"id":1,"name":"Subdivision","value":"EC"},{"id":4,"name":"Milepost","value":"0.0251"},{"id":17,"name":"Train ID","value":"194-15"},{"id":16,"name":"Locomotive ID","value":"4041"},{"id":130,"name":"Impact","value":""},{"id":150,"name":"Time of Event (Mountain Time)","value":"16:50:55"},{"id":151,"name":"Denver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180"/>
      <c r="AK108" s="188"/>
      <c r="AL108" s="188"/>
      <c r="AM108" s="193" t="str">
        <f t="shared" si="49"/>
        <v>start /low /b %USERPROFILE%\Documents\GitHub\eaglep3\Utilities\DownloadLogsFromS3.py --loco 4041 --day 2017-12-15</v>
      </c>
      <c r="AN108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23:50:55"},{"id":29,"name":"Sharepoint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87" t="str">
        <f t="shared" si="51"/>
        <v>https://d0f6bd738d7f1b3e5a7ca70fe4ff75f0.us-east-1.aws.found.io/app/kibana#/discover/Steve-Slow-Train-Analysis-(2080s-and-2083s)?_g=(refreshInterval:(display:Off,pause:!f,section:0,value:0),time:(from:'2017-12-15T15:06:04-0700',mode:absolute,to:'2017-12-15T17:50:55-0700'))&amp;_a=(columns:!('Message%20ID',Summary),filters:!(),index:'emp_*',interval:auto,query:(query_string:(analyze_wildcard:!t,query:'%22rtdc.l.rtdc.4041%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1" customFormat="1" x14ac:dyDescent="0.25">
      <c r="A109" s="186" t="s">
        <v>804</v>
      </c>
      <c r="B109" s="182">
        <v>4004</v>
      </c>
      <c r="C109" s="184" t="s">
        <v>192</v>
      </c>
      <c r="D109" s="184" t="s">
        <v>454</v>
      </c>
      <c r="E109" s="183">
        <v>43084.642118055555</v>
      </c>
      <c r="F109" s="183">
        <v>43084.646018518521</v>
      </c>
      <c r="G109" s="182">
        <v>67</v>
      </c>
      <c r="H109" s="184" t="s">
        <v>976</v>
      </c>
      <c r="I109" s="183">
        <v>43084.671226851853</v>
      </c>
      <c r="J109" s="182">
        <v>0</v>
      </c>
      <c r="K109" s="190" t="str">
        <f t="shared" ref="K109:K140" si="63">IF(ISEVEN(B109),(B109-1)&amp;"/"&amp;B109,B109&amp;"/"&amp;(B109+1))</f>
        <v>4003/4004</v>
      </c>
      <c r="L109" s="196" t="str">
        <f>VLOOKUP(A109,'Trips&amp;Operators'!$C$1:$G$99911,5,FALSE)</f>
        <v>FORTUNATO FRANK</v>
      </c>
      <c r="M109" s="181">
        <f t="shared" ref="M109:M140" si="64">I109-F109</f>
        <v>2.5208333332557231E-2</v>
      </c>
      <c r="N109" s="182">
        <f t="shared" si="53"/>
        <v>36.299999998882413</v>
      </c>
      <c r="O109" s="182"/>
      <c r="P109" s="182"/>
      <c r="Q109" s="185"/>
      <c r="R109" s="197"/>
      <c r="S109" s="241">
        <f t="shared" si="52"/>
        <v>1</v>
      </c>
      <c r="T109" s="220" t="str">
        <f t="shared" ref="T109:T140" si="65">IF(ISEVEN(LEFT(AD109,4)),"Southbound","NorthBound")</f>
        <v>NorthBound</v>
      </c>
      <c r="U109" s="22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21" t="str">
        <f t="shared" si="38"/>
        <v>https://d0f6bd738d7f1b3e5a7ca70fe4ff75f0.us-east-1.aws.found.io/app/kibana#/discover/Steve-Slow-Train-Analysis-(2080s-and-2083s)?_g=(refreshInterval:(display:Off,pause:!f,section:0,value:0),time:(from:'2017-12-15T14:24:39-0700',mode:absolute,to:'2017-12-15T17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9" s="222" t="str">
        <f>IF(AA109&lt;VLOOKUP(AG109,Variables!$AC$3:$AD$8,2,FALSE),"Y","N")</f>
        <v>N</v>
      </c>
      <c r="X109" s="222">
        <f t="shared" si="62"/>
        <v>1</v>
      </c>
      <c r="Y109" s="222">
        <f t="shared" si="60"/>
        <v>5.28E-2</v>
      </c>
      <c r="Z109" s="222">
        <f t="shared" si="61"/>
        <v>23.319600000000001</v>
      </c>
      <c r="AA109" s="222">
        <f t="shared" ref="AA109:AA140" si="66">ABS(Z109-Y109)</f>
        <v>23.2668</v>
      </c>
      <c r="AB109" s="231" t="e">
        <f>VLOOKUP(A109,Enforcements!$C$7:$K$9,8,0)</f>
        <v>#N/A</v>
      </c>
      <c r="AC109" s="231" t="e">
        <f>VLOOKUP(A109,Enforcements!$C$7:$E$9,3,0)</f>
        <v>#N/A</v>
      </c>
      <c r="AD109" s="232">
        <f t="shared" ref="AD109:AD140" si="67">VALUE(LEFT(A109,LEN(A109)-3))</f>
        <v>195</v>
      </c>
      <c r="AE109" s="233" t="str">
        <f t="shared" si="44"/>
        <v>aws s3 cp s3://rtdc.mdm.uploadarchive.raw/RTDC4004/ "%USERPROFILE%\AppData\Local\Temp\OnboardLogs"\RTDC4004\2017-12-15 --exclude "*" --recursive --include "*20171215*" &amp; "%USERPROFILE%\Documents\GitHub\mrs-test-scripts\Headless Mode &amp; Sideloading\WalkAndUnGZ.bat" "%USERPROFILE%\AppData\Local\Temp\OnboardLogs"\RTDC4004\2017-12-15 &amp; aws s3 cp s3://rtdc.mdm.uploadarchive.raw/RTDC4004/ "%USERPROFILE%\AppData\Local\Temp\OnboardLogs"\RTDC4004\2017-12-16 --exclude "*" --recursive --include "*20171216*" &amp; "%USERPROFILE%\Documents\GitHub\mrs-test-scripts\Headless Mode &amp; Sideloading\WalkAndUnGZ.bat" "%USERPROFILE%\AppData\Local\Temp\OnboardLogs"\RTDC4004\2017-12-16</v>
      </c>
      <c r="AF109" s="234" t="str">
        <f t="shared" si="45"/>
        <v>"C:\Program Files (x86)\AstroGrep\AstroGrep.exe" /e /r /s /spath="%USERPROFILE%\AppData\Local\Temp\OnboardLogs" /stypes="app*4004*20171215*" /stext=" 23:.+((SYSTEM_STATE.+slice.+state.+changed )|(ment ac)|(multiple cpu faults)|(system.+state.+changed )|(\[timeout)|(PRM\|1\|D)|(kpr)|(kdp)|(train st.+moving)|(\|lc)|(penalty))"</v>
      </c>
      <c r="AG109" s="226" t="str">
        <f t="shared" ref="AG109:AG140" si="68">DetSubdiv(A109)</f>
        <v>EC</v>
      </c>
      <c r="AH109" s="189" t="str">
        <f t="shared" si="47"/>
        <v>"%USERPROFILE%\Documents\GitHub\eaglep3\Utilities\RefineRTDCRunTimes.py" --tripid 195-15 --locoid 4004 --swversion DE.1.0.9.0 --startMP 204:528 --initTime 2017-12-15T15:24:39 --startdatetime 2017-12-15T15:30:16 --delay 67 --endMP 204:233196 --enddatetime 2017-12-15T16:06:34 --enforcementcount 0 &gt;&gt;%USERPROFILE%\Documents\GitHub\eaglep3-reporting\EC\2017-12-15-refined-times.txt</v>
      </c>
      <c r="AI109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{"issue":{"subject":"","project_id":79,"tracker_id":40,"status_id":1,"priority_id":2,"assigned_to_id":338,"start_date":"2017-12-15","description":"","custom_fields":[{"id":1,"name":"Subdivision","value":"EC"},{"id":4,"name":"Milepost","value":"23.3196"},{"id":17,"name":"Train ID","value":"195-15"},{"id":16,"name":"Locomotive ID","value":"4004"},{"id":130,"name":"Impact","value":""},{"id":150,"name":"Time of Event (Mountain Time)","value":"16:06:34"},{"id":151,"name":"Denver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180"/>
      <c r="AK109" s="188"/>
      <c r="AL109" s="188"/>
      <c r="AM109" s="193" t="str">
        <f t="shared" si="49"/>
        <v>start /low /b %USERPROFILE%\Documents\GitHub\eaglep3\Utilities\DownloadLogsFromS3.py --loco 4004 --day 2017-12-15</v>
      </c>
      <c r="AN109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23:06:34"},{"id":29,"name":"Sharepoint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87" t="str">
        <f t="shared" si="51"/>
        <v>https://d0f6bd738d7f1b3e5a7ca70fe4ff75f0.us-east-1.aws.found.io/app/kibana#/discover/Steve-Slow-Train-Analysis-(2080s-and-2083s)?_g=(refreshInterval:(display:Off,pause:!f,section:0,value:0),time:(from:'2017-12-15T14:24:39-0700',mode:absolute,to:'2017-12-15T17:06:34-0700'))&amp;_a=(columns:!('Message%20ID',Summary),filters:!(),index:'emp_*',interval:auto,query:(query_string:(analyze_wildcard:!t,query:'%22rtdc.l.rtdc.4004%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1" customFormat="1" x14ac:dyDescent="0.25">
      <c r="A110" s="186" t="s">
        <v>667</v>
      </c>
      <c r="B110" s="182">
        <v>4003</v>
      </c>
      <c r="C110" s="184" t="s">
        <v>192</v>
      </c>
      <c r="D110" s="184" t="s">
        <v>977</v>
      </c>
      <c r="E110" s="183">
        <v>43084.675208333334</v>
      </c>
      <c r="F110" s="183">
        <v>43084.685659722221</v>
      </c>
      <c r="G110" s="182">
        <v>50</v>
      </c>
      <c r="H110" s="184" t="s">
        <v>978</v>
      </c>
      <c r="I110" s="183">
        <v>43084.712442129632</v>
      </c>
      <c r="J110" s="182">
        <v>0</v>
      </c>
      <c r="K110" s="190" t="str">
        <f t="shared" si="63"/>
        <v>4003/4004</v>
      </c>
      <c r="L110" s="196" t="str">
        <f>VLOOKUP(A110,'Trips&amp;Operators'!$C$1:$G$99911,5,FALSE)</f>
        <v>FORTUNATO FRANK</v>
      </c>
      <c r="M110" s="181">
        <f t="shared" si="64"/>
        <v>2.6782407410792075E-2</v>
      </c>
      <c r="N110" s="182">
        <f t="shared" si="53"/>
        <v>38.566666671540588</v>
      </c>
      <c r="O110" s="182"/>
      <c r="P110" s="182"/>
      <c r="Q110" s="185"/>
      <c r="R110" s="197"/>
      <c r="S110" s="241">
        <f t="shared" si="52"/>
        <v>1</v>
      </c>
      <c r="T110" s="220" t="str">
        <f t="shared" si="65"/>
        <v>Southbound</v>
      </c>
      <c r="U110" s="22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21" t="str">
        <f t="shared" si="38"/>
        <v>https://d0f6bd738d7f1b3e5a7ca70fe4ff75f0.us-east-1.aws.found.io/app/kibana#/discover/Steve-Slow-Train-Analysis-(2080s-and-2083s)?_g=(refreshInterval:(display:Off,pause:!f,section:0,value:0),time:(from:'2017-12-15T15:12:18-0700',mode:absolute,to:'2017-12-15T18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0" s="222" t="str">
        <f>IF(AA110&lt;VLOOKUP(AG110,Variables!$AC$3:$AD$8,2,FALSE),"Y","N")</f>
        <v>N</v>
      </c>
      <c r="X110" s="222">
        <f t="shared" si="62"/>
        <v>1</v>
      </c>
      <c r="Y110" s="222">
        <f t="shared" si="60"/>
        <v>23.287199999999999</v>
      </c>
      <c r="Z110" s="222">
        <f t="shared" si="61"/>
        <v>2.18E-2</v>
      </c>
      <c r="AA110" s="222">
        <f t="shared" si="66"/>
        <v>23.2654</v>
      </c>
      <c r="AB110" s="231" t="e">
        <f>VLOOKUP(A110,Enforcements!$C$7:$K$9,8,0)</f>
        <v>#N/A</v>
      </c>
      <c r="AC110" s="231" t="e">
        <f>VLOOKUP(A110,Enforcements!$C$7:$E$9,3,0)</f>
        <v>#N/A</v>
      </c>
      <c r="AD110" s="232">
        <f t="shared" si="67"/>
        <v>196</v>
      </c>
      <c r="AE110" s="233" t="str">
        <f t="shared" si="44"/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AF110" s="234" t="str">
        <f t="shared" si="45"/>
        <v>"C:\Program Files (x86)\AstroGrep\AstroGrep.exe" /e /r /s /spath="%USERPROFILE%\AppData\Local\Temp\OnboardLogs" /stypes="app*4003*20171216*" /stext=" 00:.+((SYSTEM_STATE.+slice.+state.+changed )|(ment ac)|(multiple cpu faults)|(system.+state.+changed )|(\[timeout)|(PRM\|1\|D)|(kpr)|(kdp)|(train st.+moving)|(\|lc)|(penalty))"</v>
      </c>
      <c r="AG110" s="226" t="str">
        <f t="shared" si="68"/>
        <v>EC</v>
      </c>
      <c r="AH110" s="189" t="str">
        <f t="shared" si="47"/>
        <v>"%USERPROFILE%\Documents\GitHub\eaglep3\Utilities\RefineRTDCRunTimes.py" --tripid 196-15 --locoid 4003 --swversion DE.1.0.9.0 --startMP 204:232872 --initTime 2017-12-15T16:12:18 --startdatetime 2017-12-15T16:27:21 --delay 50 --endMP 204:218 --enddatetime 2017-12-15T17:05:55 --enforcementcount 0 &gt;&gt;%USERPROFILE%\Documents\GitHub\eaglep3-reporting\EC\2017-12-15-refined-times.txt</v>
      </c>
      <c r="AI110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{"issue":{"subject":"","project_id":79,"tracker_id":40,"status_id":1,"priority_id":2,"assigned_to_id":338,"start_date":"2017-12-15","description":"","custom_fields":[{"id":1,"name":"Subdivision","value":"EC"},{"id":4,"name":"Milepost","value":"0.0218"},{"id":17,"name":"Train ID","value":"196-15"},{"id":16,"name":"Locomotive ID","value":"4003"},{"id":130,"name":"Impact","value":""},{"id":150,"name":"Time of Event (Mountain Time)","value":"17:05:55"},{"id":151,"name":"Denver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180"/>
      <c r="AK110" s="188"/>
      <c r="AL110" s="188"/>
      <c r="AM110" s="193" t="str">
        <f t="shared" si="49"/>
        <v>start /low /b %USERPROFILE%\Documents\GitHub\eaglep3\Utilities\DownloadLogsFromS3.py --loco 4003 --day 2017-12-15</v>
      </c>
      <c r="AN110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00:05:55"},{"id":29,"name":"Sharepoint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87" t="str">
        <f t="shared" si="51"/>
        <v>https://d0f6bd738d7f1b3e5a7ca70fe4ff75f0.us-east-1.aws.found.io/app/kibana#/discover/Steve-Slow-Train-Analysis-(2080s-and-2083s)?_g=(refreshInterval:(display:Off,pause:!f,section:0,value:0),time:(from:'2017-12-15T15:12:18-0700',mode:absolute,to:'2017-12-15T18:05:55-0700'))&amp;_a=(columns:!('Message%20ID',Summary),filters:!(),index:'emp_*',interval:auto,query:(query_string:(analyze_wildcard:!t,query:'%22rtdc.l.rtdc.4003%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1" customFormat="1" x14ac:dyDescent="0.25">
      <c r="A111" s="186" t="s">
        <v>808</v>
      </c>
      <c r="B111" s="182">
        <v>4058</v>
      </c>
      <c r="C111" s="184" t="s">
        <v>192</v>
      </c>
      <c r="D111" s="184" t="s">
        <v>437</v>
      </c>
      <c r="E111" s="183">
        <v>43084.650081018517</v>
      </c>
      <c r="F111" s="183">
        <v>43084.656585648147</v>
      </c>
      <c r="G111" s="182">
        <v>58</v>
      </c>
      <c r="H111" s="184" t="s">
        <v>979</v>
      </c>
      <c r="I111" s="183">
        <v>43084.681585648148</v>
      </c>
      <c r="J111" s="182">
        <v>0</v>
      </c>
      <c r="K111" s="190" t="str">
        <f t="shared" si="63"/>
        <v>4057/4058</v>
      </c>
      <c r="L111" s="196" t="str">
        <f>VLOOKUP(A111,'Trips&amp;Operators'!$C$1:$G$99911,5,FALSE)</f>
        <v>LEVIN SCOTT</v>
      </c>
      <c r="M111" s="181">
        <f t="shared" si="64"/>
        <v>2.5000000001455192E-2</v>
      </c>
      <c r="N111" s="182">
        <f t="shared" si="53"/>
        <v>36.000000002095476</v>
      </c>
      <c r="O111" s="182"/>
      <c r="P111" s="182"/>
      <c r="Q111" s="185"/>
      <c r="R111" s="197"/>
      <c r="S111" s="241">
        <f t="shared" si="52"/>
        <v>1</v>
      </c>
      <c r="T111" s="220" t="str">
        <f t="shared" si="65"/>
        <v>NorthBound</v>
      </c>
      <c r="U111" s="22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21" t="str">
        <f t="shared" si="38"/>
        <v>https://d0f6bd738d7f1b3e5a7ca70fe4ff75f0.us-east-1.aws.found.io/app/kibana#/discover/Steve-Slow-Train-Analysis-(2080s-and-2083s)?_g=(refreshInterval:(display:Off,pause:!f,section:0,value:0),time:(from:'2017-12-15T14:36:07-0700',mode:absolute,to:'2017-12-15T17:21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1" s="222" t="str">
        <f>IF(AA111&lt;VLOOKUP(AG111,Variables!$AC$3:$AD$8,2,FALSE),"Y","N")</f>
        <v>N</v>
      </c>
      <c r="X111" s="222">
        <f t="shared" si="62"/>
        <v>1</v>
      </c>
      <c r="Y111" s="222">
        <f t="shared" si="60"/>
        <v>4.4600000000000001E-2</v>
      </c>
      <c r="Z111" s="222">
        <f t="shared" si="61"/>
        <v>23.3218</v>
      </c>
      <c r="AA111" s="222">
        <f t="shared" si="66"/>
        <v>23.277200000000001</v>
      </c>
      <c r="AB111" s="231" t="e">
        <f>VLOOKUP(A111,Enforcements!$C$7:$K$9,8,0)</f>
        <v>#N/A</v>
      </c>
      <c r="AC111" s="231" t="e">
        <f>VLOOKUP(A111,Enforcements!$C$7:$E$9,3,0)</f>
        <v>#N/A</v>
      </c>
      <c r="AD111" s="232">
        <f t="shared" si="67"/>
        <v>197</v>
      </c>
      <c r="AE111" s="233" t="str">
        <f t="shared" si="44"/>
        <v>aws s3 cp s3://rtdc.mdm.uploadarchive.raw/RTDC4058/ "%USERPROFILE%\AppData\Local\Temp\OnboardLogs"\RTDC4058\2017-12-15 --exclude "*" --recursive --include "*20171215*" &amp; "%USERPROFILE%\Documents\GitHub\mrs-test-scripts\Headless Mode &amp; Sideloading\WalkAndUnGZ.bat" "%USERPROFILE%\AppData\Local\Temp\OnboardLogs"\RTDC4058\2017-12-15 &amp; aws s3 cp s3://rtdc.mdm.uploadarchive.raw/RTDC4058/ "%USERPROFILE%\AppData\Local\Temp\OnboardLogs"\RTDC4058\2017-12-16 --exclude "*" --recursive --include "*20171216*" &amp; "%USERPROFILE%\Documents\GitHub\mrs-test-scripts\Headless Mode &amp; Sideloading\WalkAndUnGZ.bat" "%USERPROFILE%\AppData\Local\Temp\OnboardLogs"\RTDC4058\2017-12-16</v>
      </c>
      <c r="AF111" s="234" t="str">
        <f t="shared" si="45"/>
        <v>"C:\Program Files (x86)\AstroGrep\AstroGrep.exe" /e /r /s /spath="%USERPROFILE%\AppData\Local\Temp\OnboardLogs" /stypes="app*4058*20171215*" /stext=" 23:.+((SYSTEM_STATE.+slice.+state.+changed )|(ment ac)|(multiple cpu faults)|(system.+state.+changed )|(\[timeout)|(PRM\|1\|D)|(kpr)|(kdp)|(train st.+moving)|(\|lc)|(penalty))"</v>
      </c>
      <c r="AG111" s="226" t="str">
        <f t="shared" si="68"/>
        <v>EC</v>
      </c>
      <c r="AH111" s="189" t="str">
        <f t="shared" si="47"/>
        <v>"%USERPROFILE%\Documents\GitHub\eaglep3\Utilities\RefineRTDCRunTimes.py" --tripid 197-15 --locoid 4058 --swversion DE.1.0.9.0 --startMP 204:446 --initTime 2017-12-15T15:36:07 --startdatetime 2017-12-15T15:45:29 --delay 58 --endMP 204:233218 --enddatetime 2017-12-15T16:21:29 --enforcementcount 0 &gt;&gt;%USERPROFILE%\Documents\GitHub\eaglep3-reporting\EC\2017-12-15-refined-times.txt</v>
      </c>
      <c r="AI111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{"issue":{"subject":"","project_id":79,"tracker_id":40,"status_id":1,"priority_id":2,"assigned_to_id":338,"start_date":"2017-12-15","description":"","custom_fields":[{"id":1,"name":"Subdivision","value":"EC"},{"id":4,"name":"Milepost","value":"23.3218"},{"id":17,"name":"Train ID","value":"197-15"},{"id":16,"name":"Locomotive ID","value":"4058"},{"id":130,"name":"Impact","value":""},{"id":150,"name":"Time of Event (Mountain Time)","value":"16:21:29"},{"id":151,"name":"Denver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180"/>
      <c r="AK111" s="188"/>
      <c r="AL111" s="188"/>
      <c r="AM111" s="193" t="str">
        <f t="shared" si="49"/>
        <v>start /low /b %USERPROFILE%\Documents\GitHub\eaglep3\Utilities\DownloadLogsFromS3.py --loco 4058 --day 2017-12-15</v>
      </c>
      <c r="AN111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23:21:29"},{"id":29,"name":"Sharepoint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87" t="str">
        <f t="shared" si="51"/>
        <v>https://d0f6bd738d7f1b3e5a7ca70fe4ff75f0.us-east-1.aws.found.io/app/kibana#/discover/Steve-Slow-Train-Analysis-(2080s-and-2083s)?_g=(refreshInterval:(display:Off,pause:!f,section:0,value:0),time:(from:'2017-12-15T14:36:07-0700',mode:absolute,to:'2017-12-15T17:21:29-0700'))&amp;_a=(columns:!('Message%20ID',Summary),filters:!(),index:'emp_*',interval:auto,query:(query_string:(analyze_wildcard:!t,query:'%22rtdc.l.rtdc.4058%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1" customFormat="1" x14ac:dyDescent="0.25">
      <c r="A112" s="186" t="s">
        <v>817</v>
      </c>
      <c r="B112" s="182">
        <v>4057</v>
      </c>
      <c r="C112" s="184" t="s">
        <v>192</v>
      </c>
      <c r="D112" s="184" t="s">
        <v>604</v>
      </c>
      <c r="E112" s="183">
        <v>43084.690312500003</v>
      </c>
      <c r="F112" s="183">
        <v>43084.696134259262</v>
      </c>
      <c r="G112" s="182">
        <v>59</v>
      </c>
      <c r="H112" s="184" t="s">
        <v>587</v>
      </c>
      <c r="I112" s="183">
        <v>43084.721574074072</v>
      </c>
      <c r="J112" s="182">
        <v>0</v>
      </c>
      <c r="K112" s="190" t="str">
        <f t="shared" si="63"/>
        <v>4057/4058</v>
      </c>
      <c r="L112" s="196" t="str">
        <f>VLOOKUP(A112,'Trips&amp;Operators'!$C$1:$G$99911,5,FALSE)</f>
        <v>LEVIN SCOTT</v>
      </c>
      <c r="M112" s="181">
        <f t="shared" si="64"/>
        <v>2.5439814809942618E-2</v>
      </c>
      <c r="N112" s="182">
        <f t="shared" si="53"/>
        <v>36.63333332631737</v>
      </c>
      <c r="O112" s="182"/>
      <c r="P112" s="182"/>
      <c r="Q112" s="185"/>
      <c r="R112" s="197"/>
      <c r="S112" s="241">
        <f t="shared" si="52"/>
        <v>1</v>
      </c>
      <c r="T112" s="220" t="str">
        <f t="shared" si="65"/>
        <v>Southbound</v>
      </c>
      <c r="U112" s="22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21" t="str">
        <f t="shared" si="38"/>
        <v>https://d0f6bd738d7f1b3e5a7ca70fe4ff75f0.us-east-1.aws.found.io/app/kibana#/discover/Steve-Slow-Train-Analysis-(2080s-and-2083s)?_g=(refreshInterval:(display:Off,pause:!f,section:0,value:0),time:(from:'2017-12-15T15:34:03-0700',mode:absolute,to:'2017-12-15T18:19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2" s="222" t="str">
        <f>IF(AA112&lt;VLOOKUP(AG112,Variables!$AC$3:$AD$8,2,FALSE),"Y","N")</f>
        <v>N</v>
      </c>
      <c r="X112" s="222">
        <f t="shared" si="62"/>
        <v>1</v>
      </c>
      <c r="Y112" s="222">
        <f t="shared" si="60"/>
        <v>23.290199999999999</v>
      </c>
      <c r="Z112" s="222">
        <f t="shared" si="61"/>
        <v>1.61E-2</v>
      </c>
      <c r="AA112" s="222">
        <f t="shared" si="66"/>
        <v>23.274099999999997</v>
      </c>
      <c r="AB112" s="231" t="e">
        <f>VLOOKUP(A112,Enforcements!$C$7:$K$9,8,0)</f>
        <v>#N/A</v>
      </c>
      <c r="AC112" s="231" t="e">
        <f>VLOOKUP(A112,Enforcements!$C$7:$E$9,3,0)</f>
        <v>#N/A</v>
      </c>
      <c r="AD112" s="232">
        <f t="shared" si="67"/>
        <v>198</v>
      </c>
      <c r="AE112" s="233" t="str">
        <f t="shared" si="44"/>
        <v>aws s3 cp s3://rtdc.mdm.uploadarchive.raw/RTDC4057/ "%USERPROFILE%\AppData\Local\Temp\OnboardLogs"\RTDC4057\2017-12-15 --exclude "*" --recursive --include "*20171215*" &amp; "%USERPROFILE%\Documents\GitHub\mrs-test-scripts\Headless Mode &amp; Sideloading\WalkAndUnGZ.bat" "%USERPROFILE%\AppData\Local\Temp\OnboardLogs"\RTDC4057\2017-12-15 &amp; aws s3 cp s3://rtdc.mdm.uploadarchive.raw/RTDC4057/ "%USERPROFILE%\AppData\Local\Temp\OnboardLogs"\RTDC4057\2017-12-16 --exclude "*" --recursive --include "*20171216*" &amp; "%USERPROFILE%\Documents\GitHub\mrs-test-scripts\Headless Mode &amp; Sideloading\WalkAndUnGZ.bat" "%USERPROFILE%\AppData\Local\Temp\OnboardLogs"\RTDC4057\2017-12-16</v>
      </c>
      <c r="AF112" s="234" t="str">
        <f t="shared" si="45"/>
        <v>"C:\Program Files (x86)\AstroGrep\AstroGrep.exe" /e /r /s /spath="%USERPROFILE%\AppData\Local\Temp\OnboardLogs" /stypes="app*4057*20171216*" /stext=" 00:.+((SYSTEM_STATE.+slice.+state.+changed )|(ment ac)|(multiple cpu faults)|(system.+state.+changed )|(\[timeout)|(PRM\|1\|D)|(kpr)|(kdp)|(train st.+moving)|(\|lc)|(penalty))"</v>
      </c>
      <c r="AG112" s="226" t="str">
        <f t="shared" si="68"/>
        <v>EC</v>
      </c>
      <c r="AH112" s="189" t="str">
        <f t="shared" si="47"/>
        <v>"%USERPROFILE%\Documents\GitHub\eaglep3\Utilities\RefineRTDCRunTimes.py" --tripid 198-15 --locoid 4057 --swversion DE.1.0.9.0 --startMP 204:232902 --initTime 2017-12-15T16:34:03 --startdatetime 2017-12-15T16:42:26 --delay 59 --endMP 204:161 --enddatetime 2017-12-15T17:19:04 --enforcementcount 0 &gt;&gt;%USERPROFILE%\Documents\GitHub\eaglep3-reporting\EC\2017-12-15-refined-times.txt</v>
      </c>
      <c r="AI112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{"issue":{"subject":"","project_id":79,"tracker_id":40,"status_id":1,"priority_id":2,"assigned_to_id":338,"start_date":"2017-12-15","description":"","custom_fields":[{"id":1,"name":"Subdivision","value":"EC"},{"id":4,"name":"Milepost","value":"0.0161"},{"id":17,"name":"Train ID","value":"198-15"},{"id":16,"name":"Locomotive ID","value":"4057"},{"id":130,"name":"Impact","value":""},{"id":150,"name":"Time of Event (Mountain Time)","value":"17:19:04"},{"id":151,"name":"Denver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180"/>
      <c r="AK112" s="188"/>
      <c r="AL112" s="188"/>
      <c r="AM112" s="193" t="str">
        <f t="shared" si="49"/>
        <v>start /low /b %USERPROFILE%\Documents\GitHub\eaglep3\Utilities\DownloadLogsFromS3.py --loco 4057 --day 2017-12-15</v>
      </c>
      <c r="AN112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00:19:04"},{"id":29,"name":"Sharepoint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87" t="str">
        <f t="shared" si="51"/>
        <v>https://d0f6bd738d7f1b3e5a7ca70fe4ff75f0.us-east-1.aws.found.io/app/kibana#/discover/Steve-Slow-Train-Analysis-(2080s-and-2083s)?_g=(refreshInterval:(display:Off,pause:!f,section:0,value:0),time:(from:'2017-12-15T15:34:03-0700',mode:absolute,to:'2017-12-15T18:19:04-0700'))&amp;_a=(columns:!('Message%20ID',Summary),filters:!(),index:'emp_*',interval:auto,query:(query_string:(analyze_wildcard:!t,query:'%22rtdc.l.rtdc.4057%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1" customFormat="1" x14ac:dyDescent="0.25">
      <c r="A113" s="186" t="s">
        <v>810</v>
      </c>
      <c r="B113" s="182">
        <v>4044</v>
      </c>
      <c r="C113" s="184" t="s">
        <v>192</v>
      </c>
      <c r="D113" s="184" t="s">
        <v>913</v>
      </c>
      <c r="E113" s="183">
        <v>43084.662789351853</v>
      </c>
      <c r="F113" s="183">
        <v>43084.666921296295</v>
      </c>
      <c r="G113" s="182">
        <v>62</v>
      </c>
      <c r="H113" s="184" t="s">
        <v>980</v>
      </c>
      <c r="I113" s="183">
        <v>43084.692939814813</v>
      </c>
      <c r="J113" s="182">
        <v>0</v>
      </c>
      <c r="K113" s="190" t="str">
        <f t="shared" si="63"/>
        <v>4043/4044</v>
      </c>
      <c r="L113" s="196" t="str">
        <f>VLOOKUP(A113,'Trips&amp;Operators'!$C$1:$G$99911,5,FALSE)</f>
        <v>BADERTSCHER DIANE</v>
      </c>
      <c r="M113" s="181">
        <f t="shared" si="64"/>
        <v>2.6018518517958E-2</v>
      </c>
      <c r="N113" s="182">
        <f t="shared" si="53"/>
        <v>37.46666666585952</v>
      </c>
      <c r="O113" s="182"/>
      <c r="P113" s="182"/>
      <c r="Q113" s="185"/>
      <c r="R113" s="197"/>
      <c r="S113" s="241">
        <f t="shared" si="52"/>
        <v>1</v>
      </c>
      <c r="T113" s="220" t="str">
        <f t="shared" si="65"/>
        <v>NorthBound</v>
      </c>
      <c r="U113" s="22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21" t="str">
        <f t="shared" si="38"/>
        <v>https://d0f6bd738d7f1b3e5a7ca70fe4ff75f0.us-east-1.aws.found.io/app/kibana#/discover/Steve-Slow-Train-Analysis-(2080s-and-2083s)?_g=(refreshInterval:(display:Off,pause:!f,section:0,value:0),time:(from:'2017-12-15T14:54:25-0700',mode:absolute,to:'2017-12-15T17:37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3" s="222" t="str">
        <f>IF(AA113&lt;VLOOKUP(AG113,Variables!$AC$3:$AD$8,2,FALSE),"Y","N")</f>
        <v>N</v>
      </c>
      <c r="X113" s="222">
        <f t="shared" si="62"/>
        <v>1</v>
      </c>
      <c r="Y113" s="222">
        <f t="shared" si="60"/>
        <v>0.05</v>
      </c>
      <c r="Z113" s="222">
        <f t="shared" si="61"/>
        <v>23.323599999999999</v>
      </c>
      <c r="AA113" s="222">
        <f t="shared" si="66"/>
        <v>23.273599999999998</v>
      </c>
      <c r="AB113" s="231" t="e">
        <f>VLOOKUP(A113,Enforcements!$C$7:$K$9,8,0)</f>
        <v>#N/A</v>
      </c>
      <c r="AC113" s="231" t="e">
        <f>VLOOKUP(A113,Enforcements!$C$7:$E$9,3,0)</f>
        <v>#N/A</v>
      </c>
      <c r="AD113" s="232">
        <f t="shared" si="67"/>
        <v>199</v>
      </c>
      <c r="AE113" s="233" t="str">
        <f t="shared" si="44"/>
        <v>aws s3 cp s3://rtdc.mdm.uploadarchive.raw/RTDC4044/ "%USERPROFILE%\AppData\Local\Temp\OnboardLogs"\RTDC4044\2017-12-15 --exclude "*" --recursive --include "*20171215*" &amp; "%USERPROFILE%\Documents\GitHub\mrs-test-scripts\Headless Mode &amp; Sideloading\WalkAndUnGZ.bat" "%USERPROFILE%\AppData\Local\Temp\OnboardLogs"\RTDC4044\2017-12-15 &amp; aws s3 cp s3://rtdc.mdm.uploadarchive.raw/RTDC4044/ "%USERPROFILE%\AppData\Local\Temp\OnboardLogs"\RTDC4044\2017-12-16 --exclude "*" --recursive --include "*20171216*" &amp; "%USERPROFILE%\Documents\GitHub\mrs-test-scripts\Headless Mode &amp; Sideloading\WalkAndUnGZ.bat" "%USERPROFILE%\AppData\Local\Temp\OnboardLogs"\RTDC4044\2017-12-16</v>
      </c>
      <c r="AF113" s="234" t="str">
        <f t="shared" si="45"/>
        <v>"C:\Program Files (x86)\AstroGrep\AstroGrep.exe" /e /r /s /spath="%USERPROFILE%\AppData\Local\Temp\OnboardLogs" /stypes="app*4044*20171215*" /stext=" 23:.+((SYSTEM_STATE.+slice.+state.+changed )|(ment ac)|(multiple cpu faults)|(system.+state.+changed )|(\[timeout)|(PRM\|1\|D)|(kpr)|(kdp)|(train st.+moving)|(\|lc)|(penalty))"</v>
      </c>
      <c r="AG113" s="226" t="str">
        <f t="shared" si="68"/>
        <v>EC</v>
      </c>
      <c r="AH113" s="189" t="str">
        <f t="shared" si="47"/>
        <v>"%USERPROFILE%\Documents\GitHub\eaglep3\Utilities\RefineRTDCRunTimes.py" --tripid 199-15 --locoid 4044 --swversion DE.1.0.9.0 --startMP 204:500 --initTime 2017-12-15T15:54:25 --startdatetime 2017-12-15T16:00:22 --delay 62 --endMP 204:233236 --enddatetime 2017-12-15T16:37:50 --enforcementcount 0 &gt;&gt;%USERPROFILE%\Documents\GitHub\eaglep3-reporting\EC\2017-12-15-refined-times.txt</v>
      </c>
      <c r="AI113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{"issue":{"subject":"","project_id":79,"tracker_id":40,"status_id":1,"priority_id":2,"assigned_to_id":338,"start_date":"2017-12-15","description":"","custom_fields":[{"id":1,"name":"Subdivision","value":"EC"},{"id":4,"name":"Milepost","value":"23.3236"},{"id":17,"name":"Train ID","value":"199-15"},{"id":16,"name":"Locomotive ID","value":"4044"},{"id":130,"name":"Impact","value":""},{"id":150,"name":"Time of Event (Mountain Time)","value":"16:37:50"},{"id":151,"name":"Denver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180"/>
      <c r="AK113" s="188"/>
      <c r="AL113" s="188"/>
      <c r="AM113" s="193" t="str">
        <f t="shared" si="49"/>
        <v>start /low /b %USERPROFILE%\Documents\GitHub\eaglep3\Utilities\DownloadLogsFromS3.py --loco 4044 --day 2017-12-15</v>
      </c>
      <c r="AN113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23:37:50"},{"id":29,"name":"Sharepoint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87" t="str">
        <f t="shared" si="51"/>
        <v>https://d0f6bd738d7f1b3e5a7ca70fe4ff75f0.us-east-1.aws.found.io/app/kibana#/discover/Steve-Slow-Train-Analysis-(2080s-and-2083s)?_g=(refreshInterval:(display:Off,pause:!f,section:0,value:0),time:(from:'2017-12-15T14:54:25-0700',mode:absolute,to:'2017-12-15T17:37:50-0700'))&amp;_a=(columns:!('Message%20ID',Summary),filters:!(),index:'emp_*',interval:auto,query:(query_string:(analyze_wildcard:!t,query:'%22rtdc.l.rtdc.4044%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186" t="s">
        <v>819</v>
      </c>
      <c r="B114" s="182">
        <v>4043</v>
      </c>
      <c r="C114" s="184" t="s">
        <v>192</v>
      </c>
      <c r="D114" s="184" t="s">
        <v>981</v>
      </c>
      <c r="E114" s="183">
        <v>43084.701111111113</v>
      </c>
      <c r="F114" s="183">
        <v>43084.706469907411</v>
      </c>
      <c r="G114" s="182">
        <v>65</v>
      </c>
      <c r="H114" s="184" t="s">
        <v>954</v>
      </c>
      <c r="I114" s="183">
        <v>43084.734432870369</v>
      </c>
      <c r="J114" s="182">
        <v>0</v>
      </c>
      <c r="K114" s="190" t="str">
        <f t="shared" si="63"/>
        <v>4043/4044</v>
      </c>
      <c r="L114" s="196" t="str">
        <f>VLOOKUP(A114,'Trips&amp;Operators'!$C$1:$G$99911,5,FALSE)</f>
        <v>BADERTSCHER DIANE</v>
      </c>
      <c r="M114" s="181">
        <f t="shared" si="64"/>
        <v>2.7962962958554272E-2</v>
      </c>
      <c r="N114" s="182">
        <f t="shared" si="53"/>
        <v>40.266666660318151</v>
      </c>
      <c r="O114" s="182"/>
      <c r="P114" s="182"/>
      <c r="Q114" s="185"/>
      <c r="R114" s="197"/>
      <c r="S114" s="241">
        <f t="shared" si="52"/>
        <v>1</v>
      </c>
      <c r="T114" s="220" t="str">
        <f t="shared" si="65"/>
        <v>Southbound</v>
      </c>
      <c r="U114" s="22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21" t="str">
        <f t="shared" si="38"/>
        <v>https://d0f6bd738d7f1b3e5a7ca70fe4ff75f0.us-east-1.aws.found.io/app/kibana#/discover/Steve-Slow-Train-Analysis-(2080s-and-2083s)?_g=(refreshInterval:(display:Off,pause:!f,section:0,value:0),time:(from:'2017-12-15T15:49:36-0700',mode:absolute,to:'2017-12-15T18:37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4" s="222" t="str">
        <f>IF(AA114&lt;VLOOKUP(AG114,Variables!$AC$3:$AD$8,2,FALSE),"Y","N")</f>
        <v>N</v>
      </c>
      <c r="X114" s="222">
        <f t="shared" si="62"/>
        <v>1</v>
      </c>
      <c r="Y114" s="222">
        <f t="shared" si="60"/>
        <v>23.2928</v>
      </c>
      <c r="Z114" s="222">
        <f t="shared" si="61"/>
        <v>2.01E-2</v>
      </c>
      <c r="AA114" s="222">
        <f t="shared" si="66"/>
        <v>23.2727</v>
      </c>
      <c r="AB114" s="231" t="e">
        <f>VLOOKUP(A114,Enforcements!$C$7:$K$9,8,0)</f>
        <v>#N/A</v>
      </c>
      <c r="AC114" s="231" t="e">
        <f>VLOOKUP(A114,Enforcements!$C$7:$E$9,3,0)</f>
        <v>#N/A</v>
      </c>
      <c r="AD114" s="232">
        <f t="shared" si="67"/>
        <v>200</v>
      </c>
      <c r="AE114" s="233" t="str">
        <f t="shared" si="44"/>
        <v>aws s3 cp s3://rtdc.mdm.uploadarchive.raw/RTDC4043/ "%USERPROFILE%\AppData\Local\Temp\OnboardLogs"\RTDC4043\2017-12-15 --exclude "*" --recursive --include "*20171215*" &amp; "%USERPROFILE%\Documents\GitHub\mrs-test-scripts\Headless Mode &amp; Sideloading\WalkAndUnGZ.bat" "%USERPROFILE%\AppData\Local\Temp\OnboardLogs"\RTDC4043\2017-12-15 &amp; aws s3 cp s3://rtdc.mdm.uploadarchive.raw/RTDC4043/ "%USERPROFILE%\AppData\Local\Temp\OnboardLogs"\RTDC4043\2017-12-16 --exclude "*" --recursive --include "*20171216*" &amp; "%USERPROFILE%\Documents\GitHub\mrs-test-scripts\Headless Mode &amp; Sideloading\WalkAndUnGZ.bat" "%USERPROFILE%\AppData\Local\Temp\OnboardLogs"\RTDC4043\2017-12-16</v>
      </c>
      <c r="AF114" s="234" t="str">
        <f t="shared" si="45"/>
        <v>"C:\Program Files (x86)\AstroGrep\AstroGrep.exe" /e /r /s /spath="%USERPROFILE%\AppData\Local\Temp\OnboardLogs" /stypes="app*4043*20171216*" /stext=" 00:.+((SYSTEM_STATE.+slice.+state.+changed )|(ment ac)|(multiple cpu faults)|(system.+state.+changed )|(\[timeout)|(PRM\|1\|D)|(kpr)|(kdp)|(train st.+moving)|(\|lc)|(penalty))"</v>
      </c>
      <c r="AG114" s="226" t="str">
        <f t="shared" si="68"/>
        <v>EC</v>
      </c>
      <c r="AH114" s="189" t="str">
        <f t="shared" si="47"/>
        <v>"%USERPROFILE%\Documents\GitHub\eaglep3\Utilities\RefineRTDCRunTimes.py" --tripid 200-15 --locoid 4043 --swversion DE.1.0.9.0 --startMP 204:232928 --initTime 2017-12-15T16:49:36 --startdatetime 2017-12-15T16:57:19 --delay 65 --endMP 204:201 --enddatetime 2017-12-15T17:37:35 --enforcementcount 0 &gt;&gt;%USERPROFILE%\Documents\GitHub\eaglep3-reporting\EC\2017-12-15-refined-times.txt</v>
      </c>
      <c r="AI114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{"issue":{"subject":"","project_id":79,"tracker_id":40,"status_id":1,"priority_id":2,"assigned_to_id":338,"start_date":"2017-12-15","description":"","custom_fields":[{"id":1,"name":"Subdivision","value":"EC"},{"id":4,"name":"Milepost","value":"0.0201"},{"id":17,"name":"Train ID","value":"200-15"},{"id":16,"name":"Locomotive ID","value":"4043"},{"id":130,"name":"Impact","value":""},{"id":150,"name":"Time of Event (Mountain Time)","value":"17:37:35"},{"id":151,"name":"Denver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180"/>
      <c r="AK114" s="188"/>
      <c r="AL114" s="188"/>
      <c r="AM114" s="193" t="str">
        <f t="shared" si="49"/>
        <v>start /low /b %USERPROFILE%\Documents\GitHub\eaglep3\Utilities\DownloadLogsFromS3.py --loco 4043 --day 2017-12-15</v>
      </c>
      <c r="AN114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00:37:35"},{"id":29,"name":"Sharepoint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87" t="str">
        <f t="shared" si="51"/>
        <v>https://d0f6bd738d7f1b3e5a7ca70fe4ff75f0.us-east-1.aws.found.io/app/kibana#/discover/Steve-Slow-Train-Analysis-(2080s-and-2083s)?_g=(refreshInterval:(display:Off,pause:!f,section:0,value:0),time:(from:'2017-12-15T15:49:36-0700',mode:absolute,to:'2017-12-15T18:37:35-0700'))&amp;_a=(columns:!('Message%20ID',Summary),filters:!(),index:'emp_*',interval:auto,query:(query_string:(analyze_wildcard:!t,query:'%22rtdc.l.rtdc.4043%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180" customFormat="1" x14ac:dyDescent="0.25">
      <c r="A115" s="186" t="s">
        <v>814</v>
      </c>
      <c r="B115" s="182">
        <v>4036</v>
      </c>
      <c r="C115" s="184" t="s">
        <v>192</v>
      </c>
      <c r="D115" s="184" t="s">
        <v>597</v>
      </c>
      <c r="E115" s="183">
        <v>43084.672731481478</v>
      </c>
      <c r="F115" s="183">
        <v>43084.677384259259</v>
      </c>
      <c r="G115" s="182">
        <v>76</v>
      </c>
      <c r="H115" s="184" t="s">
        <v>982</v>
      </c>
      <c r="I115" s="183">
        <v>43084.701863425929</v>
      </c>
      <c r="J115" s="182">
        <v>0</v>
      </c>
      <c r="K115" s="190" t="str">
        <f t="shared" si="63"/>
        <v>4035/4036</v>
      </c>
      <c r="L115" s="196" t="str">
        <f>VLOOKUP(A115,'Trips&amp;Operators'!$C$1:$G$99911,5,FALSE)</f>
        <v>HOLCOMB KAMDEN</v>
      </c>
      <c r="M115" s="181">
        <f t="shared" si="64"/>
        <v>2.4479166670062114E-2</v>
      </c>
      <c r="N115" s="182">
        <f t="shared" si="53"/>
        <v>35.250000004889444</v>
      </c>
      <c r="O115" s="182"/>
      <c r="P115" s="182"/>
      <c r="Q115" s="185"/>
      <c r="R115" s="197"/>
      <c r="S115" s="241">
        <f t="shared" si="52"/>
        <v>1</v>
      </c>
      <c r="T115" s="220" t="str">
        <f t="shared" si="65"/>
        <v>NorthBound</v>
      </c>
      <c r="U115" s="22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21" t="str">
        <f t="shared" si="38"/>
        <v>https://d0f6bd738d7f1b3e5a7ca70fe4ff75f0.us-east-1.aws.found.io/app/kibana#/discover/Steve-Slow-Train-Analysis-(2080s-and-2083s)?_g=(refreshInterval:(display:Off,pause:!f,section:0,value:0),time:(from:'2017-12-15T15:08:44-0700',mode:absolute,to:'2017-12-15T17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15" s="222" t="str">
        <f>IF(AA115&lt;VLOOKUP(AG115,Variables!$AC$3:$AD$8,2,FALSE),"Y","N")</f>
        <v>N</v>
      </c>
      <c r="X115" s="222">
        <f t="shared" si="62"/>
        <v>1</v>
      </c>
      <c r="Y115" s="222">
        <f t="shared" si="60"/>
        <v>4.8599999999999997E-2</v>
      </c>
      <c r="Z115" s="222">
        <f t="shared" si="61"/>
        <v>23.317799999999998</v>
      </c>
      <c r="AA115" s="222">
        <f t="shared" si="66"/>
        <v>23.269199999999998</v>
      </c>
      <c r="AB115" s="231" t="e">
        <f>VLOOKUP(A115,Enforcements!$C$7:$K$9,8,0)</f>
        <v>#N/A</v>
      </c>
      <c r="AC115" s="231" t="e">
        <f>VLOOKUP(A115,Enforcements!$C$7:$E$9,3,0)</f>
        <v>#N/A</v>
      </c>
      <c r="AD115" s="232">
        <f t="shared" si="67"/>
        <v>201</v>
      </c>
      <c r="AE115" s="233" t="str">
        <f t="shared" si="44"/>
        <v>aws s3 cp s3://rtdc.mdm.uploadarchive.raw/RTDC4036/ "%USERPROFILE%\AppData\Local\Temp\OnboardLogs"\RTDC4036\2017-12-15 --exclude "*" --recursive --include "*20171215*" &amp; "%USERPROFILE%\Documents\GitHub\mrs-test-scripts\Headless Mode &amp; Sideloading\WalkAndUnGZ.bat" "%USERPROFILE%\AppData\Local\Temp\OnboardLogs"\RTDC4036\2017-12-15 &amp; aws s3 cp s3://rtdc.mdm.uploadarchive.raw/RTDC4036/ "%USERPROFILE%\AppData\Local\Temp\OnboardLogs"\RTDC4036\2017-12-16 --exclude "*" --recursive --include "*20171216*" &amp; "%USERPROFILE%\Documents\GitHub\mrs-test-scripts\Headless Mode &amp; Sideloading\WalkAndUnGZ.bat" "%USERPROFILE%\AppData\Local\Temp\OnboardLogs"\RTDC4036\2017-12-16</v>
      </c>
      <c r="AF115" s="234" t="str">
        <f t="shared" si="45"/>
        <v>"C:\Program Files (x86)\AstroGrep\AstroGrep.exe" /e /r /s /spath="%USERPROFILE%\AppData\Local\Temp\OnboardLogs" /stypes="app*4036*20171215*" /stext=" 23:.+((SYSTEM_STATE.+slice.+state.+changed )|(ment ac)|(multiple cpu faults)|(system.+state.+changed )|(\[timeout)|(PRM\|1\|D)|(kpr)|(kdp)|(train st.+moving)|(\|lc)|(penalty))"</v>
      </c>
      <c r="AG115" s="226" t="str">
        <f t="shared" si="68"/>
        <v>EC</v>
      </c>
      <c r="AH115" s="189" t="str">
        <f t="shared" si="47"/>
        <v>"%USERPROFILE%\Documents\GitHub\eaglep3\Utilities\RefineRTDCRunTimes.py" --tripid 201-15 --locoid 4036 --swversion DE.1.0.9.0 --startMP 204:486 --initTime 2017-12-15T16:08:44 --startdatetime 2017-12-15T16:15:26 --delay 76 --endMP 204:233178 --enddatetime 2017-12-15T16:50:41 --enforcementcount 0 &gt;&gt;%USERPROFILE%\Documents\GitHub\eaglep3-reporting\EC\2017-12-15-refined-times.txt</v>
      </c>
      <c r="AI115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{"issue":{"subject":"","project_id":79,"tracker_id":40,"status_id":1,"priority_id":2,"assigned_to_id":338,"start_date":"2017-12-15","description":"","custom_fields":[{"id":1,"name":"Subdivision","value":"EC"},{"id":4,"name":"Milepost","value":"23.3178"},{"id":17,"name":"Train ID","value":"201-15"},{"id":16,"name":"Locomotive ID","value":"4036"},{"id":130,"name":"Impact","value":""},{"id":150,"name":"Time of Event (Mountain Time)","value":"16:50:41"},{"id":151,"name":"Denver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188"/>
      <c r="AL115" s="188"/>
      <c r="AM115" s="193" t="str">
        <f t="shared" si="49"/>
        <v>start /low /b %USERPROFILE%\Documents\GitHub\eaglep3\Utilities\DownloadLogsFromS3.py --loco 4036 --day 2017-12-15</v>
      </c>
      <c r="AN115" s="194" t="str">
        <f t="shared" si="50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23:50:41"},{"id":29,"name":"Sharepoint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87" t="str">
        <f t="shared" si="51"/>
        <v>https://d0f6bd738d7f1b3e5a7ca70fe4ff75f0.us-east-1.aws.found.io/app/kibana#/discover/Steve-Slow-Train-Analysis-(2080s-and-2083s)?_g=(refreshInterval:(display:Off,pause:!f,section:0,value:0),time:(from:'2017-12-15T15:08:44-0700',mode:absolute,to:'2017-12-15T17:50:41-0700'))&amp;_a=(columns:!('Message%20ID',Summary),filters:!(),index:'emp_*',interval:auto,query:(query_string:(analyze_wildcard:!t,query:'%22rtdc.l.rtdc.4036%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186" t="s">
        <v>824</v>
      </c>
      <c r="B116" s="182">
        <v>4035</v>
      </c>
      <c r="C116" s="184" t="s">
        <v>192</v>
      </c>
      <c r="D116" s="184" t="s">
        <v>530</v>
      </c>
      <c r="E116" s="183">
        <v>43084.714409722219</v>
      </c>
      <c r="F116" s="183">
        <v>43084.716909722221</v>
      </c>
      <c r="G116" s="182">
        <v>62</v>
      </c>
      <c r="H116" s="184" t="s">
        <v>983</v>
      </c>
      <c r="I116" s="183">
        <v>43084.742986111109</v>
      </c>
      <c r="J116" s="182">
        <v>0</v>
      </c>
      <c r="K116" s="190" t="str">
        <f t="shared" si="63"/>
        <v>4035/4036</v>
      </c>
      <c r="L116" s="196" t="str">
        <f>VLOOKUP(A116,'Trips&amp;Operators'!$C$1:$G$99911,5,FALSE)</f>
        <v>HOLCOMB KAMDEN</v>
      </c>
      <c r="M116" s="181">
        <f t="shared" si="64"/>
        <v>2.6076388887304347E-2</v>
      </c>
      <c r="N116" s="182">
        <f t="shared" si="53"/>
        <v>37.54999999771826</v>
      </c>
      <c r="O116" s="182"/>
      <c r="P116" s="182"/>
      <c r="Q116" s="185"/>
      <c r="R116" s="197"/>
      <c r="S116" s="241">
        <f t="shared" si="52"/>
        <v>1</v>
      </c>
      <c r="T116" s="220" t="str">
        <f t="shared" si="65"/>
        <v>Southbound</v>
      </c>
      <c r="U116" s="22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21" t="str">
        <f t="shared" si="38"/>
        <v>https://d0f6bd738d7f1b3e5a7ca70fe4ff75f0.us-east-1.aws.found.io/app/kibana#/discover/Steve-Slow-Train-Analysis-(2080s-and-2083s)?_g=(refreshInterval:(display:Off,pause:!f,section:0,value:0),time:(from:'2017-12-15T16:08:45-0700',mode:absolute,to:'2017-12-15T18:49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16" s="222" t="str">
        <f>IF(AA116&lt;VLOOKUP(AG116,Variables!$AC$3:$AD$8,2,FALSE),"Y","N")</f>
        <v>N</v>
      </c>
      <c r="X116" s="222">
        <f t="shared" si="62"/>
        <v>1</v>
      </c>
      <c r="Y116" s="222">
        <f t="shared" si="60"/>
        <v>23.2882</v>
      </c>
      <c r="Z116" s="222">
        <f t="shared" si="61"/>
        <v>2.1100000000000001E-2</v>
      </c>
      <c r="AA116" s="222">
        <f t="shared" si="66"/>
        <v>23.267099999999999</v>
      </c>
      <c r="AB116" s="231" t="e">
        <f>VLOOKUP(A116,Enforcements!$C$7:$K$9,8,0)</f>
        <v>#N/A</v>
      </c>
      <c r="AC116" s="231" t="e">
        <f>VLOOKUP(A116,Enforcements!$C$7:$E$9,3,0)</f>
        <v>#N/A</v>
      </c>
      <c r="AD116" s="232">
        <f t="shared" si="67"/>
        <v>202</v>
      </c>
      <c r="AE116" s="233" t="str">
        <f t="shared" si="44"/>
        <v>aws s3 cp s3://rtdc.mdm.uploadarchive.raw/RTDC4035/ "%USERPROFILE%\AppData\Local\Temp\OnboardLogs"\RTDC4035\2017-12-15 --exclude "*" --recursive --include "*20171215*" &amp; "%USERPROFILE%\Documents\GitHub\mrs-test-scripts\Headless Mode &amp; Sideloading\WalkAndUnGZ.bat" "%USERPROFILE%\AppData\Local\Temp\OnboardLogs"\RTDC4035\2017-12-15 &amp; aws s3 cp s3://rtdc.mdm.uploadarchive.raw/RTDC4035/ "%USERPROFILE%\AppData\Local\Temp\OnboardLogs"\RTDC4035\2017-12-16 --exclude "*" --recursive --include "*20171216*" &amp; "%USERPROFILE%\Documents\GitHub\mrs-test-scripts\Headless Mode &amp; Sideloading\WalkAndUnGZ.bat" "%USERPROFILE%\AppData\Local\Temp\OnboardLogs"\RTDC4035\2017-12-16</v>
      </c>
      <c r="AF116" s="234" t="str">
        <f t="shared" si="45"/>
        <v>"C:\Program Files (x86)\AstroGrep\AstroGrep.exe" /e /r /s /spath="%USERPROFILE%\AppData\Local\Temp\OnboardLogs" /stypes="app*4035*20171216*" /stext=" 00:.+((SYSTEM_STATE.+slice.+state.+changed )|(ment ac)|(multiple cpu faults)|(system.+state.+changed )|(\[timeout)|(PRM\|1\|D)|(kpr)|(kdp)|(train st.+moving)|(\|lc)|(penalty))"</v>
      </c>
      <c r="AG116" s="226" t="str">
        <f t="shared" si="68"/>
        <v>EC</v>
      </c>
      <c r="AH116" s="189" t="str">
        <f t="shared" si="47"/>
        <v>"%USERPROFILE%\Documents\GitHub\eaglep3\Utilities\RefineRTDCRunTimes.py" --tripid 202-15 --locoid 4035 --swversion DE.1.0.9.0 --startMP 204:232882 --initTime 2017-12-15T17:08:45 --startdatetime 2017-12-15T17:12:21 --delay 62 --endMP 204:211 --enddatetime 2017-12-15T17:49:54 --enforcementcount 0 &gt;&gt;%USERPROFILE%\Documents\GitHub\eaglep3-reporting\EC\2017-12-15-refined-times.txt</v>
      </c>
      <c r="AI116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{"issue":{"subject":"","project_id":79,"tracker_id":40,"status_id":1,"priority_id":2,"assigned_to_id":338,"start_date":"2017-12-15","description":"","custom_fields":[{"id":1,"name":"Subdivision","value":"EC"},{"id":4,"name":"Milepost","value":"0.0211"},{"id":17,"name":"Train ID","value":"202-15"},{"id":16,"name":"Locomotive ID","value":"4035"},{"id":130,"name":"Impact","value":""},{"id":150,"name":"Time of Event (Mountain Time)","value":"17:49:54"},{"id":151,"name":"Denver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180"/>
      <c r="AK116" s="188"/>
      <c r="AL116" s="188"/>
      <c r="AM116" s="193" t="str">
        <f t="shared" si="49"/>
        <v>start /low /b %USERPROFILE%\Documents\GitHub\eaglep3\Utilities\DownloadLogsFromS3.py --loco 4035 --day 2017-12-15</v>
      </c>
      <c r="AN116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00:49:54"},{"id":29,"name":"Sharepoint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87" t="str">
        <f t="shared" si="51"/>
        <v>https://d0f6bd738d7f1b3e5a7ca70fe4ff75f0.us-east-1.aws.found.io/app/kibana#/discover/Steve-Slow-Train-Analysis-(2080s-and-2083s)?_g=(refreshInterval:(display:Off,pause:!f,section:0,value:0),time:(from:'2017-12-15T16:08:45-0700',mode:absolute,to:'2017-12-15T18:49:54-0700'))&amp;_a=(columns:!('Message%20ID',Summary),filters:!(),index:'emp_*',interval:auto,query:(query_string:(analyze_wildcard:!t,query:'%22rtdc.l.rtdc.4035%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186" t="s">
        <v>816</v>
      </c>
      <c r="B117" s="182">
        <v>4032</v>
      </c>
      <c r="C117" s="184" t="s">
        <v>192</v>
      </c>
      <c r="D117" s="184" t="s">
        <v>984</v>
      </c>
      <c r="E117" s="183">
        <v>43084.684699074074</v>
      </c>
      <c r="F117" s="183">
        <v>43084.687662037039</v>
      </c>
      <c r="G117" s="182">
        <v>59</v>
      </c>
      <c r="H117" s="184" t="s">
        <v>985</v>
      </c>
      <c r="I117" s="183">
        <v>43084.712083333332</v>
      </c>
      <c r="J117" s="182">
        <v>0</v>
      </c>
      <c r="K117" s="190" t="str">
        <f t="shared" si="63"/>
        <v>4031/4032</v>
      </c>
      <c r="L117" s="196" t="str">
        <f>VLOOKUP(A117,'Trips&amp;Operators'!$C$1:$G$99911,5,FALSE)</f>
        <v>NEWELL JAMES</v>
      </c>
      <c r="M117" s="181">
        <f t="shared" si="64"/>
        <v>2.4421296293439809E-2</v>
      </c>
      <c r="N117" s="182">
        <f t="shared" si="53"/>
        <v>35.166666662553325</v>
      </c>
      <c r="O117" s="182"/>
      <c r="P117" s="182"/>
      <c r="Q117" s="185"/>
      <c r="R117" s="197"/>
      <c r="S117" s="241">
        <f t="shared" si="52"/>
        <v>1</v>
      </c>
      <c r="T117" s="220" t="str">
        <f t="shared" si="65"/>
        <v>NorthBound</v>
      </c>
      <c r="U117" s="22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21" t="str">
        <f t="shared" si="38"/>
        <v>https://d0f6bd738d7f1b3e5a7ca70fe4ff75f0.us-east-1.aws.found.io/app/kibana#/discover/Steve-Slow-Train-Analysis-(2080s-and-2083s)?_g=(refreshInterval:(display:Off,pause:!f,section:0,value:0),time:(from:'2017-12-15T15:25:58-0700',mode:absolute,to:'2017-12-15T18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7" s="222" t="str">
        <f>IF(AA117&lt;VLOOKUP(AG117,Variables!$AC$3:$AD$8,2,FALSE),"Y","N")</f>
        <v>N</v>
      </c>
      <c r="X117" s="222">
        <f t="shared" si="62"/>
        <v>1</v>
      </c>
      <c r="Y117" s="222">
        <f t="shared" si="60"/>
        <v>6.0600000000000001E-2</v>
      </c>
      <c r="Z117" s="222">
        <f t="shared" si="61"/>
        <v>23.316099999999999</v>
      </c>
      <c r="AA117" s="222">
        <f t="shared" si="66"/>
        <v>23.255499999999998</v>
      </c>
      <c r="AB117" s="231" t="e">
        <f>VLOOKUP(A117,Enforcements!$C$7:$K$9,8,0)</f>
        <v>#N/A</v>
      </c>
      <c r="AC117" s="231" t="e">
        <f>VLOOKUP(A117,Enforcements!$C$7:$E$9,3,0)</f>
        <v>#N/A</v>
      </c>
      <c r="AD117" s="232">
        <f t="shared" si="67"/>
        <v>203</v>
      </c>
      <c r="AE117" s="233" t="str">
        <f t="shared" si="44"/>
        <v>aws s3 cp s3://rtdc.mdm.uploadarchive.raw/RTDC4032/ "%USERPROFILE%\AppData\Local\Temp\OnboardLogs"\RTDC4032\2017-12-15 --exclude "*" --recursive --include "*20171215*" &amp; "%USERPROFILE%\Documents\GitHub\mrs-test-scripts\Headless Mode &amp; Sideloading\WalkAndUnGZ.bat" "%USERPROFILE%\AppData\Local\Temp\OnboardLogs"\RTDC4032\2017-12-15 &amp; aws s3 cp s3://rtdc.mdm.uploadarchive.raw/RTDC4032/ "%USERPROFILE%\AppData\Local\Temp\OnboardLogs"\RTDC4032\2017-12-16 --exclude "*" --recursive --include "*20171216*" &amp; "%USERPROFILE%\Documents\GitHub\mrs-test-scripts\Headless Mode &amp; Sideloading\WalkAndUnGZ.bat" "%USERPROFILE%\AppData\Local\Temp\OnboardLogs"\RTDC4032\2017-12-16</v>
      </c>
      <c r="AF117" s="234" t="str">
        <f t="shared" si="45"/>
        <v>"C:\Program Files (x86)\AstroGrep\AstroGrep.exe" /e /r /s /spath="%USERPROFILE%\AppData\Local\Temp\OnboardLogs" /stypes="app*4032*20171216*" /stext=" 00:.+((SYSTEM_STATE.+slice.+state.+changed )|(ment ac)|(multiple cpu faults)|(system.+state.+changed )|(\[timeout)|(PRM\|1\|D)|(kpr)|(kdp)|(train st.+moving)|(\|lc)|(penalty))"</v>
      </c>
      <c r="AG117" s="226" t="str">
        <f t="shared" si="68"/>
        <v>EC</v>
      </c>
      <c r="AH117" s="189" t="str">
        <f t="shared" si="47"/>
        <v>"%USERPROFILE%\Documents\GitHub\eaglep3\Utilities\RefineRTDCRunTimes.py" --tripid 203-15 --locoid 4032 --swversion DE.1.0.9.0 --startMP 204:606 --initTime 2017-12-15T16:25:58 --startdatetime 2017-12-15T16:30:14 --delay 59 --endMP 204:233161 --enddatetime 2017-12-15T17:05:24 --enforcementcount 0 &gt;&gt;%USERPROFILE%\Documents\GitHub\eaglep3-reporting\EC\2017-12-15-refined-times.txt</v>
      </c>
      <c r="AI117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{"issue":{"subject":"","project_id":79,"tracker_id":40,"status_id":1,"priority_id":2,"assigned_to_id":338,"start_date":"2017-12-15","description":"","custom_fields":[{"id":1,"name":"Subdivision","value":"EC"},{"id":4,"name":"Milepost","value":"23.3161"},{"id":17,"name":"Train ID","value":"203-15"},{"id":16,"name":"Locomotive ID","value":"4032"},{"id":130,"name":"Impact","value":""},{"id":150,"name":"Time of Event (Mountain Time)","value":"17:05:24"},{"id":151,"name":"Denver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180"/>
      <c r="AK117" s="188"/>
      <c r="AL117" s="188"/>
      <c r="AM117" s="193" t="str">
        <f t="shared" si="49"/>
        <v>start /low /b %USERPROFILE%\Documents\GitHub\eaglep3\Utilities\DownloadLogsFromS3.py --loco 4032 --day 2017-12-15</v>
      </c>
      <c r="AN117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00:05:24"},{"id":29,"name":"Sharepoint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87" t="str">
        <f t="shared" si="51"/>
        <v>https://d0f6bd738d7f1b3e5a7ca70fe4ff75f0.us-east-1.aws.found.io/app/kibana#/discover/Steve-Slow-Train-Analysis-(2080s-and-2083s)?_g=(refreshInterval:(display:Off,pause:!f,section:0,value:0),time:(from:'2017-12-15T15:25:58-0700',mode:absolute,to:'2017-12-15T18:05:24-0700'))&amp;_a=(columns:!('Message%20ID',Summary),filters:!(),index:'emp_*',interval:auto,query:(query_string:(analyze_wildcard:!t,query:'%22rtdc.l.rtdc.4032%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180" customFormat="1" x14ac:dyDescent="0.25">
      <c r="A118" s="186" t="s">
        <v>825</v>
      </c>
      <c r="B118" s="182">
        <v>4031</v>
      </c>
      <c r="C118" s="184" t="s">
        <v>192</v>
      </c>
      <c r="D118" s="184" t="s">
        <v>986</v>
      </c>
      <c r="E118" s="183">
        <v>43084.719606481478</v>
      </c>
      <c r="F118" s="183">
        <v>43084.727256944447</v>
      </c>
      <c r="G118" s="182">
        <v>52</v>
      </c>
      <c r="H118" s="184" t="s">
        <v>605</v>
      </c>
      <c r="I118" s="183">
        <v>43084.755046296297</v>
      </c>
      <c r="J118" s="182">
        <v>0</v>
      </c>
      <c r="K118" s="190" t="str">
        <f t="shared" si="63"/>
        <v>4031/4032</v>
      </c>
      <c r="L118" s="196" t="str">
        <f>VLOOKUP(A118,'Trips&amp;Operators'!$C$1:$G$99911,5,FALSE)</f>
        <v>NEWELL JAMES</v>
      </c>
      <c r="M118" s="181">
        <f t="shared" si="64"/>
        <v>2.7789351850515231E-2</v>
      </c>
      <c r="N118" s="182">
        <f t="shared" si="53"/>
        <v>40.016666664741933</v>
      </c>
      <c r="O118" s="182"/>
      <c r="P118" s="182"/>
      <c r="Q118" s="185"/>
      <c r="R118" s="197"/>
      <c r="S118" s="241">
        <f t="shared" ref="S118:S135" si="69">1/IF(AG118="EC",12,1)*SUM(U118:U118)</f>
        <v>1</v>
      </c>
      <c r="T118" s="220" t="str">
        <f t="shared" si="65"/>
        <v>Southbound</v>
      </c>
      <c r="U118" s="22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21" t="str">
        <f t="shared" si="38"/>
        <v>https://d0f6bd738d7f1b3e5a7ca70fe4ff75f0.us-east-1.aws.found.io/app/kibana#/discover/Steve-Slow-Train-Analysis-(2080s-and-2083s)?_g=(refreshInterval:(display:Off,pause:!f,section:0,value:0),time:(from:'2017-12-15T16:16:14-0700',mode:absolute,to:'2017-12-15T19:07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8" s="222" t="str">
        <f>IF(AA118&lt;VLOOKUP(AG118,Variables!$AC$3:$AD$8,2,FALSE),"Y","N")</f>
        <v>N</v>
      </c>
      <c r="X118" s="222">
        <f t="shared" si="62"/>
        <v>1</v>
      </c>
      <c r="Y118" s="222">
        <f t="shared" si="60"/>
        <v>23.2851</v>
      </c>
      <c r="Z118" s="222">
        <f t="shared" si="61"/>
        <v>1.5800000000000002E-2</v>
      </c>
      <c r="AA118" s="222">
        <f t="shared" si="66"/>
        <v>23.269300000000001</v>
      </c>
      <c r="AB118" s="231" t="e">
        <f>VLOOKUP(A118,Enforcements!$C$7:$K$9,8,0)</f>
        <v>#N/A</v>
      </c>
      <c r="AC118" s="231" t="e">
        <f>VLOOKUP(A118,Enforcements!$C$7:$E$9,3,0)</f>
        <v>#N/A</v>
      </c>
      <c r="AD118" s="232">
        <f t="shared" si="67"/>
        <v>204</v>
      </c>
      <c r="AE118" s="233" t="str">
        <f t="shared" si="44"/>
        <v>aws s3 cp s3://rtdc.mdm.uploadarchive.raw/RTDC4031/ "%USERPROFILE%\AppData\Local\Temp\OnboardLogs"\RTDC4031\2017-12-15 --exclude "*" --recursive --include "*20171215*" &amp; "%USERPROFILE%\Documents\GitHub\mrs-test-scripts\Headless Mode &amp; Sideloading\WalkAndUnGZ.bat" "%USERPROFILE%\AppData\Local\Temp\OnboardLogs"\RTDC4031\2017-12-15 &amp; aws s3 cp s3://rtdc.mdm.uploadarchive.raw/RTDC4031/ "%USERPROFILE%\AppData\Local\Temp\OnboardLogs"\RTDC4031\2017-12-16 --exclude "*" --recursive --include "*20171216*" &amp; "%USERPROFILE%\Documents\GitHub\mrs-test-scripts\Headless Mode &amp; Sideloading\WalkAndUnGZ.bat" "%USERPROFILE%\AppData\Local\Temp\OnboardLogs"\RTDC4031\2017-12-16</v>
      </c>
      <c r="AF118" s="234" t="str">
        <f t="shared" si="45"/>
        <v>"C:\Program Files (x86)\AstroGrep\AstroGrep.exe" /e /r /s /spath="%USERPROFILE%\AppData\Local\Temp\OnboardLogs" /stypes="app*4031*20171216*" /stext=" 01:.+((SYSTEM_STATE.+slice.+state.+changed )|(ment ac)|(multiple cpu faults)|(system.+state.+changed )|(\[timeout)|(PRM\|1\|D)|(kpr)|(kdp)|(train st.+moving)|(\|lc)|(penalty))"</v>
      </c>
      <c r="AG118" s="226" t="str">
        <f t="shared" si="68"/>
        <v>EC</v>
      </c>
      <c r="AH118" s="189" t="str">
        <f t="shared" si="47"/>
        <v>"%USERPROFILE%\Documents\GitHub\eaglep3\Utilities\RefineRTDCRunTimes.py" --tripid 204-15 --locoid 4031 --swversion DE.1.0.9.0 --startMP 204:232851 --initTime 2017-12-15T17:16:14 --startdatetime 2017-12-15T17:27:15 --delay 52 --endMP 204:158 --enddatetime 2017-12-15T18:07:16 --enforcementcount 0 &gt;&gt;%USERPROFILE%\Documents\GitHub\eaglep3-reporting\EC\2017-12-15-refined-times.txt</v>
      </c>
      <c r="AI118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{"issue":{"subject":"","project_id":79,"tracker_id":40,"status_id":1,"priority_id":2,"assigned_to_id":338,"start_date":"2017-12-15","description":"","custom_fields":[{"id":1,"name":"Subdivision","value":"EC"},{"id":4,"name":"Milepost","value":"0.0158"},{"id":17,"name":"Train ID","value":"204-15"},{"id":16,"name":"Locomotive ID","value":"4031"},{"id":130,"name":"Impact","value":""},{"id":150,"name":"Time of Event (Mountain Time)","value":"18:07:16"},{"id":151,"name":"Denver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188"/>
      <c r="AL118" s="188"/>
      <c r="AM118" s="193" t="str">
        <f t="shared" si="49"/>
        <v>start /low /b %USERPROFILE%\Documents\GitHub\eaglep3\Utilities\DownloadLogsFromS3.py --loco 4031 --day 2017-12-15</v>
      </c>
      <c r="AN118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01:07:16"},{"id":29,"name":"Sharepoint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87" t="str">
        <f t="shared" si="51"/>
        <v>https://d0f6bd738d7f1b3e5a7ca70fe4ff75f0.us-east-1.aws.found.io/app/kibana#/discover/Steve-Slow-Train-Analysis-(2080s-and-2083s)?_g=(refreshInterval:(display:Off,pause:!f,section:0,value:0),time:(from:'2017-12-15T16:16:14-0700',mode:absolute,to:'2017-12-15T19:07:16-0700'))&amp;_a=(columns:!('Message%20ID',Summary),filters:!(),index:'emp_*',interval:auto,query:(query_string:(analyze_wildcard:!t,query:'%22rtdc.l.rtdc.4031%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186" t="s">
        <v>818</v>
      </c>
      <c r="B119" s="182">
        <v>4062</v>
      </c>
      <c r="C119" s="184" t="s">
        <v>192</v>
      </c>
      <c r="D119" s="184" t="s">
        <v>597</v>
      </c>
      <c r="E119" s="183">
        <v>43084.692349537036</v>
      </c>
      <c r="F119" s="183">
        <v>43084.698159722226</v>
      </c>
      <c r="G119" s="182">
        <v>81</v>
      </c>
      <c r="H119" s="184" t="s">
        <v>601</v>
      </c>
      <c r="I119" s="183">
        <v>43084.722905092596</v>
      </c>
      <c r="J119" s="182">
        <v>0</v>
      </c>
      <c r="K119" s="190" t="str">
        <f t="shared" si="63"/>
        <v>4061/4062</v>
      </c>
      <c r="L119" s="196" t="str">
        <f>VLOOKUP(A119,'Trips&amp;Operators'!$C$1:$G$99911,5,FALSE)</f>
        <v>GONZALEZ ARMANDO</v>
      </c>
      <c r="M119" s="181">
        <f t="shared" si="64"/>
        <v>2.47453703705105E-2</v>
      </c>
      <c r="N119" s="182">
        <f t="shared" ref="N119:N135" si="70">24*60*SUM($M119:$M119)</f>
        <v>35.63333333353512</v>
      </c>
      <c r="O119" s="182"/>
      <c r="P119" s="182"/>
      <c r="Q119" s="185"/>
      <c r="R119" s="197"/>
      <c r="S119" s="241">
        <f t="shared" si="69"/>
        <v>1</v>
      </c>
      <c r="T119" s="220" t="str">
        <f t="shared" si="65"/>
        <v>NorthBound</v>
      </c>
      <c r="U119" s="22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21" t="str">
        <f t="shared" si="38"/>
        <v>https://d0f6bd738d7f1b3e5a7ca70fe4ff75f0.us-east-1.aws.found.io/app/kibana#/discover/Steve-Slow-Train-Analysis-(2080s-and-2083s)?_g=(refreshInterval:(display:Off,pause:!f,section:0,value:0),time:(from:'2017-12-15T15:36:59-0700',mode:absolute,to:'2017-12-15T18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9" s="222" t="str">
        <f>IF(AA119&lt;VLOOKUP(AG119,Variables!$AC$3:$AD$8,2,FALSE),"Y","N")</f>
        <v>N</v>
      </c>
      <c r="X119" s="222">
        <f t="shared" si="62"/>
        <v>1</v>
      </c>
      <c r="Y119" s="222">
        <f t="shared" si="60"/>
        <v>4.8599999999999997E-2</v>
      </c>
      <c r="Z119" s="222">
        <f t="shared" si="61"/>
        <v>23.330100000000002</v>
      </c>
      <c r="AA119" s="222">
        <f t="shared" si="66"/>
        <v>23.281500000000001</v>
      </c>
      <c r="AB119" s="231" t="e">
        <f>VLOOKUP(A119,Enforcements!$C$7:$K$9,8,0)</f>
        <v>#N/A</v>
      </c>
      <c r="AC119" s="231" t="e">
        <f>VLOOKUP(A119,Enforcements!$C$7:$E$9,3,0)</f>
        <v>#N/A</v>
      </c>
      <c r="AD119" s="232">
        <f t="shared" si="67"/>
        <v>205</v>
      </c>
      <c r="AE119" s="233" t="str">
        <f t="shared" si="44"/>
        <v>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 &amp; aws s3 cp s3://rtdc.mdm.uploadarchive.raw/RTDC4062/ "%USERPROFILE%\AppData\Local\Temp\OnboardLogs"\RTDC4062\2017-12-16 --exclude "*" --recursive --include "*20171216*" &amp; "%USERPROFILE%\Documents\GitHub\mrs-test-scripts\Headless Mode &amp; Sideloading\WalkAndUnGZ.bat" "%USERPROFILE%\AppData\Local\Temp\OnboardLogs"\RTDC4062\2017-12-16</v>
      </c>
      <c r="AF119" s="234" t="str">
        <f t="shared" si="45"/>
        <v>"C:\Program Files (x86)\AstroGrep\AstroGrep.exe" /e /r /s /spath="%USERPROFILE%\AppData\Local\Temp\OnboardLogs" /stypes="app*4062*20171216*" /stext=" 00:.+((SYSTEM_STATE.+slice.+state.+changed )|(ment ac)|(multiple cpu faults)|(system.+state.+changed )|(\[timeout)|(PRM\|1\|D)|(kpr)|(kdp)|(train st.+moving)|(\|lc)|(penalty))"</v>
      </c>
      <c r="AG119" s="226" t="str">
        <f t="shared" si="68"/>
        <v>EC</v>
      </c>
      <c r="AH119" s="189" t="str">
        <f t="shared" si="47"/>
        <v>"%USERPROFILE%\Documents\GitHub\eaglep3\Utilities\RefineRTDCRunTimes.py" --tripid 205-15 --locoid 4062 --swversion DE.1.0.9.0 --startMP 204:486 --initTime 2017-12-15T16:36:59 --startdatetime 2017-12-15T16:45:21 --delay 81 --endMP 204:233301 --enddatetime 2017-12-15T17:20:59 --enforcementcount 0 &gt;&gt;%USERPROFILE%\Documents\GitHub\eaglep3-reporting\EC\2017-12-15-refined-times.txt</v>
      </c>
      <c r="AI119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{"issue":{"subject":"","project_id":79,"tracker_id":40,"status_id":1,"priority_id":2,"assigned_to_id":338,"start_date":"2017-12-15","description":"","custom_fields":[{"id":1,"name":"Subdivision","value":"EC"},{"id":4,"name":"Milepost","value":"23.3301"},{"id":17,"name":"Train ID","value":"205-15"},{"id":16,"name":"Locomotive ID","value":"4062"},{"id":130,"name":"Impact","value":""},{"id":150,"name":"Time of Event (Mountain Time)","value":"17:20:59"},{"id":151,"name":"Denver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180"/>
      <c r="AK119" s="188"/>
      <c r="AL119" s="188"/>
      <c r="AM119" s="193" t="str">
        <f t="shared" si="49"/>
        <v>start /low /b %USERPROFILE%\Documents\GitHub\eaglep3\Utilities\DownloadLogsFromS3.py --loco 4062 --day 2017-12-15</v>
      </c>
      <c r="AN119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00:20:59"},{"id":29,"name":"Sharepoint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87" t="str">
        <f t="shared" si="51"/>
        <v>https://d0f6bd738d7f1b3e5a7ca70fe4ff75f0.us-east-1.aws.found.io/app/kibana#/discover/Steve-Slow-Train-Analysis-(2080s-and-2083s)?_g=(refreshInterval:(display:Off,pause:!f,section:0,value:0),time:(from:'2017-12-15T15:36:59-0700',mode:absolute,to:'2017-12-15T18:20:59-0700'))&amp;_a=(columns:!('Message%20ID',Summary),filters:!(),index:'emp_*',interval:auto,query:(query_string:(analyze_wildcard:!t,query:'%22rtdc.l.rtdc.4062%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186" t="s">
        <v>829</v>
      </c>
      <c r="B120" s="182">
        <v>4061</v>
      </c>
      <c r="C120" s="184" t="s">
        <v>192</v>
      </c>
      <c r="D120" s="184" t="s">
        <v>586</v>
      </c>
      <c r="E120" s="183">
        <v>43084.732118055559</v>
      </c>
      <c r="F120" s="183">
        <v>43084.737673611111</v>
      </c>
      <c r="G120" s="182">
        <v>49</v>
      </c>
      <c r="H120" s="184" t="s">
        <v>909</v>
      </c>
      <c r="I120" s="183">
        <v>43084.764398148145</v>
      </c>
      <c r="J120" s="182">
        <v>0</v>
      </c>
      <c r="K120" s="190" t="str">
        <f t="shared" si="63"/>
        <v>4061/4062</v>
      </c>
      <c r="L120" s="196" t="str">
        <f>VLOOKUP(A120,'Trips&amp;Operators'!$C$1:$G$99911,5,FALSE)</f>
        <v>GONZALEZ ARMANDO</v>
      </c>
      <c r="M120" s="181">
        <f t="shared" si="64"/>
        <v>2.6724537034169771E-2</v>
      </c>
      <c r="N120" s="182">
        <f t="shared" si="70"/>
        <v>38.48333332920447</v>
      </c>
      <c r="O120" s="182"/>
      <c r="P120" s="182"/>
      <c r="Q120" s="185"/>
      <c r="R120" s="197"/>
      <c r="S120" s="241">
        <f t="shared" si="69"/>
        <v>1</v>
      </c>
      <c r="T120" s="220" t="str">
        <f t="shared" si="65"/>
        <v>Southbound</v>
      </c>
      <c r="U120" s="22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21" t="str">
        <f t="shared" si="38"/>
        <v>https://d0f6bd738d7f1b3e5a7ca70fe4ff75f0.us-east-1.aws.found.io/app/kibana#/discover/Steve-Slow-Train-Analysis-(2080s-and-2083s)?_g=(refreshInterval:(display:Off,pause:!f,section:0,value:0),time:(from:'2017-12-15T16:34:15-0700',mode:absolute,to:'2017-12-15T19:20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0" s="222" t="str">
        <f>IF(AA120&lt;VLOOKUP(AG120,Variables!$AC$3:$AD$8,2,FALSE),"Y","N")</f>
        <v>N</v>
      </c>
      <c r="X120" s="222">
        <f t="shared" si="62"/>
        <v>1</v>
      </c>
      <c r="Y120" s="222">
        <f t="shared" si="60"/>
        <v>23.2986</v>
      </c>
      <c r="Z120" s="222">
        <f t="shared" si="61"/>
        <v>1.9400000000000001E-2</v>
      </c>
      <c r="AA120" s="222">
        <f t="shared" si="66"/>
        <v>23.279199999999999</v>
      </c>
      <c r="AB120" s="231" t="e">
        <f>VLOOKUP(A120,Enforcements!$C$7:$K$9,8,0)</f>
        <v>#N/A</v>
      </c>
      <c r="AC120" s="231" t="e">
        <f>VLOOKUP(A120,Enforcements!$C$7:$E$9,3,0)</f>
        <v>#N/A</v>
      </c>
      <c r="AD120" s="232">
        <f t="shared" si="67"/>
        <v>206</v>
      </c>
      <c r="AE120" s="233" t="str">
        <f t="shared" si="44"/>
        <v>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 &amp; aws s3 cp s3://rtdc.mdm.uploadarchive.raw/RTDC4061/ "%USERPROFILE%\AppData\Local\Temp\OnboardLogs"\RTDC4061\2017-12-16 --exclude "*" --recursive --include "*20171216*" &amp; "%USERPROFILE%\Documents\GitHub\mrs-test-scripts\Headless Mode &amp; Sideloading\WalkAndUnGZ.bat" "%USERPROFILE%\AppData\Local\Temp\OnboardLogs"\RTDC4061\2017-12-16</v>
      </c>
      <c r="AF120" s="234" t="str">
        <f t="shared" si="45"/>
        <v>"C:\Program Files (x86)\AstroGrep\AstroGrep.exe" /e /r /s /spath="%USERPROFILE%\AppData\Local\Temp\OnboardLogs" /stypes="app*4061*20171216*" /stext=" 01:.+((SYSTEM_STATE.+slice.+state.+changed )|(ment ac)|(multiple cpu faults)|(system.+state.+changed )|(\[timeout)|(PRM\|1\|D)|(kpr)|(kdp)|(train st.+moving)|(\|lc)|(penalty))"</v>
      </c>
      <c r="AG120" s="226" t="str">
        <f t="shared" si="68"/>
        <v>EC</v>
      </c>
      <c r="AH120" s="189" t="str">
        <f t="shared" si="47"/>
        <v>"%USERPROFILE%\Documents\GitHub\eaglep3\Utilities\RefineRTDCRunTimes.py" --tripid 206-15 --locoid 4061 --swversion DE.1.0.9.0 --startMP 204:232986 --initTime 2017-12-15T17:34:15 --startdatetime 2017-12-15T17:42:15 --delay 49 --endMP 204:194 --enddatetime 2017-12-15T18:20:44 --enforcementcount 0 &gt;&gt;%USERPROFILE%\Documents\GitHub\eaglep3-reporting\EC\2017-12-15-refined-times.txt</v>
      </c>
      <c r="AI120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{"issue":{"subject":"","project_id":79,"tracker_id":40,"status_id":1,"priority_id":2,"assigned_to_id":338,"start_date":"2017-12-15","description":"","custom_fields":[{"id":1,"name":"Subdivision","value":"EC"},{"id":4,"name":"Milepost","value":"0.0194"},{"id":17,"name":"Train ID","value":"206-15"},{"id":16,"name":"Locomotive ID","value":"4061"},{"id":130,"name":"Impact","value":""},{"id":150,"name":"Time of Event (Mountain Time)","value":"18:20:44"},{"id":151,"name":"Denver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180"/>
      <c r="AK120" s="188"/>
      <c r="AL120" s="188"/>
      <c r="AM120" s="193" t="str">
        <f t="shared" si="49"/>
        <v>start /low /b %USERPROFILE%\Documents\GitHub\eaglep3\Utilities\DownloadLogsFromS3.py --loco 4061 --day 2017-12-15</v>
      </c>
      <c r="AN120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01:20:44"},{"id":29,"name":"Sharepoint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87" t="str">
        <f t="shared" si="51"/>
        <v>https://d0f6bd738d7f1b3e5a7ca70fe4ff75f0.us-east-1.aws.found.io/app/kibana#/discover/Steve-Slow-Train-Analysis-(2080s-and-2083s)?_g=(refreshInterval:(display:Off,pause:!f,section:0,value:0),time:(from:'2017-12-15T16:34:15-0700',mode:absolute,to:'2017-12-15T19:20:44-0700'))&amp;_a=(columns:!('Message%20ID',Summary),filters:!(),index:'emp_*',interval:auto,query:(query_string:(analyze_wildcard:!t,query:'%22rtdc.l.rtdc.4061%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186" t="s">
        <v>820</v>
      </c>
      <c r="B121" s="182">
        <v>4042</v>
      </c>
      <c r="C121" s="184" t="s">
        <v>192</v>
      </c>
      <c r="D121" s="184" t="s">
        <v>931</v>
      </c>
      <c r="E121" s="183">
        <v>43084.704826388886</v>
      </c>
      <c r="F121" s="183">
        <v>43084.70857638889</v>
      </c>
      <c r="G121" s="182">
        <v>80</v>
      </c>
      <c r="H121" s="184" t="s">
        <v>987</v>
      </c>
      <c r="I121" s="183">
        <v>43084.736180555556</v>
      </c>
      <c r="J121" s="182">
        <v>0</v>
      </c>
      <c r="K121" s="190" t="str">
        <f t="shared" si="63"/>
        <v>4041/4042</v>
      </c>
      <c r="L121" s="196" t="str">
        <f>VLOOKUP(A121,'Trips&amp;Operators'!$C$1:$G$99911,5,FALSE)</f>
        <v>LEVERE CRAIG</v>
      </c>
      <c r="M121" s="181">
        <f t="shared" si="64"/>
        <v>2.7604166665696539E-2</v>
      </c>
      <c r="N121" s="182">
        <f t="shared" si="70"/>
        <v>39.749999998603016</v>
      </c>
      <c r="O121" s="182"/>
      <c r="P121" s="182"/>
      <c r="Q121" s="185"/>
      <c r="R121" s="197"/>
      <c r="S121" s="241">
        <f t="shared" si="69"/>
        <v>1</v>
      </c>
      <c r="T121" s="220" t="str">
        <f t="shared" si="65"/>
        <v>NorthBound</v>
      </c>
      <c r="U121" s="22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21" t="str">
        <f t="shared" si="38"/>
        <v>https://d0f6bd738d7f1b3e5a7ca70fe4ff75f0.us-east-1.aws.found.io/app/kibana#/discover/Steve-Slow-Train-Analysis-(2080s-and-2083s)?_g=(refreshInterval:(display:Off,pause:!f,section:0,value:0),time:(from:'2017-12-15T15:54:57-0700',mode:absolute,to:'2017-12-15T18:40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1" s="222" t="str">
        <f>IF(AA121&lt;VLOOKUP(AG121,Variables!$AC$3:$AD$8,2,FALSE),"Y","N")</f>
        <v>N</v>
      </c>
      <c r="X121" s="222">
        <f t="shared" si="62"/>
        <v>1</v>
      </c>
      <c r="Y121" s="222">
        <f t="shared" si="60"/>
        <v>5.5500000000000001E-2</v>
      </c>
      <c r="Z121" s="222">
        <f t="shared" si="61"/>
        <v>23.322099999999999</v>
      </c>
      <c r="AA121" s="222">
        <f t="shared" si="66"/>
        <v>23.2666</v>
      </c>
      <c r="AB121" s="231" t="e">
        <f>VLOOKUP(A121,Enforcements!$C$7:$K$9,8,0)</f>
        <v>#N/A</v>
      </c>
      <c r="AC121" s="231" t="e">
        <f>VLOOKUP(A121,Enforcements!$C$7:$E$9,3,0)</f>
        <v>#N/A</v>
      </c>
      <c r="AD121" s="232">
        <f t="shared" si="67"/>
        <v>207</v>
      </c>
      <c r="AE121" s="233" t="str">
        <f t="shared" si="44"/>
        <v>aws s3 cp s3://rtdc.mdm.uploadarchive.raw/RTDC4042/ "%USERPROFILE%\AppData\Local\Temp\OnboardLogs"\RTDC4042\2017-12-15 --exclude "*" --recursive --include "*20171215*" &amp; "%USERPROFILE%\Documents\GitHub\mrs-test-scripts\Headless Mode &amp; Sideloading\WalkAndUnGZ.bat" "%USERPROFILE%\AppData\Local\Temp\OnboardLogs"\RTDC4042\2017-12-15 &amp; aws s3 cp s3://rtdc.mdm.uploadarchive.raw/RTDC4042/ "%USERPROFILE%\AppData\Local\Temp\OnboardLogs"\RTDC4042\2017-12-16 --exclude "*" --recursive --include "*20171216*" &amp; "%USERPROFILE%\Documents\GitHub\mrs-test-scripts\Headless Mode &amp; Sideloading\WalkAndUnGZ.bat" "%USERPROFILE%\AppData\Local\Temp\OnboardLogs"\RTDC4042\2017-12-16</v>
      </c>
      <c r="AF121" s="234" t="str">
        <f t="shared" si="45"/>
        <v>"C:\Program Files (x86)\AstroGrep\AstroGrep.exe" /e /r /s /spath="%USERPROFILE%\AppData\Local\Temp\OnboardLogs" /stypes="app*4042*20171216*" /stext=" 00:.+((SYSTEM_STATE.+slice.+state.+changed )|(ment ac)|(multiple cpu faults)|(system.+state.+changed )|(\[timeout)|(PRM\|1\|D)|(kpr)|(kdp)|(train st.+moving)|(\|lc)|(penalty))"</v>
      </c>
      <c r="AG121" s="226" t="str">
        <f t="shared" si="68"/>
        <v>EC</v>
      </c>
      <c r="AH121" s="189" t="str">
        <f t="shared" si="47"/>
        <v>"%USERPROFILE%\Documents\GitHub\eaglep3\Utilities\RefineRTDCRunTimes.py" --tripid 207-15 --locoid 4042 --swversion DE.1.0.9.0 --startMP 204:555 --initTime 2017-12-15T16:54:57 --startdatetime 2017-12-15T17:00:21 --delay 80 --endMP 204:233221 --enddatetime 2017-12-15T17:40:06 --enforcementcount 0 &gt;&gt;%USERPROFILE%\Documents\GitHub\eaglep3-reporting\EC\2017-12-15-refined-times.txt</v>
      </c>
      <c r="AI121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{"issue":{"subject":"","project_id":79,"tracker_id":40,"status_id":1,"priority_id":2,"assigned_to_id":338,"start_date":"2017-12-15","description":"","custom_fields":[{"id":1,"name":"Subdivision","value":"EC"},{"id":4,"name":"Milepost","value":"23.3221"},{"id":17,"name":"Train ID","value":"207-15"},{"id":16,"name":"Locomotive ID","value":"4042"},{"id":130,"name":"Impact","value":""},{"id":150,"name":"Time of Event (Mountain Time)","value":"17:40:06"},{"id":151,"name":"Denver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180"/>
      <c r="AK121" s="188"/>
      <c r="AL121" s="188"/>
      <c r="AM121" s="193" t="str">
        <f t="shared" si="49"/>
        <v>start /low /b %USERPROFILE%\Documents\GitHub\eaglep3\Utilities\DownloadLogsFromS3.py --loco 4042 --day 2017-12-15</v>
      </c>
      <c r="AN121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00:40:06"},{"id":29,"name":"Sharepoint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87" t="str">
        <f t="shared" si="51"/>
        <v>https://d0f6bd738d7f1b3e5a7ca70fe4ff75f0.us-east-1.aws.found.io/app/kibana#/discover/Steve-Slow-Train-Analysis-(2080s-and-2083s)?_g=(refreshInterval:(display:Off,pause:!f,section:0,value:0),time:(from:'2017-12-15T15:54:57-0700',mode:absolute,to:'2017-12-15T18:40:06-0700'))&amp;_a=(columns:!('Message%20ID',Summary),filters:!(),index:'emp_*',interval:auto,query:(query_string:(analyze_wildcard:!t,query:'%22rtdc.l.rtdc.4042%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186" t="s">
        <v>834</v>
      </c>
      <c r="B122" s="182">
        <v>4041</v>
      </c>
      <c r="C122" s="184" t="s">
        <v>192</v>
      </c>
      <c r="D122" s="184" t="s">
        <v>531</v>
      </c>
      <c r="E122" s="183">
        <v>43084.741087962961</v>
      </c>
      <c r="F122" s="183">
        <v>43084.748252314814</v>
      </c>
      <c r="G122" s="182">
        <v>94</v>
      </c>
      <c r="H122" s="184" t="s">
        <v>619</v>
      </c>
      <c r="I122" s="183">
        <v>43084.775543981479</v>
      </c>
      <c r="J122" s="182">
        <v>0</v>
      </c>
      <c r="K122" s="190" t="str">
        <f t="shared" si="63"/>
        <v>4041/4042</v>
      </c>
      <c r="L122" s="196" t="str">
        <f>VLOOKUP(A122,'Trips&amp;Operators'!$C$1:$G$99911,5,FALSE)</f>
        <v>LEVERE CRAIG</v>
      </c>
      <c r="M122" s="181">
        <f t="shared" si="64"/>
        <v>2.7291666665405501E-2</v>
      </c>
      <c r="N122" s="182">
        <f t="shared" si="70"/>
        <v>39.299999998183921</v>
      </c>
      <c r="O122" s="182"/>
      <c r="P122" s="182"/>
      <c r="Q122" s="185"/>
      <c r="R122" s="197"/>
      <c r="S122" s="241">
        <f t="shared" si="69"/>
        <v>1</v>
      </c>
      <c r="T122" s="220" t="str">
        <f t="shared" si="65"/>
        <v>Southbound</v>
      </c>
      <c r="U122" s="22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21" t="str">
        <f t="shared" si="38"/>
        <v>https://d0f6bd738d7f1b3e5a7ca70fe4ff75f0.us-east-1.aws.found.io/app/kibana#/discover/Steve-Slow-Train-Analysis-(2080s-and-2083s)?_g=(refreshInterval:(display:Off,pause:!f,section:0,value:0),time:(from:'2017-12-15T16:47:10-0700',mode:absolute,to:'2017-12-15T19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2" s="222" t="str">
        <f>IF(AA122&lt;VLOOKUP(AG122,Variables!$AC$3:$AD$8,2,FALSE),"Y","N")</f>
        <v>N</v>
      </c>
      <c r="X122" s="222">
        <f t="shared" si="62"/>
        <v>1</v>
      </c>
      <c r="Y122" s="222">
        <f t="shared" si="60"/>
        <v>23.291699999999999</v>
      </c>
      <c r="Z122" s="222">
        <f t="shared" si="61"/>
        <v>2.5100000000000001E-2</v>
      </c>
      <c r="AA122" s="222">
        <f t="shared" si="66"/>
        <v>23.2666</v>
      </c>
      <c r="AB122" s="231" t="e">
        <f>VLOOKUP(A122,Enforcements!$C$7:$K$9,8,0)</f>
        <v>#N/A</v>
      </c>
      <c r="AC122" s="231" t="e">
        <f>VLOOKUP(A122,Enforcements!$C$7:$E$9,3,0)</f>
        <v>#N/A</v>
      </c>
      <c r="AD122" s="232">
        <f t="shared" si="67"/>
        <v>208</v>
      </c>
      <c r="AE122" s="233" t="str">
        <f t="shared" si="44"/>
        <v>aws s3 cp s3://rtdc.mdm.uploadarchive.raw/RTDC4041/ "%USERPROFILE%\AppData\Local\Temp\OnboardLogs"\RTDC4041\2017-12-15 --exclude "*" --recursive --include "*20171215*" &amp; "%USERPROFILE%\Documents\GitHub\mrs-test-scripts\Headless Mode &amp; Sideloading\WalkAndUnGZ.bat" "%USERPROFILE%\AppData\Local\Temp\OnboardLogs"\RTDC4041\2017-12-15 &amp; aws s3 cp s3://rtdc.mdm.uploadarchive.raw/RTDC4041/ "%USERPROFILE%\AppData\Local\Temp\OnboardLogs"\RTDC4041\2017-12-16 --exclude "*" --recursive --include "*20171216*" &amp; "%USERPROFILE%\Documents\GitHub\mrs-test-scripts\Headless Mode &amp; Sideloading\WalkAndUnGZ.bat" "%USERPROFILE%\AppData\Local\Temp\OnboardLogs"\RTDC4041\2017-12-16</v>
      </c>
      <c r="AF122" s="234" t="str">
        <f t="shared" si="45"/>
        <v>"C:\Program Files (x86)\AstroGrep\AstroGrep.exe" /e /r /s /spath="%USERPROFILE%\AppData\Local\Temp\OnboardLogs" /stypes="app*4041*20171216*" /stext=" 01:.+((SYSTEM_STATE.+slice.+state.+changed )|(ment ac)|(multiple cpu faults)|(system.+state.+changed )|(\[timeout)|(PRM\|1\|D)|(kpr)|(kdp)|(train st.+moving)|(\|lc)|(penalty))"</v>
      </c>
      <c r="AG122" s="226" t="str">
        <f t="shared" si="68"/>
        <v>EC</v>
      </c>
      <c r="AH122" s="189" t="str">
        <f t="shared" si="47"/>
        <v>"%USERPROFILE%\Documents\GitHub\eaglep3\Utilities\RefineRTDCRunTimes.py" --tripid 208-15 --locoid 4041 --swversion DE.1.0.9.0 --startMP 204:232917 --initTime 2017-12-15T17:47:10 --startdatetime 2017-12-15T17:57:29 --delay 94 --endMP 204:251 --enddatetime 2017-12-15T18:36:47 --enforcementcount 0 &gt;&gt;%USERPROFILE%\Documents\GitHub\eaglep3-reporting\EC\2017-12-15-refined-times.txt</v>
      </c>
      <c r="AI122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{"issue":{"subject":"","project_id":79,"tracker_id":40,"status_id":1,"priority_id":2,"assigned_to_id":338,"start_date":"2017-12-15","description":"","custom_fields":[{"id":1,"name":"Subdivision","value":"EC"},{"id":4,"name":"Milepost","value":"0.0251"},{"id":17,"name":"Train ID","value":"208-15"},{"id":16,"name":"Locomotive ID","value":"4041"},{"id":130,"name":"Impact","value":""},{"id":150,"name":"Time of Event (Mountain Time)","value":"18:36:47"},{"id":151,"name":"Denver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180"/>
      <c r="AK122" s="188"/>
      <c r="AL122" s="188"/>
      <c r="AM122" s="193" t="str">
        <f t="shared" si="49"/>
        <v>start /low /b %USERPROFILE%\Documents\GitHub\eaglep3\Utilities\DownloadLogsFromS3.py --loco 4041 --day 2017-12-15</v>
      </c>
      <c r="AN122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01:36:47"},{"id":29,"name":"Sharepoint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87" t="str">
        <f t="shared" si="51"/>
        <v>https://d0f6bd738d7f1b3e5a7ca70fe4ff75f0.us-east-1.aws.found.io/app/kibana#/discover/Steve-Slow-Train-Analysis-(2080s-and-2083s)?_g=(refreshInterval:(display:Off,pause:!f,section:0,value:0),time:(from:'2017-12-15T16:47:10-0700',mode:absolute,to:'2017-12-15T19:36:47-0700'))&amp;_a=(columns:!('Message%20ID',Summary),filters:!(),index:'emp_*',interval:auto,query:(query_string:(analyze_wildcard:!t,query:'%22rtdc.l.rtdc.4041%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180" customFormat="1" x14ac:dyDescent="0.25">
      <c r="A123" s="186" t="s">
        <v>672</v>
      </c>
      <c r="B123" s="182">
        <v>4004</v>
      </c>
      <c r="C123" s="184" t="s">
        <v>192</v>
      </c>
      <c r="D123" s="184" t="s">
        <v>988</v>
      </c>
      <c r="E123" s="183">
        <v>43084.715798611112</v>
      </c>
      <c r="F123" s="183">
        <v>43084.718888888892</v>
      </c>
      <c r="G123" s="182">
        <v>53</v>
      </c>
      <c r="H123" s="184" t="s">
        <v>972</v>
      </c>
      <c r="I123" s="183">
        <v>43084.746365740742</v>
      </c>
      <c r="J123" s="182">
        <v>0</v>
      </c>
      <c r="K123" s="190" t="str">
        <f t="shared" si="63"/>
        <v>4003/4004</v>
      </c>
      <c r="L123" s="196" t="str">
        <f>VLOOKUP(A123,'Trips&amp;Operators'!$C$1:$G$99911,5,FALSE)</f>
        <v>FORTUNATO FRANK</v>
      </c>
      <c r="M123" s="181">
        <f t="shared" si="64"/>
        <v>2.7476851850224193E-2</v>
      </c>
      <c r="N123" s="182">
        <f t="shared" si="70"/>
        <v>39.566666664322838</v>
      </c>
      <c r="O123" s="182"/>
      <c r="P123" s="182"/>
      <c r="Q123" s="185"/>
      <c r="R123" s="197"/>
      <c r="S123" s="241">
        <f t="shared" si="69"/>
        <v>1</v>
      </c>
      <c r="T123" s="220" t="str">
        <f t="shared" si="65"/>
        <v>NorthBound</v>
      </c>
      <c r="U123" s="22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21" t="str">
        <f t="shared" si="38"/>
        <v>https://d0f6bd738d7f1b3e5a7ca70fe4ff75f0.us-east-1.aws.found.io/app/kibana#/discover/Steve-Slow-Train-Analysis-(2080s-and-2083s)?_g=(refreshInterval:(display:Off,pause:!f,section:0,value:0),time:(from:'2017-12-15T16:10:45-0700',mode:absolute,to:'2017-12-15T18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3" s="222" t="str">
        <f>IF(AA123&lt;VLOOKUP(AG123,Variables!$AC$3:$AD$8,2,FALSE),"Y","N")</f>
        <v>N</v>
      </c>
      <c r="X123" s="222">
        <f t="shared" si="62"/>
        <v>1</v>
      </c>
      <c r="Y123" s="222">
        <f t="shared" si="60"/>
        <v>5.1499999999999997E-2</v>
      </c>
      <c r="Z123" s="222">
        <f t="shared" si="61"/>
        <v>23.3186</v>
      </c>
      <c r="AA123" s="222">
        <f t="shared" si="66"/>
        <v>23.267099999999999</v>
      </c>
      <c r="AB123" s="231" t="e">
        <f>VLOOKUP(A123,Enforcements!$C$7:$K$9,8,0)</f>
        <v>#N/A</v>
      </c>
      <c r="AC123" s="231" t="e">
        <f>VLOOKUP(A123,Enforcements!$C$7:$E$9,3,0)</f>
        <v>#N/A</v>
      </c>
      <c r="AD123" s="232">
        <f t="shared" si="67"/>
        <v>209</v>
      </c>
      <c r="AE123" s="233" t="str">
        <f t="shared" si="44"/>
        <v>aws s3 cp s3://rtdc.mdm.uploadarchive.raw/RTDC4004/ "%USERPROFILE%\AppData\Local\Temp\OnboardLogs"\RTDC4004\2017-12-15 --exclude "*" --recursive --include "*20171215*" &amp; "%USERPROFILE%\Documents\GitHub\mrs-test-scripts\Headless Mode &amp; Sideloading\WalkAndUnGZ.bat" "%USERPROFILE%\AppData\Local\Temp\OnboardLogs"\RTDC4004\2017-12-15 &amp; aws s3 cp s3://rtdc.mdm.uploadarchive.raw/RTDC4004/ "%USERPROFILE%\AppData\Local\Temp\OnboardLogs"\RTDC4004\2017-12-16 --exclude "*" --recursive --include "*20171216*" &amp; "%USERPROFILE%\Documents\GitHub\mrs-test-scripts\Headless Mode &amp; Sideloading\WalkAndUnGZ.bat" "%USERPROFILE%\AppData\Local\Temp\OnboardLogs"\RTDC4004\2017-12-16</v>
      </c>
      <c r="AF123" s="234" t="str">
        <f t="shared" si="45"/>
        <v>"C:\Program Files (x86)\AstroGrep\AstroGrep.exe" /e /r /s /spath="%USERPROFILE%\AppData\Local\Temp\OnboardLogs" /stypes="app*4004*20171216*" /stext=" 00:.+((SYSTEM_STATE.+slice.+state.+changed )|(ment ac)|(multiple cpu faults)|(system.+state.+changed )|(\[timeout)|(PRM\|1\|D)|(kpr)|(kdp)|(train st.+moving)|(\|lc)|(penalty))"</v>
      </c>
      <c r="AG123" s="226" t="str">
        <f t="shared" si="68"/>
        <v>EC</v>
      </c>
      <c r="AH123" s="189" t="str">
        <f t="shared" si="47"/>
        <v>"%USERPROFILE%\Documents\GitHub\eaglep3\Utilities\RefineRTDCRunTimes.py" --tripid 209-15 --locoid 4004 --swversion DE.1.0.9.0 --startMP 204:515 --initTime 2017-12-15T17:10:45 --startdatetime 2017-12-15T17:15:12 --delay 53 --endMP 204:233186 --enddatetime 2017-12-15T17:54:46 --enforcementcount 0 &gt;&gt;%USERPROFILE%\Documents\GitHub\eaglep3-reporting\EC\2017-12-15-refined-times.txt</v>
      </c>
      <c r="AI123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{"issue":{"subject":"","project_id":79,"tracker_id":40,"status_id":1,"priority_id":2,"assigned_to_id":338,"start_date":"2017-12-15","description":"","custom_fields":[{"id":1,"name":"Subdivision","value":"EC"},{"id":4,"name":"Milepost","value":"23.3186"},{"id":17,"name":"Train ID","value":"209-15"},{"id":16,"name":"Locomotive ID","value":"4004"},{"id":130,"name":"Impact","value":""},{"id":150,"name":"Time of Event (Mountain Time)","value":"17:54:46"},{"id":151,"name":"Denver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188"/>
      <c r="AL123" s="188"/>
      <c r="AM123" s="193" t="str">
        <f t="shared" si="49"/>
        <v>start /low /b %USERPROFILE%\Documents\GitHub\eaglep3\Utilities\DownloadLogsFromS3.py --loco 4004 --day 2017-12-15</v>
      </c>
      <c r="AN123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00:54:46"},{"id":29,"name":"Sharepoint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87" t="str">
        <f t="shared" si="51"/>
        <v>https://d0f6bd738d7f1b3e5a7ca70fe4ff75f0.us-east-1.aws.found.io/app/kibana#/discover/Steve-Slow-Train-Analysis-(2080s-and-2083s)?_g=(refreshInterval:(display:Off,pause:!f,section:0,value:0),time:(from:'2017-12-15T16:10:45-0700',mode:absolute,to:'2017-12-15T18:54:46-0700'))&amp;_a=(columns:!('Message%20ID',Summary),filters:!(),index:'emp_*',interval:auto,query:(query_string:(analyze_wildcard:!t,query:'%22rtdc.l.rtdc.4004%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186" t="s">
        <v>835</v>
      </c>
      <c r="B124" s="182">
        <v>4003</v>
      </c>
      <c r="C124" s="184" t="s">
        <v>192</v>
      </c>
      <c r="D124" s="184" t="s">
        <v>989</v>
      </c>
      <c r="E124" s="183">
        <v>43084.748171296298</v>
      </c>
      <c r="F124" s="183">
        <v>43084.75849537037</v>
      </c>
      <c r="G124" s="182">
        <v>57</v>
      </c>
      <c r="H124" s="184" t="s">
        <v>990</v>
      </c>
      <c r="I124" s="183">
        <v>43084.784375000003</v>
      </c>
      <c r="J124" s="182">
        <v>0</v>
      </c>
      <c r="K124" s="190" t="str">
        <f t="shared" si="63"/>
        <v>4003/4004</v>
      </c>
      <c r="L124" s="196" t="str">
        <f>VLOOKUP(A124,'Trips&amp;Operators'!$C$1:$G$99911,5,FALSE)</f>
        <v>FORTUNATO FRANK</v>
      </c>
      <c r="M124" s="181">
        <f t="shared" si="64"/>
        <v>2.587962963298196E-2</v>
      </c>
      <c r="N124" s="182">
        <f t="shared" si="70"/>
        <v>37.266666671494022</v>
      </c>
      <c r="O124" s="182"/>
      <c r="P124" s="182"/>
      <c r="Q124" s="185"/>
      <c r="R124" s="197"/>
      <c r="S124" s="241">
        <f t="shared" si="69"/>
        <v>1</v>
      </c>
      <c r="T124" s="220" t="str">
        <f t="shared" si="65"/>
        <v>Southbound</v>
      </c>
      <c r="U124" s="22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21" t="str">
        <f t="shared" si="38"/>
        <v>https://d0f6bd738d7f1b3e5a7ca70fe4ff75f0.us-east-1.aws.found.io/app/kibana#/discover/Steve-Slow-Train-Analysis-(2080s-and-2083s)?_g=(refreshInterval:(display:Off,pause:!f,section:0,value:0),time:(from:'2017-12-15T16:57:22-0700',mode:absolute,to:'2017-12-15T19:49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4" s="222" t="str">
        <f>IF(AA124&lt;VLOOKUP(AG124,Variables!$AC$3:$AD$8,2,FALSE),"Y","N")</f>
        <v>N</v>
      </c>
      <c r="X124" s="222">
        <f t="shared" si="62"/>
        <v>1</v>
      </c>
      <c r="Y124" s="222">
        <f t="shared" si="60"/>
        <v>23.285599999999999</v>
      </c>
      <c r="Z124" s="222">
        <f t="shared" si="61"/>
        <v>2.2100000000000002E-2</v>
      </c>
      <c r="AA124" s="222">
        <f t="shared" si="66"/>
        <v>23.263500000000001</v>
      </c>
      <c r="AB124" s="231" t="e">
        <f>VLOOKUP(A124,Enforcements!$C$7:$K$9,8,0)</f>
        <v>#N/A</v>
      </c>
      <c r="AC124" s="231" t="e">
        <f>VLOOKUP(A124,Enforcements!$C$7:$E$9,3,0)</f>
        <v>#N/A</v>
      </c>
      <c r="AD124" s="232">
        <f t="shared" si="67"/>
        <v>210</v>
      </c>
      <c r="AE124" s="233" t="str">
        <f t="shared" si="44"/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AF124" s="234" t="str">
        <f t="shared" si="45"/>
        <v>"C:\Program Files (x86)\AstroGrep\AstroGrep.exe" /e /r /s /spath="%USERPROFILE%\AppData\Local\Temp\OnboardLogs" /stypes="app*4003*20171216*" /stext=" 01:.+((SYSTEM_STATE.+slice.+state.+changed )|(ment ac)|(multiple cpu faults)|(system.+state.+changed )|(\[timeout)|(PRM\|1\|D)|(kpr)|(kdp)|(train st.+moving)|(\|lc)|(penalty))"</v>
      </c>
      <c r="AG124" s="226" t="str">
        <f t="shared" si="68"/>
        <v>EC</v>
      </c>
      <c r="AH124" s="189" t="str">
        <f t="shared" si="47"/>
        <v>"%USERPROFILE%\Documents\GitHub\eaglep3\Utilities\RefineRTDCRunTimes.py" --tripid 210-15 --locoid 4003 --swversion DE.1.0.9.0 --startMP 204:232856 --initTime 2017-12-15T17:57:22 --startdatetime 2017-12-15T18:12:14 --delay 57 --endMP 204:221 --enddatetime 2017-12-15T18:49:30 --enforcementcount 0 &gt;&gt;%USERPROFILE%\Documents\GitHub\eaglep3-reporting\EC\2017-12-15-refined-times.txt</v>
      </c>
      <c r="AI124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{"issue":{"subject":"","project_id":79,"tracker_id":40,"status_id":1,"priority_id":2,"assigned_to_id":338,"start_date":"2017-12-15","description":"","custom_fields":[{"id":1,"name":"Subdivision","value":"EC"},{"id":4,"name":"Milepost","value":"0.0221"},{"id":17,"name":"Train ID","value":"210-15"},{"id":16,"name":"Locomotive ID","value":"4003"},{"id":130,"name":"Impact","value":""},{"id":150,"name":"Time of Event (Mountain Time)","value":"18:49:30"},{"id":151,"name":"Denver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180"/>
      <c r="AK124" s="188"/>
      <c r="AL124" s="188"/>
      <c r="AM124" s="193" t="str">
        <f t="shared" si="49"/>
        <v>start /low /b %USERPROFILE%\Documents\GitHub\eaglep3\Utilities\DownloadLogsFromS3.py --loco 4003 --day 2017-12-15</v>
      </c>
      <c r="AN124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01:49:30"},{"id":29,"name":"Sharepoint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87" t="str">
        <f t="shared" si="51"/>
        <v>https://d0f6bd738d7f1b3e5a7ca70fe4ff75f0.us-east-1.aws.found.io/app/kibana#/discover/Steve-Slow-Train-Analysis-(2080s-and-2083s)?_g=(refreshInterval:(display:Off,pause:!f,section:0,value:0),time:(from:'2017-12-15T16:57:22-0700',mode:absolute,to:'2017-12-15T19:49:30-0700'))&amp;_a=(columns:!('Message%20ID',Summary),filters:!(),index:'emp_*',interval:auto,query:(query_string:(analyze_wildcard:!t,query:'%22rtdc.l.rtdc.4003%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186" t="s">
        <v>827</v>
      </c>
      <c r="B125" s="182">
        <v>4058</v>
      </c>
      <c r="C125" s="184" t="s">
        <v>192</v>
      </c>
      <c r="D125" s="184" t="s">
        <v>991</v>
      </c>
      <c r="E125" s="183">
        <v>43084.725451388891</v>
      </c>
      <c r="F125" s="183">
        <v>43084.729409722226</v>
      </c>
      <c r="G125" s="182">
        <v>56</v>
      </c>
      <c r="H125" s="184" t="s">
        <v>497</v>
      </c>
      <c r="I125" s="183">
        <v>43084.754467592589</v>
      </c>
      <c r="J125" s="182">
        <v>0</v>
      </c>
      <c r="K125" s="190" t="str">
        <f t="shared" si="63"/>
        <v>4057/4058</v>
      </c>
      <c r="L125" s="196" t="str">
        <f>VLOOKUP(A125,'Trips&amp;Operators'!$C$1:$G$99911,5,FALSE)</f>
        <v>LEVIN SCOTT</v>
      </c>
      <c r="M125" s="181">
        <f t="shared" si="64"/>
        <v>2.5057870363525581E-2</v>
      </c>
      <c r="N125" s="182">
        <f t="shared" si="70"/>
        <v>36.083333323476836</v>
      </c>
      <c r="O125" s="182"/>
      <c r="P125" s="182"/>
      <c r="Q125" s="185"/>
      <c r="R125" s="197"/>
      <c r="S125" s="241">
        <f t="shared" si="69"/>
        <v>1</v>
      </c>
      <c r="T125" s="220" t="str">
        <f t="shared" si="65"/>
        <v>NorthBound</v>
      </c>
      <c r="U125" s="22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21" t="str">
        <f t="shared" si="38"/>
        <v>https://d0f6bd738d7f1b3e5a7ca70fe4ff75f0.us-east-1.aws.found.io/app/kibana#/discover/Steve-Slow-Train-Analysis-(2080s-and-2083s)?_g=(refreshInterval:(display:Off,pause:!f,section:0,value:0),time:(from:'2017-12-15T16:24:39-0700',mode:absolute,to:'2017-12-15T19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5" s="222" t="str">
        <f>IF(AA125&lt;VLOOKUP(AG125,Variables!$AC$3:$AD$8,2,FALSE),"Y","N")</f>
        <v>N</v>
      </c>
      <c r="X125" s="222">
        <f t="shared" si="62"/>
        <v>1</v>
      </c>
      <c r="Y125" s="222">
        <f t="shared" si="60"/>
        <v>4.8800000000000003E-2</v>
      </c>
      <c r="Z125" s="222">
        <f t="shared" si="61"/>
        <v>23.328900000000001</v>
      </c>
      <c r="AA125" s="222">
        <f t="shared" si="66"/>
        <v>23.280100000000001</v>
      </c>
      <c r="AB125" s="231" t="e">
        <f>VLOOKUP(A125,Enforcements!$C$7:$K$9,8,0)</f>
        <v>#N/A</v>
      </c>
      <c r="AC125" s="231" t="e">
        <f>VLOOKUP(A125,Enforcements!$C$7:$E$9,3,0)</f>
        <v>#N/A</v>
      </c>
      <c r="AD125" s="232">
        <f t="shared" si="67"/>
        <v>211</v>
      </c>
      <c r="AE125" s="233" t="str">
        <f t="shared" si="44"/>
        <v>aws s3 cp s3://rtdc.mdm.uploadarchive.raw/RTDC4058/ "%USERPROFILE%\AppData\Local\Temp\OnboardLogs"\RTDC4058\2017-12-15 --exclude "*" --recursive --include "*20171215*" &amp; "%USERPROFILE%\Documents\GitHub\mrs-test-scripts\Headless Mode &amp; Sideloading\WalkAndUnGZ.bat" "%USERPROFILE%\AppData\Local\Temp\OnboardLogs"\RTDC4058\2017-12-15 &amp; aws s3 cp s3://rtdc.mdm.uploadarchive.raw/RTDC4058/ "%USERPROFILE%\AppData\Local\Temp\OnboardLogs"\RTDC4058\2017-12-16 --exclude "*" --recursive --include "*20171216*" &amp; "%USERPROFILE%\Documents\GitHub\mrs-test-scripts\Headless Mode &amp; Sideloading\WalkAndUnGZ.bat" "%USERPROFILE%\AppData\Local\Temp\OnboardLogs"\RTDC4058\2017-12-16</v>
      </c>
      <c r="AF125" s="234" t="str">
        <f t="shared" si="45"/>
        <v>"C:\Program Files (x86)\AstroGrep\AstroGrep.exe" /e /r /s /spath="%USERPROFILE%\AppData\Local\Temp\OnboardLogs" /stypes="app*4058*20171216*" /stext=" 01:.+((SYSTEM_STATE.+slice.+state.+changed )|(ment ac)|(multiple cpu faults)|(system.+state.+changed )|(\[timeout)|(PRM\|1\|D)|(kpr)|(kdp)|(train st.+moving)|(\|lc)|(penalty))"</v>
      </c>
      <c r="AG125" s="226" t="str">
        <f t="shared" si="68"/>
        <v>EC</v>
      </c>
      <c r="AH125" s="189" t="str">
        <f t="shared" si="47"/>
        <v>"%USERPROFILE%\Documents\GitHub\eaglep3\Utilities\RefineRTDCRunTimes.py" --tripid 211-15 --locoid 4058 --swversion DE.1.0.9.0 --startMP 204:488 --initTime 2017-12-15T17:24:39 --startdatetime 2017-12-15T17:30:21 --delay 56 --endMP 204:233289 --enddatetime 2017-12-15T18:06:26 --enforcementcount 0 &gt;&gt;%USERPROFILE%\Documents\GitHub\eaglep3-reporting\EC\2017-12-15-refined-times.txt</v>
      </c>
      <c r="AI125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{"issue":{"subject":"","project_id":79,"tracker_id":40,"status_id":1,"priority_id":2,"assigned_to_id":338,"start_date":"2017-12-15","description":"","custom_fields":[{"id":1,"name":"Subdivision","value":"EC"},{"id":4,"name":"Milepost","value":"23.3289"},{"id":17,"name":"Train ID","value":"211-15"},{"id":16,"name":"Locomotive ID","value":"4058"},{"id":130,"name":"Impact","value":""},{"id":150,"name":"Time of Event (Mountain Time)","value":"18:06:26"},{"id":151,"name":"Denver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180"/>
      <c r="AK125" s="188"/>
      <c r="AL125" s="188"/>
      <c r="AM125" s="193" t="str">
        <f t="shared" si="49"/>
        <v>start /low /b %USERPROFILE%\Documents\GitHub\eaglep3\Utilities\DownloadLogsFromS3.py --loco 4058 --day 2017-12-15</v>
      </c>
      <c r="AN125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01:06:26"},{"id":29,"name":"Sharepoint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87" t="str">
        <f t="shared" si="51"/>
        <v>https://d0f6bd738d7f1b3e5a7ca70fe4ff75f0.us-east-1.aws.found.io/app/kibana#/discover/Steve-Slow-Train-Analysis-(2080s-and-2083s)?_g=(refreshInterval:(display:Off,pause:!f,section:0,value:0),time:(from:'2017-12-15T16:24:39-0700',mode:absolute,to:'2017-12-15T19:06:26-0700'))&amp;_a=(columns:!('Message%20ID',Summary),filters:!(),index:'emp_*',interval:auto,query:(query_string:(analyze_wildcard:!t,query:'%22rtdc.l.rtdc.4058%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180" customFormat="1" x14ac:dyDescent="0.25">
      <c r="A126" s="186" t="s">
        <v>839</v>
      </c>
      <c r="B126" s="182">
        <v>4057</v>
      </c>
      <c r="C126" s="184" t="s">
        <v>192</v>
      </c>
      <c r="D126" s="184" t="s">
        <v>992</v>
      </c>
      <c r="E126" s="183">
        <v>43084.758645833332</v>
      </c>
      <c r="F126" s="183">
        <v>43084.768993055557</v>
      </c>
      <c r="G126" s="182">
        <v>51</v>
      </c>
      <c r="H126" s="184" t="s">
        <v>600</v>
      </c>
      <c r="I126" s="183">
        <v>43084.794618055559</v>
      </c>
      <c r="J126" s="182">
        <v>0</v>
      </c>
      <c r="K126" s="190" t="str">
        <f t="shared" si="63"/>
        <v>4057/4058</v>
      </c>
      <c r="L126" s="196" t="str">
        <f>VLOOKUP(A126,'Trips&amp;Operators'!$C$1:$G$99911,5,FALSE)</f>
        <v>LEVIN SCOTT</v>
      </c>
      <c r="M126" s="181">
        <f t="shared" si="64"/>
        <v>2.5625000002037268E-2</v>
      </c>
      <c r="N126" s="182">
        <f t="shared" si="70"/>
        <v>36.900000002933666</v>
      </c>
      <c r="O126" s="182"/>
      <c r="P126" s="182"/>
      <c r="Q126" s="185"/>
      <c r="R126" s="197"/>
      <c r="S126" s="241">
        <f t="shared" si="69"/>
        <v>1</v>
      </c>
      <c r="T126" s="220" t="str">
        <f t="shared" si="65"/>
        <v>Southbound</v>
      </c>
      <c r="U126" s="22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21" t="str">
        <f t="shared" si="38"/>
        <v>https://d0f6bd738d7f1b3e5a7ca70fe4ff75f0.us-east-1.aws.found.io/app/kibana#/discover/Steve-Slow-Train-Analysis-(2080s-and-2083s)?_g=(refreshInterval:(display:Off,pause:!f,section:0,value:0),time:(from:'2017-12-15T17:12:27-0700',mode:absolute,to:'2017-12-15T20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6" s="222" t="str">
        <f>IF(AA126&lt;VLOOKUP(AG126,Variables!$AC$3:$AD$8,2,FALSE),"Y","N")</f>
        <v>N</v>
      </c>
      <c r="X126" s="222">
        <f t="shared" si="62"/>
        <v>1</v>
      </c>
      <c r="Y126" s="222">
        <f t="shared" si="60"/>
        <v>23.298100000000002</v>
      </c>
      <c r="Z126" s="222">
        <f t="shared" si="61"/>
        <v>1.7000000000000001E-2</v>
      </c>
      <c r="AA126" s="222">
        <f t="shared" si="66"/>
        <v>23.281100000000002</v>
      </c>
      <c r="AB126" s="231" t="e">
        <f>VLOOKUP(A126,Enforcements!$C$7:$K$9,8,0)</f>
        <v>#N/A</v>
      </c>
      <c r="AC126" s="231" t="e">
        <f>VLOOKUP(A126,Enforcements!$C$7:$E$9,3,0)</f>
        <v>#N/A</v>
      </c>
      <c r="AD126" s="232">
        <f t="shared" si="67"/>
        <v>212</v>
      </c>
      <c r="AE126" s="233" t="str">
        <f t="shared" si="44"/>
        <v>aws s3 cp s3://rtdc.mdm.uploadarchive.raw/RTDC4057/ "%USERPROFILE%\AppData\Local\Temp\OnboardLogs"\RTDC4057\2017-12-15 --exclude "*" --recursive --include "*20171215*" &amp; "%USERPROFILE%\Documents\GitHub\mrs-test-scripts\Headless Mode &amp; Sideloading\WalkAndUnGZ.bat" "%USERPROFILE%\AppData\Local\Temp\OnboardLogs"\RTDC4057\2017-12-15 &amp; aws s3 cp s3://rtdc.mdm.uploadarchive.raw/RTDC4057/ "%USERPROFILE%\AppData\Local\Temp\OnboardLogs"\RTDC4057\2017-12-16 --exclude "*" --recursive --include "*20171216*" &amp; "%USERPROFILE%\Documents\GitHub\mrs-test-scripts\Headless Mode &amp; Sideloading\WalkAndUnGZ.bat" "%USERPROFILE%\AppData\Local\Temp\OnboardLogs"\RTDC4057\2017-12-16</v>
      </c>
      <c r="AF126" s="234" t="str">
        <f t="shared" si="45"/>
        <v>"C:\Program Files (x86)\AstroGrep\AstroGrep.exe" /e /r /s /spath="%USERPROFILE%\AppData\Local\Temp\OnboardLogs" /stypes="app*4057*20171216*" /stext=" 02:.+((SYSTEM_STATE.+slice.+state.+changed )|(ment ac)|(multiple cpu faults)|(system.+state.+changed )|(\[timeout)|(PRM\|1\|D)|(kpr)|(kdp)|(train st.+moving)|(\|lc)|(penalty))"</v>
      </c>
      <c r="AG126" s="226" t="str">
        <f t="shared" si="68"/>
        <v>EC</v>
      </c>
      <c r="AH126" s="189" t="str">
        <f t="shared" si="47"/>
        <v>"%USERPROFILE%\Documents\GitHub\eaglep3\Utilities\RefineRTDCRunTimes.py" --tripid 212-15 --locoid 4057 --swversion DE.1.0.9.0 --startMP 204:232981 --initTime 2017-12-15T18:12:27 --startdatetime 2017-12-15T18:27:21 --delay 51 --endMP 204:170 --enddatetime 2017-12-15T19:04:15 --enforcementcount 0 &gt;&gt;%USERPROFILE%\Documents\GitHub\eaglep3-reporting\EC\2017-12-15-refined-times.txt</v>
      </c>
      <c r="AI126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{"issue":{"subject":"","project_id":79,"tracker_id":40,"status_id":1,"priority_id":2,"assigned_to_id":338,"start_date":"2017-12-15","description":"","custom_fields":[{"id":1,"name":"Subdivision","value":"EC"},{"id":4,"name":"Milepost","value":"0.017"},{"id":17,"name":"Train ID","value":"212-15"},{"id":16,"name":"Locomotive ID","value":"4057"},{"id":130,"name":"Impact","value":""},{"id":150,"name":"Time of Event (Mountain Time)","value":"19:04:15"},{"id":151,"name":"Denver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188"/>
      <c r="AL126" s="188"/>
      <c r="AM126" s="193" t="str">
        <f t="shared" si="49"/>
        <v>start /low /b %USERPROFILE%\Documents\GitHub\eaglep3\Utilities\DownloadLogsFromS3.py --loco 4057 --day 2017-12-15</v>
      </c>
      <c r="AN126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02:04:15"},{"id":29,"name":"Sharepoint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87" t="str">
        <f t="shared" si="51"/>
        <v>https://d0f6bd738d7f1b3e5a7ca70fe4ff75f0.us-east-1.aws.found.io/app/kibana#/discover/Steve-Slow-Train-Analysis-(2080s-and-2083s)?_g=(refreshInterval:(display:Off,pause:!f,section:0,value:0),time:(from:'2017-12-15T17:12:27-0700',mode:absolute,to:'2017-12-15T20:04:15-0700'))&amp;_a=(columns:!('Message%20ID',Summary),filters:!(),index:'emp_*',interval:auto,query:(query_string:(analyze_wildcard:!t,query:'%22rtdc.l.rtdc.4057%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180" customFormat="1" x14ac:dyDescent="0.25">
      <c r="A127" s="186" t="s">
        <v>831</v>
      </c>
      <c r="B127" s="182">
        <v>4044</v>
      </c>
      <c r="C127" s="184" t="s">
        <v>192</v>
      </c>
      <c r="D127" s="184" t="s">
        <v>893</v>
      </c>
      <c r="E127" s="183">
        <v>43084.73710648148</v>
      </c>
      <c r="F127" s="183">
        <v>43084.739814814813</v>
      </c>
      <c r="G127" s="182">
        <v>81</v>
      </c>
      <c r="H127" s="184" t="s">
        <v>993</v>
      </c>
      <c r="I127" s="183">
        <v>43084.764918981484</v>
      </c>
      <c r="J127" s="182">
        <v>0</v>
      </c>
      <c r="K127" s="190" t="str">
        <f t="shared" si="63"/>
        <v>4043/4044</v>
      </c>
      <c r="L127" s="196" t="str">
        <f>VLOOKUP(A127,'Trips&amp;Operators'!$C$1:$G$99911,5,FALSE)</f>
        <v>ZEWDU DEREJE</v>
      </c>
      <c r="M127" s="181">
        <f t="shared" si="64"/>
        <v>2.510416667064419E-2</v>
      </c>
      <c r="N127" s="182">
        <f t="shared" si="70"/>
        <v>36.150000005727634</v>
      </c>
      <c r="O127" s="182"/>
      <c r="P127" s="182"/>
      <c r="Q127" s="185"/>
      <c r="R127" s="197"/>
      <c r="S127" s="241">
        <f t="shared" si="69"/>
        <v>1</v>
      </c>
      <c r="T127" s="220" t="str">
        <f t="shared" si="65"/>
        <v>NorthBound</v>
      </c>
      <c r="U127" s="22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21" t="str">
        <f t="shared" si="38"/>
        <v>https://d0f6bd738d7f1b3e5a7ca70fe4ff75f0.us-east-1.aws.found.io/app/kibana#/discover/Steve-Slow-Train-Analysis-(2080s-and-2083s)?_g=(refreshInterval:(display:Off,pause:!f,section:0,value:0),time:(from:'2017-12-15T16:41:26-0700',mode:absolute,to:'2017-12-15T19:21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7" s="222" t="str">
        <f>IF(AA127&lt;VLOOKUP(AG127,Variables!$AC$3:$AD$8,2,FALSE),"Y","N")</f>
        <v>N</v>
      </c>
      <c r="X127" s="222">
        <f t="shared" si="62"/>
        <v>1</v>
      </c>
      <c r="Y127" s="222">
        <f t="shared" si="60"/>
        <v>4.8399999999999999E-2</v>
      </c>
      <c r="Z127" s="222">
        <f t="shared" si="61"/>
        <v>23.331399999999999</v>
      </c>
      <c r="AA127" s="222">
        <f t="shared" si="66"/>
        <v>23.282999999999998</v>
      </c>
      <c r="AB127" s="231" t="e">
        <f>VLOOKUP(A127,Enforcements!$C$7:$K$9,8,0)</f>
        <v>#N/A</v>
      </c>
      <c r="AC127" s="231" t="e">
        <f>VLOOKUP(A127,Enforcements!$C$7:$E$9,3,0)</f>
        <v>#N/A</v>
      </c>
      <c r="AD127" s="232">
        <f t="shared" si="67"/>
        <v>213</v>
      </c>
      <c r="AE127" s="233" t="str">
        <f t="shared" si="44"/>
        <v>aws s3 cp s3://rtdc.mdm.uploadarchive.raw/RTDC4044/ "%USERPROFILE%\AppData\Local\Temp\OnboardLogs"\RTDC4044\2017-12-15 --exclude "*" --recursive --include "*20171215*" &amp; "%USERPROFILE%\Documents\GitHub\mrs-test-scripts\Headless Mode &amp; Sideloading\WalkAndUnGZ.bat" "%USERPROFILE%\AppData\Local\Temp\OnboardLogs"\RTDC4044\2017-12-15 &amp; aws s3 cp s3://rtdc.mdm.uploadarchive.raw/RTDC4044/ "%USERPROFILE%\AppData\Local\Temp\OnboardLogs"\RTDC4044\2017-12-16 --exclude "*" --recursive --include "*20171216*" &amp; "%USERPROFILE%\Documents\GitHub\mrs-test-scripts\Headless Mode &amp; Sideloading\WalkAndUnGZ.bat" "%USERPROFILE%\AppData\Local\Temp\OnboardLogs"\RTDC4044\2017-12-16</v>
      </c>
      <c r="AF127" s="234" t="str">
        <f t="shared" si="45"/>
        <v>"C:\Program Files (x86)\AstroGrep\AstroGrep.exe" /e /r /s /spath="%USERPROFILE%\AppData\Local\Temp\OnboardLogs" /stypes="app*4044*20171216*" /stext=" 01:.+((SYSTEM_STATE.+slice.+state.+changed )|(ment ac)|(multiple cpu faults)|(system.+state.+changed )|(\[timeout)|(PRM\|1\|D)|(kpr)|(kdp)|(train st.+moving)|(\|lc)|(penalty))"</v>
      </c>
      <c r="AG127" s="226" t="str">
        <f t="shared" si="68"/>
        <v>EC</v>
      </c>
      <c r="AH127" s="189" t="str">
        <f t="shared" si="47"/>
        <v>"%USERPROFILE%\Documents\GitHub\eaglep3\Utilities\RefineRTDCRunTimes.py" --tripid 213-15 --locoid 4044 --swversion DE.1.0.9.0 --startMP 204:484 --initTime 2017-12-15T17:41:26 --startdatetime 2017-12-15T17:45:20 --delay 81 --endMP 204:233314 --enddatetime 2017-12-15T18:21:29 --enforcementcount 0 &gt;&gt;%USERPROFILE%\Documents\GitHub\eaglep3-reporting\EC\2017-12-15-refined-times.txt</v>
      </c>
      <c r="AI127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{"issue":{"subject":"","project_id":79,"tracker_id":40,"status_id":1,"priority_id":2,"assigned_to_id":338,"start_date":"2017-12-15","description":"","custom_fields":[{"id":1,"name":"Subdivision","value":"EC"},{"id":4,"name":"Milepost","value":"23.3314"},{"id":17,"name":"Train ID","value":"213-15"},{"id":16,"name":"Locomotive ID","value":"4044"},{"id":130,"name":"Impact","value":""},{"id":150,"name":"Time of Event (Mountain Time)","value":"18:21:29"},{"id":151,"name":"Denver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188"/>
      <c r="AL127" s="188"/>
      <c r="AM127" s="193" t="str">
        <f t="shared" si="49"/>
        <v>start /low /b %USERPROFILE%\Documents\GitHub\eaglep3\Utilities\DownloadLogsFromS3.py --loco 4044 --day 2017-12-15</v>
      </c>
      <c r="AN127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01:21:29"},{"id":29,"name":"Sharepoint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87" t="str">
        <f t="shared" si="51"/>
        <v>https://d0f6bd738d7f1b3e5a7ca70fe4ff75f0.us-east-1.aws.found.io/app/kibana#/discover/Steve-Slow-Train-Analysis-(2080s-and-2083s)?_g=(refreshInterval:(display:Off,pause:!f,section:0,value:0),time:(from:'2017-12-15T16:41:26-0700',mode:absolute,to:'2017-12-15T19:21:29-0700'))&amp;_a=(columns:!('Message%20ID',Summary),filters:!(),index:'emp_*',interval:auto,query:(query_string:(analyze_wildcard:!t,query:'%22rtdc.l.rtdc.4044%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186" t="s">
        <v>843</v>
      </c>
      <c r="B128" s="182">
        <v>4043</v>
      </c>
      <c r="C128" s="184" t="s">
        <v>192</v>
      </c>
      <c r="D128" s="184" t="s">
        <v>994</v>
      </c>
      <c r="E128" s="183">
        <v>43084.774594907409</v>
      </c>
      <c r="F128" s="183">
        <v>43084.779456018521</v>
      </c>
      <c r="G128" s="182">
        <v>122</v>
      </c>
      <c r="H128" s="184" t="s">
        <v>555</v>
      </c>
      <c r="I128" s="183">
        <v>43084.80537037037</v>
      </c>
      <c r="J128" s="182">
        <v>0</v>
      </c>
      <c r="K128" s="190" t="str">
        <f t="shared" si="63"/>
        <v>4043/4044</v>
      </c>
      <c r="L128" s="196" t="str">
        <f>VLOOKUP(A128,'Trips&amp;Operators'!$C$1:$G$99911,5,FALSE)</f>
        <v>ZEWDU DEREJE</v>
      </c>
      <c r="M128" s="181">
        <f t="shared" si="64"/>
        <v>2.5914351848769002E-2</v>
      </c>
      <c r="N128" s="182">
        <f t="shared" si="70"/>
        <v>37.316666662227362</v>
      </c>
      <c r="O128" s="182"/>
      <c r="P128" s="182"/>
      <c r="Q128" s="185"/>
      <c r="R128" s="197"/>
      <c r="S128" s="241">
        <f t="shared" si="69"/>
        <v>1</v>
      </c>
      <c r="T128" s="220" t="str">
        <f t="shared" si="65"/>
        <v>Southbound</v>
      </c>
      <c r="U128" s="22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21" t="str">
        <f t="shared" si="38"/>
        <v>https://d0f6bd738d7f1b3e5a7ca70fe4ff75f0.us-east-1.aws.found.io/app/kibana#/discover/Steve-Slow-Train-Analysis-(2080s-and-2083s)?_g=(refreshInterval:(display:Off,pause:!f,section:0,value:0),time:(from:'2017-12-15T17:35:25-0700',mode:absolute,to:'2017-12-15T20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8" s="222" t="str">
        <f>IF(AA128&lt;VLOOKUP(AG128,Variables!$AC$3:$AD$8,2,FALSE),"Y","N")</f>
        <v>N</v>
      </c>
      <c r="X128" s="222">
        <f t="shared" si="62"/>
        <v>1</v>
      </c>
      <c r="Y128" s="222">
        <f t="shared" si="60"/>
        <v>23.296500000000002</v>
      </c>
      <c r="Z128" s="222">
        <f t="shared" si="61"/>
        <v>2.1999999999999999E-2</v>
      </c>
      <c r="AA128" s="222">
        <f t="shared" si="66"/>
        <v>23.274500000000003</v>
      </c>
      <c r="AB128" s="231" t="e">
        <f>VLOOKUP(A128,Enforcements!$C$7:$K$9,8,0)</f>
        <v>#N/A</v>
      </c>
      <c r="AC128" s="231" t="e">
        <f>VLOOKUP(A128,Enforcements!$C$7:$E$9,3,0)</f>
        <v>#N/A</v>
      </c>
      <c r="AD128" s="232">
        <f t="shared" si="67"/>
        <v>214</v>
      </c>
      <c r="AE128" s="233" t="str">
        <f t="shared" si="44"/>
        <v>aws s3 cp s3://rtdc.mdm.uploadarchive.raw/RTDC4043/ "%USERPROFILE%\AppData\Local\Temp\OnboardLogs"\RTDC4043\2017-12-15 --exclude "*" --recursive --include "*20171215*" &amp; "%USERPROFILE%\Documents\GitHub\mrs-test-scripts\Headless Mode &amp; Sideloading\WalkAndUnGZ.bat" "%USERPROFILE%\AppData\Local\Temp\OnboardLogs"\RTDC4043\2017-12-15 &amp; aws s3 cp s3://rtdc.mdm.uploadarchive.raw/RTDC4043/ "%USERPROFILE%\AppData\Local\Temp\OnboardLogs"\RTDC4043\2017-12-16 --exclude "*" --recursive --include "*20171216*" &amp; "%USERPROFILE%\Documents\GitHub\mrs-test-scripts\Headless Mode &amp; Sideloading\WalkAndUnGZ.bat" "%USERPROFILE%\AppData\Local\Temp\OnboardLogs"\RTDC4043\2017-12-16</v>
      </c>
      <c r="AF128" s="234" t="str">
        <f t="shared" si="45"/>
        <v>"C:\Program Files (x86)\AstroGrep\AstroGrep.exe" /e /r /s /spath="%USERPROFILE%\AppData\Local\Temp\OnboardLogs" /stypes="app*4043*20171216*" /stext=" 02:.+((SYSTEM_STATE.+slice.+state.+changed )|(ment ac)|(multiple cpu faults)|(system.+state.+changed )|(\[timeout)|(PRM\|1\|D)|(kpr)|(kdp)|(train st.+moving)|(\|lc)|(penalty))"</v>
      </c>
      <c r="AG128" s="226" t="str">
        <f t="shared" si="68"/>
        <v>EC</v>
      </c>
      <c r="AH128" s="189" t="str">
        <f t="shared" si="47"/>
        <v>"%USERPROFILE%\Documents\GitHub\eaglep3\Utilities\RefineRTDCRunTimes.py" --tripid 214-15 --locoid 4043 --swversion DE.1.0.9.0 --startMP 204:232965 --initTime 2017-12-15T18:35:25 --startdatetime 2017-12-15T18:42:25 --delay 122 --endMP 204:220 --enddatetime 2017-12-15T19:19:44 --enforcementcount 0 &gt;&gt;%USERPROFILE%\Documents\GitHub\eaglep3-reporting\EC\2017-12-15-refined-times.txt</v>
      </c>
      <c r="AI128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{"issue":{"subject":"","project_id":79,"tracker_id":40,"status_id":1,"priority_id":2,"assigned_to_id":338,"start_date":"2017-12-15","description":"","custom_fields":[{"id":1,"name":"Subdivision","value":"EC"},{"id":4,"name":"Milepost","value":"0.022"},{"id":17,"name":"Train ID","value":"214-15"},{"id":16,"name":"Locomotive ID","value":"4043"},{"id":130,"name":"Impact","value":""},{"id":150,"name":"Time of Event (Mountain Time)","value":"19:19:44"},{"id":151,"name":"Denver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180"/>
      <c r="AK128" s="188"/>
      <c r="AL128" s="188"/>
      <c r="AM128" s="193" t="str">
        <f t="shared" si="49"/>
        <v>start /low /b %USERPROFILE%\Documents\GitHub\eaglep3\Utilities\DownloadLogsFromS3.py --loco 4043 --day 2017-12-15</v>
      </c>
      <c r="AN128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02:19:44"},{"id":29,"name":"Sharepoint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87" t="str">
        <f t="shared" si="51"/>
        <v>https://d0f6bd738d7f1b3e5a7ca70fe4ff75f0.us-east-1.aws.found.io/app/kibana#/discover/Steve-Slow-Train-Analysis-(2080s-and-2083s)?_g=(refreshInterval:(display:Off,pause:!f,section:0,value:0),time:(from:'2017-12-15T17:35:25-0700',mode:absolute,to:'2017-12-15T20:19:44-0700'))&amp;_a=(columns:!('Message%20ID',Summary),filters:!(),index:'emp_*',interval:auto,query:(query_string:(analyze_wildcard:!t,query:'%22rtdc.l.rtdc.4043%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186" t="s">
        <v>673</v>
      </c>
      <c r="B129" s="182">
        <v>4036</v>
      </c>
      <c r="C129" s="184" t="s">
        <v>192</v>
      </c>
      <c r="D129" s="184" t="s">
        <v>913</v>
      </c>
      <c r="E129" s="183">
        <v>43084.747928240744</v>
      </c>
      <c r="F129" s="183">
        <v>43084.750405092593</v>
      </c>
      <c r="G129" s="182">
        <v>74</v>
      </c>
      <c r="H129" s="184" t="s">
        <v>975</v>
      </c>
      <c r="I129" s="183">
        <v>43084.774745370371</v>
      </c>
      <c r="J129" s="182">
        <v>0</v>
      </c>
      <c r="K129" s="190" t="str">
        <f t="shared" si="63"/>
        <v>4035/4036</v>
      </c>
      <c r="L129" s="196" t="str">
        <f>VLOOKUP(A129,'Trips&amp;Operators'!$C$1:$G$99911,5,FALSE)</f>
        <v>HOLCOMB KAMDEN</v>
      </c>
      <c r="M129" s="181">
        <f t="shared" si="64"/>
        <v>2.4340277777810115E-2</v>
      </c>
      <c r="N129" s="182">
        <f t="shared" si="70"/>
        <v>35.050000000046566</v>
      </c>
      <c r="O129" s="182"/>
      <c r="P129" s="182"/>
      <c r="Q129" s="185"/>
      <c r="R129" s="197"/>
      <c r="S129" s="241">
        <f t="shared" si="69"/>
        <v>1</v>
      </c>
      <c r="T129" s="220" t="str">
        <f t="shared" si="65"/>
        <v>NorthBound</v>
      </c>
      <c r="U129" s="22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21" t="str">
        <f t="shared" si="38"/>
        <v>https://d0f6bd738d7f1b3e5a7ca70fe4ff75f0.us-east-1.aws.found.io/app/kibana#/discover/Steve-Slow-Train-Analysis-(2080s-and-2083s)?_g=(refreshInterval:(display:Off,pause:!f,section:0,value:0),time:(from:'2017-12-15T16:57:01-0700',mode:absolute,to:'2017-12-15T19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29" s="222" t="str">
        <f>IF(AA129&lt;VLOOKUP(AG129,Variables!$AC$3:$AD$8,2,FALSE),"Y","N")</f>
        <v>N</v>
      </c>
      <c r="X129" s="222">
        <f t="shared" si="62"/>
        <v>1</v>
      </c>
      <c r="Y129" s="222">
        <f t="shared" si="60"/>
        <v>0.05</v>
      </c>
      <c r="Z129" s="222">
        <f t="shared" si="61"/>
        <v>23.327999999999999</v>
      </c>
      <c r="AA129" s="222">
        <f t="shared" si="66"/>
        <v>23.277999999999999</v>
      </c>
      <c r="AB129" s="231" t="e">
        <f>VLOOKUP(A129,Enforcements!$C$7:$K$9,8,0)</f>
        <v>#N/A</v>
      </c>
      <c r="AC129" s="231" t="e">
        <f>VLOOKUP(A129,Enforcements!$C$7:$E$9,3,0)</f>
        <v>#N/A</v>
      </c>
      <c r="AD129" s="232">
        <f t="shared" si="67"/>
        <v>215</v>
      </c>
      <c r="AE129" s="233" t="str">
        <f t="shared" si="44"/>
        <v>aws s3 cp s3://rtdc.mdm.uploadarchive.raw/RTDC4036/ "%USERPROFILE%\AppData\Local\Temp\OnboardLogs"\RTDC4036\2017-12-15 --exclude "*" --recursive --include "*20171215*" &amp; "%USERPROFILE%\Documents\GitHub\mrs-test-scripts\Headless Mode &amp; Sideloading\WalkAndUnGZ.bat" "%USERPROFILE%\AppData\Local\Temp\OnboardLogs"\RTDC4036\2017-12-15 &amp; aws s3 cp s3://rtdc.mdm.uploadarchive.raw/RTDC4036/ "%USERPROFILE%\AppData\Local\Temp\OnboardLogs"\RTDC4036\2017-12-16 --exclude "*" --recursive --include "*20171216*" &amp; "%USERPROFILE%\Documents\GitHub\mrs-test-scripts\Headless Mode &amp; Sideloading\WalkAndUnGZ.bat" "%USERPROFILE%\AppData\Local\Temp\OnboardLogs"\RTDC4036\2017-12-16</v>
      </c>
      <c r="AF129" s="234" t="str">
        <f t="shared" si="45"/>
        <v>"C:\Program Files (x86)\AstroGrep\AstroGrep.exe" /e /r /s /spath="%USERPROFILE%\AppData\Local\Temp\OnboardLogs" /stypes="app*4036*20171216*" /stext=" 01:.+((SYSTEM_STATE.+slice.+state.+changed )|(ment ac)|(multiple cpu faults)|(system.+state.+changed )|(\[timeout)|(PRM\|1\|D)|(kpr)|(kdp)|(train st.+moving)|(\|lc)|(penalty))"</v>
      </c>
      <c r="AG129" s="226" t="str">
        <f t="shared" si="68"/>
        <v>EC</v>
      </c>
      <c r="AH129" s="189" t="str">
        <f t="shared" si="47"/>
        <v>"%USERPROFILE%\Documents\GitHub\eaglep3\Utilities\RefineRTDCRunTimes.py" --tripid 215-15 --locoid 4036 --swversion DE.1.0.9.0 --startMP 204:500 --initTime 2017-12-15T17:57:01 --startdatetime 2017-12-15T18:00:35 --delay 74 --endMP 204:233280 --enddatetime 2017-12-15T18:35:38 --enforcementcount 0 &gt;&gt;%USERPROFILE%\Documents\GitHub\eaglep3-reporting\EC\2017-12-15-refined-times.txt</v>
      </c>
      <c r="AI129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{"issue":{"subject":"","project_id":79,"tracker_id":40,"status_id":1,"priority_id":2,"assigned_to_id":338,"start_date":"2017-12-15","description":"","custom_fields":[{"id":1,"name":"Subdivision","value":"EC"},{"id":4,"name":"Milepost","value":"23.328"},{"id":17,"name":"Train ID","value":"215-15"},{"id":16,"name":"Locomotive ID","value":"4036"},{"id":130,"name":"Impact","value":""},{"id":150,"name":"Time of Event (Mountain Time)","value":"18:35:38"},{"id":151,"name":"Denver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180"/>
      <c r="AK129" s="188"/>
      <c r="AL129" s="188"/>
      <c r="AM129" s="193" t="str">
        <f t="shared" si="49"/>
        <v>start /low /b %USERPROFILE%\Documents\GitHub\eaglep3\Utilities\DownloadLogsFromS3.py --loco 4036 --day 2017-12-15</v>
      </c>
      <c r="AN129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01:35:38"},{"id":29,"name":"Sharepoint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87" t="str">
        <f t="shared" si="51"/>
        <v>https://d0f6bd738d7f1b3e5a7ca70fe4ff75f0.us-east-1.aws.found.io/app/kibana#/discover/Steve-Slow-Train-Analysis-(2080s-and-2083s)?_g=(refreshInterval:(display:Off,pause:!f,section:0,value:0),time:(from:'2017-12-15T16:57:01-0700',mode:absolute,to:'2017-12-15T19:35:38-0700'))&amp;_a=(columns:!('Message%20ID',Summary),filters:!(),index:'emp_*',interval:auto,query:(query_string:(analyze_wildcard:!t,query:'%22rtdc.l.rtdc.4036%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180" customFormat="1" x14ac:dyDescent="0.25">
      <c r="A130" s="186" t="s">
        <v>674</v>
      </c>
      <c r="B130" s="182">
        <v>4035</v>
      </c>
      <c r="C130" s="184" t="s">
        <v>192</v>
      </c>
      <c r="D130" s="184" t="s">
        <v>913</v>
      </c>
      <c r="E130" s="183">
        <v>43084.747928240744</v>
      </c>
      <c r="F130" s="183">
        <v>43084.790069444447</v>
      </c>
      <c r="G130" s="182">
        <v>74</v>
      </c>
      <c r="H130" s="184" t="s">
        <v>975</v>
      </c>
      <c r="I130" s="183">
        <v>43084.815324074072</v>
      </c>
      <c r="J130" s="182">
        <v>0</v>
      </c>
      <c r="K130" s="190" t="str">
        <f t="shared" si="63"/>
        <v>4035/4036</v>
      </c>
      <c r="L130" s="196" t="str">
        <f>VLOOKUP(A130,'Trips&amp;Operators'!$C$1:$G$99911,5,FALSE)</f>
        <v>HOLCOMB KAMDEN</v>
      </c>
      <c r="M130" s="181">
        <f t="shared" si="64"/>
        <v>2.5254629625123926E-2</v>
      </c>
      <c r="N130" s="182">
        <f t="shared" si="70"/>
        <v>36.366666660178453</v>
      </c>
      <c r="O130" s="182"/>
      <c r="P130" s="182"/>
      <c r="Q130" s="185"/>
      <c r="R130" s="197"/>
      <c r="S130" s="241">
        <f t="shared" si="69"/>
        <v>1</v>
      </c>
      <c r="T130" s="220" t="str">
        <f t="shared" si="65"/>
        <v>Southbound</v>
      </c>
      <c r="U130" s="22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21" t="str">
        <f t="shared" si="38"/>
        <v>https://d0f6bd738d7f1b3e5a7ca70fe4ff75f0.us-east-1.aws.found.io/app/kibana#/discover/Steve-Slow-Train-Analysis-(2080s-and-2083s)?_g=(refreshInterval:(display:Off,pause:!f,section:0,value:0),time:(from:'2017-12-15T16:57:01-0700',mode:absolute,to:'2017-12-15T20:34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0" s="222" t="str">
        <f>IF(AA130&lt;VLOOKUP(AG130,Variables!$AC$3:$AD$8,2,FALSE),"Y","N")</f>
        <v>N</v>
      </c>
      <c r="X130" s="222">
        <f t="shared" si="62"/>
        <v>1</v>
      </c>
      <c r="Y130" s="222">
        <v>23.296500000000002</v>
      </c>
      <c r="Z130" s="222">
        <v>2.1999999999999999E-2</v>
      </c>
      <c r="AA130" s="222">
        <f t="shared" si="66"/>
        <v>23.274500000000003</v>
      </c>
      <c r="AB130" s="231" t="e">
        <f>VLOOKUP(A130,Enforcements!$C$7:$K$9,8,0)</f>
        <v>#N/A</v>
      </c>
      <c r="AC130" s="231" t="e">
        <f>VLOOKUP(A130,Enforcements!$C$7:$E$9,3,0)</f>
        <v>#N/A</v>
      </c>
      <c r="AD130" s="232">
        <f t="shared" si="67"/>
        <v>216</v>
      </c>
      <c r="AE130" s="233" t="str">
        <f t="shared" si="44"/>
        <v>aws s3 cp s3://rtdc.mdm.uploadarchive.raw/RTDC4035/ "%USERPROFILE%\AppData\Local\Temp\OnboardLogs"\RTDC4035\2017-12-15 --exclude "*" --recursive --include "*20171215*" &amp; "%USERPROFILE%\Documents\GitHub\mrs-test-scripts\Headless Mode &amp; Sideloading\WalkAndUnGZ.bat" "%USERPROFILE%\AppData\Local\Temp\OnboardLogs"\RTDC4035\2017-12-15 &amp; aws s3 cp s3://rtdc.mdm.uploadarchive.raw/RTDC4035/ "%USERPROFILE%\AppData\Local\Temp\OnboardLogs"\RTDC4035\2017-12-16 --exclude "*" --recursive --include "*20171216*" &amp; "%USERPROFILE%\Documents\GitHub\mrs-test-scripts\Headless Mode &amp; Sideloading\WalkAndUnGZ.bat" "%USERPROFILE%\AppData\Local\Temp\OnboardLogs"\RTDC4035\2017-12-16</v>
      </c>
      <c r="AF130" s="234" t="str">
        <f t="shared" si="45"/>
        <v>"C:\Program Files (x86)\AstroGrep\AstroGrep.exe" /e /r /s /spath="%USERPROFILE%\AppData\Local\Temp\OnboardLogs" /stypes="app*4035*20171216*" /stext=" 02:.+((SYSTEM_STATE.+slice.+state.+changed )|(ment ac)|(multiple cpu faults)|(system.+state.+changed )|(\[timeout)|(PRM\|1\|D)|(kpr)|(kdp)|(train st.+moving)|(\|lc)|(penalty))"</v>
      </c>
      <c r="AG130" s="226" t="str">
        <f t="shared" si="68"/>
        <v>EC</v>
      </c>
      <c r="AH130" s="189" t="str">
        <f t="shared" ref="AH130" si="71">refinertdcruntimes&amp;" --tripid "&amp;A130&amp;" --locoid "&amp;B130&amp;" --swversion "&amp;C130&amp;" --startMP "&amp;D130&amp;" --initTime "&amp;TEXT(E130,"yyyy-mm-ddTHH:MM:SS")&amp;" --startdatetime "&amp;TEXT(F130,"yyyy-mm-ddTHH:MM:SS")&amp;" --delay "&amp;G130&amp;" --endMP "&amp;H130&amp;" --enddatetime "&amp;TEXT(I130,"yyyy-mm-ddTHH:MM:SS")&amp;" --enforcementcount "&amp;J130&amp;IF(outputrefinedruntimes," &gt;&gt;"&amp;RefinedRTDCRunTimesOutputFile,"")</f>
        <v>"%USERPROFILE%\Documents\GitHub\eaglep3\Utilities\RefineRTDCRunTimes.py" --tripid 216-15 --locoid 4035 --swversion DE.1.0.9.0 --startMP 204:500 --initTime 2017-12-15T17:57:01 --startdatetime 2017-12-15T18:57:42 --delay 74 --endMP 204:233280 --enddatetime 2017-12-15T19:34:04 --enforcementcount 0 &gt;&gt;%USERPROFILE%\Documents\GitHub\eaglep3-reporting\EC\2017-12-15-refined-times.txt</v>
      </c>
      <c r="AI130" s="191" t="str">
        <f t="shared" ref="AI130" si="72">"echo {""issue"":{""subject"":"""&amp;R130&amp;""",""project_id"":79,""tracker_id"":40,""status_id"":"&amp;redmine_status&amp;",""priority_id"":"&amp;redmine_priority&amp;",""assigned_to_id"":"&amp;redmine_assignee&amp;",""start_date"":"""&amp;TEXT(I130,"YYYY-mm-dd")&amp;""",""description"":"""&amp;AJ130&amp;""",""custom_fields"":[{""id"":1,""name"":""Subdivision"",""value"":"""&amp;AG130&amp;"""},{""id"":4,""name"":""Milepost"",""value"":"""&amp;Z130&amp;"""},{""id"":17,""name"":""Train ID"",""value"":"""&amp;A130&amp;"""},{""id"":16,""name"":""Locomotive ID"",""value"":"""&amp;B130&amp;"""},{""id"":130,""name"":""Impact"",""value"":"""&amp;AK130&amp;"""},{""id"":150,""name"":""Time of Event (Mountain Time)"",""value"":"""&amp;TEXT(I130,"hh:mm:ss")&amp;"""},{""id"":151,""name"":""Denver Issue ID"",""value"":"""&amp;"""},{""id"":178,""name"":""Operational Impact"",""value"":"""&amp;redmine_op_impact&amp;"""},{""id"":179,""name"":""Denver Segment Assigned"",""value"":"""&amp;AL130&amp;"""}]}}"&amp;"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{"issue":{"subject":"","project_id":79,"tracker_id":40,"status_id":1,"priority_id":2,"assigned_to_id":338,"start_date":"2017-12-15","description":"","custom_fields":[{"id":1,"name":"Subdivision","value":"EC"},{"id":4,"name":"Milepost","value":"0.022"},{"id":17,"name":"Train ID","value":"216-15"},{"id":16,"name":"Locomotive ID","value":"4035"},{"id":130,"name":"Impact","value":""},{"id":150,"name":"Time of Event (Mountain Time)","value":"19:34:04"},{"id":151,"name":"Denver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188"/>
      <c r="AL130" s="188"/>
      <c r="AM130" s="193" t="str">
        <f t="shared" ref="AM130" si="73">"start /low /b "&amp;dls3logs&amp;" --loco "&amp;B130&amp;" --day "&amp;TEXT(F130,"YYYY-MM-DD")</f>
        <v>start /low /b %USERPROFILE%\Documents\GitHub\eaglep3\Utilities\DownloadLogsFromS3.py --loco 4035 --day 2017-12-15</v>
      </c>
      <c r="AN130" s="194" t="str">
        <f t="shared" ref="AN130" si="74">"echo {""issue"":{""subject"":"""&amp;R130&amp;""",""project_id"":30,""tracker_id"":4,""status_id"":"&amp;redmine_status_wcr&amp;",""priority_id"":"&amp;redmine_priority_wcr&amp;",""assigned_to_id"":"&amp;redmine_assignee_wcr&amp;",""start_date"":"""&amp;TEXT(I130-utc_offset/24,"YYYY-mm-dd")&amp;""",""description"":"""&amp;AJ130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02:34:04"},{"id":29,"name":"Sharepoint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87" t="str">
        <f t="shared" ref="AO130" si="75"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Message%20ID',Summary),filters:!(),index:'emp_*',interval:auto,query:"&amp;"(query_string:(analyze_wildcard:!t,query:'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-12-15T16:57:01-0700',mode:absolute,to:'2017-12-15T20:34:04-0700'))&amp;_a=(columns:!('Message%20ID',Summary),filters:!(),index:'emp_*',interval:auto,query:(query_string:(analyze_wildcard:!t,query:'%22rtdc.l.rtdc.4035%22')),sort:!(Time.ISO8601,asc))</v>
      </c>
    </row>
    <row r="131" spans="1:91" s="20" customFormat="1" x14ac:dyDescent="0.25">
      <c r="A131" s="186" t="s">
        <v>838</v>
      </c>
      <c r="B131" s="182">
        <v>4032</v>
      </c>
      <c r="C131" s="184" t="s">
        <v>192</v>
      </c>
      <c r="D131" s="184" t="s">
        <v>995</v>
      </c>
      <c r="E131" s="183">
        <v>43084.757939814815</v>
      </c>
      <c r="F131" s="183">
        <v>43084.760625000003</v>
      </c>
      <c r="G131" s="182">
        <v>104</v>
      </c>
      <c r="H131" s="184" t="s">
        <v>995</v>
      </c>
      <c r="I131" s="183">
        <v>43084.786099537036</v>
      </c>
      <c r="J131" s="182">
        <v>0</v>
      </c>
      <c r="K131" s="190" t="str">
        <f t="shared" si="63"/>
        <v>4031/4032</v>
      </c>
      <c r="L131" s="196" t="str">
        <f>VLOOKUP(A131,'Trips&amp;Operators'!$C$1:$G$99911,5,FALSE)</f>
        <v>NICHOLSON WESLEY</v>
      </c>
      <c r="M131" s="181">
        <f t="shared" si="64"/>
        <v>2.5474537033005618E-2</v>
      </c>
      <c r="N131" s="182">
        <f t="shared" si="70"/>
        <v>36.683333327528089</v>
      </c>
      <c r="O131" s="182"/>
      <c r="P131" s="182"/>
      <c r="Q131" s="185"/>
      <c r="R131" s="197"/>
      <c r="S131" s="241">
        <f t="shared" si="69"/>
        <v>1</v>
      </c>
      <c r="T131" s="220" t="str">
        <f t="shared" si="65"/>
        <v>NorthBound</v>
      </c>
      <c r="U131" s="22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21" t="str">
        <f t="shared" si="38"/>
        <v>https://d0f6bd738d7f1b3e5a7ca70fe4ff75f0.us-east-1.aws.found.io/app/kibana#/discover/Steve-Slow-Train-Analysis-(2080s-and-2083s)?_g=(refreshInterval:(display:Off,pause:!f,section:0,value:0),time:(from:'2017-12-15T17:11:26-0700',mode:absolute,to:'2017-12-15T19:51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1" s="222" t="str">
        <f>IF(AA131&lt;VLOOKUP(AG131,Variables!$AC$3:$AD$8,2,FALSE),"Y","N")</f>
        <v>N</v>
      </c>
      <c r="X131" s="222">
        <f t="shared" ref="X131:X134" si="76">VALUE(LEFT(AD131,4))-VALUE(LEFT(AD130,4))</f>
        <v>1</v>
      </c>
      <c r="Y131" s="222">
        <v>0.05</v>
      </c>
      <c r="Z131" s="222">
        <v>23.327999999999999</v>
      </c>
      <c r="AA131" s="222">
        <f t="shared" si="66"/>
        <v>23.277999999999999</v>
      </c>
      <c r="AB131" s="231" t="e">
        <f>VLOOKUP(A131,Enforcements!$C$7:$K$9,8,0)</f>
        <v>#N/A</v>
      </c>
      <c r="AC131" s="231" t="e">
        <f>VLOOKUP(A131,Enforcements!$C$7:$E$9,3,0)</f>
        <v>#N/A</v>
      </c>
      <c r="AD131" s="232">
        <f t="shared" si="67"/>
        <v>217</v>
      </c>
      <c r="AE131" s="233" t="str">
        <f t="shared" si="44"/>
        <v>aws s3 cp s3://rtdc.mdm.uploadarchive.raw/RTDC4032/ "%USERPROFILE%\AppData\Local\Temp\OnboardLogs"\RTDC4032\2017-12-15 --exclude "*" --recursive --include "*20171215*" &amp; "%USERPROFILE%\Documents\GitHub\mrs-test-scripts\Headless Mode &amp; Sideloading\WalkAndUnGZ.bat" "%USERPROFILE%\AppData\Local\Temp\OnboardLogs"\RTDC4032\2017-12-15 &amp; aws s3 cp s3://rtdc.mdm.uploadarchive.raw/RTDC4032/ "%USERPROFILE%\AppData\Local\Temp\OnboardLogs"\RTDC4032\2017-12-16 --exclude "*" --recursive --include "*20171216*" &amp; "%USERPROFILE%\Documents\GitHub\mrs-test-scripts\Headless Mode &amp; Sideloading\WalkAndUnGZ.bat" "%USERPROFILE%\AppData\Local\Temp\OnboardLogs"\RTDC4032\2017-12-16</v>
      </c>
      <c r="AF131" s="234" t="str">
        <f t="shared" si="45"/>
        <v>"C:\Program Files (x86)\AstroGrep\AstroGrep.exe" /e /r /s /spath="%USERPROFILE%\AppData\Local\Temp\OnboardLogs" /stypes="app*4032*20171216*" /stext=" 01:.+((SYSTEM_STATE.+slice.+state.+changed )|(ment ac)|(multiple cpu faults)|(system.+state.+changed )|(\[timeout)|(PRM\|1\|D)|(kpr)|(kdp)|(train st.+moving)|(\|lc)|(penalty))"</v>
      </c>
      <c r="AG131" s="226" t="str">
        <f t="shared" si="68"/>
        <v>EC</v>
      </c>
      <c r="AH131" s="189" t="str">
        <f t="shared" si="47"/>
        <v>"%USERPROFILE%\Documents\GitHub\eaglep3\Utilities\RefineRTDCRunTimes.py" --tripid 217-15 --locoid 4032 --swversion DE.1.0.9.0 --startMP 204:491 --initTime 2017-12-15T18:11:26 --startdatetime 2017-12-15T18:15:18 --delay 104 --endMP 204:491 --enddatetime 2017-12-15T18:51:59 --enforcementcount 0 &gt;&gt;%USERPROFILE%\Documents\GitHub\eaglep3-reporting\EC\2017-12-15-refined-times.txt</v>
      </c>
      <c r="AI131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{"issue":{"subject":"","project_id":79,"tracker_id":40,"status_id":1,"priority_id":2,"assigned_to_id":338,"start_date":"2017-12-15","description":"","custom_fields":[{"id":1,"name":"Subdivision","value":"EC"},{"id":4,"name":"Milepost","value":"23.328"},{"id":17,"name":"Train ID","value":"217-15"},{"id":16,"name":"Locomotive ID","value":"4032"},{"id":130,"name":"Impact","value":""},{"id":150,"name":"Time of Event (Mountain Time)","value":"18:51:59"},{"id":151,"name":"Denver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180"/>
      <c r="AK131" s="188"/>
      <c r="AL131" s="188"/>
      <c r="AM131" s="193" t="str">
        <f t="shared" si="49"/>
        <v>start /low /b %USERPROFILE%\Documents\GitHub\eaglep3\Utilities\DownloadLogsFromS3.py --loco 4032 --day 2017-12-15</v>
      </c>
      <c r="AN131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01:51:59"},{"id":29,"name":"Sharepoint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87" t="str">
        <f t="shared" si="51"/>
        <v>https://d0f6bd738d7f1b3e5a7ca70fe4ff75f0.us-east-1.aws.found.io/app/kibana#/discover/Steve-Slow-Train-Analysis-(2080s-and-2083s)?_g=(refreshInterval:(display:Off,pause:!f,section:0,value:0),time:(from:'2017-12-15T17:11:26-0700',mode:absolute,to:'2017-12-15T19:51:59-0700'))&amp;_a=(columns:!('Message%20ID',Summary),filters:!(),index:'emp_*',interval:auto,query:(query_string:(analyze_wildcard:!t,query:'%22rtdc.l.rtdc.4032%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186" t="s">
        <v>847</v>
      </c>
      <c r="B132" s="182">
        <v>4031</v>
      </c>
      <c r="C132" s="184" t="s">
        <v>192</v>
      </c>
      <c r="D132" s="184" t="s">
        <v>965</v>
      </c>
      <c r="E132" s="183">
        <v>43084.790590277778</v>
      </c>
      <c r="F132" s="183">
        <v>43084.800219907411</v>
      </c>
      <c r="G132" s="182">
        <v>91</v>
      </c>
      <c r="H132" s="184" t="s">
        <v>996</v>
      </c>
      <c r="I132" s="183">
        <v>43084.827233796299</v>
      </c>
      <c r="J132" s="182">
        <v>0</v>
      </c>
      <c r="K132" s="190" t="str">
        <f t="shared" si="63"/>
        <v>4031/4032</v>
      </c>
      <c r="L132" s="196" t="str">
        <f>VLOOKUP(A132,'Trips&amp;Operators'!$C$1:$G$99911,5,FALSE)</f>
        <v>NICHOLSON WESLEY</v>
      </c>
      <c r="M132" s="181">
        <f t="shared" si="64"/>
        <v>2.7013888888177462E-2</v>
      </c>
      <c r="N132" s="182">
        <f t="shared" si="70"/>
        <v>38.899999998975545</v>
      </c>
      <c r="O132" s="182"/>
      <c r="P132" s="182"/>
      <c r="Q132" s="185"/>
      <c r="R132" s="197"/>
      <c r="S132" s="241">
        <f t="shared" si="69"/>
        <v>1</v>
      </c>
      <c r="T132" s="220" t="str">
        <f t="shared" si="65"/>
        <v>Southbound</v>
      </c>
      <c r="U132" s="22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21" t="str">
        <f t="shared" si="38"/>
        <v>https://d0f6bd738d7f1b3e5a7ca70fe4ff75f0.us-east-1.aws.found.io/app/kibana#/discover/Steve-Slow-Train-Analysis-(2080s-and-2083s)?_g=(refreshInterval:(display:Off,pause:!f,section:0,value:0),time:(from:'2017-12-15T17:58:27-0700',mode:absolute,to:'2017-12-15T20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2" s="222" t="str">
        <f>IF(AA132&lt;VLOOKUP(AG132,Variables!$AC$3:$AD$8,2,FALSE),"Y","N")</f>
        <v>N</v>
      </c>
      <c r="X132" s="222">
        <f t="shared" si="76"/>
        <v>1</v>
      </c>
      <c r="Y132" s="222">
        <f t="shared" ref="Y132:Y147" si="77">RIGHT(D132,LEN(D132)-4)/10000</f>
        <v>23.287299999999998</v>
      </c>
      <c r="Z132" s="222">
        <f t="shared" ref="Z132:Z147" si="78">RIGHT(H132,LEN(H132)-4)/10000</f>
        <v>2.3199999999999998E-2</v>
      </c>
      <c r="AA132" s="222">
        <f t="shared" si="66"/>
        <v>23.264099999999999</v>
      </c>
      <c r="AB132" s="231" t="e">
        <f>VLOOKUP(A132,Enforcements!$C$7:$K$9,8,0)</f>
        <v>#N/A</v>
      </c>
      <c r="AC132" s="231" t="e">
        <f>VLOOKUP(A132,Enforcements!$C$7:$E$9,3,0)</f>
        <v>#N/A</v>
      </c>
      <c r="AD132" s="232">
        <f t="shared" si="67"/>
        <v>218</v>
      </c>
      <c r="AE132" s="233" t="str">
        <f t="shared" si="44"/>
        <v>aws s3 cp s3://rtdc.mdm.uploadarchive.raw/RTDC4031/ "%USERPROFILE%\AppData\Local\Temp\OnboardLogs"\RTDC4031\2017-12-15 --exclude "*" --recursive --include "*20171215*" &amp; "%USERPROFILE%\Documents\GitHub\mrs-test-scripts\Headless Mode &amp; Sideloading\WalkAndUnGZ.bat" "%USERPROFILE%\AppData\Local\Temp\OnboardLogs"\RTDC4031\2017-12-15 &amp; aws s3 cp s3://rtdc.mdm.uploadarchive.raw/RTDC4031/ "%USERPROFILE%\AppData\Local\Temp\OnboardLogs"\RTDC4031\2017-12-16 --exclude "*" --recursive --include "*20171216*" &amp; "%USERPROFILE%\Documents\GitHub\mrs-test-scripts\Headless Mode &amp; Sideloading\WalkAndUnGZ.bat" "%USERPROFILE%\AppData\Local\Temp\OnboardLogs"\RTDC4031\2017-12-16</v>
      </c>
      <c r="AF132" s="234" t="str">
        <f t="shared" si="45"/>
        <v>"C:\Program Files (x86)\AstroGrep\AstroGrep.exe" /e /r /s /spath="%USERPROFILE%\AppData\Local\Temp\OnboardLogs" /stypes="app*4031*20171216*" /stext=" 02:.+((SYSTEM_STATE.+slice.+state.+changed )|(ment ac)|(multiple cpu faults)|(system.+state.+changed )|(\[timeout)|(PRM\|1\|D)|(kpr)|(kdp)|(train st.+moving)|(\|lc)|(penalty))"</v>
      </c>
      <c r="AG132" s="226" t="str">
        <f t="shared" si="68"/>
        <v>EC</v>
      </c>
      <c r="AH132" s="189" t="str">
        <f t="shared" si="47"/>
        <v>"%USERPROFILE%\Documents\GitHub\eaglep3\Utilities\RefineRTDCRunTimes.py" --tripid 218-15 --locoid 4031 --swversion DE.1.0.9.0 --startMP 204:232873 --initTime 2017-12-15T18:58:27 --startdatetime 2017-12-15T19:12:19 --delay 91 --endMP 204:232 --enddatetime 2017-12-15T19:51:13 --enforcementcount 0 &gt;&gt;%USERPROFILE%\Documents\GitHub\eaglep3-reporting\EC\2017-12-15-refined-times.txt</v>
      </c>
      <c r="AI132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{"issue":{"subject":"","project_id":79,"tracker_id":40,"status_id":1,"priority_id":2,"assigned_to_id":338,"start_date":"2017-12-15","description":"","custom_fields":[{"id":1,"name":"Subdivision","value":"EC"},{"id":4,"name":"Milepost","value":"0.0232"},{"id":17,"name":"Train ID","value":"218-15"},{"id":16,"name":"Locomotive ID","value":"4031"},{"id":130,"name":"Impact","value":""},{"id":150,"name":"Time of Event (Mountain Time)","value":"19:51:13"},{"id":151,"name":"Denver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180"/>
      <c r="AK132" s="188"/>
      <c r="AL132" s="188"/>
      <c r="AM132" s="193" t="str">
        <f t="shared" si="49"/>
        <v>start /low /b %USERPROFILE%\Documents\GitHub\eaglep3\Utilities\DownloadLogsFromS3.py --loco 4031 --day 2017-12-15</v>
      </c>
      <c r="AN132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02:51:13"},{"id":29,"name":"Sharepoint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87" t="str">
        <f t="shared" si="51"/>
        <v>https://d0f6bd738d7f1b3e5a7ca70fe4ff75f0.us-east-1.aws.found.io/app/kibana#/discover/Steve-Slow-Train-Analysis-(2080s-and-2083s)?_g=(refreshInterval:(display:Off,pause:!f,section:0,value:0),time:(from:'2017-12-15T17:58:27-0700',mode:absolute,to:'2017-12-15T20:51:13-0700'))&amp;_a=(columns:!('Message%20ID',Summary),filters:!(),index:'emp_*',interval:auto,query:(query_string:(analyze_wildcard:!t,query:'%22rtdc.l.rtdc.4031%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180" customFormat="1" x14ac:dyDescent="0.25">
      <c r="A133" s="186" t="s">
        <v>840</v>
      </c>
      <c r="B133" s="182">
        <v>4062</v>
      </c>
      <c r="C133" s="184" t="s">
        <v>192</v>
      </c>
      <c r="D133" s="184" t="s">
        <v>528</v>
      </c>
      <c r="E133" s="183">
        <v>43084.765659722223</v>
      </c>
      <c r="F133" s="183">
        <v>43084.771006944444</v>
      </c>
      <c r="G133" s="182">
        <v>118</v>
      </c>
      <c r="H133" s="184" t="s">
        <v>997</v>
      </c>
      <c r="I133" s="183">
        <v>43084.795034722221</v>
      </c>
      <c r="J133" s="182">
        <v>0</v>
      </c>
      <c r="K133" s="190" t="str">
        <f t="shared" si="63"/>
        <v>4061/4062</v>
      </c>
      <c r="L133" s="196" t="str">
        <f>VLOOKUP(A133,'Trips&amp;Operators'!$C$1:$G$99911,5,FALSE)</f>
        <v>ELBAUM MIKE</v>
      </c>
      <c r="M133" s="181">
        <f t="shared" si="64"/>
        <v>2.4027777777519077E-2</v>
      </c>
      <c r="N133" s="182">
        <f t="shared" si="70"/>
        <v>34.599999999627471</v>
      </c>
      <c r="O133" s="182"/>
      <c r="P133" s="182"/>
      <c r="Q133" s="185"/>
      <c r="R133" s="197"/>
      <c r="S133" s="241">
        <f t="shared" si="69"/>
        <v>1</v>
      </c>
      <c r="T133" s="220" t="str">
        <f t="shared" si="65"/>
        <v>NorthBound</v>
      </c>
      <c r="U133" s="22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21" t="str">
        <f t="shared" si="38"/>
        <v>https://d0f6bd738d7f1b3e5a7ca70fe4ff75f0.us-east-1.aws.found.io/app/kibana#/discover/Steve-Slow-Train-Analysis-(2080s-and-2083s)?_g=(refreshInterval:(display:Off,pause:!f,section:0,value:0),time:(from:'2017-12-15T17:22:33-0700',mode:absolute,to:'2017-12-15T20:04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3" s="222" t="str">
        <f>IF(AA133&lt;VLOOKUP(AG133,Variables!$AC$3:$AD$8,2,FALSE),"Y","N")</f>
        <v>N</v>
      </c>
      <c r="X133" s="222">
        <f t="shared" si="76"/>
        <v>1</v>
      </c>
      <c r="Y133" s="222">
        <f t="shared" si="77"/>
        <v>5.2200000000000003E-2</v>
      </c>
      <c r="Z133" s="222">
        <f t="shared" si="78"/>
        <v>23.327200000000001</v>
      </c>
      <c r="AA133" s="222">
        <f t="shared" si="66"/>
        <v>23.275000000000002</v>
      </c>
      <c r="AB133" s="231" t="e">
        <f>VLOOKUP(A133,Enforcements!$C$7:$K$9,8,0)</f>
        <v>#N/A</v>
      </c>
      <c r="AC133" s="231" t="e">
        <f>VLOOKUP(A133,Enforcements!$C$7:$E$9,3,0)</f>
        <v>#N/A</v>
      </c>
      <c r="AD133" s="232">
        <f t="shared" si="67"/>
        <v>219</v>
      </c>
      <c r="AE133" s="233" t="str">
        <f t="shared" si="44"/>
        <v>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 &amp; aws s3 cp s3://rtdc.mdm.uploadarchive.raw/RTDC4062/ "%USERPROFILE%\AppData\Local\Temp\OnboardLogs"\RTDC4062\2017-12-16 --exclude "*" --recursive --include "*20171216*" &amp; "%USERPROFILE%\Documents\GitHub\mrs-test-scripts\Headless Mode &amp; Sideloading\WalkAndUnGZ.bat" "%USERPROFILE%\AppData\Local\Temp\OnboardLogs"\RTDC4062\2017-12-16</v>
      </c>
      <c r="AF133" s="234" t="str">
        <f t="shared" si="45"/>
        <v>"C:\Program Files (x86)\AstroGrep\AstroGrep.exe" /e /r /s /spath="%USERPROFILE%\AppData\Local\Temp\OnboardLogs" /stypes="app*4062*20171216*" /stext=" 02:.+((SYSTEM_STATE.+slice.+state.+changed )|(ment ac)|(multiple cpu faults)|(system.+state.+changed )|(\[timeout)|(PRM\|1\|D)|(kpr)|(kdp)|(train st.+moving)|(\|lc)|(penalty))"</v>
      </c>
      <c r="AG133" s="226" t="str">
        <f t="shared" si="68"/>
        <v>EC</v>
      </c>
      <c r="AH133" s="189" t="str">
        <f t="shared" si="47"/>
        <v>"%USERPROFILE%\Documents\GitHub\eaglep3\Utilities\RefineRTDCRunTimes.py" --tripid 219-15 --locoid 4062 --swversion DE.1.0.9.0 --startMP 204:522 --initTime 2017-12-15T18:22:33 --startdatetime 2017-12-15T18:30:15 --delay 118 --endMP 204:233272 --enddatetime 2017-12-15T19:04:51 --enforcementcount 0 &gt;&gt;%USERPROFILE%\Documents\GitHub\eaglep3-reporting\EC\2017-12-15-refined-times.txt</v>
      </c>
      <c r="AI133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{"issue":{"subject":"","project_id":79,"tracker_id":40,"status_id":1,"priority_id":2,"assigned_to_id":338,"start_date":"2017-12-15","description":"","custom_fields":[{"id":1,"name":"Subdivision","value":"EC"},{"id":4,"name":"Milepost","value":"23.3272"},{"id":17,"name":"Train ID","value":"219-15"},{"id":16,"name":"Locomotive ID","value":"4062"},{"id":130,"name":"Impact","value":""},{"id":150,"name":"Time of Event (Mountain Time)","value":"19:04:51"},{"id":151,"name":"Denver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188"/>
      <c r="AL133" s="188"/>
      <c r="AM133" s="193" t="str">
        <f t="shared" si="49"/>
        <v>start /low /b %USERPROFILE%\Documents\GitHub\eaglep3\Utilities\DownloadLogsFromS3.py --loco 4062 --day 2017-12-15</v>
      </c>
      <c r="AN133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02:04:51"},{"id":29,"name":"Sharepoint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87" t="str">
        <f t="shared" si="51"/>
        <v>https://d0f6bd738d7f1b3e5a7ca70fe4ff75f0.us-east-1.aws.found.io/app/kibana#/discover/Steve-Slow-Train-Analysis-(2080s-and-2083s)?_g=(refreshInterval:(display:Off,pause:!f,section:0,value:0),time:(from:'2017-12-15T17:22:33-0700',mode:absolute,to:'2017-12-15T20:04:51-0700'))&amp;_a=(columns:!('Message%20ID',Summary),filters:!(),index:'emp_*',interval:auto,query:(query_string:(analyze_wildcard:!t,query:'%22rtdc.l.rtdc.4062%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186" t="s">
        <v>849</v>
      </c>
      <c r="B134" s="182">
        <v>4061</v>
      </c>
      <c r="C134" s="184" t="s">
        <v>192</v>
      </c>
      <c r="D134" s="184" t="s">
        <v>593</v>
      </c>
      <c r="E134" s="183">
        <v>43084.796319444446</v>
      </c>
      <c r="F134" s="183">
        <v>43084.810590277775</v>
      </c>
      <c r="G134" s="182">
        <v>80</v>
      </c>
      <c r="H134" s="184" t="s">
        <v>618</v>
      </c>
      <c r="I134" s="183">
        <v>43084.836157407408</v>
      </c>
      <c r="J134" s="182">
        <v>0</v>
      </c>
      <c r="K134" s="190" t="str">
        <f t="shared" si="63"/>
        <v>4061/4062</v>
      </c>
      <c r="L134" s="196" t="str">
        <f>VLOOKUP(A134,'Trips&amp;Operators'!$C$1:$G$99911,5,FALSE)</f>
        <v>ELBAUM MIKE</v>
      </c>
      <c r="M134" s="181">
        <f t="shared" si="64"/>
        <v>2.5567129632690921E-2</v>
      </c>
      <c r="N134" s="182">
        <f t="shared" si="70"/>
        <v>36.816666671074927</v>
      </c>
      <c r="O134" s="182"/>
      <c r="P134" s="182"/>
      <c r="Q134" s="185"/>
      <c r="R134" s="197"/>
      <c r="S134" s="241">
        <f t="shared" si="69"/>
        <v>1</v>
      </c>
      <c r="T134" s="220" t="str">
        <f t="shared" si="65"/>
        <v>Southbound</v>
      </c>
      <c r="U134" s="22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21" t="str">
        <f t="shared" si="38"/>
        <v>https://d0f6bd738d7f1b3e5a7ca70fe4ff75f0.us-east-1.aws.found.io/app/kibana#/discover/Steve-Slow-Train-Analysis-(2080s-and-2083s)?_g=(refreshInterval:(display:Off,pause:!f,section:0,value:0),time:(from:'2017-12-15T18:06:42-0700',mode:absolute,to:'2017-12-15T21:04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4" s="222" t="str">
        <f>IF(AA134&lt;VLOOKUP(AG134,Variables!$AC$3:$AD$8,2,FALSE),"Y","N")</f>
        <v>N</v>
      </c>
      <c r="X134" s="222">
        <f t="shared" si="76"/>
        <v>1</v>
      </c>
      <c r="Y134" s="222">
        <f t="shared" si="77"/>
        <v>23.295300000000001</v>
      </c>
      <c r="Z134" s="222">
        <f t="shared" si="78"/>
        <v>2.6200000000000001E-2</v>
      </c>
      <c r="AA134" s="222">
        <f t="shared" si="66"/>
        <v>23.269100000000002</v>
      </c>
      <c r="AB134" s="231" t="e">
        <f>VLOOKUP(A134,Enforcements!$C$7:$K$9,8,0)</f>
        <v>#N/A</v>
      </c>
      <c r="AC134" s="231" t="e">
        <f>VLOOKUP(A134,Enforcements!$C$7:$E$9,3,0)</f>
        <v>#N/A</v>
      </c>
      <c r="AD134" s="232">
        <f t="shared" si="67"/>
        <v>220</v>
      </c>
      <c r="AE134" s="233" t="str">
        <f t="shared" si="44"/>
        <v>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 &amp; aws s3 cp s3://rtdc.mdm.uploadarchive.raw/RTDC4061/ "%USERPROFILE%\AppData\Local\Temp\OnboardLogs"\RTDC4061\2017-12-16 --exclude "*" --recursive --include "*20171216*" &amp; "%USERPROFILE%\Documents\GitHub\mrs-test-scripts\Headless Mode &amp; Sideloading\WalkAndUnGZ.bat" "%USERPROFILE%\AppData\Local\Temp\OnboardLogs"\RTDC4061\2017-12-16</v>
      </c>
      <c r="AF134" s="234" t="str">
        <f t="shared" si="45"/>
        <v>"C:\Program Files (x86)\AstroGrep\AstroGrep.exe" /e /r /s /spath="%USERPROFILE%\AppData\Local\Temp\OnboardLogs" /stypes="app*4061*20171216*" /stext=" 03:.+((SYSTEM_STATE.+slice.+state.+changed )|(ment ac)|(multiple cpu faults)|(system.+state.+changed )|(\[timeout)|(PRM\|1\|D)|(kpr)|(kdp)|(train st.+moving)|(\|lc)|(penalty))"</v>
      </c>
      <c r="AG134" s="226" t="str">
        <f t="shared" si="68"/>
        <v>EC</v>
      </c>
      <c r="AH134" s="189" t="str">
        <f t="shared" si="47"/>
        <v>"%USERPROFILE%\Documents\GitHub\eaglep3\Utilities\RefineRTDCRunTimes.py" --tripid 220-15 --locoid 4061 --swversion DE.1.0.9.0 --startMP 204:232953 --initTime 2017-12-15T19:06:42 --startdatetime 2017-12-15T19:27:15 --delay 80 --endMP 204:262 --enddatetime 2017-12-15T20:04:04 --enforcementcount 0 &gt;&gt;%USERPROFILE%\Documents\GitHub\eaglep3-reporting\EC\2017-12-15-refined-times.txt</v>
      </c>
      <c r="AI134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{"issue":{"subject":"","project_id":79,"tracker_id":40,"status_id":1,"priority_id":2,"assigned_to_id":338,"start_date":"2017-12-15","description":"","custom_fields":[{"id":1,"name":"Subdivision","value":"EC"},{"id":4,"name":"Milepost","value":"0.0262"},{"id":17,"name":"Train ID","value":"220-15"},{"id":16,"name":"Locomotive ID","value":"4061"},{"id":130,"name":"Impact","value":""},{"id":150,"name":"Time of Event (Mountain Time)","value":"20:04:04"},{"id":151,"name":"Denver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180"/>
      <c r="AK134" s="188"/>
      <c r="AL134" s="188"/>
      <c r="AM134" s="193" t="str">
        <f t="shared" si="49"/>
        <v>start /low /b %USERPROFILE%\Documents\GitHub\eaglep3\Utilities\DownloadLogsFromS3.py --loco 4061 --day 2017-12-15</v>
      </c>
      <c r="AN134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03:04:04"},{"id":29,"name":"Sharepoint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87" t="str">
        <f t="shared" si="51"/>
        <v>https://d0f6bd738d7f1b3e5a7ca70fe4ff75f0.us-east-1.aws.found.io/app/kibana#/discover/Steve-Slow-Train-Analysis-(2080s-and-2083s)?_g=(refreshInterval:(display:Off,pause:!f,section:0,value:0),time:(from:'2017-12-15T18:06:42-0700',mode:absolute,to:'2017-12-15T21:04:04-0700'))&amp;_a=(columns:!('Message%20ID',Summary),filters:!(),index:'emp_*',interval:auto,query:(query_string:(analyze_wildcard:!t,query:'%22rtdc.l.rtdc.4061%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180" customFormat="1" x14ac:dyDescent="0.25">
      <c r="A135" s="186" t="s">
        <v>845</v>
      </c>
      <c r="B135" s="182">
        <v>4004</v>
      </c>
      <c r="C135" s="184" t="s">
        <v>192</v>
      </c>
      <c r="D135" s="184" t="s">
        <v>507</v>
      </c>
      <c r="E135" s="183">
        <v>43084.787777777776</v>
      </c>
      <c r="F135" s="183">
        <v>43084.791967592595</v>
      </c>
      <c r="G135" s="182">
        <v>85</v>
      </c>
      <c r="H135" s="184" t="s">
        <v>453</v>
      </c>
      <c r="I135" s="183">
        <v>43084.817800925928</v>
      </c>
      <c r="J135" s="182">
        <v>0</v>
      </c>
      <c r="K135" s="190" t="str">
        <f t="shared" si="63"/>
        <v>4003/4004</v>
      </c>
      <c r="L135" s="196" t="str">
        <f>VLOOKUP(A135,'Trips&amp;Operators'!$C$1:$G$99911,5,FALSE)</f>
        <v>ANDERS STEVEN</v>
      </c>
      <c r="M135" s="181">
        <f t="shared" si="64"/>
        <v>2.5833333333139308E-2</v>
      </c>
      <c r="N135" s="182">
        <f t="shared" si="70"/>
        <v>37.199999999720603</v>
      </c>
      <c r="O135" s="182"/>
      <c r="P135" s="182"/>
      <c r="Q135" s="185"/>
      <c r="R135" s="197"/>
      <c r="S135" s="241">
        <f t="shared" si="69"/>
        <v>1</v>
      </c>
      <c r="T135" s="220" t="str">
        <f t="shared" si="65"/>
        <v>NorthBound</v>
      </c>
      <c r="U135" s="22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21" t="str">
        <f t="shared" si="38"/>
        <v>https://d0f6bd738d7f1b3e5a7ca70fe4ff75f0.us-east-1.aws.found.io/app/kibana#/discover/Steve-Slow-Train-Analysis-(2080s-and-2083s)?_g=(refreshInterval:(display:Off,pause:!f,section:0,value:0),time:(from:'2017-12-15T17:54:24-0700',mode:absolute,to:'2017-12-15T20:37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5" s="222" t="str">
        <f>IF(AA135&lt;VLOOKUP(AG135,Variables!$AC$3:$AD$8,2,FALSE),"Y","N")</f>
        <v>N</v>
      </c>
      <c r="X135" s="222">
        <f t="shared" ref="X135:X148" si="79">VALUE(LEFT(AD135,4))-VALUE(LEFT(AD134,4))</f>
        <v>1</v>
      </c>
      <c r="Y135" s="222">
        <f t="shared" si="77"/>
        <v>5.2900000000000003E-2</v>
      </c>
      <c r="Z135" s="222">
        <f t="shared" si="78"/>
        <v>23.3264</v>
      </c>
      <c r="AA135" s="222">
        <f t="shared" si="66"/>
        <v>23.273499999999999</v>
      </c>
      <c r="AB135" s="231" t="e">
        <f>VLOOKUP(A135,Enforcements!$C$7:$K$9,8,0)</f>
        <v>#N/A</v>
      </c>
      <c r="AC135" s="231" t="e">
        <f>VLOOKUP(A135,Enforcements!$C$7:$E$9,3,0)</f>
        <v>#N/A</v>
      </c>
      <c r="AD135" s="232">
        <f t="shared" si="67"/>
        <v>221</v>
      </c>
      <c r="AE135" s="233" t="str">
        <f t="shared" si="44"/>
        <v>aws s3 cp s3://rtdc.mdm.uploadarchive.raw/RTDC4004/ "%USERPROFILE%\AppData\Local\Temp\OnboardLogs"\RTDC4004\2017-12-15 --exclude "*" --recursive --include "*20171215*" &amp; "%USERPROFILE%\Documents\GitHub\mrs-test-scripts\Headless Mode &amp; Sideloading\WalkAndUnGZ.bat" "%USERPROFILE%\AppData\Local\Temp\OnboardLogs"\RTDC4004\2017-12-15 &amp; aws s3 cp s3://rtdc.mdm.uploadarchive.raw/RTDC4004/ "%USERPROFILE%\AppData\Local\Temp\OnboardLogs"\RTDC4004\2017-12-16 --exclude "*" --recursive --include "*20171216*" &amp; "%USERPROFILE%\Documents\GitHub\mrs-test-scripts\Headless Mode &amp; Sideloading\WalkAndUnGZ.bat" "%USERPROFILE%\AppData\Local\Temp\OnboardLogs"\RTDC4004\2017-12-16</v>
      </c>
      <c r="AF135" s="234" t="str">
        <f t="shared" si="45"/>
        <v>"C:\Program Files (x86)\AstroGrep\AstroGrep.exe" /e /r /s /spath="%USERPROFILE%\AppData\Local\Temp\OnboardLogs" /stypes="app*4004*20171216*" /stext=" 02:.+((SYSTEM_STATE.+slice.+state.+changed )|(ment ac)|(multiple cpu faults)|(system.+state.+changed )|(\[timeout)|(PRM\|1\|D)|(kpr)|(kdp)|(train st.+moving)|(\|lc)|(penalty))"</v>
      </c>
      <c r="AG135" s="226" t="str">
        <f t="shared" si="68"/>
        <v>EC</v>
      </c>
      <c r="AH135" s="189" t="str">
        <f t="shared" si="47"/>
        <v>"%USERPROFILE%\Documents\GitHub\eaglep3\Utilities\RefineRTDCRunTimes.py" --tripid 221-15 --locoid 4004 --swversion DE.1.0.9.0 --startMP 204:529 --initTime 2017-12-15T18:54:24 --startdatetime 2017-12-15T19:00:26 --delay 85 --endMP 204:233264 --enddatetime 2017-12-15T19:37:38 --enforcementcount 0 &gt;&gt;%USERPROFILE%\Documents\GitHub\eaglep3-reporting\EC\2017-12-15-refined-times.txt</v>
      </c>
      <c r="AI135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{"issue":{"subject":"","project_id":79,"tracker_id":40,"status_id":1,"priority_id":2,"assigned_to_id":338,"start_date":"2017-12-15","description":"","custom_fields":[{"id":1,"name":"Subdivision","value":"EC"},{"id":4,"name":"Milepost","value":"23.3264"},{"id":17,"name":"Train ID","value":"221-15"},{"id":16,"name":"Locomotive ID","value":"4004"},{"id":130,"name":"Impact","value":""},{"id":150,"name":"Time of Event (Mountain Time)","value":"19:37:38"},{"id":151,"name":"Denver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188"/>
      <c r="AL135" s="188"/>
      <c r="AM135" s="193" t="str">
        <f t="shared" si="49"/>
        <v>start /low /b %USERPROFILE%\Documents\GitHub\eaglep3\Utilities\DownloadLogsFromS3.py --loco 4004 --day 2017-12-15</v>
      </c>
      <c r="AN135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02:37:38"},{"id":29,"name":"Sharepoint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87" t="str">
        <f t="shared" si="51"/>
        <v>https://d0f6bd738d7f1b3e5a7ca70fe4ff75f0.us-east-1.aws.found.io/app/kibana#/discover/Steve-Slow-Train-Analysis-(2080s-and-2083s)?_g=(refreshInterval:(display:Off,pause:!f,section:0,value:0),time:(from:'2017-12-15T17:54:24-0700',mode:absolute,to:'2017-12-15T20:37:38-0700'))&amp;_a=(columns:!('Message%20ID',Summary),filters:!(),index:'emp_*',interval:auto,query:(query_string:(analyze_wildcard:!t,query:'%22rtdc.l.rtdc.4004%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180" customFormat="1" x14ac:dyDescent="0.25">
      <c r="A136" s="186" t="s">
        <v>675</v>
      </c>
      <c r="B136" s="182">
        <v>4003</v>
      </c>
      <c r="C136" s="184" t="s">
        <v>192</v>
      </c>
      <c r="D136" s="184" t="s">
        <v>953</v>
      </c>
      <c r="E136" s="183">
        <v>43084.830625000002</v>
      </c>
      <c r="F136" s="183">
        <v>43084.843865740739</v>
      </c>
      <c r="G136" s="182">
        <v>66</v>
      </c>
      <c r="H136" s="184" t="s">
        <v>998</v>
      </c>
      <c r="I136" s="183">
        <v>43084.860300925924</v>
      </c>
      <c r="J136" s="182">
        <v>0</v>
      </c>
      <c r="K136" s="190" t="str">
        <f t="shared" si="63"/>
        <v>4003/4004</v>
      </c>
      <c r="L136" s="196" t="str">
        <f>VLOOKUP(A136,'Trips&amp;Operators'!$C$1:$G$99911,5,FALSE)</f>
        <v>ANDERS STEVEN</v>
      </c>
      <c r="M136" s="181">
        <f t="shared" si="64"/>
        <v>1.6435185185400769E-2</v>
      </c>
      <c r="N136" s="182"/>
      <c r="O136" s="182"/>
      <c r="P136" s="182"/>
      <c r="Q136" s="185"/>
      <c r="R136" s="197"/>
      <c r="S136" s="241"/>
      <c r="T136" s="220" t="str">
        <f t="shared" si="65"/>
        <v>Southbound</v>
      </c>
      <c r="U136" s="22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0</v>
      </c>
      <c r="V136" s="221" t="str">
        <f t="shared" si="38"/>
        <v>https://d0f6bd738d7f1b3e5a7ca70fe4ff75f0.us-east-1.aws.found.io/app/kibana#/discover/Steve-Slow-Train-Analysis-(2080s-and-2083s)?_g=(refreshInterval:(display:Off,pause:!f,section:0,value:0),time:(from:'2017-12-15T18:56:06-0700',mode:absolute,to:'2017-12-15T21:38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6" s="222" t="str">
        <f>IF(AA136&lt;VLOOKUP(AG136,Variables!$AC$3:$AD$8,2,FALSE),"Y","N")</f>
        <v>Y</v>
      </c>
      <c r="X136" s="222">
        <f t="shared" si="79"/>
        <v>1</v>
      </c>
      <c r="Y136" s="222">
        <f t="shared" si="77"/>
        <v>23.294899999999998</v>
      </c>
      <c r="Z136" s="222">
        <f t="shared" si="78"/>
        <v>22.154199999999999</v>
      </c>
      <c r="AA136" s="222">
        <f t="shared" si="66"/>
        <v>1.1406999999999989</v>
      </c>
      <c r="AB136" s="231" t="e">
        <f>VLOOKUP(A136,Enforcements!$C$7:$K$9,8,0)</f>
        <v>#N/A</v>
      </c>
      <c r="AC136" s="231" t="e">
        <f>VLOOKUP(A136,Enforcements!$C$7:$E$9,3,0)</f>
        <v>#N/A</v>
      </c>
      <c r="AD136" s="232">
        <f t="shared" si="67"/>
        <v>222</v>
      </c>
      <c r="AE136" s="233" t="str">
        <f t="shared" si="44"/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AF136" s="234" t="str">
        <f t="shared" si="45"/>
        <v>"C:\Program Files (x86)\AstroGrep\AstroGrep.exe" /e /r /s /spath="%USERPROFILE%\AppData\Local\Temp\OnboardLogs" /stypes="app*4003*20171216*" /stext=" 03:.+((SYSTEM_STATE.+slice.+state.+changed )|(ment ac)|(multiple cpu faults)|(system.+state.+changed )|(\[timeout)|(PRM\|1\|D)|(kpr)|(kdp)|(train st.+moving)|(\|lc)|(penalty))"</v>
      </c>
      <c r="AG136" s="226" t="str">
        <f t="shared" si="68"/>
        <v>EC</v>
      </c>
      <c r="AH136" s="189" t="str">
        <f t="shared" si="47"/>
        <v>"%USERPROFILE%\Documents\GitHub\eaglep3\Utilities\RefineRTDCRunTimes.py" --tripid 222-15 --locoid 4003 --swversion DE.1.0.9.0 --startMP 204:232949 --initTime 2017-12-15T19:56:06 --startdatetime 2017-12-15T20:15:10 --delay 66 --endMP 204:221542 --enddatetime 2017-12-15T20:38:50 --enforcementcount 0 &gt;&gt;%USERPROFILE%\Documents\GitHub\eaglep3-reporting\EC\2017-12-15-refined-times.txt</v>
      </c>
      <c r="AI136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{"issue":{"subject":"","project_id":79,"tracker_id":40,"status_id":1,"priority_id":2,"assigned_to_id":338,"start_date":"2017-12-15","description":"","custom_fields":[{"id":1,"name":"Subdivision","value":"EC"},{"id":4,"name":"Milepost","value":"22.1542"},{"id":17,"name":"Train ID","value":"222-15"},{"id":16,"name":"Locomotive ID","value":"4003"},{"id":130,"name":"Impact","value":""},{"id":150,"name":"Time of Event (Mountain Time)","value":"20:38:50"},{"id":151,"name":"Denver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188"/>
      <c r="AL136" s="188"/>
      <c r="AM136" s="193" t="str">
        <f t="shared" si="49"/>
        <v>start /low /b %USERPROFILE%\Documents\GitHub\eaglep3\Utilities\DownloadLogsFromS3.py --loco 4003 --day 2017-12-15</v>
      </c>
      <c r="AN136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03:38:50"},{"id":29,"name":"Sharepoint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87" t="str">
        <f t="shared" si="51"/>
        <v>https://d0f6bd738d7f1b3e5a7ca70fe4ff75f0.us-east-1.aws.found.io/app/kibana#/discover/Steve-Slow-Train-Analysis-(2080s-and-2083s)?_g=(refreshInterval:(display:Off,pause:!f,section:0,value:0),time:(from:'2017-12-15T18:56:06-0700',mode:absolute,to:'2017-12-15T21:38:50-0700'))&amp;_a=(columns:!('Message%20ID',Summary),filters:!(),index:'emp_*',interval:auto,query:(query_string:(analyze_wildcard:!t,query:'%22rtdc.l.rtdc.4003%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186" t="s">
        <v>675</v>
      </c>
      <c r="B137" s="182">
        <v>4003</v>
      </c>
      <c r="C137" s="184" t="s">
        <v>192</v>
      </c>
      <c r="D137" s="184" t="s">
        <v>609</v>
      </c>
      <c r="E137" s="183">
        <v>43084.842939814815</v>
      </c>
      <c r="F137" s="183">
        <v>43084.843865740739</v>
      </c>
      <c r="G137" s="182">
        <v>39</v>
      </c>
      <c r="H137" s="184" t="s">
        <v>999</v>
      </c>
      <c r="I137" s="183">
        <v>43084.860300925924</v>
      </c>
      <c r="J137" s="182">
        <v>0</v>
      </c>
      <c r="K137" s="190" t="str">
        <f t="shared" si="63"/>
        <v>4003/4004</v>
      </c>
      <c r="L137" s="196" t="str">
        <f>VLOOKUP(A137,'Trips&amp;Operators'!$C$1:$G$99911,5,FALSE)</f>
        <v>ANDERS STEVEN</v>
      </c>
      <c r="M137" s="181">
        <f t="shared" si="64"/>
        <v>1.6435185185400769E-2</v>
      </c>
      <c r="N137" s="182"/>
      <c r="O137" s="182"/>
      <c r="P137" s="182">
        <f>24*60*SUM($M137:$M137)</f>
        <v>23.666666666977108</v>
      </c>
      <c r="Q137" s="185"/>
      <c r="R137" s="197" t="s">
        <v>438</v>
      </c>
      <c r="S137" s="241">
        <f t="shared" ref="S137:S180" si="80">1/IF(AG137="EC",12,1)*SUM(U137:U137)</f>
        <v>1</v>
      </c>
      <c r="T137" s="220" t="str">
        <f t="shared" si="65"/>
        <v>Southbound</v>
      </c>
      <c r="U137" s="22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21" t="str">
        <f t="shared" si="38"/>
        <v>https://d0f6bd738d7f1b3e5a7ca70fe4ff75f0.us-east-1.aws.found.io/app/kibana#/discover/Steve-Slow-Train-Analysis-(2080s-and-2083s)?_g=(refreshInterval:(display:Off,pause:!f,section:0,value:0),time:(from:'2017-12-15T19:13:50-0700',mode:absolute,to:'2017-12-15T21:38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7" s="222" t="str">
        <f>IF(AA137&lt;VLOOKUP(AG137,Variables!$AC$3:$AD$8,2,FALSE),"Y","N")</f>
        <v>Y</v>
      </c>
      <c r="X137" s="222">
        <f t="shared" si="79"/>
        <v>0</v>
      </c>
      <c r="Y137" s="222">
        <f t="shared" si="77"/>
        <v>12.7849</v>
      </c>
      <c r="Z137" s="222">
        <f t="shared" si="78"/>
        <v>2.3099999999999999E-2</v>
      </c>
      <c r="AA137" s="222">
        <f t="shared" si="66"/>
        <v>12.761800000000001</v>
      </c>
      <c r="AB137" s="231" t="e">
        <f>VLOOKUP(A137,Enforcements!$C$7:$K$9,8,0)</f>
        <v>#N/A</v>
      </c>
      <c r="AC137" s="231" t="e">
        <f>VLOOKUP(A137,Enforcements!$C$7:$E$9,3,0)</f>
        <v>#N/A</v>
      </c>
      <c r="AD137" s="232">
        <f t="shared" si="67"/>
        <v>222</v>
      </c>
      <c r="AE137" s="233" t="str">
        <f t="shared" si="44"/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AF137" s="234" t="str">
        <f t="shared" si="45"/>
        <v>"C:\Program Files (x86)\AstroGrep\AstroGrep.exe" /e /r /s /spath="%USERPROFILE%\AppData\Local\Temp\OnboardLogs" /stypes="app*4003*20171216*" /stext=" 03:.+((SYSTEM_STATE.+slice.+state.+changed )|(ment ac)|(multiple cpu faults)|(system.+state.+changed )|(\[timeout)|(PRM\|1\|D)|(kpr)|(kdp)|(train st.+moving)|(\|lc)|(penalty))"</v>
      </c>
      <c r="AG137" s="226" t="str">
        <f t="shared" si="68"/>
        <v>EC</v>
      </c>
      <c r="AH137" s="189" t="str">
        <f t="shared" si="47"/>
        <v>"%USERPROFILE%\Documents\GitHub\eaglep3\Utilities\RefineRTDCRunTimes.py" --tripid 222-15 --locoid 4003 --swversion DE.1.0.9.0 --startMP 204:127849 --initTime 2017-12-15T20:13:50 --startdatetime 2017-12-15T20:15:10 --delay 39 --endMP 204:231 --enddatetime 2017-12-15T20:38:50 --enforcementcount 0 &gt;&gt;%USERPROFILE%\Documents\GitHub\eaglep3-reporting\EC\2017-12-15-refined-times.txt</v>
      </c>
      <c r="AI137" s="191" t="str">
        <f t="shared" si="48"/>
        <v>echo {"issue":{"subject":"Wi-MAX data drop","project_id":79,"tracker_id":40,"status_id":1,"priority_id":2,"assigned_to_id":338,"start_date":"2017-12-15","description":"","custom_fields":[{"id":1,"name":"Subdivision","value":"EC"},{"id":4,"name":"Milepost","value":"0.0231"},{"id":17,"name":"Train ID","value":"222-15"},{"id":16,"name":"Locomotive ID","value":"4003"},{"id":130,"name":"Impact","value":""},{"id":150,"name":"Time of Event (Mountain Time)","value":"20:38:50"},{"id":151,"name":"Denver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180"/>
      <c r="AK137" s="188"/>
      <c r="AL137" s="188"/>
      <c r="AM137" s="193" t="str">
        <f t="shared" si="49"/>
        <v>start /low /b %USERPROFILE%\Documents\GitHub\eaglep3\Utilities\DownloadLogsFromS3.py --loco 4003 --day 2017-12-15</v>
      </c>
      <c r="AN137" s="194" t="str">
        <f t="shared" si="50"/>
        <v>echo {"issue":{"subject":"Wi-MAX data drop","project_id":30,"tracker_id":4,"status_id":1,"priority_id":1,"assigned_to_id":10,"start_date":"2017-12-16","description":"","custom_fields":[{"id":30,"name":"Category","value":"Issue"},{"id":3,"name":"Functional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03:38:50"},{"id":29,"name":"Sharepoint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87" t="str">
        <f t="shared" si="51"/>
        <v>https://d0f6bd738d7f1b3e5a7ca70fe4ff75f0.us-east-1.aws.found.io/app/kibana#/discover/Steve-Slow-Train-Analysis-(2080s-and-2083s)?_g=(refreshInterval:(display:Off,pause:!f,section:0,value:0),time:(from:'2017-12-15T19:13:50-0700',mode:absolute,to:'2017-12-15T21:38:50-0700'))&amp;_a=(columns:!('Message%20ID',Summary),filters:!(),index:'emp_*',interval:auto,query:(query_string:(analyze_wildcard:!t,query:'%22rtdc.l.rtdc.4003%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180" customFormat="1" x14ac:dyDescent="0.25">
      <c r="A138" s="186" t="s">
        <v>851</v>
      </c>
      <c r="B138" s="182">
        <v>4044</v>
      </c>
      <c r="C138" s="184" t="s">
        <v>192</v>
      </c>
      <c r="D138" s="184" t="s">
        <v>1000</v>
      </c>
      <c r="E138" s="183">
        <v>43084.807696759257</v>
      </c>
      <c r="F138" s="183">
        <v>43084.812673611108</v>
      </c>
      <c r="G138" s="182">
        <v>76</v>
      </c>
      <c r="H138" s="184" t="s">
        <v>622</v>
      </c>
      <c r="I138" s="183">
        <v>43084.836851851855</v>
      </c>
      <c r="J138" s="182">
        <v>0</v>
      </c>
      <c r="K138" s="190" t="str">
        <f t="shared" si="63"/>
        <v>4043/4044</v>
      </c>
      <c r="L138" s="196" t="str">
        <f>VLOOKUP(A138,'Trips&amp;Operators'!$C$1:$G$99911,5,FALSE)</f>
        <v>ZEWDU DEREJE</v>
      </c>
      <c r="M138" s="181">
        <f t="shared" si="64"/>
        <v>2.4178240746550728E-2</v>
      </c>
      <c r="N138" s="182">
        <f t="shared" ref="N138:N160" si="81">24*60*SUM($M138:$M138)</f>
        <v>34.816666675033048</v>
      </c>
      <c r="O138" s="182"/>
      <c r="P138" s="182"/>
      <c r="Q138" s="185"/>
      <c r="R138" s="197"/>
      <c r="S138" s="241">
        <f t="shared" si="80"/>
        <v>1</v>
      </c>
      <c r="T138" s="220" t="str">
        <f t="shared" si="65"/>
        <v>NorthBound</v>
      </c>
      <c r="U138" s="22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21" t="str">
        <f t="shared" si="38"/>
        <v>https://d0f6bd738d7f1b3e5a7ca70fe4ff75f0.us-east-1.aws.found.io/app/kibana#/discover/Steve-Slow-Train-Analysis-(2080s-and-2083s)?_g=(refreshInterval:(display:Off,pause:!f,section:0,value:0),time:(from:'2017-12-15T18:23:05-0700',mode:absolute,to:'2017-12-15T21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8" s="222" t="str">
        <f>IF(AA138&lt;VLOOKUP(AG138,Variables!$AC$3:$AD$8,2,FALSE),"Y","N")</f>
        <v>N</v>
      </c>
      <c r="X138" s="222">
        <f t="shared" si="79"/>
        <v>1</v>
      </c>
      <c r="Y138" s="222">
        <f t="shared" si="77"/>
        <v>5.0900000000000001E-2</v>
      </c>
      <c r="Z138" s="222">
        <f t="shared" si="78"/>
        <v>23.319500000000001</v>
      </c>
      <c r="AA138" s="222">
        <f t="shared" si="66"/>
        <v>23.268600000000003</v>
      </c>
      <c r="AB138" s="231" t="e">
        <f>VLOOKUP(A138,Enforcements!$C$7:$K$9,8,0)</f>
        <v>#N/A</v>
      </c>
      <c r="AC138" s="231" t="e">
        <f>VLOOKUP(A138,Enforcements!$C$7:$E$9,3,0)</f>
        <v>#N/A</v>
      </c>
      <c r="AD138" s="232">
        <f t="shared" si="67"/>
        <v>223</v>
      </c>
      <c r="AE138" s="233" t="str">
        <f t="shared" si="44"/>
        <v>aws s3 cp s3://rtdc.mdm.uploadarchive.raw/RTDC4044/ "%USERPROFILE%\AppData\Local\Temp\OnboardLogs"\RTDC4044\2017-12-15 --exclude "*" --recursive --include "*20171215*" &amp; "%USERPROFILE%\Documents\GitHub\mrs-test-scripts\Headless Mode &amp; Sideloading\WalkAndUnGZ.bat" "%USERPROFILE%\AppData\Local\Temp\OnboardLogs"\RTDC4044\2017-12-15 &amp; aws s3 cp s3://rtdc.mdm.uploadarchive.raw/RTDC4044/ "%USERPROFILE%\AppData\Local\Temp\OnboardLogs"\RTDC4044\2017-12-16 --exclude "*" --recursive --include "*20171216*" &amp; "%USERPROFILE%\Documents\GitHub\mrs-test-scripts\Headless Mode &amp; Sideloading\WalkAndUnGZ.bat" "%USERPROFILE%\AppData\Local\Temp\OnboardLogs"\RTDC4044\2017-12-16</v>
      </c>
      <c r="AF138" s="234" t="str">
        <f t="shared" si="45"/>
        <v>"C:\Program Files (x86)\AstroGrep\AstroGrep.exe" /e /r /s /spath="%USERPROFILE%\AppData\Local\Temp\OnboardLogs" /stypes="app*4044*20171216*" /stext=" 03:.+((SYSTEM_STATE.+slice.+state.+changed )|(ment ac)|(multiple cpu faults)|(system.+state.+changed )|(\[timeout)|(PRM\|1\|D)|(kpr)|(kdp)|(train st.+moving)|(\|lc)|(penalty))"</v>
      </c>
      <c r="AG138" s="226" t="str">
        <f t="shared" si="68"/>
        <v>EC</v>
      </c>
      <c r="AH138" s="189" t="str">
        <f t="shared" si="47"/>
        <v>"%USERPROFILE%\Documents\GitHub\eaglep3\Utilities\RefineRTDCRunTimes.py" --tripid 223-15 --locoid 4044 --swversion DE.1.0.9.0 --startMP 204:509 --initTime 2017-12-15T19:23:05 --startdatetime 2017-12-15T19:30:15 --delay 76 --endMP 204:233195 --enddatetime 2017-12-15T20:05:04 --enforcementcount 0 &gt;&gt;%USERPROFILE%\Documents\GitHub\eaglep3-reporting\EC\2017-12-15-refined-times.txt</v>
      </c>
      <c r="AI138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{"issue":{"subject":"","project_id":79,"tracker_id":40,"status_id":1,"priority_id":2,"assigned_to_id":338,"start_date":"2017-12-15","description":"","custom_fields":[{"id":1,"name":"Subdivision","value":"EC"},{"id":4,"name":"Milepost","value":"23.3195"},{"id":17,"name":"Train ID","value":"223-15"},{"id":16,"name":"Locomotive ID","value":"4044"},{"id":130,"name":"Impact","value":""},{"id":150,"name":"Time of Event (Mountain Time)","value":"20:05:04"},{"id":151,"name":"Denver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188"/>
      <c r="AL138" s="188"/>
      <c r="AM138" s="193" t="str">
        <f t="shared" si="49"/>
        <v>start /low /b %USERPROFILE%\Documents\GitHub\eaglep3\Utilities\DownloadLogsFromS3.py --loco 4044 --day 2017-12-15</v>
      </c>
      <c r="AN138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03:05:04"},{"id":29,"name":"Sharepoint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87" t="str">
        <f t="shared" si="51"/>
        <v>https://d0f6bd738d7f1b3e5a7ca70fe4ff75f0.us-east-1.aws.found.io/app/kibana#/discover/Steve-Slow-Train-Analysis-(2080s-and-2083s)?_g=(refreshInterval:(display:Off,pause:!f,section:0,value:0),time:(from:'2017-12-15T18:23:05-0700',mode:absolute,to:'2017-12-15T21:05:04-0700'))&amp;_a=(columns:!('Message%20ID',Summary),filters:!(),index:'emp_*',interval:auto,query:(query_string:(analyze_wildcard:!t,query:'%22rtdc.l.rtdc.4044%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186" t="s">
        <v>857</v>
      </c>
      <c r="B139" s="182">
        <v>4043</v>
      </c>
      <c r="C139" s="184" t="s">
        <v>192</v>
      </c>
      <c r="D139" s="184" t="s">
        <v>603</v>
      </c>
      <c r="E139" s="183">
        <v>43084.849907407406</v>
      </c>
      <c r="F139" s="183">
        <v>43084.852384259262</v>
      </c>
      <c r="G139" s="182">
        <v>80</v>
      </c>
      <c r="H139" s="184" t="s">
        <v>499</v>
      </c>
      <c r="I139" s="183">
        <v>43084.878668981481</v>
      </c>
      <c r="J139" s="182">
        <v>0</v>
      </c>
      <c r="K139" s="190" t="str">
        <f t="shared" si="63"/>
        <v>4043/4044</v>
      </c>
      <c r="L139" s="196" t="str">
        <f>VLOOKUP(A139,'Trips&amp;Operators'!$C$1:$G$99911,5,FALSE)</f>
        <v>ZEWDU DEREJE</v>
      </c>
      <c r="M139" s="181">
        <f t="shared" si="64"/>
        <v>2.6284722218406387E-2</v>
      </c>
      <c r="N139" s="182">
        <f t="shared" si="81"/>
        <v>37.849999994505197</v>
      </c>
      <c r="O139" s="182"/>
      <c r="P139" s="182"/>
      <c r="Q139" s="185"/>
      <c r="R139" s="197"/>
      <c r="S139" s="241">
        <f t="shared" si="80"/>
        <v>1</v>
      </c>
      <c r="T139" s="220" t="str">
        <f t="shared" si="65"/>
        <v>Southbound</v>
      </c>
      <c r="U139" s="22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21" t="str">
        <f t="shared" si="38"/>
        <v>https://d0f6bd738d7f1b3e5a7ca70fe4ff75f0.us-east-1.aws.found.io/app/kibana#/discover/Steve-Slow-Train-Analysis-(2080s-and-2083s)?_g=(refreshInterval:(display:Off,pause:!f,section:0,value:0),time:(from:'2017-12-15T19:23:52-0700',mode:absolute,to:'2017-12-15T22:05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9" s="222" t="str">
        <f>IF(AA139&lt;VLOOKUP(AG139,Variables!$AC$3:$AD$8,2,FALSE),"Y","N")</f>
        <v>N</v>
      </c>
      <c r="X139" s="222">
        <f t="shared" si="79"/>
        <v>1</v>
      </c>
      <c r="Y139" s="222">
        <f t="shared" si="77"/>
        <v>23.290500000000002</v>
      </c>
      <c r="Z139" s="222">
        <f t="shared" si="78"/>
        <v>2.4500000000000001E-2</v>
      </c>
      <c r="AA139" s="222">
        <f t="shared" si="66"/>
        <v>23.266000000000002</v>
      </c>
      <c r="AB139" s="231" t="e">
        <f>VLOOKUP(A139,Enforcements!$C$7:$K$9,8,0)</f>
        <v>#N/A</v>
      </c>
      <c r="AC139" s="231" t="e">
        <f>VLOOKUP(A139,Enforcements!$C$7:$E$9,3,0)</f>
        <v>#N/A</v>
      </c>
      <c r="AD139" s="232">
        <f t="shared" si="67"/>
        <v>224</v>
      </c>
      <c r="AE139" s="233" t="str">
        <f t="shared" si="44"/>
        <v>aws s3 cp s3://rtdc.mdm.uploadarchive.raw/RTDC4043/ "%USERPROFILE%\AppData\Local\Temp\OnboardLogs"\RTDC4043\2017-12-15 --exclude "*" --recursive --include "*20171215*" &amp; "%USERPROFILE%\Documents\GitHub\mrs-test-scripts\Headless Mode &amp; Sideloading\WalkAndUnGZ.bat" "%USERPROFILE%\AppData\Local\Temp\OnboardLogs"\RTDC4043\2017-12-15 &amp; aws s3 cp s3://rtdc.mdm.uploadarchive.raw/RTDC4043/ "%USERPROFILE%\AppData\Local\Temp\OnboardLogs"\RTDC4043\2017-12-16 --exclude "*" --recursive --include "*20171216*" &amp; "%USERPROFILE%\Documents\GitHub\mrs-test-scripts\Headless Mode &amp; Sideloading\WalkAndUnGZ.bat" "%USERPROFILE%\AppData\Local\Temp\OnboardLogs"\RTDC4043\2017-12-16</v>
      </c>
      <c r="AF139" s="234" t="str">
        <f t="shared" si="45"/>
        <v>"C:\Program Files (x86)\AstroGrep\AstroGrep.exe" /e /r /s /spath="%USERPROFILE%\AppData\Local\Temp\OnboardLogs" /stypes="app*4043*20171216*" /stext=" 04:.+((SYSTEM_STATE.+slice.+state.+changed )|(ment ac)|(multiple cpu faults)|(system.+state.+changed )|(\[timeout)|(PRM\|1\|D)|(kpr)|(kdp)|(train st.+moving)|(\|lc)|(penalty))"</v>
      </c>
      <c r="AG139" s="226" t="str">
        <f t="shared" si="68"/>
        <v>EC</v>
      </c>
      <c r="AH139" s="189" t="str">
        <f t="shared" si="47"/>
        <v>"%USERPROFILE%\Documents\GitHub\eaglep3\Utilities\RefineRTDCRunTimes.py" --tripid 224-15 --locoid 4043 --swversion DE.1.0.9.0 --startMP 204:232905 --initTime 2017-12-15T20:23:52 --startdatetime 2017-12-15T20:27:26 --delay 80 --endMP 204:245 --enddatetime 2017-12-15T21:05:17 --enforcementcount 0 &gt;&gt;%USERPROFILE%\Documents\GitHub\eaglep3-reporting\EC\2017-12-15-refined-times.txt</v>
      </c>
      <c r="AI139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{"issue":{"subject":"","project_id":79,"tracker_id":40,"status_id":1,"priority_id":2,"assigned_to_id":338,"start_date":"2017-12-15","description":"","custom_fields":[{"id":1,"name":"Subdivision","value":"EC"},{"id":4,"name":"Milepost","value":"0.0245"},{"id":17,"name":"Train ID","value":"224-15"},{"id":16,"name":"Locomotive ID","value":"4043"},{"id":130,"name":"Impact","value":""},{"id":150,"name":"Time of Event (Mountain Time)","value":"21:05:17"},{"id":151,"name":"Denver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180"/>
      <c r="AK139" s="188"/>
      <c r="AL139" s="188"/>
      <c r="AM139" s="193" t="str">
        <f t="shared" si="49"/>
        <v>start /low /b %USERPROFILE%\Documents\GitHub\eaglep3\Utilities\DownloadLogsFromS3.py --loco 4043 --day 2017-12-15</v>
      </c>
      <c r="AN139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04:05:17"},{"id":29,"name":"Sharepoint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87" t="str">
        <f t="shared" si="51"/>
        <v>https://d0f6bd738d7f1b3e5a7ca70fe4ff75f0.us-east-1.aws.found.io/app/kibana#/discover/Steve-Slow-Train-Analysis-(2080s-and-2083s)?_g=(refreshInterval:(display:Off,pause:!f,section:0,value:0),time:(from:'2017-12-15T19:23:52-0700',mode:absolute,to:'2017-12-15T22:05:17-0700'))&amp;_a=(columns:!('Message%20ID',Summary),filters:!(),index:'emp_*',interval:auto,query:(query_string:(analyze_wildcard:!t,query:'%22rtdc.l.rtdc.4043%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186" t="s">
        <v>676</v>
      </c>
      <c r="B140" s="182">
        <v>4032</v>
      </c>
      <c r="C140" s="184" t="s">
        <v>192</v>
      </c>
      <c r="D140" s="184" t="s">
        <v>525</v>
      </c>
      <c r="E140" s="183">
        <v>43084.82917824074</v>
      </c>
      <c r="F140" s="183">
        <v>43084.833518518521</v>
      </c>
      <c r="G140" s="182">
        <v>61</v>
      </c>
      <c r="H140" s="184" t="s">
        <v>610</v>
      </c>
      <c r="I140" s="183">
        <v>43084.859652777777</v>
      </c>
      <c r="J140" s="182">
        <v>0</v>
      </c>
      <c r="K140" s="190" t="str">
        <f t="shared" si="63"/>
        <v>4031/4032</v>
      </c>
      <c r="L140" s="196" t="str">
        <f>VLOOKUP(A140,'Trips&amp;Operators'!$C$1:$G$99911,5,FALSE)</f>
        <v>NICHOLSON WESLEY</v>
      </c>
      <c r="M140" s="181">
        <f t="shared" si="64"/>
        <v>2.6134259256650694E-2</v>
      </c>
      <c r="N140" s="182">
        <f t="shared" si="81"/>
        <v>37.633333329576999</v>
      </c>
      <c r="O140" s="182"/>
      <c r="P140" s="182"/>
      <c r="Q140" s="185"/>
      <c r="R140" s="197"/>
      <c r="S140" s="241">
        <f t="shared" si="80"/>
        <v>1</v>
      </c>
      <c r="T140" s="220" t="str">
        <f t="shared" si="65"/>
        <v>NorthBound</v>
      </c>
      <c r="U140" s="22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21" t="str">
        <f t="shared" si="38"/>
        <v>https://d0f6bd738d7f1b3e5a7ca70fe4ff75f0.us-east-1.aws.found.io/app/kibana#/discover/Steve-Slow-Train-Analysis-(2080s-and-2083s)?_g=(refreshInterval:(display:Off,pause:!f,section:0,value:0),time:(from:'2017-12-15T18:54:01-0700',mode:absolute,to:'2017-12-15T21:37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0" s="222" t="str">
        <f>IF(AA140&lt;VLOOKUP(AG140,Variables!$AC$3:$AD$8,2,FALSE),"Y","N")</f>
        <v>N</v>
      </c>
      <c r="X140" s="222">
        <f t="shared" si="79"/>
        <v>1</v>
      </c>
      <c r="Y140" s="222">
        <f t="shared" si="77"/>
        <v>5.3900000000000003E-2</v>
      </c>
      <c r="Z140" s="222">
        <f t="shared" si="78"/>
        <v>23.320599999999999</v>
      </c>
      <c r="AA140" s="222">
        <f t="shared" si="66"/>
        <v>23.2667</v>
      </c>
      <c r="AB140" s="231" t="e">
        <f>VLOOKUP(A140,Enforcements!$C$7:$K$9,8,0)</f>
        <v>#N/A</v>
      </c>
      <c r="AC140" s="231" t="e">
        <f>VLOOKUP(A140,Enforcements!$C$7:$E$9,3,0)</f>
        <v>#N/A</v>
      </c>
      <c r="AD140" s="232">
        <f t="shared" si="67"/>
        <v>225</v>
      </c>
      <c r="AE140" s="233" t="str">
        <f t="shared" si="44"/>
        <v>aws s3 cp s3://rtdc.mdm.uploadarchive.raw/RTDC4032/ "%USERPROFILE%\AppData\Local\Temp\OnboardLogs"\RTDC4032\2017-12-15 --exclude "*" --recursive --include "*20171215*" &amp; "%USERPROFILE%\Documents\GitHub\mrs-test-scripts\Headless Mode &amp; Sideloading\WalkAndUnGZ.bat" "%USERPROFILE%\AppData\Local\Temp\OnboardLogs"\RTDC4032\2017-12-15 &amp; aws s3 cp s3://rtdc.mdm.uploadarchive.raw/RTDC4032/ "%USERPROFILE%\AppData\Local\Temp\OnboardLogs"\RTDC4032\2017-12-16 --exclude "*" --recursive --include "*20171216*" &amp; "%USERPROFILE%\Documents\GitHub\mrs-test-scripts\Headless Mode &amp; Sideloading\WalkAndUnGZ.bat" "%USERPROFILE%\AppData\Local\Temp\OnboardLogs"\RTDC4032\2017-12-16</v>
      </c>
      <c r="AF140" s="234" t="str">
        <f t="shared" si="45"/>
        <v>"C:\Program Files (x86)\AstroGrep\AstroGrep.exe" /e /r /s /spath="%USERPROFILE%\AppData\Local\Temp\OnboardLogs" /stypes="app*4032*20171216*" /stext=" 03:.+((SYSTEM_STATE.+slice.+state.+changed )|(ment ac)|(multiple cpu faults)|(system.+state.+changed )|(\[timeout)|(PRM\|1\|D)|(kpr)|(kdp)|(train st.+moving)|(\|lc)|(penalty))"</v>
      </c>
      <c r="AG140" s="226" t="str">
        <f t="shared" si="68"/>
        <v>EC</v>
      </c>
      <c r="AH140" s="189" t="str">
        <f t="shared" si="47"/>
        <v>"%USERPROFILE%\Documents\GitHub\eaglep3\Utilities\RefineRTDCRunTimes.py" --tripid 225-15 --locoid 4032 --swversion DE.1.0.9.0 --startMP 204:539 --initTime 2017-12-15T19:54:01 --startdatetime 2017-12-15T20:00:16 --delay 61 --endMP 204:233206 --enddatetime 2017-12-15T20:37:54 --enforcementcount 0 &gt;&gt;%USERPROFILE%\Documents\GitHub\eaglep3-reporting\EC\2017-12-15-refined-times.txt</v>
      </c>
      <c r="AI140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{"issue":{"subject":"","project_id":79,"tracker_id":40,"status_id":1,"priority_id":2,"assigned_to_id":338,"start_date":"2017-12-15","description":"","custom_fields":[{"id":1,"name":"Subdivision","value":"EC"},{"id":4,"name":"Milepost","value":"23.3206"},{"id":17,"name":"Train ID","value":"225-15"},{"id":16,"name":"Locomotive ID","value":"4032"},{"id":130,"name":"Impact","value":""},{"id":150,"name":"Time of Event (Mountain Time)","value":"20:37:54"},{"id":151,"name":"Denver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180"/>
      <c r="AK140" s="188"/>
      <c r="AL140" s="188"/>
      <c r="AM140" s="193" t="str">
        <f t="shared" si="49"/>
        <v>start /low /b %USERPROFILE%\Documents\GitHub\eaglep3\Utilities\DownloadLogsFromS3.py --loco 4032 --day 2017-12-15</v>
      </c>
      <c r="AN140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03:37:54"},{"id":29,"name":"Sharepoint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87" t="str">
        <f t="shared" si="51"/>
        <v>https://d0f6bd738d7f1b3e5a7ca70fe4ff75f0.us-east-1.aws.found.io/app/kibana#/discover/Steve-Slow-Train-Analysis-(2080s-and-2083s)?_g=(refreshInterval:(display:Off,pause:!f,section:0,value:0),time:(from:'2017-12-15T18:54:01-0700',mode:absolute,to:'2017-12-15T21:37:54-0700'))&amp;_a=(columns:!('Message%20ID',Summary),filters:!(),index:'emp_*',interval:auto,query:(query_string:(analyze_wildcard:!t,query:'%22rtdc.l.rtdc.4032%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186" t="s">
        <v>859</v>
      </c>
      <c r="B141" s="182">
        <v>4031</v>
      </c>
      <c r="C141" s="184" t="s">
        <v>192</v>
      </c>
      <c r="D141" s="184" t="s">
        <v>623</v>
      </c>
      <c r="E141" s="183">
        <v>43084.866307870368</v>
      </c>
      <c r="F141" s="183">
        <v>43084.873194444444</v>
      </c>
      <c r="G141" s="182">
        <v>57</v>
      </c>
      <c r="H141" s="184" t="s">
        <v>499</v>
      </c>
      <c r="I141" s="183">
        <v>43084.901782407411</v>
      </c>
      <c r="J141" s="182">
        <v>0</v>
      </c>
      <c r="K141" s="190" t="str">
        <f t="shared" ref="K141:K172" si="82">IF(ISEVEN(B141),(B141-1)&amp;"/"&amp;B141,B141&amp;"/"&amp;(B141+1))</f>
        <v>4031/4032</v>
      </c>
      <c r="L141" s="196" t="str">
        <f>VLOOKUP(A141,'Trips&amp;Operators'!$C$1:$G$99911,5,FALSE)</f>
        <v>NICHOLSON WESLEY</v>
      </c>
      <c r="M141" s="181">
        <f t="shared" ref="M141:M172" si="83">I141-F141</f>
        <v>2.8587962966412306E-2</v>
      </c>
      <c r="N141" s="182">
        <f t="shared" si="81"/>
        <v>41.16666667163372</v>
      </c>
      <c r="O141" s="182"/>
      <c r="P141" s="182"/>
      <c r="Q141" s="185"/>
      <c r="R141" s="197"/>
      <c r="S141" s="241">
        <f t="shared" si="80"/>
        <v>1</v>
      </c>
      <c r="T141" s="220" t="str">
        <f t="shared" ref="T141:T172" si="84">IF(ISEVEN(LEFT(AD141,4)),"Southbound","NorthBound")</f>
        <v>Southbound</v>
      </c>
      <c r="U141" s="22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21" t="str">
        <f t="shared" ref="V141:V204" si="8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-15T19:47:29-0700',mode:absolute,to:'2017-12-15T22:38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1" s="222" t="str">
        <f>IF(AA141&lt;VLOOKUP(AG141,Variables!$AC$3:$AD$8,2,FALSE),"Y","N")</f>
        <v>N</v>
      </c>
      <c r="X141" s="222">
        <f t="shared" si="79"/>
        <v>1</v>
      </c>
      <c r="Y141" s="222">
        <f t="shared" si="77"/>
        <v>23.2879</v>
      </c>
      <c r="Z141" s="222">
        <f t="shared" si="78"/>
        <v>2.4500000000000001E-2</v>
      </c>
      <c r="AA141" s="222">
        <f t="shared" ref="AA141:AA172" si="86">ABS(Z141-Y141)</f>
        <v>23.263400000000001</v>
      </c>
      <c r="AB141" s="231" t="e">
        <f>VLOOKUP(A141,Enforcements!$C$7:$K$9,8,0)</f>
        <v>#N/A</v>
      </c>
      <c r="AC141" s="231" t="e">
        <f>VLOOKUP(A141,Enforcements!$C$7:$E$9,3,0)</f>
        <v>#N/A</v>
      </c>
      <c r="AD141" s="232">
        <f t="shared" ref="AD141:AD172" si="87">VALUE(LEFT(A141,LEN(A141)-3))</f>
        <v>226</v>
      </c>
      <c r="AE141" s="233" t="str">
        <f t="shared" ref="AE141:AE204" si="8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s3://rtdc.mdm.uploadarchive.raw/RTDC4031/ "%USERPROFILE%\AppData\Local\Temp\OnboardLogs"\RTDC4031\2017-12-15 --exclude "*" --recursive --include "*20171215*" &amp; "%USERPROFILE%\Documents\GitHub\mrs-test-scripts\Headless Mode &amp; Sideloading\WalkAndUnGZ.bat" "%USERPROFILE%\AppData\Local\Temp\OnboardLogs"\RTDC4031\2017-12-15 &amp; aws s3 cp s3://rtdc.mdm.uploadarchive.raw/RTDC4031/ "%USERPROFILE%\AppData\Local\Temp\OnboardLogs"\RTDC4031\2017-12-16 --exclude "*" --recursive --include "*20171216*" &amp; "%USERPROFILE%\Documents\GitHub\mrs-test-scripts\Headless Mode &amp; Sideloading\WalkAndUnGZ.bat" "%USERPROFILE%\AppData\Local\Temp\OnboardLogs"\RTDC4031\2017-12-16</v>
      </c>
      <c r="AF141" s="234" t="str">
        <f t="shared" ref="AF141:AF204" si="8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/stypes="app*4031*20171216*" /stext=" 04:.+((SYSTEM_STATE.+slice.+state.+changed )|(ment ac)|(multiple cpu faults)|(system.+state.+changed )|(\[timeout)|(PRM\|1\|D)|(kpr)|(kdp)|(train st.+moving)|(\|lc)|(penalty))"</v>
      </c>
      <c r="AG141" s="226" t="str">
        <f t="shared" ref="AG141:AG172" si="90">DetSubdiv(A141)</f>
        <v>EC</v>
      </c>
      <c r="AH141" s="189" t="str">
        <f t="shared" si="47"/>
        <v>"%USERPROFILE%\Documents\GitHub\eaglep3\Utilities\RefineRTDCRunTimes.py" --tripid 226-15 --locoid 4031 --swversion DE.1.0.9.0 --startMP 204:232879 --initTime 2017-12-15T20:47:29 --startdatetime 2017-12-15T20:57:24 --delay 57 --endMP 204:245 --enddatetime 2017-12-15T21:38:34 --enforcementcount 0 &gt;&gt;%USERPROFILE%\Documents\GitHub\eaglep3-reporting\EC\2017-12-15-refined-times.txt</v>
      </c>
      <c r="AI141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{"issue":{"subject":"","project_id":79,"tracker_id":40,"status_id":1,"priority_id":2,"assigned_to_id":338,"start_date":"2017-12-15","description":"","custom_fields":[{"id":1,"name":"Subdivision","value":"EC"},{"id":4,"name":"Milepost","value":"0.0245"},{"id":17,"name":"Train ID","value":"226-15"},{"id":16,"name":"Locomotive ID","value":"4031"},{"id":130,"name":"Impact","value":""},{"id":150,"name":"Time of Event (Mountain Time)","value":"21:38:34"},{"id":151,"name":"Denver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180"/>
      <c r="AK141" s="188"/>
      <c r="AL141" s="188"/>
      <c r="AM141" s="193" t="str">
        <f t="shared" si="49"/>
        <v>start /low /b %USERPROFILE%\Documents\GitHub\eaglep3\Utilities\DownloadLogsFromS3.py --loco 4031 --day 2017-12-15</v>
      </c>
      <c r="AN141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04:38:34"},{"id":29,"name":"Sharepoint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87" t="str">
        <f t="shared" si="51"/>
        <v>https://d0f6bd738d7f1b3e5a7ca70fe4ff75f0.us-east-1.aws.found.io/app/kibana#/discover/Steve-Slow-Train-Analysis-(2080s-and-2083s)?_g=(refreshInterval:(display:Off,pause:!f,section:0,value:0),time:(from:'2017-12-15T19:47:29-0700',mode:absolute,to:'2017-12-15T22:38:34-0700'))&amp;_a=(columns:!('Message%20ID',Summary),filters:!(),index:'emp_*',interval:auto,query:(query_string:(analyze_wildcard:!t,query:'%22rtdc.l.rtdc.4031%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186" t="s">
        <v>855</v>
      </c>
      <c r="B142" s="182">
        <v>4062</v>
      </c>
      <c r="C142" s="184" t="s">
        <v>192</v>
      </c>
      <c r="D142" s="184" t="s">
        <v>1001</v>
      </c>
      <c r="E142" s="183">
        <v>43084.837696759256</v>
      </c>
      <c r="F142" s="183">
        <v>43084.854328703703</v>
      </c>
      <c r="G142" s="182">
        <v>82</v>
      </c>
      <c r="H142" s="184" t="s">
        <v>910</v>
      </c>
      <c r="I142" s="183">
        <v>43084.880949074075</v>
      </c>
      <c r="J142" s="182">
        <v>0</v>
      </c>
      <c r="K142" s="190" t="str">
        <f t="shared" si="82"/>
        <v>4061/4062</v>
      </c>
      <c r="L142" s="196" t="str">
        <f>VLOOKUP(A142,'Trips&amp;Operators'!$C$1:$G$99911,5,FALSE)</f>
        <v>ELBAUM MIKE</v>
      </c>
      <c r="M142" s="181">
        <f t="shared" si="83"/>
        <v>2.662037037225673E-2</v>
      </c>
      <c r="N142" s="182">
        <f t="shared" si="81"/>
        <v>38.333333336049691</v>
      </c>
      <c r="O142" s="182"/>
      <c r="P142" s="182"/>
      <c r="Q142" s="185"/>
      <c r="R142" s="197"/>
      <c r="S142" s="241">
        <f t="shared" si="80"/>
        <v>1</v>
      </c>
      <c r="T142" s="220" t="str">
        <f t="shared" si="84"/>
        <v>NorthBound</v>
      </c>
      <c r="U142" s="22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21" t="str">
        <f t="shared" si="85"/>
        <v>https://d0f6bd738d7f1b3e5a7ca70fe4ff75f0.us-east-1.aws.found.io/app/kibana#/discover/Steve-Slow-Train-Analysis-(2080s-and-2083s)?_g=(refreshInterval:(display:Off,pause:!f,section:0,value:0),time:(from:'2017-12-15T19:06:17-0700',mode:absolute,to:'2017-12-15T22:08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2" s="222" t="str">
        <f>IF(AA142&lt;VLOOKUP(AG142,Variables!$AC$3:$AD$8,2,FALSE),"Y","N")</f>
        <v>N</v>
      </c>
      <c r="X142" s="222">
        <f t="shared" si="79"/>
        <v>1</v>
      </c>
      <c r="Y142" s="222">
        <f t="shared" si="77"/>
        <v>5.6599999999999998E-2</v>
      </c>
      <c r="Z142" s="222">
        <f t="shared" si="78"/>
        <v>23.331099999999999</v>
      </c>
      <c r="AA142" s="222">
        <f t="shared" si="86"/>
        <v>23.2745</v>
      </c>
      <c r="AB142" s="231" t="e">
        <f>VLOOKUP(A142,Enforcements!$C$7:$K$9,8,0)</f>
        <v>#N/A</v>
      </c>
      <c r="AC142" s="231" t="e">
        <f>VLOOKUP(A142,Enforcements!$C$7:$E$9,3,0)</f>
        <v>#N/A</v>
      </c>
      <c r="AD142" s="232">
        <f t="shared" si="87"/>
        <v>227</v>
      </c>
      <c r="AE142" s="233" t="str">
        <f t="shared" si="88"/>
        <v>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 &amp; aws s3 cp s3://rtdc.mdm.uploadarchive.raw/RTDC4062/ "%USERPROFILE%\AppData\Local\Temp\OnboardLogs"\RTDC4062\2017-12-16 --exclude "*" --recursive --include "*20171216*" &amp; "%USERPROFILE%\Documents\GitHub\mrs-test-scripts\Headless Mode &amp; Sideloading\WalkAndUnGZ.bat" "%USERPROFILE%\AppData\Local\Temp\OnboardLogs"\RTDC4062\2017-12-16</v>
      </c>
      <c r="AF142" s="234" t="str">
        <f t="shared" si="89"/>
        <v>"C:\Program Files (x86)\AstroGrep\AstroGrep.exe" /e /r /s /spath="%USERPROFILE%\AppData\Local\Temp\OnboardLogs" /stypes="app*4062*20171216*" /stext=" 04:.+((SYSTEM_STATE.+slice.+state.+changed )|(ment ac)|(multiple cpu faults)|(system.+state.+changed )|(\[timeout)|(PRM\|1\|D)|(kpr)|(kdp)|(train st.+moving)|(\|lc)|(penalty))"</v>
      </c>
      <c r="AG142" s="226" t="str">
        <f t="shared" si="90"/>
        <v>EC</v>
      </c>
      <c r="AH142" s="189" t="str">
        <f t="shared" si="47"/>
        <v>"%USERPROFILE%\Documents\GitHub\eaglep3\Utilities\RefineRTDCRunTimes.py" --tripid 227-15 --locoid 4062 --swversion DE.1.0.9.0 --startMP 204:566 --initTime 2017-12-15T20:06:17 --startdatetime 2017-12-15T20:30:14 --delay 82 --endMP 204:233311 --enddatetime 2017-12-15T21:08:34 --enforcementcount 0 &gt;&gt;%USERPROFILE%\Documents\GitHub\eaglep3-reporting\EC\2017-12-15-refined-times.txt</v>
      </c>
      <c r="AI142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{"issue":{"subject":"","project_id":79,"tracker_id":40,"status_id":1,"priority_id":2,"assigned_to_id":338,"start_date":"2017-12-15","description":"","custom_fields":[{"id":1,"name":"Subdivision","value":"EC"},{"id":4,"name":"Milepost","value":"23.3311"},{"id":17,"name":"Train ID","value":"227-15"},{"id":16,"name":"Locomotive ID","value":"4062"},{"id":130,"name":"Impact","value":""},{"id":150,"name":"Time of Event (Mountain Time)","value":"21:08:34"},{"id":151,"name":"Denver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180"/>
      <c r="AK142" s="188"/>
      <c r="AL142" s="188"/>
      <c r="AM142" s="193" t="str">
        <f t="shared" si="49"/>
        <v>start /low /b %USERPROFILE%\Documents\GitHub\eaglep3\Utilities\DownloadLogsFromS3.py --loco 4062 --day 2017-12-15</v>
      </c>
      <c r="AN142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04:08:34"},{"id":29,"name":"Sharepoint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87" t="str">
        <f t="shared" si="51"/>
        <v>https://d0f6bd738d7f1b3e5a7ca70fe4ff75f0.us-east-1.aws.found.io/app/kibana#/discover/Steve-Slow-Train-Analysis-(2080s-and-2083s)?_g=(refreshInterval:(display:Off,pause:!f,section:0,value:0),time:(from:'2017-12-15T19:06:17-0700',mode:absolute,to:'2017-12-15T22:08:34-0700'))&amp;_a=(columns:!('Message%20ID',Summary),filters:!(),index:'emp_*',interval:auto,query:(query_string:(analyze_wildcard:!t,query:'%22rtdc.l.rtdc.4062%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186" t="s">
        <v>862</v>
      </c>
      <c r="B143" s="182">
        <v>4061</v>
      </c>
      <c r="C143" s="184" t="s">
        <v>192</v>
      </c>
      <c r="D143" s="184" t="s">
        <v>616</v>
      </c>
      <c r="E143" s="183">
        <v>43084.882303240738</v>
      </c>
      <c r="F143" s="183">
        <v>43084.893900462965</v>
      </c>
      <c r="G143" s="182">
        <v>57</v>
      </c>
      <c r="H143" s="184" t="s">
        <v>948</v>
      </c>
      <c r="I143" s="183">
        <v>43084.919699074075</v>
      </c>
      <c r="J143" s="182">
        <v>0</v>
      </c>
      <c r="K143" s="190" t="str">
        <f t="shared" si="82"/>
        <v>4061/4062</v>
      </c>
      <c r="L143" s="196" t="str">
        <f>VLOOKUP(A143,'Trips&amp;Operators'!$C$1:$G$99911,5,FALSE)</f>
        <v>ELBAUM MIKE</v>
      </c>
      <c r="M143" s="181">
        <f t="shared" si="83"/>
        <v>2.5798611110076308E-2</v>
      </c>
      <c r="N143" s="182">
        <f t="shared" si="81"/>
        <v>37.149999998509884</v>
      </c>
      <c r="O143" s="182"/>
      <c r="P143" s="182"/>
      <c r="Q143" s="185"/>
      <c r="R143" s="197"/>
      <c r="S143" s="241">
        <f t="shared" si="80"/>
        <v>1</v>
      </c>
      <c r="T143" s="220" t="str">
        <f t="shared" si="84"/>
        <v>Southbound</v>
      </c>
      <c r="U143" s="22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21" t="str">
        <f t="shared" si="85"/>
        <v>https://d0f6bd738d7f1b3e5a7ca70fe4ff75f0.us-east-1.aws.found.io/app/kibana#/discover/Steve-Slow-Train-Analysis-(2080s-and-2083s)?_g=(refreshInterval:(display:Off,pause:!f,section:0,value:0),time:(from:'2017-12-15T20:10:31-0700',mode:absolute,to:'2017-12-15T23:04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3" s="222" t="str">
        <f>IF(AA143&lt;VLOOKUP(AG143,Variables!$AC$3:$AD$8,2,FALSE),"Y","N")</f>
        <v>N</v>
      </c>
      <c r="X143" s="222">
        <f t="shared" si="79"/>
        <v>1</v>
      </c>
      <c r="Y143" s="222">
        <f t="shared" si="77"/>
        <v>23.297999999999998</v>
      </c>
      <c r="Z143" s="222">
        <f t="shared" si="78"/>
        <v>2.5399999999999999E-2</v>
      </c>
      <c r="AA143" s="222">
        <f t="shared" si="86"/>
        <v>23.272599999999997</v>
      </c>
      <c r="AB143" s="231" t="e">
        <f>VLOOKUP(A143,Enforcements!$C$7:$K$9,8,0)</f>
        <v>#N/A</v>
      </c>
      <c r="AC143" s="231" t="e">
        <f>VLOOKUP(A143,Enforcements!$C$7:$E$9,3,0)</f>
        <v>#N/A</v>
      </c>
      <c r="AD143" s="232">
        <f t="shared" si="87"/>
        <v>228</v>
      </c>
      <c r="AE143" s="233" t="str">
        <f t="shared" si="88"/>
        <v>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 &amp; aws s3 cp s3://rtdc.mdm.uploadarchive.raw/RTDC4061/ "%USERPROFILE%\AppData\Local\Temp\OnboardLogs"\RTDC4061\2017-12-16 --exclude "*" --recursive --include "*20171216*" &amp; "%USERPROFILE%\Documents\GitHub\mrs-test-scripts\Headless Mode &amp; Sideloading\WalkAndUnGZ.bat" "%USERPROFILE%\AppData\Local\Temp\OnboardLogs"\RTDC4061\2017-12-16</v>
      </c>
      <c r="AF143" s="234" t="str">
        <f t="shared" si="89"/>
        <v>"C:\Program Files (x86)\AstroGrep\AstroGrep.exe" /e /r /s /spath="%USERPROFILE%\AppData\Local\Temp\OnboardLogs" /stypes="app*4061*20171216*" /stext=" 05:.+((SYSTEM_STATE.+slice.+state.+changed )|(ment ac)|(multiple cpu faults)|(system.+state.+changed )|(\[timeout)|(PRM\|1\|D)|(kpr)|(kdp)|(train st.+moving)|(\|lc)|(penalty))"</v>
      </c>
      <c r="AG143" s="226" t="str">
        <f t="shared" si="90"/>
        <v>EC</v>
      </c>
      <c r="AH143" s="189" t="str">
        <f t="shared" si="47"/>
        <v>"%USERPROFILE%\Documents\GitHub\eaglep3\Utilities\RefineRTDCRunTimes.py" --tripid 228-15 --locoid 4061 --swversion DE.1.0.9.0 --startMP 204:232980 --initTime 2017-12-15T21:10:31 --startdatetime 2017-12-15T21:27:13 --delay 57 --endMP 204:254 --enddatetime 2017-12-15T22:04:22 --enforcementcount 0 &gt;&gt;%USERPROFILE%\Documents\GitHub\eaglep3-reporting\EC\2017-12-15-refined-times.txt</v>
      </c>
      <c r="AI143" s="191" t="str">
        <f t="shared" si="48"/>
        <v>echo {"issue":{"subject":"","project_id":79,"tracker_id":40,"status_id":1,"priority_id":2,"assigned_to_id":338,"start_date":"2017-12-15","description":"","custom_fields":[{"id":1,"name":"Subdivision","value":"EC"},{"id":4,"name":"Milepost","value":"0.0254"},{"id":17,"name":"Train ID","value":"228-15"},{"id":16,"name":"Locomotive ID","value":"4061"},{"id":130,"name":"Impact","value":""},{"id":150,"name":"Time of Event (Mountain Time)","value":"22:04:22"},{"id":151,"name":"Denver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180"/>
      <c r="AK143" s="188"/>
      <c r="AL143" s="188"/>
      <c r="AM143" s="193" t="str">
        <f t="shared" si="49"/>
        <v>start /low /b %USERPROFILE%\Documents\GitHub\eaglep3\Utilities\DownloadLogsFromS3.py --loco 4061 --day 2017-12-15</v>
      </c>
      <c r="AN143" s="194" t="str">
        <f t="shared" si="5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05:04:22"},{"id":29,"name":"Sharepoint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87" t="str">
        <f t="shared" si="51"/>
        <v>https://d0f6bd738d7f1b3e5a7ca70fe4ff75f0.us-east-1.aws.found.io/app/kibana#/discover/Steve-Slow-Train-Analysis-(2080s-and-2083s)?_g=(refreshInterval:(display:Off,pause:!f,section:0,value:0),time:(from:'2017-12-15T20:10:31-0700',mode:absolute,to:'2017-12-15T23:04:22-0700'))&amp;_a=(columns:!('Message%20ID',Summary),filters:!(),index:'emp_*',interval:auto,query:(query_string:(analyze_wildcard:!t,query:'%22rtdc.l.rtdc.4061%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180" customFormat="1" x14ac:dyDescent="0.25">
      <c r="A144" s="186" t="s">
        <v>860</v>
      </c>
      <c r="B144" s="182">
        <v>4004</v>
      </c>
      <c r="C144" s="184" t="s">
        <v>192</v>
      </c>
      <c r="D144" s="184" t="s">
        <v>507</v>
      </c>
      <c r="E144" s="183">
        <v>43084.872118055559</v>
      </c>
      <c r="F144" s="183">
        <v>43084.8752662037</v>
      </c>
      <c r="G144" s="182">
        <v>93</v>
      </c>
      <c r="H144" s="184" t="s">
        <v>1002</v>
      </c>
      <c r="I144" s="183">
        <v>43084.900821759256</v>
      </c>
      <c r="J144" s="182">
        <v>0</v>
      </c>
      <c r="K144" s="190" t="str">
        <f t="shared" si="82"/>
        <v>4003/4004</v>
      </c>
      <c r="L144" s="196" t="str">
        <f>VLOOKUP(A144,'Trips&amp;Operators'!$C$1:$G$99911,5,FALSE)</f>
        <v>ANDERS STEVEN</v>
      </c>
      <c r="M144" s="181">
        <f t="shared" si="83"/>
        <v>2.5555555555911269E-2</v>
      </c>
      <c r="N144" s="182">
        <f t="shared" si="81"/>
        <v>36.800000000512227</v>
      </c>
      <c r="O144" s="182"/>
      <c r="P144" s="182"/>
      <c r="Q144" s="185"/>
      <c r="R144" s="197"/>
      <c r="S144" s="241">
        <f t="shared" si="80"/>
        <v>1</v>
      </c>
      <c r="T144" s="220" t="str">
        <f t="shared" si="84"/>
        <v>NorthBound</v>
      </c>
      <c r="U144" s="22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21" t="str">
        <f t="shared" si="85"/>
        <v>https://d0f6bd738d7f1b3e5a7ca70fe4ff75f0.us-east-1.aws.found.io/app/kibana#/discover/Steve-Slow-Train-Analysis-(2080s-and-2083s)?_g=(refreshInterval:(display:Off,pause:!f,section:0,value:0),time:(from:'2017-12-15T19:55:51-0700',mode:absolute,to:'2017-12-15T22:37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4" s="222" t="str">
        <f>IF(AA144&lt;VLOOKUP(AG144,Variables!$AC$3:$AD$8,2,FALSE),"Y","N")</f>
        <v>N</v>
      </c>
      <c r="X144" s="222">
        <f t="shared" si="79"/>
        <v>1</v>
      </c>
      <c r="Y144" s="222">
        <f t="shared" si="77"/>
        <v>5.2900000000000003E-2</v>
      </c>
      <c r="Z144" s="222">
        <f t="shared" si="78"/>
        <v>23.326799999999999</v>
      </c>
      <c r="AA144" s="222">
        <f t="shared" si="86"/>
        <v>23.273899999999998</v>
      </c>
      <c r="AB144" s="231" t="e">
        <f>VLOOKUP(A144,Enforcements!$C$7:$K$9,8,0)</f>
        <v>#N/A</v>
      </c>
      <c r="AC144" s="231" t="e">
        <f>VLOOKUP(A144,Enforcements!$C$7:$E$9,3,0)</f>
        <v>#N/A</v>
      </c>
      <c r="AD144" s="232">
        <f t="shared" si="87"/>
        <v>229</v>
      </c>
      <c r="AE144" s="233" t="str">
        <f t="shared" si="88"/>
        <v>aws s3 cp s3://rtdc.mdm.uploadarchive.raw/RTDC4004/ "%USERPROFILE%\AppData\Local\Temp\OnboardLogs"\RTDC4004\2017-12-15 --exclude "*" --recursive --include "*20171215*" &amp; "%USERPROFILE%\Documents\GitHub\mrs-test-scripts\Headless Mode &amp; Sideloading\WalkAndUnGZ.bat" "%USERPROFILE%\AppData\Local\Temp\OnboardLogs"\RTDC4004\2017-12-15 &amp; aws s3 cp s3://rtdc.mdm.uploadarchive.raw/RTDC4004/ "%USERPROFILE%\AppData\Local\Temp\OnboardLogs"\RTDC4004\2017-12-16 --exclude "*" --recursive --include "*20171216*" &amp; "%USERPROFILE%\Documents\GitHub\mrs-test-scripts\Headless Mode &amp; Sideloading\WalkAndUnGZ.bat" "%USERPROFILE%\AppData\Local\Temp\OnboardLogs"\RTDC4004\2017-12-16</v>
      </c>
      <c r="AF144" s="234" t="str">
        <f t="shared" si="89"/>
        <v>"C:\Program Files (x86)\AstroGrep\AstroGrep.exe" /e /r /s /spath="%USERPROFILE%\AppData\Local\Temp\OnboardLogs" /stypes="app*4004*20171216*" /stext=" 04:.+((SYSTEM_STATE.+slice.+state.+changed )|(ment ac)|(multiple cpu faults)|(system.+state.+changed )|(\[timeout)|(PRM\|1\|D)|(kpr)|(kdp)|(train st.+moving)|(\|lc)|(penalty))"</v>
      </c>
      <c r="AG144" s="226" t="str">
        <f t="shared" si="90"/>
        <v>EC</v>
      </c>
      <c r="AH144" s="189" t="str">
        <f t="shared" ref="AH144:AH216" si="91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229-15 --locoid 4004 --swversion DE.1.0.9.0 --startMP 204:529 --initTime 2017-12-15T20:55:51 --startdatetime 2017-12-15T21:00:23 --delay 93 --endMP 204:233268 --enddatetime 2017-12-15T21:37:11 --enforcementcount 0 &gt;&gt;%USERPROFILE%\Documents\GitHub\eaglep3-reporting\EC\2017-12-15-refined-times.txt</v>
      </c>
      <c r="AI144" s="191" t="str">
        <f t="shared" ref="AI144:AI216" si="92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{"issue":{"subject":"","project_id":79,"tracker_id":40,"status_id":1,"priority_id":2,"assigned_to_id":338,"start_date":"2017-12-15","description":"","custom_fields":[{"id":1,"name":"Subdivision","value":"EC"},{"id":4,"name":"Milepost","value":"23.3268"},{"id":17,"name":"Train ID","value":"229-15"},{"id":16,"name":"Locomotive ID","value":"4004"},{"id":130,"name":"Impact","value":""},{"id":150,"name":"Time of Event (Mountain Time)","value":"21:37:11"},{"id":151,"name":"Denver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188"/>
      <c r="AL144" s="188"/>
      <c r="AM144" s="193" t="str">
        <f t="shared" ref="AM144:AM216" si="93">"start /low /b "&amp;dls3logs&amp;" --loco "&amp;B144&amp;" --day "&amp;TEXT(F144,"YYYY-MM-DD")</f>
        <v>start /low /b %USERPROFILE%\Documents\GitHub\eaglep3\Utilities\DownloadLogsFromS3.py --loco 4004 --day 2017-12-15</v>
      </c>
      <c r="AN144" s="194" t="str">
        <f t="shared" ref="AN144:AN216" si="94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04:37:11"},{"id":29,"name":"Sharepoint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87" t="str">
        <f t="shared" ref="AO144:AO216" si="95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-12-15T19:55:51-0700',mode:absolute,to:'2017-12-15T22:37:11-0700'))&amp;_a=(columns:!('Message%20ID',Summary),filters:!(),index:'emp_*',interval:auto,query:(query_string:(analyze_wildcard:!t,query:'%22rtdc.l.rtdc.4004%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180" customFormat="1" x14ac:dyDescent="0.25">
      <c r="A145" s="186" t="s">
        <v>678</v>
      </c>
      <c r="B145" s="182">
        <v>4003</v>
      </c>
      <c r="C145" s="184" t="s">
        <v>192</v>
      </c>
      <c r="D145" s="184" t="s">
        <v>614</v>
      </c>
      <c r="E145" s="183">
        <v>43084.91300925926</v>
      </c>
      <c r="F145" s="183">
        <v>43084.914861111109</v>
      </c>
      <c r="G145" s="182">
        <v>58</v>
      </c>
      <c r="H145" s="184" t="s">
        <v>1003</v>
      </c>
      <c r="I145" s="183">
        <v>43084.942893518521</v>
      </c>
      <c r="J145" s="182">
        <v>0</v>
      </c>
      <c r="K145" s="190" t="str">
        <f t="shared" si="82"/>
        <v>4003/4004</v>
      </c>
      <c r="L145" s="196" t="str">
        <f>VLOOKUP(A145,'Trips&amp;Operators'!$C$1:$G$99911,5,FALSE)</f>
        <v>ANDERS STEVEN</v>
      </c>
      <c r="M145" s="181">
        <f t="shared" si="83"/>
        <v>2.8032407411956228E-2</v>
      </c>
      <c r="N145" s="182">
        <f t="shared" si="81"/>
        <v>40.366666673216969</v>
      </c>
      <c r="O145" s="182"/>
      <c r="P145" s="182"/>
      <c r="Q145" s="185"/>
      <c r="R145" s="197"/>
      <c r="S145" s="241">
        <f t="shared" si="80"/>
        <v>1</v>
      </c>
      <c r="T145" s="220" t="str">
        <f t="shared" si="84"/>
        <v>Southbound</v>
      </c>
      <c r="U145" s="22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21" t="str">
        <f t="shared" si="85"/>
        <v>https://d0f6bd738d7f1b3e5a7ca70fe4ff75f0.us-east-1.aws.found.io/app/kibana#/discover/Steve-Slow-Train-Analysis-(2080s-and-2083s)?_g=(refreshInterval:(display:Off,pause:!f,section:0,value:0),time:(from:'2017-12-15T20:54:44-0700',mode:absolute,to:'2017-12-15T23:37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5" s="222" t="str">
        <f>IF(AA145&lt;VLOOKUP(AG145,Variables!$AC$3:$AD$8,2,FALSE),"Y","N")</f>
        <v>N</v>
      </c>
      <c r="X145" s="222">
        <f t="shared" si="79"/>
        <v>1</v>
      </c>
      <c r="Y145" s="222">
        <f t="shared" si="77"/>
        <v>23.295500000000001</v>
      </c>
      <c r="Z145" s="222">
        <f t="shared" si="78"/>
        <v>2.8500000000000001E-2</v>
      </c>
      <c r="AA145" s="222">
        <f t="shared" si="86"/>
        <v>23.266999999999999</v>
      </c>
      <c r="AB145" s="231" t="e">
        <f>VLOOKUP(A145,Enforcements!$C$7:$K$9,8,0)</f>
        <v>#N/A</v>
      </c>
      <c r="AC145" s="231" t="e">
        <f>VLOOKUP(A145,Enforcements!$C$7:$E$9,3,0)</f>
        <v>#N/A</v>
      </c>
      <c r="AD145" s="232">
        <f t="shared" si="87"/>
        <v>230</v>
      </c>
      <c r="AE145" s="233" t="str">
        <f t="shared" si="88"/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AF145" s="234" t="str">
        <f t="shared" si="89"/>
        <v>"C:\Program Files (x86)\AstroGrep\AstroGrep.exe" /e /r /s /spath="%USERPROFILE%\AppData\Local\Temp\OnboardLogs" /stypes="app*4003*20171216*" /stext=" 05:.+((SYSTEM_STATE.+slice.+state.+changed )|(ment ac)|(multiple cpu faults)|(system.+state.+changed )|(\[timeout)|(PRM\|1\|D)|(kpr)|(kdp)|(train st.+moving)|(\|lc)|(penalty))"</v>
      </c>
      <c r="AG145" s="226" t="str">
        <f t="shared" si="90"/>
        <v>EC</v>
      </c>
      <c r="AH145" s="189" t="str">
        <f t="shared" si="91"/>
        <v>"%USERPROFILE%\Documents\GitHub\eaglep3\Utilities\RefineRTDCRunTimes.py" --tripid 230-15 --locoid 4003 --swversion DE.1.0.9.0 --startMP 204:232955 --initTime 2017-12-15T21:54:44 --startdatetime 2017-12-15T21:57:24 --delay 58 --endMP 204:285 --enddatetime 2017-12-15T22:37:46 --enforcementcount 0 &gt;&gt;%USERPROFILE%\Documents\GitHub\eaglep3-reporting\EC\2017-12-15-refined-times.txt</v>
      </c>
      <c r="AI145" s="191" t="str">
        <f t="shared" si="92"/>
        <v>echo {"issue":{"subject":"","project_id":79,"tracker_id":40,"status_id":1,"priority_id":2,"assigned_to_id":338,"start_date":"2017-12-15","description":"","custom_fields":[{"id":1,"name":"Subdivision","value":"EC"},{"id":4,"name":"Milepost","value":"0.0285"},{"id":17,"name":"Train ID","value":"230-15"},{"id":16,"name":"Locomotive ID","value":"4003"},{"id":130,"name":"Impact","value":""},{"id":150,"name":"Time of Event (Mountain Time)","value":"22:37:46"},{"id":151,"name":"Denver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188"/>
      <c r="AL145" s="188"/>
      <c r="AM145" s="193" t="str">
        <f t="shared" si="93"/>
        <v>start /low /b %USERPROFILE%\Documents\GitHub\eaglep3\Utilities\DownloadLogsFromS3.py --loco 4003 --day 2017-12-15</v>
      </c>
      <c r="AN145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05:37:46"},{"id":29,"name":"Sharepoint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87" t="str">
        <f t="shared" si="95"/>
        <v>https://d0f6bd738d7f1b3e5a7ca70fe4ff75f0.us-east-1.aws.found.io/app/kibana#/discover/Steve-Slow-Train-Analysis-(2080s-and-2083s)?_g=(refreshInterval:(display:Off,pause:!f,section:0,value:0),time:(from:'2017-12-15T20:54:44-0700',mode:absolute,to:'2017-12-15T23:37:46-0700'))&amp;_a=(columns:!('Message%20ID',Summary),filters:!(),index:'emp_*',interval:auto,query:(query_string:(analyze_wildcard:!t,query:'%22rtdc.l.rtdc.4003%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180" customFormat="1" x14ac:dyDescent="0.25">
      <c r="A146" s="186" t="s">
        <v>863</v>
      </c>
      <c r="B146" s="182">
        <v>4044</v>
      </c>
      <c r="C146" s="184" t="s">
        <v>192</v>
      </c>
      <c r="D146" s="184" t="s">
        <v>509</v>
      </c>
      <c r="E146" s="183">
        <v>43084.883645833332</v>
      </c>
      <c r="F146" s="183">
        <v>43084.896041666667</v>
      </c>
      <c r="G146" s="182">
        <v>57</v>
      </c>
      <c r="H146" s="184" t="s">
        <v>1004</v>
      </c>
      <c r="I146" s="183">
        <v>43084.920081018521</v>
      </c>
      <c r="J146" s="182">
        <v>0</v>
      </c>
      <c r="K146" s="190" t="str">
        <f t="shared" si="82"/>
        <v>4043/4044</v>
      </c>
      <c r="L146" s="196" t="str">
        <f>VLOOKUP(A146,'Trips&amp;Operators'!$C$1:$G$99911,5,FALSE)</f>
        <v>ZEWDU DEREJE</v>
      </c>
      <c r="M146" s="181">
        <f t="shared" si="83"/>
        <v>2.4039351854298729E-2</v>
      </c>
      <c r="N146" s="182">
        <f t="shared" si="81"/>
        <v>34.61666667019017</v>
      </c>
      <c r="O146" s="182"/>
      <c r="P146" s="182"/>
      <c r="Q146" s="185"/>
      <c r="R146" s="197"/>
      <c r="S146" s="241">
        <f t="shared" si="80"/>
        <v>1</v>
      </c>
      <c r="T146" s="220" t="str">
        <f t="shared" si="84"/>
        <v>NorthBound</v>
      </c>
      <c r="U146" s="22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21" t="str">
        <f t="shared" si="85"/>
        <v>https://d0f6bd738d7f1b3e5a7ca70fe4ff75f0.us-east-1.aws.found.io/app/kibana#/discover/Steve-Slow-Train-Analysis-(2080s-and-2083s)?_g=(refreshInterval:(display:Off,pause:!f,section:0,value:0),time:(from:'2017-12-15T20:12:27-0700',mode:absolute,to:'2017-12-15T23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6" s="222" t="str">
        <f>IF(AA146&lt;VLOOKUP(AG146,Variables!$AC$3:$AD$8,2,FALSE),"Y","N")</f>
        <v>N</v>
      </c>
      <c r="X146" s="222">
        <f t="shared" si="79"/>
        <v>1</v>
      </c>
      <c r="Y146" s="222">
        <f t="shared" si="77"/>
        <v>5.2600000000000001E-2</v>
      </c>
      <c r="Z146" s="222">
        <f t="shared" si="78"/>
        <v>23.3249</v>
      </c>
      <c r="AA146" s="222">
        <f t="shared" si="86"/>
        <v>23.272299999999998</v>
      </c>
      <c r="AB146" s="231" t="e">
        <f>VLOOKUP(A146,Enforcements!$C$7:$K$9,8,0)</f>
        <v>#N/A</v>
      </c>
      <c r="AC146" s="231" t="e">
        <f>VLOOKUP(A146,Enforcements!$C$7:$E$9,3,0)</f>
        <v>#N/A</v>
      </c>
      <c r="AD146" s="232">
        <f t="shared" si="87"/>
        <v>231</v>
      </c>
      <c r="AE146" s="233" t="str">
        <f t="shared" si="88"/>
        <v>aws s3 cp s3://rtdc.mdm.uploadarchive.raw/RTDC4044/ "%USERPROFILE%\AppData\Local\Temp\OnboardLogs"\RTDC4044\2017-12-15 --exclude "*" --recursive --include "*20171215*" &amp; "%USERPROFILE%\Documents\GitHub\mrs-test-scripts\Headless Mode &amp; Sideloading\WalkAndUnGZ.bat" "%USERPROFILE%\AppData\Local\Temp\OnboardLogs"\RTDC4044\2017-12-15 &amp; aws s3 cp s3://rtdc.mdm.uploadarchive.raw/RTDC4044/ "%USERPROFILE%\AppData\Local\Temp\OnboardLogs"\RTDC4044\2017-12-16 --exclude "*" --recursive --include "*20171216*" &amp; "%USERPROFILE%\Documents\GitHub\mrs-test-scripts\Headless Mode &amp; Sideloading\WalkAndUnGZ.bat" "%USERPROFILE%\AppData\Local\Temp\OnboardLogs"\RTDC4044\2017-12-16</v>
      </c>
      <c r="AF146" s="234" t="str">
        <f t="shared" si="89"/>
        <v>"C:\Program Files (x86)\AstroGrep\AstroGrep.exe" /e /r /s /spath="%USERPROFILE%\AppData\Local\Temp\OnboardLogs" /stypes="app*4044*20171216*" /stext=" 05:.+((SYSTEM_STATE.+slice.+state.+changed )|(ment ac)|(multiple cpu faults)|(system.+state.+changed )|(\[timeout)|(PRM\|1\|D)|(kpr)|(kdp)|(train st.+moving)|(\|lc)|(penalty))"</v>
      </c>
      <c r="AG146" s="226" t="str">
        <f t="shared" si="90"/>
        <v>EC</v>
      </c>
      <c r="AH146" s="189" t="str">
        <f t="shared" si="91"/>
        <v>"%USERPROFILE%\Documents\GitHub\eaglep3\Utilities\RefineRTDCRunTimes.py" --tripid 231-15 --locoid 4044 --swversion DE.1.0.9.0 --startMP 204:526 --initTime 2017-12-15T21:12:27 --startdatetime 2017-12-15T21:30:18 --delay 57 --endMP 204:233249 --enddatetime 2017-12-15T22:04:55 --enforcementcount 0 &gt;&gt;%USERPROFILE%\Documents\GitHub\eaglep3-reporting\EC\2017-12-15-refined-times.txt</v>
      </c>
      <c r="AI146" s="191" t="str">
        <f t="shared" si="92"/>
        <v>echo {"issue":{"subject":"","project_id":79,"tracker_id":40,"status_id":1,"priority_id":2,"assigned_to_id":338,"start_date":"2017-12-15","description":"","custom_fields":[{"id":1,"name":"Subdivision","value":"EC"},{"id":4,"name":"Milepost","value":"23.3249"},{"id":17,"name":"Train ID","value":"231-15"},{"id":16,"name":"Locomotive ID","value":"4044"},{"id":130,"name":"Impact","value":""},{"id":150,"name":"Time of Event (Mountain Time)","value":"22:04:55"},{"id":151,"name":"Denver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188"/>
      <c r="AL146" s="188"/>
      <c r="AM146" s="193" t="str">
        <f t="shared" si="93"/>
        <v>start /low /b %USERPROFILE%\Documents\GitHub\eaglep3\Utilities\DownloadLogsFromS3.py --loco 4044 --day 2017-12-15</v>
      </c>
      <c r="AN146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05:04:55"},{"id":29,"name":"Sharepoint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87" t="str">
        <f t="shared" si="95"/>
        <v>https://d0f6bd738d7f1b3e5a7ca70fe4ff75f0.us-east-1.aws.found.io/app/kibana#/discover/Steve-Slow-Train-Analysis-(2080s-and-2083s)?_g=(refreshInterval:(display:Off,pause:!f,section:0,value:0),time:(from:'2017-12-15T20:12:27-0700',mode:absolute,to:'2017-12-15T23:04:55-0700'))&amp;_a=(columns:!('Message%20ID',Summary),filters:!(),index:'emp_*',interval:auto,query:(query_string:(analyze_wildcard:!t,query:'%22rtdc.l.rtdc.4044%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186" t="s">
        <v>679</v>
      </c>
      <c r="B147" s="182">
        <v>4043</v>
      </c>
      <c r="C147" s="184" t="s">
        <v>192</v>
      </c>
      <c r="D147" s="184" t="s">
        <v>604</v>
      </c>
      <c r="E147" s="183">
        <v>43084.932719907411</v>
      </c>
      <c r="F147" s="183">
        <v>43084.935717592591</v>
      </c>
      <c r="G147" s="182">
        <v>59</v>
      </c>
      <c r="H147" s="184" t="s">
        <v>1005</v>
      </c>
      <c r="I147" s="183">
        <v>43084.963969907411</v>
      </c>
      <c r="J147" s="182">
        <v>0</v>
      </c>
      <c r="K147" s="190" t="str">
        <f t="shared" si="82"/>
        <v>4043/4044</v>
      </c>
      <c r="L147" s="196" t="str">
        <f>VLOOKUP(A147,'Trips&amp;Operators'!$C$1:$G$99911,5,FALSE)</f>
        <v>ZEWDU DEREJE</v>
      </c>
      <c r="M147" s="181">
        <f t="shared" si="83"/>
        <v>2.825231481983792E-2</v>
      </c>
      <c r="N147" s="182">
        <f t="shared" si="81"/>
        <v>40.683333340566605</v>
      </c>
      <c r="O147" s="182"/>
      <c r="P147" s="182"/>
      <c r="Q147" s="185"/>
      <c r="R147" s="197"/>
      <c r="S147" s="241">
        <f t="shared" si="80"/>
        <v>1</v>
      </c>
      <c r="T147" s="220" t="str">
        <f t="shared" si="84"/>
        <v>Southbound</v>
      </c>
      <c r="U147" s="22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21" t="str">
        <f t="shared" si="85"/>
        <v>https://d0f6bd738d7f1b3e5a7ca70fe4ff75f0.us-east-1.aws.found.io/app/kibana#/discover/Steve-Slow-Train-Analysis-(2080s-and-2083s)?_g=(refreshInterval:(display:Off,pause:!f,section:0,value:0),time:(from:'2017-12-15T21:23:07-0700',mode:absolute,to:'2017-12-16T00:08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7" s="222" t="str">
        <f>IF(AA147&lt;VLOOKUP(AG147,Variables!$AC$3:$AD$8,2,FALSE),"Y","N")</f>
        <v>N</v>
      </c>
      <c r="X147" s="222">
        <f t="shared" si="79"/>
        <v>1</v>
      </c>
      <c r="Y147" s="222">
        <f t="shared" si="77"/>
        <v>23.290199999999999</v>
      </c>
      <c r="Z147" s="222">
        <f t="shared" si="78"/>
        <v>2.5999999999999999E-2</v>
      </c>
      <c r="AA147" s="222">
        <f t="shared" si="86"/>
        <v>23.264199999999999</v>
      </c>
      <c r="AB147" s="231" t="e">
        <f>VLOOKUP(A147,Enforcements!$C$7:$K$9,8,0)</f>
        <v>#N/A</v>
      </c>
      <c r="AC147" s="231" t="e">
        <f>VLOOKUP(A147,Enforcements!$C$7:$E$9,3,0)</f>
        <v>#N/A</v>
      </c>
      <c r="AD147" s="232">
        <f t="shared" si="87"/>
        <v>232</v>
      </c>
      <c r="AE147" s="233" t="str">
        <f t="shared" si="88"/>
        <v>aws s3 cp s3://rtdc.mdm.uploadarchive.raw/RTDC4043/ "%USERPROFILE%\AppData\Local\Temp\OnboardLogs"\RTDC4043\2017-12-15 --exclude "*" --recursive --include "*20171215*" &amp; "%USERPROFILE%\Documents\GitHub\mrs-test-scripts\Headless Mode &amp; Sideloading\WalkAndUnGZ.bat" "%USERPROFILE%\AppData\Local\Temp\OnboardLogs"\RTDC4043\2017-12-15 &amp; aws s3 cp s3://rtdc.mdm.uploadarchive.raw/RTDC4043/ "%USERPROFILE%\AppData\Local\Temp\OnboardLogs"\RTDC4043\2017-12-16 --exclude "*" --recursive --include "*20171216*" &amp; "%USERPROFILE%\Documents\GitHub\mrs-test-scripts\Headless Mode &amp; Sideloading\WalkAndUnGZ.bat" "%USERPROFILE%\AppData\Local\Temp\OnboardLogs"\RTDC4043\2017-12-16</v>
      </c>
      <c r="AF147" s="234" t="str">
        <f t="shared" si="89"/>
        <v>"C:\Program Files (x86)\AstroGrep\AstroGrep.exe" /e /r /s /spath="%USERPROFILE%\AppData\Local\Temp\OnboardLogs" /stypes="app*4043*20171216*" /stext=" 06:.+((SYSTEM_STATE.+slice.+state.+changed )|(ment ac)|(multiple cpu faults)|(system.+state.+changed )|(\[timeout)|(PRM\|1\|D)|(kpr)|(kdp)|(train st.+moving)|(\|lc)|(penalty))"</v>
      </c>
      <c r="AG147" s="226" t="str">
        <f t="shared" si="90"/>
        <v>EC</v>
      </c>
      <c r="AH147" s="189" t="str">
        <f t="shared" si="91"/>
        <v>"%USERPROFILE%\Documents\GitHub\eaglep3\Utilities\RefineRTDCRunTimes.py" --tripid 232-15 --locoid 4043 --swversion DE.1.0.9.0 --startMP 204:232902 --initTime 2017-12-15T22:23:07 --startdatetime 2017-12-15T22:27:26 --delay 59 --endMP 204:260 --enddatetime 2017-12-15T23:08:07 --enforcementcount 0 &gt;&gt;%USERPROFILE%\Documents\GitHub\eaglep3-reporting\EC\2017-12-15-refined-times.txt</v>
      </c>
      <c r="AI147" s="191" t="str">
        <f t="shared" si="92"/>
        <v>echo {"issue":{"subject":"","project_id":79,"tracker_id":40,"status_id":1,"priority_id":2,"assigned_to_id":338,"start_date":"2017-12-15","description":"","custom_fields":[{"id":1,"name":"Subdivision","value":"EC"},{"id":4,"name":"Milepost","value":"0.026"},{"id":17,"name":"Train ID","value":"232-15"},{"id":16,"name":"Locomotive ID","value":"4043"},{"id":130,"name":"Impact","value":""},{"id":150,"name":"Time of Event (Mountain Time)","value":"23:08:07"},{"id":151,"name":"Denver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180"/>
      <c r="AK147" s="188"/>
      <c r="AL147" s="188"/>
      <c r="AM147" s="193" t="str">
        <f t="shared" si="93"/>
        <v>start /low /b %USERPROFILE%\Documents\GitHub\eaglep3\Utilities\DownloadLogsFromS3.py --loco 4043 --day 2017-12-15</v>
      </c>
      <c r="AN147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06:08:07"},{"id":29,"name":"Sharepoint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87" t="str">
        <f t="shared" si="95"/>
        <v>https://d0f6bd738d7f1b3e5a7ca70fe4ff75f0.us-east-1.aws.found.io/app/kibana#/discover/Steve-Slow-Train-Analysis-(2080s-and-2083s)?_g=(refreshInterval:(display:Off,pause:!f,section:0,value:0),time:(from:'2017-12-15T21:23:07-0700',mode:absolute,to:'2017-12-16T00:08:07-0700'))&amp;_a=(columns:!('Message%20ID',Summary),filters:!(),index:'emp_*',interval:auto,query:(query_string:(analyze_wildcard:!t,query:'%22rtdc.l.rtdc.4043%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180" customFormat="1" x14ac:dyDescent="0.25">
      <c r="A148" s="186" t="s">
        <v>677</v>
      </c>
      <c r="B148" s="182">
        <v>4032</v>
      </c>
      <c r="C148" s="184" t="s">
        <v>192</v>
      </c>
      <c r="D148" s="184" t="s">
        <v>604</v>
      </c>
      <c r="E148" s="183">
        <v>43084.932719907411</v>
      </c>
      <c r="F148" s="183">
        <v>43084.916990740741</v>
      </c>
      <c r="G148" s="182">
        <v>59</v>
      </c>
      <c r="H148" s="184" t="s">
        <v>1005</v>
      </c>
      <c r="I148" s="183">
        <v>43084.945243055554</v>
      </c>
      <c r="J148" s="182">
        <v>0</v>
      </c>
      <c r="K148" s="190" t="str">
        <f t="shared" si="82"/>
        <v>4031/4032</v>
      </c>
      <c r="L148" s="196" t="str">
        <f>VLOOKUP(A148,'Trips&amp;Operators'!$C$1:$G$99911,5,FALSE)</f>
        <v>NICHOLSON WESLEY</v>
      </c>
      <c r="M148" s="181">
        <f t="shared" si="83"/>
        <v>2.8252314812561963E-2</v>
      </c>
      <c r="N148" s="182">
        <f t="shared" si="81"/>
        <v>40.683333330089226</v>
      </c>
      <c r="O148" s="182"/>
      <c r="P148" s="182"/>
      <c r="Q148" s="185"/>
      <c r="R148" s="197"/>
      <c r="S148" s="241">
        <f t="shared" si="80"/>
        <v>1</v>
      </c>
      <c r="T148" s="220" t="str">
        <f t="shared" si="84"/>
        <v>NorthBound</v>
      </c>
      <c r="U148" s="22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21" t="str">
        <f t="shared" si="85"/>
        <v>https://d0f6bd738d7f1b3e5a7ca70fe4ff75f0.us-east-1.aws.found.io/app/kibana#/discover/Steve-Slow-Train-Analysis-(2080s-and-2083s)?_g=(refreshInterval:(display:Off,pause:!f,section:0,value:0),time:(from:'2017-12-15T21:23:07-0700',mode:absolute,to:'2017-12-15T23:41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8" s="222" t="str">
        <f>IF(AA148&lt;VLOOKUP(AG148,Variables!$AC$3:$AD$8,2,FALSE),"Y","N")</f>
        <v>N</v>
      </c>
      <c r="X148" s="222">
        <f t="shared" si="79"/>
        <v>1</v>
      </c>
      <c r="Y148" s="222">
        <v>5.2600000000000001E-2</v>
      </c>
      <c r="Z148" s="222">
        <v>23.3249</v>
      </c>
      <c r="AA148" s="222">
        <f t="shared" si="86"/>
        <v>23.272299999999998</v>
      </c>
      <c r="AB148" s="231" t="e">
        <f>VLOOKUP(A148,Enforcements!$C$7:$K$9,8,0)</f>
        <v>#N/A</v>
      </c>
      <c r="AC148" s="231" t="e">
        <f>VLOOKUP(A148,Enforcements!$C$7:$E$9,3,0)</f>
        <v>#N/A</v>
      </c>
      <c r="AD148" s="232">
        <f t="shared" si="87"/>
        <v>233</v>
      </c>
      <c r="AE148" s="233" t="str">
        <f t="shared" si="88"/>
        <v>aws s3 cp s3://rtdc.mdm.uploadarchive.raw/RTDC4032/ "%USERPROFILE%\AppData\Local\Temp\OnboardLogs"\RTDC4032\2017-12-15 --exclude "*" --recursive --include "*20171215*" &amp; "%USERPROFILE%\Documents\GitHub\mrs-test-scripts\Headless Mode &amp; Sideloading\WalkAndUnGZ.bat" "%USERPROFILE%\AppData\Local\Temp\OnboardLogs"\RTDC4032\2017-12-15 &amp; aws s3 cp s3://rtdc.mdm.uploadarchive.raw/RTDC4032/ "%USERPROFILE%\AppData\Local\Temp\OnboardLogs"\RTDC4032\2017-12-16 --exclude "*" --recursive --include "*20171216*" &amp; "%USERPROFILE%\Documents\GitHub\mrs-test-scripts\Headless Mode &amp; Sideloading\WalkAndUnGZ.bat" "%USERPROFILE%\AppData\Local\Temp\OnboardLogs"\RTDC4032\2017-12-16</v>
      </c>
      <c r="AF148" s="234" t="str">
        <f t="shared" si="89"/>
        <v>"C:\Program Files (x86)\AstroGrep\AstroGrep.exe" /e /r /s /spath="%USERPROFILE%\AppData\Local\Temp\OnboardLogs" /stypes="app*4032*20171216*" /stext=" 05:.+((SYSTEM_STATE.+slice.+state.+changed )|(ment ac)|(multiple cpu faults)|(system.+state.+changed )|(\[timeout)|(PRM\|1\|D)|(kpr)|(kdp)|(train st.+moving)|(\|lc)|(penalty))"</v>
      </c>
      <c r="AG148" s="226" t="str">
        <f t="shared" si="90"/>
        <v>EC</v>
      </c>
      <c r="AH148" s="189" t="str">
        <f t="shared" ref="AH148" si="96">refinertdcruntimes&amp;" --tripid "&amp;A148&amp;" --locoid "&amp;B148&amp;" --swversion "&amp;C148&amp;" --startMP "&amp;D148&amp;" --initTime "&amp;TEXT(E148,"yyyy-mm-ddTHH:MM:SS")&amp;" --startdatetime "&amp;TEXT(F148,"yyyy-mm-ddTHH:MM:SS")&amp;" --delay "&amp;G148&amp;" --endMP "&amp;H148&amp;" --enddatetime "&amp;TEXT(I148,"yyyy-mm-ddTHH:MM:SS")&amp;" --enforcementcount "&amp;J148&amp;IF(outputrefinedruntimes," &gt;&gt;"&amp;RefinedRTDCRunTimesOutputFile,"")</f>
        <v>"%USERPROFILE%\Documents\GitHub\eaglep3\Utilities\RefineRTDCRunTimes.py" --tripid 233-15 --locoid 4032 --swversion DE.1.0.9.0 --startMP 204:232902 --initTime 2017-12-15T22:23:07 --startdatetime 2017-12-15T22:00:28 --delay 59 --endMP 204:260 --enddatetime 2017-12-15T22:41:09 --enforcementcount 0 &gt;&gt;%USERPROFILE%\Documents\GitHub\eaglep3-reporting\EC\2017-12-15-refined-times.txt</v>
      </c>
      <c r="AI148" s="191" t="str">
        <f t="shared" ref="AI148" si="97">"echo {""issue"":{""subject"":"""&amp;R148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Z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{"issue":{"subject":"","project_id":79,"tracker_id":40,"status_id":1,"priority_id":2,"assigned_to_id":338,"start_date":"2017-12-15","description":"","custom_fields":[{"id":1,"name":"Subdivision","value":"EC"},{"id":4,"name":"Milepost","value":"23.3249"},{"id":17,"name":"Train ID","value":"233-15"},{"id":16,"name":"Locomotive ID","value":"4032"},{"id":130,"name":"Impact","value":""},{"id":150,"name":"Time of Event (Mountain Time)","value":"22:41:09"},{"id":151,"name":"Denver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188"/>
      <c r="AL148" s="188"/>
      <c r="AM148" s="193" t="str">
        <f t="shared" ref="AM148" si="98">"start /low /b "&amp;dls3logs&amp;" --loco "&amp;B148&amp;" --day "&amp;TEXT(F148,"YYYY-MM-DD")</f>
        <v>start /low /b %USERPROFILE%\Documents\GitHub\eaglep3\Utilities\DownloadLogsFromS3.py --loco 4032 --day 2017-12-15</v>
      </c>
      <c r="AN148" s="194" t="str">
        <f t="shared" ref="AN148" si="99">"echo {""issue"":{""subject"":"""&amp;R148&amp;""",""project_id"":30,""tracker_id"":4,""status_id"":"&amp;redmine_status_wcr&amp;",""priority_id"":"&amp;redmine_priority_wcr&amp;",""assigned_to_id"":"&amp;redmine_assignee_wcr&amp;",""start_date"":"""&amp;TEXT(I148-utc_offset/24,"YYYY-mm-dd")&amp;""",""description"":"""&amp;AJ148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05:41:09"},{"id":29,"name":"Sharepoint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87" t="str">
        <f t="shared" ref="AO148" si="100"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Message%20ID',Summary),filters:!(),index:'emp_*',interval:auto,query:"&amp;"(query_string:(analyze_wildcard:!t,query:'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-12-15T21:23:07-0700',mode:absolute,to:'2017-12-15T23:41:09-0700'))&amp;_a=(columns:!('Message%20ID',Summary),filters:!(),index:'emp_*',interval:auto,query:(query_string:(analyze_wildcard:!t,query:'%22rtdc.l.rtdc.4032%22')),sort:!(Time.ISO8601,asc))</v>
      </c>
    </row>
    <row r="149" spans="1:91" s="180" customFormat="1" x14ac:dyDescent="0.25">
      <c r="A149" s="186" t="s">
        <v>868</v>
      </c>
      <c r="B149" s="182">
        <v>4031</v>
      </c>
      <c r="C149" s="184" t="s">
        <v>192</v>
      </c>
      <c r="D149" s="184" t="s">
        <v>918</v>
      </c>
      <c r="E149" s="183">
        <v>43084.953136574077</v>
      </c>
      <c r="F149" s="183">
        <v>43084.956458333334</v>
      </c>
      <c r="G149" s="182">
        <v>67</v>
      </c>
      <c r="H149" s="184" t="s">
        <v>948</v>
      </c>
      <c r="I149" s="183">
        <v>43084.9844212963</v>
      </c>
      <c r="J149" s="182">
        <v>0</v>
      </c>
      <c r="K149" s="190" t="str">
        <f t="shared" si="82"/>
        <v>4031/4032</v>
      </c>
      <c r="L149" s="196" t="str">
        <f>VLOOKUP(A149,'Trips&amp;Operators'!$C$1:$G$99911,5,FALSE)</f>
        <v>NICHOLSON WESLEY</v>
      </c>
      <c r="M149" s="181">
        <f t="shared" si="83"/>
        <v>2.7962962965830229E-2</v>
      </c>
      <c r="N149" s="182">
        <f t="shared" si="81"/>
        <v>40.26666667079553</v>
      </c>
      <c r="O149" s="182"/>
      <c r="P149" s="182"/>
      <c r="Q149" s="185"/>
      <c r="R149" s="197"/>
      <c r="S149" s="241">
        <f t="shared" si="80"/>
        <v>1</v>
      </c>
      <c r="T149" s="220" t="str">
        <f t="shared" si="84"/>
        <v>Southbound</v>
      </c>
      <c r="U149" s="22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21" t="str">
        <f t="shared" si="85"/>
        <v>https://d0f6bd738d7f1b3e5a7ca70fe4ff75f0.us-east-1.aws.found.io/app/kibana#/discover/Steve-Slow-Train-Analysis-(2080s-and-2083s)?_g=(refreshInterval:(display:Off,pause:!f,section:0,value:0),time:(from:'2017-12-15T21:52:31-0700',mode:absolute,to:'2017-12-16T00:37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9" s="222" t="str">
        <f>IF(AA149&lt;VLOOKUP(AG149,Variables!$AC$3:$AD$8,2,FALSE),"Y","N")</f>
        <v>N</v>
      </c>
      <c r="X149" s="222">
        <f t="shared" ref="X149:X151" si="101">VALUE(LEFT(AD149,4))-VALUE(LEFT(AD148,4))</f>
        <v>1</v>
      </c>
      <c r="Y149" s="222">
        <f t="shared" ref="Y149:Y180" si="102">RIGHT(D149,LEN(D149)-4)/10000</f>
        <v>23.288699999999999</v>
      </c>
      <c r="Z149" s="222">
        <f t="shared" ref="Z149:Z180" si="103">RIGHT(H149,LEN(H149)-4)/10000</f>
        <v>2.5399999999999999E-2</v>
      </c>
      <c r="AA149" s="222">
        <f t="shared" si="86"/>
        <v>23.263299999999997</v>
      </c>
      <c r="AB149" s="231" t="e">
        <f>VLOOKUP(A149,Enforcements!$C$7:$K$9,8,0)</f>
        <v>#N/A</v>
      </c>
      <c r="AC149" s="231" t="e">
        <f>VLOOKUP(A149,Enforcements!$C$7:$E$9,3,0)</f>
        <v>#N/A</v>
      </c>
      <c r="AD149" s="232">
        <f t="shared" si="87"/>
        <v>234</v>
      </c>
      <c r="AE149" s="233" t="str">
        <f t="shared" si="88"/>
        <v>aws s3 cp s3://rtdc.mdm.uploadarchive.raw/RTDC4031/ "%USERPROFILE%\AppData\Local\Temp\OnboardLogs"\RTDC4031\2017-12-15 --exclude "*" --recursive --include "*20171215*" &amp; "%USERPROFILE%\Documents\GitHub\mrs-test-scripts\Headless Mode &amp; Sideloading\WalkAndUnGZ.bat" "%USERPROFILE%\AppData\Local\Temp\OnboardLogs"\RTDC4031\2017-12-15 &amp; aws s3 cp s3://rtdc.mdm.uploadarchive.raw/RTDC4031/ "%USERPROFILE%\AppData\Local\Temp\OnboardLogs"\RTDC4031\2017-12-16 --exclude "*" --recursive --include "*20171216*" &amp; "%USERPROFILE%\Documents\GitHub\mrs-test-scripts\Headless Mode &amp; Sideloading\WalkAndUnGZ.bat" "%USERPROFILE%\AppData\Local\Temp\OnboardLogs"\RTDC4031\2017-12-16</v>
      </c>
      <c r="AF149" s="234" t="str">
        <f t="shared" si="89"/>
        <v>"C:\Program Files (x86)\AstroGrep\AstroGrep.exe" /e /r /s /spath="%USERPROFILE%\AppData\Local\Temp\OnboardLogs" /stypes="app*4031*20171216*" /stext=" 06:.+((SYSTEM_STATE.+slice.+state.+changed )|(ment ac)|(multiple cpu faults)|(system.+state.+changed )|(\[timeout)|(PRM\|1\|D)|(kpr)|(kdp)|(train st.+moving)|(\|lc)|(penalty))"</v>
      </c>
      <c r="AG149" s="226" t="str">
        <f t="shared" si="90"/>
        <v>EC</v>
      </c>
      <c r="AH149" s="189" t="str">
        <f t="shared" si="91"/>
        <v>"%USERPROFILE%\Documents\GitHub\eaglep3\Utilities\RefineRTDCRunTimes.py" --tripid 234-15 --locoid 4031 --swversion DE.1.0.9.0 --startMP 204:232887 --initTime 2017-12-15T22:52:31 --startdatetime 2017-12-15T22:57:18 --delay 67 --endMP 204:254 --enddatetime 2017-12-15T23:37:34 --enforcementcount 0 &gt;&gt;%USERPROFILE%\Documents\GitHub\eaglep3-reporting\EC\2017-12-15-refined-times.txt</v>
      </c>
      <c r="AI149" s="191" t="str">
        <f t="shared" si="92"/>
        <v>echo {"issue":{"subject":"","project_id":79,"tracker_id":40,"status_id":1,"priority_id":2,"assigned_to_id":338,"start_date":"2017-12-15","description":"","custom_fields":[{"id":1,"name":"Subdivision","value":"EC"},{"id":4,"name":"Milepost","value":"0.0254"},{"id":17,"name":"Train ID","value":"234-15"},{"id":16,"name":"Locomotive ID","value":"4031"},{"id":130,"name":"Impact","value":""},{"id":150,"name":"Time of Event (Mountain Time)","value":"23:37:34"},{"id":151,"name":"Denver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188"/>
      <c r="AL149" s="188"/>
      <c r="AM149" s="193" t="str">
        <f t="shared" si="93"/>
        <v>start /low /b %USERPROFILE%\Documents\GitHub\eaglep3\Utilities\DownloadLogsFromS3.py --loco 4031 --day 2017-12-15</v>
      </c>
      <c r="AN149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06:37:34"},{"id":29,"name":"Sharepoint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87" t="str">
        <f t="shared" si="95"/>
        <v>https://d0f6bd738d7f1b3e5a7ca70fe4ff75f0.us-east-1.aws.found.io/app/kibana#/discover/Steve-Slow-Train-Analysis-(2080s-and-2083s)?_g=(refreshInterval:(display:Off,pause:!f,section:0,value:0),time:(from:'2017-12-15T21:52:31-0700',mode:absolute,to:'2017-12-16T00:37:34-0700'))&amp;_a=(columns:!('Message%20ID',Summary),filters:!(),index:'emp_*',interval:auto,query:(query_string:(analyze_wildcard:!t,query:'%22rtdc.l.rtdc.4031%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180" customFormat="1" x14ac:dyDescent="0.25">
      <c r="A150" s="186" t="s">
        <v>866</v>
      </c>
      <c r="B150" s="182">
        <v>4062</v>
      </c>
      <c r="C150" s="184" t="s">
        <v>192</v>
      </c>
      <c r="D150" s="184" t="s">
        <v>620</v>
      </c>
      <c r="E150" s="183">
        <v>43084.921099537038</v>
      </c>
      <c r="F150" s="183">
        <v>43084.937696759262</v>
      </c>
      <c r="G150" s="182">
        <v>52</v>
      </c>
      <c r="H150" s="184" t="s">
        <v>1006</v>
      </c>
      <c r="I150" s="183">
        <v>43084.963067129633</v>
      </c>
      <c r="J150" s="182">
        <v>0</v>
      </c>
      <c r="K150" s="190" t="str">
        <f t="shared" si="82"/>
        <v>4061/4062</v>
      </c>
      <c r="L150" s="196" t="str">
        <f>VLOOKUP(A150,'Trips&amp;Operators'!$C$1:$G$99911,5,FALSE)</f>
        <v>ELBAUM MIKE</v>
      </c>
      <c r="M150" s="181">
        <f t="shared" si="83"/>
        <v>2.5370370371092577E-2</v>
      </c>
      <c r="N150" s="182">
        <f t="shared" si="81"/>
        <v>36.53333333437331</v>
      </c>
      <c r="O150" s="182"/>
      <c r="P150" s="182"/>
      <c r="Q150" s="185"/>
      <c r="R150" s="197"/>
      <c r="S150" s="241">
        <f t="shared" si="80"/>
        <v>1</v>
      </c>
      <c r="T150" s="220" t="str">
        <f t="shared" si="84"/>
        <v>NorthBound</v>
      </c>
      <c r="U150" s="22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21" t="str">
        <f t="shared" si="85"/>
        <v>https://d0f6bd738d7f1b3e5a7ca70fe4ff75f0.us-east-1.aws.found.io/app/kibana#/discover/Steve-Slow-Train-Analysis-(2080s-and-2083s)?_g=(refreshInterval:(display:Off,pause:!f,section:0,value:0),time:(from:'2017-12-15T21:06:23-0700',mode:absolute,to:'2017-12-16T00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0" s="222" t="str">
        <f>IF(AA150&lt;VLOOKUP(AG150,Variables!$AC$3:$AD$8,2,FALSE),"Y","N")</f>
        <v>N</v>
      </c>
      <c r="X150" s="222">
        <f t="shared" si="101"/>
        <v>1</v>
      </c>
      <c r="Y150" s="222">
        <f t="shared" si="102"/>
        <v>5.7099999999999998E-2</v>
      </c>
      <c r="Z150" s="222">
        <f t="shared" si="103"/>
        <v>23.326599999999999</v>
      </c>
      <c r="AA150" s="222">
        <f t="shared" si="86"/>
        <v>23.269500000000001</v>
      </c>
      <c r="AB150" s="231" t="e">
        <f>VLOOKUP(A150,Enforcements!$C$7:$K$9,8,0)</f>
        <v>#N/A</v>
      </c>
      <c r="AC150" s="231" t="e">
        <f>VLOOKUP(A150,Enforcements!$C$7:$E$9,3,0)</f>
        <v>#N/A</v>
      </c>
      <c r="AD150" s="232">
        <f t="shared" si="87"/>
        <v>235</v>
      </c>
      <c r="AE150" s="233" t="str">
        <f t="shared" si="88"/>
        <v>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 &amp; aws s3 cp s3://rtdc.mdm.uploadarchive.raw/RTDC4062/ "%USERPROFILE%\AppData\Local\Temp\OnboardLogs"\RTDC4062\2017-12-16 --exclude "*" --recursive --include "*20171216*" &amp; "%USERPROFILE%\Documents\GitHub\mrs-test-scripts\Headless Mode &amp; Sideloading\WalkAndUnGZ.bat" "%USERPROFILE%\AppData\Local\Temp\OnboardLogs"\RTDC4062\2017-12-16</v>
      </c>
      <c r="AF150" s="234" t="str">
        <f t="shared" si="89"/>
        <v>"C:\Program Files (x86)\AstroGrep\AstroGrep.exe" /e /r /s /spath="%USERPROFILE%\AppData\Local\Temp\OnboardLogs" /stypes="app*4062*20171216*" /stext=" 06:.+((SYSTEM_STATE.+slice.+state.+changed )|(ment ac)|(multiple cpu faults)|(system.+state.+changed )|(\[timeout)|(PRM\|1\|D)|(kpr)|(kdp)|(train st.+moving)|(\|lc)|(penalty))"</v>
      </c>
      <c r="AG150" s="226" t="str">
        <f t="shared" si="90"/>
        <v>EC</v>
      </c>
      <c r="AH150" s="189" t="str">
        <f t="shared" si="91"/>
        <v>"%USERPROFILE%\Documents\GitHub\eaglep3\Utilities\RefineRTDCRunTimes.py" --tripid 235-15 --locoid 4062 --swversion DE.1.0.9.0 --startMP 204:571 --initTime 2017-12-15T22:06:23 --startdatetime 2017-12-15T22:30:17 --delay 52 --endMP 204:233266 --enddatetime 2017-12-15T23:06:49 --enforcementcount 0 &gt;&gt;%USERPROFILE%\Documents\GitHub\eaglep3-reporting\EC\2017-12-15-refined-times.txt</v>
      </c>
      <c r="AI150" s="191" t="str">
        <f t="shared" si="92"/>
        <v>echo {"issue":{"subject":"","project_id":79,"tracker_id":40,"status_id":1,"priority_id":2,"assigned_to_id":338,"start_date":"2017-12-15","description":"","custom_fields":[{"id":1,"name":"Subdivision","value":"EC"},{"id":4,"name":"Milepost","value":"23.3266"},{"id":17,"name":"Train ID","value":"235-15"},{"id":16,"name":"Locomotive ID","value":"4062"},{"id":130,"name":"Impact","value":""},{"id":150,"name":"Time of Event (Mountain Time)","value":"23:06:49"},{"id":151,"name":"Denver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188"/>
      <c r="AL150" s="188"/>
      <c r="AM150" s="193" t="str">
        <f t="shared" si="93"/>
        <v>start /low /b %USERPROFILE%\Documents\GitHub\eaglep3\Utilities\DownloadLogsFromS3.py --loco 4062 --day 2017-12-15</v>
      </c>
      <c r="AN150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06:06:49"},{"id":29,"name":"Sharepoint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87" t="str">
        <f t="shared" si="95"/>
        <v>https://d0f6bd738d7f1b3e5a7ca70fe4ff75f0.us-east-1.aws.found.io/app/kibana#/discover/Steve-Slow-Train-Analysis-(2080s-and-2083s)?_g=(refreshInterval:(display:Off,pause:!f,section:0,value:0),time:(from:'2017-12-15T21:06:23-0700',mode:absolute,to:'2017-12-16T00:06:49-0700'))&amp;_a=(columns:!('Message%20ID',Summary),filters:!(),index:'emp_*',interval:auto,query:(query_string:(analyze_wildcard:!t,query:'%22rtdc.l.rtdc.4062%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186" t="s">
        <v>872</v>
      </c>
      <c r="B151" s="182">
        <v>4061</v>
      </c>
      <c r="C151" s="184" t="s">
        <v>192</v>
      </c>
      <c r="D151" s="184" t="s">
        <v>596</v>
      </c>
      <c r="E151" s="183">
        <v>43084.97042824074</v>
      </c>
      <c r="F151" s="183">
        <v>43084.977233796293</v>
      </c>
      <c r="G151" s="182">
        <v>58</v>
      </c>
      <c r="H151" s="184" t="s">
        <v>948</v>
      </c>
      <c r="I151" s="183">
        <v>43085.002881944441</v>
      </c>
      <c r="J151" s="182">
        <v>0</v>
      </c>
      <c r="K151" s="190" t="str">
        <f t="shared" si="82"/>
        <v>4061/4062</v>
      </c>
      <c r="L151" s="196" t="str">
        <f>VLOOKUP(A151,'Trips&amp;Operators'!$C$1:$G$99911,5,FALSE)</f>
        <v>ELBAUM MIKE</v>
      </c>
      <c r="M151" s="181">
        <f t="shared" si="83"/>
        <v>2.5648148148320615E-2</v>
      </c>
      <c r="N151" s="182">
        <f t="shared" si="81"/>
        <v>36.933333333581686</v>
      </c>
      <c r="O151" s="182"/>
      <c r="P151" s="182"/>
      <c r="Q151" s="185"/>
      <c r="R151" s="197"/>
      <c r="S151" s="241">
        <f t="shared" si="80"/>
        <v>1</v>
      </c>
      <c r="T151" s="220" t="str">
        <f t="shared" si="84"/>
        <v>Southbound</v>
      </c>
      <c r="U151" s="22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21" t="str">
        <f t="shared" si="85"/>
        <v>https://d0f6bd738d7f1b3e5a7ca70fe4ff75f0.us-east-1.aws.found.io/app/kibana#/discover/Steve-Slow-Train-Analysis-(2080s-and-2083s)?_g=(refreshInterval:(display:Off,pause:!f,section:0,value:0),time:(from:'2017-12-15T22:17:25-0700',mode:absolute,to:'2017-12-16T01:04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1" s="222" t="str">
        <f>IF(AA151&lt;VLOOKUP(AG151,Variables!$AC$3:$AD$8,2,FALSE),"Y","N")</f>
        <v>N</v>
      </c>
      <c r="X151" s="222">
        <f t="shared" si="101"/>
        <v>1</v>
      </c>
      <c r="Y151" s="222">
        <f t="shared" si="102"/>
        <v>23.293800000000001</v>
      </c>
      <c r="Z151" s="222">
        <f t="shared" si="103"/>
        <v>2.5399999999999999E-2</v>
      </c>
      <c r="AA151" s="222">
        <f t="shared" si="86"/>
        <v>23.2684</v>
      </c>
      <c r="AB151" s="231" t="e">
        <f>VLOOKUP(A151,Enforcements!$C$7:$K$9,8,0)</f>
        <v>#N/A</v>
      </c>
      <c r="AC151" s="231" t="e">
        <f>VLOOKUP(A151,Enforcements!$C$7:$E$9,3,0)</f>
        <v>#N/A</v>
      </c>
      <c r="AD151" s="232">
        <f t="shared" si="87"/>
        <v>236</v>
      </c>
      <c r="AE151" s="233" t="str">
        <f t="shared" si="88"/>
        <v>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 &amp; aws s3 cp s3://rtdc.mdm.uploadarchive.raw/RTDC4061/ "%USERPROFILE%\AppData\Local\Temp\OnboardLogs"\RTDC4061\2017-12-16 --exclude "*" --recursive --include "*20171216*" &amp; "%USERPROFILE%\Documents\GitHub\mrs-test-scripts\Headless Mode &amp; Sideloading\WalkAndUnGZ.bat" "%USERPROFILE%\AppData\Local\Temp\OnboardLogs"\RTDC4061\2017-12-16</v>
      </c>
      <c r="AF151" s="234" t="str">
        <f t="shared" si="89"/>
        <v>"C:\Program Files (x86)\AstroGrep\AstroGrep.exe" /e /r /s /spath="%USERPROFILE%\AppData\Local\Temp\OnboardLogs" /stypes="app*4061*20171216*" /stext=" 07:.+((SYSTEM_STATE.+slice.+state.+changed )|(ment ac)|(multiple cpu faults)|(system.+state.+changed )|(\[timeout)|(PRM\|1\|D)|(kpr)|(kdp)|(train st.+moving)|(\|lc)|(penalty))"</v>
      </c>
      <c r="AG151" s="226" t="str">
        <f t="shared" si="90"/>
        <v>EC</v>
      </c>
      <c r="AH151" s="189" t="str">
        <f t="shared" si="91"/>
        <v>"%USERPROFILE%\Documents\GitHub\eaglep3\Utilities\RefineRTDCRunTimes.py" --tripid 236-15 --locoid 4061 --swversion DE.1.0.9.0 --startMP 204:232938 --initTime 2017-12-15T23:17:25 --startdatetime 2017-12-15T23:27:13 --delay 58 --endMP 204:254 --enddatetime 2017-12-16T00:04:09 --enforcementcount 0 &gt;&gt;%USERPROFILE%\Documents\GitHub\eaglep3-reporting\EC\2017-12-15-refined-times.txt</v>
      </c>
      <c r="AI151" s="191" t="str">
        <f t="shared" si="92"/>
        <v>echo {"issue":{"subject":"","project_id":79,"tracker_id":40,"status_id":1,"priority_id":2,"assigned_to_id":338,"start_date":"2017-12-16","description":"","custom_fields":[{"id":1,"name":"Subdivision","value":"EC"},{"id":4,"name":"Milepost","value":"0.0254"},{"id":17,"name":"Train ID","value":"236-15"},{"id":16,"name":"Locomotive ID","value":"4061"},{"id":130,"name":"Impact","value":""},{"id":150,"name":"Time of Event (Mountain Time)","value":"00:04:09"},{"id":151,"name":"Denver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180"/>
      <c r="AK151" s="188"/>
      <c r="AL151" s="188"/>
      <c r="AM151" s="193" t="str">
        <f t="shared" si="93"/>
        <v>start /low /b %USERPROFILE%\Documents\GitHub\eaglep3\Utilities\DownloadLogsFromS3.py --loco 4061 --day 2017-12-15</v>
      </c>
      <c r="AN151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07:04:09"},{"id":29,"name":"Sharepoint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87" t="str">
        <f t="shared" si="95"/>
        <v>https://d0f6bd738d7f1b3e5a7ca70fe4ff75f0.us-east-1.aws.found.io/app/kibana#/discover/Steve-Slow-Train-Analysis-(2080s-and-2083s)?_g=(refreshInterval:(display:Off,pause:!f,section:0,value:0),time:(from:'2017-12-15T22:17:25-0700',mode:absolute,to:'2017-12-16T01:04:09-0700'))&amp;_a=(columns:!('Message%20ID',Summary),filters:!(),index:'emp_*',interval:auto,query:(query_string:(analyze_wildcard:!t,query:'%22rtdc.l.rtdc.4061%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186" t="s">
        <v>869</v>
      </c>
      <c r="B152" s="182">
        <v>4004</v>
      </c>
      <c r="C152" s="184" t="s">
        <v>192</v>
      </c>
      <c r="D152" s="184" t="s">
        <v>1007</v>
      </c>
      <c r="E152" s="183">
        <v>43084.95716435185</v>
      </c>
      <c r="F152" s="183">
        <v>43084.958541666667</v>
      </c>
      <c r="G152" s="182">
        <v>56</v>
      </c>
      <c r="H152" s="184" t="s">
        <v>1008</v>
      </c>
      <c r="I152" s="183">
        <v>43084.984398148146</v>
      </c>
      <c r="J152" s="182">
        <v>0</v>
      </c>
      <c r="K152" s="190" t="str">
        <f t="shared" si="82"/>
        <v>4003/4004</v>
      </c>
      <c r="L152" s="196" t="str">
        <f>VLOOKUP(A152,'Trips&amp;Operators'!$C$1:$G$99911,5,FALSE)</f>
        <v>ANDERS STEVEN</v>
      </c>
      <c r="M152" s="181">
        <f t="shared" si="83"/>
        <v>2.5856481479422655E-2</v>
      </c>
      <c r="N152" s="182">
        <f t="shared" si="81"/>
        <v>37.233333330368623</v>
      </c>
      <c r="O152" s="182"/>
      <c r="P152" s="182"/>
      <c r="Q152" s="185"/>
      <c r="R152" s="197"/>
      <c r="S152" s="241">
        <f t="shared" si="80"/>
        <v>1</v>
      </c>
      <c r="T152" s="220" t="str">
        <f t="shared" si="84"/>
        <v>NorthBound</v>
      </c>
      <c r="U152" s="22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21" t="str">
        <f t="shared" si="85"/>
        <v>https://d0f6bd738d7f1b3e5a7ca70fe4ff75f0.us-east-1.aws.found.io/app/kibana#/discover/Steve-Slow-Train-Analysis-(2080s-and-2083s)?_g=(refreshInterval:(display:Off,pause:!f,section:0,value:0),time:(from:'2017-12-15T21:58:19-0700',mode:absolute,to:'2017-12-16T00:37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2" s="222" t="str">
        <f>IF(AA152&lt;VLOOKUP(AG152,Variables!$AC$3:$AD$8,2,FALSE),"Y","N")</f>
        <v>N</v>
      </c>
      <c r="X152" s="222">
        <f t="shared" ref="X152:X161" si="104">VALUE(LEFT(AD152,4))-VALUE(LEFT(AD151,4))</f>
        <v>1</v>
      </c>
      <c r="Y152" s="222">
        <f t="shared" si="102"/>
        <v>6.08E-2</v>
      </c>
      <c r="Z152" s="222">
        <f t="shared" si="103"/>
        <v>23.324200000000001</v>
      </c>
      <c r="AA152" s="222">
        <f t="shared" si="86"/>
        <v>23.263400000000001</v>
      </c>
      <c r="AB152" s="231" t="e">
        <f>VLOOKUP(A152,Enforcements!$C$7:$K$9,8,0)</f>
        <v>#N/A</v>
      </c>
      <c r="AC152" s="231" t="e">
        <f>VLOOKUP(A152,Enforcements!$C$7:$E$9,3,0)</f>
        <v>#N/A</v>
      </c>
      <c r="AD152" s="232">
        <f t="shared" si="87"/>
        <v>237</v>
      </c>
      <c r="AE152" s="233" t="str">
        <f t="shared" si="88"/>
        <v>aws s3 cp s3://rtdc.mdm.uploadarchive.raw/RTDC4004/ "%USERPROFILE%\AppData\Local\Temp\OnboardLogs"\RTDC4004\2017-12-15 --exclude "*" --recursive --include "*20171215*" &amp; "%USERPROFILE%\Documents\GitHub\mrs-test-scripts\Headless Mode &amp; Sideloading\WalkAndUnGZ.bat" "%USERPROFILE%\AppData\Local\Temp\OnboardLogs"\RTDC4004\2017-12-15 &amp; aws s3 cp s3://rtdc.mdm.uploadarchive.raw/RTDC4004/ "%USERPROFILE%\AppData\Local\Temp\OnboardLogs"\RTDC4004\2017-12-16 --exclude "*" --recursive --include "*20171216*" &amp; "%USERPROFILE%\Documents\GitHub\mrs-test-scripts\Headless Mode &amp; Sideloading\WalkAndUnGZ.bat" "%USERPROFILE%\AppData\Local\Temp\OnboardLogs"\RTDC4004\2017-12-16</v>
      </c>
      <c r="AF152" s="234" t="str">
        <f t="shared" si="89"/>
        <v>"C:\Program Files (x86)\AstroGrep\AstroGrep.exe" /e /r /s /spath="%USERPROFILE%\AppData\Local\Temp\OnboardLogs" /stypes="app*4004*20171216*" /stext=" 06:.+((SYSTEM_STATE.+slice.+state.+changed )|(ment ac)|(multiple cpu faults)|(system.+state.+changed )|(\[timeout)|(PRM\|1\|D)|(kpr)|(kdp)|(train st.+moving)|(\|lc)|(penalty))"</v>
      </c>
      <c r="AG152" s="226" t="str">
        <f t="shared" si="90"/>
        <v>EC</v>
      </c>
      <c r="AH152" s="189" t="str">
        <f t="shared" si="91"/>
        <v>"%USERPROFILE%\Documents\GitHub\eaglep3\Utilities\RefineRTDCRunTimes.py" --tripid 237-15 --locoid 4004 --swversion DE.1.0.9.0 --startMP 204:608 --initTime 2017-12-15T22:58:19 --startdatetime 2017-12-15T23:00:18 --delay 56 --endMP 204:233242 --enddatetime 2017-12-15T23:37:32 --enforcementcount 0 &gt;&gt;%USERPROFILE%\Documents\GitHub\eaglep3-reporting\EC\2017-12-15-refined-times.txt</v>
      </c>
      <c r="AI152" s="191" t="str">
        <f t="shared" si="92"/>
        <v>echo {"issue":{"subject":"","project_id":79,"tracker_id":40,"status_id":1,"priority_id":2,"assigned_to_id":338,"start_date":"2017-12-15","description":"","custom_fields":[{"id":1,"name":"Subdivision","value":"EC"},{"id":4,"name":"Milepost","value":"23.3242"},{"id":17,"name":"Train ID","value":"237-15"},{"id":16,"name":"Locomotive ID","value":"4004"},{"id":130,"name":"Impact","value":""},{"id":150,"name":"Time of Event (Mountain Time)","value":"23:37:32"},{"id":151,"name":"Denver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180"/>
      <c r="AK152" s="188"/>
      <c r="AL152" s="188"/>
      <c r="AM152" s="193" t="str">
        <f t="shared" si="93"/>
        <v>start /low /b %USERPROFILE%\Documents\GitHub\eaglep3\Utilities\DownloadLogsFromS3.py --loco 4004 --day 2017-12-15</v>
      </c>
      <c r="AN152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06:37:32"},{"id":29,"name":"Sharepoint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87" t="str">
        <f t="shared" si="95"/>
        <v>https://d0f6bd738d7f1b3e5a7ca70fe4ff75f0.us-east-1.aws.found.io/app/kibana#/discover/Steve-Slow-Train-Analysis-(2080s-and-2083s)?_g=(refreshInterval:(display:Off,pause:!f,section:0,value:0),time:(from:'2017-12-15T21:58:19-0700',mode:absolute,to:'2017-12-16T00:37:32-0700'))&amp;_a=(columns:!('Message%20ID',Summary),filters:!(),index:'emp_*',interval:auto,query:(query_string:(analyze_wildcard:!t,query:'%22rtdc.l.rtdc.4004%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186" t="s">
        <v>680</v>
      </c>
      <c r="B153" s="182">
        <v>4003</v>
      </c>
      <c r="C153" s="184" t="s">
        <v>192</v>
      </c>
      <c r="D153" s="184" t="s">
        <v>563</v>
      </c>
      <c r="E153" s="183">
        <v>43084.99658564815</v>
      </c>
      <c r="F153" s="183">
        <v>43084.99858796296</v>
      </c>
      <c r="G153" s="182">
        <v>58</v>
      </c>
      <c r="H153" s="184" t="s">
        <v>617</v>
      </c>
      <c r="I153" s="183">
        <v>43085.025092592594</v>
      </c>
      <c r="J153" s="182">
        <v>0</v>
      </c>
      <c r="K153" s="190" t="str">
        <f t="shared" si="82"/>
        <v>4003/4004</v>
      </c>
      <c r="L153" s="196" t="str">
        <f>VLOOKUP(A153,'Trips&amp;Operators'!$C$1:$G$99911,5,FALSE)</f>
        <v>ANDERS STEVEN</v>
      </c>
      <c r="M153" s="181">
        <f t="shared" si="83"/>
        <v>2.6504629633564036E-2</v>
      </c>
      <c r="N153" s="182">
        <f t="shared" si="81"/>
        <v>38.166666672332212</v>
      </c>
      <c r="O153" s="182"/>
      <c r="P153" s="182"/>
      <c r="Q153" s="185"/>
      <c r="R153" s="197"/>
      <c r="S153" s="241">
        <f t="shared" si="80"/>
        <v>1</v>
      </c>
      <c r="T153" s="220" t="str">
        <f t="shared" si="84"/>
        <v>Southbound</v>
      </c>
      <c r="U153" s="22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21" t="str">
        <f t="shared" si="85"/>
        <v>https://d0f6bd738d7f1b3e5a7ca70fe4ff75f0.us-east-1.aws.found.io/app/kibana#/discover/Steve-Slow-Train-Analysis-(2080s-and-2083s)?_g=(refreshInterval:(display:Off,pause:!f,section:0,value:0),time:(from:'2017-12-15T22:55:05-0700',mode:absolute,to:'2017-12-16T01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3" s="222" t="str">
        <f>IF(AA153&lt;VLOOKUP(AG153,Variables!$AC$3:$AD$8,2,FALSE),"Y","N")</f>
        <v>N</v>
      </c>
      <c r="X153" s="222">
        <f t="shared" si="104"/>
        <v>1</v>
      </c>
      <c r="Y153" s="222">
        <f t="shared" si="102"/>
        <v>23.293199999999999</v>
      </c>
      <c r="Z153" s="222">
        <f t="shared" si="103"/>
        <v>2.63E-2</v>
      </c>
      <c r="AA153" s="222">
        <f t="shared" si="86"/>
        <v>23.2669</v>
      </c>
      <c r="AB153" s="231" t="e">
        <f>VLOOKUP(A153,Enforcements!$C$7:$K$9,8,0)</f>
        <v>#N/A</v>
      </c>
      <c r="AC153" s="231" t="e">
        <f>VLOOKUP(A153,Enforcements!$C$7:$E$9,3,0)</f>
        <v>#N/A</v>
      </c>
      <c r="AD153" s="232">
        <f t="shared" si="87"/>
        <v>238</v>
      </c>
      <c r="AE153" s="233" t="str">
        <f t="shared" si="88"/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AF153" s="234" t="str">
        <f t="shared" si="89"/>
        <v>"C:\Program Files (x86)\AstroGrep\AstroGrep.exe" /e /r /s /spath="%USERPROFILE%\AppData\Local\Temp\OnboardLogs" /stypes="app*4003*20171216*" /stext=" 07:.+((SYSTEM_STATE.+slice.+state.+changed )|(ment ac)|(multiple cpu faults)|(system.+state.+changed )|(\[timeout)|(PRM\|1\|D)|(kpr)|(kdp)|(train st.+moving)|(\|lc)|(penalty))"</v>
      </c>
      <c r="AG153" s="226" t="str">
        <f t="shared" si="90"/>
        <v>EC</v>
      </c>
      <c r="AH153" s="189" t="str">
        <f t="shared" si="91"/>
        <v>"%USERPROFILE%\Documents\GitHub\eaglep3\Utilities\RefineRTDCRunTimes.py" --tripid 238-15 --locoid 4003 --swversion DE.1.0.9.0 --startMP 204:232932 --initTime 2017-12-15T23:55:05 --startdatetime 2017-12-15T23:57:58 --delay 58 --endMP 204:263 --enddatetime 2017-12-16T00:36:08 --enforcementcount 0 &gt;&gt;%USERPROFILE%\Documents\GitHub\eaglep3-reporting\EC\2017-12-15-refined-times.txt</v>
      </c>
      <c r="AI153" s="191" t="str">
        <f t="shared" si="92"/>
        <v>echo {"issue":{"subject":"","project_id":79,"tracker_id":40,"status_id":1,"priority_id":2,"assigned_to_id":338,"start_date":"2017-12-16","description":"","custom_fields":[{"id":1,"name":"Subdivision","value":"EC"},{"id":4,"name":"Milepost","value":"0.0263"},{"id":17,"name":"Train ID","value":"238-15"},{"id":16,"name":"Locomotive ID","value":"4003"},{"id":130,"name":"Impact","value":""},{"id":150,"name":"Time of Event (Mountain Time)","value":"00:36:08"},{"id":151,"name":"Denver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180"/>
      <c r="AK153" s="188"/>
      <c r="AL153" s="188"/>
      <c r="AM153" s="193" t="str">
        <f t="shared" si="93"/>
        <v>start /low /b %USERPROFILE%\Documents\GitHub\eaglep3\Utilities\DownloadLogsFromS3.py --loco 4003 --day 2017-12-15</v>
      </c>
      <c r="AN153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07:36:08"},{"id":29,"name":"Sharepoint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87" t="str">
        <f t="shared" si="95"/>
        <v>https://d0f6bd738d7f1b3e5a7ca70fe4ff75f0.us-east-1.aws.found.io/app/kibana#/discover/Steve-Slow-Train-Analysis-(2080s-and-2083s)?_g=(refreshInterval:(display:Off,pause:!f,section:0,value:0),time:(from:'2017-12-15T22:55:05-0700',mode:absolute,to:'2017-12-16T01:36:08-0700'))&amp;_a=(columns:!('Message%20ID',Summary),filters:!(),index:'emp_*',interval:auto,query:(query_string:(analyze_wildcard:!t,query:'%22rtdc.l.rtdc.4003%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180" customFormat="1" x14ac:dyDescent="0.25">
      <c r="A154" s="186" t="s">
        <v>871</v>
      </c>
      <c r="B154" s="182">
        <v>4044</v>
      </c>
      <c r="C154" s="184" t="s">
        <v>192</v>
      </c>
      <c r="D154" s="184" t="s">
        <v>561</v>
      </c>
      <c r="E154" s="183">
        <v>43084.96570601852</v>
      </c>
      <c r="F154" s="183">
        <v>43084.979375000003</v>
      </c>
      <c r="G154" s="182">
        <v>56</v>
      </c>
      <c r="H154" s="184" t="s">
        <v>901</v>
      </c>
      <c r="I154" s="183">
        <v>43085.004525462966</v>
      </c>
      <c r="J154" s="182">
        <v>0</v>
      </c>
      <c r="K154" s="190" t="str">
        <f t="shared" si="82"/>
        <v>4043/4044</v>
      </c>
      <c r="L154" s="196" t="str">
        <f>VLOOKUP(A154,'Trips&amp;Operators'!$C$1:$G$99911,5,FALSE)</f>
        <v>ZEWDU DEREJE</v>
      </c>
      <c r="M154" s="181">
        <f t="shared" si="83"/>
        <v>2.5150462963210884E-2</v>
      </c>
      <c r="N154" s="182">
        <f t="shared" si="81"/>
        <v>36.216666667023674</v>
      </c>
      <c r="O154" s="182"/>
      <c r="P154" s="182"/>
      <c r="Q154" s="185"/>
      <c r="R154" s="197"/>
      <c r="S154" s="241">
        <f t="shared" si="80"/>
        <v>1</v>
      </c>
      <c r="T154" s="220" t="str">
        <f t="shared" si="84"/>
        <v>NorthBound</v>
      </c>
      <c r="U154" s="22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21" t="str">
        <f t="shared" si="85"/>
        <v>https://d0f6bd738d7f1b3e5a7ca70fe4ff75f0.us-east-1.aws.found.io/app/kibana#/discover/Steve-Slow-Train-Analysis-(2080s-and-2083s)?_g=(refreshInterval:(display:Off,pause:!f,section:0,value:0),time:(from:'2017-12-15T22:10:37-0700',mode:absolute,to:'2017-12-16T01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4" s="222" t="str">
        <f>IF(AA154&lt;VLOOKUP(AG154,Variables!$AC$3:$AD$8,2,FALSE),"Y","N")</f>
        <v>N</v>
      </c>
      <c r="X154" s="222">
        <f t="shared" si="104"/>
        <v>1</v>
      </c>
      <c r="Y154" s="222">
        <f t="shared" si="102"/>
        <v>5.57E-2</v>
      </c>
      <c r="Z154" s="222">
        <f t="shared" si="103"/>
        <v>23.3245</v>
      </c>
      <c r="AA154" s="222">
        <f t="shared" si="86"/>
        <v>23.268799999999999</v>
      </c>
      <c r="AB154" s="231" t="e">
        <f>VLOOKUP(A154,Enforcements!$C$7:$K$9,8,0)</f>
        <v>#N/A</v>
      </c>
      <c r="AC154" s="231" t="e">
        <f>VLOOKUP(A154,Enforcements!$C$7:$E$9,3,0)</f>
        <v>#N/A</v>
      </c>
      <c r="AD154" s="232">
        <f t="shared" si="87"/>
        <v>239</v>
      </c>
      <c r="AE154" s="233" t="str">
        <f t="shared" si="88"/>
        <v>aws s3 cp s3://rtdc.mdm.uploadarchive.raw/RTDC4044/ "%USERPROFILE%\AppData\Local\Temp\OnboardLogs"\RTDC4044\2017-12-15 --exclude "*" --recursive --include "*20171215*" &amp; "%USERPROFILE%\Documents\GitHub\mrs-test-scripts\Headless Mode &amp; Sideloading\WalkAndUnGZ.bat" "%USERPROFILE%\AppData\Local\Temp\OnboardLogs"\RTDC4044\2017-12-15 &amp; aws s3 cp s3://rtdc.mdm.uploadarchive.raw/RTDC4044/ "%USERPROFILE%\AppData\Local\Temp\OnboardLogs"\RTDC4044\2017-12-16 --exclude "*" --recursive --include "*20171216*" &amp; "%USERPROFILE%\Documents\GitHub\mrs-test-scripts\Headless Mode &amp; Sideloading\WalkAndUnGZ.bat" "%USERPROFILE%\AppData\Local\Temp\OnboardLogs"\RTDC4044\2017-12-16</v>
      </c>
      <c r="AF154" s="234" t="str">
        <f t="shared" si="89"/>
        <v>"C:\Program Files (x86)\AstroGrep\AstroGrep.exe" /e /r /s /spath="%USERPROFILE%\AppData\Local\Temp\OnboardLogs" /stypes="app*4044*20171216*" /stext=" 07:.+((SYSTEM_STATE.+slice.+state.+changed )|(ment ac)|(multiple cpu faults)|(system.+state.+changed )|(\[timeout)|(PRM\|1\|D)|(kpr)|(kdp)|(train st.+moving)|(\|lc)|(penalty))"</v>
      </c>
      <c r="AG154" s="226" t="str">
        <f t="shared" si="90"/>
        <v>EC</v>
      </c>
      <c r="AH154" s="189" t="str">
        <f t="shared" si="91"/>
        <v>"%USERPROFILE%\Documents\GitHub\eaglep3\Utilities\RefineRTDCRunTimes.py" --tripid 239-15 --locoid 4044 --swversion DE.1.0.9.0 --startMP 204:557 --initTime 2017-12-15T23:10:37 --startdatetime 2017-12-15T23:30:18 --delay 56 --endMP 204:233245 --enddatetime 2017-12-16T00:06:31 --enforcementcount 0 &gt;&gt;%USERPROFILE%\Documents\GitHub\eaglep3-reporting\EC\2017-12-15-refined-times.txt</v>
      </c>
      <c r="AI154" s="191" t="str">
        <f t="shared" si="92"/>
        <v>echo {"issue":{"subject":"","project_id":79,"tracker_id":40,"status_id":1,"priority_id":2,"assigned_to_id":338,"start_date":"2017-12-16","description":"","custom_fields":[{"id":1,"name":"Subdivision","value":"EC"},{"id":4,"name":"Milepost","value":"23.3245"},{"id":17,"name":"Train ID","value":"239-15"},{"id":16,"name":"Locomotive ID","value":"4044"},{"id":130,"name":"Impact","value":""},{"id":150,"name":"Time of Event (Mountain Time)","value":"00:06:31"},{"id":151,"name":"Denver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188"/>
      <c r="AL154" s="188"/>
      <c r="AM154" s="193" t="str">
        <f t="shared" si="93"/>
        <v>start /low /b %USERPROFILE%\Documents\GitHub\eaglep3\Utilities\DownloadLogsFromS3.py --loco 4044 --day 2017-12-15</v>
      </c>
      <c r="AN154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07:06:31"},{"id":29,"name":"Sharepoint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87" t="str">
        <f t="shared" si="95"/>
        <v>https://d0f6bd738d7f1b3e5a7ca70fe4ff75f0.us-east-1.aws.found.io/app/kibana#/discover/Steve-Slow-Train-Analysis-(2080s-and-2083s)?_g=(refreshInterval:(display:Off,pause:!f,section:0,value:0),time:(from:'2017-12-15T22:10:37-0700',mode:absolute,to:'2017-12-16T01:06:31-0700'))&amp;_a=(columns:!('Message%20ID',Summary),filters:!(),index:'emp_*',interval:auto,query:(query_string:(analyze_wildcard:!t,query:'%22rtdc.l.rtdc.4044%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180" customFormat="1" x14ac:dyDescent="0.25">
      <c r="A155" s="186" t="s">
        <v>876</v>
      </c>
      <c r="B155" s="182">
        <v>4043</v>
      </c>
      <c r="C155" s="184" t="s">
        <v>192</v>
      </c>
      <c r="D155" s="184" t="s">
        <v>1009</v>
      </c>
      <c r="E155" s="183">
        <v>43085.015474537038</v>
      </c>
      <c r="F155" s="183">
        <v>43085.018935185188</v>
      </c>
      <c r="G155" s="182">
        <v>59</v>
      </c>
      <c r="H155" s="184" t="s">
        <v>594</v>
      </c>
      <c r="I155" s="183">
        <v>43085.045370370368</v>
      </c>
      <c r="J155" s="182">
        <v>0</v>
      </c>
      <c r="K155" s="190" t="str">
        <f t="shared" si="82"/>
        <v>4043/4044</v>
      </c>
      <c r="L155" s="196" t="str">
        <f>VLOOKUP(A155,'Trips&amp;Operators'!$C$1:$G$99911,5,FALSE)</f>
        <v>ZEWDU DEREJE</v>
      </c>
      <c r="M155" s="181">
        <f t="shared" si="83"/>
        <v>2.643518518016208E-2</v>
      </c>
      <c r="N155" s="182">
        <f t="shared" si="81"/>
        <v>38.066666659433395</v>
      </c>
      <c r="O155" s="182"/>
      <c r="P155" s="182"/>
      <c r="Q155" s="185"/>
      <c r="R155" s="197"/>
      <c r="S155" s="241">
        <f t="shared" si="80"/>
        <v>1</v>
      </c>
      <c r="T155" s="220" t="str">
        <f t="shared" si="84"/>
        <v>Southbound</v>
      </c>
      <c r="U155" s="22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21" t="str">
        <f t="shared" si="85"/>
        <v>https://d0f6bd738d7f1b3e5a7ca70fe4ff75f0.us-east-1.aws.found.io/app/kibana#/discover/Steve-Slow-Train-Analysis-(2080s-and-2083s)?_g=(refreshInterval:(display:Off,pause:!f,section:0,value:0),time:(from:'2017-12-15T23:22:17-0700',mode:absolute,to:'2017-12-16T02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5" s="222" t="str">
        <f>IF(AA155&lt;VLOOKUP(AG155,Variables!$AC$3:$AD$8,2,FALSE),"Y","N")</f>
        <v>N</v>
      </c>
      <c r="X155" s="222">
        <f t="shared" si="104"/>
        <v>1</v>
      </c>
      <c r="Y155" s="222">
        <f t="shared" si="102"/>
        <v>23.2927</v>
      </c>
      <c r="Z155" s="222">
        <f t="shared" si="103"/>
        <v>2.3400000000000001E-2</v>
      </c>
      <c r="AA155" s="222">
        <f t="shared" si="86"/>
        <v>23.269300000000001</v>
      </c>
      <c r="AB155" s="231" t="e">
        <f>VLOOKUP(A155,Enforcements!$C$7:$K$9,8,0)</f>
        <v>#N/A</v>
      </c>
      <c r="AC155" s="231" t="e">
        <f>VLOOKUP(A155,Enforcements!$C$7:$E$9,3,0)</f>
        <v>#N/A</v>
      </c>
      <c r="AD155" s="232">
        <f t="shared" si="87"/>
        <v>240</v>
      </c>
      <c r="AE155" s="233" t="str">
        <f t="shared" si="88"/>
        <v>aws s3 cp s3://rtdc.mdm.uploadarchive.raw/RTDC4043/ "%USERPROFILE%\AppData\Local\Temp\OnboardLogs"\RTDC4043\2017-12-16 --exclude "*" --recursive --include "*20171216*" &amp; "%USERPROFILE%\Documents\GitHub\mrs-test-scripts\Headless Mode &amp; Sideloading\WalkAndUnGZ.bat" "%USERPROFILE%\AppData\Local\Temp\OnboardLogs"\RTDC4043\2017-12-16 &amp; 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</v>
      </c>
      <c r="AF155" s="234" t="str">
        <f t="shared" si="89"/>
        <v>"C:\Program Files (x86)\AstroGrep\AstroGrep.exe" /e /r /s /spath="%USERPROFILE%\AppData\Local\Temp\OnboardLogs" /stypes="app*4043*20171216*" /stext=" 08:.+((SYSTEM_STATE.+slice.+state.+changed )|(ment ac)|(multiple cpu faults)|(system.+state.+changed )|(\[timeout)|(PRM\|1\|D)|(kpr)|(kdp)|(train st.+moving)|(\|lc)|(penalty))"</v>
      </c>
      <c r="AG155" s="226" t="str">
        <f t="shared" si="90"/>
        <v>EC</v>
      </c>
      <c r="AH155" s="189" t="str">
        <f t="shared" si="91"/>
        <v>"%USERPROFILE%\Documents\GitHub\eaglep3\Utilities\RefineRTDCRunTimes.py" --tripid 240-15 --locoid 4043 --swversion DE.1.0.9.0 --startMP 204:232927 --initTime 2017-12-16T00:22:17 --startdatetime 2017-12-16T00:27:16 --delay 59 --endMP 204:234 --enddatetime 2017-12-16T01:05:20 --enforcementcount 0 &gt;&gt;%USERPROFILE%\Documents\GitHub\eaglep3-reporting\EC\2017-12-15-refined-times.txt</v>
      </c>
      <c r="AI155" s="191" t="str">
        <f t="shared" si="92"/>
        <v>echo {"issue":{"subject":"","project_id":79,"tracker_id":40,"status_id":1,"priority_id":2,"assigned_to_id":338,"start_date":"2017-12-16","description":"","custom_fields":[{"id":1,"name":"Subdivision","value":"EC"},{"id":4,"name":"Milepost","value":"0.0234"},{"id":17,"name":"Train ID","value":"240-15"},{"id":16,"name":"Locomotive ID","value":"4043"},{"id":130,"name":"Impact","value":""},{"id":150,"name":"Time of Event (Mountain Time)","value":"01:05:20"},{"id":151,"name":"Denver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188"/>
      <c r="AL155" s="188"/>
      <c r="AM155" s="193" t="str">
        <f t="shared" si="93"/>
        <v>start /low /b %USERPROFILE%\Documents\GitHub\eaglep3\Utilities\DownloadLogsFromS3.py --loco 4043 --day 2017-12-16</v>
      </c>
      <c r="AN155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08:05:20"},{"id":29,"name":"Sharepoint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87" t="str">
        <f t="shared" si="95"/>
        <v>https://d0f6bd738d7f1b3e5a7ca70fe4ff75f0.us-east-1.aws.found.io/app/kibana#/discover/Steve-Slow-Train-Analysis-(2080s-and-2083s)?_g=(refreshInterval:(display:Off,pause:!f,section:0,value:0),time:(from:'2017-12-15T23:22:17-0700',mode:absolute,to:'2017-12-16T02:05:20-0700'))&amp;_a=(columns:!('Message%20ID',Summary),filters:!(),index:'emp_*',interval:auto,query:(query_string:(analyze_wildcard:!t,query:'%22rtdc.l.rtdc.4043%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180" customFormat="1" x14ac:dyDescent="0.25">
      <c r="A156" s="186" t="s">
        <v>874</v>
      </c>
      <c r="B156" s="182">
        <v>4032</v>
      </c>
      <c r="C156" s="184" t="s">
        <v>192</v>
      </c>
      <c r="D156" s="184" t="s">
        <v>624</v>
      </c>
      <c r="E156" s="183">
        <v>43084.995833333334</v>
      </c>
      <c r="F156" s="183">
        <v>43085.000185185185</v>
      </c>
      <c r="G156" s="182">
        <v>78</v>
      </c>
      <c r="H156" s="184" t="s">
        <v>1010</v>
      </c>
      <c r="I156" s="183">
        <v>43085.026099537034</v>
      </c>
      <c r="J156" s="182">
        <v>0</v>
      </c>
      <c r="K156" s="190" t="str">
        <f t="shared" si="82"/>
        <v>4031/4032</v>
      </c>
      <c r="L156" s="196" t="str">
        <f>VLOOKUP(A156,'Trips&amp;Operators'!$C$1:$G$99911,5,FALSE)</f>
        <v>NICHOLSON WESLEY</v>
      </c>
      <c r="M156" s="181">
        <f t="shared" si="83"/>
        <v>2.5914351848769002E-2</v>
      </c>
      <c r="N156" s="182">
        <f t="shared" si="81"/>
        <v>37.316666662227362</v>
      </c>
      <c r="O156" s="182"/>
      <c r="P156" s="182"/>
      <c r="Q156" s="185"/>
      <c r="R156" s="197"/>
      <c r="S156" s="241">
        <f t="shared" si="80"/>
        <v>1</v>
      </c>
      <c r="T156" s="220" t="str">
        <f t="shared" si="84"/>
        <v>NorthBound</v>
      </c>
      <c r="U156" s="22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21" t="str">
        <f t="shared" si="85"/>
        <v>https://d0f6bd738d7f1b3e5a7ca70fe4ff75f0.us-east-1.aws.found.io/app/kibana#/discover/Steve-Slow-Train-Analysis-(2080s-and-2083s)?_g=(refreshInterval:(display:Off,pause:!f,section:0,value:0),time:(from:'2017-12-15T22:54:00-0700',mode:absolute,to:'2017-12-16T01:37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6" s="222" t="str">
        <f>IF(AA156&lt;VLOOKUP(AG156,Variables!$AC$3:$AD$8,2,FALSE),"Y","N")</f>
        <v>N</v>
      </c>
      <c r="X156" s="222">
        <f t="shared" si="104"/>
        <v>1</v>
      </c>
      <c r="Y156" s="222">
        <f t="shared" si="102"/>
        <v>5.6000000000000001E-2</v>
      </c>
      <c r="Z156" s="222">
        <f t="shared" si="103"/>
        <v>23.317599999999999</v>
      </c>
      <c r="AA156" s="222">
        <f t="shared" si="86"/>
        <v>23.261599999999998</v>
      </c>
      <c r="AB156" s="231" t="e">
        <f>VLOOKUP(A156,Enforcements!$C$7:$K$9,8,0)</f>
        <v>#N/A</v>
      </c>
      <c r="AC156" s="231" t="e">
        <f>VLOOKUP(A156,Enforcements!$C$7:$E$9,3,0)</f>
        <v>#N/A</v>
      </c>
      <c r="AD156" s="232">
        <f t="shared" si="87"/>
        <v>241</v>
      </c>
      <c r="AE156" s="233" t="str">
        <f t="shared" si="88"/>
        <v>aws s3 cp s3://rtdc.mdm.uploadarchive.raw/RTDC4032/ "%USERPROFILE%\AppData\Local\Temp\OnboardLogs"\RTDC4032\2017-12-16 --exclude "*" --recursive --include "*20171216*" &amp; "%USERPROFILE%\Documents\GitHub\mrs-test-scripts\Headless Mode &amp; Sideloading\WalkAndUnGZ.bat" "%USERPROFILE%\AppData\Local\Temp\OnboardLogs"\RTDC4032\2017-12-16 &amp; aws s3 cp s3://rtdc.mdm.uploadarchive.raw/RTDC4032/ "%USERPROFILE%\AppData\Local\Temp\OnboardLogs"\RTDC4032\2017-12-17 --exclude "*" --recursive --include "*20171217*" &amp; "%USERPROFILE%\Documents\GitHub\mrs-test-scripts\Headless Mode &amp; Sideloading\WalkAndUnGZ.bat" "%USERPROFILE%\AppData\Local\Temp\OnboardLogs"\RTDC4032\2017-12-17</v>
      </c>
      <c r="AF156" s="234" t="str">
        <f t="shared" si="89"/>
        <v>"C:\Program Files (x86)\AstroGrep\AstroGrep.exe" /e /r /s /spath="%USERPROFILE%\AppData\Local\Temp\OnboardLogs" /stypes="app*4032*20171216*" /stext=" 07:.+((SYSTEM_STATE.+slice.+state.+changed )|(ment ac)|(multiple cpu faults)|(system.+state.+changed )|(\[timeout)|(PRM\|1\|D)|(kpr)|(kdp)|(train st.+moving)|(\|lc)|(penalty))"</v>
      </c>
      <c r="AG156" s="226" t="str">
        <f t="shared" si="90"/>
        <v>EC</v>
      </c>
      <c r="AH156" s="189" t="str">
        <f t="shared" si="91"/>
        <v>"%USERPROFILE%\Documents\GitHub\eaglep3\Utilities\RefineRTDCRunTimes.py" --tripid 241-15 --locoid 4032 --swversion DE.1.0.9.0 --startMP 204:560 --initTime 2017-12-15T23:54:00 --startdatetime 2017-12-16T00:00:16 --delay 78 --endMP 204:233176 --enddatetime 2017-12-16T00:37:35 --enforcementcount 0 &gt;&gt;%USERPROFILE%\Documents\GitHub\eaglep3-reporting\EC\2017-12-15-refined-times.txt</v>
      </c>
      <c r="AI156" s="191" t="str">
        <f t="shared" si="92"/>
        <v>echo {"issue":{"subject":"","project_id":79,"tracker_id":40,"status_id":1,"priority_id":2,"assigned_to_id":338,"start_date":"2017-12-16","description":"","custom_fields":[{"id":1,"name":"Subdivision","value":"EC"},{"id":4,"name":"Milepost","value":"23.3176"},{"id":17,"name":"Train ID","value":"241-15"},{"id":16,"name":"Locomotive ID","value":"4032"},{"id":130,"name":"Impact","value":""},{"id":150,"name":"Time of Event (Mountain Time)","value":"00:37:35"},{"id":151,"name":"Denver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188"/>
      <c r="AL156" s="188"/>
      <c r="AM156" s="193" t="str">
        <f t="shared" si="93"/>
        <v>start /low /b %USERPROFILE%\Documents\GitHub\eaglep3\Utilities\DownloadLogsFromS3.py --loco 4032 --day 2017-12-16</v>
      </c>
      <c r="AN156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07:37:35"},{"id":29,"name":"Sharepoint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87" t="str">
        <f t="shared" si="95"/>
        <v>https://d0f6bd738d7f1b3e5a7ca70fe4ff75f0.us-east-1.aws.found.io/app/kibana#/discover/Steve-Slow-Train-Analysis-(2080s-and-2083s)?_g=(refreshInterval:(display:Off,pause:!f,section:0,value:0),time:(from:'2017-12-15T22:54:00-0700',mode:absolute,to:'2017-12-16T01:37:35-0700'))&amp;_a=(columns:!('Message%20ID',Summary),filters:!(),index:'emp_*',interval:auto,query:(query_string:(analyze_wildcard:!t,query:'%22rtdc.l.rtdc.4032%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180" customFormat="1" x14ac:dyDescent="0.25">
      <c r="A157" s="186" t="s">
        <v>681</v>
      </c>
      <c r="B157" s="182">
        <v>4031</v>
      </c>
      <c r="C157" s="184" t="s">
        <v>192</v>
      </c>
      <c r="D157" s="184" t="s">
        <v>1011</v>
      </c>
      <c r="E157" s="183">
        <v>43085.03634259259</v>
      </c>
      <c r="F157" s="183">
        <v>43085.039861111109</v>
      </c>
      <c r="G157" s="182">
        <v>99</v>
      </c>
      <c r="H157" s="184" t="s">
        <v>607</v>
      </c>
      <c r="I157" s="183">
        <v>43085.069050925929</v>
      </c>
      <c r="J157" s="182">
        <v>0</v>
      </c>
      <c r="K157" s="190" t="str">
        <f t="shared" si="82"/>
        <v>4031/4032</v>
      </c>
      <c r="L157" s="196" t="str">
        <f>VLOOKUP(A157,'Trips&amp;Operators'!$C$1:$G$99911,5,FALSE)</f>
        <v>NICHOLSON WESLEY</v>
      </c>
      <c r="M157" s="181">
        <f t="shared" si="83"/>
        <v>2.9189814820711035E-2</v>
      </c>
      <c r="N157" s="182">
        <f t="shared" si="81"/>
        <v>42.033333341823891</v>
      </c>
      <c r="O157" s="182"/>
      <c r="P157" s="182"/>
      <c r="Q157" s="185"/>
      <c r="R157" s="197"/>
      <c r="S157" s="241">
        <f t="shared" si="80"/>
        <v>1</v>
      </c>
      <c r="T157" s="220" t="str">
        <f t="shared" si="84"/>
        <v>Southbound</v>
      </c>
      <c r="U157" s="22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21" t="str">
        <f t="shared" si="85"/>
        <v>https://d0f6bd738d7f1b3e5a7ca70fe4ff75f0.us-east-1.aws.found.io/app/kibana#/discover/Steve-Slow-Train-Analysis-(2080s-and-2083s)?_g=(refreshInterval:(display:Off,pause:!f,section:0,value:0),time:(from:'2017-12-15T23:52:20-0700',mode:absolute,to:'2017-12-16T02:39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7" s="222" t="str">
        <f>IF(AA157&lt;VLOOKUP(AG157,Variables!$AC$3:$AD$8,2,FALSE),"Y","N")</f>
        <v>N</v>
      </c>
      <c r="X157" s="222">
        <f t="shared" si="104"/>
        <v>1</v>
      </c>
      <c r="Y157" s="222">
        <f t="shared" si="102"/>
        <v>23.286799999999999</v>
      </c>
      <c r="Z157" s="222">
        <f t="shared" si="103"/>
        <v>2.4199999999999999E-2</v>
      </c>
      <c r="AA157" s="222">
        <f t="shared" si="86"/>
        <v>23.262599999999999</v>
      </c>
      <c r="AB157" s="231" t="e">
        <f>VLOOKUP(A157,Enforcements!$C$7:$K$9,8,0)</f>
        <v>#N/A</v>
      </c>
      <c r="AC157" s="231" t="e">
        <f>VLOOKUP(A157,Enforcements!$C$7:$E$9,3,0)</f>
        <v>#N/A</v>
      </c>
      <c r="AD157" s="232">
        <f t="shared" si="87"/>
        <v>242</v>
      </c>
      <c r="AE157" s="233" t="str">
        <f t="shared" si="88"/>
        <v>aws s3 cp s3://rtdc.mdm.uploadarchive.raw/RTDC4031/ "%USERPROFILE%\AppData\Local\Temp\OnboardLogs"\RTDC4031\2017-12-16 --exclude "*" --recursive --include "*20171216*" &amp; "%USERPROFILE%\Documents\GitHub\mrs-test-scripts\Headless Mode &amp; Sideloading\WalkAndUnGZ.bat" "%USERPROFILE%\AppData\Local\Temp\OnboardLogs"\RTDC4031\2017-12-16 &amp; aws s3 cp s3://rtdc.mdm.uploadarchive.raw/RTDC4031/ "%USERPROFILE%\AppData\Local\Temp\OnboardLogs"\RTDC4031\2017-12-17 --exclude "*" --recursive --include "*20171217*" &amp; "%USERPROFILE%\Documents\GitHub\mrs-test-scripts\Headless Mode &amp; Sideloading\WalkAndUnGZ.bat" "%USERPROFILE%\AppData\Local\Temp\OnboardLogs"\RTDC4031\2017-12-17</v>
      </c>
      <c r="AF157" s="234" t="str">
        <f t="shared" si="89"/>
        <v>"C:\Program Files (x86)\AstroGrep\AstroGrep.exe" /e /r /s /spath="%USERPROFILE%\AppData\Local\Temp\OnboardLogs" /stypes="app*4031*20171216*" /stext=" 08:.+((SYSTEM_STATE.+slice.+state.+changed )|(ment ac)|(multiple cpu faults)|(system.+state.+changed )|(\[timeout)|(PRM\|1\|D)|(kpr)|(kdp)|(train st.+moving)|(\|lc)|(penalty))"</v>
      </c>
      <c r="AG157" s="226" t="str">
        <f t="shared" si="90"/>
        <v>EC</v>
      </c>
      <c r="AH157" s="189" t="str">
        <f t="shared" si="91"/>
        <v>"%USERPROFILE%\Documents\GitHub\eaglep3\Utilities\RefineRTDCRunTimes.py" --tripid 242-15 --locoid 4031 --swversion DE.1.0.9.0 --startMP 204:232868 --initTime 2017-12-16T00:52:20 --startdatetime 2017-12-16T00:57:24 --delay 99 --endMP 204:242 --enddatetime 2017-12-16T01:39:26 --enforcementcount 0 &gt;&gt;%USERPROFILE%\Documents\GitHub\eaglep3-reporting\EC\2017-12-15-refined-times.txt</v>
      </c>
      <c r="AI157" s="191" t="str">
        <f t="shared" si="92"/>
        <v>echo {"issue":{"subject":"","project_id":79,"tracker_id":40,"status_id":1,"priority_id":2,"assigned_to_id":338,"start_date":"2017-12-16","description":"","custom_fields":[{"id":1,"name":"Subdivision","value":"EC"},{"id":4,"name":"Milepost","value":"0.0242"},{"id":17,"name":"Train ID","value":"242-15"},{"id":16,"name":"Locomotive ID","value":"4031"},{"id":130,"name":"Impact","value":""},{"id":150,"name":"Time of Event (Mountain Time)","value":"01:39:26"},{"id":151,"name":"Denver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188"/>
      <c r="AL157" s="188"/>
      <c r="AM157" s="193" t="str">
        <f t="shared" si="93"/>
        <v>start /low /b %USERPROFILE%\Documents\GitHub\eaglep3\Utilities\DownloadLogsFromS3.py --loco 4031 --day 2017-12-16</v>
      </c>
      <c r="AN157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08:39:26"},{"id":29,"name":"Sharepoint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87" t="str">
        <f t="shared" si="95"/>
        <v>https://d0f6bd738d7f1b3e5a7ca70fe4ff75f0.us-east-1.aws.found.io/app/kibana#/discover/Steve-Slow-Train-Analysis-(2080s-and-2083s)?_g=(refreshInterval:(display:Off,pause:!f,section:0,value:0),time:(from:'2017-12-15T23:52:20-0700',mode:absolute,to:'2017-12-16T02:39:26-0700'))&amp;_a=(columns:!('Message%20ID',Summary),filters:!(),index:'emp_*',interval:auto,query:(query_string:(analyze_wildcard:!t,query:'%22rtdc.l.rtdc.4031%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186" t="s">
        <v>875</v>
      </c>
      <c r="B158" s="182">
        <v>4062</v>
      </c>
      <c r="C158" s="184" t="s">
        <v>192</v>
      </c>
      <c r="D158" s="184" t="s">
        <v>1012</v>
      </c>
      <c r="E158" s="183">
        <v>43085.006631944445</v>
      </c>
      <c r="F158" s="183">
        <v>43085.021145833336</v>
      </c>
      <c r="G158" s="182">
        <v>51</v>
      </c>
      <c r="H158" s="184" t="s">
        <v>910</v>
      </c>
      <c r="I158" s="183">
        <v>43085.045671296299</v>
      </c>
      <c r="J158" s="182">
        <v>0</v>
      </c>
      <c r="K158" s="190" t="str">
        <f t="shared" si="82"/>
        <v>4061/4062</v>
      </c>
      <c r="L158" s="196" t="str">
        <f>VLOOKUP(A158,'Trips&amp;Operators'!$C$1:$G$99911,5,FALSE)</f>
        <v>ELBAUM MIKE</v>
      </c>
      <c r="M158" s="181">
        <f t="shared" si="83"/>
        <v>2.4525462962628808E-2</v>
      </c>
      <c r="N158" s="182">
        <f t="shared" si="81"/>
        <v>35.316666666185483</v>
      </c>
      <c r="O158" s="182"/>
      <c r="P158" s="182"/>
      <c r="Q158" s="185"/>
      <c r="R158" s="197"/>
      <c r="S158" s="241">
        <f t="shared" si="80"/>
        <v>1</v>
      </c>
      <c r="T158" s="220" t="str">
        <f t="shared" si="84"/>
        <v>NorthBound</v>
      </c>
      <c r="U158" s="22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21" t="str">
        <f t="shared" si="85"/>
        <v>https://d0f6bd738d7f1b3e5a7ca70fe4ff75f0.us-east-1.aws.found.io/app/kibana#/discover/Steve-Slow-Train-Analysis-(2080s-and-2083s)?_g=(refreshInterval:(display:Off,pause:!f,section:0,value:0),time:(from:'2017-12-15T23:09:33-0700',mode:absolute,to:'2017-12-16T02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8" s="222" t="str">
        <f>IF(AA158&lt;VLOOKUP(AG158,Variables!$AC$3:$AD$8,2,FALSE),"Y","N")</f>
        <v>N</v>
      </c>
      <c r="X158" s="222">
        <f t="shared" si="104"/>
        <v>1</v>
      </c>
      <c r="Y158" s="222">
        <f t="shared" si="102"/>
        <v>5.8000000000000003E-2</v>
      </c>
      <c r="Z158" s="222">
        <f t="shared" si="103"/>
        <v>23.331099999999999</v>
      </c>
      <c r="AA158" s="222">
        <f t="shared" si="86"/>
        <v>23.273099999999999</v>
      </c>
      <c r="AB158" s="231" t="e">
        <f>VLOOKUP(A158,Enforcements!$C$7:$K$9,8,0)</f>
        <v>#N/A</v>
      </c>
      <c r="AC158" s="231" t="e">
        <f>VLOOKUP(A158,Enforcements!$C$7:$E$9,3,0)</f>
        <v>#N/A</v>
      </c>
      <c r="AD158" s="232">
        <f t="shared" si="87"/>
        <v>243</v>
      </c>
      <c r="AE158" s="233" t="str">
        <f t="shared" si="88"/>
        <v>aws s3 cp s3://rtdc.mdm.uploadarchive.raw/RTDC4062/ "%USERPROFILE%\AppData\Local\Temp\OnboardLogs"\RTDC4062\2017-12-16 --exclude "*" --recursive --include "*20171216*" &amp; "%USERPROFILE%\Documents\GitHub\mrs-test-scripts\Headless Mode &amp; Sideloading\WalkAndUnGZ.bat" "%USERPROFILE%\AppData\Local\Temp\OnboardLogs"\RTDC4062\2017-12-16 &amp; aws s3 cp s3://rtdc.mdm.uploadarchive.raw/RTDC4062/ "%USERPROFILE%\AppData\Local\Temp\OnboardLogs"\RTDC4062\2017-12-17 --exclude "*" --recursive --include "*20171217*" &amp; "%USERPROFILE%\Documents\GitHub\mrs-test-scripts\Headless Mode &amp; Sideloading\WalkAndUnGZ.bat" "%USERPROFILE%\AppData\Local\Temp\OnboardLogs"\RTDC4062\2017-12-17</v>
      </c>
      <c r="AF158" s="234" t="str">
        <f t="shared" si="89"/>
        <v>"C:\Program Files (x86)\AstroGrep\AstroGrep.exe" /e /r /s /spath="%USERPROFILE%\AppData\Local\Temp\OnboardLogs" /stypes="app*4062*20171216*" /stext=" 08:.+((SYSTEM_STATE.+slice.+state.+changed )|(ment ac)|(multiple cpu faults)|(system.+state.+changed )|(\[timeout)|(PRM\|1\|D)|(kpr)|(kdp)|(train st.+moving)|(\|lc)|(penalty))"</v>
      </c>
      <c r="AG158" s="226" t="str">
        <f t="shared" si="90"/>
        <v>EC</v>
      </c>
      <c r="AH158" s="189" t="str">
        <f t="shared" si="91"/>
        <v>"%USERPROFILE%\Documents\GitHub\eaglep3\Utilities\RefineRTDCRunTimes.py" --tripid 243-15 --locoid 4062 --swversion DE.1.0.9.0 --startMP 204:580 --initTime 2017-12-16T00:09:33 --startdatetime 2017-12-16T00:30:27 --delay 51 --endMP 204:233311 --enddatetime 2017-12-16T01:05:46 --enforcementcount 0 &gt;&gt;%USERPROFILE%\Documents\GitHub\eaglep3-reporting\EC\2017-12-15-refined-times.txt</v>
      </c>
      <c r="AI158" s="191" t="str">
        <f t="shared" si="92"/>
        <v>echo {"issue":{"subject":"","project_id":79,"tracker_id":40,"status_id":1,"priority_id":2,"assigned_to_id":338,"start_date":"2017-12-16","description":"","custom_fields":[{"id":1,"name":"Subdivision","value":"EC"},{"id":4,"name":"Milepost","value":"23.3311"},{"id":17,"name":"Train ID","value":"243-15"},{"id":16,"name":"Locomotive ID","value":"4062"},{"id":130,"name":"Impact","value":""},{"id":150,"name":"Time of Event (Mountain Time)","value":"01:05:46"},{"id":151,"name":"Denver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180"/>
      <c r="AK158" s="188"/>
      <c r="AL158" s="188"/>
      <c r="AM158" s="193" t="str">
        <f t="shared" si="93"/>
        <v>start /low /b %USERPROFILE%\Documents\GitHub\eaglep3\Utilities\DownloadLogsFromS3.py --loco 4062 --day 2017-12-16</v>
      </c>
      <c r="AN158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08:05:46"},{"id":29,"name":"Sharepoint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87" t="str">
        <f t="shared" si="95"/>
        <v>https://d0f6bd738d7f1b3e5a7ca70fe4ff75f0.us-east-1.aws.found.io/app/kibana#/discover/Steve-Slow-Train-Analysis-(2080s-and-2083s)?_g=(refreshInterval:(display:Off,pause:!f,section:0,value:0),time:(from:'2017-12-15T23:09:33-0700',mode:absolute,to:'2017-12-16T02:05:46-0700'))&amp;_a=(columns:!('Message%20ID',Summary),filters:!(),index:'emp_*',interval:auto,query:(query_string:(analyze_wildcard:!t,query:'%22rtdc.l.rtdc.4062%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180" customFormat="1" x14ac:dyDescent="0.25">
      <c r="A159" s="186" t="s">
        <v>879</v>
      </c>
      <c r="B159" s="182">
        <v>4061</v>
      </c>
      <c r="C159" s="184" t="s">
        <v>192</v>
      </c>
      <c r="D159" s="184" t="s">
        <v>586</v>
      </c>
      <c r="E159" s="183">
        <v>43085.048587962963</v>
      </c>
      <c r="F159" s="183">
        <v>43085.060578703706</v>
      </c>
      <c r="G159" s="182">
        <v>54</v>
      </c>
      <c r="H159" s="184" t="s">
        <v>1013</v>
      </c>
      <c r="I159" s="183">
        <v>43085.08520833333</v>
      </c>
      <c r="J159" s="182">
        <v>0</v>
      </c>
      <c r="K159" s="190" t="str">
        <f t="shared" si="82"/>
        <v>4061/4062</v>
      </c>
      <c r="L159" s="196" t="str">
        <f>VLOOKUP(A159,'Trips&amp;Operators'!$C$1:$G$99911,5,FALSE)</f>
        <v>ELBAUM MIKE</v>
      </c>
      <c r="M159" s="181">
        <f t="shared" si="83"/>
        <v>2.4629629624541849E-2</v>
      </c>
      <c r="N159" s="182">
        <f t="shared" si="81"/>
        <v>35.466666659340262</v>
      </c>
      <c r="O159" s="182"/>
      <c r="P159" s="182"/>
      <c r="Q159" s="185"/>
      <c r="R159" s="197"/>
      <c r="S159" s="241">
        <f t="shared" si="80"/>
        <v>1</v>
      </c>
      <c r="T159" s="220" t="str">
        <f t="shared" si="84"/>
        <v>Southbound</v>
      </c>
      <c r="U159" s="22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21" t="str">
        <f t="shared" si="85"/>
        <v>https://d0f6bd738d7f1b3e5a7ca70fe4ff75f0.us-east-1.aws.found.io/app/kibana#/discover/Steve-Slow-Train-Analysis-(2080s-and-2083s)?_g=(refreshInterval:(display:Off,pause:!f,section:0,value:0),time:(from:'2017-12-16T00:09:58-0700',mode:absolute,to:'2017-12-16T03:02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9" s="222" t="str">
        <f>IF(AA159&lt;VLOOKUP(AG159,Variables!$AC$3:$AD$8,2,FALSE),"Y","N")</f>
        <v>N</v>
      </c>
      <c r="X159" s="222">
        <f t="shared" si="104"/>
        <v>1</v>
      </c>
      <c r="Y159" s="222">
        <f t="shared" si="102"/>
        <v>23.2986</v>
      </c>
      <c r="Z159" s="222">
        <f t="shared" si="103"/>
        <v>2.69E-2</v>
      </c>
      <c r="AA159" s="222">
        <f t="shared" si="86"/>
        <v>23.271699999999999</v>
      </c>
      <c r="AB159" s="231" t="e">
        <f>VLOOKUP(A159,Enforcements!$C$7:$K$9,8,0)</f>
        <v>#N/A</v>
      </c>
      <c r="AC159" s="231" t="e">
        <f>VLOOKUP(A159,Enforcements!$C$7:$E$9,3,0)</f>
        <v>#N/A</v>
      </c>
      <c r="AD159" s="232">
        <f t="shared" si="87"/>
        <v>244</v>
      </c>
      <c r="AE159" s="233" t="str">
        <f t="shared" si="88"/>
        <v>aws s3 cp s3://rtdc.mdm.uploadarchive.raw/RTDC4061/ "%USERPROFILE%\AppData\Local\Temp\OnboardLogs"\RTDC4061\2017-12-16 --exclude "*" --recursive --include "*20171216*" &amp; "%USERPROFILE%\Documents\GitHub\mrs-test-scripts\Headless Mode &amp; Sideloading\WalkAndUnGZ.bat" "%USERPROFILE%\AppData\Local\Temp\OnboardLogs"\RTDC4061\2017-12-16 &amp; aws s3 cp s3://rtdc.mdm.uploadarchive.raw/RTDC4061/ "%USERPROFILE%\AppData\Local\Temp\OnboardLogs"\RTDC4061\2017-12-17 --exclude "*" --recursive --include "*20171217*" &amp; "%USERPROFILE%\Documents\GitHub\mrs-test-scripts\Headless Mode &amp; Sideloading\WalkAndUnGZ.bat" "%USERPROFILE%\AppData\Local\Temp\OnboardLogs"\RTDC4061\2017-12-17</v>
      </c>
      <c r="AF159" s="234" t="str">
        <f t="shared" si="89"/>
        <v>"C:\Program Files (x86)\AstroGrep\AstroGrep.exe" /e /r /s /spath="%USERPROFILE%\AppData\Local\Temp\OnboardLogs" /stypes="app*4061*20171216*" /stext=" 09:.+((SYSTEM_STATE.+slice.+state.+changed )|(ment ac)|(multiple cpu faults)|(system.+state.+changed )|(\[timeout)|(PRM\|1\|D)|(kpr)|(kdp)|(train st.+moving)|(\|lc)|(penalty))"</v>
      </c>
      <c r="AG159" s="226" t="str">
        <f t="shared" si="90"/>
        <v>EC</v>
      </c>
      <c r="AH159" s="189" t="str">
        <f t="shared" si="91"/>
        <v>"%USERPROFILE%\Documents\GitHub\eaglep3\Utilities\RefineRTDCRunTimes.py" --tripid 244-15 --locoid 4061 --swversion DE.1.0.9.0 --startMP 204:232986 --initTime 2017-12-16T01:09:58 --startdatetime 2017-12-16T01:27:14 --delay 54 --endMP 204:269 --enddatetime 2017-12-16T02:02:42 --enforcementcount 0 &gt;&gt;%USERPROFILE%\Documents\GitHub\eaglep3-reporting\EC\2017-12-15-refined-times.txt</v>
      </c>
      <c r="AI159" s="191" t="str">
        <f t="shared" si="92"/>
        <v>echo {"issue":{"subject":"","project_id":79,"tracker_id":40,"status_id":1,"priority_id":2,"assigned_to_id":338,"start_date":"2017-12-16","description":"","custom_fields":[{"id":1,"name":"Subdivision","value":"EC"},{"id":4,"name":"Milepost","value":"0.0269"},{"id":17,"name":"Train ID","value":"244-15"},{"id":16,"name":"Locomotive ID","value":"4061"},{"id":130,"name":"Impact","value":""},{"id":150,"name":"Time of Event (Mountain Time)","value":"02:02:42"},{"id":151,"name":"Denver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188"/>
      <c r="AL159" s="188"/>
      <c r="AM159" s="193" t="str">
        <f t="shared" si="93"/>
        <v>start /low /b %USERPROFILE%\Documents\GitHub\eaglep3\Utilities\DownloadLogsFromS3.py --loco 4061 --day 2017-12-16</v>
      </c>
      <c r="AN159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09:02:42"},{"id":29,"name":"Sharepoint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87" t="str">
        <f t="shared" si="95"/>
        <v>https://d0f6bd738d7f1b3e5a7ca70fe4ff75f0.us-east-1.aws.found.io/app/kibana#/discover/Steve-Slow-Train-Analysis-(2080s-and-2083s)?_g=(refreshInterval:(display:Off,pause:!f,section:0,value:0),time:(from:'2017-12-16T00:09:58-0700',mode:absolute,to:'2017-12-16T03:02:42-0700'))&amp;_a=(columns:!('Message%20ID',Summary),filters:!(),index:'emp_*',interval:auto,query:(query_string:(analyze_wildcard:!t,query:'%22rtdc.l.rtdc.4061%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180" customFormat="1" x14ac:dyDescent="0.25">
      <c r="A160" s="186" t="s">
        <v>877</v>
      </c>
      <c r="B160" s="182">
        <v>4004</v>
      </c>
      <c r="C160" s="184" t="s">
        <v>192</v>
      </c>
      <c r="D160" s="184" t="s">
        <v>621</v>
      </c>
      <c r="E160" s="183">
        <v>43085.040671296294</v>
      </c>
      <c r="F160" s="183">
        <v>43085.041979166665</v>
      </c>
      <c r="G160" s="182">
        <v>52</v>
      </c>
      <c r="H160" s="184" t="s">
        <v>1014</v>
      </c>
      <c r="I160" s="183">
        <v>43085.06722222222</v>
      </c>
      <c r="J160" s="182">
        <v>0</v>
      </c>
      <c r="K160" s="190" t="str">
        <f t="shared" si="82"/>
        <v>4003/4004</v>
      </c>
      <c r="L160" s="196" t="str">
        <f>VLOOKUP(A160,'Trips&amp;Operators'!$C$1:$G$99911,5,FALSE)</f>
        <v>ANDERS STEVEN</v>
      </c>
      <c r="M160" s="181">
        <f t="shared" si="83"/>
        <v>2.5243055555620231E-2</v>
      </c>
      <c r="N160" s="182">
        <f t="shared" si="81"/>
        <v>36.350000000093132</v>
      </c>
      <c r="O160" s="182"/>
      <c r="P160" s="182"/>
      <c r="Q160" s="185"/>
      <c r="R160" s="197"/>
      <c r="S160" s="241">
        <f t="shared" si="80"/>
        <v>1</v>
      </c>
      <c r="T160" s="220" t="str">
        <f t="shared" si="84"/>
        <v>NorthBound</v>
      </c>
      <c r="U160" s="22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21" t="str">
        <f t="shared" si="85"/>
        <v>https://d0f6bd738d7f1b3e5a7ca70fe4ff75f0.us-east-1.aws.found.io/app/kibana#/discover/Steve-Slow-Train-Analysis-(2080s-and-2083s)?_g=(refreshInterval:(display:Off,pause:!f,section:0,value:0),time:(from:'2017-12-15T23:58:34-0700',mode:absolute,to:'2017-12-16T02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0" s="222" t="str">
        <f>IF(AA160&lt;VLOOKUP(AG160,Variables!$AC$3:$AD$8,2,FALSE),"Y","N")</f>
        <v>N</v>
      </c>
      <c r="X160" s="222">
        <f t="shared" si="104"/>
        <v>1</v>
      </c>
      <c r="Y160" s="222">
        <f t="shared" si="102"/>
        <v>5.4199999999999998E-2</v>
      </c>
      <c r="Z160" s="222">
        <f t="shared" si="103"/>
        <v>23.324000000000002</v>
      </c>
      <c r="AA160" s="222">
        <f t="shared" si="86"/>
        <v>23.2698</v>
      </c>
      <c r="AB160" s="231" t="e">
        <f>VLOOKUP(A160,Enforcements!$C$7:$K$9,8,0)</f>
        <v>#N/A</v>
      </c>
      <c r="AC160" s="231" t="e">
        <f>VLOOKUP(A160,Enforcements!$C$7:$E$9,3,0)</f>
        <v>#N/A</v>
      </c>
      <c r="AD160" s="232">
        <f t="shared" si="87"/>
        <v>245</v>
      </c>
      <c r="AE160" s="233" t="str">
        <f t="shared" si="88"/>
        <v>aws s3 cp s3://rtdc.mdm.uploadarchive.raw/RTDC4004/ "%USERPROFILE%\AppData\Local\Temp\OnboardLogs"\RTDC4004\2017-12-16 --exclude "*" --recursive --include "*20171216*" &amp; "%USERPROFILE%\Documents\GitHub\mrs-test-scripts\Headless Mode &amp; Sideloading\WalkAndUnGZ.bat" "%USERPROFILE%\AppData\Local\Temp\OnboardLogs"\RTDC4004\2017-12-16 &amp; aws s3 cp s3://rtdc.mdm.uploadarchive.raw/RTDC4004/ "%USERPROFILE%\AppData\Local\Temp\OnboardLogs"\RTDC4004\2017-12-17 --exclude "*" --recursive --include "*20171217*" &amp; "%USERPROFILE%\Documents\GitHub\mrs-test-scripts\Headless Mode &amp; Sideloading\WalkAndUnGZ.bat" "%USERPROFILE%\AppData\Local\Temp\OnboardLogs"\RTDC4004\2017-12-17</v>
      </c>
      <c r="AF160" s="234" t="str">
        <f t="shared" si="89"/>
        <v>"C:\Program Files (x86)\AstroGrep\AstroGrep.exe" /e /r /s /spath="%USERPROFILE%\AppData\Local\Temp\OnboardLogs" /stypes="app*4004*20171216*" /stext=" 08:.+((SYSTEM_STATE.+slice.+state.+changed )|(ment ac)|(multiple cpu faults)|(system.+state.+changed )|(\[timeout)|(PRM\|1\|D)|(kpr)|(kdp)|(train st.+moving)|(\|lc)|(penalty))"</v>
      </c>
      <c r="AG160" s="226" t="str">
        <f t="shared" si="90"/>
        <v>EC</v>
      </c>
      <c r="AH160" s="189" t="str">
        <f t="shared" si="91"/>
        <v>"%USERPROFILE%\Documents\GitHub\eaglep3\Utilities\RefineRTDCRunTimes.py" --tripid 245-15 --locoid 4004 --swversion DE.1.0.9.0 --startMP 204:542 --initTime 2017-12-16T00:58:34 --startdatetime 2017-12-16T01:00:27 --delay 52 --endMP 204:233240 --enddatetime 2017-12-16T01:36:48 --enforcementcount 0 &gt;&gt;%USERPROFILE%\Documents\GitHub\eaglep3-reporting\EC\2017-12-15-refined-times.txt</v>
      </c>
      <c r="AI160" s="191" t="str">
        <f t="shared" si="92"/>
        <v>echo {"issue":{"subject":"","project_id":79,"tracker_id":40,"status_id":1,"priority_id":2,"assigned_to_id":338,"start_date":"2017-12-16","description":"","custom_fields":[{"id":1,"name":"Subdivision","value":"EC"},{"id":4,"name":"Milepost","value":"23.324"},{"id":17,"name":"Train ID","value":"245-15"},{"id":16,"name":"Locomotive ID","value":"4004"},{"id":130,"name":"Impact","value":""},{"id":150,"name":"Time of Event (Mountain Time)","value":"01:36:48"},{"id":151,"name":"Denver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188"/>
      <c r="AL160" s="188"/>
      <c r="AM160" s="193" t="str">
        <f t="shared" si="93"/>
        <v>start /low /b %USERPROFILE%\Documents\GitHub\eaglep3\Utilities\DownloadLogsFromS3.py --loco 4004 --day 2017-12-16</v>
      </c>
      <c r="AN160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08:36:48"},{"id":29,"name":"Sharepoint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87" t="str">
        <f t="shared" si="95"/>
        <v>https://d0f6bd738d7f1b3e5a7ca70fe4ff75f0.us-east-1.aws.found.io/app/kibana#/discover/Steve-Slow-Train-Analysis-(2080s-and-2083s)?_g=(refreshInterval:(display:Off,pause:!f,section:0,value:0),time:(from:'2017-12-15T23:58:34-0700',mode:absolute,to:'2017-12-16T02:36:48-0700'))&amp;_a=(columns:!('Message%20ID',Summary),filters:!(),index:'emp_*',interval:auto,query:(query_string:(analyze_wildcard:!t,query:'%22rtdc.l.rtdc.4004%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180" customFormat="1" x14ac:dyDescent="0.25">
      <c r="A161" s="186" t="s">
        <v>682</v>
      </c>
      <c r="B161" s="182">
        <v>4003</v>
      </c>
      <c r="C161" s="184" t="s">
        <v>192</v>
      </c>
      <c r="D161" s="184" t="s">
        <v>621</v>
      </c>
      <c r="E161" s="183">
        <v>43085.040671296294</v>
      </c>
      <c r="F161" s="183">
        <v>43085.081736111111</v>
      </c>
      <c r="G161" s="182">
        <v>52</v>
      </c>
      <c r="H161" s="184" t="s">
        <v>1014</v>
      </c>
      <c r="I161" s="183">
        <v>43085.108807870369</v>
      </c>
      <c r="J161" s="182">
        <v>0</v>
      </c>
      <c r="K161" s="190" t="str">
        <f t="shared" si="82"/>
        <v>4003/4004</v>
      </c>
      <c r="L161" s="196" t="str">
        <f>VLOOKUP(A161,'Trips&amp;Operators'!$C$1:$G$99911,5,FALSE)</f>
        <v>ANDERS STEVEN</v>
      </c>
      <c r="M161" s="181">
        <f t="shared" si="83"/>
        <v>2.7071759257523809E-2</v>
      </c>
      <c r="N161" s="182"/>
      <c r="O161" s="182"/>
      <c r="P161" s="182">
        <f>24*60*SUM($M161:$M161)</f>
        <v>38.983333330834284</v>
      </c>
      <c r="Q161" s="185"/>
      <c r="R161" s="197" t="s">
        <v>438</v>
      </c>
      <c r="S161" s="241">
        <f t="shared" si="80"/>
        <v>0</v>
      </c>
      <c r="T161" s="220" t="str">
        <f t="shared" si="84"/>
        <v>Southbound</v>
      </c>
      <c r="U161" s="22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0</v>
      </c>
      <c r="V161" s="221" t="str">
        <f t="shared" si="85"/>
        <v>https://d0f6bd738d7f1b3e5a7ca70fe4ff75f0.us-east-1.aws.found.io/app/kibana#/discover/Steve-Slow-Train-Analysis-(2080s-and-2083s)?_g=(refreshInterval:(display:Off,pause:!f,section:0,value:0),time:(from:'2017-12-15T23:58:34-0700',mode:absolute,to:'2017-12-16T03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1" s="222" t="str">
        <f>IF(AA161&lt;VLOOKUP(AG161,Variables!$AC$3:$AD$8,2,FALSE),"Y","N")</f>
        <v>N</v>
      </c>
      <c r="X161" s="222">
        <f t="shared" si="104"/>
        <v>1</v>
      </c>
      <c r="Y161" s="222">
        <f t="shared" si="102"/>
        <v>5.4199999999999998E-2</v>
      </c>
      <c r="Z161" s="222">
        <f t="shared" si="103"/>
        <v>23.324000000000002</v>
      </c>
      <c r="AA161" s="222">
        <f t="shared" si="86"/>
        <v>23.2698</v>
      </c>
      <c r="AB161" s="231" t="e">
        <f>VLOOKUP(A161,Enforcements!$C$7:$K$9,8,0)</f>
        <v>#N/A</v>
      </c>
      <c r="AC161" s="231" t="e">
        <f>VLOOKUP(A161,Enforcements!$C$7:$E$9,3,0)</f>
        <v>#N/A</v>
      </c>
      <c r="AD161" s="232">
        <f t="shared" si="87"/>
        <v>246</v>
      </c>
      <c r="AE161" s="233" t="str">
        <f t="shared" si="88"/>
        <v>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 &amp; 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</v>
      </c>
      <c r="AF161" s="234" t="str">
        <f t="shared" si="89"/>
        <v>"C:\Program Files (x86)\AstroGrep\AstroGrep.exe" /e /r /s /spath="%USERPROFILE%\AppData\Local\Temp\OnboardLogs" /stypes="app*4003*20171216*" /stext=" 09:.+((SYSTEM_STATE.+slice.+state.+changed )|(ment ac)|(multiple cpu faults)|(system.+state.+changed )|(\[timeout)|(PRM\|1\|D)|(kpr)|(kdp)|(train st.+moving)|(\|lc)|(penalty))"</v>
      </c>
      <c r="AG161" s="226" t="str">
        <f t="shared" si="90"/>
        <v>EC</v>
      </c>
      <c r="AH161" s="189" t="str">
        <f t="shared" ref="AH161" si="105">refinertdcruntimes&amp;" --tripid "&amp;A161&amp;" --locoid "&amp;B161&amp;" --swversion "&amp;C161&amp;" --startMP "&amp;D161&amp;" --initTime "&amp;TEXT(E161,"yyyy-mm-ddTHH:MM:SS")&amp;" --startdatetime "&amp;TEXT(F161,"yyyy-mm-ddTHH:MM:SS")&amp;" --delay "&amp;G161&amp;" --endMP "&amp;H161&amp;" --enddatetime "&amp;TEXT(I161,"yyyy-mm-ddTHH:MM:SS")&amp;" --enforcementcount "&amp;J161&amp;IF(outputrefinedruntimes," &gt;&gt;"&amp;RefinedRTDCRunTimesOutputFile,"")</f>
        <v>"%USERPROFILE%\Documents\GitHub\eaglep3\Utilities\RefineRTDCRunTimes.py" --tripid 246-15 --locoid 4003 --swversion DE.1.0.9.0 --startMP 204:542 --initTime 2017-12-16T00:58:34 --startdatetime 2017-12-16T01:57:42 --delay 52 --endMP 204:233240 --enddatetime 2017-12-16T02:36:41 --enforcementcount 0 &gt;&gt;%USERPROFILE%\Documents\GitHub\eaglep3-reporting\EC\2017-12-15-refined-times.txt</v>
      </c>
      <c r="AI161" s="191" t="str">
        <f t="shared" ref="AI161" si="106">"echo {""issue"":{""subject"":"""&amp;R161&amp;""",""project_id"":79,""tracker_id"":40,""status_id"":"&amp;redmine_status&amp;",""priority_id"":"&amp;redmine_priority&amp;",""assigned_to_id"":"&amp;redmine_assignee&amp;",""start_date"":"""&amp;TEXT(I161,"YYYY-mm-dd")&amp;""",""description"":"""&amp;AJ161&amp;""",""custom_fields"":[{""id"":1,""name"":""Subdivision"",""value"":"""&amp;AG161&amp;"""},{""id"":4,""name"":""Milepost"",""value"":"""&amp;Z161&amp;"""},{""id"":17,""name"":""Train ID"",""value"":"""&amp;A161&amp;"""},{""id"":16,""name"":""Locomotive ID"",""value"":"""&amp;B161&amp;"""},{""id"":130,""name"":""Impact"",""value"":"""&amp;AK161&amp;"""},{""id"":150,""name"":""Time of Event (Mountain Time)"",""value"":"""&amp;TEXT(I161,"hh:mm:ss")&amp;"""},{""id"":151,""name"":""Denver Issue ID"",""value"":"""&amp;"""},{""id"":178,""name"":""Operational Impact"",""value"":"""&amp;redmine_op_impact&amp;"""},{""id"":179,""name"":""Denver Segment Assigned"",""value"":"""&amp;AL161&amp;"""}]}}"&amp;"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drop","project_id":79,"tracker_id":40,"status_id":1,"priority_id":2,"assigned_to_id":338,"start_date":"2017-12-16","description":"","custom_fields":[{"id":1,"name":"Subdivision","value":"EC"},{"id":4,"name":"Milepost","value":"23.324"},{"id":17,"name":"Train ID","value":"246-15"},{"id":16,"name":"Locomotive ID","value":"4003"},{"id":130,"name":"Impact","value":""},{"id":150,"name":"Time of Event (Mountain Time)","value":"02:36:41"},{"id":151,"name":"Denver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188"/>
      <c r="AL161" s="188"/>
      <c r="AM161" s="193" t="str">
        <f t="shared" ref="AM161" si="107">"start /low /b "&amp;dls3logs&amp;" --loco "&amp;B161&amp;" --day "&amp;TEXT(F161,"YYYY-MM-DD")</f>
        <v>start /low /b %USERPROFILE%\Documents\GitHub\eaglep3\Utilities\DownloadLogsFromS3.py --loco 4003 --day 2017-12-16</v>
      </c>
      <c r="AN161" s="194" t="str">
        <f t="shared" ref="AN161" si="108">"echo {""issue"":{""subject"":"""&amp;R161&amp;""",""project_id"":30,""tracker_id"":4,""status_id"":"&amp;redmine_status_wcr&amp;",""priority_id"":"&amp;redmine_priority_wcr&amp;",""assigned_to_id"":"&amp;redmine_assignee_wcr&amp;",""start_date"":"""&amp;TEXT(I161-utc_offset/24,"YYYY-mm-dd")&amp;""",""description"":"""&amp;AJ161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09:36:41"},{"id":29,"name":"Sharepoint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87" t="str">
        <f t="shared" ref="AO161" si="109"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Message%20ID',Summary),filters:!(),index:'emp_*',interval:auto,query:"&amp;"(query_string:(analyze_wildcard:!t,query:'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-12-15T23:58:34-0700',mode:absolute,to:'2017-12-16T03:36:41-0700'))&amp;_a=(columns:!('Message%20ID',Summary),filters:!(),index:'emp_*',interval:auto,query:(query_string:(analyze_wildcard:!t,query:'%22rtdc.l.rtdc.4003%22')),sort:!(Time.ISO8601,asc))</v>
      </c>
    </row>
    <row r="162" spans="1:91" s="180" customFormat="1" x14ac:dyDescent="0.25">
      <c r="A162" s="186" t="s">
        <v>703</v>
      </c>
      <c r="B162" s="182">
        <v>4007</v>
      </c>
      <c r="C162" s="184" t="s">
        <v>192</v>
      </c>
      <c r="D162" s="184" t="s">
        <v>638</v>
      </c>
      <c r="E162" s="183">
        <v>43084.209548611114</v>
      </c>
      <c r="F162" s="183">
        <v>43084.211388888885</v>
      </c>
      <c r="G162" s="182">
        <v>73</v>
      </c>
      <c r="H162" s="184" t="s">
        <v>636</v>
      </c>
      <c r="I162" s="183">
        <v>43084.227141203701</v>
      </c>
      <c r="J162" s="182">
        <v>0</v>
      </c>
      <c r="K162" s="190" t="str">
        <f t="shared" si="82"/>
        <v>4007/4008</v>
      </c>
      <c r="L162" s="196" t="str">
        <f>VLOOKUP(A162,'Trips&amp;Operators'!$C$1:$G$99911,5,FALSE)</f>
        <v>WILLIAMS DONTE</v>
      </c>
      <c r="M162" s="181">
        <f t="shared" si="83"/>
        <v>1.5752314815472346E-2</v>
      </c>
      <c r="N162" s="182">
        <f t="shared" ref="N162:N180" si="110">24*60*SUM($M162:$M162)</f>
        <v>22.683333334280178</v>
      </c>
      <c r="O162" s="182"/>
      <c r="P162" s="182"/>
      <c r="Q162" s="185"/>
      <c r="R162" s="197"/>
      <c r="S162" s="241">
        <f t="shared" si="80"/>
        <v>1</v>
      </c>
      <c r="T162" s="220" t="str">
        <f t="shared" si="84"/>
        <v>Southbound</v>
      </c>
      <c r="U162" s="22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21" t="str">
        <f t="shared" si="85"/>
        <v>https://d0f6bd738d7f1b3e5a7ca70fe4ff75f0.us-east-1.aws.found.io/app/kibana#/discover/Steve-Slow-Train-Analysis-(2080s-and-2083s)?_g=(refreshInterval:(display:Off,pause:!f,section:0,value:0),time:(from:'2017-12-15T04:01:45-0700',mode:absolute,to:'2017-12-15T06:27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2" s="222" t="str">
        <f>IF(AA162&lt;VLOOKUP(AG162,Variables!$AC$3:$AD$8,2,FALSE),"Y","N")</f>
        <v>N</v>
      </c>
      <c r="X162" s="222">
        <f t="shared" ref="X162:X164" si="111">VALUE(LEFT(AD162,4))-VALUE(LEFT(AD161,4))</f>
        <v>554</v>
      </c>
      <c r="Y162" s="222">
        <f t="shared" si="102"/>
        <v>5.8611000000000004</v>
      </c>
      <c r="Z162" s="222">
        <f t="shared" si="103"/>
        <v>1.4200000000000001E-2</v>
      </c>
      <c r="AA162" s="222">
        <f t="shared" si="86"/>
        <v>5.8469000000000007</v>
      </c>
      <c r="AB162" s="231" t="e">
        <f>VLOOKUP(A162,Enforcements!$C$7:$K$9,8,0)</f>
        <v>#N/A</v>
      </c>
      <c r="AC162" s="231" t="e">
        <f>VLOOKUP(A162,Enforcements!$C$7:$E$9,3,0)</f>
        <v>#N/A</v>
      </c>
      <c r="AD162" s="232">
        <f t="shared" si="87"/>
        <v>800</v>
      </c>
      <c r="AE162" s="233" t="str">
        <f t="shared" si="88"/>
        <v>aws s3 cp s3://rtdc.mdm.uploadarchive.raw/RTDC4007/ "%USERPROFILE%\AppData\Local\Temp\OnboardLogs"\RTDC4007\2017-12-15 --exclude "*" --recursive --include "*20171215*" &amp; "%USERPROFILE%\Documents\GitHub\mrs-test-scripts\Headless Mode &amp; Sideloading\WalkAndUnGZ.bat" "%USERPROFILE%\AppData\Local\Temp\OnboardLogs"\RTDC4007\2017-12-15 &amp; aws s3 cp s3://rtdc.mdm.uploadarchive.raw/RTDC4007/ "%USERPROFILE%\AppData\Local\Temp\OnboardLogs"\RTDC4007\2017-12-16 --exclude "*" --recursive --include "*20171216*" &amp; "%USERPROFILE%\Documents\GitHub\mrs-test-scripts\Headless Mode &amp; Sideloading\WalkAndUnGZ.bat" "%USERPROFILE%\AppData\Local\Temp\OnboardLogs"\RTDC4007\2017-12-16</v>
      </c>
      <c r="AF162" s="234" t="str">
        <f t="shared" si="89"/>
        <v>"C:\Program Files (x86)\AstroGrep\AstroGrep.exe" /e /r /s /spath="%USERPROFILE%\AppData\Local\Temp\OnboardLogs" /stypes="app*4007*20171215*" /stext=" 12:.+((SYSTEM_STATE.+slice.+state.+changed )|(ment ac)|(multiple cpu faults)|(system.+state.+changed )|(\[timeout)|(PRM\|1\|D)|(kpr)|(kdp)|(train st.+moving)|(\|lc)|(penalty))"</v>
      </c>
      <c r="AG162" s="226" t="str">
        <f t="shared" si="90"/>
        <v>NW</v>
      </c>
      <c r="AH162" s="189" t="str">
        <f t="shared" si="91"/>
        <v>"%USERPROFILE%\Documents\GitHub\eaglep3\Utilities\RefineRTDCRunTimes.py" --tripid 800-15 --locoid 4007 --swversion DE.1.0.9.0 --startMP 300:58611 --initTime 2017-12-15T05:01:45 --startdatetime 2017-12-15T05:04:24 --delay 73 --endMP 204:142 --enddatetime 2017-12-15T05:27:05 --enforcementcount 0 &gt;&gt;%USERPROFILE%\Documents\GitHub\eaglep3-reporting\EC\2017-12-15-refined-times.txt</v>
      </c>
      <c r="AI162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{"issue":{"subject":"","project_id":79,"tracker_id":40,"status_id":1,"priority_id":2,"assigned_to_id":338,"start_date":"2017-12-15","description":"","custom_fields":[{"id":1,"name":"Subdivision","value":"NW"},{"id":4,"name":"Milepost","value":"0.0142"},{"id":17,"name":"Train ID","value":"800-15"},{"id":16,"name":"Locomotive ID","value":"4007"},{"id":130,"name":"Impact","value":""},{"id":150,"name":"Time of Event (Mountain Time)","value":"05:27:05"},{"id":151,"name":"Denver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188"/>
      <c r="AL162" s="188"/>
      <c r="AM162" s="193" t="str">
        <f t="shared" si="93"/>
        <v>start /low /b %USERPROFILE%\Documents\GitHub\eaglep3\Utilities\DownloadLogsFromS3.py --loco 4007 --day 2017-12-15</v>
      </c>
      <c r="AN162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12:27:05"},{"id":29,"name":"Sharepoint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87" t="str">
        <f t="shared" si="95"/>
        <v>https://d0f6bd738d7f1b3e5a7ca70fe4ff75f0.us-east-1.aws.found.io/app/kibana#/discover/Steve-Slow-Train-Analysis-(2080s-and-2083s)?_g=(refreshInterval:(display:Off,pause:!f,section:0,value:0),time:(from:'2017-12-15T04:01:45-0700',mode:absolute,to:'2017-12-15T06:27:05-0700'))&amp;_a=(columns:!('Message%20ID',Summary),filters:!(),index:'emp_*',interval:auto,query:(query_string:(analyze_wildcard:!t,query:'%22rtdc.l.rtdc.4007%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186" t="s">
        <v>708</v>
      </c>
      <c r="B163" s="182">
        <v>4008</v>
      </c>
      <c r="C163" s="184" t="s">
        <v>192</v>
      </c>
      <c r="D163" s="184" t="s">
        <v>588</v>
      </c>
      <c r="E163" s="183">
        <v>43084.233194444445</v>
      </c>
      <c r="F163" s="183">
        <v>43084.23574074074</v>
      </c>
      <c r="G163" s="182">
        <v>63</v>
      </c>
      <c r="H163" s="184" t="s">
        <v>1035</v>
      </c>
      <c r="I163" s="183">
        <v>43084.246840277781</v>
      </c>
      <c r="J163" s="182">
        <v>0</v>
      </c>
      <c r="K163" s="190" t="str">
        <f t="shared" si="82"/>
        <v>4007/4008</v>
      </c>
      <c r="L163" s="196" t="str">
        <f>VLOOKUP(A163,'Trips&amp;Operators'!$C$1:$G$99911,5,FALSE)</f>
        <v>WILLIAMS DONTE</v>
      </c>
      <c r="M163" s="181">
        <f t="shared" si="83"/>
        <v>1.1099537041445728E-2</v>
      </c>
      <c r="N163" s="182">
        <f t="shared" si="110"/>
        <v>15.983333339681849</v>
      </c>
      <c r="O163" s="182"/>
      <c r="P163" s="182"/>
      <c r="Q163" s="185"/>
      <c r="R163" s="197"/>
      <c r="S163" s="241">
        <f t="shared" si="80"/>
        <v>1</v>
      </c>
      <c r="T163" s="220" t="str">
        <f t="shared" si="84"/>
        <v>NorthBound</v>
      </c>
      <c r="U163" s="22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21" t="str">
        <f t="shared" si="85"/>
        <v>https://d0f6bd738d7f1b3e5a7ca70fe4ff75f0.us-east-1.aws.found.io/app/kibana#/discover/Steve-Slow-Train-Analysis-(2080s-and-2083s)?_g=(refreshInterval:(display:Off,pause:!f,section:0,value:0),time:(from:'2017-12-15T04:35:48-0700',mode:absolute,to:'2017-12-15T06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3" s="222" t="str">
        <f>IF(AA163&lt;VLOOKUP(AG163,Variables!$AC$3:$AD$8,2,FALSE),"Y","N")</f>
        <v>N</v>
      </c>
      <c r="X163" s="222">
        <f t="shared" si="111"/>
        <v>1</v>
      </c>
      <c r="Y163" s="222">
        <f t="shared" si="102"/>
        <v>4.6399999999999997E-2</v>
      </c>
      <c r="Z163" s="222">
        <f t="shared" si="103"/>
        <v>5.8929</v>
      </c>
      <c r="AA163" s="222">
        <f t="shared" si="86"/>
        <v>5.8464999999999998</v>
      </c>
      <c r="AB163" s="231" t="e">
        <f>VLOOKUP(A163,Enforcements!$C$7:$K$9,8,0)</f>
        <v>#N/A</v>
      </c>
      <c r="AC163" s="231" t="e">
        <f>VLOOKUP(A163,Enforcements!$C$7:$E$9,3,0)</f>
        <v>#N/A</v>
      </c>
      <c r="AD163" s="232">
        <f t="shared" si="87"/>
        <v>801</v>
      </c>
      <c r="AE163" s="233" t="str">
        <f t="shared" si="88"/>
        <v>aws s3 cp s3://rtdc.mdm.uploadarchive.raw/RTDC4008/ "%USERPROFILE%\AppData\Local\Temp\OnboardLogs"\RTDC4008\2017-12-15 --exclude "*" --recursive --include "*20171215*" &amp; "%USERPROFILE%\Documents\GitHub\mrs-test-scripts\Headless Mode &amp; Sideloading\WalkAndUnGZ.bat" "%USERPROFILE%\AppData\Local\Temp\OnboardLogs"\RTDC4008\2017-12-15 &amp; aws s3 cp s3://rtdc.mdm.uploadarchive.raw/RTDC4008/ "%USERPROFILE%\AppData\Local\Temp\OnboardLogs"\RTDC4008\2017-12-16 --exclude "*" --recursive --include "*20171216*" &amp; "%USERPROFILE%\Documents\GitHub\mrs-test-scripts\Headless Mode &amp; Sideloading\WalkAndUnGZ.bat" "%USERPROFILE%\AppData\Local\Temp\OnboardLogs"\RTDC4008\2017-12-16</v>
      </c>
      <c r="AF163" s="234" t="str">
        <f t="shared" si="89"/>
        <v>"C:\Program Files (x86)\AstroGrep\AstroGrep.exe" /e /r /s /spath="%USERPROFILE%\AppData\Local\Temp\OnboardLogs" /stypes="app*4008*20171215*" /stext=" 12:.+((SYSTEM_STATE.+slice.+state.+changed )|(ment ac)|(multiple cpu faults)|(system.+state.+changed )|(\[timeout)|(PRM\|1\|D)|(kpr)|(kdp)|(train st.+moving)|(\|lc)|(penalty))"</v>
      </c>
      <c r="AG163" s="226" t="str">
        <f t="shared" si="90"/>
        <v>NW</v>
      </c>
      <c r="AH163" s="189" t="str">
        <f t="shared" si="91"/>
        <v>"%USERPROFILE%\Documents\GitHub\eaglep3\Utilities\RefineRTDCRunTimes.py" --tripid 801-15 --locoid 4008 --swversion DE.1.0.9.0 --startMP 204:464 --initTime 2017-12-15T05:35:48 --startdatetime 2017-12-15T05:39:28 --delay 63 --endMP 300:58929 --enddatetime 2017-12-15T05:55:27 --enforcementcount 0 &gt;&gt;%USERPROFILE%\Documents\GitHub\eaglep3-reporting\EC\2017-12-15-refined-times.txt</v>
      </c>
      <c r="AI163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{"issue":{"subject":"","project_id":79,"tracker_id":40,"status_id":1,"priority_id":2,"assigned_to_id":338,"start_date":"2017-12-15","description":"","custom_fields":[{"id":1,"name":"Subdivision","value":"NW"},{"id":4,"name":"Milepost","value":"5.8929"},{"id":17,"name":"Train ID","value":"801-15"},{"id":16,"name":"Locomotive ID","value":"4008"},{"id":130,"name":"Impact","value":""},{"id":150,"name":"Time of Event (Mountain Time)","value":"05:55:27"},{"id":151,"name":"Denver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180"/>
      <c r="AK163" s="188"/>
      <c r="AL163" s="188"/>
      <c r="AM163" s="193" t="str">
        <f t="shared" si="93"/>
        <v>start /low /b %USERPROFILE%\Documents\GitHub\eaglep3\Utilities\DownloadLogsFromS3.py --loco 4008 --day 2017-12-15</v>
      </c>
      <c r="AN163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12:55:27"},{"id":29,"name":"Sharepoint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87" t="str">
        <f t="shared" si="95"/>
        <v>https://d0f6bd738d7f1b3e5a7ca70fe4ff75f0.us-east-1.aws.found.io/app/kibana#/discover/Steve-Slow-Train-Analysis-(2080s-and-2083s)?_g=(refreshInterval:(display:Off,pause:!f,section:0,value:0),time:(from:'2017-12-15T04:35:48-0700',mode:absolute,to:'2017-12-15T06:55:27-0700'))&amp;_a=(columns:!('Message%20ID',Summary),filters:!(),index:'emp_*',interval:auto,query:(query_string:(analyze_wildcard:!t,query:'%22rtdc.l.rtdc.4008%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180" customFormat="1" x14ac:dyDescent="0.25">
      <c r="A164" s="186" t="s">
        <v>715</v>
      </c>
      <c r="B164" s="182">
        <v>4007</v>
      </c>
      <c r="C164" s="184" t="s">
        <v>192</v>
      </c>
      <c r="D164" s="184" t="s">
        <v>639</v>
      </c>
      <c r="E164" s="183">
        <v>43084.247766203705</v>
      </c>
      <c r="F164" s="183">
        <v>43084.258333333331</v>
      </c>
      <c r="G164" s="182">
        <v>56</v>
      </c>
      <c r="H164" s="184" t="s">
        <v>1036</v>
      </c>
      <c r="I164" s="183">
        <v>43084.267951388887</v>
      </c>
      <c r="J164" s="182">
        <v>0</v>
      </c>
      <c r="K164" s="190" t="str">
        <f t="shared" si="82"/>
        <v>4007/4008</v>
      </c>
      <c r="L164" s="196" t="str">
        <f>VLOOKUP(A164,'Trips&amp;Operators'!$C$1:$G$99911,5,FALSE)</f>
        <v>WILLIAMS DONTE</v>
      </c>
      <c r="M164" s="181">
        <f t="shared" si="83"/>
        <v>9.6180555556202307E-3</v>
      </c>
      <c r="N164" s="182">
        <f t="shared" si="110"/>
        <v>13.850000000093132</v>
      </c>
      <c r="O164" s="182"/>
      <c r="P164" s="182"/>
      <c r="Q164" s="185"/>
      <c r="R164" s="197"/>
      <c r="S164" s="241">
        <f t="shared" si="80"/>
        <v>1</v>
      </c>
      <c r="T164" s="220" t="str">
        <f t="shared" si="84"/>
        <v>Southbound</v>
      </c>
      <c r="U164" s="22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21" t="str">
        <f t="shared" si="85"/>
        <v>https://d0f6bd738d7f1b3e5a7ca70fe4ff75f0.us-east-1.aws.found.io/app/kibana#/discover/Steve-Slow-Train-Analysis-(2080s-and-2083s)?_g=(refreshInterval:(display:Off,pause:!f,section:0,value:0),time:(from:'2017-12-15T04:56:47-0700',mode:absolute,to:'2017-12-15T07:25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4" s="222" t="str">
        <f>IF(AA164&lt;VLOOKUP(AG164,Variables!$AC$3:$AD$8,2,FALSE),"Y","N")</f>
        <v>N</v>
      </c>
      <c r="X164" s="222">
        <f t="shared" si="111"/>
        <v>1</v>
      </c>
      <c r="Y164" s="222">
        <f t="shared" si="102"/>
        <v>5.8613</v>
      </c>
      <c r="Z164" s="222">
        <f t="shared" si="103"/>
        <v>0.01</v>
      </c>
      <c r="AA164" s="222">
        <f t="shared" si="86"/>
        <v>5.8513000000000002</v>
      </c>
      <c r="AB164" s="231" t="e">
        <f>VLOOKUP(A164,Enforcements!$C$7:$K$9,8,0)</f>
        <v>#N/A</v>
      </c>
      <c r="AC164" s="231" t="e">
        <f>VLOOKUP(A164,Enforcements!$C$7:$E$9,3,0)</f>
        <v>#N/A</v>
      </c>
      <c r="AD164" s="232">
        <f t="shared" si="87"/>
        <v>802</v>
      </c>
      <c r="AE164" s="233" t="str">
        <f t="shared" si="88"/>
        <v>aws s3 cp s3://rtdc.mdm.uploadarchive.raw/RTDC4007/ "%USERPROFILE%\AppData\Local\Temp\OnboardLogs"\RTDC4007\2017-12-15 --exclude "*" --recursive --include "*20171215*" &amp; "%USERPROFILE%\Documents\GitHub\mrs-test-scripts\Headless Mode &amp; Sideloading\WalkAndUnGZ.bat" "%USERPROFILE%\AppData\Local\Temp\OnboardLogs"\RTDC4007\2017-12-15 &amp; aws s3 cp s3://rtdc.mdm.uploadarchive.raw/RTDC4007/ "%USERPROFILE%\AppData\Local\Temp\OnboardLogs"\RTDC4007\2017-12-16 --exclude "*" --recursive --include "*20171216*" &amp; "%USERPROFILE%\Documents\GitHub\mrs-test-scripts\Headless Mode &amp; Sideloading\WalkAndUnGZ.bat" "%USERPROFILE%\AppData\Local\Temp\OnboardLogs"\RTDC4007\2017-12-16</v>
      </c>
      <c r="AF164" s="234" t="str">
        <f t="shared" si="89"/>
        <v>"C:\Program Files (x86)\AstroGrep\AstroGrep.exe" /e /r /s /spath="%USERPROFILE%\AppData\Local\Temp\OnboardLogs" /stypes="app*4007*20171215*" /stext=" 13:.+((SYSTEM_STATE.+slice.+state.+changed )|(ment ac)|(multiple cpu faults)|(system.+state.+changed )|(\[timeout)|(PRM\|1\|D)|(kpr)|(kdp)|(train st.+moving)|(\|lc)|(penalty))"</v>
      </c>
      <c r="AG164" s="226" t="str">
        <f t="shared" si="90"/>
        <v>NW</v>
      </c>
      <c r="AH164" s="189" t="str">
        <f t="shared" si="91"/>
        <v>"%USERPROFILE%\Documents\GitHub\eaglep3\Utilities\RefineRTDCRunTimes.py" --tripid 802-15 --locoid 4007 --swversion DE.1.0.9.0 --startMP 300:58613 --initTime 2017-12-15T05:56:47 --startdatetime 2017-12-15T06:12:00 --delay 56 --endMP 204:100 --enddatetime 2017-12-15T06:25:51 --enforcementcount 0 &gt;&gt;%USERPROFILE%\Documents\GitHub\eaglep3-reporting\EC\2017-12-15-refined-times.txt</v>
      </c>
      <c r="AI164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{"issue":{"subject":"","project_id":79,"tracker_id":40,"status_id":1,"priority_id":2,"assigned_to_id":338,"start_date":"2017-12-15","description":"","custom_fields":[{"id":1,"name":"Subdivision","value":"NW"},{"id":4,"name":"Milepost","value":"0.01"},{"id":17,"name":"Train ID","value":"802-15"},{"id":16,"name":"Locomotive ID","value":"4007"},{"id":130,"name":"Impact","value":""},{"id":150,"name":"Time of Event (Mountain Time)","value":"06:25:51"},{"id":151,"name":"Denver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188"/>
      <c r="AL164" s="188"/>
      <c r="AM164" s="193" t="str">
        <f t="shared" si="93"/>
        <v>start /low /b %USERPROFILE%\Documents\GitHub\eaglep3\Utilities\DownloadLogsFromS3.py --loco 4007 --day 2017-12-15</v>
      </c>
      <c r="AN164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13:25:51"},{"id":29,"name":"Sharepoint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87" t="str">
        <f t="shared" si="95"/>
        <v>https://d0f6bd738d7f1b3e5a7ca70fe4ff75f0.us-east-1.aws.found.io/app/kibana#/discover/Steve-Slow-Train-Analysis-(2080s-and-2083s)?_g=(refreshInterval:(display:Off,pause:!f,section:0,value:0),time:(from:'2017-12-15T04:56:47-0700',mode:absolute,to:'2017-12-15T07:25:51-0700'))&amp;_a=(columns:!('Message%20ID',Summary),filters:!(),index:'emp_*',interval:auto,query:(query_string:(analyze_wildcard:!t,query:'%22rtdc.l.rtdc.4007%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180" customFormat="1" x14ac:dyDescent="0.25">
      <c r="A165" s="186" t="s">
        <v>714</v>
      </c>
      <c r="B165" s="182">
        <v>4002</v>
      </c>
      <c r="C165" s="184" t="s">
        <v>192</v>
      </c>
      <c r="D165" s="184" t="s">
        <v>1037</v>
      </c>
      <c r="E165" s="183">
        <v>43084.247442129628</v>
      </c>
      <c r="F165" s="183">
        <v>43084.256435185183</v>
      </c>
      <c r="G165" s="182">
        <v>76</v>
      </c>
      <c r="H165" s="184" t="s">
        <v>535</v>
      </c>
      <c r="I165" s="183">
        <v>43084.266469907408</v>
      </c>
      <c r="J165" s="182">
        <v>0</v>
      </c>
      <c r="K165" s="190" t="str">
        <f t="shared" si="82"/>
        <v>4001/4002</v>
      </c>
      <c r="L165" s="196" t="str">
        <f>VLOOKUP(A165,'Trips&amp;Operators'!$C$1:$G$99911,5,FALSE)</f>
        <v>DELGADO DIANAH</v>
      </c>
      <c r="M165" s="181">
        <f t="shared" si="83"/>
        <v>1.0034722225100268E-2</v>
      </c>
      <c r="N165" s="182">
        <f t="shared" si="110"/>
        <v>14.450000004144385</v>
      </c>
      <c r="O165" s="182"/>
      <c r="P165" s="182"/>
      <c r="Q165" s="185"/>
      <c r="R165" s="197"/>
      <c r="S165" s="241">
        <f t="shared" si="80"/>
        <v>1</v>
      </c>
      <c r="T165" s="220" t="str">
        <f t="shared" si="84"/>
        <v>NorthBound</v>
      </c>
      <c r="U165" s="22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21" t="str">
        <f t="shared" si="85"/>
        <v>https://d0f6bd738d7f1b3e5a7ca70fe4ff75f0.us-east-1.aws.found.io/app/kibana#/discover/Steve-Slow-Train-Analysis-(2080s-and-2083s)?_g=(refreshInterval:(display:Off,pause:!f,section:0,value:0),time:(from:'2017-12-15T04:56:19-0700',mode:absolute,to:'2017-12-15T07:23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5" s="222" t="str">
        <f>IF(AA165&lt;VLOOKUP(AG165,Variables!$AC$3:$AD$8,2,FALSE),"Y","N")</f>
        <v>N</v>
      </c>
      <c r="X165" s="222">
        <f t="shared" ref="X165:X202" si="112">VALUE(LEFT(AD165,4))-VALUE(LEFT(AD164,4))</f>
        <v>1</v>
      </c>
      <c r="Y165" s="222">
        <f t="shared" si="102"/>
        <v>4.4999999999999998E-2</v>
      </c>
      <c r="Z165" s="222">
        <f t="shared" si="103"/>
        <v>5.8948</v>
      </c>
      <c r="AA165" s="222">
        <f t="shared" si="86"/>
        <v>5.8498000000000001</v>
      </c>
      <c r="AB165" s="231" t="e">
        <f>VLOOKUP(A165,Enforcements!$C$7:$K$9,8,0)</f>
        <v>#N/A</v>
      </c>
      <c r="AC165" s="231" t="e">
        <f>VLOOKUP(A165,Enforcements!$C$7:$E$9,3,0)</f>
        <v>#N/A</v>
      </c>
      <c r="AD165" s="232">
        <f t="shared" si="87"/>
        <v>803</v>
      </c>
      <c r="AE165" s="233" t="str">
        <f t="shared" si="88"/>
        <v>aws s3 cp s3://rtdc.mdm.uploadarchive.raw/RTDC4002/ "%USERPROFILE%\AppData\Local\Temp\OnboardLogs"\RTDC4002\2017-12-15 --exclude "*" --recursive --include "*20171215*" &amp; "%USERPROFILE%\Documents\GitHub\mrs-test-scripts\Headless Mode &amp; Sideloading\WalkAndUnGZ.bat" "%USERPROFILE%\AppData\Local\Temp\OnboardLogs"\RTDC4002\2017-12-15 &amp; aws s3 cp s3://rtdc.mdm.uploadarchive.raw/RTDC4002/ "%USERPROFILE%\AppData\Local\Temp\OnboardLogs"\RTDC4002\2017-12-16 --exclude "*" --recursive --include "*20171216*" &amp; "%USERPROFILE%\Documents\GitHub\mrs-test-scripts\Headless Mode &amp; Sideloading\WalkAndUnGZ.bat" "%USERPROFILE%\AppData\Local\Temp\OnboardLogs"\RTDC4002\2017-12-16</v>
      </c>
      <c r="AF165" s="234" t="str">
        <f t="shared" si="89"/>
        <v>"C:\Program Files (x86)\AstroGrep\AstroGrep.exe" /e /r /s /spath="%USERPROFILE%\AppData\Local\Temp\OnboardLogs" /stypes="app*4002*20171215*" /stext=" 13:.+((SYSTEM_STATE.+slice.+state.+changed )|(ment ac)|(multiple cpu faults)|(system.+state.+changed )|(\[timeout)|(PRM\|1\|D)|(kpr)|(kdp)|(train st.+moving)|(\|lc)|(penalty))"</v>
      </c>
      <c r="AG165" s="226" t="str">
        <f t="shared" si="90"/>
        <v>NW</v>
      </c>
      <c r="AH165" s="189" t="str">
        <f t="shared" si="91"/>
        <v>"%USERPROFILE%\Documents\GitHub\eaglep3\Utilities\RefineRTDCRunTimes.py" --tripid 803-15 --locoid 4002 --swversion DE.1.0.9.0 --startMP 204:450 --initTime 2017-12-15T05:56:19 --startdatetime 2017-12-15T06:09:16 --delay 76 --endMP 300:58948 --enddatetime 2017-12-15T06:23:43 --enforcementcount 0 &gt;&gt;%USERPROFILE%\Documents\GitHub\eaglep3-reporting\EC\2017-12-15-refined-times.txt</v>
      </c>
      <c r="AI165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{"issue":{"subject":"","project_id":79,"tracker_id":40,"status_id":1,"priority_id":2,"assigned_to_id":338,"start_date":"2017-12-15","description":"","custom_fields":[{"id":1,"name":"Subdivision","value":"NW"},{"id":4,"name":"Milepost","value":"5.8948"},{"id":17,"name":"Train ID","value":"803-15"},{"id":16,"name":"Locomotive ID","value":"4002"},{"id":130,"name":"Impact","value":""},{"id":150,"name":"Time of Event (Mountain Time)","value":"06:23:43"},{"id":151,"name":"Denver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188"/>
      <c r="AL165" s="188"/>
      <c r="AM165" s="193" t="str">
        <f t="shared" si="93"/>
        <v>start /low /b %USERPROFILE%\Documents\GitHub\eaglep3\Utilities\DownloadLogsFromS3.py --loco 4002 --day 2017-12-15</v>
      </c>
      <c r="AN165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13:23:43"},{"id":29,"name":"Sharepoint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87" t="str">
        <f t="shared" si="95"/>
        <v>https://d0f6bd738d7f1b3e5a7ca70fe4ff75f0.us-east-1.aws.found.io/app/kibana#/discover/Steve-Slow-Train-Analysis-(2080s-and-2083s)?_g=(refreshInterval:(display:Off,pause:!f,section:0,value:0),time:(from:'2017-12-15T04:56:19-0700',mode:absolute,to:'2017-12-15T07:23:43-0700'))&amp;_a=(columns:!('Message%20ID',Summary),filters:!(),index:'emp_*',interval:auto,query:(query_string:(analyze_wildcard:!t,query:'%22rtdc.l.rtdc.4002%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186" t="s">
        <v>721</v>
      </c>
      <c r="B166" s="182">
        <v>4001</v>
      </c>
      <c r="C166" s="184" t="s">
        <v>192</v>
      </c>
      <c r="D166" s="184" t="s">
        <v>1038</v>
      </c>
      <c r="E166" s="183">
        <v>43084.267951388887</v>
      </c>
      <c r="F166" s="183">
        <v>43084.279166666667</v>
      </c>
      <c r="G166" s="182">
        <v>67</v>
      </c>
      <c r="H166" s="184" t="s">
        <v>511</v>
      </c>
      <c r="I166" s="183">
        <v>43084.287997685184</v>
      </c>
      <c r="J166" s="182">
        <v>0</v>
      </c>
      <c r="K166" s="190" t="str">
        <f t="shared" si="82"/>
        <v>4001/4002</v>
      </c>
      <c r="L166" s="196" t="str">
        <f>VLOOKUP(A166,'Trips&amp;Operators'!$C$1:$G$99911,5,FALSE)</f>
        <v>DELGADO DIANAH</v>
      </c>
      <c r="M166" s="181">
        <f t="shared" si="83"/>
        <v>8.8310185165028088E-3</v>
      </c>
      <c r="N166" s="182">
        <f t="shared" si="110"/>
        <v>12.716666663764045</v>
      </c>
      <c r="O166" s="182"/>
      <c r="P166" s="182"/>
      <c r="Q166" s="185"/>
      <c r="R166" s="197"/>
      <c r="S166" s="241">
        <f t="shared" si="80"/>
        <v>1</v>
      </c>
      <c r="T166" s="220" t="str">
        <f t="shared" si="84"/>
        <v>Southbound</v>
      </c>
      <c r="U166" s="22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21" t="str">
        <f t="shared" si="85"/>
        <v>https://d0f6bd738d7f1b3e5a7ca70fe4ff75f0.us-east-1.aws.found.io/app/kibana#/discover/Steve-Slow-Train-Analysis-(2080s-and-2083s)?_g=(refreshInterval:(display:Off,pause:!f,section:0,value:0),time:(from:'2017-12-15T05:25:51-0700',mode:absolute,to:'2017-12-15T07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6" s="222" t="str">
        <f>IF(AA166&lt;VLOOKUP(AG166,Variables!$AC$3:$AD$8,2,FALSE),"Y","N")</f>
        <v>N</v>
      </c>
      <c r="X166" s="222">
        <f t="shared" si="112"/>
        <v>1</v>
      </c>
      <c r="Y166" s="222">
        <f t="shared" si="102"/>
        <v>5.8635999999999999</v>
      </c>
      <c r="Z166" s="222">
        <f t="shared" si="103"/>
        <v>1.5100000000000001E-2</v>
      </c>
      <c r="AA166" s="222">
        <f t="shared" si="86"/>
        <v>5.8484999999999996</v>
      </c>
      <c r="AB166" s="231" t="e">
        <f>VLOOKUP(A166,Enforcements!$C$7:$K$9,8,0)</f>
        <v>#N/A</v>
      </c>
      <c r="AC166" s="231" t="e">
        <f>VLOOKUP(A166,Enforcements!$C$7:$E$9,3,0)</f>
        <v>#N/A</v>
      </c>
      <c r="AD166" s="232">
        <f t="shared" si="87"/>
        <v>804</v>
      </c>
      <c r="AE166" s="233" t="str">
        <f t="shared" si="88"/>
        <v>aws s3 cp s3://rtdc.mdm.uploadarchive.raw/RTDC4001/ "%USERPROFILE%\AppData\Local\Temp\OnboardLogs"\RTDC4001\2017-12-15 --exclude "*" --recursive --include "*20171215*" &amp; "%USERPROFILE%\Documents\GitHub\mrs-test-scripts\Headless Mode &amp; Sideloading\WalkAndUnGZ.bat" "%USERPROFILE%\AppData\Local\Temp\OnboardLogs"\RTDC4001\2017-12-15 &amp; aws s3 cp s3://rtdc.mdm.uploadarchive.raw/RTDC4001/ "%USERPROFILE%\AppData\Local\Temp\OnboardLogs"\RTDC4001\2017-12-16 --exclude "*" --recursive --include "*20171216*" &amp; "%USERPROFILE%\Documents\GitHub\mrs-test-scripts\Headless Mode &amp; Sideloading\WalkAndUnGZ.bat" "%USERPROFILE%\AppData\Local\Temp\OnboardLogs"\RTDC4001\2017-12-16</v>
      </c>
      <c r="AF166" s="234" t="str">
        <f t="shared" si="89"/>
        <v>"C:\Program Files (x86)\AstroGrep\AstroGrep.exe" /e /r /s /spath="%USERPROFILE%\AppData\Local\Temp\OnboardLogs" /stypes="app*4001*20171215*" /stext=" 13:.+((SYSTEM_STATE.+slice.+state.+changed )|(ment ac)|(multiple cpu faults)|(system.+state.+changed )|(\[timeout)|(PRM\|1\|D)|(kpr)|(kdp)|(train st.+moving)|(\|lc)|(penalty))"</v>
      </c>
      <c r="AG166" s="226" t="str">
        <f t="shared" si="90"/>
        <v>NW</v>
      </c>
      <c r="AH166" s="189" t="str">
        <f t="shared" si="91"/>
        <v>"%USERPROFILE%\Documents\GitHub\eaglep3\Utilities\RefineRTDCRunTimes.py" --tripid 804-15 --locoid 4001 --swversion DE.1.0.9.0 --startMP 300:58636 --initTime 2017-12-15T06:25:51 --startdatetime 2017-12-15T06:42:00 --delay 67 --endMP 204:151 --enddatetime 2017-12-15T06:54:43 --enforcementcount 0 &gt;&gt;%USERPROFILE%\Documents\GitHub\eaglep3-reporting\EC\2017-12-15-refined-times.txt</v>
      </c>
      <c r="AI166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{"issue":{"subject":"","project_id":79,"tracker_id":40,"status_id":1,"priority_id":2,"assigned_to_id":338,"start_date":"2017-12-15","description":"","custom_fields":[{"id":1,"name":"Subdivision","value":"NW"},{"id":4,"name":"Milepost","value":"0.0151"},{"id":17,"name":"Train ID","value":"804-15"},{"id":16,"name":"Locomotive ID","value":"4001"},{"id":130,"name":"Impact","value":""},{"id":150,"name":"Time of Event (Mountain Time)","value":"06:54:43"},{"id":151,"name":"Denver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180"/>
      <c r="AK166" s="188"/>
      <c r="AL166" s="188"/>
      <c r="AM166" s="193" t="str">
        <f t="shared" si="93"/>
        <v>start /low /b %USERPROFILE%\Documents\GitHub\eaglep3\Utilities\DownloadLogsFromS3.py --loco 4001 --day 2017-12-15</v>
      </c>
      <c r="AN166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13:54:43"},{"id":29,"name":"Sharepoint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87" t="str">
        <f t="shared" si="95"/>
        <v>https://d0f6bd738d7f1b3e5a7ca70fe4ff75f0.us-east-1.aws.found.io/app/kibana#/discover/Steve-Slow-Train-Analysis-(2080s-and-2083s)?_g=(refreshInterval:(display:Off,pause:!f,section:0,value:0),time:(from:'2017-12-15T05:25:51-0700',mode:absolute,to:'2017-12-15T07:54:43-0700'))&amp;_a=(columns:!('Message%20ID',Summary),filters:!(),index:'emp_*',interval:auto,query:(query_string:(analyze_wildcard:!t,query:'%22rtdc.l.rtdc.4001%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186" t="s">
        <v>722</v>
      </c>
      <c r="B167" s="182">
        <v>4008</v>
      </c>
      <c r="C167" s="184" t="s">
        <v>192</v>
      </c>
      <c r="D167" s="184" t="s">
        <v>1039</v>
      </c>
      <c r="E167" s="183">
        <v>43084.272743055553</v>
      </c>
      <c r="F167" s="183">
        <v>43084.277280092596</v>
      </c>
      <c r="G167" s="182">
        <v>66</v>
      </c>
      <c r="H167" s="184" t="s">
        <v>534</v>
      </c>
      <c r="I167" s="183">
        <v>43084.288472222222</v>
      </c>
      <c r="J167" s="182">
        <v>0</v>
      </c>
      <c r="K167" s="190" t="str">
        <f t="shared" si="82"/>
        <v>4007/4008</v>
      </c>
      <c r="L167" s="196" t="str">
        <f>VLOOKUP(A167,'Trips&amp;Operators'!$C$1:$G$99911,5,FALSE)</f>
        <v>WILLIAMS DONTE</v>
      </c>
      <c r="M167" s="181">
        <f t="shared" si="83"/>
        <v>1.1192129626579117E-2</v>
      </c>
      <c r="N167" s="182">
        <f t="shared" si="110"/>
        <v>16.116666662273929</v>
      </c>
      <c r="O167" s="182"/>
      <c r="P167" s="182"/>
      <c r="Q167" s="185"/>
      <c r="R167" s="197"/>
      <c r="S167" s="241">
        <f t="shared" si="80"/>
        <v>1</v>
      </c>
      <c r="T167" s="220" t="str">
        <f t="shared" si="84"/>
        <v>NorthBound</v>
      </c>
      <c r="U167" s="22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21" t="str">
        <f t="shared" si="85"/>
        <v>https://d0f6bd738d7f1b3e5a7ca70fe4ff75f0.us-east-1.aws.found.io/app/kibana#/discover/Steve-Slow-Train-Analysis-(2080s-and-2083s)?_g=(refreshInterval:(display:Off,pause:!f,section:0,value:0),time:(from:'2017-12-15T05:32:45-0700',mode:absolute,to:'2017-12-15T07:55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7" s="222" t="str">
        <f>IF(AA167&lt;VLOOKUP(AG167,Variables!$AC$3:$AD$8,2,FALSE),"Y","N")</f>
        <v>N</v>
      </c>
      <c r="X167" s="222">
        <f t="shared" si="112"/>
        <v>1</v>
      </c>
      <c r="Y167" s="222">
        <f t="shared" si="102"/>
        <v>3.8800000000000001E-2</v>
      </c>
      <c r="Z167" s="222">
        <f t="shared" si="103"/>
        <v>5.8930999999999996</v>
      </c>
      <c r="AA167" s="222">
        <f t="shared" si="86"/>
        <v>5.8542999999999994</v>
      </c>
      <c r="AB167" s="231" t="e">
        <f>VLOOKUP(A167,Enforcements!$C$7:$K$9,8,0)</f>
        <v>#N/A</v>
      </c>
      <c r="AC167" s="231" t="e">
        <f>VLOOKUP(A167,Enforcements!$C$7:$E$9,3,0)</f>
        <v>#N/A</v>
      </c>
      <c r="AD167" s="232">
        <f t="shared" si="87"/>
        <v>805</v>
      </c>
      <c r="AE167" s="233" t="str">
        <f t="shared" si="88"/>
        <v>aws s3 cp s3://rtdc.mdm.uploadarchive.raw/RTDC4008/ "%USERPROFILE%\AppData\Local\Temp\OnboardLogs"\RTDC4008\2017-12-15 --exclude "*" --recursive --include "*20171215*" &amp; "%USERPROFILE%\Documents\GitHub\mrs-test-scripts\Headless Mode &amp; Sideloading\WalkAndUnGZ.bat" "%USERPROFILE%\AppData\Local\Temp\OnboardLogs"\RTDC4008\2017-12-15 &amp; aws s3 cp s3://rtdc.mdm.uploadarchive.raw/RTDC4008/ "%USERPROFILE%\AppData\Local\Temp\OnboardLogs"\RTDC4008\2017-12-16 --exclude "*" --recursive --include "*20171216*" &amp; "%USERPROFILE%\Documents\GitHub\mrs-test-scripts\Headless Mode &amp; Sideloading\WalkAndUnGZ.bat" "%USERPROFILE%\AppData\Local\Temp\OnboardLogs"\RTDC4008\2017-12-16</v>
      </c>
      <c r="AF167" s="234" t="str">
        <f t="shared" si="89"/>
        <v>"C:\Program Files (x86)\AstroGrep\AstroGrep.exe" /e /r /s /spath="%USERPROFILE%\AppData\Local\Temp\OnboardLogs" /stypes="app*4008*20171215*" /stext=" 13:.+((SYSTEM_STATE.+slice.+state.+changed )|(ment ac)|(multiple cpu faults)|(system.+state.+changed )|(\[timeout)|(PRM\|1\|D)|(kpr)|(kdp)|(train st.+moving)|(\|lc)|(penalty))"</v>
      </c>
      <c r="AG167" s="226" t="str">
        <f t="shared" si="90"/>
        <v>NW</v>
      </c>
      <c r="AH167" s="189" t="str">
        <f t="shared" si="91"/>
        <v>"%USERPROFILE%\Documents\GitHub\eaglep3\Utilities\RefineRTDCRunTimes.py" --tripid 805-15 --locoid 4008 --swversion DE.1.0.9.0 --startMP 204:388 --initTime 2017-12-15T06:32:45 --startdatetime 2017-12-15T06:39:17 --delay 66 --endMP 300:58931 --enddatetime 2017-12-15T06:55:24 --enforcementcount 0 &gt;&gt;%USERPROFILE%\Documents\GitHub\eaglep3-reporting\EC\2017-12-15-refined-times.txt</v>
      </c>
      <c r="AI167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{"issue":{"subject":"","project_id":79,"tracker_id":40,"status_id":1,"priority_id":2,"assigned_to_id":338,"start_date":"2017-12-15","description":"","custom_fields":[{"id":1,"name":"Subdivision","value":"NW"},{"id":4,"name":"Milepost","value":"5.8931"},{"id":17,"name":"Train ID","value":"805-15"},{"id":16,"name":"Locomotive ID","value":"4008"},{"id":130,"name":"Impact","value":""},{"id":150,"name":"Time of Event (Mountain Time)","value":"06:55:24"},{"id":151,"name":"Denver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180"/>
      <c r="AK167" s="188"/>
      <c r="AL167" s="188"/>
      <c r="AM167" s="193" t="str">
        <f t="shared" si="93"/>
        <v>start /low /b %USERPROFILE%\Documents\GitHub\eaglep3\Utilities\DownloadLogsFromS3.py --loco 4008 --day 2017-12-15</v>
      </c>
      <c r="AN167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13:55:24"},{"id":29,"name":"Sharepoint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87" t="str">
        <f t="shared" si="95"/>
        <v>https://d0f6bd738d7f1b3e5a7ca70fe4ff75f0.us-east-1.aws.found.io/app/kibana#/discover/Steve-Slow-Train-Analysis-(2080s-and-2083s)?_g=(refreshInterval:(display:Off,pause:!f,section:0,value:0),time:(from:'2017-12-15T05:32:45-0700',mode:absolute,to:'2017-12-15T07:55:24-0700'))&amp;_a=(columns:!('Message%20ID',Summary),filters:!(),index:'emp_*',interval:auto,query:(query_string:(analyze_wildcard:!t,query:'%22rtdc.l.rtdc.4008%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186" t="s">
        <v>727</v>
      </c>
      <c r="B168" s="182">
        <v>4007</v>
      </c>
      <c r="C168" s="184" t="s">
        <v>192</v>
      </c>
      <c r="D168" s="184" t="s">
        <v>512</v>
      </c>
      <c r="E168" s="183">
        <v>43084.28943287037</v>
      </c>
      <c r="F168" s="183">
        <v>43084.3</v>
      </c>
      <c r="G168" s="182">
        <v>57</v>
      </c>
      <c r="H168" s="184" t="s">
        <v>629</v>
      </c>
      <c r="I168" s="183">
        <v>43084.309189814812</v>
      </c>
      <c r="J168" s="182">
        <v>0</v>
      </c>
      <c r="K168" s="190" t="str">
        <f t="shared" si="82"/>
        <v>4007/4008</v>
      </c>
      <c r="L168" s="196" t="str">
        <f>VLOOKUP(A168,'Trips&amp;Operators'!$C$1:$G$99911,5,FALSE)</f>
        <v>WILLIAMS DONTE</v>
      </c>
      <c r="M168" s="181">
        <f t="shared" si="83"/>
        <v>9.1898148093605414E-3</v>
      </c>
      <c r="N168" s="182">
        <f t="shared" si="110"/>
        <v>13.23333332547918</v>
      </c>
      <c r="O168" s="182"/>
      <c r="P168" s="182"/>
      <c r="Q168" s="185"/>
      <c r="R168" s="197"/>
      <c r="S168" s="241">
        <f t="shared" si="80"/>
        <v>1</v>
      </c>
      <c r="T168" s="220" t="str">
        <f t="shared" si="84"/>
        <v>Southbound</v>
      </c>
      <c r="U168" s="22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21" t="str">
        <f t="shared" si="85"/>
        <v>https://d0f6bd738d7f1b3e5a7ca70fe4ff75f0.us-east-1.aws.found.io/app/kibana#/discover/Steve-Slow-Train-Analysis-(2080s-and-2083s)?_g=(refreshInterval:(display:Off,pause:!f,section:0,value:0),time:(from:'2017-12-15T05:56:47-0700',mode:absolute,to:'2017-12-15T08:25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8" s="222" t="str">
        <f>IF(AA168&lt;VLOOKUP(AG168,Variables!$AC$3:$AD$8,2,FALSE),"Y","N")</f>
        <v>N</v>
      </c>
      <c r="X168" s="222">
        <f t="shared" si="112"/>
        <v>1</v>
      </c>
      <c r="Y168" s="222">
        <f t="shared" si="102"/>
        <v>5.8616999999999999</v>
      </c>
      <c r="Z168" s="222">
        <f t="shared" si="103"/>
        <v>9.4999999999999998E-3</v>
      </c>
      <c r="AA168" s="222">
        <f t="shared" si="86"/>
        <v>5.8521999999999998</v>
      </c>
      <c r="AB168" s="231" t="e">
        <f>VLOOKUP(A168,Enforcements!$C$7:$K$9,8,0)</f>
        <v>#N/A</v>
      </c>
      <c r="AC168" s="231" t="e">
        <f>VLOOKUP(A168,Enforcements!$C$7:$E$9,3,0)</f>
        <v>#N/A</v>
      </c>
      <c r="AD168" s="232">
        <f t="shared" si="87"/>
        <v>806</v>
      </c>
      <c r="AE168" s="233" t="str">
        <f t="shared" si="88"/>
        <v>aws s3 cp s3://rtdc.mdm.uploadarchive.raw/RTDC4007/ "%USERPROFILE%\AppData\Local\Temp\OnboardLogs"\RTDC4007\2017-12-15 --exclude "*" --recursive --include "*20171215*" &amp; "%USERPROFILE%\Documents\GitHub\mrs-test-scripts\Headless Mode &amp; Sideloading\WalkAndUnGZ.bat" "%USERPROFILE%\AppData\Local\Temp\OnboardLogs"\RTDC4007\2017-12-15 &amp; aws s3 cp s3://rtdc.mdm.uploadarchive.raw/RTDC4007/ "%USERPROFILE%\AppData\Local\Temp\OnboardLogs"\RTDC4007\2017-12-16 --exclude "*" --recursive --include "*20171216*" &amp; "%USERPROFILE%\Documents\GitHub\mrs-test-scripts\Headless Mode &amp; Sideloading\WalkAndUnGZ.bat" "%USERPROFILE%\AppData\Local\Temp\OnboardLogs"\RTDC4007\2017-12-16</v>
      </c>
      <c r="AF168" s="234" t="str">
        <f t="shared" si="89"/>
        <v>"C:\Program Files (x86)\AstroGrep\AstroGrep.exe" /e /r /s /spath="%USERPROFILE%\AppData\Local\Temp\OnboardLogs" /stypes="app*4007*20171215*" /stext=" 14:.+((SYSTEM_STATE.+slice.+state.+changed )|(ment ac)|(multiple cpu faults)|(system.+state.+changed )|(\[timeout)|(PRM\|1\|D)|(kpr)|(kdp)|(train st.+moving)|(\|lc)|(penalty))"</v>
      </c>
      <c r="AG168" s="226" t="str">
        <f t="shared" si="90"/>
        <v>NW</v>
      </c>
      <c r="AH168" s="189" t="str">
        <f t="shared" si="91"/>
        <v>"%USERPROFILE%\Documents\GitHub\eaglep3\Utilities\RefineRTDCRunTimes.py" --tripid 806-15 --locoid 4007 --swversion DE.1.0.9.0 --startMP 300:58617 --initTime 2017-12-15T06:56:47 --startdatetime 2017-12-15T07:12:00 --delay 57 --endMP 204:95 --enddatetime 2017-12-15T07:25:14 --enforcementcount 0 &gt;&gt;%USERPROFILE%\Documents\GitHub\eaglep3-reporting\EC\2017-12-15-refined-times.txt</v>
      </c>
      <c r="AI168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{"issue":{"subject":"","project_id":79,"tracker_id":40,"status_id":1,"priority_id":2,"assigned_to_id":338,"start_date":"2017-12-15","description":"","custom_fields":[{"id":1,"name":"Subdivision","value":"NW"},{"id":4,"name":"Milepost","value":"0.0095"},{"id":17,"name":"Train ID","value":"806-15"},{"id":16,"name":"Locomotive ID","value":"4007"},{"id":130,"name":"Impact","value":""},{"id":150,"name":"Time of Event (Mountain Time)","value":"07:25:14"},{"id":151,"name":"Denver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180"/>
      <c r="AK168" s="188"/>
      <c r="AL168" s="188"/>
      <c r="AM168" s="193" t="str">
        <f t="shared" si="93"/>
        <v>start /low /b %USERPROFILE%\Documents\GitHub\eaglep3\Utilities\DownloadLogsFromS3.py --loco 4007 --day 2017-12-15</v>
      </c>
      <c r="AN168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14:25:14"},{"id":29,"name":"Sharepoint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87" t="str">
        <f t="shared" si="95"/>
        <v>https://d0f6bd738d7f1b3e5a7ca70fe4ff75f0.us-east-1.aws.found.io/app/kibana#/discover/Steve-Slow-Train-Analysis-(2080s-and-2083s)?_g=(refreshInterval:(display:Off,pause:!f,section:0,value:0),time:(from:'2017-12-15T05:56:47-0700',mode:absolute,to:'2017-12-15T08:25:14-0700'))&amp;_a=(columns:!('Message%20ID',Summary),filters:!(),index:'emp_*',interval:auto,query:(query_string:(analyze_wildcard:!t,query:'%22rtdc.l.rtdc.4007%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186" t="s">
        <v>728</v>
      </c>
      <c r="B169" s="182">
        <v>4002</v>
      </c>
      <c r="C169" s="184" t="s">
        <v>192</v>
      </c>
      <c r="D169" s="184" t="s">
        <v>490</v>
      </c>
      <c r="E169" s="183">
        <v>43084.289467592593</v>
      </c>
      <c r="F169" s="183">
        <v>43084.298113425924</v>
      </c>
      <c r="G169" s="182">
        <v>542</v>
      </c>
      <c r="H169" s="184" t="s">
        <v>628</v>
      </c>
      <c r="I169" s="183">
        <v>43084.307893518519</v>
      </c>
      <c r="J169" s="182">
        <v>0</v>
      </c>
      <c r="K169" s="190" t="str">
        <f t="shared" si="82"/>
        <v>4001/4002</v>
      </c>
      <c r="L169" s="196" t="str">
        <f>VLOOKUP(A169,'Trips&amp;Operators'!$C$1:$G$99911,5,FALSE)</f>
        <v>DELGADO DIANAH</v>
      </c>
      <c r="M169" s="181">
        <f t="shared" si="83"/>
        <v>9.7800925941555761E-3</v>
      </c>
      <c r="N169" s="182">
        <f t="shared" si="110"/>
        <v>14.08333333558403</v>
      </c>
      <c r="O169" s="182"/>
      <c r="P169" s="182"/>
      <c r="Q169" s="185"/>
      <c r="R169" s="197"/>
      <c r="S169" s="241">
        <f t="shared" si="80"/>
        <v>1</v>
      </c>
      <c r="T169" s="220" t="str">
        <f t="shared" si="84"/>
        <v>NorthBound</v>
      </c>
      <c r="U169" s="22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21" t="str">
        <f t="shared" si="85"/>
        <v>https://d0f6bd738d7f1b3e5a7ca70fe4ff75f0.us-east-1.aws.found.io/app/kibana#/discover/Steve-Slow-Train-Analysis-(2080s-and-2083s)?_g=(refreshInterval:(display:Off,pause:!f,section:0,value:0),time:(from:'2017-12-15T05:56:50-0700',mode:absolute,to:'2017-12-15T08:23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9" s="222" t="str">
        <f>IF(AA169&lt;VLOOKUP(AG169,Variables!$AC$3:$AD$8,2,FALSE),"Y","N")</f>
        <v>N</v>
      </c>
      <c r="X169" s="222">
        <f t="shared" si="112"/>
        <v>1</v>
      </c>
      <c r="Y169" s="222">
        <f t="shared" si="102"/>
        <v>4.5100000000000001E-2</v>
      </c>
      <c r="Z169" s="222">
        <f t="shared" si="103"/>
        <v>5.8960999999999997</v>
      </c>
      <c r="AA169" s="222">
        <f t="shared" si="86"/>
        <v>5.851</v>
      </c>
      <c r="AB169" s="231" t="e">
        <f>VLOOKUP(A169,Enforcements!$C$7:$K$9,8,0)</f>
        <v>#N/A</v>
      </c>
      <c r="AC169" s="231" t="e">
        <f>VLOOKUP(A169,Enforcements!$C$7:$E$9,3,0)</f>
        <v>#N/A</v>
      </c>
      <c r="AD169" s="232">
        <f t="shared" si="87"/>
        <v>807</v>
      </c>
      <c r="AE169" s="233" t="str">
        <f t="shared" si="88"/>
        <v>aws s3 cp s3://rtdc.mdm.uploadarchive.raw/RTDC4002/ "%USERPROFILE%\AppData\Local\Temp\OnboardLogs"\RTDC4002\2017-12-15 --exclude "*" --recursive --include "*20171215*" &amp; "%USERPROFILE%\Documents\GitHub\mrs-test-scripts\Headless Mode &amp; Sideloading\WalkAndUnGZ.bat" "%USERPROFILE%\AppData\Local\Temp\OnboardLogs"\RTDC4002\2017-12-15 &amp; aws s3 cp s3://rtdc.mdm.uploadarchive.raw/RTDC4002/ "%USERPROFILE%\AppData\Local\Temp\OnboardLogs"\RTDC4002\2017-12-16 --exclude "*" --recursive --include "*20171216*" &amp; "%USERPROFILE%\Documents\GitHub\mrs-test-scripts\Headless Mode &amp; Sideloading\WalkAndUnGZ.bat" "%USERPROFILE%\AppData\Local\Temp\OnboardLogs"\RTDC4002\2017-12-16</v>
      </c>
      <c r="AF169" s="234" t="str">
        <f t="shared" si="89"/>
        <v>"C:\Program Files (x86)\AstroGrep\AstroGrep.exe" /e /r /s /spath="%USERPROFILE%\AppData\Local\Temp\OnboardLogs" /stypes="app*4002*20171215*" /stext=" 14:.+((SYSTEM_STATE.+slice.+state.+changed )|(ment ac)|(multiple cpu faults)|(system.+state.+changed )|(\[timeout)|(PRM\|1\|D)|(kpr)|(kdp)|(train st.+moving)|(\|lc)|(penalty))"</v>
      </c>
      <c r="AG169" s="226" t="str">
        <f t="shared" si="90"/>
        <v>NW</v>
      </c>
      <c r="AH169" s="189" t="str">
        <f t="shared" si="91"/>
        <v>"%USERPROFILE%\Documents\GitHub\eaglep3\Utilities\RefineRTDCRunTimes.py" --tripid 807-15 --locoid 4002 --swversion DE.1.0.9.0 --startMP 204:451 --initTime 2017-12-15T06:56:50 --startdatetime 2017-12-15T07:09:17 --delay 542 --endMP 300:58961 --enddatetime 2017-12-15T07:23:22 --enforcementcount 0 &gt;&gt;%USERPROFILE%\Documents\GitHub\eaglep3-reporting\EC\2017-12-15-refined-times.txt</v>
      </c>
      <c r="AI169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{"issue":{"subject":"","project_id":79,"tracker_id":40,"status_id":1,"priority_id":2,"assigned_to_id":338,"start_date":"2017-12-15","description":"","custom_fields":[{"id":1,"name":"Subdivision","value":"NW"},{"id":4,"name":"Milepost","value":"5.8961"},{"id":17,"name":"Train ID","value":"807-15"},{"id":16,"name":"Locomotive ID","value":"4002"},{"id":130,"name":"Impact","value":""},{"id":150,"name":"Time of Event (Mountain Time)","value":"07:23:22"},{"id":151,"name":"Denver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180"/>
      <c r="AK169" s="188"/>
      <c r="AL169" s="188"/>
      <c r="AM169" s="193" t="str">
        <f t="shared" si="93"/>
        <v>start /low /b %USERPROFILE%\Documents\GitHub\eaglep3\Utilities\DownloadLogsFromS3.py --loco 4002 --day 2017-12-15</v>
      </c>
      <c r="AN169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14:23:22"},{"id":29,"name":"Sharepoint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87" t="str">
        <f t="shared" si="95"/>
        <v>https://d0f6bd738d7f1b3e5a7ca70fe4ff75f0.us-east-1.aws.found.io/app/kibana#/discover/Steve-Slow-Train-Analysis-(2080s-and-2083s)?_g=(refreshInterval:(display:Off,pause:!f,section:0,value:0),time:(from:'2017-12-15T05:56:50-0700',mode:absolute,to:'2017-12-15T08:23:22-0700'))&amp;_a=(columns:!('Message%20ID',Summary),filters:!(),index:'emp_*',interval:auto,query:(query_string:(analyze_wildcard:!t,query:'%22rtdc.l.rtdc.4002%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186" t="s">
        <v>732</v>
      </c>
      <c r="B170" s="182">
        <v>4001</v>
      </c>
      <c r="C170" s="184" t="s">
        <v>192</v>
      </c>
      <c r="D170" s="184" t="s">
        <v>634</v>
      </c>
      <c r="E170" s="183">
        <v>43084.308969907404</v>
      </c>
      <c r="F170" s="183">
        <v>43084.320833333331</v>
      </c>
      <c r="G170" s="182">
        <v>51</v>
      </c>
      <c r="H170" s="184" t="s">
        <v>533</v>
      </c>
      <c r="I170" s="183">
        <v>43084.329687500001</v>
      </c>
      <c r="J170" s="182">
        <v>0</v>
      </c>
      <c r="K170" s="190" t="str">
        <f t="shared" si="82"/>
        <v>4001/4002</v>
      </c>
      <c r="L170" s="196" t="str">
        <f>VLOOKUP(A170,'Trips&amp;Operators'!$C$1:$G$99911,5,FALSE)</f>
        <v>DELGADO DIANAH</v>
      </c>
      <c r="M170" s="181">
        <f t="shared" si="83"/>
        <v>8.8541666700621136E-3</v>
      </c>
      <c r="N170" s="182">
        <f t="shared" si="110"/>
        <v>12.750000004889444</v>
      </c>
      <c r="O170" s="182"/>
      <c r="P170" s="182"/>
      <c r="Q170" s="185"/>
      <c r="R170" s="197"/>
      <c r="S170" s="241">
        <f t="shared" si="80"/>
        <v>1</v>
      </c>
      <c r="T170" s="220" t="str">
        <f t="shared" si="84"/>
        <v>Southbound</v>
      </c>
      <c r="U170" s="22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21" t="str">
        <f t="shared" si="85"/>
        <v>https://d0f6bd738d7f1b3e5a7ca70fe4ff75f0.us-east-1.aws.found.io/app/kibana#/discover/Steve-Slow-Train-Analysis-(2080s-and-2083s)?_g=(refreshInterval:(display:Off,pause:!f,section:0,value:0),time:(from:'2017-12-15T06:24:55-0700',mode:absolute,to:'2017-12-15T08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0" s="222" t="str">
        <f>IF(AA170&lt;VLOOKUP(AG170,Variables!$AC$3:$AD$8,2,FALSE),"Y","N")</f>
        <v>N</v>
      </c>
      <c r="X170" s="222">
        <f t="shared" si="112"/>
        <v>1</v>
      </c>
      <c r="Y170" s="222">
        <f t="shared" si="102"/>
        <v>5.8643000000000001</v>
      </c>
      <c r="Z170" s="222">
        <f t="shared" si="103"/>
        <v>1.46E-2</v>
      </c>
      <c r="AA170" s="222">
        <f t="shared" si="86"/>
        <v>5.8497000000000003</v>
      </c>
      <c r="AB170" s="231" t="e">
        <f>VLOOKUP(A170,Enforcements!$C$7:$K$9,8,0)</f>
        <v>#N/A</v>
      </c>
      <c r="AC170" s="231" t="e">
        <f>VLOOKUP(A170,Enforcements!$C$7:$E$9,3,0)</f>
        <v>#N/A</v>
      </c>
      <c r="AD170" s="232">
        <f t="shared" si="87"/>
        <v>808</v>
      </c>
      <c r="AE170" s="233" t="str">
        <f t="shared" si="88"/>
        <v>aws s3 cp s3://rtdc.mdm.uploadarchive.raw/RTDC4001/ "%USERPROFILE%\AppData\Local\Temp\OnboardLogs"\RTDC4001\2017-12-15 --exclude "*" --recursive --include "*20171215*" &amp; "%USERPROFILE%\Documents\GitHub\mrs-test-scripts\Headless Mode &amp; Sideloading\WalkAndUnGZ.bat" "%USERPROFILE%\AppData\Local\Temp\OnboardLogs"\RTDC4001\2017-12-15 &amp; aws s3 cp s3://rtdc.mdm.uploadarchive.raw/RTDC4001/ "%USERPROFILE%\AppData\Local\Temp\OnboardLogs"\RTDC4001\2017-12-16 --exclude "*" --recursive --include "*20171216*" &amp; "%USERPROFILE%\Documents\GitHub\mrs-test-scripts\Headless Mode &amp; Sideloading\WalkAndUnGZ.bat" "%USERPROFILE%\AppData\Local\Temp\OnboardLogs"\RTDC4001\2017-12-16</v>
      </c>
      <c r="AF170" s="234" t="str">
        <f t="shared" si="89"/>
        <v>"C:\Program Files (x86)\AstroGrep\AstroGrep.exe" /e /r /s /spath="%USERPROFILE%\AppData\Local\Temp\OnboardLogs" /stypes="app*4001*20171215*" /stext=" 14:.+((SYSTEM_STATE.+slice.+state.+changed )|(ment ac)|(multiple cpu faults)|(system.+state.+changed )|(\[timeout)|(PRM\|1\|D)|(kpr)|(kdp)|(train st.+moving)|(\|lc)|(penalty))"</v>
      </c>
      <c r="AG170" s="226" t="str">
        <f t="shared" si="90"/>
        <v>NW</v>
      </c>
      <c r="AH170" s="189" t="str">
        <f t="shared" si="91"/>
        <v>"%USERPROFILE%\Documents\GitHub\eaglep3\Utilities\RefineRTDCRunTimes.py" --tripid 808-15 --locoid 4001 --swversion DE.1.0.9.0 --startMP 300:58643 --initTime 2017-12-15T07:24:55 --startdatetime 2017-12-15T07:42:00 --delay 51 --endMP 204:146 --enddatetime 2017-12-15T07:54:45 --enforcementcount 0 &gt;&gt;%USERPROFILE%\Documents\GitHub\eaglep3-reporting\EC\2017-12-15-refined-times.txt</v>
      </c>
      <c r="AI170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{"issue":{"subject":"","project_id":79,"tracker_id":40,"status_id":1,"priority_id":2,"assigned_to_id":338,"start_date":"2017-12-15","description":"","custom_fields":[{"id":1,"name":"Subdivision","value":"NW"},{"id":4,"name":"Milepost","value":"0.0146"},{"id":17,"name":"Train ID","value":"808-15"},{"id":16,"name":"Locomotive ID","value":"4001"},{"id":130,"name":"Impact","value":""},{"id":150,"name":"Time of Event (Mountain Time)","value":"07:54:45"},{"id":151,"name":"Denver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180"/>
      <c r="AK170" s="188"/>
      <c r="AL170" s="188"/>
      <c r="AM170" s="193" t="str">
        <f t="shared" si="93"/>
        <v>start /low /b %USERPROFILE%\Documents\GitHub\eaglep3\Utilities\DownloadLogsFromS3.py --loco 4001 --day 2017-12-15</v>
      </c>
      <c r="AN170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14:54:45"},{"id":29,"name":"Sharepoint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87" t="str">
        <f t="shared" si="95"/>
        <v>https://d0f6bd738d7f1b3e5a7ca70fe4ff75f0.us-east-1.aws.found.io/app/kibana#/discover/Steve-Slow-Train-Analysis-(2080s-and-2083s)?_g=(refreshInterval:(display:Off,pause:!f,section:0,value:0),time:(from:'2017-12-15T06:24:55-0700',mode:absolute,to:'2017-12-15T08:54:45-0700'))&amp;_a=(columns:!('Message%20ID',Summary),filters:!(),index:'emp_*',interval:auto,query:(query_string:(analyze_wildcard:!t,query:'%22rtdc.l.rtdc.4001%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186" t="s">
        <v>649</v>
      </c>
      <c r="B171" s="182">
        <v>4008</v>
      </c>
      <c r="C171" s="184" t="s">
        <v>192</v>
      </c>
      <c r="D171" s="184" t="s">
        <v>1040</v>
      </c>
      <c r="E171" s="183">
        <v>43084.312731481485</v>
      </c>
      <c r="F171" s="183">
        <v>43084.319050925929</v>
      </c>
      <c r="G171" s="182">
        <v>78</v>
      </c>
      <c r="H171" s="184" t="s">
        <v>1041</v>
      </c>
      <c r="I171" s="183">
        <v>43084.329097222224</v>
      </c>
      <c r="J171" s="182">
        <v>0</v>
      </c>
      <c r="K171" s="190" t="str">
        <f t="shared" si="82"/>
        <v>4007/4008</v>
      </c>
      <c r="L171" s="196" t="str">
        <f>VLOOKUP(A171,'Trips&amp;Operators'!$C$1:$G$99911,5,FALSE)</f>
        <v>WILLIAMS DONTE</v>
      </c>
      <c r="M171" s="181">
        <f t="shared" si="83"/>
        <v>1.0046296294603962E-2</v>
      </c>
      <c r="N171" s="182">
        <f t="shared" si="110"/>
        <v>14.466666664229706</v>
      </c>
      <c r="O171" s="182"/>
      <c r="P171" s="182"/>
      <c r="Q171" s="185"/>
      <c r="R171" s="197"/>
      <c r="S171" s="241">
        <f t="shared" si="80"/>
        <v>1</v>
      </c>
      <c r="T171" s="220" t="str">
        <f t="shared" si="84"/>
        <v>NorthBound</v>
      </c>
      <c r="U171" s="22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21" t="str">
        <f t="shared" si="85"/>
        <v>https://d0f6bd738d7f1b3e5a7ca70fe4ff75f0.us-east-1.aws.found.io/app/kibana#/discover/Steve-Slow-Train-Analysis-(2080s-and-2083s)?_g=(refreshInterval:(display:Off,pause:!f,section:0,value:0),time:(from:'2017-12-15T06:30:20-0700',mode:absolute,to:'2017-12-15T08:53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1" s="222" t="str">
        <f>IF(AA171&lt;VLOOKUP(AG171,Variables!$AC$3:$AD$8,2,FALSE),"Y","N")</f>
        <v>N</v>
      </c>
      <c r="X171" s="222">
        <f t="shared" si="112"/>
        <v>1</v>
      </c>
      <c r="Y171" s="222">
        <f t="shared" si="102"/>
        <v>3.9899999999999998E-2</v>
      </c>
      <c r="Z171" s="222">
        <f t="shared" si="103"/>
        <v>5.8887999999999998</v>
      </c>
      <c r="AA171" s="222">
        <f t="shared" si="86"/>
        <v>5.8488999999999995</v>
      </c>
      <c r="AB171" s="231" t="e">
        <f>VLOOKUP(A171,Enforcements!$C$7:$K$9,8,0)</f>
        <v>#N/A</v>
      </c>
      <c r="AC171" s="231" t="e">
        <f>VLOOKUP(A171,Enforcements!$C$7:$E$9,3,0)</f>
        <v>#N/A</v>
      </c>
      <c r="AD171" s="232">
        <f t="shared" si="87"/>
        <v>809</v>
      </c>
      <c r="AE171" s="233" t="str">
        <f t="shared" si="88"/>
        <v>aws s3 cp s3://rtdc.mdm.uploadarchive.raw/RTDC4008/ "%USERPROFILE%\AppData\Local\Temp\OnboardLogs"\RTDC4008\2017-12-15 --exclude "*" --recursive --include "*20171215*" &amp; "%USERPROFILE%\Documents\GitHub\mrs-test-scripts\Headless Mode &amp; Sideloading\WalkAndUnGZ.bat" "%USERPROFILE%\AppData\Local\Temp\OnboardLogs"\RTDC4008\2017-12-15 &amp; aws s3 cp s3://rtdc.mdm.uploadarchive.raw/RTDC4008/ "%USERPROFILE%\AppData\Local\Temp\OnboardLogs"\RTDC4008\2017-12-16 --exclude "*" --recursive --include "*20171216*" &amp; "%USERPROFILE%\Documents\GitHub\mrs-test-scripts\Headless Mode &amp; Sideloading\WalkAndUnGZ.bat" "%USERPROFILE%\AppData\Local\Temp\OnboardLogs"\RTDC4008\2017-12-16</v>
      </c>
      <c r="AF171" s="234" t="str">
        <f t="shared" si="89"/>
        <v>"C:\Program Files (x86)\AstroGrep\AstroGrep.exe" /e /r /s /spath="%USERPROFILE%\AppData\Local\Temp\OnboardLogs" /stypes="app*4008*20171215*" /stext=" 14:.+((SYSTEM_STATE.+slice.+state.+changed )|(ment ac)|(multiple cpu faults)|(system.+state.+changed )|(\[timeout)|(PRM\|1\|D)|(kpr)|(kdp)|(train st.+moving)|(\|lc)|(penalty))"</v>
      </c>
      <c r="AG171" s="226" t="str">
        <f t="shared" si="90"/>
        <v>NW</v>
      </c>
      <c r="AH171" s="189" t="str">
        <f t="shared" si="91"/>
        <v>"%USERPROFILE%\Documents\GitHub\eaglep3\Utilities\RefineRTDCRunTimes.py" --tripid 809-15 --locoid 4008 --swversion DE.1.0.9.0 --startMP 204:399 --initTime 2017-12-15T07:30:20 --startdatetime 2017-12-15T07:39:26 --delay 78 --endMP 300:58888 --enddatetime 2017-12-15T07:53:54 --enforcementcount 0 &gt;&gt;%USERPROFILE%\Documents\GitHub\eaglep3-reporting\EC\2017-12-15-refined-times.txt</v>
      </c>
      <c r="AI171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{"issue":{"subject":"","project_id":79,"tracker_id":40,"status_id":1,"priority_id":2,"assigned_to_id":338,"start_date":"2017-12-15","description":"","custom_fields":[{"id":1,"name":"Subdivision","value":"NW"},{"id":4,"name":"Milepost","value":"5.8888"},{"id":17,"name":"Train ID","value":"809-15"},{"id":16,"name":"Locomotive ID","value":"4008"},{"id":130,"name":"Impact","value":""},{"id":150,"name":"Time of Event (Mountain Time)","value":"07:53:54"},{"id":151,"name":"Denver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180"/>
      <c r="AK171" s="188"/>
      <c r="AL171" s="188"/>
      <c r="AM171" s="193" t="str">
        <f t="shared" si="93"/>
        <v>start /low /b %USERPROFILE%\Documents\GitHub\eaglep3\Utilities\DownloadLogsFromS3.py --loco 4008 --day 2017-12-15</v>
      </c>
      <c r="AN171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14:53:54"},{"id":29,"name":"Sharepoint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87" t="str">
        <f t="shared" si="95"/>
        <v>https://d0f6bd738d7f1b3e5a7ca70fe4ff75f0.us-east-1.aws.found.io/app/kibana#/discover/Steve-Slow-Train-Analysis-(2080s-and-2083s)?_g=(refreshInterval:(display:Off,pause:!f,section:0,value:0),time:(from:'2017-12-15T06:30:20-0700',mode:absolute,to:'2017-12-15T08:53:54-0700'))&amp;_a=(columns:!('Message%20ID',Summary),filters:!(),index:'emp_*',interval:auto,query:(query_string:(analyze_wildcard:!t,query:'%22rtdc.l.rtdc.4008%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180" customFormat="1" x14ac:dyDescent="0.25">
      <c r="A172" s="186" t="s">
        <v>736</v>
      </c>
      <c r="B172" s="182">
        <v>4007</v>
      </c>
      <c r="C172" s="184" t="s">
        <v>192</v>
      </c>
      <c r="D172" s="184" t="s">
        <v>1042</v>
      </c>
      <c r="E172" s="183">
        <v>43084.330914351849</v>
      </c>
      <c r="F172" s="183">
        <v>43084.341666666667</v>
      </c>
      <c r="G172" s="182">
        <v>62</v>
      </c>
      <c r="H172" s="184" t="s">
        <v>1043</v>
      </c>
      <c r="I172" s="183">
        <v>43084.353333333333</v>
      </c>
      <c r="J172" s="182">
        <v>0</v>
      </c>
      <c r="K172" s="190" t="str">
        <f t="shared" si="82"/>
        <v>4007/4008</v>
      </c>
      <c r="L172" s="196" t="str">
        <f>VLOOKUP(A172,'Trips&amp;Operators'!$C$1:$G$99911,5,FALSE)</f>
        <v>WILLIAMS DONTE</v>
      </c>
      <c r="M172" s="181">
        <f t="shared" si="83"/>
        <v>1.1666666665405501E-2</v>
      </c>
      <c r="N172" s="182">
        <f t="shared" si="110"/>
        <v>16.799999998183921</v>
      </c>
      <c r="O172" s="182"/>
      <c r="P172" s="182"/>
      <c r="Q172" s="185"/>
      <c r="R172" s="197"/>
      <c r="S172" s="241">
        <f t="shared" si="80"/>
        <v>1</v>
      </c>
      <c r="T172" s="220" t="str">
        <f t="shared" si="84"/>
        <v>Southbound</v>
      </c>
      <c r="U172" s="22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21" t="str">
        <f t="shared" si="85"/>
        <v>https://d0f6bd738d7f1b3e5a7ca70fe4ff75f0.us-east-1.aws.found.io/app/kibana#/discover/Steve-Slow-Train-Analysis-(2080s-and-2083s)?_g=(refreshInterval:(display:Off,pause:!f,section:0,value:0),time:(from:'2017-12-15T06:56:31-0700',mode:absolute,to:'2017-12-15T09:28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2" s="222" t="str">
        <f>IF(AA172&lt;VLOOKUP(AG172,Variables!$AC$3:$AD$8,2,FALSE),"Y","N")</f>
        <v>N</v>
      </c>
      <c r="X172" s="222">
        <f t="shared" si="112"/>
        <v>1</v>
      </c>
      <c r="Y172" s="222">
        <f t="shared" si="102"/>
        <v>5.8570000000000002</v>
      </c>
      <c r="Z172" s="222">
        <f t="shared" si="103"/>
        <v>1.0200000000000001E-2</v>
      </c>
      <c r="AA172" s="222">
        <f t="shared" si="86"/>
        <v>5.8468</v>
      </c>
      <c r="AB172" s="231" t="e">
        <f>VLOOKUP(A172,Enforcements!$C$7:$K$9,8,0)</f>
        <v>#N/A</v>
      </c>
      <c r="AC172" s="231" t="e">
        <f>VLOOKUP(A172,Enforcements!$C$7:$E$9,3,0)</f>
        <v>#N/A</v>
      </c>
      <c r="AD172" s="232">
        <f t="shared" si="87"/>
        <v>810</v>
      </c>
      <c r="AE172" s="233" t="str">
        <f t="shared" si="88"/>
        <v>aws s3 cp s3://rtdc.mdm.uploadarchive.raw/RTDC4007/ "%USERPROFILE%\AppData\Local\Temp\OnboardLogs"\RTDC4007\2017-12-15 --exclude "*" --recursive --include "*20171215*" &amp; "%USERPROFILE%\Documents\GitHub\mrs-test-scripts\Headless Mode &amp; Sideloading\WalkAndUnGZ.bat" "%USERPROFILE%\AppData\Local\Temp\OnboardLogs"\RTDC4007\2017-12-15 &amp; aws s3 cp s3://rtdc.mdm.uploadarchive.raw/RTDC4007/ "%USERPROFILE%\AppData\Local\Temp\OnboardLogs"\RTDC4007\2017-12-16 --exclude "*" --recursive --include "*20171216*" &amp; "%USERPROFILE%\Documents\GitHub\mrs-test-scripts\Headless Mode &amp; Sideloading\WalkAndUnGZ.bat" "%USERPROFILE%\AppData\Local\Temp\OnboardLogs"\RTDC4007\2017-12-16</v>
      </c>
      <c r="AF172" s="234" t="str">
        <f t="shared" si="89"/>
        <v>"C:\Program Files (x86)\AstroGrep\AstroGrep.exe" /e /r /s /spath="%USERPROFILE%\AppData\Local\Temp\OnboardLogs" /stypes="app*4007*20171215*" /stext=" 15:.+((SYSTEM_STATE.+slice.+state.+changed )|(ment ac)|(multiple cpu faults)|(system.+state.+changed )|(\[timeout)|(PRM\|1\|D)|(kpr)|(kdp)|(train st.+moving)|(\|lc)|(penalty))"</v>
      </c>
      <c r="AG172" s="226" t="str">
        <f t="shared" si="90"/>
        <v>NW</v>
      </c>
      <c r="AH172" s="189" t="str">
        <f t="shared" si="91"/>
        <v>"%USERPROFILE%\Documents\GitHub\eaglep3\Utilities\RefineRTDCRunTimes.py" --tripid 810-15 --locoid 4007 --swversion DE.1.0.9.0 --startMP 300:58570 --initTime 2017-12-15T07:56:31 --startdatetime 2017-12-15T08:12:00 --delay 62 --endMP 204:102 --enddatetime 2017-12-15T08:28:48 --enforcementcount 0 &gt;&gt;%USERPROFILE%\Documents\GitHub\eaglep3-reporting\EC\2017-12-15-refined-times.txt</v>
      </c>
      <c r="AI172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{"issue":{"subject":"","project_id":79,"tracker_id":40,"status_id":1,"priority_id":2,"assigned_to_id":338,"start_date":"2017-12-15","description":"","custom_fields":[{"id":1,"name":"Subdivision","value":"NW"},{"id":4,"name":"Milepost","value":"0.0102"},{"id":17,"name":"Train ID","value":"810-15"},{"id":16,"name":"Locomotive ID","value":"4007"},{"id":130,"name":"Impact","value":""},{"id":150,"name":"Time of Event (Mountain Time)","value":"08:28:48"},{"id":151,"name":"Denver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188"/>
      <c r="AL172" s="188"/>
      <c r="AM172" s="193" t="str">
        <f t="shared" si="93"/>
        <v>start /low /b %USERPROFILE%\Documents\GitHub\eaglep3\Utilities\DownloadLogsFromS3.py --loco 4007 --day 2017-12-15</v>
      </c>
      <c r="AN172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15:28:48"},{"id":29,"name":"Sharepoint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87" t="str">
        <f t="shared" si="95"/>
        <v>https://d0f6bd738d7f1b3e5a7ca70fe4ff75f0.us-east-1.aws.found.io/app/kibana#/discover/Steve-Slow-Train-Analysis-(2080s-and-2083s)?_g=(refreshInterval:(display:Off,pause:!f,section:0,value:0),time:(from:'2017-12-15T06:56:31-0700',mode:absolute,to:'2017-12-15T09:28:48-0700'))&amp;_a=(columns:!('Message%20ID',Summary),filters:!(),index:'emp_*',interval:auto,query:(query_string:(analyze_wildcard:!t,query:'%22rtdc.l.rtdc.4007%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186" t="s">
        <v>735</v>
      </c>
      <c r="B173" s="182">
        <v>4002</v>
      </c>
      <c r="C173" s="184" t="s">
        <v>192</v>
      </c>
      <c r="D173" s="184" t="s">
        <v>568</v>
      </c>
      <c r="E173" s="183">
        <v>43084.330983796295</v>
      </c>
      <c r="F173" s="183">
        <v>43084.339837962965</v>
      </c>
      <c r="G173" s="182">
        <v>52</v>
      </c>
      <c r="H173" s="184" t="s">
        <v>1044</v>
      </c>
      <c r="I173" s="183">
        <v>43084.350763888891</v>
      </c>
      <c r="J173" s="182">
        <v>0</v>
      </c>
      <c r="K173" s="190" t="str">
        <f t="shared" ref="K173:K202" si="113">IF(ISEVEN(B173),(B173-1)&amp;"/"&amp;B173,B173&amp;"/"&amp;(B173+1))</f>
        <v>4001/4002</v>
      </c>
      <c r="L173" s="196" t="str">
        <f>VLOOKUP(A173,'Trips&amp;Operators'!$C$1:$G$99911,5,FALSE)</f>
        <v>DELGADO DIANAH</v>
      </c>
      <c r="M173" s="181">
        <f t="shared" ref="M173:M202" si="114">I173-F173</f>
        <v>1.0925925926130731E-2</v>
      </c>
      <c r="N173" s="182">
        <f t="shared" si="110"/>
        <v>15.733333333628252</v>
      </c>
      <c r="O173" s="182"/>
      <c r="P173" s="182"/>
      <c r="Q173" s="185"/>
      <c r="R173" s="197"/>
      <c r="S173" s="241">
        <f t="shared" si="80"/>
        <v>1</v>
      </c>
      <c r="T173" s="220" t="str">
        <f t="shared" ref="T173:T202" si="115">IF(ISEVEN(LEFT(AD173,4)),"Southbound","NorthBound")</f>
        <v>NorthBound</v>
      </c>
      <c r="U173" s="22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21" t="str">
        <f t="shared" si="85"/>
        <v>https://d0f6bd738d7f1b3e5a7ca70fe4ff75f0.us-east-1.aws.found.io/app/kibana#/discover/Steve-Slow-Train-Analysis-(2080s-and-2083s)?_g=(refreshInterval:(display:Off,pause:!f,section:0,value:0),time:(from:'2017-12-15T06:56:37-0700',mode:absolute,to:'2017-12-15T09:25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3" s="222" t="str">
        <f>IF(AA173&lt;VLOOKUP(AG173,Variables!$AC$3:$AD$8,2,FALSE),"Y","N")</f>
        <v>N</v>
      </c>
      <c r="X173" s="222">
        <f t="shared" si="112"/>
        <v>1</v>
      </c>
      <c r="Y173" s="222">
        <f t="shared" si="102"/>
        <v>4.48E-2</v>
      </c>
      <c r="Z173" s="222">
        <f t="shared" si="103"/>
        <v>5.8949999999999996</v>
      </c>
      <c r="AA173" s="222">
        <f t="shared" ref="AA173:AA204" si="116">ABS(Z173-Y173)</f>
        <v>5.8501999999999992</v>
      </c>
      <c r="AB173" s="231" t="e">
        <f>VLOOKUP(A173,Enforcements!$C$7:$K$9,8,0)</f>
        <v>#N/A</v>
      </c>
      <c r="AC173" s="231" t="e">
        <f>VLOOKUP(A173,Enforcements!$C$7:$E$9,3,0)</f>
        <v>#N/A</v>
      </c>
      <c r="AD173" s="232">
        <f t="shared" ref="AD173:AD202" si="117">VALUE(LEFT(A173,LEN(A173)-3))</f>
        <v>811</v>
      </c>
      <c r="AE173" s="233" t="str">
        <f t="shared" si="88"/>
        <v>aws s3 cp s3://rtdc.mdm.uploadarchive.raw/RTDC4002/ "%USERPROFILE%\AppData\Local\Temp\OnboardLogs"\RTDC4002\2017-12-15 --exclude "*" --recursive --include "*20171215*" &amp; "%USERPROFILE%\Documents\GitHub\mrs-test-scripts\Headless Mode &amp; Sideloading\WalkAndUnGZ.bat" "%USERPROFILE%\AppData\Local\Temp\OnboardLogs"\RTDC4002\2017-12-15 &amp; aws s3 cp s3://rtdc.mdm.uploadarchive.raw/RTDC4002/ "%USERPROFILE%\AppData\Local\Temp\OnboardLogs"\RTDC4002\2017-12-16 --exclude "*" --recursive --include "*20171216*" &amp; "%USERPROFILE%\Documents\GitHub\mrs-test-scripts\Headless Mode &amp; Sideloading\WalkAndUnGZ.bat" "%USERPROFILE%\AppData\Local\Temp\OnboardLogs"\RTDC4002\2017-12-16</v>
      </c>
      <c r="AF173" s="234" t="str">
        <f t="shared" si="89"/>
        <v>"C:\Program Files (x86)\AstroGrep\AstroGrep.exe" /e /r /s /spath="%USERPROFILE%\AppData\Local\Temp\OnboardLogs" /stypes="app*4002*20171215*" /stext=" 15:.+((SYSTEM_STATE.+slice.+state.+changed )|(ment ac)|(multiple cpu faults)|(system.+state.+changed )|(\[timeout)|(PRM\|1\|D)|(kpr)|(kdp)|(train st.+moving)|(\|lc)|(penalty))"</v>
      </c>
      <c r="AG173" s="226" t="str">
        <f t="shared" ref="AG173:AG202" si="118">DetSubdiv(A173)</f>
        <v>NW</v>
      </c>
      <c r="AH173" s="189" t="str">
        <f t="shared" si="91"/>
        <v>"%USERPROFILE%\Documents\GitHub\eaglep3\Utilities\RefineRTDCRunTimes.py" --tripid 811-15 --locoid 4002 --swversion DE.1.0.9.0 --startMP 204:448 --initTime 2017-12-15T07:56:37 --startdatetime 2017-12-15T08:09:22 --delay 52 --endMP 300:58950 --enddatetime 2017-12-15T08:25:06 --enforcementcount 0 &gt;&gt;%USERPROFILE%\Documents\GitHub\eaglep3-reporting\EC\2017-12-15-refined-times.txt</v>
      </c>
      <c r="AI173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{"issue":{"subject":"","project_id":79,"tracker_id":40,"status_id":1,"priority_id":2,"assigned_to_id":338,"start_date":"2017-12-15","description":"","custom_fields":[{"id":1,"name":"Subdivision","value":"NW"},{"id":4,"name":"Milepost","value":"5.895"},{"id":17,"name":"Train ID","value":"811-15"},{"id":16,"name":"Locomotive ID","value":"4002"},{"id":130,"name":"Impact","value":""},{"id":150,"name":"Time of Event (Mountain Time)","value":"08:25:06"},{"id":151,"name":"Denver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180"/>
      <c r="AK173" s="188"/>
      <c r="AL173" s="188"/>
      <c r="AM173" s="193" t="str">
        <f t="shared" si="93"/>
        <v>start /low /b %USERPROFILE%\Documents\GitHub\eaglep3\Utilities\DownloadLogsFromS3.py --loco 4002 --day 2017-12-15</v>
      </c>
      <c r="AN173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15:25:06"},{"id":29,"name":"Sharepoint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87" t="str">
        <f t="shared" si="95"/>
        <v>https://d0f6bd738d7f1b3e5a7ca70fe4ff75f0.us-east-1.aws.found.io/app/kibana#/discover/Steve-Slow-Train-Analysis-(2080s-and-2083s)?_g=(refreshInterval:(display:Off,pause:!f,section:0,value:0),time:(from:'2017-12-15T06:56:37-0700',mode:absolute,to:'2017-12-15T09:25:06-0700'))&amp;_a=(columns:!('Message%20ID',Summary),filters:!(),index:'emp_*',interval:auto,query:(query_string:(analyze_wildcard:!t,query:'%22rtdc.l.rtdc.4002%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186" t="s">
        <v>741</v>
      </c>
      <c r="B174" s="182">
        <v>4001</v>
      </c>
      <c r="C174" s="184" t="s">
        <v>192</v>
      </c>
      <c r="D174" s="184" t="s">
        <v>1045</v>
      </c>
      <c r="E174" s="183">
        <v>43084.351886574077</v>
      </c>
      <c r="F174" s="183">
        <v>43084.362500000003</v>
      </c>
      <c r="G174" s="182">
        <v>68</v>
      </c>
      <c r="H174" s="184" t="s">
        <v>631</v>
      </c>
      <c r="I174" s="183">
        <v>43084.371319444443</v>
      </c>
      <c r="J174" s="182">
        <v>0</v>
      </c>
      <c r="K174" s="190" t="str">
        <f t="shared" si="113"/>
        <v>4001/4002</v>
      </c>
      <c r="L174" s="196" t="str">
        <f>VLOOKUP(A174,'Trips&amp;Operators'!$C$1:$G$99911,5,FALSE)</f>
        <v>DELGADO DIANAH</v>
      </c>
      <c r="M174" s="181">
        <f t="shared" si="114"/>
        <v>8.8194444397231564E-3</v>
      </c>
      <c r="N174" s="182">
        <f t="shared" si="110"/>
        <v>12.699999993201345</v>
      </c>
      <c r="O174" s="182"/>
      <c r="P174" s="182"/>
      <c r="Q174" s="185"/>
      <c r="R174" s="197"/>
      <c r="S174" s="241">
        <f t="shared" si="80"/>
        <v>1</v>
      </c>
      <c r="T174" s="220" t="str">
        <f t="shared" si="115"/>
        <v>Southbound</v>
      </c>
      <c r="U174" s="22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21" t="str">
        <f t="shared" si="85"/>
        <v>https://d0f6bd738d7f1b3e5a7ca70fe4ff75f0.us-east-1.aws.found.io/app/kibana#/discover/Steve-Slow-Train-Analysis-(2080s-and-2083s)?_g=(refreshInterval:(display:Off,pause:!f,section:0,value:0),time:(from:'2017-12-15T07:26:43-0700',mode:absolute,to:'2017-12-15T09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4" s="222" t="str">
        <f>IF(AA174&lt;VLOOKUP(AG174,Variables!$AC$3:$AD$8,2,FALSE),"Y","N")</f>
        <v>N</v>
      </c>
      <c r="X174" s="222">
        <f t="shared" si="112"/>
        <v>1</v>
      </c>
      <c r="Y174" s="222">
        <f t="shared" si="102"/>
        <v>5.8640999999999996</v>
      </c>
      <c r="Z174" s="222">
        <f t="shared" si="103"/>
        <v>1.37E-2</v>
      </c>
      <c r="AA174" s="222">
        <f t="shared" si="116"/>
        <v>5.8503999999999996</v>
      </c>
      <c r="AB174" s="231" t="e">
        <f>VLOOKUP(A174,Enforcements!$C$7:$K$9,8,0)</f>
        <v>#N/A</v>
      </c>
      <c r="AC174" s="231" t="e">
        <f>VLOOKUP(A174,Enforcements!$C$7:$E$9,3,0)</f>
        <v>#N/A</v>
      </c>
      <c r="AD174" s="232">
        <f t="shared" si="117"/>
        <v>812</v>
      </c>
      <c r="AE174" s="233" t="str">
        <f t="shared" si="88"/>
        <v>aws s3 cp s3://rtdc.mdm.uploadarchive.raw/RTDC4001/ "%USERPROFILE%\AppData\Local\Temp\OnboardLogs"\RTDC4001\2017-12-15 --exclude "*" --recursive --include "*20171215*" &amp; "%USERPROFILE%\Documents\GitHub\mrs-test-scripts\Headless Mode &amp; Sideloading\WalkAndUnGZ.bat" "%USERPROFILE%\AppData\Local\Temp\OnboardLogs"\RTDC4001\2017-12-15 &amp; aws s3 cp s3://rtdc.mdm.uploadarchive.raw/RTDC4001/ "%USERPROFILE%\AppData\Local\Temp\OnboardLogs"\RTDC4001\2017-12-16 --exclude "*" --recursive --include "*20171216*" &amp; "%USERPROFILE%\Documents\GitHub\mrs-test-scripts\Headless Mode &amp; Sideloading\WalkAndUnGZ.bat" "%USERPROFILE%\AppData\Local\Temp\OnboardLogs"\RTDC4001\2017-12-16</v>
      </c>
      <c r="AF174" s="234" t="str">
        <f t="shared" si="89"/>
        <v>"C:\Program Files (x86)\AstroGrep\AstroGrep.exe" /e /r /s /spath="%USERPROFILE%\AppData\Local\Temp\OnboardLogs" /stypes="app*4001*20171215*" /stext=" 15:.+((SYSTEM_STATE.+slice.+state.+changed )|(ment ac)|(multiple cpu faults)|(system.+state.+changed )|(\[timeout)|(PRM\|1\|D)|(kpr)|(kdp)|(train st.+moving)|(\|lc)|(penalty))"</v>
      </c>
      <c r="AG174" s="226" t="str">
        <f t="shared" si="118"/>
        <v>NW</v>
      </c>
      <c r="AH174" s="189" t="str">
        <f t="shared" si="91"/>
        <v>"%USERPROFILE%\Documents\GitHub\eaglep3\Utilities\RefineRTDCRunTimes.py" --tripid 812-15 --locoid 4001 --swversion DE.1.0.9.0 --startMP 300:58641 --initTime 2017-12-15T08:26:43 --startdatetime 2017-12-15T08:42:00 --delay 68 --endMP 204:137 --enddatetime 2017-12-15T08:54:42 --enforcementcount 0 &gt;&gt;%USERPROFILE%\Documents\GitHub\eaglep3-reporting\EC\2017-12-15-refined-times.txt</v>
      </c>
      <c r="AI174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{"issue":{"subject":"","project_id":79,"tracker_id":40,"status_id":1,"priority_id":2,"assigned_to_id":338,"start_date":"2017-12-15","description":"","custom_fields":[{"id":1,"name":"Subdivision","value":"NW"},{"id":4,"name":"Milepost","value":"0.0137"},{"id":17,"name":"Train ID","value":"812-15"},{"id":16,"name":"Locomotive ID","value":"4001"},{"id":130,"name":"Impact","value":""},{"id":150,"name":"Time of Event (Mountain Time)","value":"08:54:42"},{"id":151,"name":"Denver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180"/>
      <c r="AK174" s="188"/>
      <c r="AL174" s="188"/>
      <c r="AM174" s="193" t="str">
        <f t="shared" si="93"/>
        <v>start /low /b %USERPROFILE%\Documents\GitHub\eaglep3\Utilities\DownloadLogsFromS3.py --loco 4001 --day 2017-12-15</v>
      </c>
      <c r="AN174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15:54:42"},{"id":29,"name":"Sharepoint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87" t="str">
        <f t="shared" si="95"/>
        <v>https://d0f6bd738d7f1b3e5a7ca70fe4ff75f0.us-east-1.aws.found.io/app/kibana#/discover/Steve-Slow-Train-Analysis-(2080s-and-2083s)?_g=(refreshInterval:(display:Off,pause:!f,section:0,value:0),time:(from:'2017-12-15T07:26:43-0700',mode:absolute,to:'2017-12-15T09:54:42-0700'))&amp;_a=(columns:!('Message%20ID',Summary),filters:!(),index:'emp_*',interval:auto,query:(query_string:(analyze_wildcard:!t,query:'%22rtdc.l.rtdc.4001%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180" customFormat="1" x14ac:dyDescent="0.25">
      <c r="A175" s="186" t="s">
        <v>655</v>
      </c>
      <c r="B175" s="182">
        <v>4002</v>
      </c>
      <c r="C175" s="184" t="s">
        <v>192</v>
      </c>
      <c r="D175" s="184" t="s">
        <v>1046</v>
      </c>
      <c r="E175" s="183">
        <v>43084.378483796296</v>
      </c>
      <c r="F175" s="183">
        <v>43084.38144675926</v>
      </c>
      <c r="G175" s="182">
        <v>64</v>
      </c>
      <c r="H175" s="184" t="s">
        <v>1047</v>
      </c>
      <c r="I175" s="183">
        <v>43084.391064814816</v>
      </c>
      <c r="J175" s="182">
        <v>0</v>
      </c>
      <c r="K175" s="190" t="str">
        <f t="shared" si="113"/>
        <v>4001/4002</v>
      </c>
      <c r="L175" s="196" t="str">
        <f>VLOOKUP(A175,'Trips&amp;Operators'!$C$1:$G$99911,5,FALSE)</f>
        <v>DELGADO DIANAH</v>
      </c>
      <c r="M175" s="181">
        <f t="shared" si="114"/>
        <v>9.6180555556202307E-3</v>
      </c>
      <c r="N175" s="182">
        <f t="shared" si="110"/>
        <v>13.850000000093132</v>
      </c>
      <c r="O175" s="182"/>
      <c r="P175" s="182"/>
      <c r="Q175" s="185"/>
      <c r="R175" s="197"/>
      <c r="S175" s="241">
        <f t="shared" si="80"/>
        <v>1</v>
      </c>
      <c r="T175" s="220" t="str">
        <f t="shared" si="115"/>
        <v>NorthBound</v>
      </c>
      <c r="U175" s="22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21" t="str">
        <f t="shared" si="85"/>
        <v>https://d0f6bd738d7f1b3e5a7ca70fe4ff75f0.us-east-1.aws.found.io/app/kibana#/discover/Steve-Slow-Train-Analysis-(2080s-and-2083s)?_g=(refreshInterval:(display:Off,pause:!f,section:0,value:0),time:(from:'2017-12-15T08:05:01-0700',mode:absolute,to:'2017-12-15T10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5" s="222" t="str">
        <f>IF(AA175&lt;VLOOKUP(AG175,Variables!$AC$3:$AD$8,2,FALSE),"Y","N")</f>
        <v>N</v>
      </c>
      <c r="X175" s="222">
        <f t="shared" si="112"/>
        <v>1</v>
      </c>
      <c r="Y175" s="222">
        <f t="shared" si="102"/>
        <v>4.19E-2</v>
      </c>
      <c r="Z175" s="222">
        <f t="shared" si="103"/>
        <v>5.8921999999999999</v>
      </c>
      <c r="AA175" s="222">
        <f t="shared" si="116"/>
        <v>5.8502999999999998</v>
      </c>
      <c r="AB175" s="231" t="e">
        <f>VLOOKUP(A175,Enforcements!$C$7:$K$9,8,0)</f>
        <v>#N/A</v>
      </c>
      <c r="AC175" s="231" t="e">
        <f>VLOOKUP(A175,Enforcements!$C$7:$E$9,3,0)</f>
        <v>#N/A</v>
      </c>
      <c r="AD175" s="232">
        <f t="shared" si="117"/>
        <v>813</v>
      </c>
      <c r="AE175" s="233" t="str">
        <f t="shared" si="88"/>
        <v>aws s3 cp s3://rtdc.mdm.uploadarchive.raw/RTDC4002/ "%USERPROFILE%\AppData\Local\Temp\OnboardLogs"\RTDC4002\2017-12-15 --exclude "*" --recursive --include "*20171215*" &amp; "%USERPROFILE%\Documents\GitHub\mrs-test-scripts\Headless Mode &amp; Sideloading\WalkAndUnGZ.bat" "%USERPROFILE%\AppData\Local\Temp\OnboardLogs"\RTDC4002\2017-12-15 &amp; aws s3 cp s3://rtdc.mdm.uploadarchive.raw/RTDC4002/ "%USERPROFILE%\AppData\Local\Temp\OnboardLogs"\RTDC4002\2017-12-16 --exclude "*" --recursive --include "*20171216*" &amp; "%USERPROFILE%\Documents\GitHub\mrs-test-scripts\Headless Mode &amp; Sideloading\WalkAndUnGZ.bat" "%USERPROFILE%\AppData\Local\Temp\OnboardLogs"\RTDC4002\2017-12-16</v>
      </c>
      <c r="AF175" s="234" t="str">
        <f t="shared" si="89"/>
        <v>"C:\Program Files (x86)\AstroGrep\AstroGrep.exe" /e /r /s /spath="%USERPROFILE%\AppData\Local\Temp\OnboardLogs" /stypes="app*4002*20171215*" /stext=" 16:.+((SYSTEM_STATE.+slice.+state.+changed )|(ment ac)|(multiple cpu faults)|(system.+state.+changed )|(\[timeout)|(PRM\|1\|D)|(kpr)|(kdp)|(train st.+moving)|(\|lc)|(penalty))"</v>
      </c>
      <c r="AG175" s="226" t="str">
        <f t="shared" si="118"/>
        <v>NW</v>
      </c>
      <c r="AH175" s="189" t="str">
        <f t="shared" si="91"/>
        <v>"%USERPROFILE%\Documents\GitHub\eaglep3\Utilities\RefineRTDCRunTimes.py" --tripid 813-15 --locoid 4002 --swversion DE.1.0.9.0 --startMP 204:419 --initTime 2017-12-15T09:05:01 --startdatetime 2017-12-15T09:09:17 --delay 64 --endMP 300:58922 --enddatetime 2017-12-15T09:23:08 --enforcementcount 0 &gt;&gt;%USERPROFILE%\Documents\GitHub\eaglep3-reporting\EC\2017-12-15-refined-times.txt</v>
      </c>
      <c r="AI175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{"issue":{"subject":"","project_id":79,"tracker_id":40,"status_id":1,"priority_id":2,"assigned_to_id":338,"start_date":"2017-12-15","description":"","custom_fields":[{"id":1,"name":"Subdivision","value":"NW"},{"id":4,"name":"Milepost","value":"5.8922"},{"id":17,"name":"Train ID","value":"813-15"},{"id":16,"name":"Locomotive ID","value":"4002"},{"id":130,"name":"Impact","value":""},{"id":150,"name":"Time of Event (Mountain Time)","value":"09:23:08"},{"id":151,"name":"Denver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188"/>
      <c r="AL175" s="188"/>
      <c r="AM175" s="193" t="str">
        <f t="shared" si="93"/>
        <v>start /low /b %USERPROFILE%\Documents\GitHub\eaglep3\Utilities\DownloadLogsFromS3.py --loco 4002 --day 2017-12-15</v>
      </c>
      <c r="AN175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16:23:08"},{"id":29,"name":"Sharepoint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87" t="str">
        <f t="shared" si="95"/>
        <v>https://d0f6bd738d7f1b3e5a7ca70fe4ff75f0.us-east-1.aws.found.io/app/kibana#/discover/Steve-Slow-Train-Analysis-(2080s-and-2083s)?_g=(refreshInterval:(display:Off,pause:!f,section:0,value:0),time:(from:'2017-12-15T08:05:01-0700',mode:absolute,to:'2017-12-15T10:23:08-0700'))&amp;_a=(columns:!('Message%20ID',Summary),filters:!(),index:'emp_*',interval:auto,query:(query_string:(analyze_wildcard:!t,query:'%22rtdc.l.rtdc.4002%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180" customFormat="1" x14ac:dyDescent="0.25">
      <c r="A176" s="186" t="s">
        <v>749</v>
      </c>
      <c r="B176" s="182">
        <v>4001</v>
      </c>
      <c r="C176" s="184" t="s">
        <v>192</v>
      </c>
      <c r="D176" s="184" t="s">
        <v>570</v>
      </c>
      <c r="E176" s="183">
        <v>43084.392847222225</v>
      </c>
      <c r="F176" s="183">
        <v>43084.404166666667</v>
      </c>
      <c r="G176" s="182">
        <v>56</v>
      </c>
      <c r="H176" s="184" t="s">
        <v>1048</v>
      </c>
      <c r="I176" s="183">
        <v>43084.412962962961</v>
      </c>
      <c r="J176" s="182">
        <v>0</v>
      </c>
      <c r="K176" s="190" t="str">
        <f t="shared" si="113"/>
        <v>4001/4002</v>
      </c>
      <c r="L176" s="196" t="str">
        <f>VLOOKUP(A176,'Trips&amp;Operators'!$C$1:$G$99911,5,FALSE)</f>
        <v>DELGADO DIANAH</v>
      </c>
      <c r="M176" s="181">
        <f t="shared" si="114"/>
        <v>8.7962962934398092E-3</v>
      </c>
      <c r="N176" s="182">
        <f t="shared" si="110"/>
        <v>12.666666662553325</v>
      </c>
      <c r="O176" s="182"/>
      <c r="P176" s="182"/>
      <c r="Q176" s="185"/>
      <c r="R176" s="197"/>
      <c r="S176" s="241">
        <f t="shared" si="80"/>
        <v>1</v>
      </c>
      <c r="T176" s="220" t="str">
        <f t="shared" si="115"/>
        <v>Southbound</v>
      </c>
      <c r="U176" s="22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21" t="str">
        <f t="shared" si="85"/>
        <v>https://d0f6bd738d7f1b3e5a7ca70fe4ff75f0.us-east-1.aws.found.io/app/kibana#/discover/Steve-Slow-Train-Analysis-(2080s-and-2083s)?_g=(refreshInterval:(display:Off,pause:!f,section:0,value:0),time:(from:'2017-12-15T08:25:42-0700',mode:absolute,to:'2017-12-15T10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6" s="222" t="str">
        <f>IF(AA176&lt;VLOOKUP(AG176,Variables!$AC$3:$AD$8,2,FALSE),"Y","N")</f>
        <v>N</v>
      </c>
      <c r="X176" s="222">
        <f t="shared" si="112"/>
        <v>1</v>
      </c>
      <c r="Y176" s="222">
        <f t="shared" si="102"/>
        <v>5.86</v>
      </c>
      <c r="Z176" s="222">
        <f t="shared" si="103"/>
        <v>1.3299999999999999E-2</v>
      </c>
      <c r="AA176" s="222">
        <f t="shared" si="116"/>
        <v>5.8467000000000002</v>
      </c>
      <c r="AB176" s="231" t="e">
        <f>VLOOKUP(A176,Enforcements!$C$7:$K$9,8,0)</f>
        <v>#N/A</v>
      </c>
      <c r="AC176" s="231" t="e">
        <f>VLOOKUP(A176,Enforcements!$C$7:$E$9,3,0)</f>
        <v>#N/A</v>
      </c>
      <c r="AD176" s="232">
        <f t="shared" si="117"/>
        <v>814</v>
      </c>
      <c r="AE176" s="233" t="str">
        <f t="shared" si="88"/>
        <v>aws s3 cp s3://rtdc.mdm.uploadarchive.raw/RTDC4001/ "%USERPROFILE%\AppData\Local\Temp\OnboardLogs"\RTDC4001\2017-12-15 --exclude "*" --recursive --include "*20171215*" &amp; "%USERPROFILE%\Documents\GitHub\mrs-test-scripts\Headless Mode &amp; Sideloading\WalkAndUnGZ.bat" "%USERPROFILE%\AppData\Local\Temp\OnboardLogs"\RTDC4001\2017-12-15 &amp; aws s3 cp s3://rtdc.mdm.uploadarchive.raw/RTDC4001/ "%USERPROFILE%\AppData\Local\Temp\OnboardLogs"\RTDC4001\2017-12-16 --exclude "*" --recursive --include "*20171216*" &amp; "%USERPROFILE%\Documents\GitHub\mrs-test-scripts\Headless Mode &amp; Sideloading\WalkAndUnGZ.bat" "%USERPROFILE%\AppData\Local\Temp\OnboardLogs"\RTDC4001\2017-12-16</v>
      </c>
      <c r="AF176" s="234" t="str">
        <f t="shared" si="89"/>
        <v>"C:\Program Files (x86)\AstroGrep\AstroGrep.exe" /e /r /s /spath="%USERPROFILE%\AppData\Local\Temp\OnboardLogs" /stypes="app*4001*20171215*" /stext=" 16:.+((SYSTEM_STATE.+slice.+state.+changed )|(ment ac)|(multiple cpu faults)|(system.+state.+changed )|(\[timeout)|(PRM\|1\|D)|(kpr)|(kdp)|(train st.+moving)|(\|lc)|(penalty))"</v>
      </c>
      <c r="AG176" s="226" t="str">
        <f t="shared" si="118"/>
        <v>NW</v>
      </c>
      <c r="AH176" s="189" t="str">
        <f t="shared" si="91"/>
        <v>"%USERPROFILE%\Documents\GitHub\eaglep3\Utilities\RefineRTDCRunTimes.py" --tripid 814-15 --locoid 4001 --swversion DE.1.0.9.0 --startMP 300:58600 --initTime 2017-12-15T09:25:42 --startdatetime 2017-12-15T09:42:00 --delay 56 --endMP 204:133 --enddatetime 2017-12-15T09:54:40 --enforcementcount 0 &gt;&gt;%USERPROFILE%\Documents\GitHub\eaglep3-reporting\EC\2017-12-15-refined-times.txt</v>
      </c>
      <c r="AI176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{"issue":{"subject":"","project_id":79,"tracker_id":40,"status_id":1,"priority_id":2,"assigned_to_id":338,"start_date":"2017-12-15","description":"","custom_fields":[{"id":1,"name":"Subdivision","value":"NW"},{"id":4,"name":"Milepost","value":"0.0133"},{"id":17,"name":"Train ID","value":"814-15"},{"id":16,"name":"Locomotive ID","value":"4001"},{"id":130,"name":"Impact","value":""},{"id":150,"name":"Time of Event (Mountain Time)","value":"09:54:40"},{"id":151,"name":"Denver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188"/>
      <c r="AL176" s="188"/>
      <c r="AM176" s="193" t="str">
        <f t="shared" si="93"/>
        <v>start /low /b %USERPROFILE%\Documents\GitHub\eaglep3\Utilities\DownloadLogsFromS3.py --loco 4001 --day 2017-12-15</v>
      </c>
      <c r="AN176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16:54:40"},{"id":29,"name":"Sharepoint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87" t="str">
        <f t="shared" si="95"/>
        <v>https://d0f6bd738d7f1b3e5a7ca70fe4ff75f0.us-east-1.aws.found.io/app/kibana#/discover/Steve-Slow-Train-Analysis-(2080s-and-2083s)?_g=(refreshInterval:(display:Off,pause:!f,section:0,value:0),time:(from:'2017-12-15T08:25:42-0700',mode:absolute,to:'2017-12-15T10:54:40-0700'))&amp;_a=(columns:!('Message%20ID',Summary),filters:!(),index:'emp_*',interval:auto,query:(query_string:(analyze_wildcard:!t,query:'%22rtdc.l.rtdc.4001%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180" customFormat="1" x14ac:dyDescent="0.25">
      <c r="A177" s="186" t="s">
        <v>749</v>
      </c>
      <c r="B177" s="182">
        <v>4001</v>
      </c>
      <c r="C177" s="184" t="s">
        <v>192</v>
      </c>
      <c r="D177" s="184" t="s">
        <v>512</v>
      </c>
      <c r="E177" s="183">
        <v>43084.433854166666</v>
      </c>
      <c r="F177" s="183">
        <v>43084.445833333331</v>
      </c>
      <c r="G177" s="182">
        <v>57</v>
      </c>
      <c r="H177" s="184" t="s">
        <v>636</v>
      </c>
      <c r="I177" s="183">
        <v>43084.454583333332</v>
      </c>
      <c r="J177" s="182">
        <v>0</v>
      </c>
      <c r="K177" s="190" t="str">
        <f t="shared" si="113"/>
        <v>4001/4002</v>
      </c>
      <c r="L177" s="196" t="str">
        <f>VLOOKUP(A177,'Trips&amp;Operators'!$C$1:$G$99911,5,FALSE)</f>
        <v>DELGADO DIANAH</v>
      </c>
      <c r="M177" s="181">
        <f t="shared" si="114"/>
        <v>8.7500000008731149E-3</v>
      </c>
      <c r="N177" s="182">
        <f t="shared" si="110"/>
        <v>12.600000001257285</v>
      </c>
      <c r="O177" s="182"/>
      <c r="P177" s="182"/>
      <c r="Q177" s="185"/>
      <c r="R177" s="197" t="s">
        <v>1095</v>
      </c>
      <c r="S177" s="241">
        <f t="shared" si="80"/>
        <v>1</v>
      </c>
      <c r="T177" s="220" t="str">
        <f t="shared" si="115"/>
        <v>Southbound</v>
      </c>
      <c r="U177" s="22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21" t="str">
        <f t="shared" si="85"/>
        <v>https://d0f6bd738d7f1b3e5a7ca70fe4ff75f0.us-east-1.aws.found.io/app/kibana#/discover/Steve-Slow-Train-Analysis-(2080s-and-2083s)?_g=(refreshInterval:(display:Off,pause:!f,section:0,value:0),time:(from:'2017-12-15T09:24:45-0700',mode:absolute,to:'2017-12-15T11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7" s="222" t="str">
        <f>IF(AA177&lt;VLOOKUP(AG177,Variables!$AC$3:$AD$8,2,FALSE),"Y","N")</f>
        <v>N</v>
      </c>
      <c r="X177" s="222">
        <f t="shared" si="112"/>
        <v>0</v>
      </c>
      <c r="Y177" s="222">
        <f t="shared" si="102"/>
        <v>5.8616999999999999</v>
      </c>
      <c r="Z177" s="222">
        <f t="shared" si="103"/>
        <v>1.4200000000000001E-2</v>
      </c>
      <c r="AA177" s="222">
        <f t="shared" si="116"/>
        <v>5.8475000000000001</v>
      </c>
      <c r="AB177" s="231" t="e">
        <f>VLOOKUP(A177,Enforcements!$C$7:$K$9,8,0)</f>
        <v>#N/A</v>
      </c>
      <c r="AC177" s="231" t="e">
        <f>VLOOKUP(A177,Enforcements!$C$7:$E$9,3,0)</f>
        <v>#N/A</v>
      </c>
      <c r="AD177" s="232">
        <f t="shared" si="117"/>
        <v>814</v>
      </c>
      <c r="AE177" s="233" t="str">
        <f t="shared" si="88"/>
        <v>aws s3 cp s3://rtdc.mdm.uploadarchive.raw/RTDC4001/ "%USERPROFILE%\AppData\Local\Temp\OnboardLogs"\RTDC4001\2017-12-15 --exclude "*" --recursive --include "*20171215*" &amp; "%USERPROFILE%\Documents\GitHub\mrs-test-scripts\Headless Mode &amp; Sideloading\WalkAndUnGZ.bat" "%USERPROFILE%\AppData\Local\Temp\OnboardLogs"\RTDC4001\2017-12-15 &amp; aws s3 cp s3://rtdc.mdm.uploadarchive.raw/RTDC4001/ "%USERPROFILE%\AppData\Local\Temp\OnboardLogs"\RTDC4001\2017-12-16 --exclude "*" --recursive --include "*20171216*" &amp; "%USERPROFILE%\Documents\GitHub\mrs-test-scripts\Headless Mode &amp; Sideloading\WalkAndUnGZ.bat" "%USERPROFILE%\AppData\Local\Temp\OnboardLogs"\RTDC4001\2017-12-16</v>
      </c>
      <c r="AF177" s="234" t="str">
        <f t="shared" si="89"/>
        <v>"C:\Program Files (x86)\AstroGrep\AstroGrep.exe" /e /r /s /spath="%USERPROFILE%\AppData\Local\Temp\OnboardLogs" /stypes="app*4001*20171215*" /stext=" 17:.+((SYSTEM_STATE.+slice.+state.+changed )|(ment ac)|(multiple cpu faults)|(system.+state.+changed )|(\[timeout)|(PRM\|1\|D)|(kpr)|(kdp)|(train st.+moving)|(\|lc)|(penalty))"</v>
      </c>
      <c r="AG177" s="226" t="str">
        <f t="shared" si="118"/>
        <v>NW</v>
      </c>
      <c r="AH177" s="189" t="str">
        <f t="shared" si="91"/>
        <v>"%USERPROFILE%\Documents\GitHub\eaglep3\Utilities\RefineRTDCRunTimes.py" --tripid 814-15 --locoid 4001 --swversion DE.1.0.9.0 --startMP 300:58617 --initTime 2017-12-15T10:24:45 --startdatetime 2017-12-15T10:42:00 --delay 57 --endMP 204:142 --enddatetime 2017-12-15T10:54:36 --enforcementcount 0 &gt;&gt;%USERPROFILE%\Documents\GitHub\eaglep3-reporting\EC\2017-12-15-refined-times.txt</v>
      </c>
      <c r="AI177" s="191" t="str">
        <f t="shared" si="92"/>
        <v>echo {"issue":{"subject":"Accidentally selected 814-15, should have chosen 816-15","project_id":79,"tracker_id":40,"status_id":1,"priority_id":2,"assigned_to_id":338,"start_date":"2017-12-15","description":"","custom_fields":[{"id":1,"name":"Subdivision","value":"NW"},{"id":4,"name":"Milepost","value":"0.0142"},{"id":17,"name":"Train ID","value":"814-15"},{"id":16,"name":"Locomotive ID","value":"4001"},{"id":130,"name":"Impact","value":""},{"id":150,"name":"Time of Event (Mountain Time)","value":"10:54:36"},{"id":151,"name":"Denver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188"/>
      <c r="AL177" s="188"/>
      <c r="AM177" s="193" t="str">
        <f t="shared" si="93"/>
        <v>start /low /b %USERPROFILE%\Documents\GitHub\eaglep3\Utilities\DownloadLogsFromS3.py --loco 4001 --day 2017-12-15</v>
      </c>
      <c r="AN177" s="194" t="str">
        <f t="shared" si="94"/>
        <v>echo {"issue":{"subject":"Accidentally selected 814-15, should have chosen 816-15","project_id":30,"tracker_id":4,"status_id":1,"priority_id":1,"assigned_to_id":10,"start_date":"2017-12-15","description":"","custom_fields":[{"id":30,"name":"Category","value":"Issue"},{"id":3,"name":"Functional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17:54:36"},{"id":29,"name":"Sharepoint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87" t="str">
        <f t="shared" si="95"/>
        <v>https://d0f6bd738d7f1b3e5a7ca70fe4ff75f0.us-east-1.aws.found.io/app/kibana#/discover/Steve-Slow-Train-Analysis-(2080s-and-2083s)?_g=(refreshInterval:(display:Off,pause:!f,section:0,value:0),time:(from:'2017-12-15T09:24:45-0700',mode:absolute,to:'2017-12-15T11:54:36-0700'))&amp;_a=(columns:!('Message%20ID',Summary),filters:!(),index:'emp_*',interval:auto,query:(query_string:(analyze_wildcard:!t,query:'%22rtdc.l.rtdc.4001%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180" customFormat="1" x14ac:dyDescent="0.25">
      <c r="A178" s="186" t="s">
        <v>755</v>
      </c>
      <c r="B178" s="182">
        <v>4002</v>
      </c>
      <c r="C178" s="184" t="s">
        <v>192</v>
      </c>
      <c r="D178" s="184" t="s">
        <v>1049</v>
      </c>
      <c r="E178" s="183">
        <v>43084.420115740744</v>
      </c>
      <c r="F178" s="183">
        <v>43084.423310185186</v>
      </c>
      <c r="G178" s="182">
        <v>52</v>
      </c>
      <c r="H178" s="184" t="s">
        <v>1050</v>
      </c>
      <c r="I178" s="183">
        <v>43084.432812500003</v>
      </c>
      <c r="J178" s="182">
        <v>0</v>
      </c>
      <c r="K178" s="190" t="str">
        <f t="shared" si="113"/>
        <v>4001/4002</v>
      </c>
      <c r="L178" s="196" t="str">
        <f>VLOOKUP(A178,'Trips&amp;Operators'!$C$1:$G$99911,5,FALSE)</f>
        <v>DELGADO DIANAH</v>
      </c>
      <c r="M178" s="181">
        <f t="shared" si="114"/>
        <v>9.5023148169275373E-3</v>
      </c>
      <c r="N178" s="182">
        <f t="shared" si="110"/>
        <v>13.683333336375654</v>
      </c>
      <c r="O178" s="182"/>
      <c r="P178" s="182"/>
      <c r="Q178" s="185"/>
      <c r="R178" s="197"/>
      <c r="S178" s="241">
        <f t="shared" si="80"/>
        <v>1</v>
      </c>
      <c r="T178" s="220" t="str">
        <f t="shared" si="115"/>
        <v>NorthBound</v>
      </c>
      <c r="U178" s="22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21" t="str">
        <f t="shared" si="85"/>
        <v>https://d0f6bd738d7f1b3e5a7ca70fe4ff75f0.us-east-1.aws.found.io/app/kibana#/discover/Steve-Slow-Train-Analysis-(2080s-and-2083s)?_g=(refreshInterval:(display:Off,pause:!f,section:0,value:0),time:(from:'2017-12-15T09:04:58-0700',mode:absolute,to:'2017-12-15T11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8" s="222" t="str">
        <f>IF(AA178&lt;VLOOKUP(AG178,Variables!$AC$3:$AD$8,2,FALSE),"Y","N")</f>
        <v>N</v>
      </c>
      <c r="X178" s="222">
        <f t="shared" si="112"/>
        <v>1</v>
      </c>
      <c r="Y178" s="222">
        <f t="shared" si="102"/>
        <v>4.3200000000000002E-2</v>
      </c>
      <c r="Z178" s="222">
        <f t="shared" si="103"/>
        <v>5.8940999999999999</v>
      </c>
      <c r="AA178" s="222">
        <f t="shared" si="116"/>
        <v>5.8509000000000002</v>
      </c>
      <c r="AB178" s="231" t="e">
        <f>VLOOKUP(A178,Enforcements!$C$7:$K$9,8,0)</f>
        <v>#N/A</v>
      </c>
      <c r="AC178" s="231" t="e">
        <f>VLOOKUP(A178,Enforcements!$C$7:$E$9,3,0)</f>
        <v>#N/A</v>
      </c>
      <c r="AD178" s="232">
        <f t="shared" si="117"/>
        <v>815</v>
      </c>
      <c r="AE178" s="233" t="str">
        <f t="shared" si="88"/>
        <v>aws s3 cp s3://rtdc.mdm.uploadarchive.raw/RTDC4002/ "%USERPROFILE%\AppData\Local\Temp\OnboardLogs"\RTDC4002\2017-12-15 --exclude "*" --recursive --include "*20171215*" &amp; "%USERPROFILE%\Documents\GitHub\mrs-test-scripts\Headless Mode &amp; Sideloading\WalkAndUnGZ.bat" "%USERPROFILE%\AppData\Local\Temp\OnboardLogs"\RTDC4002\2017-12-15 &amp; aws s3 cp s3://rtdc.mdm.uploadarchive.raw/RTDC4002/ "%USERPROFILE%\AppData\Local\Temp\OnboardLogs"\RTDC4002\2017-12-16 --exclude "*" --recursive --include "*20171216*" &amp; "%USERPROFILE%\Documents\GitHub\mrs-test-scripts\Headless Mode &amp; Sideloading\WalkAndUnGZ.bat" "%USERPROFILE%\AppData\Local\Temp\OnboardLogs"\RTDC4002\2017-12-16</v>
      </c>
      <c r="AF178" s="234" t="str">
        <f t="shared" si="89"/>
        <v>"C:\Program Files (x86)\AstroGrep\AstroGrep.exe" /e /r /s /spath="%USERPROFILE%\AppData\Local\Temp\OnboardLogs" /stypes="app*4002*20171215*" /stext=" 17:.+((SYSTEM_STATE.+slice.+state.+changed )|(ment ac)|(multiple cpu faults)|(system.+state.+changed )|(\[timeout)|(PRM\|1\|D)|(kpr)|(kdp)|(train st.+moving)|(\|lc)|(penalty))"</v>
      </c>
      <c r="AG178" s="226" t="str">
        <f t="shared" si="118"/>
        <v>NW</v>
      </c>
      <c r="AH178" s="189" t="str">
        <f t="shared" si="91"/>
        <v>"%USERPROFILE%\Documents\GitHub\eaglep3\Utilities\RefineRTDCRunTimes.py" --tripid 815-15 --locoid 4002 --swversion DE.1.0.9.0 --startMP 204:432 --initTime 2017-12-15T10:04:58 --startdatetime 2017-12-15T10:09:34 --delay 52 --endMP 300:58941 --enddatetime 2017-12-15T10:23:15 --enforcementcount 0 &gt;&gt;%USERPROFILE%\Documents\GitHub\eaglep3-reporting\EC\2017-12-15-refined-times.txt</v>
      </c>
      <c r="AI178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{"issue":{"subject":"","project_id":79,"tracker_id":40,"status_id":1,"priority_id":2,"assigned_to_id":338,"start_date":"2017-12-15","description":"","custom_fields":[{"id":1,"name":"Subdivision","value":"NW"},{"id":4,"name":"Milepost","value":"5.8941"},{"id":17,"name":"Train ID","value":"815-15"},{"id":16,"name":"Locomotive ID","value":"4002"},{"id":130,"name":"Impact","value":""},{"id":150,"name":"Time of Event (Mountain Time)","value":"10:23:15"},{"id":151,"name":"Denver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188"/>
      <c r="AL178" s="188"/>
      <c r="AM178" s="193" t="str">
        <f t="shared" si="93"/>
        <v>start /low /b %USERPROFILE%\Documents\GitHub\eaglep3\Utilities\DownloadLogsFromS3.py --loco 4002 --day 2017-12-15</v>
      </c>
      <c r="AN178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17:23:15"},{"id":29,"name":"Sharepoint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87" t="str">
        <f t="shared" si="95"/>
        <v>https://d0f6bd738d7f1b3e5a7ca70fe4ff75f0.us-east-1.aws.found.io/app/kibana#/discover/Steve-Slow-Train-Analysis-(2080s-and-2083s)?_g=(refreshInterval:(display:Off,pause:!f,section:0,value:0),time:(from:'2017-12-15T09:04:58-0700',mode:absolute,to:'2017-12-15T11:23:15-0700'))&amp;_a=(columns:!('Message%20ID',Summary),filters:!(),index:'emp_*',interval:auto,query:(query_string:(analyze_wildcard:!t,query:'%22rtdc.l.rtdc.4002%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186" t="s">
        <v>764</v>
      </c>
      <c r="B179" s="182">
        <v>4002</v>
      </c>
      <c r="C179" s="184" t="s">
        <v>192</v>
      </c>
      <c r="D179" s="184" t="s">
        <v>1037</v>
      </c>
      <c r="E179" s="183">
        <v>43084.461446759262</v>
      </c>
      <c r="F179" s="183">
        <v>43084.464791666665</v>
      </c>
      <c r="G179" s="182">
        <v>88</v>
      </c>
      <c r="H179" s="184" t="s">
        <v>1051</v>
      </c>
      <c r="I179" s="183">
        <v>43084.474166666667</v>
      </c>
      <c r="J179" s="182">
        <v>0</v>
      </c>
      <c r="K179" s="190" t="str">
        <f t="shared" si="113"/>
        <v>4001/4002</v>
      </c>
      <c r="L179" s="196" t="str">
        <f>VLOOKUP(A179,'Trips&amp;Operators'!$C$1:$G$99911,5,FALSE)</f>
        <v>DELGADO DIANAH</v>
      </c>
      <c r="M179" s="181">
        <f t="shared" si="114"/>
        <v>9.3750000014551915E-3</v>
      </c>
      <c r="N179" s="182">
        <f t="shared" si="110"/>
        <v>13.500000002095476</v>
      </c>
      <c r="O179" s="182"/>
      <c r="P179" s="182"/>
      <c r="Q179" s="185"/>
      <c r="R179" s="197"/>
      <c r="S179" s="241">
        <f t="shared" si="80"/>
        <v>1</v>
      </c>
      <c r="T179" s="220" t="str">
        <f t="shared" si="115"/>
        <v>NorthBound</v>
      </c>
      <c r="U179" s="22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21" t="str">
        <f t="shared" si="85"/>
        <v>https://d0f6bd738d7f1b3e5a7ca70fe4ff75f0.us-east-1.aws.found.io/app/kibana#/discover/Steve-Slow-Train-Analysis-(2080s-and-2083s)?_g=(refreshInterval:(display:Off,pause:!f,section:0,value:0),time:(from:'2017-12-15T10:04:29-0700',mode:absolute,to:'2017-12-15T12:22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9" s="222" t="str">
        <f>IF(AA179&lt;VLOOKUP(AG179,Variables!$AC$3:$AD$8,2,FALSE),"Y","N")</f>
        <v>N</v>
      </c>
      <c r="X179" s="222">
        <f t="shared" si="112"/>
        <v>2</v>
      </c>
      <c r="Y179" s="222">
        <f t="shared" si="102"/>
        <v>4.4999999999999998E-2</v>
      </c>
      <c r="Z179" s="222">
        <f t="shared" si="103"/>
        <v>5.8971</v>
      </c>
      <c r="AA179" s="222">
        <f t="shared" si="116"/>
        <v>5.8521000000000001</v>
      </c>
      <c r="AB179" s="231" t="e">
        <f>VLOOKUP(A179,Enforcements!$C$7:$K$9,8,0)</f>
        <v>#N/A</v>
      </c>
      <c r="AC179" s="231" t="e">
        <f>VLOOKUP(A179,Enforcements!$C$7:$E$9,3,0)</f>
        <v>#N/A</v>
      </c>
      <c r="AD179" s="232">
        <f t="shared" si="117"/>
        <v>817</v>
      </c>
      <c r="AE179" s="233" t="str">
        <f t="shared" si="88"/>
        <v>aws s3 cp s3://rtdc.mdm.uploadarchive.raw/RTDC4002/ "%USERPROFILE%\AppData\Local\Temp\OnboardLogs"\RTDC4002\2017-12-15 --exclude "*" --recursive --include "*20171215*" &amp; "%USERPROFILE%\Documents\GitHub\mrs-test-scripts\Headless Mode &amp; Sideloading\WalkAndUnGZ.bat" "%USERPROFILE%\AppData\Local\Temp\OnboardLogs"\RTDC4002\2017-12-15 &amp; aws s3 cp s3://rtdc.mdm.uploadarchive.raw/RTDC4002/ "%USERPROFILE%\AppData\Local\Temp\OnboardLogs"\RTDC4002\2017-12-16 --exclude "*" --recursive --include "*20171216*" &amp; "%USERPROFILE%\Documents\GitHub\mrs-test-scripts\Headless Mode &amp; Sideloading\WalkAndUnGZ.bat" "%USERPROFILE%\AppData\Local\Temp\OnboardLogs"\RTDC4002\2017-12-16</v>
      </c>
      <c r="AF179" s="234" t="str">
        <f t="shared" si="89"/>
        <v>"C:\Program Files (x86)\AstroGrep\AstroGrep.exe" /e /r /s /spath="%USERPROFILE%\AppData\Local\Temp\OnboardLogs" /stypes="app*4002*20171215*" /stext=" 18:.+((SYSTEM_STATE.+slice.+state.+changed )|(ment ac)|(multiple cpu faults)|(system.+state.+changed )|(\[timeout)|(PRM\|1\|D)|(kpr)|(kdp)|(train st.+moving)|(\|lc)|(penalty))"</v>
      </c>
      <c r="AG179" s="226" t="str">
        <f t="shared" si="118"/>
        <v>NW</v>
      </c>
      <c r="AH179" s="189" t="str">
        <f t="shared" si="91"/>
        <v>"%USERPROFILE%\Documents\GitHub\eaglep3\Utilities\RefineRTDCRunTimes.py" --tripid 817-15 --locoid 4002 --swversion DE.1.0.9.0 --startMP 204:450 --initTime 2017-12-15T11:04:29 --startdatetime 2017-12-15T11:09:18 --delay 88 --endMP 300:58971 --enddatetime 2017-12-15T11:22:48 --enforcementcount 0 &gt;&gt;%USERPROFILE%\Documents\GitHub\eaglep3-reporting\EC\2017-12-15-refined-times.txt</v>
      </c>
      <c r="AI179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{"issue":{"subject":"","project_id":79,"tracker_id":40,"status_id":1,"priority_id":2,"assigned_to_id":338,"start_date":"2017-12-15","description":"","custom_fields":[{"id":1,"name":"Subdivision","value":"NW"},{"id":4,"name":"Milepost","value":"5.8971"},{"id":17,"name":"Train ID","value":"817-15"},{"id":16,"name":"Locomotive ID","value":"4002"},{"id":130,"name":"Impact","value":""},{"id":150,"name":"Time of Event (Mountain Time)","value":"11:22:48"},{"id":151,"name":"Denver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180"/>
      <c r="AK179" s="188"/>
      <c r="AL179" s="188"/>
      <c r="AM179" s="193" t="str">
        <f t="shared" si="93"/>
        <v>start /low /b %USERPROFILE%\Documents\GitHub\eaglep3\Utilities\DownloadLogsFromS3.py --loco 4002 --day 2017-12-15</v>
      </c>
      <c r="AN179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18:22:48"},{"id":29,"name":"Sharepoint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87" t="str">
        <f t="shared" si="95"/>
        <v>https://d0f6bd738d7f1b3e5a7ca70fe4ff75f0.us-east-1.aws.found.io/app/kibana#/discover/Steve-Slow-Train-Analysis-(2080s-and-2083s)?_g=(refreshInterval:(display:Off,pause:!f,section:0,value:0),time:(from:'2017-12-15T10:04:29-0700',mode:absolute,to:'2017-12-15T12:22:48-0700'))&amp;_a=(columns:!('Message%20ID',Summary),filters:!(),index:'emp_*',interval:auto,query:(query_string:(analyze_wildcard:!t,query:'%22rtdc.l.rtdc.4002%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180" customFormat="1" x14ac:dyDescent="0.25">
      <c r="A180" s="186" t="s">
        <v>769</v>
      </c>
      <c r="B180" s="182">
        <v>4001</v>
      </c>
      <c r="C180" s="184" t="s">
        <v>192</v>
      </c>
      <c r="D180" s="184" t="s">
        <v>630</v>
      </c>
      <c r="E180" s="183">
        <v>43084.475162037037</v>
      </c>
      <c r="F180" s="183">
        <v>43084.487500000003</v>
      </c>
      <c r="G180" s="182">
        <v>270</v>
      </c>
      <c r="H180" s="184" t="s">
        <v>569</v>
      </c>
      <c r="I180" s="183">
        <v>43084.496215277781</v>
      </c>
      <c r="J180" s="182">
        <v>0</v>
      </c>
      <c r="K180" s="190" t="str">
        <f t="shared" si="113"/>
        <v>4001/4002</v>
      </c>
      <c r="L180" s="196" t="str">
        <f>VLOOKUP(A180,'Trips&amp;Operators'!$C$1:$G$99911,5,FALSE)</f>
        <v>DELGADO DIANAH</v>
      </c>
      <c r="M180" s="181">
        <f t="shared" si="114"/>
        <v>8.7152777778101154E-3</v>
      </c>
      <c r="N180" s="182">
        <f t="shared" si="110"/>
        <v>12.550000000046566</v>
      </c>
      <c r="O180" s="182"/>
      <c r="P180" s="182"/>
      <c r="Q180" s="185"/>
      <c r="R180" s="197"/>
      <c r="S180" s="241">
        <f t="shared" si="80"/>
        <v>1</v>
      </c>
      <c r="T180" s="220" t="str">
        <f t="shared" si="115"/>
        <v>Southbound</v>
      </c>
      <c r="U180" s="22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21" t="str">
        <f t="shared" si="85"/>
        <v>https://d0f6bd738d7f1b3e5a7ca70fe4ff75f0.us-east-1.aws.found.io/app/kibana#/discover/Steve-Slow-Train-Analysis-(2080s-and-2083s)?_g=(refreshInterval:(display:Off,pause:!f,section:0,value:0),time:(from:'2017-12-15T10:24:14-0700',mode:absolute,to:'2017-12-15T12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0" s="222" t="str">
        <f>IF(AA180&lt;VLOOKUP(AG180,Variables!$AC$3:$AD$8,2,FALSE),"Y","N")</f>
        <v>N</v>
      </c>
      <c r="X180" s="222">
        <f t="shared" si="112"/>
        <v>1</v>
      </c>
      <c r="Y180" s="222">
        <f t="shared" si="102"/>
        <v>5.8648999999999996</v>
      </c>
      <c r="Z180" s="222">
        <f t="shared" si="103"/>
        <v>1.6E-2</v>
      </c>
      <c r="AA180" s="222">
        <f t="shared" si="116"/>
        <v>5.8488999999999995</v>
      </c>
      <c r="AB180" s="231" t="e">
        <f>VLOOKUP(A180,Enforcements!$C$7:$K$9,8,0)</f>
        <v>#N/A</v>
      </c>
      <c r="AC180" s="231" t="e">
        <f>VLOOKUP(A180,Enforcements!$C$7:$E$9,3,0)</f>
        <v>#N/A</v>
      </c>
      <c r="AD180" s="232">
        <f t="shared" si="117"/>
        <v>818</v>
      </c>
      <c r="AE180" s="233" t="str">
        <f t="shared" si="88"/>
        <v>aws s3 cp s3://rtdc.mdm.uploadarchive.raw/RTDC4001/ "%USERPROFILE%\AppData\Local\Temp\OnboardLogs"\RTDC4001\2017-12-15 --exclude "*" --recursive --include "*20171215*" &amp; "%USERPROFILE%\Documents\GitHub\mrs-test-scripts\Headless Mode &amp; Sideloading\WalkAndUnGZ.bat" "%USERPROFILE%\AppData\Local\Temp\OnboardLogs"\RTDC4001\2017-12-15 &amp; aws s3 cp s3://rtdc.mdm.uploadarchive.raw/RTDC4001/ "%USERPROFILE%\AppData\Local\Temp\OnboardLogs"\RTDC4001\2017-12-16 --exclude "*" --recursive --include "*20171216*" &amp; "%USERPROFILE%\Documents\GitHub\mrs-test-scripts\Headless Mode &amp; Sideloading\WalkAndUnGZ.bat" "%USERPROFILE%\AppData\Local\Temp\OnboardLogs"\RTDC4001\2017-12-16</v>
      </c>
      <c r="AF180" s="234" t="str">
        <f t="shared" si="89"/>
        <v>"C:\Program Files (x86)\AstroGrep\AstroGrep.exe" /e /r /s /spath="%USERPROFILE%\AppData\Local\Temp\OnboardLogs" /stypes="app*4001*20171215*" /stext=" 18:.+((SYSTEM_STATE.+slice.+state.+changed )|(ment ac)|(multiple cpu faults)|(system.+state.+changed )|(\[timeout)|(PRM\|1\|D)|(kpr)|(kdp)|(train st.+moving)|(\|lc)|(penalty))"</v>
      </c>
      <c r="AG180" s="226" t="str">
        <f t="shared" si="118"/>
        <v>NW</v>
      </c>
      <c r="AH180" s="189" t="str">
        <f t="shared" si="91"/>
        <v>"%USERPROFILE%\Documents\GitHub\eaglep3\Utilities\RefineRTDCRunTimes.py" --tripid 818-15 --locoid 4001 --swversion DE.1.0.9.0 --startMP 300:58649 --initTime 2017-12-15T11:24:14 --startdatetime 2017-12-15T11:42:00 --delay 270 --endMP 204:160 --enddatetime 2017-12-15T11:54:33 --enforcementcount 0 &gt;&gt;%USERPROFILE%\Documents\GitHub\eaglep3-reporting\EC\2017-12-15-refined-times.txt</v>
      </c>
      <c r="AI180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{"issue":{"subject":"","project_id":79,"tracker_id":40,"status_id":1,"priority_id":2,"assigned_to_id":338,"start_date":"2017-12-15","description":"","custom_fields":[{"id":1,"name":"Subdivision","value":"NW"},{"id":4,"name":"Milepost","value":"0.016"},{"id":17,"name":"Train ID","value":"818-15"},{"id":16,"name":"Locomotive ID","value":"4001"},{"id":130,"name":"Impact","value":""},{"id":150,"name":"Time of Event (Mountain Time)","value":"11:54:33"},{"id":151,"name":"Denver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188"/>
      <c r="AL180" s="188"/>
      <c r="AM180" s="193" t="str">
        <f t="shared" si="93"/>
        <v>start /low /b %USERPROFILE%\Documents\GitHub\eaglep3\Utilities\DownloadLogsFromS3.py --loco 4001 --day 2017-12-15</v>
      </c>
      <c r="AN180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18:54:33"},{"id":29,"name":"Sharepoint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87" t="str">
        <f t="shared" si="95"/>
        <v>https://d0f6bd738d7f1b3e5a7ca70fe4ff75f0.us-east-1.aws.found.io/app/kibana#/discover/Steve-Slow-Train-Analysis-(2080s-and-2083s)?_g=(refreshInterval:(display:Off,pause:!f,section:0,value:0),time:(from:'2017-12-15T10:24:14-0700',mode:absolute,to:'2017-12-15T12:54:33-0700'))&amp;_a=(columns:!('Message%20ID',Summary),filters:!(),index:'emp_*',interval:auto,query:(query_string:(analyze_wildcard:!t,query:'%22rtdc.l.rtdc.4001%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180" customFormat="1" x14ac:dyDescent="0.25">
      <c r="A181" s="186" t="s">
        <v>659</v>
      </c>
      <c r="B181" s="182">
        <v>4002</v>
      </c>
      <c r="C181" s="184" t="s">
        <v>192</v>
      </c>
      <c r="D181" s="184" t="s">
        <v>1037</v>
      </c>
      <c r="E181" s="183">
        <v>43084.503668981481</v>
      </c>
      <c r="F181" s="183">
        <v>43084.508576388886</v>
      </c>
      <c r="G181" s="182">
        <v>61</v>
      </c>
      <c r="H181" s="184" t="s">
        <v>1052</v>
      </c>
      <c r="I181" s="183">
        <v>43084.517581018517</v>
      </c>
      <c r="J181" s="182">
        <v>1</v>
      </c>
      <c r="K181" s="190" t="str">
        <f t="shared" si="113"/>
        <v>4001/4002</v>
      </c>
      <c r="L181" s="196" t="str">
        <f>VLOOKUP(A181,'Trips&amp;Operators'!$C$1:$G$99911,5,FALSE)</f>
        <v>DELGADO DIANAH</v>
      </c>
      <c r="M181" s="181">
        <f t="shared" si="114"/>
        <v>9.0046296318178065E-3</v>
      </c>
      <c r="N181" s="182"/>
      <c r="O181" s="182"/>
      <c r="P181" s="182"/>
      <c r="Q181" s="185"/>
      <c r="R181" s="197"/>
      <c r="S181" s="241"/>
      <c r="T181" s="220" t="str">
        <f t="shared" si="115"/>
        <v>NorthBound</v>
      </c>
      <c r="U181" s="22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0</v>
      </c>
      <c r="V181" s="221" t="str">
        <f t="shared" si="85"/>
        <v>https://d0f6bd738d7f1b3e5a7ca70fe4ff75f0.us-east-1.aws.found.io/app/kibana#/discover/Steve-Slow-Train-Analysis-(2080s-and-2083s)?_g=(refreshInterval:(display:Off,pause:!f,section:0,value:0),time:(from:'2017-12-15T11:05:17-0700',mode:absolute,to:'2017-12-15T13:25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1" s="222" t="str">
        <f>IF(AA181&lt;VLOOKUP(AG181,Variables!$AC$3:$AD$8,2,FALSE),"Y","N")</f>
        <v>Y</v>
      </c>
      <c r="X181" s="222">
        <f t="shared" si="112"/>
        <v>1</v>
      </c>
      <c r="Y181" s="222">
        <f t="shared" ref="Y181:Y202" si="119">RIGHT(D181,LEN(D181)-4)/10000</f>
        <v>4.4999999999999998E-2</v>
      </c>
      <c r="Z181" s="222">
        <f t="shared" ref="Z181:Z202" si="120">RIGHT(H181,LEN(H181)-4)/10000</f>
        <v>0.20200000000000001</v>
      </c>
      <c r="AA181" s="222">
        <f t="shared" si="116"/>
        <v>0.15700000000000003</v>
      </c>
      <c r="AB181" s="231" t="e">
        <f>VLOOKUP(A181,Enforcements!$C$7:$K$9,8,0)</f>
        <v>#N/A</v>
      </c>
      <c r="AC181" s="231" t="e">
        <f>VLOOKUP(A181,Enforcements!$C$7:$E$9,3,0)</f>
        <v>#N/A</v>
      </c>
      <c r="AD181" s="232">
        <f t="shared" si="117"/>
        <v>819</v>
      </c>
      <c r="AE181" s="233" t="str">
        <f t="shared" si="88"/>
        <v>aws s3 cp s3://rtdc.mdm.uploadarchive.raw/RTDC4002/ "%USERPROFILE%\AppData\Local\Temp\OnboardLogs"\RTDC4002\2017-12-15 --exclude "*" --recursive --include "*20171215*" &amp; "%USERPROFILE%\Documents\GitHub\mrs-test-scripts\Headless Mode &amp; Sideloading\WalkAndUnGZ.bat" "%USERPROFILE%\AppData\Local\Temp\OnboardLogs"\RTDC4002\2017-12-15 &amp; aws s3 cp s3://rtdc.mdm.uploadarchive.raw/RTDC4002/ "%USERPROFILE%\AppData\Local\Temp\OnboardLogs"\RTDC4002\2017-12-16 --exclude "*" --recursive --include "*20171216*" &amp; "%USERPROFILE%\Documents\GitHub\mrs-test-scripts\Headless Mode &amp; Sideloading\WalkAndUnGZ.bat" "%USERPROFILE%\AppData\Local\Temp\OnboardLogs"\RTDC4002\2017-12-16</v>
      </c>
      <c r="AF181" s="234" t="str">
        <f t="shared" si="89"/>
        <v>"C:\Program Files (x86)\AstroGrep\AstroGrep.exe" /e /r /s /spath="%USERPROFILE%\AppData\Local\Temp\OnboardLogs" /stypes="app*4002*20171215*" /stext=" 19:.+((SYSTEM_STATE.+slice.+state.+changed )|(ment ac)|(multiple cpu faults)|(system.+state.+changed )|(\[timeout)|(PRM\|1\|D)|(kpr)|(kdp)|(train st.+moving)|(\|lc)|(penalty))"</v>
      </c>
      <c r="AG181" s="226" t="str">
        <f t="shared" si="118"/>
        <v>NW</v>
      </c>
      <c r="AH181" s="189" t="str">
        <f t="shared" si="91"/>
        <v>"%USERPROFILE%\Documents\GitHub\eaglep3\Utilities\RefineRTDCRunTimes.py" --tripid 819-15 --locoid 4002 --swversion DE.1.0.9.0 --startMP 204:450 --initTime 2017-12-15T12:05:17 --startdatetime 2017-12-15T12:12:21 --delay 61 --endMP 204:2020 --enddatetime 2017-12-15T12:25:19 --enforcementcount 1 &gt;&gt;%USERPROFILE%\Documents\GitHub\eaglep3-reporting\EC\2017-12-15-refined-times.txt</v>
      </c>
      <c r="AI181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{"issue":{"subject":"","project_id":79,"tracker_id":40,"status_id":1,"priority_id":2,"assigned_to_id":338,"start_date":"2017-12-15","description":"","custom_fields":[{"id":1,"name":"Subdivision","value":"NW"},{"id":4,"name":"Milepost","value":"0.202"},{"id":17,"name":"Train ID","value":"819-15"},{"id":16,"name":"Locomotive ID","value":"4002"},{"id":130,"name":"Impact","value":""},{"id":150,"name":"Time of Event (Mountain Time)","value":"12:25:19"},{"id":151,"name":"Denver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188"/>
      <c r="AL181" s="188"/>
      <c r="AM181" s="193" t="str">
        <f t="shared" si="93"/>
        <v>start /low /b %USERPROFILE%\Documents\GitHub\eaglep3\Utilities\DownloadLogsFromS3.py --loco 4002 --day 2017-12-15</v>
      </c>
      <c r="AN181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19:25:19"},{"id":29,"name":"Sharepoint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87" t="str">
        <f t="shared" si="95"/>
        <v>https://d0f6bd738d7f1b3e5a7ca70fe4ff75f0.us-east-1.aws.found.io/app/kibana#/discover/Steve-Slow-Train-Analysis-(2080s-and-2083s)?_g=(refreshInterval:(display:Off,pause:!f,section:0,value:0),time:(from:'2017-12-15T11:05:17-0700',mode:absolute,to:'2017-12-15T13:25:19-0700'))&amp;_a=(columns:!('Message%20ID',Summary),filters:!(),index:'emp_*',interval:auto,query:(query_string:(analyze_wildcard:!t,query:'%22rtdc.l.rtdc.4002%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186" t="s">
        <v>659</v>
      </c>
      <c r="B182" s="182">
        <v>4002</v>
      </c>
      <c r="C182" s="184" t="s">
        <v>192</v>
      </c>
      <c r="D182" s="184" t="s">
        <v>1053</v>
      </c>
      <c r="E182" s="183">
        <v>43084.507361111115</v>
      </c>
      <c r="F182" s="183">
        <v>43084.508576388886</v>
      </c>
      <c r="G182" s="182">
        <v>62</v>
      </c>
      <c r="H182" s="184" t="s">
        <v>633</v>
      </c>
      <c r="I182" s="183">
        <v>43084.517581018517</v>
      </c>
      <c r="J182" s="182">
        <v>0</v>
      </c>
      <c r="K182" s="190" t="str">
        <f t="shared" si="113"/>
        <v>4001/4002</v>
      </c>
      <c r="L182" s="196" t="str">
        <f>VLOOKUP(A182,'Trips&amp;Operators'!$C$1:$G$99911,5,FALSE)</f>
        <v>DELGADO DIANAH</v>
      </c>
      <c r="M182" s="181">
        <f t="shared" si="114"/>
        <v>9.0046296318178065E-3</v>
      </c>
      <c r="N182" s="182">
        <f t="shared" ref="N182:N202" si="121">24*60*SUM($M182:$M182)</f>
        <v>12.966666669817641</v>
      </c>
      <c r="O182" s="182"/>
      <c r="P182" s="182"/>
      <c r="Q182" s="185"/>
      <c r="R182" s="197"/>
      <c r="S182" s="241">
        <f t="shared" ref="S182:S202" si="122">1/IF(AG182="EC",12,1)*SUM(U182:U182)</f>
        <v>1</v>
      </c>
      <c r="T182" s="220" t="str">
        <f t="shared" si="115"/>
        <v>NorthBound</v>
      </c>
      <c r="U182" s="22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21" t="str">
        <f t="shared" si="85"/>
        <v>https://d0f6bd738d7f1b3e5a7ca70fe4ff75f0.us-east-1.aws.found.io/app/kibana#/discover/Steve-Slow-Train-Analysis-(2080s-and-2083s)?_g=(refreshInterval:(display:Off,pause:!f,section:0,value:0),time:(from:'2017-12-15T11:10:36-0700',mode:absolute,to:'2017-12-15T13:25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2" s="222" t="str">
        <f>IF(AA182&lt;VLOOKUP(AG182,Variables!$AC$3:$AD$8,2,FALSE),"Y","N")</f>
        <v>N</v>
      </c>
      <c r="X182" s="222">
        <f t="shared" si="112"/>
        <v>0</v>
      </c>
      <c r="Y182" s="222">
        <f t="shared" si="119"/>
        <v>0.2024</v>
      </c>
      <c r="Z182" s="222">
        <f t="shared" si="120"/>
        <v>5.8959999999999999</v>
      </c>
      <c r="AA182" s="222">
        <f t="shared" si="116"/>
        <v>5.6936</v>
      </c>
      <c r="AB182" s="231" t="e">
        <f>VLOOKUP(A182,Enforcements!$C$7:$K$9,8,0)</f>
        <v>#N/A</v>
      </c>
      <c r="AC182" s="231" t="e">
        <f>VLOOKUP(A182,Enforcements!$C$7:$E$9,3,0)</f>
        <v>#N/A</v>
      </c>
      <c r="AD182" s="232">
        <f t="shared" si="117"/>
        <v>819</v>
      </c>
      <c r="AE182" s="233" t="str">
        <f t="shared" si="88"/>
        <v>aws s3 cp s3://rtdc.mdm.uploadarchive.raw/RTDC4002/ "%USERPROFILE%\AppData\Local\Temp\OnboardLogs"\RTDC4002\2017-12-15 --exclude "*" --recursive --include "*20171215*" &amp; "%USERPROFILE%\Documents\GitHub\mrs-test-scripts\Headless Mode &amp; Sideloading\WalkAndUnGZ.bat" "%USERPROFILE%\AppData\Local\Temp\OnboardLogs"\RTDC4002\2017-12-15 &amp; aws s3 cp s3://rtdc.mdm.uploadarchive.raw/RTDC4002/ "%USERPROFILE%\AppData\Local\Temp\OnboardLogs"\RTDC4002\2017-12-16 --exclude "*" --recursive --include "*20171216*" &amp; "%USERPROFILE%\Documents\GitHub\mrs-test-scripts\Headless Mode &amp; Sideloading\WalkAndUnGZ.bat" "%USERPROFILE%\AppData\Local\Temp\OnboardLogs"\RTDC4002\2017-12-16</v>
      </c>
      <c r="AF182" s="234" t="str">
        <f t="shared" si="89"/>
        <v>"C:\Program Files (x86)\AstroGrep\AstroGrep.exe" /e /r /s /spath="%USERPROFILE%\AppData\Local\Temp\OnboardLogs" /stypes="app*4002*20171215*" /stext=" 19:.+((SYSTEM_STATE.+slice.+state.+changed )|(ment ac)|(multiple cpu faults)|(system.+state.+changed )|(\[timeout)|(PRM\|1\|D)|(kpr)|(kdp)|(train st.+moving)|(\|lc)|(penalty))"</v>
      </c>
      <c r="AG182" s="226" t="str">
        <f t="shared" si="118"/>
        <v>NW</v>
      </c>
      <c r="AH182" s="189" t="str">
        <f t="shared" si="91"/>
        <v>"%USERPROFILE%\Documents\GitHub\eaglep3\Utilities\RefineRTDCRunTimes.py" --tripid 819-15 --locoid 4002 --swversion DE.1.0.9.0 --startMP 204:2024 --initTime 2017-12-15T12:10:36 --startdatetime 2017-12-15T12:12:21 --delay 62 --endMP 300:58960 --enddatetime 2017-12-15T12:25:19 --enforcementcount 0 &gt;&gt;%USERPROFILE%\Documents\GitHub\eaglep3-reporting\EC\2017-12-15-refined-times.txt</v>
      </c>
      <c r="AI182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{"issue":{"subject":"","project_id":79,"tracker_id":40,"status_id":1,"priority_id":2,"assigned_to_id":338,"start_date":"2017-12-15","description":"","custom_fields":[{"id":1,"name":"Subdivision","value":"NW"},{"id":4,"name":"Milepost","value":"5.896"},{"id":17,"name":"Train ID","value":"819-15"},{"id":16,"name":"Locomotive ID","value":"4002"},{"id":130,"name":"Impact","value":""},{"id":150,"name":"Time of Event (Mountain Time)","value":"12:25:19"},{"id":151,"name":"Denver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180"/>
      <c r="AK182" s="188"/>
      <c r="AL182" s="188"/>
      <c r="AM182" s="193" t="str">
        <f t="shared" si="93"/>
        <v>start /low /b %USERPROFILE%\Documents\GitHub\eaglep3\Utilities\DownloadLogsFromS3.py --loco 4002 --day 2017-12-15</v>
      </c>
      <c r="AN182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19:25:19"},{"id":29,"name":"Sharepoint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87" t="str">
        <f t="shared" si="95"/>
        <v>https://d0f6bd738d7f1b3e5a7ca70fe4ff75f0.us-east-1.aws.found.io/app/kibana#/discover/Steve-Slow-Train-Analysis-(2080s-and-2083s)?_g=(refreshInterval:(display:Off,pause:!f,section:0,value:0),time:(from:'2017-12-15T11:10:36-0700',mode:absolute,to:'2017-12-15T13:25:19-0700'))&amp;_a=(columns:!('Message%20ID',Summary),filters:!(),index:'emp_*',interval:auto,query:(query_string:(analyze_wildcard:!t,query:'%22rtdc.l.rtdc.4002%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186" t="s">
        <v>777</v>
      </c>
      <c r="B183" s="182">
        <v>4001</v>
      </c>
      <c r="C183" s="184" t="s">
        <v>192</v>
      </c>
      <c r="D183" s="184" t="s">
        <v>630</v>
      </c>
      <c r="E183" s="183">
        <v>43084.519155092596</v>
      </c>
      <c r="F183" s="183">
        <v>43084.529166666667</v>
      </c>
      <c r="G183" s="182">
        <v>60</v>
      </c>
      <c r="H183" s="184" t="s">
        <v>1054</v>
      </c>
      <c r="I183" s="183">
        <v>43084.538391203707</v>
      </c>
      <c r="J183" s="182">
        <v>0</v>
      </c>
      <c r="K183" s="190" t="str">
        <f t="shared" si="113"/>
        <v>4001/4002</v>
      </c>
      <c r="L183" s="196" t="str">
        <f>VLOOKUP(A183,'Trips&amp;Operators'!$C$1:$G$99911,5,FALSE)</f>
        <v>DELGADO DIANAH</v>
      </c>
      <c r="M183" s="181">
        <f t="shared" si="114"/>
        <v>9.2245370396994986E-3</v>
      </c>
      <c r="N183" s="182">
        <f t="shared" si="121"/>
        <v>13.283333337167278</v>
      </c>
      <c r="O183" s="182"/>
      <c r="P183" s="182"/>
      <c r="Q183" s="185"/>
      <c r="R183" s="197"/>
      <c r="S183" s="241">
        <f t="shared" si="122"/>
        <v>1</v>
      </c>
      <c r="T183" s="220" t="str">
        <f t="shared" si="115"/>
        <v>Southbound</v>
      </c>
      <c r="U183" s="22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21" t="str">
        <f t="shared" si="85"/>
        <v>https://d0f6bd738d7f1b3e5a7ca70fe4ff75f0.us-east-1.aws.found.io/app/kibana#/discover/Steve-Slow-Train-Analysis-(2080s-and-2083s)?_g=(refreshInterval:(display:Off,pause:!f,section:0,value:0),time:(from:'2017-12-15T11:27:35-0700',mode:absolute,to:'2017-12-15T13:55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3" s="222" t="str">
        <f>IF(AA183&lt;VLOOKUP(AG183,Variables!$AC$3:$AD$8,2,FALSE),"Y","N")</f>
        <v>N</v>
      </c>
      <c r="X183" s="222">
        <f t="shared" si="112"/>
        <v>1</v>
      </c>
      <c r="Y183" s="222">
        <f t="shared" si="119"/>
        <v>5.8648999999999996</v>
      </c>
      <c r="Z183" s="222">
        <f t="shared" si="120"/>
        <v>1.5299999999999999E-2</v>
      </c>
      <c r="AA183" s="222">
        <f t="shared" si="116"/>
        <v>5.8495999999999997</v>
      </c>
      <c r="AB183" s="231" t="e">
        <f>VLOOKUP(A183,Enforcements!$C$7:$K$9,8,0)</f>
        <v>#N/A</v>
      </c>
      <c r="AC183" s="231" t="e">
        <f>VLOOKUP(A183,Enforcements!$C$7:$E$9,3,0)</f>
        <v>#N/A</v>
      </c>
      <c r="AD183" s="232">
        <f t="shared" si="117"/>
        <v>820</v>
      </c>
      <c r="AE183" s="233" t="str">
        <f t="shared" si="88"/>
        <v>aws s3 cp s3://rtdc.mdm.uploadarchive.raw/RTDC4001/ "%USERPROFILE%\AppData\Local\Temp\OnboardLogs"\RTDC4001\2017-12-15 --exclude "*" --recursive --include "*20171215*" &amp; "%USERPROFILE%\Documents\GitHub\mrs-test-scripts\Headless Mode &amp; Sideloading\WalkAndUnGZ.bat" "%USERPROFILE%\AppData\Local\Temp\OnboardLogs"\RTDC4001\2017-12-15 &amp; aws s3 cp s3://rtdc.mdm.uploadarchive.raw/RTDC4001/ "%USERPROFILE%\AppData\Local\Temp\OnboardLogs"\RTDC4001\2017-12-16 --exclude "*" --recursive --include "*20171216*" &amp; "%USERPROFILE%\Documents\GitHub\mrs-test-scripts\Headless Mode &amp; Sideloading\WalkAndUnGZ.bat" "%USERPROFILE%\AppData\Local\Temp\OnboardLogs"\RTDC4001\2017-12-16</v>
      </c>
      <c r="AF183" s="234" t="str">
        <f t="shared" si="89"/>
        <v>"C:\Program Files (x86)\AstroGrep\AstroGrep.exe" /e /r /s /spath="%USERPROFILE%\AppData\Local\Temp\OnboardLogs" /stypes="app*4001*20171215*" /stext=" 19:.+((SYSTEM_STATE.+slice.+state.+changed )|(ment ac)|(multiple cpu faults)|(system.+state.+changed )|(\[timeout)|(PRM\|1\|D)|(kpr)|(kdp)|(train st.+moving)|(\|lc)|(penalty))"</v>
      </c>
      <c r="AG183" s="226" t="str">
        <f t="shared" si="118"/>
        <v>NW</v>
      </c>
      <c r="AH183" s="189" t="str">
        <f t="shared" si="91"/>
        <v>"%USERPROFILE%\Documents\GitHub\eaglep3\Utilities\RefineRTDCRunTimes.py" --tripid 820-15 --locoid 4001 --swversion DE.1.0.9.0 --startMP 300:58649 --initTime 2017-12-15T12:27:35 --startdatetime 2017-12-15T12:42:00 --delay 60 --endMP 204:153 --enddatetime 2017-12-15T12:55:17 --enforcementcount 0 &gt;&gt;%USERPROFILE%\Documents\GitHub\eaglep3-reporting\EC\2017-12-15-refined-times.txt</v>
      </c>
      <c r="AI183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{"issue":{"subject":"","project_id":79,"tracker_id":40,"status_id":1,"priority_id":2,"assigned_to_id":338,"start_date":"2017-12-15","description":"","custom_fields":[{"id":1,"name":"Subdivision","value":"NW"},{"id":4,"name":"Milepost","value":"0.0153"},{"id":17,"name":"Train ID","value":"820-15"},{"id":16,"name":"Locomotive ID","value":"4001"},{"id":130,"name":"Impact","value":""},{"id":150,"name":"Time of Event (Mountain Time)","value":"12:55:17"},{"id":151,"name":"Denver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180"/>
      <c r="AK183" s="188"/>
      <c r="AL183" s="188"/>
      <c r="AM183" s="193" t="str">
        <f t="shared" si="93"/>
        <v>start /low /b %USERPROFILE%\Documents\GitHub\eaglep3\Utilities\DownloadLogsFromS3.py --loco 4001 --day 2017-12-15</v>
      </c>
      <c r="AN183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19:55:17"},{"id":29,"name":"Sharepoint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87" t="str">
        <f t="shared" si="95"/>
        <v>https://d0f6bd738d7f1b3e5a7ca70fe4ff75f0.us-east-1.aws.found.io/app/kibana#/discover/Steve-Slow-Train-Analysis-(2080s-and-2083s)?_g=(refreshInterval:(display:Off,pause:!f,section:0,value:0),time:(from:'2017-12-15T11:27:35-0700',mode:absolute,to:'2017-12-15T13:55:17-0700'))&amp;_a=(columns:!('Message%20ID',Summary),filters:!(),index:'emp_*',interval:auto,query:(query_string:(analyze_wildcard:!t,query:'%22rtdc.l.rtdc.4001%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186" t="s">
        <v>660</v>
      </c>
      <c r="B184" s="182">
        <v>4002</v>
      </c>
      <c r="C184" s="184" t="s">
        <v>192</v>
      </c>
      <c r="D184" s="184" t="s">
        <v>1037</v>
      </c>
      <c r="E184" s="183">
        <v>43084.541307870371</v>
      </c>
      <c r="F184" s="183">
        <v>43084.548564814817</v>
      </c>
      <c r="G184" s="182">
        <v>97</v>
      </c>
      <c r="H184" s="184" t="s">
        <v>1092</v>
      </c>
      <c r="I184" s="183">
        <v>43084.559733796297</v>
      </c>
      <c r="J184" s="182">
        <v>0</v>
      </c>
      <c r="K184" s="190" t="str">
        <f t="shared" si="113"/>
        <v>4001/4002</v>
      </c>
      <c r="L184" s="196" t="str">
        <f>VLOOKUP(A184,'Trips&amp;Operators'!$C$1:$G$99911,5,FALSE)</f>
        <v>WEST BRYAN</v>
      </c>
      <c r="M184" s="181">
        <f t="shared" si="114"/>
        <v>1.116898148029577E-2</v>
      </c>
      <c r="N184" s="182">
        <f t="shared" si="121"/>
        <v>16.083333331625909</v>
      </c>
      <c r="O184" s="182"/>
      <c r="P184" s="182"/>
      <c r="Q184" s="185"/>
      <c r="R184" s="197"/>
      <c r="S184" s="241">
        <f t="shared" si="122"/>
        <v>1</v>
      </c>
      <c r="T184" s="220" t="str">
        <f t="shared" si="115"/>
        <v>NorthBound</v>
      </c>
      <c r="U184" s="22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21" t="str">
        <f t="shared" si="85"/>
        <v>https://d0f6bd738d7f1b3e5a7ca70fe4ff75f0.us-east-1.aws.found.io/app/kibana#/discover/Steve-Slow-Train-Analysis-(2080s-and-2083s)?_g=(refreshInterval:(display:Off,pause:!f,section:0,value:0),time:(from:'2017-12-15T11:59:29-0700',mode:absolute,to:'2017-12-15T14:26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4" s="222" t="str">
        <f>IF(AA184&lt;VLOOKUP(AG184,Variables!$AC$3:$AD$8,2,FALSE),"Y","N")</f>
        <v>N</v>
      </c>
      <c r="X184" s="222">
        <f t="shared" si="112"/>
        <v>1</v>
      </c>
      <c r="Y184" s="222">
        <f t="shared" si="119"/>
        <v>4.4999999999999998E-2</v>
      </c>
      <c r="Z184" s="222">
        <f t="shared" si="120"/>
        <v>5.8933</v>
      </c>
      <c r="AA184" s="222">
        <f t="shared" si="116"/>
        <v>5.8483000000000001</v>
      </c>
      <c r="AB184" s="231" t="e">
        <f>VLOOKUP(A184,Enforcements!$C$7:$K$9,8,0)</f>
        <v>#N/A</v>
      </c>
      <c r="AC184" s="231" t="e">
        <f>VLOOKUP(A184,Enforcements!$C$7:$E$9,3,0)</f>
        <v>#N/A</v>
      </c>
      <c r="AD184" s="232">
        <f t="shared" si="117"/>
        <v>821</v>
      </c>
      <c r="AE184" s="233" t="str">
        <f t="shared" si="88"/>
        <v>aws s3 cp s3://rtdc.mdm.uploadarchive.raw/RTDC4002/ "%USERPROFILE%\AppData\Local\Temp\OnboardLogs"\RTDC4002\2017-12-15 --exclude "*" --recursive --include "*20171215*" &amp; "%USERPROFILE%\Documents\GitHub\mrs-test-scripts\Headless Mode &amp; Sideloading\WalkAndUnGZ.bat" "%USERPROFILE%\AppData\Local\Temp\OnboardLogs"\RTDC4002\2017-12-15 &amp; aws s3 cp s3://rtdc.mdm.uploadarchive.raw/RTDC4002/ "%USERPROFILE%\AppData\Local\Temp\OnboardLogs"\RTDC4002\2017-12-16 --exclude "*" --recursive --include "*20171216*" &amp; "%USERPROFILE%\Documents\GitHub\mrs-test-scripts\Headless Mode &amp; Sideloading\WalkAndUnGZ.bat" "%USERPROFILE%\AppData\Local\Temp\OnboardLogs"\RTDC4002\2017-12-16</v>
      </c>
      <c r="AF184" s="234" t="str">
        <f t="shared" si="89"/>
        <v>"C:\Program Files (x86)\AstroGrep\AstroGrep.exe" /e /r /s /spath="%USERPROFILE%\AppData\Local\Temp\OnboardLogs" /stypes="app*4002*20171215*" /stext=" 20:.+((SYSTEM_STATE.+slice.+state.+changed )|(ment ac)|(multiple cpu faults)|(system.+state.+changed )|(\[timeout)|(PRM\|1\|D)|(kpr)|(kdp)|(train st.+moving)|(\|lc)|(penalty))"</v>
      </c>
      <c r="AG184" s="226" t="str">
        <f t="shared" si="118"/>
        <v>NW</v>
      </c>
      <c r="AH184" s="189" t="str">
        <f t="shared" si="91"/>
        <v>"%USERPROFILE%\Documents\GitHub\eaglep3\Utilities\RefineRTDCRunTimes.py" --tripid 821-15 --locoid 4002 --swversion DE.1.0.9.0 --startMP 204:450 --initTime 2017-12-15T12:59:29 --startdatetime 2017-12-15T13:09:56 --delay 97 --endMP 300:58933 --enddatetime 2017-12-15T13:26:01 --enforcementcount 0 &gt;&gt;%USERPROFILE%\Documents\GitHub\eaglep3-reporting\EC\2017-12-15-refined-times.txt</v>
      </c>
      <c r="AI184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{"issue":{"subject":"","project_id":79,"tracker_id":40,"status_id":1,"priority_id":2,"assigned_to_id":338,"start_date":"2017-12-15","description":"","custom_fields":[{"id":1,"name":"Subdivision","value":"NW"},{"id":4,"name":"Milepost","value":"5.8933"},{"id":17,"name":"Train ID","value":"821-15"},{"id":16,"name":"Locomotive ID","value":"4002"},{"id":130,"name":"Impact","value":""},{"id":150,"name":"Time of Event (Mountain Time)","value":"13:26:01"},{"id":151,"name":"Denver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180"/>
      <c r="AK184" s="188"/>
      <c r="AL184" s="188"/>
      <c r="AM184" s="193" t="str">
        <f t="shared" si="93"/>
        <v>start /low /b %USERPROFILE%\Documents\GitHub\eaglep3\Utilities\DownloadLogsFromS3.py --loco 4002 --day 2017-12-15</v>
      </c>
      <c r="AN184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20:26:01"},{"id":29,"name":"Sharepoint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87" t="str">
        <f t="shared" si="95"/>
        <v>https://d0f6bd738d7f1b3e5a7ca70fe4ff75f0.us-east-1.aws.found.io/app/kibana#/discover/Steve-Slow-Train-Analysis-(2080s-and-2083s)?_g=(refreshInterval:(display:Off,pause:!f,section:0,value:0),time:(from:'2017-12-15T11:59:29-0700',mode:absolute,to:'2017-12-15T14:26:01-0700'))&amp;_a=(columns:!('Message%20ID',Summary),filters:!(),index:'emp_*',interval:auto,query:(query_string:(analyze_wildcard:!t,query:'%22rtdc.l.rtdc.4002%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180" customFormat="1" x14ac:dyDescent="0.25">
      <c r="A185" s="186" t="s">
        <v>788</v>
      </c>
      <c r="B185" s="182">
        <v>4001</v>
      </c>
      <c r="C185" s="184" t="s">
        <v>192</v>
      </c>
      <c r="D185" s="184" t="s">
        <v>1055</v>
      </c>
      <c r="E185" s="183">
        <v>43084.561435185184</v>
      </c>
      <c r="F185" s="183">
        <v>43084.570833333331</v>
      </c>
      <c r="G185" s="182">
        <v>81</v>
      </c>
      <c r="H185" s="184" t="s">
        <v>515</v>
      </c>
      <c r="I185" s="183">
        <v>43084.579965277779</v>
      </c>
      <c r="J185" s="182">
        <v>0</v>
      </c>
      <c r="K185" s="190" t="str">
        <f t="shared" si="113"/>
        <v>4001/4002</v>
      </c>
      <c r="L185" s="196" t="str">
        <f>VLOOKUP(A185,'Trips&amp;Operators'!$C$1:$G$99911,5,FALSE)</f>
        <v>WEST BRYAN</v>
      </c>
      <c r="M185" s="181">
        <f t="shared" si="114"/>
        <v>9.1319444472901523E-3</v>
      </c>
      <c r="N185" s="182">
        <f t="shared" si="121"/>
        <v>13.150000004097819</v>
      </c>
      <c r="O185" s="182"/>
      <c r="P185" s="182"/>
      <c r="Q185" s="185"/>
      <c r="R185" s="197"/>
      <c r="S185" s="241">
        <f t="shared" si="122"/>
        <v>1</v>
      </c>
      <c r="T185" s="220" t="str">
        <f t="shared" si="115"/>
        <v>Southbound</v>
      </c>
      <c r="U185" s="22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21" t="str">
        <f t="shared" si="85"/>
        <v>https://d0f6bd738d7f1b3e5a7ca70fe4ff75f0.us-east-1.aws.found.io/app/kibana#/discover/Steve-Slow-Train-Analysis-(2080s-and-2083s)?_g=(refreshInterval:(display:Off,pause:!f,section:0,value:0),time:(from:'2017-12-15T12:28:28-0700',mode:absolute,to:'2017-12-15T14:55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5" s="222" t="str">
        <f>IF(AA185&lt;VLOOKUP(AG185,Variables!$AC$3:$AD$8,2,FALSE),"Y","N")</f>
        <v>N</v>
      </c>
      <c r="X185" s="222">
        <f t="shared" si="112"/>
        <v>1</v>
      </c>
      <c r="Y185" s="222">
        <f t="shared" si="119"/>
        <v>5.8619000000000003</v>
      </c>
      <c r="Z185" s="222">
        <f t="shared" si="120"/>
        <v>1.55E-2</v>
      </c>
      <c r="AA185" s="222">
        <f t="shared" si="116"/>
        <v>5.8464</v>
      </c>
      <c r="AB185" s="231" t="e">
        <f>VLOOKUP(A185,Enforcements!$C$7:$K$9,8,0)</f>
        <v>#N/A</v>
      </c>
      <c r="AC185" s="231" t="e">
        <f>VLOOKUP(A185,Enforcements!$C$7:$E$9,3,0)</f>
        <v>#N/A</v>
      </c>
      <c r="AD185" s="232">
        <f t="shared" si="117"/>
        <v>822</v>
      </c>
      <c r="AE185" s="233" t="str">
        <f t="shared" si="88"/>
        <v>aws s3 cp s3://rtdc.mdm.uploadarchive.raw/RTDC4001/ "%USERPROFILE%\AppData\Local\Temp\OnboardLogs"\RTDC4001\2017-12-15 --exclude "*" --recursive --include "*20171215*" &amp; "%USERPROFILE%\Documents\GitHub\mrs-test-scripts\Headless Mode &amp; Sideloading\WalkAndUnGZ.bat" "%USERPROFILE%\AppData\Local\Temp\OnboardLogs"\RTDC4001\2017-12-15 &amp; aws s3 cp s3://rtdc.mdm.uploadarchive.raw/RTDC4001/ "%USERPROFILE%\AppData\Local\Temp\OnboardLogs"\RTDC4001\2017-12-16 --exclude "*" --recursive --include "*20171216*" &amp; "%USERPROFILE%\Documents\GitHub\mrs-test-scripts\Headless Mode &amp; Sideloading\WalkAndUnGZ.bat" "%USERPROFILE%\AppData\Local\Temp\OnboardLogs"\RTDC4001\2017-12-16</v>
      </c>
      <c r="AF185" s="234" t="str">
        <f t="shared" si="89"/>
        <v>"C:\Program Files (x86)\AstroGrep\AstroGrep.exe" /e /r /s /spath="%USERPROFILE%\AppData\Local\Temp\OnboardLogs" /stypes="app*4001*20171215*" /stext=" 20:.+((SYSTEM_STATE.+slice.+state.+changed )|(ment ac)|(multiple cpu faults)|(system.+state.+changed )|(\[timeout)|(PRM\|1\|D)|(kpr)|(kdp)|(train st.+moving)|(\|lc)|(penalty))"</v>
      </c>
      <c r="AG185" s="226" t="str">
        <f t="shared" si="118"/>
        <v>NW</v>
      </c>
      <c r="AH185" s="189" t="str">
        <f t="shared" si="91"/>
        <v>"%USERPROFILE%\Documents\GitHub\eaglep3\Utilities\RefineRTDCRunTimes.py" --tripid 822-15 --locoid 4001 --swversion DE.1.0.9.0 --startMP 300:58619 --initTime 2017-12-15T13:28:28 --startdatetime 2017-12-15T13:42:00 --delay 81 --endMP 204:155 --enddatetime 2017-12-15T13:55:09 --enforcementcount 0 &gt;&gt;%USERPROFILE%\Documents\GitHub\eaglep3-reporting\EC\2017-12-15-refined-times.txt</v>
      </c>
      <c r="AI185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{"issue":{"subject":"","project_id":79,"tracker_id":40,"status_id":1,"priority_id":2,"assigned_to_id":338,"start_date":"2017-12-15","description":"","custom_fields":[{"id":1,"name":"Subdivision","value":"NW"},{"id":4,"name":"Milepost","value":"0.0155"},{"id":17,"name":"Train ID","value":"822-15"},{"id":16,"name":"Locomotive ID","value":"4001"},{"id":130,"name":"Impact","value":""},{"id":150,"name":"Time of Event (Mountain Time)","value":"13:55:09"},{"id":151,"name":"Denver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188"/>
      <c r="AL185" s="188"/>
      <c r="AM185" s="193" t="str">
        <f t="shared" si="93"/>
        <v>start /low /b %USERPROFILE%\Documents\GitHub\eaglep3\Utilities\DownloadLogsFromS3.py --loco 4001 --day 2017-12-15</v>
      </c>
      <c r="AN185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20:55:09"},{"id":29,"name":"Sharepoint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87" t="str">
        <f t="shared" si="95"/>
        <v>https://d0f6bd738d7f1b3e5a7ca70fe4ff75f0.us-east-1.aws.found.io/app/kibana#/discover/Steve-Slow-Train-Analysis-(2080s-and-2083s)?_g=(refreshInterval:(display:Off,pause:!f,section:0,value:0),time:(from:'2017-12-15T12:28:28-0700',mode:absolute,to:'2017-12-15T14:55:09-0700'))&amp;_a=(columns:!('Message%20ID',Summary),filters:!(),index:'emp_*',interval:auto,query:(query_string:(analyze_wildcard:!t,query:'%22rtdc.l.rtdc.4001%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180" customFormat="1" x14ac:dyDescent="0.25">
      <c r="A186" s="186" t="s">
        <v>793</v>
      </c>
      <c r="B186" s="182">
        <v>4002</v>
      </c>
      <c r="C186" s="184" t="s">
        <v>192</v>
      </c>
      <c r="D186" s="184" t="s">
        <v>1056</v>
      </c>
      <c r="E186" s="183">
        <v>43084.582337962966</v>
      </c>
      <c r="F186" s="183">
        <v>43084.590011574073</v>
      </c>
      <c r="G186" s="182">
        <v>55</v>
      </c>
      <c r="H186" s="184" t="s">
        <v>1050</v>
      </c>
      <c r="I186" s="183">
        <v>43084.600937499999</v>
      </c>
      <c r="J186" s="182">
        <v>0</v>
      </c>
      <c r="K186" s="190" t="str">
        <f t="shared" si="113"/>
        <v>4001/4002</v>
      </c>
      <c r="L186" s="196" t="str">
        <f>VLOOKUP(A186,'Trips&amp;Operators'!$C$1:$G$99911,5,FALSE)</f>
        <v>WEST BRYAN</v>
      </c>
      <c r="M186" s="181">
        <f t="shared" si="114"/>
        <v>1.0925925926130731E-2</v>
      </c>
      <c r="N186" s="182">
        <f t="shared" si="121"/>
        <v>15.733333333628252</v>
      </c>
      <c r="O186" s="182"/>
      <c r="P186" s="182"/>
      <c r="Q186" s="185"/>
      <c r="R186" s="197"/>
      <c r="S186" s="241">
        <f t="shared" si="122"/>
        <v>1</v>
      </c>
      <c r="T186" s="220" t="str">
        <f t="shared" si="115"/>
        <v>NorthBound</v>
      </c>
      <c r="U186" s="22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21" t="str">
        <f t="shared" si="85"/>
        <v>https://d0f6bd738d7f1b3e5a7ca70fe4ff75f0.us-east-1.aws.found.io/app/kibana#/discover/Steve-Slow-Train-Analysis-(2080s-and-2083s)?_g=(refreshInterval:(display:Off,pause:!f,section:0,value:0),time:(from:'2017-12-15T12:58:34-0700',mode:absolute,to:'2017-12-15T15:25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6" s="222" t="str">
        <f>IF(AA186&lt;VLOOKUP(AG186,Variables!$AC$3:$AD$8,2,FALSE),"Y","N")</f>
        <v>N</v>
      </c>
      <c r="X186" s="222">
        <f t="shared" si="112"/>
        <v>1</v>
      </c>
      <c r="Y186" s="222">
        <f t="shared" si="119"/>
        <v>4.41E-2</v>
      </c>
      <c r="Z186" s="222">
        <f t="shared" si="120"/>
        <v>5.8940999999999999</v>
      </c>
      <c r="AA186" s="222">
        <f t="shared" si="116"/>
        <v>5.85</v>
      </c>
      <c r="AB186" s="231" t="e">
        <f>VLOOKUP(A186,Enforcements!$C$7:$K$9,8,0)</f>
        <v>#N/A</v>
      </c>
      <c r="AC186" s="231" t="e">
        <f>VLOOKUP(A186,Enforcements!$C$7:$E$9,3,0)</f>
        <v>#N/A</v>
      </c>
      <c r="AD186" s="232">
        <f t="shared" si="117"/>
        <v>823</v>
      </c>
      <c r="AE186" s="233" t="str">
        <f t="shared" si="88"/>
        <v>aws s3 cp s3://rtdc.mdm.uploadarchive.raw/RTDC4002/ "%USERPROFILE%\AppData\Local\Temp\OnboardLogs"\RTDC4002\2017-12-15 --exclude "*" --recursive --include "*20171215*" &amp; "%USERPROFILE%\Documents\GitHub\mrs-test-scripts\Headless Mode &amp; Sideloading\WalkAndUnGZ.bat" "%USERPROFILE%\AppData\Local\Temp\OnboardLogs"\RTDC4002\2017-12-15 &amp; aws s3 cp s3://rtdc.mdm.uploadarchive.raw/RTDC4002/ "%USERPROFILE%\AppData\Local\Temp\OnboardLogs"\RTDC4002\2017-12-16 --exclude "*" --recursive --include "*20171216*" &amp; "%USERPROFILE%\Documents\GitHub\mrs-test-scripts\Headless Mode &amp; Sideloading\WalkAndUnGZ.bat" "%USERPROFILE%\AppData\Local\Temp\OnboardLogs"\RTDC4002\2017-12-16</v>
      </c>
      <c r="AF186" s="234" t="str">
        <f t="shared" si="89"/>
        <v>"C:\Program Files (x86)\AstroGrep\AstroGrep.exe" /e /r /s /spath="%USERPROFILE%\AppData\Local\Temp\OnboardLogs" /stypes="app*4002*20171215*" /stext=" 21:.+((SYSTEM_STATE.+slice.+state.+changed )|(ment ac)|(multiple cpu faults)|(system.+state.+changed )|(\[timeout)|(PRM\|1\|D)|(kpr)|(kdp)|(train st.+moving)|(\|lc)|(penalty))"</v>
      </c>
      <c r="AG186" s="226" t="str">
        <f t="shared" si="118"/>
        <v>NW</v>
      </c>
      <c r="AH186" s="189" t="str">
        <f t="shared" si="91"/>
        <v>"%USERPROFILE%\Documents\GitHub\eaglep3\Utilities\RefineRTDCRunTimes.py" --tripid 823-15 --locoid 4002 --swversion DE.1.0.9.0 --startMP 204:441 --initTime 2017-12-15T13:58:34 --startdatetime 2017-12-15T14:09:37 --delay 55 --endMP 300:58941 --enddatetime 2017-12-15T14:25:21 --enforcementcount 0 &gt;&gt;%USERPROFILE%\Documents\GitHub\eaglep3-reporting\EC\2017-12-15-refined-times.txt</v>
      </c>
      <c r="AI186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{"issue":{"subject":"","project_id":79,"tracker_id":40,"status_id":1,"priority_id":2,"assigned_to_id":338,"start_date":"2017-12-15","description":"","custom_fields":[{"id":1,"name":"Subdivision","value":"NW"},{"id":4,"name":"Milepost","value":"5.8941"},{"id":17,"name":"Train ID","value":"823-15"},{"id":16,"name":"Locomotive ID","value":"4002"},{"id":130,"name":"Impact","value":""},{"id":150,"name":"Time of Event (Mountain Time)","value":"14:25:21"},{"id":151,"name":"Denver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188"/>
      <c r="AL186" s="188"/>
      <c r="AM186" s="193" t="str">
        <f t="shared" si="93"/>
        <v>start /low /b %USERPROFILE%\Documents\GitHub\eaglep3\Utilities\DownloadLogsFromS3.py --loco 4002 --day 2017-12-15</v>
      </c>
      <c r="AN186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21:25:21"},{"id":29,"name":"Sharepoint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87" t="str">
        <f t="shared" si="95"/>
        <v>https://d0f6bd738d7f1b3e5a7ca70fe4ff75f0.us-east-1.aws.found.io/app/kibana#/discover/Steve-Slow-Train-Analysis-(2080s-and-2083s)?_g=(refreshInterval:(display:Off,pause:!f,section:0,value:0),time:(from:'2017-12-15T12:58:34-0700',mode:absolute,to:'2017-12-15T15:25:21-0700'))&amp;_a=(columns:!('Message%20ID',Summary),filters:!(),index:'emp_*',interval:auto,query:(query_string:(analyze_wildcard:!t,query:'%22rtdc.l.rtdc.4002%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186" t="s">
        <v>662</v>
      </c>
      <c r="B187" s="182">
        <v>4001</v>
      </c>
      <c r="C187" s="184" t="s">
        <v>192</v>
      </c>
      <c r="D187" s="184" t="s">
        <v>1057</v>
      </c>
      <c r="E187" s="183">
        <v>43084.603402777779</v>
      </c>
      <c r="F187" s="183">
        <v>43084.612500000003</v>
      </c>
      <c r="G187" s="182">
        <v>52</v>
      </c>
      <c r="H187" s="184" t="s">
        <v>1058</v>
      </c>
      <c r="I187" s="183">
        <v>43084.621493055558</v>
      </c>
      <c r="J187" s="182">
        <v>0</v>
      </c>
      <c r="K187" s="190" t="str">
        <f t="shared" si="113"/>
        <v>4001/4002</v>
      </c>
      <c r="L187" s="196" t="str">
        <f>VLOOKUP(A187,'Trips&amp;Operators'!$C$1:$G$99911,5,FALSE)</f>
        <v>WEST BRYAN</v>
      </c>
      <c r="M187" s="181">
        <f t="shared" si="114"/>
        <v>8.9930555550381541E-3</v>
      </c>
      <c r="N187" s="182">
        <f t="shared" si="121"/>
        <v>12.949999999254942</v>
      </c>
      <c r="O187" s="182"/>
      <c r="P187" s="182"/>
      <c r="Q187" s="185"/>
      <c r="R187" s="197"/>
      <c r="S187" s="241">
        <f t="shared" si="122"/>
        <v>1</v>
      </c>
      <c r="T187" s="220" t="str">
        <f t="shared" si="115"/>
        <v>Southbound</v>
      </c>
      <c r="U187" s="22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21" t="str">
        <f t="shared" si="85"/>
        <v>https://d0f6bd738d7f1b3e5a7ca70fe4ff75f0.us-east-1.aws.found.io/app/kibana#/discover/Steve-Slow-Train-Analysis-(2080s-and-2083s)?_g=(refreshInterval:(display:Off,pause:!f,section:0,value:0),time:(from:'2017-12-15T13:28:54-0700',mode:absolute,to:'2017-12-15T15:54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7" s="222" t="str">
        <f>IF(AA187&lt;VLOOKUP(AG187,Variables!$AC$3:$AD$8,2,FALSE),"Y","N")</f>
        <v>N</v>
      </c>
      <c r="X187" s="222">
        <f t="shared" si="112"/>
        <v>1</v>
      </c>
      <c r="Y187" s="222">
        <f t="shared" si="119"/>
        <v>5.8625999999999996</v>
      </c>
      <c r="Z187" s="222">
        <f t="shared" si="120"/>
        <v>0.1002</v>
      </c>
      <c r="AA187" s="222">
        <f t="shared" si="116"/>
        <v>5.7623999999999995</v>
      </c>
      <c r="AB187" s="231" t="e">
        <f>VLOOKUP(A187,Enforcements!$C$7:$K$9,8,0)</f>
        <v>#N/A</v>
      </c>
      <c r="AC187" s="231" t="e">
        <f>VLOOKUP(A187,Enforcements!$C$7:$E$9,3,0)</f>
        <v>#N/A</v>
      </c>
      <c r="AD187" s="232">
        <f t="shared" si="117"/>
        <v>824</v>
      </c>
      <c r="AE187" s="233" t="str">
        <f t="shared" si="88"/>
        <v>aws s3 cp s3://rtdc.mdm.uploadarchive.raw/RTDC4001/ "%USERPROFILE%\AppData\Local\Temp\OnboardLogs"\RTDC4001\2017-12-15 --exclude "*" --recursive --include "*20171215*" &amp; "%USERPROFILE%\Documents\GitHub\mrs-test-scripts\Headless Mode &amp; Sideloading\WalkAndUnGZ.bat" "%USERPROFILE%\AppData\Local\Temp\OnboardLogs"\RTDC4001\2017-12-15 &amp; aws s3 cp s3://rtdc.mdm.uploadarchive.raw/RTDC4001/ "%USERPROFILE%\AppData\Local\Temp\OnboardLogs"\RTDC4001\2017-12-16 --exclude "*" --recursive --include "*20171216*" &amp; "%USERPROFILE%\Documents\GitHub\mrs-test-scripts\Headless Mode &amp; Sideloading\WalkAndUnGZ.bat" "%USERPROFILE%\AppData\Local\Temp\OnboardLogs"\RTDC4001\2017-12-16</v>
      </c>
      <c r="AF187" s="234" t="str">
        <f t="shared" si="89"/>
        <v>"C:\Program Files (x86)\AstroGrep\AstroGrep.exe" /e /r /s /spath="%USERPROFILE%\AppData\Local\Temp\OnboardLogs" /stypes="app*4001*20171215*" /stext=" 21:.+((SYSTEM_STATE.+slice.+state.+changed )|(ment ac)|(multiple cpu faults)|(system.+state.+changed )|(\[timeout)|(PRM\|1\|D)|(kpr)|(kdp)|(train st.+moving)|(\|lc)|(penalty))"</v>
      </c>
      <c r="AG187" s="226" t="str">
        <f t="shared" si="118"/>
        <v>NW</v>
      </c>
      <c r="AH187" s="189" t="str">
        <f t="shared" si="91"/>
        <v>"%USERPROFILE%\Documents\GitHub\eaglep3\Utilities\RefineRTDCRunTimes.py" --tripid 824-15 --locoid 4001 --swversion DE.1.0.9.0 --startMP 300:58626 --initTime 2017-12-15T14:28:54 --startdatetime 2017-12-15T14:42:00 --delay 52 --endMP 204:1002 --enddatetime 2017-12-15T14:54:57 --enforcementcount 0 &gt;&gt;%USERPROFILE%\Documents\GitHub\eaglep3-reporting\EC\2017-12-15-refined-times.txt</v>
      </c>
      <c r="AI187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{"issue":{"subject":"","project_id":79,"tracker_id":40,"status_id":1,"priority_id":2,"assigned_to_id":338,"start_date":"2017-12-15","description":"","custom_fields":[{"id":1,"name":"Subdivision","value":"NW"},{"id":4,"name":"Milepost","value":"0.1002"},{"id":17,"name":"Train ID","value":"824-15"},{"id":16,"name":"Locomotive ID","value":"4001"},{"id":130,"name":"Impact","value":""},{"id":150,"name":"Time of Event (Mountain Time)","value":"14:54:57"},{"id":151,"name":"Denver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180"/>
      <c r="AK187" s="188"/>
      <c r="AL187" s="188"/>
      <c r="AM187" s="193" t="str">
        <f t="shared" si="93"/>
        <v>start /low /b %USERPROFILE%\Documents\GitHub\eaglep3\Utilities\DownloadLogsFromS3.py --loco 4001 --day 2017-12-15</v>
      </c>
      <c r="AN187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21:54:57"},{"id":29,"name":"Sharepoint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87" t="str">
        <f t="shared" si="95"/>
        <v>https://d0f6bd738d7f1b3e5a7ca70fe4ff75f0.us-east-1.aws.found.io/app/kibana#/discover/Steve-Slow-Train-Analysis-(2080s-and-2083s)?_g=(refreshInterval:(display:Off,pause:!f,section:0,value:0),time:(from:'2017-12-15T13:28:54-0700',mode:absolute,to:'2017-12-15T15:54:57-0700'))&amp;_a=(columns:!('Message%20ID',Summary),filters:!(),index:'emp_*',interval:auto,query:(query_string:(analyze_wildcard:!t,query:'%22rtdc.l.rtdc.4001%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186" t="s">
        <v>664</v>
      </c>
      <c r="B188" s="182">
        <v>4050</v>
      </c>
      <c r="C188" s="184" t="s">
        <v>192</v>
      </c>
      <c r="D188" s="184" t="s">
        <v>641</v>
      </c>
      <c r="E188" s="183">
        <v>43084.62909722222</v>
      </c>
      <c r="F188" s="183">
        <v>43084.631747685184</v>
      </c>
      <c r="G188" s="182">
        <v>62</v>
      </c>
      <c r="H188" s="184" t="s">
        <v>1050</v>
      </c>
      <c r="I188" s="183">
        <v>43084.642453703702</v>
      </c>
      <c r="J188" s="182">
        <v>1</v>
      </c>
      <c r="K188" s="190" t="str">
        <f t="shared" si="113"/>
        <v>4049/4050</v>
      </c>
      <c r="L188" s="196" t="str">
        <f>VLOOKUP(A188,'Trips&amp;Operators'!$C$1:$G$99911,5,FALSE)</f>
        <v>WEST BRYAN</v>
      </c>
      <c r="M188" s="181">
        <f t="shared" si="114"/>
        <v>1.0706018518249039E-2</v>
      </c>
      <c r="N188" s="182">
        <f t="shared" si="121"/>
        <v>15.416666666278616</v>
      </c>
      <c r="O188" s="182"/>
      <c r="P188" s="182"/>
      <c r="Q188" s="185"/>
      <c r="R188" s="197"/>
      <c r="S188" s="241">
        <f t="shared" si="122"/>
        <v>1</v>
      </c>
      <c r="T188" s="220" t="str">
        <f t="shared" si="115"/>
        <v>NorthBound</v>
      </c>
      <c r="U188" s="22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21" t="str">
        <f t="shared" si="85"/>
        <v>https://d0f6bd738d7f1b3e5a7ca70fe4ff75f0.us-east-1.aws.found.io/app/kibana#/discover/Steve-Slow-Train-Analysis-(2080s-and-2083s)?_g=(refreshInterval:(display:Off,pause:!f,section:0,value:0),time:(from:'2017-12-15T14:05:54-0700',mode:absolute,to:'2017-12-15T16:25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8" s="222" t="str">
        <f>IF(AA188&lt;VLOOKUP(AG188,Variables!$AC$3:$AD$8,2,FALSE),"Y","N")</f>
        <v>N</v>
      </c>
      <c r="X188" s="222">
        <f t="shared" si="112"/>
        <v>1</v>
      </c>
      <c r="Y188" s="222">
        <f t="shared" si="119"/>
        <v>4.2999999999999997E-2</v>
      </c>
      <c r="Z188" s="222">
        <f t="shared" si="120"/>
        <v>5.8940999999999999</v>
      </c>
      <c r="AA188" s="222">
        <f t="shared" si="116"/>
        <v>5.8510999999999997</v>
      </c>
      <c r="AB188" s="231" t="e">
        <f>VLOOKUP(A188,Enforcements!$C$7:$K$9,8,0)</f>
        <v>#N/A</v>
      </c>
      <c r="AC188" s="231" t="e">
        <f>VLOOKUP(A188,Enforcements!$C$7:$E$9,3,0)</f>
        <v>#N/A</v>
      </c>
      <c r="AD188" s="232">
        <f t="shared" si="117"/>
        <v>825</v>
      </c>
      <c r="AE188" s="233" t="str">
        <f t="shared" si="88"/>
        <v>aws s3 cp s3://rtdc.mdm.uploadarchive.raw/RTDC4050/ "%USERPROFILE%\AppData\Local\Temp\OnboardLogs"\RTDC4050\2017-12-15 --exclude "*" --recursive --include "*20171215*" &amp; "%USERPROFILE%\Documents\GitHub\mrs-test-scripts\Headless Mode &amp; Sideloading\WalkAndUnGZ.bat" "%USERPROFILE%\AppData\Local\Temp\OnboardLogs"\RTDC4050\2017-12-15 &amp; 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</v>
      </c>
      <c r="AF188" s="234" t="str">
        <f t="shared" si="89"/>
        <v>"C:\Program Files (x86)\AstroGrep\AstroGrep.exe" /e /r /s /spath="%USERPROFILE%\AppData\Local\Temp\OnboardLogs" /stypes="app*4050*20171215*" /stext=" 22:.+((SYSTEM_STATE.+slice.+state.+changed )|(ment ac)|(multiple cpu faults)|(system.+state.+changed )|(\[timeout)|(PRM\|1\|D)|(kpr)|(kdp)|(train st.+moving)|(\|lc)|(penalty))"</v>
      </c>
      <c r="AG188" s="226" t="str">
        <f t="shared" si="118"/>
        <v>NW</v>
      </c>
      <c r="AH188" s="189" t="str">
        <f t="shared" si="91"/>
        <v>"%USERPROFILE%\Documents\GitHub\eaglep3\Utilities\RefineRTDCRunTimes.py" --tripid 825-15 --locoid 4050 --swversion DE.1.0.9.0 --startMP 204:430 --initTime 2017-12-15T15:05:54 --startdatetime 2017-12-15T15:09:43 --delay 62 --endMP 300:58941 --enddatetime 2017-12-15T15:25:08 --enforcementcount 1 &gt;&gt;%USERPROFILE%\Documents\GitHub\eaglep3-reporting\EC\2017-12-15-refined-times.txt</v>
      </c>
      <c r="AI188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{"issue":{"subject":"","project_id":79,"tracker_id":40,"status_id":1,"priority_id":2,"assigned_to_id":338,"start_date":"2017-12-15","description":"","custom_fields":[{"id":1,"name":"Subdivision","value":"NW"},{"id":4,"name":"Milepost","value":"5.8941"},{"id":17,"name":"Train ID","value":"825-15"},{"id":16,"name":"Locomotive ID","value":"4050"},{"id":130,"name":"Impact","value":""},{"id":150,"name":"Time of Event (Mountain Time)","value":"15:25:08"},{"id":151,"name":"Denver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180"/>
      <c r="AK188" s="188"/>
      <c r="AL188" s="188"/>
      <c r="AM188" s="193" t="str">
        <f t="shared" si="93"/>
        <v>start /low /b %USERPROFILE%\Documents\GitHub\eaglep3\Utilities\DownloadLogsFromS3.py --loco 4050 --day 2017-12-15</v>
      </c>
      <c r="AN188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22:25:08"},{"id":29,"name":"Sharepoint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87" t="str">
        <f t="shared" si="95"/>
        <v>https://d0f6bd738d7f1b3e5a7ca70fe4ff75f0.us-east-1.aws.found.io/app/kibana#/discover/Steve-Slow-Train-Analysis-(2080s-and-2083s)?_g=(refreshInterval:(display:Off,pause:!f,section:0,value:0),time:(from:'2017-12-15T14:05:54-0700',mode:absolute,to:'2017-12-15T16:25:08-0700'))&amp;_a=(columns:!('Message%20ID',Summary),filters:!(),index:'emp_*',interval:auto,query:(query_string:(analyze_wildcard:!t,query:'%22rtdc.l.rtdc.4050%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186" t="s">
        <v>807</v>
      </c>
      <c r="B189" s="182">
        <v>4049</v>
      </c>
      <c r="C189" s="184" t="s">
        <v>192</v>
      </c>
      <c r="D189" s="184" t="s">
        <v>1057</v>
      </c>
      <c r="E189" s="183">
        <v>43084.648240740738</v>
      </c>
      <c r="F189" s="183">
        <v>43084.654166666667</v>
      </c>
      <c r="G189" s="182">
        <v>61</v>
      </c>
      <c r="H189" s="184" t="s">
        <v>1093</v>
      </c>
      <c r="I189" s="183">
        <v>43084.663993055554</v>
      </c>
      <c r="J189" s="182">
        <v>0</v>
      </c>
      <c r="K189" s="190" t="str">
        <f t="shared" si="113"/>
        <v>4049/4050</v>
      </c>
      <c r="L189" s="196" t="str">
        <f>VLOOKUP(A189,'Trips&amp;Operators'!$C$1:$G$99911,5,FALSE)</f>
        <v>WEST BRYAN</v>
      </c>
      <c r="M189" s="181">
        <f t="shared" si="114"/>
        <v>9.8263888867222704E-3</v>
      </c>
      <c r="N189" s="182">
        <f t="shared" si="121"/>
        <v>14.149999996880069</v>
      </c>
      <c r="O189" s="182"/>
      <c r="P189" s="182"/>
      <c r="Q189" s="185"/>
      <c r="R189" s="197"/>
      <c r="S189" s="241">
        <f t="shared" si="122"/>
        <v>1</v>
      </c>
      <c r="T189" s="220" t="str">
        <f t="shared" si="115"/>
        <v>Southbound</v>
      </c>
      <c r="U189" s="22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21" t="str">
        <f t="shared" si="85"/>
        <v>https://d0f6bd738d7f1b3e5a7ca70fe4ff75f0.us-east-1.aws.found.io/app/kibana#/discover/Steve-Slow-Train-Analysis-(2080s-and-2083s)?_g=(refreshInterval:(display:Off,pause:!f,section:0,value:0),time:(from:'2017-12-15T14:33:28-0700',mode:absolute,to:'2017-12-15T16:56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9" s="222" t="str">
        <f>IF(AA189&lt;VLOOKUP(AG189,Variables!$AC$3:$AD$8,2,FALSE),"Y","N")</f>
        <v>N</v>
      </c>
      <c r="X189" s="222">
        <f t="shared" si="112"/>
        <v>1</v>
      </c>
      <c r="Y189" s="222">
        <f t="shared" si="119"/>
        <v>5.8625999999999996</v>
      </c>
      <c r="Z189" s="222">
        <f t="shared" si="120"/>
        <v>1.3100000000000001E-2</v>
      </c>
      <c r="AA189" s="222">
        <f t="shared" si="116"/>
        <v>5.8494999999999999</v>
      </c>
      <c r="AB189" s="231" t="e">
        <f>VLOOKUP(A189,Enforcements!$C$7:$K$9,8,0)</f>
        <v>#N/A</v>
      </c>
      <c r="AC189" s="231" t="e">
        <f>VLOOKUP(A189,Enforcements!$C$7:$E$9,3,0)</f>
        <v>#N/A</v>
      </c>
      <c r="AD189" s="232">
        <f t="shared" si="117"/>
        <v>826</v>
      </c>
      <c r="AE189" s="233" t="str">
        <f t="shared" si="88"/>
        <v>aws s3 cp s3://rtdc.mdm.uploadarchive.raw/RTDC4049/ "%USERPROFILE%\AppData\Local\Temp\OnboardLogs"\RTDC4049\2017-12-15 --exclude "*" --recursive --include "*20171215*" &amp; "%USERPROFILE%\Documents\GitHub\mrs-test-scripts\Headless Mode &amp; Sideloading\WalkAndUnGZ.bat" "%USERPROFILE%\AppData\Local\Temp\OnboardLogs"\RTDC4049\2017-12-15 &amp; 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</v>
      </c>
      <c r="AF189" s="234" t="str">
        <f t="shared" si="89"/>
        <v>"C:\Program Files (x86)\AstroGrep\AstroGrep.exe" /e /r /s /spath="%USERPROFILE%\AppData\Local\Temp\OnboardLogs" /stypes="app*4049*20171215*" /stext=" 22:.+((SYSTEM_STATE.+slice.+state.+changed )|(ment ac)|(multiple cpu faults)|(system.+state.+changed )|(\[timeout)|(PRM\|1\|D)|(kpr)|(kdp)|(train st.+moving)|(\|lc)|(penalty))"</v>
      </c>
      <c r="AG189" s="226" t="str">
        <f t="shared" si="118"/>
        <v>NW</v>
      </c>
      <c r="AH189" s="189" t="str">
        <f t="shared" si="91"/>
        <v>"%USERPROFILE%\Documents\GitHub\eaglep3\Utilities\RefineRTDCRunTimes.py" --tripid 826-15 --locoid 4049 --swversion DE.1.0.9.0 --startMP 300:58626 --initTime 2017-12-15T15:33:28 --startdatetime 2017-12-15T15:42:00 --delay 61 --endMP 204:131 --enddatetime 2017-12-15T15:56:09 --enforcementcount 0 &gt;&gt;%USERPROFILE%\Documents\GitHub\eaglep3-reporting\EC\2017-12-15-refined-times.txt</v>
      </c>
      <c r="AI189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{"issue":{"subject":"","project_id":79,"tracker_id":40,"status_id":1,"priority_id":2,"assigned_to_id":338,"start_date":"2017-12-15","description":"","custom_fields":[{"id":1,"name":"Subdivision","value":"NW"},{"id":4,"name":"Milepost","value":"0.0131"},{"id":17,"name":"Train ID","value":"826-15"},{"id":16,"name":"Locomotive ID","value":"4049"},{"id":130,"name":"Impact","value":""},{"id":150,"name":"Time of Event (Mountain Time)","value":"15:56:09"},{"id":151,"name":"Denver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180"/>
      <c r="AK189" s="188"/>
      <c r="AL189" s="188"/>
      <c r="AM189" s="193" t="str">
        <f t="shared" si="93"/>
        <v>start /low /b %USERPROFILE%\Documents\GitHub\eaglep3\Utilities\DownloadLogsFromS3.py --loco 4049 --day 2017-12-15</v>
      </c>
      <c r="AN189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22:56:09"},{"id":29,"name":"Sharepoint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87" t="str">
        <f t="shared" si="95"/>
        <v>https://d0f6bd738d7f1b3e5a7ca70fe4ff75f0.us-east-1.aws.found.io/app/kibana#/discover/Steve-Slow-Train-Analysis-(2080s-and-2083s)?_g=(refreshInterval:(display:Off,pause:!f,section:0,value:0),time:(from:'2017-12-15T14:33:28-0700',mode:absolute,to:'2017-12-15T16:56:09-0700'))&amp;_a=(columns:!('Message%20ID',Summary),filters:!(),index:'emp_*',interval:auto,query:(query_string:(analyze_wildcard:!t,query:'%22rtdc.l.rtdc.4049%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186" t="s">
        <v>806</v>
      </c>
      <c r="B190" s="182">
        <v>4008</v>
      </c>
      <c r="C190" s="184" t="s">
        <v>192</v>
      </c>
      <c r="D190" s="184" t="s">
        <v>1056</v>
      </c>
      <c r="E190" s="183">
        <v>43084.648043981484</v>
      </c>
      <c r="F190" s="183">
        <v>43084.675000000003</v>
      </c>
      <c r="G190" s="182">
        <v>64</v>
      </c>
      <c r="H190" s="184" t="s">
        <v>535</v>
      </c>
      <c r="I190" s="183">
        <v>43084.684583333335</v>
      </c>
      <c r="J190" s="182">
        <v>0</v>
      </c>
      <c r="K190" s="190" t="str">
        <f t="shared" si="113"/>
        <v>4007/4008</v>
      </c>
      <c r="L190" s="196" t="str">
        <f>VLOOKUP(A190,'Trips&amp;Operators'!$C$1:$G$99911,5,FALSE)</f>
        <v>LORI SANTOS</v>
      </c>
      <c r="M190" s="181">
        <f t="shared" si="114"/>
        <v>9.5833333325572312E-3</v>
      </c>
      <c r="N190" s="182">
        <f t="shared" si="121"/>
        <v>13.799999998882413</v>
      </c>
      <c r="O190" s="182"/>
      <c r="P190" s="182"/>
      <c r="Q190" s="185"/>
      <c r="R190" s="197"/>
      <c r="S190" s="241">
        <f t="shared" si="122"/>
        <v>1</v>
      </c>
      <c r="T190" s="220" t="str">
        <f t="shared" si="115"/>
        <v>NorthBound</v>
      </c>
      <c r="U190" s="22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21" t="str">
        <f t="shared" si="85"/>
        <v>https://d0f6bd738d7f1b3e5a7ca70fe4ff75f0.us-east-1.aws.found.io/app/kibana#/discover/Steve-Slow-Train-Analysis-(2080s-and-2083s)?_g=(refreshInterval:(display:Off,pause:!f,section:0,value:0),time:(from:'2017-12-15T14:33:11-0700',mode:absolute,to:'2017-12-15T17:25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0" s="222" t="str">
        <f>IF(AA190&lt;VLOOKUP(AG190,Variables!$AC$3:$AD$8,2,FALSE),"Y","N")</f>
        <v>N</v>
      </c>
      <c r="X190" s="222">
        <f t="shared" si="112"/>
        <v>1</v>
      </c>
      <c r="Y190" s="222">
        <f t="shared" si="119"/>
        <v>4.41E-2</v>
      </c>
      <c r="Z190" s="222">
        <f t="shared" si="120"/>
        <v>5.8948</v>
      </c>
      <c r="AA190" s="222">
        <f t="shared" si="116"/>
        <v>5.8506999999999998</v>
      </c>
      <c r="AB190" s="231" t="e">
        <f>VLOOKUP(A190,Enforcements!$C$7:$K$9,8,0)</f>
        <v>#N/A</v>
      </c>
      <c r="AC190" s="231" t="e">
        <f>VLOOKUP(A190,Enforcements!$C$7:$E$9,3,0)</f>
        <v>#N/A</v>
      </c>
      <c r="AD190" s="232">
        <f t="shared" si="117"/>
        <v>827</v>
      </c>
      <c r="AE190" s="233" t="str">
        <f t="shared" si="88"/>
        <v>aws s3 cp s3://rtdc.mdm.uploadarchive.raw/RTDC4008/ "%USERPROFILE%\AppData\Local\Temp\OnboardLogs"\RTDC4008\2017-12-15 --exclude "*" --recursive --include "*20171215*" &amp; "%USERPROFILE%\Documents\GitHub\mrs-test-scripts\Headless Mode &amp; Sideloading\WalkAndUnGZ.bat" "%USERPROFILE%\AppData\Local\Temp\OnboardLogs"\RTDC4008\2017-12-15 &amp; aws s3 cp s3://rtdc.mdm.uploadarchive.raw/RTDC4008/ "%USERPROFILE%\AppData\Local\Temp\OnboardLogs"\RTDC4008\2017-12-16 --exclude "*" --recursive --include "*20171216*" &amp; "%USERPROFILE%\Documents\GitHub\mrs-test-scripts\Headless Mode &amp; Sideloading\WalkAndUnGZ.bat" "%USERPROFILE%\AppData\Local\Temp\OnboardLogs"\RTDC4008\2017-12-16</v>
      </c>
      <c r="AF190" s="234" t="str">
        <f t="shared" si="89"/>
        <v>"C:\Program Files (x86)\AstroGrep\AstroGrep.exe" /e /r /s /spath="%USERPROFILE%\AppData\Local\Temp\OnboardLogs" /stypes="app*4008*20171215*" /stext=" 23:.+((SYSTEM_STATE.+slice.+state.+changed )|(ment ac)|(multiple cpu faults)|(system.+state.+changed )|(\[timeout)|(PRM\|1\|D)|(kpr)|(kdp)|(train st.+moving)|(\|lc)|(penalty))"</v>
      </c>
      <c r="AG190" s="226" t="str">
        <f t="shared" si="118"/>
        <v>NW</v>
      </c>
      <c r="AH190" s="189" t="str">
        <f t="shared" si="91"/>
        <v>"%USERPROFILE%\Documents\GitHub\eaglep3\Utilities\RefineRTDCRunTimes.py" --tripid 827-15 --locoid 4008 --swversion DE.1.0.9.0 --startMP 204:441 --initTime 2017-12-15T15:33:11 --startdatetime 2017-12-15T16:12:00 --delay 64 --endMP 300:58948 --enddatetime 2017-12-15T16:25:48 --enforcementcount 0 &gt;&gt;%USERPROFILE%\Documents\GitHub\eaglep3-reporting\EC\2017-12-15-refined-times.txt</v>
      </c>
      <c r="AI190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{"issue":{"subject":"","project_id":79,"tracker_id":40,"status_id":1,"priority_id":2,"assigned_to_id":338,"start_date":"2017-12-15","description":"","custom_fields":[{"id":1,"name":"Subdivision","value":"NW"},{"id":4,"name":"Milepost","value":"5.8948"},{"id":17,"name":"Train ID","value":"827-15"},{"id":16,"name":"Locomotive ID","value":"4008"},{"id":130,"name":"Impact","value":""},{"id":150,"name":"Time of Event (Mountain Time)","value":"16:25:48"},{"id":151,"name":"Denver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180"/>
      <c r="AK190" s="188"/>
      <c r="AL190" s="188"/>
      <c r="AM190" s="193" t="str">
        <f t="shared" si="93"/>
        <v>start /low /b %USERPROFILE%\Documents\GitHub\eaglep3\Utilities\DownloadLogsFromS3.py --loco 4008 --day 2017-12-15</v>
      </c>
      <c r="AN190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23:25:48"},{"id":29,"name":"Sharepoint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87" t="str">
        <f t="shared" si="95"/>
        <v>https://d0f6bd738d7f1b3e5a7ca70fe4ff75f0.us-east-1.aws.found.io/app/kibana#/discover/Steve-Slow-Train-Analysis-(2080s-and-2083s)?_g=(refreshInterval:(display:Off,pause:!f,section:0,value:0),time:(from:'2017-12-15T14:33:11-0700',mode:absolute,to:'2017-12-15T17:25:48-0700'))&amp;_a=(columns:!('Message%20ID',Summary),filters:!(),index:'emp_*',interval:auto,query:(query_string:(analyze_wildcard:!t,query:'%22rtdc.l.rtdc.4008%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180" customFormat="1" x14ac:dyDescent="0.25">
      <c r="A191" s="186" t="s">
        <v>811</v>
      </c>
      <c r="B191" s="182">
        <v>4007</v>
      </c>
      <c r="C191" s="184" t="s">
        <v>192</v>
      </c>
      <c r="D191" s="184" t="s">
        <v>1038</v>
      </c>
      <c r="E191" s="183">
        <v>43084.664976851855</v>
      </c>
      <c r="F191" s="183">
        <v>43084.675000000003</v>
      </c>
      <c r="G191" s="182">
        <v>56</v>
      </c>
      <c r="H191" s="184" t="s">
        <v>1059</v>
      </c>
      <c r="I191" s="183">
        <v>43084.684583333335</v>
      </c>
      <c r="J191" s="182">
        <v>0</v>
      </c>
      <c r="K191" s="190" t="str">
        <f t="shared" si="113"/>
        <v>4007/4008</v>
      </c>
      <c r="L191" s="196" t="str">
        <f>VLOOKUP(A191,'Trips&amp;Operators'!$C$1:$G$99911,5,FALSE)</f>
        <v>LORI SANTOS</v>
      </c>
      <c r="M191" s="181">
        <f t="shared" si="114"/>
        <v>9.5833333325572312E-3</v>
      </c>
      <c r="N191" s="182">
        <f t="shared" si="121"/>
        <v>13.799999998882413</v>
      </c>
      <c r="O191" s="182"/>
      <c r="P191" s="182"/>
      <c r="Q191" s="185"/>
      <c r="R191" s="197"/>
      <c r="S191" s="241">
        <f t="shared" si="122"/>
        <v>1</v>
      </c>
      <c r="T191" s="220" t="str">
        <f t="shared" si="115"/>
        <v>Southbound</v>
      </c>
      <c r="U191" s="22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21" t="str">
        <f t="shared" si="85"/>
        <v>https://d0f6bd738d7f1b3e5a7ca70fe4ff75f0.us-east-1.aws.found.io/app/kibana#/discover/Steve-Slow-Train-Analysis-(2080s-and-2083s)?_g=(refreshInterval:(display:Off,pause:!f,section:0,value:0),time:(from:'2017-12-15T14:57:34-0700',mode:absolute,to:'2017-12-15T17:25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1" s="222" t="str">
        <f>IF(AA191&lt;VLOOKUP(AG191,Variables!$AC$3:$AD$8,2,FALSE),"Y","N")</f>
        <v>N</v>
      </c>
      <c r="X191" s="222">
        <f t="shared" si="112"/>
        <v>1</v>
      </c>
      <c r="Y191" s="222">
        <f t="shared" si="119"/>
        <v>5.8635999999999999</v>
      </c>
      <c r="Z191" s="222">
        <f t="shared" si="120"/>
        <v>1.44E-2</v>
      </c>
      <c r="AA191" s="222">
        <f t="shared" si="116"/>
        <v>5.8491999999999997</v>
      </c>
      <c r="AB191" s="231" t="e">
        <f>VLOOKUP(A191,Enforcements!$C$7:$K$9,8,0)</f>
        <v>#N/A</v>
      </c>
      <c r="AC191" s="231" t="e">
        <f>VLOOKUP(A191,Enforcements!$C$7:$E$9,3,0)</f>
        <v>#N/A</v>
      </c>
      <c r="AD191" s="232">
        <f t="shared" si="117"/>
        <v>828</v>
      </c>
      <c r="AE191" s="233" t="str">
        <f t="shared" si="88"/>
        <v>aws s3 cp s3://rtdc.mdm.uploadarchive.raw/RTDC4007/ "%USERPROFILE%\AppData\Local\Temp\OnboardLogs"\RTDC4007\2017-12-15 --exclude "*" --recursive --include "*20171215*" &amp; "%USERPROFILE%\Documents\GitHub\mrs-test-scripts\Headless Mode &amp; Sideloading\WalkAndUnGZ.bat" "%USERPROFILE%\AppData\Local\Temp\OnboardLogs"\RTDC4007\2017-12-15 &amp; aws s3 cp s3://rtdc.mdm.uploadarchive.raw/RTDC4007/ "%USERPROFILE%\AppData\Local\Temp\OnboardLogs"\RTDC4007\2017-12-16 --exclude "*" --recursive --include "*20171216*" &amp; "%USERPROFILE%\Documents\GitHub\mrs-test-scripts\Headless Mode &amp; Sideloading\WalkAndUnGZ.bat" "%USERPROFILE%\AppData\Local\Temp\OnboardLogs"\RTDC4007\2017-12-16</v>
      </c>
      <c r="AF191" s="234" t="str">
        <f t="shared" si="89"/>
        <v>"C:\Program Files (x86)\AstroGrep\AstroGrep.exe" /e /r /s /spath="%USERPROFILE%\AppData\Local\Temp\OnboardLogs" /stypes="app*4007*20171215*" /stext=" 23:.+((SYSTEM_STATE.+slice.+state.+changed )|(ment ac)|(multiple cpu faults)|(system.+state.+changed )|(\[timeout)|(PRM\|1\|D)|(kpr)|(kdp)|(train st.+moving)|(\|lc)|(penalty))"</v>
      </c>
      <c r="AG191" s="226" t="str">
        <f t="shared" si="118"/>
        <v>NW</v>
      </c>
      <c r="AH191" s="189" t="str">
        <f t="shared" si="91"/>
        <v>"%USERPROFILE%\Documents\GitHub\eaglep3\Utilities\RefineRTDCRunTimes.py" --tripid 828-15 --locoid 4007 --swversion DE.1.0.9.0 --startMP 300:58636 --initTime 2017-12-15T15:57:34 --startdatetime 2017-12-15T16:12:00 --delay 56 --endMP 204:144 --enddatetime 2017-12-15T16:25:48 --enforcementcount 0 &gt;&gt;%USERPROFILE%\Documents\GitHub\eaglep3-reporting\EC\2017-12-15-refined-times.txt</v>
      </c>
      <c r="AI191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{"issue":{"subject":"","project_id":79,"tracker_id":40,"status_id":1,"priority_id":2,"assigned_to_id":338,"start_date":"2017-12-15","description":"","custom_fields":[{"id":1,"name":"Subdivision","value":"NW"},{"id":4,"name":"Milepost","value":"0.0144"},{"id":17,"name":"Train ID","value":"828-15"},{"id":16,"name":"Locomotive ID","value":"4007"},{"id":130,"name":"Impact","value":""},{"id":150,"name":"Time of Event (Mountain Time)","value":"16:25:48"},{"id":151,"name":"Denver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188"/>
      <c r="AL191" s="188"/>
      <c r="AM191" s="193" t="str">
        <f t="shared" si="93"/>
        <v>start /low /b %USERPROFILE%\Documents\GitHub\eaglep3\Utilities\DownloadLogsFromS3.py --loco 4007 --day 2017-12-15</v>
      </c>
      <c r="AN191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23:25:48"},{"id":29,"name":"Sharepoint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87" t="str">
        <f t="shared" si="95"/>
        <v>https://d0f6bd738d7f1b3e5a7ca70fe4ff75f0.us-east-1.aws.found.io/app/kibana#/discover/Steve-Slow-Train-Analysis-(2080s-and-2083s)?_g=(refreshInterval:(display:Off,pause:!f,section:0,value:0),time:(from:'2017-12-15T14:57:34-0700',mode:absolute,to:'2017-12-15T17:25:48-0700'))&amp;_a=(columns:!('Message%20ID',Summary),filters:!(),index:'emp_*',interval:auto,query:(query_string:(analyze_wildcard:!t,query:'%22rtdc.l.rtdc.4007%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180" customFormat="1" x14ac:dyDescent="0.25">
      <c r="A192" s="186" t="s">
        <v>812</v>
      </c>
      <c r="B192" s="182">
        <v>4050</v>
      </c>
      <c r="C192" s="184" t="s">
        <v>192</v>
      </c>
      <c r="D192" s="184" t="s">
        <v>637</v>
      </c>
      <c r="E192" s="183">
        <v>43084.668668981481</v>
      </c>
      <c r="F192" s="183">
        <v>43084.673379629632</v>
      </c>
      <c r="G192" s="182">
        <v>49</v>
      </c>
      <c r="H192" s="184" t="s">
        <v>513</v>
      </c>
      <c r="I192" s="183">
        <v>43084.683611111112</v>
      </c>
      <c r="J192" s="182">
        <v>0</v>
      </c>
      <c r="K192" s="190" t="str">
        <f t="shared" si="113"/>
        <v>4049/4050</v>
      </c>
      <c r="L192" s="196" t="str">
        <f>VLOOKUP(A192,'Trips&amp;Operators'!$C$1:$G$99911,5,FALSE)</f>
        <v>WEST BRYAN</v>
      </c>
      <c r="M192" s="181">
        <f t="shared" si="114"/>
        <v>1.0231481479422655E-2</v>
      </c>
      <c r="N192" s="182">
        <f t="shared" si="121"/>
        <v>14.733333330368623</v>
      </c>
      <c r="O192" s="182"/>
      <c r="P192" s="182"/>
      <c r="Q192" s="185"/>
      <c r="R192" s="197"/>
      <c r="S192" s="241">
        <f t="shared" si="122"/>
        <v>1</v>
      </c>
      <c r="T192" s="220" t="str">
        <f t="shared" si="115"/>
        <v>NorthBound</v>
      </c>
      <c r="U192" s="22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21" t="str">
        <f t="shared" si="85"/>
        <v>https://d0f6bd738d7f1b3e5a7ca70fe4ff75f0.us-east-1.aws.found.io/app/kibana#/discover/Steve-Slow-Train-Analysis-(2080s-and-2083s)?_g=(refreshInterval:(display:Off,pause:!f,section:0,value:0),time:(from:'2017-12-15T15:02:53-0700',mode:absolute,to:'2017-12-15T17:24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2" s="222" t="str">
        <f>IF(AA192&lt;VLOOKUP(AG192,Variables!$AC$3:$AD$8,2,FALSE),"Y","N")</f>
        <v>N</v>
      </c>
      <c r="X192" s="222">
        <f t="shared" si="112"/>
        <v>1</v>
      </c>
      <c r="Y192" s="222">
        <f t="shared" si="119"/>
        <v>4.3700000000000003E-2</v>
      </c>
      <c r="Z192" s="222">
        <f t="shared" si="120"/>
        <v>5.8936999999999999</v>
      </c>
      <c r="AA192" s="222">
        <f t="shared" si="116"/>
        <v>5.85</v>
      </c>
      <c r="AB192" s="231" t="e">
        <f>VLOOKUP(A192,Enforcements!$C$7:$K$9,8,0)</f>
        <v>#N/A</v>
      </c>
      <c r="AC192" s="231" t="e">
        <f>VLOOKUP(A192,Enforcements!$C$7:$E$9,3,0)</f>
        <v>#N/A</v>
      </c>
      <c r="AD192" s="232">
        <f t="shared" si="117"/>
        <v>829</v>
      </c>
      <c r="AE192" s="233" t="str">
        <f t="shared" si="88"/>
        <v>aws s3 cp s3://rtdc.mdm.uploadarchive.raw/RTDC4050/ "%USERPROFILE%\AppData\Local\Temp\OnboardLogs"\RTDC4050\2017-12-15 --exclude "*" --recursive --include "*20171215*" &amp; "%USERPROFILE%\Documents\GitHub\mrs-test-scripts\Headless Mode &amp; Sideloading\WalkAndUnGZ.bat" "%USERPROFILE%\AppData\Local\Temp\OnboardLogs"\RTDC4050\2017-12-15 &amp; 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</v>
      </c>
      <c r="AF192" s="234" t="str">
        <f t="shared" si="89"/>
        <v>"C:\Program Files (x86)\AstroGrep\AstroGrep.exe" /e /r /s /spath="%USERPROFILE%\AppData\Local\Temp\OnboardLogs" /stypes="app*4050*20171215*" /stext=" 23:.+((SYSTEM_STATE.+slice.+state.+changed )|(ment ac)|(multiple cpu faults)|(system.+state.+changed )|(\[timeout)|(PRM\|1\|D)|(kpr)|(kdp)|(train st.+moving)|(\|lc)|(penalty))"</v>
      </c>
      <c r="AG192" s="226" t="str">
        <f t="shared" si="118"/>
        <v>NW</v>
      </c>
      <c r="AH192" s="189" t="str">
        <f t="shared" si="91"/>
        <v>"%USERPROFILE%\Documents\GitHub\eaglep3\Utilities\RefineRTDCRunTimes.py" --tripid 829-15 --locoid 4050 --swversion DE.1.0.9.0 --startMP 204:437 --initTime 2017-12-15T16:02:53 --startdatetime 2017-12-15T16:09:40 --delay 49 --endMP 300:58937 --enddatetime 2017-12-15T16:24:24 --enforcementcount 0 &gt;&gt;%USERPROFILE%\Documents\GitHub\eaglep3-reporting\EC\2017-12-15-refined-times.txt</v>
      </c>
      <c r="AI192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{"issue":{"subject":"","project_id":79,"tracker_id":40,"status_id":1,"priority_id":2,"assigned_to_id":338,"start_date":"2017-12-15","description":"","custom_fields":[{"id":1,"name":"Subdivision","value":"NW"},{"id":4,"name":"Milepost","value":"5.8937"},{"id":17,"name":"Train ID","value":"829-15"},{"id":16,"name":"Locomotive ID","value":"4050"},{"id":130,"name":"Impact","value":""},{"id":150,"name":"Time of Event (Mountain Time)","value":"16:24:24"},{"id":151,"name":"Denver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188"/>
      <c r="AL192" s="188"/>
      <c r="AM192" s="193" t="str">
        <f t="shared" si="93"/>
        <v>start /low /b %USERPROFILE%\Documents\GitHub\eaglep3\Utilities\DownloadLogsFromS3.py --loco 4050 --day 2017-12-15</v>
      </c>
      <c r="AN192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23:24:24"},{"id":29,"name":"Sharepoint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87" t="str">
        <f t="shared" si="95"/>
        <v>https://d0f6bd738d7f1b3e5a7ca70fe4ff75f0.us-east-1.aws.found.io/app/kibana#/discover/Steve-Slow-Train-Analysis-(2080s-and-2083s)?_g=(refreshInterval:(display:Off,pause:!f,section:0,value:0),time:(from:'2017-12-15T15:02:53-0700',mode:absolute,to:'2017-12-15T17:24:24-0700'))&amp;_a=(columns:!('Message%20ID',Summary),filters:!(),index:'emp_*',interval:auto,query:(query_string:(analyze_wildcard:!t,query:'%22rtdc.l.rtdc.4050%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186" t="s">
        <v>815</v>
      </c>
      <c r="B193" s="182">
        <v>4049</v>
      </c>
      <c r="C193" s="184" t="s">
        <v>192</v>
      </c>
      <c r="D193" s="184" t="s">
        <v>1060</v>
      </c>
      <c r="E193" s="183">
        <v>43084.684490740743</v>
      </c>
      <c r="F193" s="183">
        <v>43084.695833333331</v>
      </c>
      <c r="G193" s="182">
        <v>55</v>
      </c>
      <c r="H193" s="184" t="s">
        <v>1025</v>
      </c>
      <c r="I193" s="183">
        <v>43084.705717592595</v>
      </c>
      <c r="J193" s="182">
        <v>0</v>
      </c>
      <c r="K193" s="190" t="str">
        <f t="shared" si="113"/>
        <v>4049/4050</v>
      </c>
      <c r="L193" s="196" t="str">
        <f>VLOOKUP(A193,'Trips&amp;Operators'!$C$1:$G$99911,5,FALSE)</f>
        <v>WEST BRYAN</v>
      </c>
      <c r="M193" s="181">
        <f t="shared" si="114"/>
        <v>9.8842592633445747E-3</v>
      </c>
      <c r="N193" s="182">
        <f t="shared" si="121"/>
        <v>14.233333339216188</v>
      </c>
      <c r="O193" s="182"/>
      <c r="P193" s="182"/>
      <c r="Q193" s="185"/>
      <c r="R193" s="197"/>
      <c r="S193" s="241">
        <f t="shared" si="122"/>
        <v>1</v>
      </c>
      <c r="T193" s="220" t="str">
        <f t="shared" si="115"/>
        <v>Southbound</v>
      </c>
      <c r="U193" s="22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21" t="str">
        <f t="shared" si="85"/>
        <v>https://d0f6bd738d7f1b3e5a7ca70fe4ff75f0.us-east-1.aws.found.io/app/kibana#/discover/Steve-Slow-Train-Analysis-(2080s-and-2083s)?_g=(refreshInterval:(display:Off,pause:!f,section:0,value:0),time:(from:'2017-12-15T15:25:40-0700',mode:absolute,to:'2017-12-15T17:56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3" s="222" t="str">
        <f>IF(AA193&lt;VLOOKUP(AG193,Variables!$AC$3:$AD$8,2,FALSE),"Y","N")</f>
        <v>N</v>
      </c>
      <c r="X193" s="222">
        <f t="shared" si="112"/>
        <v>1</v>
      </c>
      <c r="Y193" s="222">
        <f t="shared" si="119"/>
        <v>5.8624000000000001</v>
      </c>
      <c r="Z193" s="222">
        <f t="shared" si="120"/>
        <v>1.2E-2</v>
      </c>
      <c r="AA193" s="222">
        <f t="shared" si="116"/>
        <v>5.8504000000000005</v>
      </c>
      <c r="AB193" s="231" t="e">
        <f>VLOOKUP(A193,Enforcements!$C$7:$K$9,8,0)</f>
        <v>#N/A</v>
      </c>
      <c r="AC193" s="231" t="e">
        <f>VLOOKUP(A193,Enforcements!$C$7:$E$9,3,0)</f>
        <v>#N/A</v>
      </c>
      <c r="AD193" s="232">
        <f t="shared" si="117"/>
        <v>830</v>
      </c>
      <c r="AE193" s="233" t="str">
        <f t="shared" si="88"/>
        <v>aws s3 cp s3://rtdc.mdm.uploadarchive.raw/RTDC4049/ "%USERPROFILE%\AppData\Local\Temp\OnboardLogs"\RTDC4049\2017-12-15 --exclude "*" --recursive --include "*20171215*" &amp; "%USERPROFILE%\Documents\GitHub\mrs-test-scripts\Headless Mode &amp; Sideloading\WalkAndUnGZ.bat" "%USERPROFILE%\AppData\Local\Temp\OnboardLogs"\RTDC4049\2017-12-15 &amp; 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</v>
      </c>
      <c r="AF193" s="234" t="str">
        <f t="shared" si="89"/>
        <v>"C:\Program Files (x86)\AstroGrep\AstroGrep.exe" /e /r /s /spath="%USERPROFILE%\AppData\Local\Temp\OnboardLogs" /stypes="app*4049*20171215*" /stext=" 23:.+((SYSTEM_STATE.+slice.+state.+changed )|(ment ac)|(multiple cpu faults)|(system.+state.+changed )|(\[timeout)|(PRM\|1\|D)|(kpr)|(kdp)|(train st.+moving)|(\|lc)|(penalty))"</v>
      </c>
      <c r="AG193" s="226" t="str">
        <f t="shared" si="118"/>
        <v>NW</v>
      </c>
      <c r="AH193" s="189" t="str">
        <f t="shared" si="91"/>
        <v>"%USERPROFILE%\Documents\GitHub\eaglep3\Utilities\RefineRTDCRunTimes.py" --tripid 830-15 --locoid 4049 --swversion DE.1.0.9.0 --startMP 300:58624 --initTime 2017-12-15T16:25:40 --startdatetime 2017-12-15T16:42:00 --delay 55 --endMP 204:120 --enddatetime 2017-12-15T16:56:14 --enforcementcount 0 &gt;&gt;%USERPROFILE%\Documents\GitHub\eaglep3-reporting\EC\2017-12-15-refined-times.txt</v>
      </c>
      <c r="AI193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{"issue":{"subject":"","project_id":79,"tracker_id":40,"status_id":1,"priority_id":2,"assigned_to_id":338,"start_date":"2017-12-15","description":"","custom_fields":[{"id":1,"name":"Subdivision","value":"NW"},{"id":4,"name":"Milepost","value":"0.012"},{"id":17,"name":"Train ID","value":"830-15"},{"id":16,"name":"Locomotive ID","value":"4049"},{"id":130,"name":"Impact","value":""},{"id":150,"name":"Time of Event (Mountain Time)","value":"16:56:14"},{"id":151,"name":"Denver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180"/>
      <c r="AK193" s="188"/>
      <c r="AL193" s="188"/>
      <c r="AM193" s="193" t="str">
        <f t="shared" si="93"/>
        <v>start /low /b %USERPROFILE%\Documents\GitHub\eaglep3\Utilities\DownloadLogsFromS3.py --loco 4049 --day 2017-12-15</v>
      </c>
      <c r="AN193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23:56:14"},{"id":29,"name":"Sharepoint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87" t="str">
        <f t="shared" si="95"/>
        <v>https://d0f6bd738d7f1b3e5a7ca70fe4ff75f0.us-east-1.aws.found.io/app/kibana#/discover/Steve-Slow-Train-Analysis-(2080s-and-2083s)?_g=(refreshInterval:(display:Off,pause:!f,section:0,value:0),time:(from:'2017-12-15T15:25:40-0700',mode:absolute,to:'2017-12-15T17:56:14-0700'))&amp;_a=(columns:!('Message%20ID',Summary),filters:!(),index:'emp_*',interval:auto,query:(query_string:(analyze_wildcard:!t,query:'%22rtdc.l.rtdc.4049%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186" t="s">
        <v>666</v>
      </c>
      <c r="B194" s="182">
        <v>4008</v>
      </c>
      <c r="C194" s="184" t="s">
        <v>192</v>
      </c>
      <c r="D194" s="184" t="s">
        <v>632</v>
      </c>
      <c r="E194" s="183">
        <v>43084.689444444448</v>
      </c>
      <c r="F194" s="183">
        <v>43084.694571759261</v>
      </c>
      <c r="G194" s="182">
        <v>58</v>
      </c>
      <c r="H194" s="184" t="s">
        <v>1061</v>
      </c>
      <c r="I194" s="183">
        <v>43084.704641203702</v>
      </c>
      <c r="J194" s="182">
        <v>1</v>
      </c>
      <c r="K194" s="190" t="str">
        <f t="shared" si="113"/>
        <v>4007/4008</v>
      </c>
      <c r="L194" s="196" t="str">
        <f>VLOOKUP(A194,'Trips&amp;Operators'!$C$1:$G$99911,5,FALSE)</f>
        <v>LORI SANTOS</v>
      </c>
      <c r="M194" s="181">
        <f t="shared" si="114"/>
        <v>1.006944444088731E-2</v>
      </c>
      <c r="N194" s="182">
        <f t="shared" si="121"/>
        <v>14.499999994877726</v>
      </c>
      <c r="O194" s="182"/>
      <c r="P194" s="182"/>
      <c r="Q194" s="185"/>
      <c r="R194" s="197"/>
      <c r="S194" s="241">
        <f t="shared" si="122"/>
        <v>1</v>
      </c>
      <c r="T194" s="220" t="str">
        <f t="shared" si="115"/>
        <v>NorthBound</v>
      </c>
      <c r="U194" s="22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21" t="str">
        <f t="shared" si="85"/>
        <v>https://d0f6bd738d7f1b3e5a7ca70fe4ff75f0.us-east-1.aws.found.io/app/kibana#/discover/Steve-Slow-Train-Analysis-(2080s-and-2083s)?_g=(refreshInterval:(display:Off,pause:!f,section:0,value:0),time:(from:'2017-12-15T15:32:48-0700',mode:absolute,to:'2017-12-15T17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4" s="222" t="str">
        <f>IF(AA194&lt;VLOOKUP(AG194,Variables!$AC$3:$AD$8,2,FALSE),"Y","N")</f>
        <v>N</v>
      </c>
      <c r="X194" s="222">
        <f t="shared" si="112"/>
        <v>1</v>
      </c>
      <c r="Y194" s="222">
        <f t="shared" si="119"/>
        <v>4.6800000000000001E-2</v>
      </c>
      <c r="Z194" s="222">
        <f t="shared" si="120"/>
        <v>5.8114999999999997</v>
      </c>
      <c r="AA194" s="222">
        <f t="shared" si="116"/>
        <v>5.7646999999999995</v>
      </c>
      <c r="AB194" s="231" t="e">
        <f>VLOOKUP(A194,Enforcements!$C$7:$K$9,8,0)</f>
        <v>#N/A</v>
      </c>
      <c r="AC194" s="231" t="e">
        <f>VLOOKUP(A194,Enforcements!$C$7:$E$9,3,0)</f>
        <v>#N/A</v>
      </c>
      <c r="AD194" s="232">
        <f t="shared" si="117"/>
        <v>831</v>
      </c>
      <c r="AE194" s="233" t="str">
        <f t="shared" si="88"/>
        <v>aws s3 cp s3://rtdc.mdm.uploadarchive.raw/RTDC4008/ "%USERPROFILE%\AppData\Local\Temp\OnboardLogs"\RTDC4008\2017-12-15 --exclude "*" --recursive --include "*20171215*" &amp; "%USERPROFILE%\Documents\GitHub\mrs-test-scripts\Headless Mode &amp; Sideloading\WalkAndUnGZ.bat" "%USERPROFILE%\AppData\Local\Temp\OnboardLogs"\RTDC4008\2017-12-15 &amp; aws s3 cp s3://rtdc.mdm.uploadarchive.raw/RTDC4008/ "%USERPROFILE%\AppData\Local\Temp\OnboardLogs"\RTDC4008\2017-12-16 --exclude "*" --recursive --include "*20171216*" &amp; "%USERPROFILE%\Documents\GitHub\mrs-test-scripts\Headless Mode &amp; Sideloading\WalkAndUnGZ.bat" "%USERPROFILE%\AppData\Local\Temp\OnboardLogs"\RTDC4008\2017-12-16</v>
      </c>
      <c r="AF194" s="234" t="str">
        <f t="shared" si="89"/>
        <v>"C:\Program Files (x86)\AstroGrep\AstroGrep.exe" /e /r /s /spath="%USERPROFILE%\AppData\Local\Temp\OnboardLogs" /stypes="app*4008*20171215*" /stext=" 23:.+((SYSTEM_STATE.+slice.+state.+changed )|(ment ac)|(multiple cpu faults)|(system.+state.+changed )|(\[timeout)|(PRM\|1\|D)|(kpr)|(kdp)|(train st.+moving)|(\|lc)|(penalty))"</v>
      </c>
      <c r="AG194" s="226" t="str">
        <f t="shared" si="118"/>
        <v>NW</v>
      </c>
      <c r="AH194" s="189" t="str">
        <f t="shared" si="91"/>
        <v>"%USERPROFILE%\Documents\GitHub\eaglep3\Utilities\RefineRTDCRunTimes.py" --tripid 831-15 --locoid 4008 --swversion DE.1.0.9.0 --startMP 204:468 --initTime 2017-12-15T16:32:48 --startdatetime 2017-12-15T16:40:11 --delay 58 --endMP 300:58115 --enddatetime 2017-12-15T16:54:41 --enforcementcount 1 &gt;&gt;%USERPROFILE%\Documents\GitHub\eaglep3-reporting\EC\2017-12-15-refined-times.txt</v>
      </c>
      <c r="AI194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{"issue":{"subject":"","project_id":79,"tracker_id":40,"status_id":1,"priority_id":2,"assigned_to_id":338,"start_date":"2017-12-15","description":"","custom_fields":[{"id":1,"name":"Subdivision","value":"NW"},{"id":4,"name":"Milepost","value":"5.8115"},{"id":17,"name":"Train ID","value":"831-15"},{"id":16,"name":"Locomotive ID","value":"4008"},{"id":130,"name":"Impact","value":""},{"id":150,"name":"Time of Event (Mountain Time)","value":"16:54:41"},{"id":151,"name":"Denver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180"/>
      <c r="AK194" s="188"/>
      <c r="AL194" s="188"/>
      <c r="AM194" s="193" t="str">
        <f t="shared" si="93"/>
        <v>start /low /b %USERPROFILE%\Documents\GitHub\eaglep3\Utilities\DownloadLogsFromS3.py --loco 4008 --day 2017-12-15</v>
      </c>
      <c r="AN194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23:54:41"},{"id":29,"name":"Sharepoint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87" t="str">
        <f t="shared" si="95"/>
        <v>https://d0f6bd738d7f1b3e5a7ca70fe4ff75f0.us-east-1.aws.found.io/app/kibana#/discover/Steve-Slow-Train-Analysis-(2080s-and-2083s)?_g=(refreshInterval:(display:Off,pause:!f,section:0,value:0),time:(from:'2017-12-15T15:32:48-0700',mode:absolute,to:'2017-12-15T17:54:41-0700'))&amp;_a=(columns:!('Message%20ID',Summary),filters:!(),index:'emp_*',interval:auto,query:(query_string:(analyze_wildcard:!t,query:'%22rtdc.l.rtdc.4008%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186" t="s">
        <v>669</v>
      </c>
      <c r="B195" s="182">
        <v>4007</v>
      </c>
      <c r="C195" s="184" t="s">
        <v>192</v>
      </c>
      <c r="D195" s="184" t="s">
        <v>1057</v>
      </c>
      <c r="E195" s="183">
        <v>43084.70689814815</v>
      </c>
      <c r="F195" s="183">
        <v>43084.716666666667</v>
      </c>
      <c r="G195" s="182">
        <v>55</v>
      </c>
      <c r="H195" s="184" t="s">
        <v>468</v>
      </c>
      <c r="I195" s="183">
        <v>43084.726701388892</v>
      </c>
      <c r="J195" s="182">
        <v>0</v>
      </c>
      <c r="K195" s="190" t="str">
        <f t="shared" si="113"/>
        <v>4007/4008</v>
      </c>
      <c r="L195" s="196" t="str">
        <f>VLOOKUP(A195,'Trips&amp;Operators'!$C$1:$G$99911,5,FALSE)</f>
        <v>LORI SANTOS</v>
      </c>
      <c r="M195" s="181">
        <f t="shared" si="114"/>
        <v>1.0034722225100268E-2</v>
      </c>
      <c r="N195" s="182">
        <f t="shared" si="121"/>
        <v>14.450000004144385</v>
      </c>
      <c r="O195" s="182"/>
      <c r="P195" s="182"/>
      <c r="Q195" s="185"/>
      <c r="R195" s="197"/>
      <c r="S195" s="241">
        <f t="shared" si="122"/>
        <v>1</v>
      </c>
      <c r="T195" s="220" t="str">
        <f t="shared" si="115"/>
        <v>Southbound</v>
      </c>
      <c r="U195" s="22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21" t="str">
        <f t="shared" si="85"/>
        <v>https://d0f6bd738d7f1b3e5a7ca70fe4ff75f0.us-east-1.aws.found.io/app/kibana#/discover/Steve-Slow-Train-Analysis-(2080s-and-2083s)?_g=(refreshInterval:(display:Off,pause:!f,section:0,value:0),time:(from:'2017-12-15T15:57:56-0700',mode:absolute,to:'2017-12-15T18:26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5" s="222" t="str">
        <f>IF(AA195&lt;VLOOKUP(AG195,Variables!$AC$3:$AD$8,2,FALSE),"Y","N")</f>
        <v>N</v>
      </c>
      <c r="X195" s="222">
        <f t="shared" si="112"/>
        <v>1</v>
      </c>
      <c r="Y195" s="222">
        <f t="shared" si="119"/>
        <v>5.8625999999999996</v>
      </c>
      <c r="Z195" s="222">
        <f t="shared" si="120"/>
        <v>1.49E-2</v>
      </c>
      <c r="AA195" s="222">
        <f t="shared" si="116"/>
        <v>5.8476999999999997</v>
      </c>
      <c r="AB195" s="231" t="e">
        <f>VLOOKUP(A195,Enforcements!$C$7:$K$9,8,0)</f>
        <v>#N/A</v>
      </c>
      <c r="AC195" s="231" t="e">
        <f>VLOOKUP(A195,Enforcements!$C$7:$E$9,3,0)</f>
        <v>#N/A</v>
      </c>
      <c r="AD195" s="232">
        <f t="shared" si="117"/>
        <v>832</v>
      </c>
      <c r="AE195" s="233" t="str">
        <f t="shared" si="88"/>
        <v>aws s3 cp s3://rtdc.mdm.uploadarchive.raw/RTDC4007/ "%USERPROFILE%\AppData\Local\Temp\OnboardLogs"\RTDC4007\2017-12-15 --exclude "*" --recursive --include "*20171215*" &amp; "%USERPROFILE%\Documents\GitHub\mrs-test-scripts\Headless Mode &amp; Sideloading\WalkAndUnGZ.bat" "%USERPROFILE%\AppData\Local\Temp\OnboardLogs"\RTDC4007\2017-12-15 &amp; aws s3 cp s3://rtdc.mdm.uploadarchive.raw/RTDC4007/ "%USERPROFILE%\AppData\Local\Temp\OnboardLogs"\RTDC4007\2017-12-16 --exclude "*" --recursive --include "*20171216*" &amp; "%USERPROFILE%\Documents\GitHub\mrs-test-scripts\Headless Mode &amp; Sideloading\WalkAndUnGZ.bat" "%USERPROFILE%\AppData\Local\Temp\OnboardLogs"\RTDC4007\2017-12-16</v>
      </c>
      <c r="AF195" s="234" t="str">
        <f t="shared" si="89"/>
        <v>"C:\Program Files (x86)\AstroGrep\AstroGrep.exe" /e /r /s /spath="%USERPROFILE%\AppData\Local\Temp\OnboardLogs" /stypes="app*4007*20171216*" /stext=" 00:.+((SYSTEM_STATE.+slice.+state.+changed )|(ment ac)|(multiple cpu faults)|(system.+state.+changed )|(\[timeout)|(PRM\|1\|D)|(kpr)|(kdp)|(train st.+moving)|(\|lc)|(penalty))"</v>
      </c>
      <c r="AG195" s="226" t="str">
        <f t="shared" si="118"/>
        <v>NW</v>
      </c>
      <c r="AH195" s="189" t="str">
        <f t="shared" si="91"/>
        <v>"%USERPROFILE%\Documents\GitHub\eaglep3\Utilities\RefineRTDCRunTimes.py" --tripid 832-15 --locoid 4007 --swversion DE.1.0.9.0 --startMP 300:58626 --initTime 2017-12-15T16:57:56 --startdatetime 2017-12-15T17:12:00 --delay 55 --endMP 204:149 --enddatetime 2017-12-15T17:26:27 --enforcementcount 0 &gt;&gt;%USERPROFILE%\Documents\GitHub\eaglep3-reporting\EC\2017-12-15-refined-times.txt</v>
      </c>
      <c r="AI195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{"issue":{"subject":"","project_id":79,"tracker_id":40,"status_id":1,"priority_id":2,"assigned_to_id":338,"start_date":"2017-12-15","description":"","custom_fields":[{"id":1,"name":"Subdivision","value":"NW"},{"id":4,"name":"Milepost","value":"0.0149"},{"id":17,"name":"Train ID","value":"832-15"},{"id":16,"name":"Locomotive ID","value":"4007"},{"id":130,"name":"Impact","value":""},{"id":150,"name":"Time of Event (Mountain Time)","value":"17:26:27"},{"id":151,"name":"Denver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180"/>
      <c r="AK195" s="188"/>
      <c r="AL195" s="188"/>
      <c r="AM195" s="193" t="str">
        <f t="shared" si="93"/>
        <v>start /low /b %USERPROFILE%\Documents\GitHub\eaglep3\Utilities\DownloadLogsFromS3.py --loco 4007 --day 2017-12-15</v>
      </c>
      <c r="AN195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00:26:27"},{"id":29,"name":"Sharepoint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87" t="str">
        <f t="shared" si="95"/>
        <v>https://d0f6bd738d7f1b3e5a7ca70fe4ff75f0.us-east-1.aws.found.io/app/kibana#/discover/Steve-Slow-Train-Analysis-(2080s-and-2083s)?_g=(refreshInterval:(display:Off,pause:!f,section:0,value:0),time:(from:'2017-12-15T15:57:56-0700',mode:absolute,to:'2017-12-15T18:26:27-0700'))&amp;_a=(columns:!('Message%20ID',Summary),filters:!(),index:'emp_*',interval:auto,query:(query_string:(analyze_wildcard:!t,query:'%22rtdc.l.rtdc.4007%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180" customFormat="1" x14ac:dyDescent="0.25">
      <c r="A196" s="186" t="s">
        <v>823</v>
      </c>
      <c r="B196" s="182">
        <v>4050</v>
      </c>
      <c r="C196" s="184" t="s">
        <v>192</v>
      </c>
      <c r="D196" s="184" t="s">
        <v>1062</v>
      </c>
      <c r="E196" s="183">
        <v>43084.709733796299</v>
      </c>
      <c r="F196" s="183">
        <v>43084.714988425927</v>
      </c>
      <c r="G196" s="182">
        <v>92</v>
      </c>
      <c r="H196" s="184" t="s">
        <v>567</v>
      </c>
      <c r="I196" s="183">
        <v>43084.725347222222</v>
      </c>
      <c r="J196" s="182">
        <v>0</v>
      </c>
      <c r="K196" s="190" t="str">
        <f t="shared" si="113"/>
        <v>4049/4050</v>
      </c>
      <c r="L196" s="196" t="str">
        <f>VLOOKUP(A196,'Trips&amp;Operators'!$C$1:$G$99911,5,FALSE)</f>
        <v>WEST BRYAN</v>
      </c>
      <c r="M196" s="181">
        <f t="shared" si="114"/>
        <v>1.0358796294895001E-2</v>
      </c>
      <c r="N196" s="182">
        <f t="shared" si="121"/>
        <v>14.916666664648801</v>
      </c>
      <c r="O196" s="182"/>
      <c r="P196" s="182"/>
      <c r="Q196" s="185"/>
      <c r="R196" s="197"/>
      <c r="S196" s="241">
        <f t="shared" si="122"/>
        <v>1</v>
      </c>
      <c r="T196" s="220" t="str">
        <f t="shared" si="115"/>
        <v>NorthBound</v>
      </c>
      <c r="U196" s="22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21" t="str">
        <f t="shared" si="85"/>
        <v>https://d0f6bd738d7f1b3e5a7ca70fe4ff75f0.us-east-1.aws.found.io/app/kibana#/discover/Steve-Slow-Train-Analysis-(2080s-and-2083s)?_g=(refreshInterval:(display:Off,pause:!f,section:0,value:0),time:(from:'2017-12-15T16:02:01-0700',mode:absolute,to:'2017-12-15T18:24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6" s="222" t="str">
        <f>IF(AA196&lt;VLOOKUP(AG196,Variables!$AC$3:$AD$8,2,FALSE),"Y","N")</f>
        <v>N</v>
      </c>
      <c r="X196" s="222">
        <f t="shared" si="112"/>
        <v>1</v>
      </c>
      <c r="Y196" s="222">
        <f t="shared" si="119"/>
        <v>4.2599999999999999E-2</v>
      </c>
      <c r="Z196" s="222">
        <f t="shared" si="120"/>
        <v>5.8944000000000001</v>
      </c>
      <c r="AA196" s="222">
        <f t="shared" si="116"/>
        <v>5.8517999999999999</v>
      </c>
      <c r="AB196" s="231" t="e">
        <f>VLOOKUP(A196,Enforcements!$C$7:$K$9,8,0)</f>
        <v>#N/A</v>
      </c>
      <c r="AC196" s="231" t="e">
        <f>VLOOKUP(A196,Enforcements!$C$7:$E$9,3,0)</f>
        <v>#N/A</v>
      </c>
      <c r="AD196" s="232">
        <f t="shared" si="117"/>
        <v>833</v>
      </c>
      <c r="AE196" s="233" t="str">
        <f t="shared" si="88"/>
        <v>aws s3 cp s3://rtdc.mdm.uploadarchive.raw/RTDC4050/ "%USERPROFILE%\AppData\Local\Temp\OnboardLogs"\RTDC4050\2017-12-15 --exclude "*" --recursive --include "*20171215*" &amp; "%USERPROFILE%\Documents\GitHub\mrs-test-scripts\Headless Mode &amp; Sideloading\WalkAndUnGZ.bat" "%USERPROFILE%\AppData\Local\Temp\OnboardLogs"\RTDC4050\2017-12-15 &amp; 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</v>
      </c>
      <c r="AF196" s="234" t="str">
        <f t="shared" si="89"/>
        <v>"C:\Program Files (x86)\AstroGrep\AstroGrep.exe" /e /r /s /spath="%USERPROFILE%\AppData\Local\Temp\OnboardLogs" /stypes="app*4050*20171216*" /stext=" 00:.+((SYSTEM_STATE.+slice.+state.+changed )|(ment ac)|(multiple cpu faults)|(system.+state.+changed )|(\[timeout)|(PRM\|1\|D)|(kpr)|(kdp)|(train st.+moving)|(\|lc)|(penalty))"</v>
      </c>
      <c r="AG196" s="226" t="str">
        <f t="shared" si="118"/>
        <v>NW</v>
      </c>
      <c r="AH196" s="189" t="str">
        <f t="shared" si="91"/>
        <v>"%USERPROFILE%\Documents\GitHub\eaglep3\Utilities\RefineRTDCRunTimes.py" --tripid 833-15 --locoid 4050 --swversion DE.1.0.9.0 --startMP 204:426 --initTime 2017-12-15T17:02:01 --startdatetime 2017-12-15T17:09:35 --delay 92 --endMP 300:58944 --enddatetime 2017-12-15T17:24:30 --enforcementcount 0 &gt;&gt;%USERPROFILE%\Documents\GitHub\eaglep3-reporting\EC\2017-12-15-refined-times.txt</v>
      </c>
      <c r="AI196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{"issue":{"subject":"","project_id":79,"tracker_id":40,"status_id":1,"priority_id":2,"assigned_to_id":338,"start_date":"2017-12-15","description":"","custom_fields":[{"id":1,"name":"Subdivision","value":"NW"},{"id":4,"name":"Milepost","value":"5.8944"},{"id":17,"name":"Train ID","value":"833-15"},{"id":16,"name":"Locomotive ID","value":"4050"},{"id":130,"name":"Impact","value":""},{"id":150,"name":"Time of Event (Mountain Time)","value":"17:24:30"},{"id":151,"name":"Denver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188"/>
      <c r="AL196" s="188"/>
      <c r="AM196" s="193" t="str">
        <f t="shared" si="93"/>
        <v>start /low /b %USERPROFILE%\Documents\GitHub\eaglep3\Utilities\DownloadLogsFromS3.py --loco 4050 --day 2017-12-15</v>
      </c>
      <c r="AN196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00:24:30"},{"id":29,"name":"Sharepoint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87" t="str">
        <f t="shared" si="95"/>
        <v>https://d0f6bd738d7f1b3e5a7ca70fe4ff75f0.us-east-1.aws.found.io/app/kibana#/discover/Steve-Slow-Train-Analysis-(2080s-and-2083s)?_g=(refreshInterval:(display:Off,pause:!f,section:0,value:0),time:(from:'2017-12-15T16:02:01-0700',mode:absolute,to:'2017-12-15T18:24:30-0700'))&amp;_a=(columns:!('Message%20ID',Summary),filters:!(),index:'emp_*',interval:auto,query:(query_string:(analyze_wildcard:!t,query:'%22rtdc.l.rtdc.4050%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180" customFormat="1" x14ac:dyDescent="0.25">
      <c r="A197" s="186" t="s">
        <v>828</v>
      </c>
      <c r="B197" s="182">
        <v>4049</v>
      </c>
      <c r="C197" s="184" t="s">
        <v>192</v>
      </c>
      <c r="D197" s="184" t="s">
        <v>1094</v>
      </c>
      <c r="E197" s="183">
        <v>43084.728715277779</v>
      </c>
      <c r="F197" s="183">
        <v>43084.73060185185</v>
      </c>
      <c r="G197" s="182">
        <v>50</v>
      </c>
      <c r="H197" s="184" t="s">
        <v>1063</v>
      </c>
      <c r="I197" s="183">
        <v>43084.746782407405</v>
      </c>
      <c r="J197" s="182">
        <v>0</v>
      </c>
      <c r="K197" s="190" t="str">
        <f t="shared" si="113"/>
        <v>4049/4050</v>
      </c>
      <c r="L197" s="196" t="str">
        <f>VLOOKUP(A197,'Trips&amp;Operators'!$C$1:$G$99911,5,FALSE)</f>
        <v>WEST BRYAN</v>
      </c>
      <c r="M197" s="181">
        <f t="shared" si="114"/>
        <v>1.6180555554456078E-2</v>
      </c>
      <c r="N197" s="182">
        <f t="shared" si="121"/>
        <v>23.299999998416752</v>
      </c>
      <c r="O197" s="182"/>
      <c r="P197" s="182"/>
      <c r="Q197" s="185"/>
      <c r="R197" s="197"/>
      <c r="S197" s="241">
        <f t="shared" si="122"/>
        <v>1</v>
      </c>
      <c r="T197" s="220" t="str">
        <f t="shared" si="115"/>
        <v>Southbound</v>
      </c>
      <c r="U197" s="22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21" t="str">
        <f t="shared" si="85"/>
        <v>https://d0f6bd738d7f1b3e5a7ca70fe4ff75f0.us-east-1.aws.found.io/app/kibana#/discover/Steve-Slow-Train-Analysis-(2080s-and-2083s)?_g=(refreshInterval:(display:Off,pause:!f,section:0,value:0),time:(from:'2017-12-15T16:29:21-0700',mode:absolute,to:'2017-12-15T18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7" s="222" t="str">
        <f>IF(AA197&lt;VLOOKUP(AG197,Variables!$AC$3:$AD$8,2,FALSE),"Y","N")</f>
        <v>N</v>
      </c>
      <c r="X197" s="222">
        <f t="shared" si="112"/>
        <v>1</v>
      </c>
      <c r="Y197" s="222">
        <f t="shared" si="119"/>
        <v>5.8630000000000004</v>
      </c>
      <c r="Z197" s="222">
        <f t="shared" si="120"/>
        <v>1.4E-2</v>
      </c>
      <c r="AA197" s="222">
        <f t="shared" si="116"/>
        <v>5.8490000000000002</v>
      </c>
      <c r="AB197" s="231" t="e">
        <f>VLOOKUP(A197,Enforcements!$C$7:$K$9,8,0)</f>
        <v>#N/A</v>
      </c>
      <c r="AC197" s="231" t="e">
        <f>VLOOKUP(A197,Enforcements!$C$7:$E$9,3,0)</f>
        <v>#N/A</v>
      </c>
      <c r="AD197" s="232">
        <f t="shared" si="117"/>
        <v>834</v>
      </c>
      <c r="AE197" s="233" t="str">
        <f t="shared" si="88"/>
        <v>aws s3 cp s3://rtdc.mdm.uploadarchive.raw/RTDC4049/ "%USERPROFILE%\AppData\Local\Temp\OnboardLogs"\RTDC4049\2017-12-15 --exclude "*" --recursive --include "*20171215*" &amp; "%USERPROFILE%\Documents\GitHub\mrs-test-scripts\Headless Mode &amp; Sideloading\WalkAndUnGZ.bat" "%USERPROFILE%\AppData\Local\Temp\OnboardLogs"\RTDC4049\2017-12-15 &amp; 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</v>
      </c>
      <c r="AF197" s="234" t="str">
        <f t="shared" si="89"/>
        <v>"C:\Program Files (x86)\AstroGrep\AstroGrep.exe" /e /r /s /spath="%USERPROFILE%\AppData\Local\Temp\OnboardLogs" /stypes="app*4049*20171216*" /stext=" 00:.+((SYSTEM_STATE.+slice.+state.+changed )|(ment ac)|(multiple cpu faults)|(system.+state.+changed )|(\[timeout)|(PRM\|1\|D)|(kpr)|(kdp)|(train st.+moving)|(\|lc)|(penalty))"</v>
      </c>
      <c r="AG197" s="226" t="str">
        <f t="shared" si="118"/>
        <v>NW</v>
      </c>
      <c r="AH197" s="189" t="str">
        <f t="shared" si="91"/>
        <v>"%USERPROFILE%\Documents\GitHub\eaglep3\Utilities\RefineRTDCRunTimes.py" --tripid 834-15 --locoid 4049 --swversion DE.1.0.9.0 --startMP 300:58630 --initTime 2017-12-15T17:29:21 --startdatetime 2017-12-15T17:32:04 --delay 50 --endMP 204:140 --enddatetime 2017-12-15T17:55:22 --enforcementcount 0 &gt;&gt;%USERPROFILE%\Documents\GitHub\eaglep3-reporting\EC\2017-12-15-refined-times.txt</v>
      </c>
      <c r="AI197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{"issue":{"subject":"","project_id":79,"tracker_id":40,"status_id":1,"priority_id":2,"assigned_to_id":338,"start_date":"2017-12-15","description":"","custom_fields":[{"id":1,"name":"Subdivision","value":"NW"},{"id":4,"name":"Milepost","value":"0.014"},{"id":17,"name":"Train ID","value":"834-15"},{"id":16,"name":"Locomotive ID","value":"4049"},{"id":130,"name":"Impact","value":""},{"id":150,"name":"Time of Event (Mountain Time)","value":"17:55:22"},{"id":151,"name":"Denver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188"/>
      <c r="AL197" s="188"/>
      <c r="AM197" s="193" t="str">
        <f t="shared" si="93"/>
        <v>start /low /b %USERPROFILE%\Documents\GitHub\eaglep3\Utilities\DownloadLogsFromS3.py --loco 4049 --day 2017-12-15</v>
      </c>
      <c r="AN197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00:55:22"},{"id":29,"name":"Sharepoint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87" t="str">
        <f t="shared" si="95"/>
        <v>https://d0f6bd738d7f1b3e5a7ca70fe4ff75f0.us-east-1.aws.found.io/app/kibana#/discover/Steve-Slow-Train-Analysis-(2080s-and-2083s)?_g=(refreshInterval:(display:Off,pause:!f,section:0,value:0),time:(from:'2017-12-15T16:29:21-0700',mode:absolute,to:'2017-12-15T18:55:22-0700'))&amp;_a=(columns:!('Message%20ID',Summary),filters:!(),index:'emp_*',interval:auto,query:(query_string:(analyze_wildcard:!t,query:'%22rtdc.l.rtdc.4049%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180" customFormat="1" x14ac:dyDescent="0.25">
      <c r="A198" s="186" t="s">
        <v>830</v>
      </c>
      <c r="B198" s="182">
        <v>4008</v>
      </c>
      <c r="C198" s="184" t="s">
        <v>192</v>
      </c>
      <c r="D198" s="184" t="s">
        <v>637</v>
      </c>
      <c r="E198" s="183">
        <v>43084.73333333333</v>
      </c>
      <c r="F198" s="183">
        <v>43084.735648148147</v>
      </c>
      <c r="G198" s="182">
        <v>64</v>
      </c>
      <c r="H198" s="184" t="s">
        <v>1035</v>
      </c>
      <c r="I198" s="183">
        <v>43084.746990740743</v>
      </c>
      <c r="J198" s="182">
        <v>0</v>
      </c>
      <c r="K198" s="190" t="str">
        <f t="shared" si="113"/>
        <v>4007/4008</v>
      </c>
      <c r="L198" s="196" t="str">
        <f>VLOOKUP(A198,'Trips&amp;Operators'!$C$1:$G$99911,5,FALSE)</f>
        <v>LORI SANTOS</v>
      </c>
      <c r="M198" s="181">
        <f t="shared" si="114"/>
        <v>1.1342592595610768E-2</v>
      </c>
      <c r="N198" s="182">
        <f t="shared" si="121"/>
        <v>16.333333337679505</v>
      </c>
      <c r="O198" s="182"/>
      <c r="P198" s="182"/>
      <c r="Q198" s="185"/>
      <c r="R198" s="197"/>
      <c r="S198" s="241">
        <f t="shared" si="122"/>
        <v>1</v>
      </c>
      <c r="T198" s="220" t="str">
        <f t="shared" si="115"/>
        <v>NorthBound</v>
      </c>
      <c r="U198" s="22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21" t="str">
        <f t="shared" si="85"/>
        <v>https://d0f6bd738d7f1b3e5a7ca70fe4ff75f0.us-east-1.aws.found.io/app/kibana#/discover/Steve-Slow-Train-Analysis-(2080s-and-2083s)?_g=(refreshInterval:(display:Off,pause:!f,section:0,value:0),time:(from:'2017-12-15T16:36:00-0700',mode:absolute,to:'2017-12-15T18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8" s="222" t="str">
        <f>IF(AA198&lt;VLOOKUP(AG198,Variables!$AC$3:$AD$8,2,FALSE),"Y","N")</f>
        <v>N</v>
      </c>
      <c r="X198" s="222">
        <f t="shared" si="112"/>
        <v>1</v>
      </c>
      <c r="Y198" s="222">
        <f t="shared" si="119"/>
        <v>4.3700000000000003E-2</v>
      </c>
      <c r="Z198" s="222">
        <f t="shared" si="120"/>
        <v>5.8929</v>
      </c>
      <c r="AA198" s="222">
        <f t="shared" si="116"/>
        <v>5.8491999999999997</v>
      </c>
      <c r="AB198" s="231" t="e">
        <f>VLOOKUP(A198,Enforcements!$C$7:$K$9,8,0)</f>
        <v>#N/A</v>
      </c>
      <c r="AC198" s="231" t="e">
        <f>VLOOKUP(A198,Enforcements!$C$7:$E$9,3,0)</f>
        <v>#N/A</v>
      </c>
      <c r="AD198" s="232">
        <f t="shared" si="117"/>
        <v>835</v>
      </c>
      <c r="AE198" s="233" t="str">
        <f t="shared" si="88"/>
        <v>aws s3 cp s3://rtdc.mdm.uploadarchive.raw/RTDC4008/ "%USERPROFILE%\AppData\Local\Temp\OnboardLogs"\RTDC4008\2017-12-15 --exclude "*" --recursive --include "*20171215*" &amp; "%USERPROFILE%\Documents\GitHub\mrs-test-scripts\Headless Mode &amp; Sideloading\WalkAndUnGZ.bat" "%USERPROFILE%\AppData\Local\Temp\OnboardLogs"\RTDC4008\2017-12-15 &amp; aws s3 cp s3://rtdc.mdm.uploadarchive.raw/RTDC4008/ "%USERPROFILE%\AppData\Local\Temp\OnboardLogs"\RTDC4008\2017-12-16 --exclude "*" --recursive --include "*20171216*" &amp; "%USERPROFILE%\Documents\GitHub\mrs-test-scripts\Headless Mode &amp; Sideloading\WalkAndUnGZ.bat" "%USERPROFILE%\AppData\Local\Temp\OnboardLogs"\RTDC4008\2017-12-16</v>
      </c>
      <c r="AF198" s="234" t="str">
        <f t="shared" si="89"/>
        <v>"C:\Program Files (x86)\AstroGrep\AstroGrep.exe" /e /r /s /spath="%USERPROFILE%\AppData\Local\Temp\OnboardLogs" /stypes="app*4008*20171216*" /stext=" 00:.+((SYSTEM_STATE.+slice.+state.+changed )|(ment ac)|(multiple cpu faults)|(system.+state.+changed )|(\[timeout)|(PRM\|1\|D)|(kpr)|(kdp)|(train st.+moving)|(\|lc)|(penalty))"</v>
      </c>
      <c r="AG198" s="226" t="str">
        <f t="shared" si="118"/>
        <v>NW</v>
      </c>
      <c r="AH198" s="189" t="str">
        <f t="shared" si="91"/>
        <v>"%USERPROFILE%\Documents\GitHub\eaglep3\Utilities\RefineRTDCRunTimes.py" --tripid 835-15 --locoid 4008 --swversion DE.1.0.9.0 --startMP 204:437 --initTime 2017-12-15T17:36:00 --startdatetime 2017-12-15T17:39:20 --delay 64 --endMP 300:58929 --enddatetime 2017-12-15T17:55:40 --enforcementcount 0 &gt;&gt;%USERPROFILE%\Documents\GitHub\eaglep3-reporting\EC\2017-12-15-refined-times.txt</v>
      </c>
      <c r="AI198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{"issue":{"subject":"","project_id":79,"tracker_id":40,"status_id":1,"priority_id":2,"assigned_to_id":338,"start_date":"2017-12-15","description":"","custom_fields":[{"id":1,"name":"Subdivision","value":"NW"},{"id":4,"name":"Milepost","value":"5.8929"},{"id":17,"name":"Train ID","value":"835-15"},{"id":16,"name":"Locomotive ID","value":"4008"},{"id":130,"name":"Impact","value":""},{"id":150,"name":"Time of Event (Mountain Time)","value":"17:55:40"},{"id":151,"name":"Denver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188"/>
      <c r="AL198" s="188"/>
      <c r="AM198" s="193" t="str">
        <f t="shared" si="93"/>
        <v>start /low /b %USERPROFILE%\Documents\GitHub\eaglep3\Utilities\DownloadLogsFromS3.py --loco 4008 --day 2017-12-15</v>
      </c>
      <c r="AN198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00:55:40"},{"id":29,"name":"Sharepoint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87" t="str">
        <f t="shared" si="95"/>
        <v>https://d0f6bd738d7f1b3e5a7ca70fe4ff75f0.us-east-1.aws.found.io/app/kibana#/discover/Steve-Slow-Train-Analysis-(2080s-and-2083s)?_g=(refreshInterval:(display:Off,pause:!f,section:0,value:0),time:(from:'2017-12-15T16:36:00-0700',mode:absolute,to:'2017-12-15T18:55:40-0700'))&amp;_a=(columns:!('Message%20ID',Summary),filters:!(),index:'emp_*',interval:auto,query:(query_string:(analyze_wildcard:!t,query:'%22rtdc.l.rtdc.4008%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180" customFormat="1" x14ac:dyDescent="0.25">
      <c r="A199" s="186" t="s">
        <v>836</v>
      </c>
      <c r="B199" s="182">
        <v>4007</v>
      </c>
      <c r="C199" s="184" t="s">
        <v>192</v>
      </c>
      <c r="D199" s="184" t="s">
        <v>639</v>
      </c>
      <c r="E199" s="183">
        <v>43084.748206018521</v>
      </c>
      <c r="F199" s="183">
        <v>43084.758333333331</v>
      </c>
      <c r="G199" s="182">
        <v>55</v>
      </c>
      <c r="H199" s="184" t="s">
        <v>1063</v>
      </c>
      <c r="I199" s="183">
        <v>43084.76761574074</v>
      </c>
      <c r="J199" s="182">
        <v>0</v>
      </c>
      <c r="K199" s="190" t="str">
        <f t="shared" si="113"/>
        <v>4007/4008</v>
      </c>
      <c r="L199" s="196" t="str">
        <f>VLOOKUP(A199,'Trips&amp;Operators'!$C$1:$G$99911,5,FALSE)</f>
        <v>LORI SANTOS</v>
      </c>
      <c r="M199" s="181">
        <f t="shared" si="114"/>
        <v>9.2824074090458453E-3</v>
      </c>
      <c r="N199" s="182">
        <f t="shared" si="121"/>
        <v>13.366666669026017</v>
      </c>
      <c r="O199" s="182"/>
      <c r="P199" s="182"/>
      <c r="Q199" s="185"/>
      <c r="R199" s="197"/>
      <c r="S199" s="241">
        <f t="shared" si="122"/>
        <v>1</v>
      </c>
      <c r="T199" s="220" t="str">
        <f t="shared" si="115"/>
        <v>Southbound</v>
      </c>
      <c r="U199" s="22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21" t="str">
        <f t="shared" si="85"/>
        <v>https://d0f6bd738d7f1b3e5a7ca70fe4ff75f0.us-east-1.aws.found.io/app/kibana#/discover/Steve-Slow-Train-Analysis-(2080s-and-2083s)?_g=(refreshInterval:(display:Off,pause:!f,section:0,value:0),time:(from:'2017-12-15T16:57:25-0700',mode:absolute,to:'2017-12-15T19:25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9" s="222" t="str">
        <f>IF(AA199&lt;VLOOKUP(AG199,Variables!$AC$3:$AD$8,2,FALSE),"Y","N")</f>
        <v>N</v>
      </c>
      <c r="X199" s="222">
        <f t="shared" si="112"/>
        <v>1</v>
      </c>
      <c r="Y199" s="222">
        <f t="shared" si="119"/>
        <v>5.8613</v>
      </c>
      <c r="Z199" s="222">
        <f t="shared" si="120"/>
        <v>1.4E-2</v>
      </c>
      <c r="AA199" s="222">
        <f t="shared" si="116"/>
        <v>5.8472999999999997</v>
      </c>
      <c r="AB199" s="231" t="e">
        <f>VLOOKUP(A199,Enforcements!$C$7:$K$9,8,0)</f>
        <v>#N/A</v>
      </c>
      <c r="AC199" s="231" t="e">
        <f>VLOOKUP(A199,Enforcements!$C$7:$E$9,3,0)</f>
        <v>#N/A</v>
      </c>
      <c r="AD199" s="232">
        <f t="shared" si="117"/>
        <v>836</v>
      </c>
      <c r="AE199" s="233" t="str">
        <f t="shared" si="88"/>
        <v>aws s3 cp s3://rtdc.mdm.uploadarchive.raw/RTDC4007/ "%USERPROFILE%\AppData\Local\Temp\OnboardLogs"\RTDC4007\2017-12-15 --exclude "*" --recursive --include "*20171215*" &amp; "%USERPROFILE%\Documents\GitHub\mrs-test-scripts\Headless Mode &amp; Sideloading\WalkAndUnGZ.bat" "%USERPROFILE%\AppData\Local\Temp\OnboardLogs"\RTDC4007\2017-12-15 &amp; aws s3 cp s3://rtdc.mdm.uploadarchive.raw/RTDC4007/ "%USERPROFILE%\AppData\Local\Temp\OnboardLogs"\RTDC4007\2017-12-16 --exclude "*" --recursive --include "*20171216*" &amp; "%USERPROFILE%\Documents\GitHub\mrs-test-scripts\Headless Mode &amp; Sideloading\WalkAndUnGZ.bat" "%USERPROFILE%\AppData\Local\Temp\OnboardLogs"\RTDC4007\2017-12-16</v>
      </c>
      <c r="AF199" s="234" t="str">
        <f t="shared" si="89"/>
        <v>"C:\Program Files (x86)\AstroGrep\AstroGrep.exe" /e /r /s /spath="%USERPROFILE%\AppData\Local\Temp\OnboardLogs" /stypes="app*4007*20171216*" /stext=" 01:.+((SYSTEM_STATE.+slice.+state.+changed )|(ment ac)|(multiple cpu faults)|(system.+state.+changed )|(\[timeout)|(PRM\|1\|D)|(kpr)|(kdp)|(train st.+moving)|(\|lc)|(penalty))"</v>
      </c>
      <c r="AG199" s="226" t="str">
        <f t="shared" si="118"/>
        <v>NW</v>
      </c>
      <c r="AH199" s="189" t="str">
        <f t="shared" si="91"/>
        <v>"%USERPROFILE%\Documents\GitHub\eaglep3\Utilities\RefineRTDCRunTimes.py" --tripid 836-15 --locoid 4007 --swversion DE.1.0.9.0 --startMP 300:58613 --initTime 2017-12-15T17:57:25 --startdatetime 2017-12-15T18:12:00 --delay 55 --endMP 204:140 --enddatetime 2017-12-15T18:25:22 --enforcementcount 0 &gt;&gt;%USERPROFILE%\Documents\GitHub\eaglep3-reporting\EC\2017-12-15-refined-times.txt</v>
      </c>
      <c r="AI199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{"issue":{"subject":"","project_id":79,"tracker_id":40,"status_id":1,"priority_id":2,"assigned_to_id":338,"start_date":"2017-12-15","description":"","custom_fields":[{"id":1,"name":"Subdivision","value":"NW"},{"id":4,"name":"Milepost","value":"0.014"},{"id":17,"name":"Train ID","value":"836-15"},{"id":16,"name":"Locomotive ID","value":"4007"},{"id":130,"name":"Impact","value":""},{"id":150,"name":"Time of Event (Mountain Time)","value":"18:25:22"},{"id":151,"name":"Denver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188"/>
      <c r="AL199" s="188"/>
      <c r="AM199" s="193" t="str">
        <f t="shared" si="93"/>
        <v>start /low /b %USERPROFILE%\Documents\GitHub\eaglep3\Utilities\DownloadLogsFromS3.py --loco 4007 --day 2017-12-15</v>
      </c>
      <c r="AN199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01:25:22"},{"id":29,"name":"Sharepoint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87" t="str">
        <f t="shared" si="95"/>
        <v>https://d0f6bd738d7f1b3e5a7ca70fe4ff75f0.us-east-1.aws.found.io/app/kibana#/discover/Steve-Slow-Train-Analysis-(2080s-and-2083s)?_g=(refreshInterval:(display:Off,pause:!f,section:0,value:0),time:(from:'2017-12-15T16:57:25-0700',mode:absolute,to:'2017-12-15T19:25:22-0700'))&amp;_a=(columns:!('Message%20ID',Summary),filters:!(),index:'emp_*',interval:auto,query:(query_string:(analyze_wildcard:!t,query:'%22rtdc.l.rtdc.4007%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180" customFormat="1" x14ac:dyDescent="0.25">
      <c r="A200" s="186" t="s">
        <v>837</v>
      </c>
      <c r="B200" s="182">
        <v>4050</v>
      </c>
      <c r="C200" s="184" t="s">
        <v>192</v>
      </c>
      <c r="D200" s="184" t="s">
        <v>1064</v>
      </c>
      <c r="E200" s="183">
        <v>43084.753877314812</v>
      </c>
      <c r="F200" s="183">
        <v>43084.756516203706</v>
      </c>
      <c r="G200" s="182">
        <v>56</v>
      </c>
      <c r="H200" s="184" t="s">
        <v>1065</v>
      </c>
      <c r="I200" s="183">
        <v>43084.767106481479</v>
      </c>
      <c r="J200" s="182">
        <v>0</v>
      </c>
      <c r="K200" s="190" t="str">
        <f t="shared" si="113"/>
        <v>4049/4050</v>
      </c>
      <c r="L200" s="196" t="str">
        <f>VLOOKUP(A200,'Trips&amp;Operators'!$C$1:$G$99911,5,FALSE)</f>
        <v>WEST BRYAN</v>
      </c>
      <c r="M200" s="181">
        <f t="shared" si="114"/>
        <v>1.0590277772280388E-2</v>
      </c>
      <c r="N200" s="182">
        <f t="shared" si="121"/>
        <v>15.249999992083758</v>
      </c>
      <c r="O200" s="182"/>
      <c r="P200" s="182"/>
      <c r="Q200" s="185"/>
      <c r="R200" s="197"/>
      <c r="S200" s="241">
        <f t="shared" si="122"/>
        <v>1</v>
      </c>
      <c r="T200" s="220" t="str">
        <f t="shared" si="115"/>
        <v>NorthBound</v>
      </c>
      <c r="U200" s="22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21" t="str">
        <f t="shared" si="85"/>
        <v>https://d0f6bd738d7f1b3e5a7ca70fe4ff75f0.us-east-1.aws.found.io/app/kibana#/discover/Steve-Slow-Train-Analysis-(2080s-and-2083s)?_g=(refreshInterval:(display:Off,pause:!f,section:0,value:0),time:(from:'2017-12-15T17:05:35-0700',mode:absolute,to:'2017-12-15T19:24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0" s="222" t="str">
        <f>IF(AA200&lt;VLOOKUP(AG200,Variables!$AC$3:$AD$8,2,FALSE),"Y","N")</f>
        <v>N</v>
      </c>
      <c r="X200" s="222">
        <f t="shared" si="112"/>
        <v>1</v>
      </c>
      <c r="Y200" s="222">
        <f t="shared" si="119"/>
        <v>4.24E-2</v>
      </c>
      <c r="Z200" s="222">
        <f t="shared" si="120"/>
        <v>5.8956</v>
      </c>
      <c r="AA200" s="222">
        <f t="shared" si="116"/>
        <v>5.8532000000000002</v>
      </c>
      <c r="AB200" s="231" t="e">
        <f>VLOOKUP(A200,Enforcements!$C$7:$K$9,8,0)</f>
        <v>#N/A</v>
      </c>
      <c r="AC200" s="231" t="e">
        <f>VLOOKUP(A200,Enforcements!$C$7:$E$9,3,0)</f>
        <v>#N/A</v>
      </c>
      <c r="AD200" s="232">
        <f t="shared" si="117"/>
        <v>837</v>
      </c>
      <c r="AE200" s="233" t="str">
        <f t="shared" si="88"/>
        <v>aws s3 cp s3://rtdc.mdm.uploadarchive.raw/RTDC4050/ "%USERPROFILE%\AppData\Local\Temp\OnboardLogs"\RTDC4050\2017-12-15 --exclude "*" --recursive --include "*20171215*" &amp; "%USERPROFILE%\Documents\GitHub\mrs-test-scripts\Headless Mode &amp; Sideloading\WalkAndUnGZ.bat" "%USERPROFILE%\AppData\Local\Temp\OnboardLogs"\RTDC4050\2017-12-15 &amp; 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</v>
      </c>
      <c r="AF200" s="234" t="str">
        <f t="shared" si="89"/>
        <v>"C:\Program Files (x86)\AstroGrep\AstroGrep.exe" /e /r /s /spath="%USERPROFILE%\AppData\Local\Temp\OnboardLogs" /stypes="app*4050*20171216*" /stext=" 01:.+((SYSTEM_STATE.+slice.+state.+changed )|(ment ac)|(multiple cpu faults)|(system.+state.+changed )|(\[timeout)|(PRM\|1\|D)|(kpr)|(kdp)|(train st.+moving)|(\|lc)|(penalty))"</v>
      </c>
      <c r="AG200" s="226" t="str">
        <f t="shared" si="118"/>
        <v>NW</v>
      </c>
      <c r="AH200" s="189" t="str">
        <f t="shared" si="91"/>
        <v>"%USERPROFILE%\Documents\GitHub\eaglep3\Utilities\RefineRTDCRunTimes.py" --tripid 837-15 --locoid 4050 --swversion DE.1.0.9.0 --startMP 204:424 --initTime 2017-12-15T18:05:35 --startdatetime 2017-12-15T18:09:23 --delay 56 --endMP 300:58956 --enddatetime 2017-12-15T18:24:38 --enforcementcount 0 &gt;&gt;%USERPROFILE%\Documents\GitHub\eaglep3-reporting\EC\2017-12-15-refined-times.txt</v>
      </c>
      <c r="AI200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{"issue":{"subject":"","project_id":79,"tracker_id":40,"status_id":1,"priority_id":2,"assigned_to_id":338,"start_date":"2017-12-15","description":"","custom_fields":[{"id":1,"name":"Subdivision","value":"NW"},{"id":4,"name":"Milepost","value":"5.8956"},{"id":17,"name":"Train ID","value":"837-15"},{"id":16,"name":"Locomotive ID","value":"4050"},{"id":130,"name":"Impact","value":""},{"id":150,"name":"Time of Event (Mountain Time)","value":"18:24:38"},{"id":151,"name":"Denver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188"/>
      <c r="AL200" s="188"/>
      <c r="AM200" s="193" t="str">
        <f t="shared" si="93"/>
        <v>start /low /b %USERPROFILE%\Documents\GitHub\eaglep3\Utilities\DownloadLogsFromS3.py --loco 4050 --day 2017-12-15</v>
      </c>
      <c r="AN200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01:24:38"},{"id":29,"name":"Sharepoint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87" t="str">
        <f t="shared" si="95"/>
        <v>https://d0f6bd738d7f1b3e5a7ca70fe4ff75f0.us-east-1.aws.found.io/app/kibana#/discover/Steve-Slow-Train-Analysis-(2080s-and-2083s)?_g=(refreshInterval:(display:Off,pause:!f,section:0,value:0),time:(from:'2017-12-15T17:05:35-0700',mode:absolute,to:'2017-12-15T19:24:38-0700'))&amp;_a=(columns:!('Message%20ID',Summary),filters:!(),index:'emp_*',interval:auto,query:(query_string:(analyze_wildcard:!t,query:'%22rtdc.l.rtdc.4050%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180" customFormat="1" x14ac:dyDescent="0.25">
      <c r="A201" s="186" t="s">
        <v>841</v>
      </c>
      <c r="B201" s="182">
        <v>4049</v>
      </c>
      <c r="C201" s="184" t="s">
        <v>192</v>
      </c>
      <c r="D201" s="184" t="s">
        <v>1066</v>
      </c>
      <c r="E201" s="183">
        <v>43084.76898148148</v>
      </c>
      <c r="F201" s="183">
        <v>43084.779166666667</v>
      </c>
      <c r="G201" s="182">
        <v>52</v>
      </c>
      <c r="H201" s="184" t="s">
        <v>468</v>
      </c>
      <c r="I201" s="183">
        <v>43084.788969907408</v>
      </c>
      <c r="J201" s="182">
        <v>0</v>
      </c>
      <c r="K201" s="190" t="str">
        <f t="shared" si="113"/>
        <v>4049/4050</v>
      </c>
      <c r="L201" s="196" t="str">
        <f>VLOOKUP(A201,'Trips&amp;Operators'!$C$1:$G$99911,5,FALSE)</f>
        <v>WEST BRYAN</v>
      </c>
      <c r="M201" s="181">
        <f t="shared" si="114"/>
        <v>9.8032407404389232E-3</v>
      </c>
      <c r="N201" s="182">
        <f t="shared" si="121"/>
        <v>14.116666666232049</v>
      </c>
      <c r="O201" s="182"/>
      <c r="P201" s="182"/>
      <c r="Q201" s="185"/>
      <c r="R201" s="197"/>
      <c r="S201" s="241">
        <f t="shared" si="122"/>
        <v>1</v>
      </c>
      <c r="T201" s="220" t="str">
        <f t="shared" si="115"/>
        <v>Southbound</v>
      </c>
      <c r="U201" s="22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21" t="str">
        <f t="shared" si="85"/>
        <v>https://d0f6bd738d7f1b3e5a7ca70fe4ff75f0.us-east-1.aws.found.io/app/kibana#/discover/Steve-Slow-Train-Analysis-(2080s-and-2083s)?_g=(refreshInterval:(display:Off,pause:!f,section:0,value:0),time:(from:'2017-12-15T17:27:20-0700',mode:absolute,to:'2017-12-15T19:56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1" s="222" t="str">
        <f>IF(AA201&lt;VLOOKUP(AG201,Variables!$AC$3:$AD$8,2,FALSE),"Y","N")</f>
        <v>N</v>
      </c>
      <c r="X201" s="222">
        <f t="shared" si="112"/>
        <v>1</v>
      </c>
      <c r="Y201" s="222">
        <f t="shared" si="119"/>
        <v>5.8644999999999996</v>
      </c>
      <c r="Z201" s="222">
        <f t="shared" si="120"/>
        <v>1.49E-2</v>
      </c>
      <c r="AA201" s="222">
        <f t="shared" si="116"/>
        <v>5.8495999999999997</v>
      </c>
      <c r="AB201" s="231" t="e">
        <f>VLOOKUP(A201,Enforcements!$C$7:$K$9,8,0)</f>
        <v>#N/A</v>
      </c>
      <c r="AC201" s="231" t="e">
        <f>VLOOKUP(A201,Enforcements!$C$7:$E$9,3,0)</f>
        <v>#N/A</v>
      </c>
      <c r="AD201" s="232">
        <f t="shared" si="117"/>
        <v>838</v>
      </c>
      <c r="AE201" s="233" t="str">
        <f t="shared" si="88"/>
        <v>aws s3 cp s3://rtdc.mdm.uploadarchive.raw/RTDC4049/ "%USERPROFILE%\AppData\Local\Temp\OnboardLogs"\RTDC4049\2017-12-15 --exclude "*" --recursive --include "*20171215*" &amp; "%USERPROFILE%\Documents\GitHub\mrs-test-scripts\Headless Mode &amp; Sideloading\WalkAndUnGZ.bat" "%USERPROFILE%\AppData\Local\Temp\OnboardLogs"\RTDC4049\2017-12-15 &amp; 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</v>
      </c>
      <c r="AF201" s="234" t="str">
        <f t="shared" si="89"/>
        <v>"C:\Program Files (x86)\AstroGrep\AstroGrep.exe" /e /r /s /spath="%USERPROFILE%\AppData\Local\Temp\OnboardLogs" /stypes="app*4049*20171216*" /stext=" 01:.+((SYSTEM_STATE.+slice.+state.+changed )|(ment ac)|(multiple cpu faults)|(system.+state.+changed )|(\[timeout)|(PRM\|1\|D)|(kpr)|(kdp)|(train st.+moving)|(\|lc)|(penalty))"</v>
      </c>
      <c r="AG201" s="226" t="str">
        <f t="shared" si="118"/>
        <v>NW</v>
      </c>
      <c r="AH201" s="189" t="str">
        <f t="shared" si="91"/>
        <v>"%USERPROFILE%\Documents\GitHub\eaglep3\Utilities\RefineRTDCRunTimes.py" --tripid 838-15 --locoid 4049 --swversion DE.1.0.9.0 --startMP 300:58645 --initTime 2017-12-15T18:27:20 --startdatetime 2017-12-15T18:42:00 --delay 52 --endMP 204:149 --enddatetime 2017-12-15T18:56:07 --enforcementcount 0 &gt;&gt;%USERPROFILE%\Documents\GitHub\eaglep3-reporting\EC\2017-12-15-refined-times.txt</v>
      </c>
      <c r="AI201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{"issue":{"subject":"","project_id":79,"tracker_id":40,"status_id":1,"priority_id":2,"assigned_to_id":338,"start_date":"2017-12-15","description":"","custom_fields":[{"id":1,"name":"Subdivision","value":"NW"},{"id":4,"name":"Milepost","value":"0.0149"},{"id":17,"name":"Train ID","value":"838-15"},{"id":16,"name":"Locomotive ID","value":"4049"},{"id":130,"name":"Impact","value":""},{"id":150,"name":"Time of Event (Mountain Time)","value":"18:56:07"},{"id":151,"name":"Denver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188"/>
      <c r="AL201" s="188"/>
      <c r="AM201" s="193" t="str">
        <f t="shared" si="93"/>
        <v>start /low /b %USERPROFILE%\Documents\GitHub\eaglep3\Utilities\DownloadLogsFromS3.py --loco 4049 --day 2017-12-15</v>
      </c>
      <c r="AN201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01:56:07"},{"id":29,"name":"Sharepoint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87" t="str">
        <f t="shared" si="95"/>
        <v>https://d0f6bd738d7f1b3e5a7ca70fe4ff75f0.us-east-1.aws.found.io/app/kibana#/discover/Steve-Slow-Train-Analysis-(2080s-and-2083s)?_g=(refreshInterval:(display:Off,pause:!f,section:0,value:0),time:(from:'2017-12-15T17:27:20-0700',mode:absolute,to:'2017-12-15T19:56:07-0700'))&amp;_a=(columns:!('Message%20ID',Summary),filters:!(),index:'emp_*',interval:auto,query:(query_string:(analyze_wildcard:!t,query:'%22rtdc.l.rtdc.4049%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186" t="s">
        <v>842</v>
      </c>
      <c r="B202" s="182">
        <v>4008</v>
      </c>
      <c r="C202" s="184" t="s">
        <v>192</v>
      </c>
      <c r="D202" s="184" t="s">
        <v>1067</v>
      </c>
      <c r="E202" s="183">
        <v>43084.772627314815</v>
      </c>
      <c r="F202" s="183">
        <v>43084.777314814812</v>
      </c>
      <c r="G202" s="182">
        <v>69</v>
      </c>
      <c r="H202" s="184" t="s">
        <v>628</v>
      </c>
      <c r="I202" s="183">
        <v>43084.787916666668</v>
      </c>
      <c r="J202" s="182">
        <v>0</v>
      </c>
      <c r="K202" s="190" t="str">
        <f t="shared" si="113"/>
        <v>4007/4008</v>
      </c>
      <c r="L202" s="196" t="str">
        <f>VLOOKUP(A202,'Trips&amp;Operators'!$C$1:$G$99911,5,FALSE)</f>
        <v>LORI SANTOS</v>
      </c>
      <c r="M202" s="181">
        <f t="shared" si="114"/>
        <v>1.0601851856335998E-2</v>
      </c>
      <c r="N202" s="182">
        <f t="shared" si="121"/>
        <v>15.266666673123837</v>
      </c>
      <c r="O202" s="182"/>
      <c r="P202" s="182"/>
      <c r="Q202" s="185"/>
      <c r="R202" s="197"/>
      <c r="S202" s="241">
        <f t="shared" si="122"/>
        <v>1</v>
      </c>
      <c r="T202" s="220" t="str">
        <f t="shared" si="115"/>
        <v>NorthBound</v>
      </c>
      <c r="U202" s="22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21" t="str">
        <f t="shared" si="85"/>
        <v>https://d0f6bd738d7f1b3e5a7ca70fe4ff75f0.us-east-1.aws.found.io/app/kibana#/discover/Steve-Slow-Train-Analysis-(2080s-and-2083s)?_g=(refreshInterval:(display:Off,pause:!f,section:0,value:0),time:(from:'2017-12-15T17:32:35-0700',mode:absolute,to:'2017-12-15T19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2" s="222" t="str">
        <f>IF(AA202&lt;VLOOKUP(AG202,Variables!$AC$3:$AD$8,2,FALSE),"Y","N")</f>
        <v>N</v>
      </c>
      <c r="X202" s="222">
        <f t="shared" si="112"/>
        <v>1</v>
      </c>
      <c r="Y202" s="222">
        <f t="shared" si="119"/>
        <v>4.2799999999999998E-2</v>
      </c>
      <c r="Z202" s="222">
        <f t="shared" si="120"/>
        <v>5.8960999999999997</v>
      </c>
      <c r="AA202" s="222">
        <f t="shared" si="116"/>
        <v>5.8532999999999999</v>
      </c>
      <c r="AB202" s="231" t="e">
        <f>VLOOKUP(A202,Enforcements!$C$7:$K$9,8,0)</f>
        <v>#N/A</v>
      </c>
      <c r="AC202" s="231" t="e">
        <f>VLOOKUP(A202,Enforcements!$C$7:$E$9,3,0)</f>
        <v>#N/A</v>
      </c>
      <c r="AD202" s="232">
        <f t="shared" si="117"/>
        <v>839</v>
      </c>
      <c r="AE202" s="233" t="str">
        <f t="shared" si="88"/>
        <v>aws s3 cp s3://rtdc.mdm.uploadarchive.raw/RTDC4008/ "%USERPROFILE%\AppData\Local\Temp\OnboardLogs"\RTDC4008\2017-12-15 --exclude "*" --recursive --include "*20171215*" &amp; "%USERPROFILE%\Documents\GitHub\mrs-test-scripts\Headless Mode &amp; Sideloading\WalkAndUnGZ.bat" "%USERPROFILE%\AppData\Local\Temp\OnboardLogs"\RTDC4008\2017-12-15 &amp; aws s3 cp s3://rtdc.mdm.uploadarchive.raw/RTDC4008/ "%USERPROFILE%\AppData\Local\Temp\OnboardLogs"\RTDC4008\2017-12-16 --exclude "*" --recursive --include "*20171216*" &amp; "%USERPROFILE%\Documents\GitHub\mrs-test-scripts\Headless Mode &amp; Sideloading\WalkAndUnGZ.bat" "%USERPROFILE%\AppData\Local\Temp\OnboardLogs"\RTDC4008\2017-12-16</v>
      </c>
      <c r="AF202" s="234" t="str">
        <f t="shared" si="89"/>
        <v>"C:\Program Files (x86)\AstroGrep\AstroGrep.exe" /e /r /s /spath="%USERPROFILE%\AppData\Local\Temp\OnboardLogs" /stypes="app*4008*20171216*" /stext=" 01:.+((SYSTEM_STATE.+slice.+state.+changed )|(ment ac)|(multiple cpu faults)|(system.+state.+changed )|(\[timeout)|(PRM\|1\|D)|(kpr)|(kdp)|(train st.+moving)|(\|lc)|(penalty))"</v>
      </c>
      <c r="AG202" s="226" t="str">
        <f t="shared" si="118"/>
        <v>NW</v>
      </c>
      <c r="AH202" s="189" t="str">
        <f t="shared" si="91"/>
        <v>"%USERPROFILE%\Documents\GitHub\eaglep3\Utilities\RefineRTDCRunTimes.py" --tripid 839-15 --locoid 4008 --swversion DE.1.0.9.0 --startMP 204:428 --initTime 2017-12-15T18:32:35 --startdatetime 2017-12-15T18:39:20 --delay 69 --endMP 300:58961 --enddatetime 2017-12-15T18:54:36 --enforcementcount 0 &gt;&gt;%USERPROFILE%\Documents\GitHub\eaglep3-reporting\EC\2017-12-15-refined-times.txt</v>
      </c>
      <c r="AI202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{"issue":{"subject":"","project_id":79,"tracker_id":40,"status_id":1,"priority_id":2,"assigned_to_id":338,"start_date":"2017-12-15","description":"","custom_fields":[{"id":1,"name":"Subdivision","value":"NW"},{"id":4,"name":"Milepost","value":"5.8961"},{"id":17,"name":"Train ID","value":"839-15"},{"id":16,"name":"Locomotive ID","value":"4008"},{"id":130,"name":"Impact","value":""},{"id":150,"name":"Time of Event (Mountain Time)","value":"18:54:36"},{"id":151,"name":"Denver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180"/>
      <c r="AK202" s="188"/>
      <c r="AL202" s="188"/>
      <c r="AM202" s="193" t="str">
        <f t="shared" si="93"/>
        <v>start /low /b %USERPROFILE%\Documents\GitHub\eaglep3\Utilities\DownloadLogsFromS3.py --loco 4008 --day 2017-12-15</v>
      </c>
      <c r="AN202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01:54:36"},{"id":29,"name":"Sharepoint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87" t="str">
        <f t="shared" si="95"/>
        <v>https://d0f6bd738d7f1b3e5a7ca70fe4ff75f0.us-east-1.aws.found.io/app/kibana#/discover/Steve-Slow-Train-Analysis-(2080s-and-2083s)?_g=(refreshInterval:(display:Off,pause:!f,section:0,value:0),time:(from:'2017-12-15T17:32:35-0700',mode:absolute,to:'2017-12-15T19:54:36-0700'))&amp;_a=(columns:!('Message%20ID',Summary),filters:!(),index:'emp_*',interval:auto,query:(query_string:(analyze_wildcard:!t,query:'%22rtdc.l.rtdc.4008%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180" customFormat="1" x14ac:dyDescent="0.25">
      <c r="A203" s="186" t="s">
        <v>852</v>
      </c>
      <c r="B203" s="182">
        <v>4049</v>
      </c>
      <c r="C203" s="184" t="s">
        <v>192</v>
      </c>
      <c r="D203" s="184" t="s">
        <v>514</v>
      </c>
      <c r="E203" s="183">
        <v>43084.810717592591</v>
      </c>
      <c r="F203" s="183">
        <v>43084.820833333331</v>
      </c>
      <c r="G203" s="182">
        <v>52</v>
      </c>
      <c r="H203" s="184" t="s">
        <v>605</v>
      </c>
      <c r="I203" s="183">
        <v>43084.830266203702</v>
      </c>
      <c r="J203" s="182">
        <v>0</v>
      </c>
      <c r="K203" s="190" t="str">
        <f t="shared" ref="K203:K210" si="123">IF(ISEVEN(B203),(B203-1)&amp;"/"&amp;B203,B203&amp;"/"&amp;(B203+1))</f>
        <v>4049/4050</v>
      </c>
      <c r="L203" s="196" t="str">
        <f>VLOOKUP(A203,'Trips&amp;Operators'!$C$1:$G$99911,5,FALSE)</f>
        <v>WEST BRYAN</v>
      </c>
      <c r="M203" s="181">
        <f t="shared" ref="M203:M210" si="124">I203-F203</f>
        <v>9.4328703708015382E-3</v>
      </c>
      <c r="N203" s="182">
        <f t="shared" ref="N203:N210" si="125">24*60*SUM($M203:$M203)</f>
        <v>13.583333333954215</v>
      </c>
      <c r="O203" s="182"/>
      <c r="P203" s="182"/>
      <c r="Q203" s="185"/>
      <c r="R203" s="197"/>
      <c r="S203" s="241">
        <f t="shared" ref="S203:S210" si="126">1/IF(AG203="EC",12,1)*SUM(U203:U203)</f>
        <v>1</v>
      </c>
      <c r="T203" s="220" t="str">
        <f t="shared" ref="T203:T210" si="127">IF(ISEVEN(LEFT(AD203,4)),"Southbound","NorthBound")</f>
        <v>Southbound</v>
      </c>
      <c r="U203" s="22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21" t="str">
        <f t="shared" si="85"/>
        <v>https://d0f6bd738d7f1b3e5a7ca70fe4ff75f0.us-east-1.aws.found.io/app/kibana#/discover/Steve-Slow-Train-Analysis-(2080s-and-2083s)?_g=(refreshInterval:(display:Off,pause:!f,section:0,value:0),time:(from:'2017-12-15T18:27:26-0700',mode:absolute,to:'2017-12-15T20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3" s="222" t="str">
        <f>IF(AA203&lt;VLOOKUP(AG203,Variables!$AC$3:$AD$8,2,FALSE),"Y","N")</f>
        <v>N</v>
      </c>
      <c r="X203" s="222">
        <f t="shared" ref="X203:X215" si="128">VALUE(LEFT(AD203,4))-VALUE(LEFT(AD202,4))</f>
        <v>1</v>
      </c>
      <c r="Y203" s="222">
        <f t="shared" ref="Y203:Y215" si="129">RIGHT(D203,LEN(D203)-4)/10000</f>
        <v>5.8620999999999999</v>
      </c>
      <c r="Z203" s="222">
        <f t="shared" ref="Z203:Z210" si="130">RIGHT(H203,LEN(H203)-4)/10000</f>
        <v>1.5800000000000002E-2</v>
      </c>
      <c r="AA203" s="222">
        <f t="shared" ref="AA203:AA210" si="131">ABS(Z203-Y203)</f>
        <v>5.8463000000000003</v>
      </c>
      <c r="AB203" s="231" t="e">
        <f>VLOOKUP(A203,Enforcements!$C$7:$K$9,8,0)</f>
        <v>#N/A</v>
      </c>
      <c r="AC203" s="231" t="e">
        <f>VLOOKUP(A203,Enforcements!$C$7:$E$9,3,0)</f>
        <v>#N/A</v>
      </c>
      <c r="AD203" s="232">
        <f t="shared" ref="AD203:AD210" si="132">VALUE(LEFT(A203,LEN(A203)-3))</f>
        <v>840</v>
      </c>
      <c r="AE203" s="233" t="str">
        <f t="shared" si="88"/>
        <v>aws s3 cp s3://rtdc.mdm.uploadarchive.raw/RTDC4049/ "%USERPROFILE%\AppData\Local\Temp\OnboardLogs"\RTDC4049\2017-12-15 --exclude "*" --recursive --include "*20171215*" &amp; "%USERPROFILE%\Documents\GitHub\mrs-test-scripts\Headless Mode &amp; Sideloading\WalkAndUnGZ.bat" "%USERPROFILE%\AppData\Local\Temp\OnboardLogs"\RTDC4049\2017-12-15 &amp; 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</v>
      </c>
      <c r="AF203" s="234" t="str">
        <f t="shared" si="89"/>
        <v>"C:\Program Files (x86)\AstroGrep\AstroGrep.exe" /e /r /s /spath="%USERPROFILE%\AppData\Local\Temp\OnboardLogs" /stypes="app*4049*20171216*" /stext=" 02:.+((SYSTEM_STATE.+slice.+state.+changed )|(ment ac)|(multiple cpu faults)|(system.+state.+changed )|(\[timeout)|(PRM\|1\|D)|(kpr)|(kdp)|(train st.+moving)|(\|lc)|(penalty))"</v>
      </c>
      <c r="AG203" s="226" t="str">
        <f t="shared" ref="AG203:AG210" si="133">DetSubdiv(A203)</f>
        <v>NW</v>
      </c>
      <c r="AH203" s="189" t="str">
        <f t="shared" ref="AH203:AH210" si="134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840-15 --locoid 4049 --swversion DE.1.0.9.0 --startMP 300:58621 --initTime 2017-12-15T19:27:26 --startdatetime 2017-12-15T19:42:00 --delay 52 --endMP 204:158 --enddatetime 2017-12-15T19:55:35 --enforcementcount 0 &gt;&gt;%USERPROFILE%\Documents\GitHub\eaglep3-reporting\EC\2017-12-15-refined-times.txt</v>
      </c>
      <c r="AI203" s="191" t="str">
        <f t="shared" ref="AI203:AI210" si="135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{"issue":{"subject":"","project_id":79,"tracker_id":40,"status_id":1,"priority_id":2,"assigned_to_id":338,"start_date":"2017-12-15","description":"","custom_fields":[{"id":1,"name":"Subdivision","value":"NW"},{"id":4,"name":"Milepost","value":"0.0158"},{"id":17,"name":"Train ID","value":"840-15"},{"id":16,"name":"Locomotive ID","value":"4049"},{"id":130,"name":"Impact","value":""},{"id":150,"name":"Time of Event (Mountain Time)","value":"19:55:35"},{"id":151,"name":"Denver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188"/>
      <c r="AL203" s="188"/>
      <c r="AM203" s="193" t="str">
        <f t="shared" ref="AM203:AM210" si="136">"start /low /b "&amp;dls3logs&amp;" --loco "&amp;B203&amp;" --day "&amp;TEXT(F203,"YYYY-MM-DD")</f>
        <v>start /low /b %USERPROFILE%\Documents\GitHub\eaglep3\Utilities\DownloadLogsFromS3.py --loco 4049 --day 2017-12-15</v>
      </c>
      <c r="AN203" s="194" t="str">
        <f t="shared" ref="AN203:AN210" si="137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02:55:35"},{"id":29,"name":"Sharepoint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87" t="str">
        <f t="shared" ref="AO203:AO210" si="138"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Message%20ID',Summary),filters:!(),index:'emp_*',interval:auto,query:"&amp;"(query_string:(analyze_wildcard:!t,query:'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-12-15T18:27:26-0700',mode:absolute,to:'2017-12-15T20:55:35-0700'))&amp;_a=(columns:!('Message%20ID',Summary),filters:!(),index:'emp_*',interval:auto,query:(query_string:(analyze_wildcard:!t,query:'%22rtdc.l.rtdc.4049%22')),sort:!(Time.ISO8601,asc))</v>
      </c>
    </row>
    <row r="204" spans="1:91" s="180" customFormat="1" x14ac:dyDescent="0.25">
      <c r="A204" s="186" t="s">
        <v>848</v>
      </c>
      <c r="B204" s="182">
        <v>4050</v>
      </c>
      <c r="C204" s="184" t="s">
        <v>192</v>
      </c>
      <c r="D204" s="184" t="s">
        <v>491</v>
      </c>
      <c r="E204" s="183">
        <v>43084.791180555556</v>
      </c>
      <c r="F204" s="183">
        <v>43084.798368055555</v>
      </c>
      <c r="G204" s="182">
        <v>72</v>
      </c>
      <c r="H204" s="184" t="s">
        <v>640</v>
      </c>
      <c r="I204" s="183">
        <v>43084.808483796296</v>
      </c>
      <c r="J204" s="182">
        <v>0</v>
      </c>
      <c r="K204" s="190" t="str">
        <f t="shared" si="123"/>
        <v>4049/4050</v>
      </c>
      <c r="L204" s="196" t="str">
        <f>VLOOKUP(A204,'Trips&amp;Operators'!$C$1:$G$99911,5,FALSE)</f>
        <v>WEST BRYAN</v>
      </c>
      <c r="M204" s="181">
        <f t="shared" si="124"/>
        <v>1.0115740740729962E-2</v>
      </c>
      <c r="N204" s="182">
        <f t="shared" si="125"/>
        <v>14.566666666651145</v>
      </c>
      <c r="O204" s="182"/>
      <c r="P204" s="182"/>
      <c r="Q204" s="185"/>
      <c r="R204" s="197"/>
      <c r="S204" s="241">
        <f t="shared" si="126"/>
        <v>1</v>
      </c>
      <c r="T204" s="220" t="str">
        <f t="shared" si="127"/>
        <v>NorthBound</v>
      </c>
      <c r="U204" s="22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21" t="str">
        <f t="shared" si="85"/>
        <v>https://d0f6bd738d7f1b3e5a7ca70fe4ff75f0.us-east-1.aws.found.io/app/kibana#/discover/Steve-Slow-Train-Analysis-(2080s-and-2083s)?_g=(refreshInterval:(display:Off,pause:!f,section:0,value:0),time:(from:'2017-12-15T17:59:18-0700',mode:absolute,to:'2017-12-15T20:24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4" s="222" t="str">
        <f>IF(AA204&lt;VLOOKUP(AG204,Variables!$AC$3:$AD$8,2,FALSE),"Y","N")</f>
        <v>N</v>
      </c>
      <c r="X204" s="222">
        <f t="shared" si="128"/>
        <v>1</v>
      </c>
      <c r="Y204" s="222">
        <f t="shared" si="129"/>
        <v>4.6199999999999998E-2</v>
      </c>
      <c r="Z204" s="222">
        <f t="shared" si="130"/>
        <v>5.8935000000000004</v>
      </c>
      <c r="AA204" s="222">
        <f t="shared" si="131"/>
        <v>5.8473000000000006</v>
      </c>
      <c r="AB204" s="231" t="e">
        <f>VLOOKUP(A204,Enforcements!$C$7:$K$9,8,0)</f>
        <v>#N/A</v>
      </c>
      <c r="AC204" s="231" t="e">
        <f>VLOOKUP(A204,Enforcements!$C$7:$E$9,3,0)</f>
        <v>#N/A</v>
      </c>
      <c r="AD204" s="232">
        <f t="shared" si="132"/>
        <v>841</v>
      </c>
      <c r="AE204" s="233" t="str">
        <f t="shared" si="88"/>
        <v>aws s3 cp s3://rtdc.mdm.uploadarchive.raw/RTDC4050/ "%USERPROFILE%\AppData\Local\Temp\OnboardLogs"\RTDC4050\2017-12-15 --exclude "*" --recursive --include "*20171215*" &amp; "%USERPROFILE%\Documents\GitHub\mrs-test-scripts\Headless Mode &amp; Sideloading\WalkAndUnGZ.bat" "%USERPROFILE%\AppData\Local\Temp\OnboardLogs"\RTDC4050\2017-12-15 &amp; 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</v>
      </c>
      <c r="AF204" s="234" t="str">
        <f t="shared" si="89"/>
        <v>"C:\Program Files (x86)\AstroGrep\AstroGrep.exe" /e /r /s /spath="%USERPROFILE%\AppData\Local\Temp\OnboardLogs" /stypes="app*4050*20171216*" /stext=" 02:.+((SYSTEM_STATE.+slice.+state.+changed )|(ment ac)|(multiple cpu faults)|(system.+state.+changed )|(\[timeout)|(PRM\|1\|D)|(kpr)|(kdp)|(train st.+moving)|(\|lc)|(penalty))"</v>
      </c>
      <c r="AG204" s="226" t="str">
        <f t="shared" si="133"/>
        <v>NW</v>
      </c>
      <c r="AH204" s="189" t="str">
        <f t="shared" si="134"/>
        <v>"%USERPROFILE%\Documents\GitHub\eaglep3\Utilities\RefineRTDCRunTimes.py" --tripid 841-15 --locoid 4050 --swversion DE.1.0.9.0 --startMP 204:462 --initTime 2017-12-15T18:59:18 --startdatetime 2017-12-15T19:09:39 --delay 72 --endMP 300:58935 --enddatetime 2017-12-15T19:24:13 --enforcementcount 0 &gt;&gt;%USERPROFILE%\Documents\GitHub\eaglep3-reporting\EC\2017-12-15-refined-times.txt</v>
      </c>
      <c r="AI204" s="191" t="str">
        <f t="shared" si="135"/>
        <v>echo {"issue":{"subject":"","project_id":79,"tracker_id":40,"status_id":1,"priority_id":2,"assigned_to_id":338,"start_date":"2017-12-15","description":"","custom_fields":[{"id":1,"name":"Subdivision","value":"NW"},{"id":4,"name":"Milepost","value":"5.8935"},{"id":17,"name":"Train ID","value":"841-15"},{"id":16,"name":"Locomotive ID","value":"4050"},{"id":130,"name":"Impact","value":""},{"id":150,"name":"Time of Event (Mountain Time)","value":"19:24:13"},{"id":151,"name":"Denver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188"/>
      <c r="AL204" s="188"/>
      <c r="AM204" s="193" t="str">
        <f t="shared" si="136"/>
        <v>start /low /b %USERPROFILE%\Documents\GitHub\eaglep3\Utilities\DownloadLogsFromS3.py --loco 4050 --day 2017-12-15</v>
      </c>
      <c r="AN204" s="194" t="str">
        <f t="shared" si="137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02:24:13"},{"id":29,"name":"Sharepoint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87" t="str">
        <f t="shared" si="138"/>
        <v>https://d0f6bd738d7f1b3e5a7ca70fe4ff75f0.us-east-1.aws.found.io/app/kibana#/discover/Steve-Slow-Train-Analysis-(2080s-and-2083s)?_g=(refreshInterval:(display:Off,pause:!f,section:0,value:0),time:(from:'2017-12-15T17:59:18-0700',mode:absolute,to:'2017-12-15T20:24:13-0700'))&amp;_a=(columns:!('Message%20ID',Summary),filters:!(),index:'emp_*',interval:auto,query:(query_string:(analyze_wildcard:!t,query:'%22rtdc.l.rtdc.4050%22')),sort:!(Time.ISO8601,asc))</v>
      </c>
    </row>
    <row r="205" spans="1:91" s="180" customFormat="1" x14ac:dyDescent="0.25">
      <c r="A205" s="186" t="s">
        <v>858</v>
      </c>
      <c r="B205" s="182">
        <v>4049</v>
      </c>
      <c r="C205" s="184" t="s">
        <v>192</v>
      </c>
      <c r="D205" s="184" t="s">
        <v>1060</v>
      </c>
      <c r="E205" s="183">
        <v>43084.853206018517</v>
      </c>
      <c r="F205" s="183">
        <v>43084.862500000003</v>
      </c>
      <c r="G205" s="182">
        <v>51</v>
      </c>
      <c r="H205" s="184" t="s">
        <v>636</v>
      </c>
      <c r="I205" s="183">
        <v>43084.872013888889</v>
      </c>
      <c r="J205" s="182">
        <v>0</v>
      </c>
      <c r="K205" s="190" t="str">
        <f t="shared" si="123"/>
        <v>4049/4050</v>
      </c>
      <c r="L205" s="196" t="str">
        <f>VLOOKUP(A205,'Trips&amp;Operators'!$C$1:$G$99911,5,FALSE)</f>
        <v>WEST BRYAN</v>
      </c>
      <c r="M205" s="181">
        <f t="shared" si="124"/>
        <v>9.5138888864312321E-3</v>
      </c>
      <c r="N205" s="182">
        <f t="shared" si="125"/>
        <v>13.699999996460974</v>
      </c>
      <c r="O205" s="182"/>
      <c r="P205" s="182"/>
      <c r="Q205" s="185"/>
      <c r="R205" s="197"/>
      <c r="S205" s="241">
        <f t="shared" si="126"/>
        <v>1</v>
      </c>
      <c r="T205" s="220" t="str">
        <f t="shared" si="127"/>
        <v>Southbound</v>
      </c>
      <c r="U205" s="22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21" t="str">
        <f t="shared" ref="V205:V232" si="13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-15T19:28:37-0700',mode:absolute,to:'2017-12-15T21:55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5" s="222" t="str">
        <f>IF(AA205&lt;VLOOKUP(AG205,Variables!$AC$3:$AD$8,2,FALSE),"Y","N")</f>
        <v>N</v>
      </c>
      <c r="X205" s="222">
        <f t="shared" si="128"/>
        <v>1</v>
      </c>
      <c r="Y205" s="222">
        <f t="shared" si="129"/>
        <v>5.8624000000000001</v>
      </c>
      <c r="Z205" s="222">
        <f t="shared" si="130"/>
        <v>1.4200000000000001E-2</v>
      </c>
      <c r="AA205" s="222">
        <f t="shared" si="131"/>
        <v>5.8482000000000003</v>
      </c>
      <c r="AB205" s="231" t="e">
        <f>VLOOKUP(A205,Enforcements!$C$7:$K$9,8,0)</f>
        <v>#N/A</v>
      </c>
      <c r="AC205" s="231" t="e">
        <f>VLOOKUP(A205,Enforcements!$C$7:$E$9,3,0)</f>
        <v>#N/A</v>
      </c>
      <c r="AD205" s="232">
        <f t="shared" si="132"/>
        <v>842</v>
      </c>
      <c r="AE205" s="233" t="str">
        <f t="shared" ref="AE205:AE232" si="14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s3://rtdc.mdm.uploadarchive.raw/RTDC4049/ "%USERPROFILE%\AppData\Local\Temp\OnboardLogs"\RTDC4049\2017-12-15 --exclude "*" --recursive --include "*20171215*" &amp; "%USERPROFILE%\Documents\GitHub\mrs-test-scripts\Headless Mode &amp; Sideloading\WalkAndUnGZ.bat" "%USERPROFILE%\AppData\Local\Temp\OnboardLogs"\RTDC4049\2017-12-15 &amp; 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</v>
      </c>
      <c r="AF205" s="234" t="str">
        <f t="shared" ref="AF205:AF232" si="141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/stypes="app*4049*20171216*" /stext=" 03:.+((SYSTEM_STATE.+slice.+state.+changed )|(ment ac)|(multiple cpu faults)|(system.+state.+changed )|(\[timeout)|(PRM\|1\|D)|(kpr)|(kdp)|(train st.+moving)|(\|lc)|(penalty))"</v>
      </c>
      <c r="AG205" s="226" t="str">
        <f t="shared" si="133"/>
        <v>NW</v>
      </c>
      <c r="AH205" s="189" t="str">
        <f t="shared" si="134"/>
        <v>"%USERPROFILE%\Documents\GitHub\eaglep3\Utilities\RefineRTDCRunTimes.py" --tripid 842-15 --locoid 4049 --swversion DE.1.0.9.0 --startMP 300:58624 --initTime 2017-12-15T20:28:37 --startdatetime 2017-12-15T20:42:00 --delay 51 --endMP 204:142 --enddatetime 2017-12-15T20:55:42 --enforcementcount 0 &gt;&gt;%USERPROFILE%\Documents\GitHub\eaglep3-reporting\EC\2017-12-15-refined-times.txt</v>
      </c>
      <c r="AI205" s="191" t="str">
        <f t="shared" si="135"/>
        <v>echo {"issue":{"subject":"","project_id":79,"tracker_id":40,"status_id":1,"priority_id":2,"assigned_to_id":338,"start_date":"2017-12-15","description":"","custom_fields":[{"id":1,"name":"Subdivision","value":"NW"},{"id":4,"name":"Milepost","value":"0.0142"},{"id":17,"name":"Train ID","value":"842-15"},{"id":16,"name":"Locomotive ID","value":"4049"},{"id":130,"name":"Impact","value":""},{"id":150,"name":"Time of Event (Mountain Time)","value":"20:55:42"},{"id":151,"name":"Denver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188"/>
      <c r="AL205" s="188"/>
      <c r="AM205" s="193" t="str">
        <f t="shared" si="136"/>
        <v>start /low /b %USERPROFILE%\Documents\GitHub\eaglep3\Utilities\DownloadLogsFromS3.py --loco 4049 --day 2017-12-15</v>
      </c>
      <c r="AN205" s="194" t="str">
        <f t="shared" si="137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03:55:42"},{"id":29,"name":"Sharepoint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87" t="str">
        <f t="shared" si="138"/>
        <v>https://d0f6bd738d7f1b3e5a7ca70fe4ff75f0.us-east-1.aws.found.io/app/kibana#/discover/Steve-Slow-Train-Analysis-(2080s-and-2083s)?_g=(refreshInterval:(display:Off,pause:!f,section:0,value:0),time:(from:'2017-12-15T19:28:37-0700',mode:absolute,to:'2017-12-15T21:55:42-0700'))&amp;_a=(columns:!('Message%20ID',Summary),filters:!(),index:'emp_*',interval:auto,query:(query_string:(analyze_wildcard:!t,query:'%22rtdc.l.rtdc.4049%22')),sort:!(Time.ISO8601,asc))</v>
      </c>
    </row>
    <row r="206" spans="1:91" s="180" customFormat="1" x14ac:dyDescent="0.25">
      <c r="A206" s="186" t="s">
        <v>856</v>
      </c>
      <c r="B206" s="182">
        <v>4050</v>
      </c>
      <c r="C206" s="184" t="s">
        <v>192</v>
      </c>
      <c r="D206" s="184" t="s">
        <v>1049</v>
      </c>
      <c r="E206" s="183">
        <v>43084.837951388887</v>
      </c>
      <c r="F206" s="183">
        <v>43084.839918981481</v>
      </c>
      <c r="G206" s="182">
        <v>56</v>
      </c>
      <c r="H206" s="184" t="s">
        <v>1050</v>
      </c>
      <c r="I206" s="183">
        <v>43084.850543981483</v>
      </c>
      <c r="J206" s="182">
        <v>0</v>
      </c>
      <c r="K206" s="190" t="str">
        <f t="shared" si="123"/>
        <v>4049/4050</v>
      </c>
      <c r="L206" s="196" t="str">
        <f>VLOOKUP(A206,'Trips&amp;Operators'!$C$1:$G$99911,5,FALSE)</f>
        <v>WEST BRYAN</v>
      </c>
      <c r="M206" s="181">
        <f t="shared" si="124"/>
        <v>1.0625000002619345E-2</v>
      </c>
      <c r="N206" s="182">
        <f t="shared" si="125"/>
        <v>15.300000003771856</v>
      </c>
      <c r="O206" s="182"/>
      <c r="P206" s="182"/>
      <c r="Q206" s="185"/>
      <c r="R206" s="197"/>
      <c r="S206" s="241">
        <f t="shared" si="126"/>
        <v>1</v>
      </c>
      <c r="T206" s="220" t="str">
        <f t="shared" si="127"/>
        <v>NorthBound</v>
      </c>
      <c r="U206" s="22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21" t="str">
        <f t="shared" si="139"/>
        <v>https://d0f6bd738d7f1b3e5a7ca70fe4ff75f0.us-east-1.aws.found.io/app/kibana#/discover/Steve-Slow-Train-Analysis-(2080s-and-2083s)?_g=(refreshInterval:(display:Off,pause:!f,section:0,value:0),time:(from:'2017-12-15T19:06:39-0700',mode:absolute,to:'2017-12-15T21:24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6" s="222" t="str">
        <f>IF(AA206&lt;VLOOKUP(AG206,Variables!$AC$3:$AD$8,2,FALSE),"Y","N")</f>
        <v>N</v>
      </c>
      <c r="X206" s="222">
        <f t="shared" si="128"/>
        <v>1</v>
      </c>
      <c r="Y206" s="222">
        <f t="shared" si="129"/>
        <v>4.3200000000000002E-2</v>
      </c>
      <c r="Z206" s="222">
        <f t="shared" si="130"/>
        <v>5.8940999999999999</v>
      </c>
      <c r="AA206" s="222">
        <f t="shared" si="131"/>
        <v>5.8509000000000002</v>
      </c>
      <c r="AB206" s="231" t="e">
        <f>VLOOKUP(A206,Enforcements!$C$7:$K$9,8,0)</f>
        <v>#N/A</v>
      </c>
      <c r="AC206" s="231" t="e">
        <f>VLOOKUP(A206,Enforcements!$C$7:$E$9,3,0)</f>
        <v>#N/A</v>
      </c>
      <c r="AD206" s="232">
        <f t="shared" si="132"/>
        <v>843</v>
      </c>
      <c r="AE206" s="233" t="str">
        <f t="shared" si="140"/>
        <v>aws s3 cp s3://rtdc.mdm.uploadarchive.raw/RTDC4050/ "%USERPROFILE%\AppData\Local\Temp\OnboardLogs"\RTDC4050\2017-12-15 --exclude "*" --recursive --include "*20171215*" &amp; "%USERPROFILE%\Documents\GitHub\mrs-test-scripts\Headless Mode &amp; Sideloading\WalkAndUnGZ.bat" "%USERPROFILE%\AppData\Local\Temp\OnboardLogs"\RTDC4050\2017-12-15 &amp; 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</v>
      </c>
      <c r="AF206" s="234" t="str">
        <f t="shared" si="141"/>
        <v>"C:\Program Files (x86)\AstroGrep\AstroGrep.exe" /e /r /s /spath="%USERPROFILE%\AppData\Local\Temp\OnboardLogs" /stypes="app*4050*20171216*" /stext=" 03:.+((SYSTEM_STATE.+slice.+state.+changed )|(ment ac)|(multiple cpu faults)|(system.+state.+changed )|(\[timeout)|(PRM\|1\|D)|(kpr)|(kdp)|(train st.+moving)|(\|lc)|(penalty))"</v>
      </c>
      <c r="AG206" s="226" t="str">
        <f t="shared" si="133"/>
        <v>NW</v>
      </c>
      <c r="AH206" s="189" t="str">
        <f t="shared" si="134"/>
        <v>"%USERPROFILE%\Documents\GitHub\eaglep3\Utilities\RefineRTDCRunTimes.py" --tripid 843-15 --locoid 4050 --swversion DE.1.0.9.0 --startMP 204:432 --initTime 2017-12-15T20:06:39 --startdatetime 2017-12-15T20:09:29 --delay 56 --endMP 300:58941 --enddatetime 2017-12-15T20:24:47 --enforcementcount 0 &gt;&gt;%USERPROFILE%\Documents\GitHub\eaglep3-reporting\EC\2017-12-15-refined-times.txt</v>
      </c>
      <c r="AI206" s="191" t="str">
        <f t="shared" si="135"/>
        <v>echo {"issue":{"subject":"","project_id":79,"tracker_id":40,"status_id":1,"priority_id":2,"assigned_to_id":338,"start_date":"2017-12-15","description":"","custom_fields":[{"id":1,"name":"Subdivision","value":"NW"},{"id":4,"name":"Milepost","value":"5.8941"},{"id":17,"name":"Train ID","value":"843-15"},{"id":16,"name":"Locomotive ID","value":"4050"},{"id":130,"name":"Impact","value":""},{"id":150,"name":"Time of Event (Mountain Time)","value":"20:24:47"},{"id":151,"name":"Denver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188"/>
      <c r="AL206" s="188"/>
      <c r="AM206" s="193" t="str">
        <f t="shared" si="136"/>
        <v>start /low /b %USERPROFILE%\Documents\GitHub\eaglep3\Utilities\DownloadLogsFromS3.py --loco 4050 --day 2017-12-15</v>
      </c>
      <c r="AN206" s="194" t="str">
        <f t="shared" si="137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03:24:47"},{"id":29,"name":"Sharepoint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87" t="str">
        <f t="shared" si="138"/>
        <v>https://d0f6bd738d7f1b3e5a7ca70fe4ff75f0.us-east-1.aws.found.io/app/kibana#/discover/Steve-Slow-Train-Analysis-(2080s-and-2083s)?_g=(refreshInterval:(display:Off,pause:!f,section:0,value:0),time:(from:'2017-12-15T19:06:39-0700',mode:absolute,to:'2017-12-15T21:24:47-0700'))&amp;_a=(columns:!('Message%20ID',Summary),filters:!(),index:'emp_*',interval:auto,query:(query_string:(analyze_wildcard:!t,query:'%22rtdc.l.rtdc.4050%22')),sort:!(Time.ISO8601,asc))</v>
      </c>
    </row>
    <row r="207" spans="1:91" s="180" customFormat="1" x14ac:dyDescent="0.25">
      <c r="A207" s="186" t="s">
        <v>864</v>
      </c>
      <c r="B207" s="182">
        <v>4049</v>
      </c>
      <c r="C207" s="184" t="s">
        <v>192</v>
      </c>
      <c r="D207" s="184" t="s">
        <v>639</v>
      </c>
      <c r="E207" s="183">
        <v>43084.893159722225</v>
      </c>
      <c r="F207" s="183">
        <v>43084.904166666667</v>
      </c>
      <c r="G207" s="182">
        <v>72</v>
      </c>
      <c r="H207" s="184" t="s">
        <v>493</v>
      </c>
      <c r="I207" s="183">
        <v>43084.91337962963</v>
      </c>
      <c r="J207" s="182">
        <v>0</v>
      </c>
      <c r="K207" s="190" t="str">
        <f t="shared" si="123"/>
        <v>4049/4050</v>
      </c>
      <c r="L207" s="196" t="str">
        <f>VLOOKUP(A207,'Trips&amp;Operators'!$C$1:$G$99911,5,FALSE)</f>
        <v>LORI SANTOS</v>
      </c>
      <c r="M207" s="181">
        <f t="shared" si="124"/>
        <v>9.2129629629198462E-3</v>
      </c>
      <c r="N207" s="182">
        <f t="shared" si="125"/>
        <v>13.266666666604578</v>
      </c>
      <c r="O207" s="182"/>
      <c r="P207" s="182"/>
      <c r="Q207" s="185"/>
      <c r="R207" s="197"/>
      <c r="S207" s="241">
        <f t="shared" si="126"/>
        <v>1</v>
      </c>
      <c r="T207" s="220" t="str">
        <f t="shared" si="127"/>
        <v>Southbound</v>
      </c>
      <c r="U207" s="22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21" t="str">
        <f t="shared" si="139"/>
        <v>https://d0f6bd738d7f1b3e5a7ca70fe4ff75f0.us-east-1.aws.found.io/app/kibana#/discover/Steve-Slow-Train-Analysis-(2080s-and-2083s)?_g=(refreshInterval:(display:Off,pause:!f,section:0,value:0),time:(from:'2017-12-15T20:26:09-0700',mode:absolute,to:'2017-12-15T22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7" s="222" t="str">
        <f>IF(AA207&lt;VLOOKUP(AG207,Variables!$AC$3:$AD$8,2,FALSE),"Y","N")</f>
        <v>N</v>
      </c>
      <c r="X207" s="222">
        <f t="shared" si="128"/>
        <v>1</v>
      </c>
      <c r="Y207" s="222">
        <f t="shared" si="129"/>
        <v>5.8613</v>
      </c>
      <c r="Z207" s="222">
        <f t="shared" si="130"/>
        <v>1.4800000000000001E-2</v>
      </c>
      <c r="AA207" s="222">
        <f t="shared" si="131"/>
        <v>5.8464999999999998</v>
      </c>
      <c r="AB207" s="231" t="e">
        <f>VLOOKUP(A207,Enforcements!$C$7:$K$9,8,0)</f>
        <v>#N/A</v>
      </c>
      <c r="AC207" s="231" t="e">
        <f>VLOOKUP(A207,Enforcements!$C$7:$E$9,3,0)</f>
        <v>#N/A</v>
      </c>
      <c r="AD207" s="232">
        <f t="shared" si="132"/>
        <v>844</v>
      </c>
      <c r="AE207" s="233" t="str">
        <f t="shared" si="140"/>
        <v>aws s3 cp s3://rtdc.mdm.uploadarchive.raw/RTDC4049/ "%USERPROFILE%\AppData\Local\Temp\OnboardLogs"\RTDC4049\2017-12-15 --exclude "*" --recursive --include "*20171215*" &amp; "%USERPROFILE%\Documents\GitHub\mrs-test-scripts\Headless Mode &amp; Sideloading\WalkAndUnGZ.bat" "%USERPROFILE%\AppData\Local\Temp\OnboardLogs"\RTDC4049\2017-12-15 &amp; 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</v>
      </c>
      <c r="AF207" s="234" t="str">
        <f t="shared" si="141"/>
        <v>"C:\Program Files (x86)\AstroGrep\AstroGrep.exe" /e /r /s /spath="%USERPROFILE%\AppData\Local\Temp\OnboardLogs" /stypes="app*4049*20171216*" /stext=" 04:.+((SYSTEM_STATE.+slice.+state.+changed )|(ment ac)|(multiple cpu faults)|(system.+state.+changed )|(\[timeout)|(PRM\|1\|D)|(kpr)|(kdp)|(train st.+moving)|(\|lc)|(penalty))"</v>
      </c>
      <c r="AG207" s="226" t="str">
        <f t="shared" si="133"/>
        <v>NW</v>
      </c>
      <c r="AH207" s="189" t="str">
        <f t="shared" si="134"/>
        <v>"%USERPROFILE%\Documents\GitHub\eaglep3\Utilities\RefineRTDCRunTimes.py" --tripid 844-15 --locoid 4049 --swversion DE.1.0.9.0 --startMP 300:58613 --initTime 2017-12-15T21:26:09 --startdatetime 2017-12-15T21:42:00 --delay 72 --endMP 204:148 --enddatetime 2017-12-15T21:55:16 --enforcementcount 0 &gt;&gt;%USERPROFILE%\Documents\GitHub\eaglep3-reporting\EC\2017-12-15-refined-times.txt</v>
      </c>
      <c r="AI207" s="191" t="str">
        <f t="shared" si="135"/>
        <v>echo {"issue":{"subject":"","project_id":79,"tracker_id":40,"status_id":1,"priority_id":2,"assigned_to_id":338,"start_date":"2017-12-15","description":"","custom_fields":[{"id":1,"name":"Subdivision","value":"NW"},{"id":4,"name":"Milepost","value":"0.0148"},{"id":17,"name":"Train ID","value":"844-15"},{"id":16,"name":"Locomotive ID","value":"4049"},{"id":130,"name":"Impact","value":""},{"id":150,"name":"Time of Event (Mountain Time)","value":"21:55:16"},{"id":151,"name":"Denver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188"/>
      <c r="AL207" s="188"/>
      <c r="AM207" s="193" t="str">
        <f t="shared" si="136"/>
        <v>start /low /b %USERPROFILE%\Documents\GitHub\eaglep3\Utilities\DownloadLogsFromS3.py --loco 4049 --day 2017-12-15</v>
      </c>
      <c r="AN207" s="194" t="str">
        <f t="shared" si="137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04:55:16"},{"id":29,"name":"Sharepoint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87" t="str">
        <f t="shared" si="138"/>
        <v>https://d0f6bd738d7f1b3e5a7ca70fe4ff75f0.us-east-1.aws.found.io/app/kibana#/discover/Steve-Slow-Train-Analysis-(2080s-and-2083s)?_g=(refreshInterval:(display:Off,pause:!f,section:0,value:0),time:(from:'2017-12-15T20:26:09-0700',mode:absolute,to:'2017-12-15T22:55:16-0700'))&amp;_a=(columns:!('Message%20ID',Summary),filters:!(),index:'emp_*',interval:auto,query:(query_string:(analyze_wildcard:!t,query:'%22rtdc.l.rtdc.4049%22')),sort:!(Time.ISO8601,asc))</v>
      </c>
    </row>
    <row r="208" spans="1:91" s="180" customFormat="1" x14ac:dyDescent="0.25">
      <c r="A208" s="186" t="s">
        <v>861</v>
      </c>
      <c r="B208" s="182">
        <v>4050</v>
      </c>
      <c r="C208" s="184" t="s">
        <v>192</v>
      </c>
      <c r="D208" s="184" t="s">
        <v>637</v>
      </c>
      <c r="E208" s="183">
        <v>43084.874525462961</v>
      </c>
      <c r="F208" s="183">
        <v>43084.881493055553</v>
      </c>
      <c r="G208" s="182">
        <v>248</v>
      </c>
      <c r="H208" s="184" t="s">
        <v>1092</v>
      </c>
      <c r="I208" s="183">
        <v>43084.891562500001</v>
      </c>
      <c r="J208" s="182">
        <v>0</v>
      </c>
      <c r="K208" s="190" t="str">
        <f t="shared" si="123"/>
        <v>4049/4050</v>
      </c>
      <c r="L208" s="196" t="str">
        <f>VLOOKUP(A208,'Trips&amp;Operators'!$C$1:$G$99911,5,FALSE)</f>
        <v>LORI SANTOS</v>
      </c>
      <c r="M208" s="181">
        <f t="shared" si="124"/>
        <v>1.0069444448163267E-2</v>
      </c>
      <c r="N208" s="182">
        <f t="shared" si="125"/>
        <v>14.500000005355105</v>
      </c>
      <c r="O208" s="182"/>
      <c r="P208" s="182"/>
      <c r="Q208" s="185"/>
      <c r="R208" s="197"/>
      <c r="S208" s="241">
        <f t="shared" si="126"/>
        <v>1</v>
      </c>
      <c r="T208" s="220" t="str">
        <f t="shared" si="127"/>
        <v>NorthBound</v>
      </c>
      <c r="U208" s="22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21" t="str">
        <f t="shared" si="139"/>
        <v>https://d0f6bd738d7f1b3e5a7ca70fe4ff75f0.us-east-1.aws.found.io/app/kibana#/discover/Steve-Slow-Train-Analysis-(2080s-and-2083s)?_g=(refreshInterval:(display:Off,pause:!f,section:0,value:0),time:(from:'2017-12-15T19:59:19-0700',mode:absolute,to:'2017-12-15T22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8" s="222" t="str">
        <f>IF(AA208&lt;VLOOKUP(AG208,Variables!$AC$3:$AD$8,2,FALSE),"Y","N")</f>
        <v>N</v>
      </c>
      <c r="X208" s="222">
        <f t="shared" si="128"/>
        <v>1</v>
      </c>
      <c r="Y208" s="222">
        <f t="shared" si="129"/>
        <v>4.3700000000000003E-2</v>
      </c>
      <c r="Z208" s="222">
        <f t="shared" si="130"/>
        <v>5.8933</v>
      </c>
      <c r="AA208" s="222">
        <f t="shared" si="131"/>
        <v>5.8495999999999997</v>
      </c>
      <c r="AB208" s="231" t="e">
        <f>VLOOKUP(A208,Enforcements!$C$7:$K$9,8,0)</f>
        <v>#N/A</v>
      </c>
      <c r="AC208" s="231" t="e">
        <f>VLOOKUP(A208,Enforcements!$C$7:$E$9,3,0)</f>
        <v>#N/A</v>
      </c>
      <c r="AD208" s="232">
        <f t="shared" si="132"/>
        <v>845</v>
      </c>
      <c r="AE208" s="233" t="str">
        <f t="shared" si="140"/>
        <v>aws s3 cp s3://rtdc.mdm.uploadarchive.raw/RTDC4050/ "%USERPROFILE%\AppData\Local\Temp\OnboardLogs"\RTDC4050\2017-12-15 --exclude "*" --recursive --include "*20171215*" &amp; "%USERPROFILE%\Documents\GitHub\mrs-test-scripts\Headless Mode &amp; Sideloading\WalkAndUnGZ.bat" "%USERPROFILE%\AppData\Local\Temp\OnboardLogs"\RTDC4050\2017-12-15 &amp; 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</v>
      </c>
      <c r="AF208" s="234" t="str">
        <f t="shared" si="141"/>
        <v>"C:\Program Files (x86)\AstroGrep\AstroGrep.exe" /e /r /s /spath="%USERPROFILE%\AppData\Local\Temp\OnboardLogs" /stypes="app*4050*20171216*" /stext=" 04:.+((SYSTEM_STATE.+slice.+state.+changed )|(ment ac)|(multiple cpu faults)|(system.+state.+changed )|(\[timeout)|(PRM\|1\|D)|(kpr)|(kdp)|(train st.+moving)|(\|lc)|(penalty))"</v>
      </c>
      <c r="AG208" s="226" t="str">
        <f t="shared" si="133"/>
        <v>NW</v>
      </c>
      <c r="AH208" s="189" t="str">
        <f t="shared" si="134"/>
        <v>"%USERPROFILE%\Documents\GitHub\eaglep3\Utilities\RefineRTDCRunTimes.py" --tripid 845-15 --locoid 4050 --swversion DE.1.0.9.0 --startMP 204:437 --initTime 2017-12-15T20:59:19 --startdatetime 2017-12-15T21:09:21 --delay 248 --endMP 300:58933 --enddatetime 2017-12-15T21:23:51 --enforcementcount 0 &gt;&gt;%USERPROFILE%\Documents\GitHub\eaglep3-reporting\EC\2017-12-15-refined-times.txt</v>
      </c>
      <c r="AI208" s="191" t="str">
        <f t="shared" si="135"/>
        <v>echo {"issue":{"subject":"","project_id":79,"tracker_id":40,"status_id":1,"priority_id":2,"assigned_to_id":338,"start_date":"2017-12-15","description":"","custom_fields":[{"id":1,"name":"Subdivision","value":"NW"},{"id":4,"name":"Milepost","value":"5.8933"},{"id":17,"name":"Train ID","value":"845-15"},{"id":16,"name":"Locomotive ID","value":"4050"},{"id":130,"name":"Impact","value":""},{"id":150,"name":"Time of Event (Mountain Time)","value":"21:23:51"},{"id":151,"name":"Denver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188"/>
      <c r="AL208" s="188"/>
      <c r="AM208" s="193" t="str">
        <f t="shared" si="136"/>
        <v>start /low /b %USERPROFILE%\Documents\GitHub\eaglep3\Utilities\DownloadLogsFromS3.py --loco 4050 --day 2017-12-15</v>
      </c>
      <c r="AN208" s="194" t="str">
        <f t="shared" si="137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04:23:51"},{"id":29,"name":"Sharepoint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87" t="str">
        <f t="shared" si="138"/>
        <v>https://d0f6bd738d7f1b3e5a7ca70fe4ff75f0.us-east-1.aws.found.io/app/kibana#/discover/Steve-Slow-Train-Analysis-(2080s-and-2083s)?_g=(refreshInterval:(display:Off,pause:!f,section:0,value:0),time:(from:'2017-12-15T19:59:19-0700',mode:absolute,to:'2017-12-15T22:23:51-0700'))&amp;_a=(columns:!('Message%20ID',Summary),filters:!(),index:'emp_*',interval:auto,query:(query_string:(analyze_wildcard:!t,query:'%22rtdc.l.rtdc.4050%22')),sort:!(Time.ISO8601,asc))</v>
      </c>
    </row>
    <row r="209" spans="1:91" s="180" customFormat="1" x14ac:dyDescent="0.25">
      <c r="A209" s="186" t="s">
        <v>867</v>
      </c>
      <c r="B209" s="182">
        <v>4049</v>
      </c>
      <c r="C209" s="184" t="s">
        <v>192</v>
      </c>
      <c r="D209" s="184" t="s">
        <v>514</v>
      </c>
      <c r="E209" s="183">
        <v>43084.935196759259</v>
      </c>
      <c r="F209" s="183">
        <v>43084.945833333331</v>
      </c>
      <c r="G209" s="182">
        <v>54</v>
      </c>
      <c r="H209" s="184" t="s">
        <v>493</v>
      </c>
      <c r="I209" s="183">
        <v>43084.955682870372</v>
      </c>
      <c r="J209" s="182">
        <v>0</v>
      </c>
      <c r="K209" s="190" t="str">
        <f t="shared" si="123"/>
        <v>4049/4050</v>
      </c>
      <c r="L209" s="196" t="str">
        <f>VLOOKUP(A209,'Trips&amp;Operators'!$C$1:$G$99911,5,FALSE)</f>
        <v>LORI SANTOS</v>
      </c>
      <c r="M209" s="181">
        <f t="shared" si="124"/>
        <v>9.8495370402815752E-3</v>
      </c>
      <c r="N209" s="182">
        <f t="shared" si="125"/>
        <v>14.183333338005468</v>
      </c>
      <c r="O209" s="182"/>
      <c r="P209" s="182"/>
      <c r="Q209" s="185"/>
      <c r="R209" s="197"/>
      <c r="S209" s="241">
        <f t="shared" si="126"/>
        <v>1</v>
      </c>
      <c r="T209" s="220" t="str">
        <f t="shared" si="127"/>
        <v>Southbound</v>
      </c>
      <c r="U209" s="22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21" t="str">
        <f t="shared" si="139"/>
        <v>https://d0f6bd738d7f1b3e5a7ca70fe4ff75f0.us-east-1.aws.found.io/app/kibana#/discover/Steve-Slow-Train-Analysis-(2080s-and-2083s)?_g=(refreshInterval:(display:Off,pause:!f,section:0,value:0),time:(from:'2017-12-15T21:26:41-0700',mode:absolute,to:'2017-12-15T23:56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9" s="222" t="str">
        <f>IF(AA209&lt;VLOOKUP(AG209,Variables!$AC$3:$AD$8,2,FALSE),"Y","N")</f>
        <v>N</v>
      </c>
      <c r="X209" s="222">
        <f t="shared" si="128"/>
        <v>1</v>
      </c>
      <c r="Y209" s="222">
        <f t="shared" si="129"/>
        <v>5.8620999999999999</v>
      </c>
      <c r="Z209" s="222">
        <f t="shared" si="130"/>
        <v>1.4800000000000001E-2</v>
      </c>
      <c r="AA209" s="222">
        <f t="shared" si="131"/>
        <v>5.8472999999999997</v>
      </c>
      <c r="AB209" s="231" t="e">
        <f>VLOOKUP(A209,Enforcements!$C$7:$K$9,8,0)</f>
        <v>#N/A</v>
      </c>
      <c r="AC209" s="231" t="e">
        <f>VLOOKUP(A209,Enforcements!$C$7:$E$9,3,0)</f>
        <v>#N/A</v>
      </c>
      <c r="AD209" s="232">
        <f t="shared" si="132"/>
        <v>846</v>
      </c>
      <c r="AE209" s="233" t="str">
        <f t="shared" si="140"/>
        <v>aws s3 cp s3://rtdc.mdm.uploadarchive.raw/RTDC4049/ "%USERPROFILE%\AppData\Local\Temp\OnboardLogs"\RTDC4049\2017-12-15 --exclude "*" --recursive --include "*20171215*" &amp; "%USERPROFILE%\Documents\GitHub\mrs-test-scripts\Headless Mode &amp; Sideloading\WalkAndUnGZ.bat" "%USERPROFILE%\AppData\Local\Temp\OnboardLogs"\RTDC4049\2017-12-15 &amp; 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</v>
      </c>
      <c r="AF209" s="234" t="str">
        <f t="shared" si="141"/>
        <v>"C:\Program Files (x86)\AstroGrep\AstroGrep.exe" /e /r /s /spath="%USERPROFILE%\AppData\Local\Temp\OnboardLogs" /stypes="app*4049*20171216*" /stext=" 05:.+((SYSTEM_STATE.+slice.+state.+changed )|(ment ac)|(multiple cpu faults)|(system.+state.+changed )|(\[timeout)|(PRM\|1\|D)|(kpr)|(kdp)|(train st.+moving)|(\|lc)|(penalty))"</v>
      </c>
      <c r="AG209" s="226" t="str">
        <f t="shared" si="133"/>
        <v>NW</v>
      </c>
      <c r="AH209" s="189" t="str">
        <f t="shared" si="134"/>
        <v>"%USERPROFILE%\Documents\GitHub\eaglep3\Utilities\RefineRTDCRunTimes.py" --tripid 846-15 --locoid 4049 --swversion DE.1.0.9.0 --startMP 300:58621 --initTime 2017-12-15T22:26:41 --startdatetime 2017-12-15T22:42:00 --delay 54 --endMP 204:148 --enddatetime 2017-12-15T22:56:11 --enforcementcount 0 &gt;&gt;%USERPROFILE%\Documents\GitHub\eaglep3-reporting\EC\2017-12-15-refined-times.txt</v>
      </c>
      <c r="AI209" s="191" t="str">
        <f t="shared" si="135"/>
        <v>echo {"issue":{"subject":"","project_id":79,"tracker_id":40,"status_id":1,"priority_id":2,"assigned_to_id":338,"start_date":"2017-12-15","description":"","custom_fields":[{"id":1,"name":"Subdivision","value":"NW"},{"id":4,"name":"Milepost","value":"0.0148"},{"id":17,"name":"Train ID","value":"846-15"},{"id":16,"name":"Locomotive ID","value":"4049"},{"id":130,"name":"Impact","value":""},{"id":150,"name":"Time of Event (Mountain Time)","value":"22:56:11"},{"id":151,"name":"Denver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188"/>
      <c r="AL209" s="188"/>
      <c r="AM209" s="193" t="str">
        <f t="shared" si="136"/>
        <v>start /low /b %USERPROFILE%\Documents\GitHub\eaglep3\Utilities\DownloadLogsFromS3.py --loco 4049 --day 2017-12-15</v>
      </c>
      <c r="AN209" s="194" t="str">
        <f t="shared" si="137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05:56:11"},{"id":29,"name":"Sharepoint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87" t="str">
        <f t="shared" si="138"/>
        <v>https://d0f6bd738d7f1b3e5a7ca70fe4ff75f0.us-east-1.aws.found.io/app/kibana#/discover/Steve-Slow-Train-Analysis-(2080s-and-2083s)?_g=(refreshInterval:(display:Off,pause:!f,section:0,value:0),time:(from:'2017-12-15T21:26:41-0700',mode:absolute,to:'2017-12-15T23:56:11-0700'))&amp;_a=(columns:!('Message%20ID',Summary),filters:!(),index:'emp_*',interval:auto,query:(query_string:(analyze_wildcard:!t,query:'%22rtdc.l.rtdc.4049%22')),sort:!(Time.ISO8601,asc))</v>
      </c>
    </row>
    <row r="210" spans="1:91" s="180" customFormat="1" x14ac:dyDescent="0.25">
      <c r="A210" s="186" t="s">
        <v>865</v>
      </c>
      <c r="B210" s="182">
        <v>4050</v>
      </c>
      <c r="C210" s="184" t="s">
        <v>192</v>
      </c>
      <c r="D210" s="184" t="s">
        <v>1037</v>
      </c>
      <c r="E210" s="183">
        <v>43084.919745370367</v>
      </c>
      <c r="F210" s="183">
        <v>43084.923321759263</v>
      </c>
      <c r="G210" s="182">
        <v>65</v>
      </c>
      <c r="H210" s="184" t="s">
        <v>1050</v>
      </c>
      <c r="I210" s="183">
        <v>43084.933877314812</v>
      </c>
      <c r="J210" s="182">
        <v>0</v>
      </c>
      <c r="K210" s="190" t="str">
        <f t="shared" si="123"/>
        <v>4049/4050</v>
      </c>
      <c r="L210" s="196" t="str">
        <f>VLOOKUP(A210,'Trips&amp;Operators'!$C$1:$G$99911,5,FALSE)</f>
        <v>LORI SANTOS</v>
      </c>
      <c r="M210" s="181">
        <f t="shared" si="124"/>
        <v>1.0555555549217388E-2</v>
      </c>
      <c r="N210" s="182">
        <f t="shared" si="125"/>
        <v>15.199999990873039</v>
      </c>
      <c r="O210" s="182"/>
      <c r="P210" s="182"/>
      <c r="Q210" s="185"/>
      <c r="R210" s="197"/>
      <c r="S210" s="241">
        <f t="shared" si="126"/>
        <v>1</v>
      </c>
      <c r="T210" s="220" t="str">
        <f t="shared" si="127"/>
        <v>NorthBound</v>
      </c>
      <c r="U210" s="22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21" t="str">
        <f t="shared" si="139"/>
        <v>https://d0f6bd738d7f1b3e5a7ca70fe4ff75f0.us-east-1.aws.found.io/app/kibana#/discover/Steve-Slow-Train-Analysis-(2080s-and-2083s)?_g=(refreshInterval:(display:Off,pause:!f,section:0,value:0),time:(from:'2017-12-15T21:04:26-0700',mode:absolute,to:'2017-12-15T23:24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0" s="222" t="str">
        <f>IF(AA210&lt;VLOOKUP(AG210,Variables!$AC$3:$AD$8,2,FALSE),"Y","N")</f>
        <v>N</v>
      </c>
      <c r="X210" s="222">
        <f t="shared" si="128"/>
        <v>1</v>
      </c>
      <c r="Y210" s="222">
        <f t="shared" si="129"/>
        <v>4.4999999999999998E-2</v>
      </c>
      <c r="Z210" s="222">
        <f t="shared" si="130"/>
        <v>5.8940999999999999</v>
      </c>
      <c r="AA210" s="222">
        <f t="shared" si="131"/>
        <v>5.8491</v>
      </c>
      <c r="AB210" s="231" t="e">
        <f>VLOOKUP(A210,Enforcements!$C$7:$K$9,8,0)</f>
        <v>#N/A</v>
      </c>
      <c r="AC210" s="231" t="e">
        <f>VLOOKUP(A210,Enforcements!$C$7:$E$9,3,0)</f>
        <v>#N/A</v>
      </c>
      <c r="AD210" s="232">
        <f t="shared" si="132"/>
        <v>847</v>
      </c>
      <c r="AE210" s="233" t="str">
        <f t="shared" si="140"/>
        <v>aws s3 cp s3://rtdc.mdm.uploadarchive.raw/RTDC4050/ "%USERPROFILE%\AppData\Local\Temp\OnboardLogs"\RTDC4050\2017-12-15 --exclude "*" --recursive --include "*20171215*" &amp; "%USERPROFILE%\Documents\GitHub\mrs-test-scripts\Headless Mode &amp; Sideloading\WalkAndUnGZ.bat" "%USERPROFILE%\AppData\Local\Temp\OnboardLogs"\RTDC4050\2017-12-15 &amp; 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</v>
      </c>
      <c r="AF210" s="234" t="str">
        <f t="shared" si="141"/>
        <v>"C:\Program Files (x86)\AstroGrep\AstroGrep.exe" /e /r /s /spath="%USERPROFILE%\AppData\Local\Temp\OnboardLogs" /stypes="app*4050*20171216*" /stext=" 05:.+((SYSTEM_STATE.+slice.+state.+changed )|(ment ac)|(multiple cpu faults)|(system.+state.+changed )|(\[timeout)|(PRM\|1\|D)|(kpr)|(kdp)|(train st.+moving)|(\|lc)|(penalty))"</v>
      </c>
      <c r="AG210" s="226" t="str">
        <f t="shared" si="133"/>
        <v>NW</v>
      </c>
      <c r="AH210" s="189" t="str">
        <f t="shared" si="134"/>
        <v>"%USERPROFILE%\Documents\GitHub\eaglep3\Utilities\RefineRTDCRunTimes.py" --tripid 847-15 --locoid 4050 --swversion DE.1.0.9.0 --startMP 204:450 --initTime 2017-12-15T22:04:26 --startdatetime 2017-12-15T22:09:35 --delay 65 --endMP 300:58941 --enddatetime 2017-12-15T22:24:47 --enforcementcount 0 &gt;&gt;%USERPROFILE%\Documents\GitHub\eaglep3-reporting\EC\2017-12-15-refined-times.txt</v>
      </c>
      <c r="AI210" s="191" t="str">
        <f t="shared" si="135"/>
        <v>echo {"issue":{"subject":"","project_id":79,"tracker_id":40,"status_id":1,"priority_id":2,"assigned_to_id":338,"start_date":"2017-12-15","description":"","custom_fields":[{"id":1,"name":"Subdivision","value":"NW"},{"id":4,"name":"Milepost","value":"5.8941"},{"id":17,"name":"Train ID","value":"847-15"},{"id":16,"name":"Locomotive ID","value":"4050"},{"id":130,"name":"Impact","value":""},{"id":150,"name":"Time of Event (Mountain Time)","value":"22:24:47"},{"id":151,"name":"Denver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188"/>
      <c r="AL210" s="188"/>
      <c r="AM210" s="193" t="str">
        <f t="shared" si="136"/>
        <v>start /low /b %USERPROFILE%\Documents\GitHub\eaglep3\Utilities\DownloadLogsFromS3.py --loco 4050 --day 2017-12-15</v>
      </c>
      <c r="AN210" s="194" t="str">
        <f t="shared" si="137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05:24:47"},{"id":29,"name":"Sharepoint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87" t="str">
        <f t="shared" si="138"/>
        <v>https://d0f6bd738d7f1b3e5a7ca70fe4ff75f0.us-east-1.aws.found.io/app/kibana#/discover/Steve-Slow-Train-Analysis-(2080s-and-2083s)?_g=(refreshInterval:(display:Off,pause:!f,section:0,value:0),time:(from:'2017-12-15T21:04:26-0700',mode:absolute,to:'2017-12-15T23:24:47-0700'))&amp;_a=(columns:!('Message%20ID',Summary),filters:!(),index:'emp_*',interval:auto,query:(query_string:(analyze_wildcard:!t,query:'%22rtdc.l.rtdc.4050%22')),sort:!(Time.ISO8601,asc))</v>
      </c>
    </row>
    <row r="211" spans="1:91" s="20" customFormat="1" x14ac:dyDescent="0.25">
      <c r="A211" s="186" t="s">
        <v>870</v>
      </c>
      <c r="B211" s="182">
        <v>4050</v>
      </c>
      <c r="C211" s="184" t="s">
        <v>192</v>
      </c>
      <c r="D211" s="184" t="s">
        <v>494</v>
      </c>
      <c r="E211" s="183">
        <v>43084.960636574076</v>
      </c>
      <c r="F211" s="183">
        <v>43084.964942129627</v>
      </c>
      <c r="G211" s="182">
        <v>55</v>
      </c>
      <c r="H211" s="184" t="s">
        <v>1044</v>
      </c>
      <c r="I211" s="183">
        <v>43084.975208333337</v>
      </c>
      <c r="J211" s="182">
        <v>0</v>
      </c>
      <c r="K211" s="190" t="str">
        <f t="shared" ref="K211:K232" si="142">IF(ISEVEN(B211),(B211-1)&amp;"/"&amp;B211,B211&amp;"/"&amp;(B211+1))</f>
        <v>4049/4050</v>
      </c>
      <c r="L211" s="196" t="str">
        <f>VLOOKUP(A211,'Trips&amp;Operators'!$C$1:$G$99911,5,FALSE)</f>
        <v>LORI SANTOS</v>
      </c>
      <c r="M211" s="181">
        <f t="shared" ref="M211:M232" si="143">I211-F211</f>
        <v>1.0266203709761612E-2</v>
      </c>
      <c r="N211" s="182">
        <f t="shared" ref="N211:N232" si="144">24*60*SUM($M211:$M211)</f>
        <v>14.783333342056721</v>
      </c>
      <c r="O211" s="182"/>
      <c r="P211" s="182"/>
      <c r="Q211" s="185"/>
      <c r="R211" s="197"/>
      <c r="S211" s="241">
        <f t="shared" ref="S211:S232" si="145">1/IF(AG211="EC",12,1)*SUM(U211:U211)</f>
        <v>1</v>
      </c>
      <c r="T211" s="220" t="str">
        <f t="shared" ref="T211:T232" si="146">IF(ISEVEN(LEFT(AD211,4)),"Southbound","NorthBound")</f>
        <v>NorthBound</v>
      </c>
      <c r="U211" s="22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21" t="str">
        <f t="shared" si="139"/>
        <v>https://d0f6bd738d7f1b3e5a7ca70fe4ff75f0.us-east-1.aws.found.io/app/kibana#/discover/Steve-Slow-Train-Analysis-(2080s-and-2083s)?_g=(refreshInterval:(display:Off,pause:!f,section:0,value:0),time:(from:'2017-12-15T22:03:19-0700',mode:absolute,to:'2017-12-16T00:24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1" s="222" t="str">
        <f>IF(AA211&lt;VLOOKUP(AG211,Variables!$AC$3:$AD$8,2,FALSE),"Y","N")</f>
        <v>N</v>
      </c>
      <c r="X211" s="222">
        <f t="shared" si="128"/>
        <v>2</v>
      </c>
      <c r="Y211" s="222">
        <f t="shared" si="129"/>
        <v>4.5499999999999999E-2</v>
      </c>
      <c r="Z211" s="222">
        <f t="shared" ref="Z211:Z232" si="147">RIGHT(H211,LEN(H211)-4)/10000</f>
        <v>5.8949999999999996</v>
      </c>
      <c r="AA211" s="222">
        <f t="shared" ref="AA211:AA232" si="148">ABS(Z211-Y211)</f>
        <v>5.8494999999999999</v>
      </c>
      <c r="AB211" s="231" t="e">
        <f>VLOOKUP(A211,Enforcements!$C$7:$K$9,8,0)</f>
        <v>#N/A</v>
      </c>
      <c r="AC211" s="231" t="e">
        <f>VLOOKUP(A211,Enforcements!$C$7:$E$9,3,0)</f>
        <v>#N/A</v>
      </c>
      <c r="AD211" s="232">
        <f t="shared" ref="AD211:AD232" si="149">VALUE(LEFT(A211,LEN(A211)-3))</f>
        <v>849</v>
      </c>
      <c r="AE211" s="233" t="str">
        <f t="shared" si="140"/>
        <v>aws s3 cp s3://rtdc.mdm.uploadarchive.raw/RTDC4050/ "%USERPROFILE%\AppData\Local\Temp\OnboardLogs"\RTDC4050\2017-12-15 --exclude "*" --recursive --include "*20171215*" &amp; "%USERPROFILE%\Documents\GitHub\mrs-test-scripts\Headless Mode &amp; Sideloading\WalkAndUnGZ.bat" "%USERPROFILE%\AppData\Local\Temp\OnboardLogs"\RTDC4050\2017-12-15 &amp; 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</v>
      </c>
      <c r="AF211" s="234" t="str">
        <f t="shared" si="141"/>
        <v>"C:\Program Files (x86)\AstroGrep\AstroGrep.exe" /e /r /s /spath="%USERPROFILE%\AppData\Local\Temp\OnboardLogs" /stypes="app*4050*20171216*" /stext=" 06:.+((SYSTEM_STATE.+slice.+state.+changed )|(ment ac)|(multiple cpu faults)|(system.+state.+changed )|(\[timeout)|(PRM\|1\|D)|(kpr)|(kdp)|(train st.+moving)|(\|lc)|(penalty))"</v>
      </c>
      <c r="AG211" s="226" t="str">
        <f t="shared" ref="AG211:AG232" si="150">DetSubdiv(A211)</f>
        <v>NW</v>
      </c>
      <c r="AH211" s="189" t="str">
        <f t="shared" si="91"/>
        <v>"%USERPROFILE%\Documents\GitHub\eaglep3\Utilities\RefineRTDCRunTimes.py" --tripid 849-15 --locoid 4050 --swversion DE.1.0.9.0 --startMP 204:455 --initTime 2017-12-15T23:03:19 --startdatetime 2017-12-15T23:09:31 --delay 55 --endMP 300:58950 --enddatetime 2017-12-15T23:24:18 --enforcementcount 0 &gt;&gt;%USERPROFILE%\Documents\GitHub\eaglep3-reporting\EC\2017-12-15-refined-times.txt</v>
      </c>
      <c r="AI211" s="191" t="str">
        <f t="shared" si="92"/>
        <v>echo {"issue":{"subject":"","project_id":79,"tracker_id":40,"status_id":1,"priority_id":2,"assigned_to_id":338,"start_date":"2017-12-15","description":"","custom_fields":[{"id":1,"name":"Subdivision","value":"NW"},{"id":4,"name":"Milepost","value":"5.895"},{"id":17,"name":"Train ID","value":"849-15"},{"id":16,"name":"Locomotive ID","value":"4050"},{"id":130,"name":"Impact","value":""},{"id":150,"name":"Time of Event (Mountain Time)","value":"23:24:18"},{"id":151,"name":"Denver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180"/>
      <c r="AK211" s="188"/>
      <c r="AL211" s="188"/>
      <c r="AM211" s="193" t="str">
        <f t="shared" si="93"/>
        <v>start /low /b %USERPROFILE%\Documents\GitHub\eaglep3\Utilities\DownloadLogsFromS3.py --loco 4050 --day 2017-12-15</v>
      </c>
      <c r="AN211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06:24:18"},{"id":29,"name":"Sharepoint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87" t="str">
        <f t="shared" si="95"/>
        <v>https://d0f6bd738d7f1b3e5a7ca70fe4ff75f0.us-east-1.aws.found.io/app/kibana#/discover/Steve-Slow-Train-Analysis-(2080s-and-2083s)?_g=(refreshInterval:(display:Off,pause:!f,section:0,value:0),time:(from:'2017-12-15T22:03:19-0700',mode:absolute,to:'2017-12-16T00:24:18-0700'))&amp;_a=(columns:!('Message%20ID',Summary),filters:!(),index:'emp_*',interval:auto,query:(query_string:(analyze_wildcard:!t,query:'%22rtdc.l.rtdc.4050%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180" customFormat="1" x14ac:dyDescent="0.25">
      <c r="A212" s="186" t="s">
        <v>850</v>
      </c>
      <c r="B212" s="182">
        <v>4058</v>
      </c>
      <c r="C212" s="184" t="s">
        <v>192</v>
      </c>
      <c r="D212" s="184" t="s">
        <v>562</v>
      </c>
      <c r="E212" s="183">
        <v>43084.796793981484</v>
      </c>
      <c r="F212" s="183">
        <v>43084.802384259259</v>
      </c>
      <c r="G212" s="182">
        <v>69</v>
      </c>
      <c r="H212" s="184" t="s">
        <v>627</v>
      </c>
      <c r="I212" s="183">
        <v>43084.80840277778</v>
      </c>
      <c r="J212" s="182">
        <v>0</v>
      </c>
      <c r="K212" s="190" t="str">
        <f t="shared" si="142"/>
        <v>4057/4058</v>
      </c>
      <c r="L212" s="196" t="str">
        <f>VLOOKUP(A212,'Trips&amp;Operators'!$C$1:$G$99911,5,FALSE)</f>
        <v>LEVIN SCOTT</v>
      </c>
      <c r="M212" s="181">
        <f t="shared" si="143"/>
        <v>6.0185185211594217E-3</v>
      </c>
      <c r="N212" s="182">
        <f t="shared" si="144"/>
        <v>8.6666666704695672</v>
      </c>
      <c r="O212" s="182"/>
      <c r="P212" s="182"/>
      <c r="Q212" s="185"/>
      <c r="R212" s="197"/>
      <c r="S212" s="241">
        <f t="shared" si="145"/>
        <v>1</v>
      </c>
      <c r="T212" s="220" t="str">
        <f t="shared" si="146"/>
        <v>NorthBound</v>
      </c>
      <c r="U212" s="22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21" t="str">
        <f t="shared" si="139"/>
        <v>https://d0f6bd738d7f1b3e5a7ca70fe4ff75f0.us-east-1.aws.found.io/app/kibana#/discover/Steve-Slow-Train-Analysis-(2080s-and-2083s)?_g=(refreshInterval:(display:Off,pause:!f,section:0,value:0),time:(from:'2017-12-15T18:07:23-0700',mode:absolute,to:'2017-12-15T20:24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2" s="222" t="str">
        <f>IF(AA212&lt;VLOOKUP(AG212,Variables!$AC$3:$AD$8,2,FALSE),"Y","N")</f>
        <v>Y</v>
      </c>
      <c r="X212" s="222">
        <f t="shared" si="128"/>
        <v>-546</v>
      </c>
      <c r="Y212" s="222">
        <f t="shared" si="129"/>
        <v>4.7500000000000001E-2</v>
      </c>
      <c r="Z212" s="222">
        <f t="shared" si="147"/>
        <v>2.3304</v>
      </c>
      <c r="AA212" s="222">
        <f t="shared" si="148"/>
        <v>2.2829000000000002</v>
      </c>
      <c r="AB212" s="231" t="e">
        <f>VLOOKUP(A212,Enforcements!$C$7:$K$9,8,0)</f>
        <v>#N/A</v>
      </c>
      <c r="AC212" s="231" t="e">
        <f>VLOOKUP(A212,Enforcements!$C$7:$E$9,3,0)</f>
        <v>#N/A</v>
      </c>
      <c r="AD212" s="232">
        <f t="shared" si="149"/>
        <v>303</v>
      </c>
      <c r="AE212" s="233" t="str">
        <f t="shared" si="140"/>
        <v>aws s3 cp s3://rtdc.mdm.uploadarchive.raw/RTDC4058/ "%USERPROFILE%\AppData\Local\Temp\OnboardLogs"\RTDC4058\2017-12-15 --exclude "*" --recursive --include "*20171215*" &amp; "%USERPROFILE%\Documents\GitHub\mrs-test-scripts\Headless Mode &amp; Sideloading\WalkAndUnGZ.bat" "%USERPROFILE%\AppData\Local\Temp\OnboardLogs"\RTDC4058\2017-12-15 &amp; aws s3 cp s3://rtdc.mdm.uploadarchive.raw/RTDC4058/ "%USERPROFILE%\AppData\Local\Temp\OnboardLogs"\RTDC4058\2017-12-16 --exclude "*" --recursive --include "*20171216*" &amp; "%USERPROFILE%\Documents\GitHub\mrs-test-scripts\Headless Mode &amp; Sideloading\WalkAndUnGZ.bat" "%USERPROFILE%\AppData\Local\Temp\OnboardLogs"\RTDC4058\2017-12-16</v>
      </c>
      <c r="AF212" s="234" t="str">
        <f t="shared" si="141"/>
        <v>"C:\Program Files (x86)\AstroGrep\AstroGrep.exe" /e /r /s /spath="%USERPROFILE%\AppData\Local\Temp\OnboardLogs" /stypes="app*4058*20171216*" /stext=" 02:.+((SYSTEM_STATE.+slice.+state.+changed )|(ment ac)|(multiple cpu faults)|(system.+state.+changed )|(\[timeout)|(PRM\|1\|D)|(kpr)|(kdp)|(train st.+moving)|(\|lc)|(penalty))"</v>
      </c>
      <c r="AG212" s="226" t="str">
        <f t="shared" si="150"/>
        <v>Other</v>
      </c>
      <c r="AH212" s="189" t="str">
        <f t="shared" si="91"/>
        <v>"%USERPROFILE%\Documents\GitHub\eaglep3\Utilities\RefineRTDCRunTimes.py" --tripid 303-15 --locoid 4058 --swversion DE.1.0.9.0 --startMP 204:475 --initTime 2017-12-15T19:07:23 --startdatetime 2017-12-15T19:15:26 --delay 69 --endMP 300:23304 --enddatetime 2017-12-15T19:24:06 --enforcementcount 0 &gt;&gt;%USERPROFILE%\Documents\GitHub\eaglep3-reporting\EC\2017-12-15-refined-times.txt</v>
      </c>
      <c r="AI212" s="191" t="str">
        <f t="shared" si="92"/>
        <v>echo {"issue":{"subject":"","project_id":79,"tracker_id":40,"status_id":1,"priority_id":2,"assigned_to_id":338,"start_date":"2017-12-15","description":"","custom_fields":[{"id":1,"name":"Subdivision","value":"Other"},{"id":4,"name":"Milepost","value":"2.3304"},{"id":17,"name":"Train ID","value":"303-15"},{"id":16,"name":"Locomotive ID","value":"4058"},{"id":130,"name":"Impact","value":""},{"id":150,"name":"Time of Event (Mountain Time)","value":"19:24:06"},{"id":151,"name":"Denver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188"/>
      <c r="AL212" s="188"/>
      <c r="AM212" s="193" t="str">
        <f t="shared" si="93"/>
        <v>start /low /b %USERPROFILE%\Documents\GitHub\eaglep3\Utilities\DownloadLogsFromS3.py --loco 4058 --day 2017-12-15</v>
      </c>
      <c r="AN212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02:24:06"},{"id":29,"name":"Sharepoint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87" t="str">
        <f t="shared" si="95"/>
        <v>https://d0f6bd738d7f1b3e5a7ca70fe4ff75f0.us-east-1.aws.found.io/app/kibana#/discover/Steve-Slow-Train-Analysis-(2080s-and-2083s)?_g=(refreshInterval:(display:Off,pause:!f,section:0,value:0),time:(from:'2017-12-15T18:07:23-0700',mode:absolute,to:'2017-12-15T20:24:06-0700'))&amp;_a=(columns:!('Message%20ID',Summary),filters:!(),index:'emp_*',interval:auto,query:(query_string:(analyze_wildcard:!t,query:'%22rtdc.l.rtdc.4058%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186" t="s">
        <v>688</v>
      </c>
      <c r="B213" s="182">
        <v>4031</v>
      </c>
      <c r="C213" s="184" t="s">
        <v>192</v>
      </c>
      <c r="D213" s="184" t="s">
        <v>625</v>
      </c>
      <c r="E213" s="183">
        <v>43084.158472222225</v>
      </c>
      <c r="F213" s="183">
        <v>43084.162465277775</v>
      </c>
      <c r="G213" s="182">
        <v>65</v>
      </c>
      <c r="H213" s="184" t="s">
        <v>446</v>
      </c>
      <c r="I213" s="183">
        <v>43084.167534722219</v>
      </c>
      <c r="J213" s="182">
        <v>0</v>
      </c>
      <c r="K213" s="190" t="str">
        <f t="shared" si="142"/>
        <v>4031/4032</v>
      </c>
      <c r="L213" s="196" t="str">
        <f>VLOOKUP(A213,'Trips&amp;Operators'!$C$1:$G$99911,5,FALSE)</f>
        <v>PAGE MARCUS</v>
      </c>
      <c r="M213" s="181">
        <f t="shared" si="143"/>
        <v>5.0694444435066544E-3</v>
      </c>
      <c r="N213" s="182">
        <f t="shared" si="144"/>
        <v>7.2999999986495823</v>
      </c>
      <c r="O213" s="182"/>
      <c r="P213" s="182"/>
      <c r="Q213" s="185"/>
      <c r="R213" s="197"/>
      <c r="S213" s="241">
        <f t="shared" si="145"/>
        <v>1</v>
      </c>
      <c r="T213" s="220" t="str">
        <f t="shared" si="146"/>
        <v>Southbound</v>
      </c>
      <c r="U213" s="22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21" t="str">
        <f t="shared" si="139"/>
        <v>https://d0f6bd738d7f1b3e5a7ca70fe4ff75f0.us-east-1.aws.found.io/app/kibana#/discover/Steve-Slow-Train-Analysis-(2080s-and-2083s)?_g=(refreshInterval:(display:Off,pause:!f,section:0,value:0),time:(from:'2017-12-15T02:48:12-0700',mode:absolute,to:'2017-12-15T05:01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3" s="222" t="str">
        <f>IF(AA213&lt;VLOOKUP(AG213,Variables!$AC$3:$AD$8,2,FALSE),"Y","N")</f>
        <v>Y</v>
      </c>
      <c r="X213" s="222">
        <f t="shared" si="128"/>
        <v>1</v>
      </c>
      <c r="Y213" s="222">
        <f t="shared" si="129"/>
        <v>2.3616000000000001</v>
      </c>
      <c r="Z213" s="222">
        <f t="shared" si="147"/>
        <v>2.0899999999999998E-2</v>
      </c>
      <c r="AA213" s="222">
        <f t="shared" si="148"/>
        <v>2.3407</v>
      </c>
      <c r="AB213" s="231" t="e">
        <f>VLOOKUP(A213,Enforcements!$C$7:$K$9,8,0)</f>
        <v>#N/A</v>
      </c>
      <c r="AC213" s="231" t="e">
        <f>VLOOKUP(A213,Enforcements!$C$7:$E$9,3,0)</f>
        <v>#N/A</v>
      </c>
      <c r="AD213" s="232">
        <f t="shared" si="149"/>
        <v>304</v>
      </c>
      <c r="AE213" s="233" t="str">
        <f t="shared" si="140"/>
        <v>aws s3 cp s3://rtdc.mdm.uploadarchive.raw/RTDC4031/ "%USERPROFILE%\AppData\Local\Temp\OnboardLogs"\RTDC4031\2017-12-15 --exclude "*" --recursive --include "*20171215*" &amp; "%USERPROFILE%\Documents\GitHub\mrs-test-scripts\Headless Mode &amp; Sideloading\WalkAndUnGZ.bat" "%USERPROFILE%\AppData\Local\Temp\OnboardLogs"\RTDC4031\2017-12-15 &amp; aws s3 cp s3://rtdc.mdm.uploadarchive.raw/RTDC4031/ "%USERPROFILE%\AppData\Local\Temp\OnboardLogs"\RTDC4031\2017-12-16 --exclude "*" --recursive --include "*20171216*" &amp; "%USERPROFILE%\Documents\GitHub\mrs-test-scripts\Headless Mode &amp; Sideloading\WalkAndUnGZ.bat" "%USERPROFILE%\AppData\Local\Temp\OnboardLogs"\RTDC4031\2017-12-16</v>
      </c>
      <c r="AF213" s="234" t="str">
        <f t="shared" si="141"/>
        <v>"C:\Program Files (x86)\AstroGrep\AstroGrep.exe" /e /r /s /spath="%USERPROFILE%\AppData\Local\Temp\OnboardLogs" /stypes="app*4031*20171215*" /stext=" 11:.+((SYSTEM_STATE.+slice.+state.+changed )|(ment ac)|(multiple cpu faults)|(system.+state.+changed )|(\[timeout)|(PRM\|1\|D)|(kpr)|(kdp)|(train st.+moving)|(\|lc)|(penalty))"</v>
      </c>
      <c r="AG213" s="226" t="str">
        <f t="shared" si="150"/>
        <v>Other</v>
      </c>
      <c r="AH213" s="189" t="str">
        <f t="shared" si="91"/>
        <v>"%USERPROFILE%\Documents\GitHub\eaglep3\Utilities\RefineRTDCRunTimes.py" --tripid 304-15 --locoid 4031 --swversion DE.1.0.9.0 --startMP 300:23616 --initTime 2017-12-15T03:48:12 --startdatetime 2017-12-15T03:53:57 --delay 65 --endMP 204:209 --enddatetime 2017-12-15T04:01:15 --enforcementcount 0 &gt;&gt;%USERPROFILE%\Documents\GitHub\eaglep3-reporting\EC\2017-12-15-refined-times.txt</v>
      </c>
      <c r="AI213" s="191" t="str">
        <f t="shared" si="92"/>
        <v>echo {"issue":{"subject":"","project_id":79,"tracker_id":40,"status_id":1,"priority_id":2,"assigned_to_id":338,"start_date":"2017-12-15","description":"","custom_fields":[{"id":1,"name":"Subdivision","value":"Other"},{"id":4,"name":"Milepost","value":"0.0209"},{"id":17,"name":"Train ID","value":"304-15"},{"id":16,"name":"Locomotive ID","value":"4031"},{"id":130,"name":"Impact","value":""},{"id":150,"name":"Time of Event (Mountain Time)","value":"04:01:15"},{"id":151,"name":"Denver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180"/>
      <c r="AK213" s="188"/>
      <c r="AL213" s="188"/>
      <c r="AM213" s="193" t="str">
        <f t="shared" si="93"/>
        <v>start /low /b %USERPROFILE%\Documents\GitHub\eaglep3\Utilities\DownloadLogsFromS3.py --loco 4031 --day 2017-12-15</v>
      </c>
      <c r="AN213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11:01:15"},{"id":29,"name":"Sharepoint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87" t="str">
        <f t="shared" si="95"/>
        <v>https://d0f6bd738d7f1b3e5a7ca70fe4ff75f0.us-east-1.aws.found.io/app/kibana#/discover/Steve-Slow-Train-Analysis-(2080s-and-2083s)?_g=(refreshInterval:(display:Off,pause:!f,section:0,value:0),time:(from:'2017-12-15T02:48:12-0700',mode:absolute,to:'2017-12-15T05:01:15-0700'))&amp;_a=(columns:!('Message%20ID',Summary),filters:!(),index:'emp_*',interval:auto,query:(query_string:(analyze_wildcard:!t,query:'%22rtdc.l.rtdc.4031%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180" customFormat="1" x14ac:dyDescent="0.25">
      <c r="A214" s="186" t="s">
        <v>853</v>
      </c>
      <c r="B214" s="182">
        <v>4036</v>
      </c>
      <c r="C214" s="184" t="s">
        <v>192</v>
      </c>
      <c r="D214" s="184" t="s">
        <v>556</v>
      </c>
      <c r="E214" s="183">
        <v>43084.816643518519</v>
      </c>
      <c r="F214" s="183">
        <v>43084.820370370369</v>
      </c>
      <c r="G214" s="182">
        <v>229</v>
      </c>
      <c r="H214" s="184" t="s">
        <v>566</v>
      </c>
      <c r="I214" s="183">
        <v>43084.826504629629</v>
      </c>
      <c r="J214" s="182">
        <v>0</v>
      </c>
      <c r="K214" s="190" t="str">
        <f t="shared" si="142"/>
        <v>4035/4036</v>
      </c>
      <c r="L214" s="196" t="str">
        <f>VLOOKUP(A214,'Trips&amp;Operators'!$C$1:$G$99911,5,FALSE)</f>
        <v>HOLCOMB KAMDEN</v>
      </c>
      <c r="M214" s="181">
        <f t="shared" si="143"/>
        <v>6.1342592598521151E-3</v>
      </c>
      <c r="N214" s="182">
        <f t="shared" si="144"/>
        <v>8.8333333341870457</v>
      </c>
      <c r="O214" s="182"/>
      <c r="P214" s="182"/>
      <c r="Q214" s="185"/>
      <c r="R214" s="197"/>
      <c r="S214" s="241">
        <f t="shared" si="145"/>
        <v>1</v>
      </c>
      <c r="T214" s="220" t="str">
        <f t="shared" si="146"/>
        <v>NorthBound</v>
      </c>
      <c r="U214" s="22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21" t="str">
        <f t="shared" si="139"/>
        <v>https://d0f6bd738d7f1b3e5a7ca70fe4ff75f0.us-east-1.aws.found.io/app/kibana#/discover/Steve-Slow-Train-Analysis-(2080s-and-2083s)?_g=(refreshInterval:(display:Off,pause:!f,section:0,value:0),time:(from:'2017-12-15T18:35:58-0700',mode:absolute,to:'2017-12-15T20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14" s="222" t="str">
        <f>IF(AA214&lt;VLOOKUP(AG214,Variables!$AC$3:$AD$8,2,FALSE),"Y","N")</f>
        <v>Y</v>
      </c>
      <c r="X214" s="222">
        <f t="shared" si="128"/>
        <v>1</v>
      </c>
      <c r="Y214" s="222">
        <f t="shared" si="129"/>
        <v>4.9500000000000002E-2</v>
      </c>
      <c r="Z214" s="222">
        <f t="shared" si="147"/>
        <v>2.3308</v>
      </c>
      <c r="AA214" s="222">
        <f t="shared" si="148"/>
        <v>2.2812999999999999</v>
      </c>
      <c r="AB214" s="231" t="e">
        <f>VLOOKUP(A214,Enforcements!$C$7:$K$9,8,0)</f>
        <v>#N/A</v>
      </c>
      <c r="AC214" s="231" t="e">
        <f>VLOOKUP(A214,Enforcements!$C$7:$E$9,3,0)</f>
        <v>#N/A</v>
      </c>
      <c r="AD214" s="232">
        <f t="shared" si="149"/>
        <v>305</v>
      </c>
      <c r="AE214" s="233" t="str">
        <f t="shared" si="140"/>
        <v>aws s3 cp s3://rtdc.mdm.uploadarchive.raw/RTDC4036/ "%USERPROFILE%\AppData\Local\Temp\OnboardLogs"\RTDC4036\2017-12-15 --exclude "*" --recursive --include "*20171215*" &amp; "%USERPROFILE%\Documents\GitHub\mrs-test-scripts\Headless Mode &amp; Sideloading\WalkAndUnGZ.bat" "%USERPROFILE%\AppData\Local\Temp\OnboardLogs"\RTDC4036\2017-12-15 &amp; aws s3 cp s3://rtdc.mdm.uploadarchive.raw/RTDC4036/ "%USERPROFILE%\AppData\Local\Temp\OnboardLogs"\RTDC4036\2017-12-16 --exclude "*" --recursive --include "*20171216*" &amp; "%USERPROFILE%\Documents\GitHub\mrs-test-scripts\Headless Mode &amp; Sideloading\WalkAndUnGZ.bat" "%USERPROFILE%\AppData\Local\Temp\OnboardLogs"\RTDC4036\2017-12-16</v>
      </c>
      <c r="AF214" s="234" t="str">
        <f t="shared" si="141"/>
        <v>"C:\Program Files (x86)\AstroGrep\AstroGrep.exe" /e /r /s /spath="%USERPROFILE%\AppData\Local\Temp\OnboardLogs" /stypes="app*4036*20171216*" /stext=" 02:.+((SYSTEM_STATE.+slice.+state.+changed )|(ment ac)|(multiple cpu faults)|(system.+state.+changed )|(\[timeout)|(PRM\|1\|D)|(kpr)|(kdp)|(train st.+moving)|(\|lc)|(penalty))"</v>
      </c>
      <c r="AG214" s="226" t="str">
        <f t="shared" si="150"/>
        <v>Other</v>
      </c>
      <c r="AH214" s="189" t="str">
        <f t="shared" si="91"/>
        <v>"%USERPROFILE%\Documents\GitHub\eaglep3\Utilities\RefineRTDCRunTimes.py" --tripid 305-15 --locoid 4036 --swversion DE.1.0.9.0 --startMP 204:495 --initTime 2017-12-15T19:35:58 --startdatetime 2017-12-15T19:41:20 --delay 229 --endMP 300:23308 --enddatetime 2017-12-15T19:50:10 --enforcementcount 0 &gt;&gt;%USERPROFILE%\Documents\GitHub\eaglep3-reporting\EC\2017-12-15-refined-times.txt</v>
      </c>
      <c r="AI214" s="191" t="str">
        <f t="shared" si="92"/>
        <v>echo {"issue":{"subject":"","project_id":79,"tracker_id":40,"status_id":1,"priority_id":2,"assigned_to_id":338,"start_date":"2017-12-15","description":"","custom_fields":[{"id":1,"name":"Subdivision","value":"Other"},{"id":4,"name":"Milepost","value":"2.3308"},{"id":17,"name":"Train ID","value":"305-15"},{"id":16,"name":"Locomotive ID","value":"4036"},{"id":130,"name":"Impact","value":""},{"id":150,"name":"Time of Event (Mountain Time)","value":"19:50:10"},{"id":151,"name":"Denver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188"/>
      <c r="AL214" s="188"/>
      <c r="AM214" s="193" t="str">
        <f t="shared" si="93"/>
        <v>start /low /b %USERPROFILE%\Documents\GitHub\eaglep3\Utilities\DownloadLogsFromS3.py --loco 4036 --day 2017-12-15</v>
      </c>
      <c r="AN214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02:50:10"},{"id":29,"name":"Sharepoint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87" t="str">
        <f t="shared" si="95"/>
        <v>https://d0f6bd738d7f1b3e5a7ca70fe4ff75f0.us-east-1.aws.found.io/app/kibana#/discover/Steve-Slow-Train-Analysis-(2080s-and-2083s)?_g=(refreshInterval:(display:Off,pause:!f,section:0,value:0),time:(from:'2017-12-15T18:35:58-0700',mode:absolute,to:'2017-12-15T20:50:10-0700'))&amp;_a=(columns:!('Message%20ID',Summary),filters:!(),index:'emp_*',interval:auto,query:(query_string:(analyze_wildcard:!t,query:'%22rtdc.l.rtdc.4036%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180" customFormat="1" x14ac:dyDescent="0.25">
      <c r="A215" s="186" t="s">
        <v>689</v>
      </c>
      <c r="B215" s="182">
        <v>4061</v>
      </c>
      <c r="C215" s="184" t="s">
        <v>192</v>
      </c>
      <c r="D215" s="184" t="s">
        <v>626</v>
      </c>
      <c r="E215" s="183">
        <v>43084.168217592596</v>
      </c>
      <c r="F215" s="183">
        <v>43084.175150462965</v>
      </c>
      <c r="G215" s="182">
        <v>71</v>
      </c>
      <c r="H215" s="184" t="s">
        <v>526</v>
      </c>
      <c r="I215" s="183">
        <v>43084.180428240739</v>
      </c>
      <c r="J215" s="182">
        <v>0</v>
      </c>
      <c r="K215" s="190" t="str">
        <f t="shared" si="142"/>
        <v>4061/4062</v>
      </c>
      <c r="L215" s="196" t="str">
        <f>VLOOKUP(A215,'Trips&amp;Operators'!$C$1:$G$99911,5,FALSE)</f>
        <v>GEBRETEKLE DAGNEW</v>
      </c>
      <c r="M215" s="181">
        <f t="shared" si="143"/>
        <v>5.277777774608694E-3</v>
      </c>
      <c r="N215" s="182">
        <f t="shared" si="144"/>
        <v>7.5999999954365194</v>
      </c>
      <c r="O215" s="182"/>
      <c r="P215" s="182"/>
      <c r="Q215" s="185"/>
      <c r="R215" s="197"/>
      <c r="S215" s="241">
        <f t="shared" si="145"/>
        <v>1</v>
      </c>
      <c r="T215" s="220" t="str">
        <f t="shared" si="146"/>
        <v>Southbound</v>
      </c>
      <c r="U215" s="22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21" t="str">
        <f t="shared" si="139"/>
        <v>https://d0f6bd738d7f1b3e5a7ca70fe4ff75f0.us-east-1.aws.found.io/app/kibana#/discover/Steve-Slow-Train-Analysis-(2080s-and-2083s)?_g=(refreshInterval:(display:Off,pause:!f,section:0,value:0),time:(from:'2017-12-15T03:02:14-0700',mode:absolute,to:'2017-12-15T05:19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5" s="222" t="str">
        <f>IF(AA215&lt;VLOOKUP(AG215,Variables!$AC$3:$AD$8,2,FALSE),"Y","N")</f>
        <v>Y</v>
      </c>
      <c r="X215" s="222">
        <f t="shared" si="128"/>
        <v>1</v>
      </c>
      <c r="Y215" s="222">
        <f t="shared" si="129"/>
        <v>2.3687999999999998</v>
      </c>
      <c r="Z215" s="222">
        <f t="shared" si="147"/>
        <v>1.54E-2</v>
      </c>
      <c r="AA215" s="222">
        <f t="shared" si="148"/>
        <v>2.3533999999999997</v>
      </c>
      <c r="AB215" s="231" t="e">
        <f>VLOOKUP(A215,Enforcements!$C$7:$K$9,8,0)</f>
        <v>#N/A</v>
      </c>
      <c r="AC215" s="231" t="e">
        <f>VLOOKUP(A215,Enforcements!$C$7:$E$9,3,0)</f>
        <v>#N/A</v>
      </c>
      <c r="AD215" s="232">
        <f t="shared" si="149"/>
        <v>306</v>
      </c>
      <c r="AE215" s="233" t="str">
        <f t="shared" si="140"/>
        <v>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 &amp; aws s3 cp s3://rtdc.mdm.uploadarchive.raw/RTDC4061/ "%USERPROFILE%\AppData\Local\Temp\OnboardLogs"\RTDC4061\2017-12-16 --exclude "*" --recursive --include "*20171216*" &amp; "%USERPROFILE%\Documents\GitHub\mrs-test-scripts\Headless Mode &amp; Sideloading\WalkAndUnGZ.bat" "%USERPROFILE%\AppData\Local\Temp\OnboardLogs"\RTDC4061\2017-12-16</v>
      </c>
      <c r="AF215" s="234" t="str">
        <f t="shared" si="141"/>
        <v>"C:\Program Files (x86)\AstroGrep\AstroGrep.exe" /e /r /s /spath="%USERPROFILE%\AppData\Local\Temp\OnboardLogs" /stypes="app*4061*20171215*" /stext=" 11:.+((SYSTEM_STATE.+slice.+state.+changed )|(ment ac)|(multiple cpu faults)|(system.+state.+changed )|(\[timeout)|(PRM\|1\|D)|(kpr)|(kdp)|(train st.+moving)|(\|lc)|(penalty))"</v>
      </c>
      <c r="AG215" s="226" t="str">
        <f t="shared" si="150"/>
        <v>Other</v>
      </c>
      <c r="AH215" s="189" t="str">
        <f t="shared" si="91"/>
        <v>"%USERPROFILE%\Documents\GitHub\eaglep3\Utilities\RefineRTDCRunTimes.py" --tripid 306-15 --locoid 4061 --swversion DE.1.0.9.0 --startMP 300:23688 --initTime 2017-12-15T04:02:14 --startdatetime 2017-12-15T04:12:13 --delay 71 --endMP 204:154 --enddatetime 2017-12-15T04:19:49 --enforcementcount 0 &gt;&gt;%USERPROFILE%\Documents\GitHub\eaglep3-reporting\EC\2017-12-15-refined-times.txt</v>
      </c>
      <c r="AI215" s="191" t="str">
        <f t="shared" si="92"/>
        <v>echo {"issue":{"subject":"","project_id":79,"tracker_id":40,"status_id":1,"priority_id":2,"assigned_to_id":338,"start_date":"2017-12-15","description":"","custom_fields":[{"id":1,"name":"Subdivision","value":"Other"},{"id":4,"name":"Milepost","value":"0.0154"},{"id":17,"name":"Train ID","value":"306-15"},{"id":16,"name":"Locomotive ID","value":"4061"},{"id":130,"name":"Impact","value":""},{"id":150,"name":"Time of Event (Mountain Time)","value":"04:19:49"},{"id":151,"name":"Denver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188"/>
      <c r="AL215" s="188"/>
      <c r="AM215" s="193" t="str">
        <f t="shared" si="93"/>
        <v>start /low /b %USERPROFILE%\Documents\GitHub\eaglep3\Utilities\DownloadLogsFromS3.py --loco 4061 --day 2017-12-15</v>
      </c>
      <c r="AN215" s="194" t="str">
        <f t="shared" si="94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11:19:49"},{"id":29,"name":"Sharepoint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87" t="str">
        <f t="shared" si="95"/>
        <v>https://d0f6bd738d7f1b3e5a7ca70fe4ff75f0.us-east-1.aws.found.io/app/kibana#/discover/Steve-Slow-Train-Analysis-(2080s-and-2083s)?_g=(refreshInterval:(display:Off,pause:!f,section:0,value:0),time:(from:'2017-12-15T03:02:14-0700',mode:absolute,to:'2017-12-15T05:19:49-0700'))&amp;_a=(columns:!('Message%20ID',Summary),filters:!(),index:'emp_*',interval:auto,query:(query_string:(analyze_wildcard:!t,query:'%22rtdc.l.rtdc.4061%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180" customFormat="1" x14ac:dyDescent="0.25">
      <c r="A216" s="186" t="s">
        <v>878</v>
      </c>
      <c r="B216" s="182">
        <v>4044</v>
      </c>
      <c r="C216" s="184" t="s">
        <v>192</v>
      </c>
      <c r="D216" s="184" t="s">
        <v>507</v>
      </c>
      <c r="E216" s="183">
        <v>43085.048113425924</v>
      </c>
      <c r="F216" s="183">
        <v>43085.049571759257</v>
      </c>
      <c r="G216" s="182">
        <v>65</v>
      </c>
      <c r="H216" s="184" t="s">
        <v>1015</v>
      </c>
      <c r="I216" s="183">
        <v>43085.05877314815</v>
      </c>
      <c r="J216" s="182">
        <v>0</v>
      </c>
      <c r="K216" s="190" t="str">
        <f t="shared" si="142"/>
        <v>4043/4044</v>
      </c>
      <c r="L216" s="196" t="str">
        <f>VLOOKUP(A216,'Trips&amp;Operators'!$C$1:$G$99911,5,FALSE)</f>
        <v>ZEWDU DEREJE</v>
      </c>
      <c r="M216" s="181">
        <f t="shared" si="143"/>
        <v>9.2013888934161514E-3</v>
      </c>
      <c r="N216" s="182">
        <f t="shared" si="144"/>
        <v>13.250000006519258</v>
      </c>
      <c r="O216" s="182"/>
      <c r="P216" s="182"/>
      <c r="Q216" s="185"/>
      <c r="R216" s="197"/>
      <c r="S216" s="241">
        <f t="shared" si="145"/>
        <v>1</v>
      </c>
      <c r="T216" s="220" t="str">
        <f t="shared" si="146"/>
        <v>NorthBound</v>
      </c>
      <c r="U216" s="22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21" t="str">
        <f t="shared" si="139"/>
        <v>https://d0f6bd738d7f1b3e5a7ca70fe4ff75f0.us-east-1.aws.found.io/app/kibana#/discover/Steve-Slow-Train-Analysis-(2080s-and-2083s)?_g=(refreshInterval:(display:Off,pause:!f,section:0,value:0),time:(from:'2017-12-16T00:09:17-0700',mode:absolute,to:'2017-12-16T02:24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6" s="222" t="str">
        <f>IF(AA216&lt;VLOOKUP(AG216,Variables!$AC$3:$AD$8,2,FALSE),"Y","N")</f>
        <v>Y</v>
      </c>
      <c r="X216" s="222">
        <f t="shared" ref="X216:X232" si="151">VALUE(LEFT(AD216,4))-VALUE(LEFT(AD215,4))</f>
        <v>1</v>
      </c>
      <c r="Y216" s="222">
        <f t="shared" ref="Y216:Y232" si="152">RIGHT(D216,LEN(D216)-4)/10000</f>
        <v>5.2900000000000003E-2</v>
      </c>
      <c r="Z216" s="222">
        <f t="shared" si="147"/>
        <v>2.3306</v>
      </c>
      <c r="AA216" s="222">
        <f t="shared" si="148"/>
        <v>2.2776999999999998</v>
      </c>
      <c r="AB216" s="231" t="e">
        <f>VLOOKUP(A216,Enforcements!$C$7:$K$9,8,0)</f>
        <v>#N/A</v>
      </c>
      <c r="AC216" s="231" t="e">
        <f>VLOOKUP(A216,Enforcements!$C$7:$E$9,3,0)</f>
        <v>#N/A</v>
      </c>
      <c r="AD216" s="232">
        <f t="shared" si="149"/>
        <v>307</v>
      </c>
      <c r="AE216" s="233" t="str">
        <f t="shared" si="140"/>
        <v>aws s3 cp s3://rtdc.mdm.uploadarchive.raw/RTDC4044/ "%USERPROFILE%\AppData\Local\Temp\OnboardLogs"\RTDC4044\2017-12-16 --exclude "*" --recursive --include "*20171216*" &amp; "%USERPROFILE%\Documents\GitHub\mrs-test-scripts\Headless Mode &amp; Sideloading\WalkAndUnGZ.bat" "%USERPROFILE%\AppData\Local\Temp\OnboardLogs"\RTDC4044\2017-12-16 &amp; 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</v>
      </c>
      <c r="AF216" s="234" t="str">
        <f t="shared" si="141"/>
        <v>"C:\Program Files (x86)\AstroGrep\AstroGrep.exe" /e /r /s /spath="%USERPROFILE%\AppData\Local\Temp\OnboardLogs" /stypes="app*4044*20171216*" /stext=" 08:.+((SYSTEM_STATE.+slice.+state.+changed )|(ment ac)|(multiple cpu faults)|(system.+state.+changed )|(\[timeout)|(PRM\|1\|D)|(kpr)|(kdp)|(train st.+moving)|(\|lc)|(penalty))"</v>
      </c>
      <c r="AG216" s="226" t="str">
        <f t="shared" si="150"/>
        <v>Other</v>
      </c>
      <c r="AH216" s="189" t="str">
        <f t="shared" si="91"/>
        <v>"%USERPROFILE%\Documents\GitHub\eaglep3\Utilities\RefineRTDCRunTimes.py" --tripid 307-15 --locoid 4044 --swversion DE.1.0.9.0 --startMP 204:529 --initTime 2017-12-16T01:09:17 --startdatetime 2017-12-16T01:11:23 --delay 65 --endMP 300:23306 --enddatetime 2017-12-16T01:24:38 --enforcementcount 0 &gt;&gt;%USERPROFILE%\Documents\GitHub\eaglep3-reporting\EC\2017-12-15-refined-times.txt</v>
      </c>
      <c r="AI216" s="191" t="str">
        <f t="shared" si="92"/>
        <v>echo {"issue":{"subject":"","project_id":79,"tracker_id":40,"status_id":1,"priority_id":2,"assigned_to_id":338,"start_date":"2017-12-16","description":"","custom_fields":[{"id":1,"name":"Subdivision","value":"Other"},{"id":4,"name":"Milepost","value":"2.3306"},{"id":17,"name":"Train ID","value":"307-15"},{"id":16,"name":"Locomotive ID","value":"4044"},{"id":130,"name":"Impact","value":""},{"id":150,"name":"Time of Event (Mountain Time)","value":"01:24:38"},{"id":151,"name":"Denver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188"/>
      <c r="AL216" s="188"/>
      <c r="AM216" s="193" t="str">
        <f t="shared" si="93"/>
        <v>start /low /b %USERPROFILE%\Documents\GitHub\eaglep3\Utilities\DownloadLogsFromS3.py --loco 4044 --day 2017-12-16</v>
      </c>
      <c r="AN216" s="194" t="str">
        <f t="shared" si="94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08:24:38"},{"id":29,"name":"Sharepoint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87" t="str">
        <f t="shared" si="95"/>
        <v>https://d0f6bd738d7f1b3e5a7ca70fe4ff75f0.us-east-1.aws.found.io/app/kibana#/discover/Steve-Slow-Train-Analysis-(2080s-and-2083s)?_g=(refreshInterval:(display:Off,pause:!f,section:0,value:0),time:(from:'2017-12-16T00:09:17-0700',mode:absolute,to:'2017-12-16T02:24:38-0700'))&amp;_a=(columns:!('Message%20ID',Summary),filters:!(),index:'emp_*',interval:auto,query:(query_string:(analyze_wildcard:!t,query:'%22rtdc.l.rtdc.4044%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186" t="s">
        <v>691</v>
      </c>
      <c r="B217" s="182">
        <v>4041</v>
      </c>
      <c r="C217" s="184" t="s">
        <v>192</v>
      </c>
      <c r="D217" s="184" t="s">
        <v>1016</v>
      </c>
      <c r="E217" s="183">
        <v>43084.176585648151</v>
      </c>
      <c r="F217" s="183">
        <v>43084.182002314818</v>
      </c>
      <c r="G217" s="182">
        <v>87</v>
      </c>
      <c r="H217" s="184" t="s">
        <v>441</v>
      </c>
      <c r="I217" s="183">
        <v>43084.191134259258</v>
      </c>
      <c r="J217" s="182">
        <v>0</v>
      </c>
      <c r="K217" s="190" t="str">
        <f t="shared" si="142"/>
        <v>4041/4042</v>
      </c>
      <c r="L217" s="196" t="str">
        <f>VLOOKUP(A217,'Trips&amp;Operators'!$C$1:$G$99911,5,FALSE)</f>
        <v>LOPES KIMBERLY</v>
      </c>
      <c r="M217" s="181">
        <f t="shared" si="143"/>
        <v>9.1319444400141947E-3</v>
      </c>
      <c r="N217" s="182">
        <f t="shared" si="144"/>
        <v>13.14999999362044</v>
      </c>
      <c r="O217" s="182"/>
      <c r="P217" s="182"/>
      <c r="Q217" s="185"/>
      <c r="R217" s="197"/>
      <c r="S217" s="241">
        <f t="shared" si="145"/>
        <v>1</v>
      </c>
      <c r="T217" s="220" t="str">
        <f t="shared" si="146"/>
        <v>Southbound</v>
      </c>
      <c r="U217" s="22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21" t="str">
        <f t="shared" si="139"/>
        <v>https://d0f6bd738d7f1b3e5a7ca70fe4ff75f0.us-east-1.aws.found.io/app/kibana#/discover/Steve-Slow-Train-Analysis-(2080s-and-2083s)?_g=(refreshInterval:(display:Off,pause:!f,section:0,value:0),time:(from:'2017-12-15T03:14:17-0700',mode:absolute,to:'2017-12-15T05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7" s="222" t="str">
        <f>IF(AA217&lt;VLOOKUP(AG217,Variables!$AC$3:$AD$8,2,FALSE),"Y","N")</f>
        <v>Y</v>
      </c>
      <c r="X217" s="222">
        <f t="shared" si="151"/>
        <v>1</v>
      </c>
      <c r="Y217" s="222">
        <f t="shared" si="152"/>
        <v>2.3290000000000002</v>
      </c>
      <c r="Z217" s="222">
        <f t="shared" si="147"/>
        <v>2.1600000000000001E-2</v>
      </c>
      <c r="AA217" s="222">
        <f t="shared" si="148"/>
        <v>2.3074000000000003</v>
      </c>
      <c r="AB217" s="231" t="e">
        <f>VLOOKUP(A217,Enforcements!$C$7:$K$9,8,0)</f>
        <v>#N/A</v>
      </c>
      <c r="AC217" s="231" t="e">
        <f>VLOOKUP(A217,Enforcements!$C$7:$E$9,3,0)</f>
        <v>#N/A</v>
      </c>
      <c r="AD217" s="232">
        <f t="shared" si="149"/>
        <v>308</v>
      </c>
      <c r="AE217" s="233" t="str">
        <f t="shared" si="140"/>
        <v>aws s3 cp s3://rtdc.mdm.uploadarchive.raw/RTDC4041/ "%USERPROFILE%\AppData\Local\Temp\OnboardLogs"\RTDC4041\2017-12-15 --exclude "*" --recursive --include "*20171215*" &amp; "%USERPROFILE%\Documents\GitHub\mrs-test-scripts\Headless Mode &amp; Sideloading\WalkAndUnGZ.bat" "%USERPROFILE%\AppData\Local\Temp\OnboardLogs"\RTDC4041\2017-12-15 &amp; aws s3 cp s3://rtdc.mdm.uploadarchive.raw/RTDC4041/ "%USERPROFILE%\AppData\Local\Temp\OnboardLogs"\RTDC4041\2017-12-16 --exclude "*" --recursive --include "*20171216*" &amp; "%USERPROFILE%\Documents\GitHub\mrs-test-scripts\Headless Mode &amp; Sideloading\WalkAndUnGZ.bat" "%USERPROFILE%\AppData\Local\Temp\OnboardLogs"\RTDC4041\2017-12-16</v>
      </c>
      <c r="AF217" s="234" t="str">
        <f t="shared" si="141"/>
        <v>"C:\Program Files (x86)\AstroGrep\AstroGrep.exe" /e /r /s /spath="%USERPROFILE%\AppData\Local\Temp\OnboardLogs" /stypes="app*4041*20171215*" /stext=" 11:.+((SYSTEM_STATE.+slice.+state.+changed )|(ment ac)|(multiple cpu faults)|(system.+state.+changed )|(\[timeout)|(PRM\|1\|D)|(kpr)|(kdp)|(train st.+moving)|(\|lc)|(penalty))"</v>
      </c>
      <c r="AG217" s="226" t="str">
        <f t="shared" si="150"/>
        <v>Other</v>
      </c>
      <c r="AH217" s="189" t="str">
        <f t="shared" ref="AH217:AH232" si="153">refinertdcruntimes&amp;" --tripid "&amp;A217&amp;" --locoid "&amp;B217&amp;" --swversion "&amp;C217&amp;" --startMP "&amp;D217&amp;" --initTime "&amp;TEXT(E217,"yyyy-mm-ddTHH:MM:SS")&amp;" --startdatetime "&amp;TEXT(F217,"yyyy-mm-ddTHH:MM:SS")&amp;" --delay "&amp;G217&amp;" --endMP "&amp;H217&amp;" --enddatetime "&amp;TEXT(I217,"yyyy-mm-ddTHH:MM:SS")&amp;" --enforcementcount "&amp;J217&amp;IF(outputrefinedruntimes," &gt;&gt;"&amp;RefinedRTDCRunTimesOutputFile,"")</f>
        <v>"%USERPROFILE%\Documents\GitHub\eaglep3\Utilities\RefineRTDCRunTimes.py" --tripid 308-15 --locoid 4041 --swversion DE.1.0.9.0 --startMP 300:23290 --initTime 2017-12-15T04:14:17 --startdatetime 2017-12-15T04:22:05 --delay 87 --endMP 204:216 --enddatetime 2017-12-15T04:35:14 --enforcementcount 0 &gt;&gt;%USERPROFILE%\Documents\GitHub\eaglep3-reporting\EC\2017-12-15-refined-times.txt</v>
      </c>
      <c r="AI217" s="191" t="str">
        <f t="shared" ref="AI217:AI232" si="154">"echo {""issue"":{""subject"":"""&amp;R217&amp;""",""project_id"":79,""tracker_id"":40,""status_id"":"&amp;redmine_status&amp;",""priority_id"":"&amp;redmine_priority&amp;",""assigned_to_id"":"&amp;redmine_assignee&amp;",""start_date"":"""&amp;TEXT(I217,"YYYY-mm-dd")&amp;""",""description"":"""&amp;AJ217&amp;""",""custom_fields"":[{""id"":1,""name"":""Subdivision"",""value"":"""&amp;AG217&amp;"""},{""id"":4,""name"":""Milepost"",""value"":"""&amp;Z217&amp;"""},{""id"":17,""name"":""Train ID"",""value"":"""&amp;A217&amp;"""},{""id"":16,""name"":""Locomotive ID"",""value"":"""&amp;B217&amp;"""},{""id"":130,""name"":""Impact"",""value"":"""&amp;AK217&amp;"""},{""id"":150,""name"":""Time of Event (Mountain Time)"",""value"":"""&amp;TEXT(I217,"hh:mm:ss")&amp;"""},{""id"":151,""name"":""Denver Issue ID"",""value"":"""&amp;"""},{""id"":178,""name"":""Operational Impact"",""value"":"""&amp;redmine_op_impact&amp;"""},{""id"":179,""name"":""Denver Segment Assigned"",""value"":"""&amp;AL217&amp;"""}]}}"&amp;"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{"issue":{"subject":"","project_id":79,"tracker_id":40,"status_id":1,"priority_id":2,"assigned_to_id":338,"start_date":"2017-12-15","description":"","custom_fields":[{"id":1,"name":"Subdivision","value":"Other"},{"id":4,"name":"Milepost","value":"0.0216"},{"id":17,"name":"Train ID","value":"308-15"},{"id":16,"name":"Locomotive ID","value":"4041"},{"id":130,"name":"Impact","value":""},{"id":150,"name":"Time of Event (Mountain Time)","value":"04:35:14"},{"id":151,"name":"Denver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180"/>
      <c r="AK217" s="188"/>
      <c r="AL217" s="188"/>
      <c r="AM217" s="193" t="str">
        <f t="shared" ref="AM217:AM232" si="155">"start /low /b "&amp;dls3logs&amp;" --loco "&amp;B217&amp;" --day "&amp;TEXT(F217,"YYYY-MM-DD")</f>
        <v>start /low /b %USERPROFILE%\Documents\GitHub\eaglep3\Utilities\DownloadLogsFromS3.py --loco 4041 --day 2017-12-15</v>
      </c>
      <c r="AN217" s="194" t="str">
        <f t="shared" ref="AN217:AN232" si="156">"echo {""issue"":{""subject"":"""&amp;R217&amp;""",""project_id"":30,""tracker_id"":4,""status_id"":"&amp;redmine_status_wcr&amp;",""priority_id"":"&amp;redmine_priority_wcr&amp;",""assigned_to_id"":"&amp;redmine_assignee_wcr&amp;",""start_date"":"""&amp;TEXT(I217-utc_offset/24,"YYYY-mm-dd")&amp;""",""description"":"""&amp;AJ217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11:35:14"},{"id":29,"name":"Sharepoint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87" t="str">
        <f t="shared" ref="AO217:AO232" si="157"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Message%20ID',Summary),filters:!(),index:'emp_*',interval:auto,query:"&amp;"(query_string:(analyze_wildcard:!t,query:'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-12-15T03:14:17-0700',mode:absolute,to:'2017-12-15T05:35:14-0700'))&amp;_a=(columns:!('Message%20ID',Summary),filters:!(),index:'emp_*',interval:auto,query:(query_string:(analyze_wildcard:!t,query:'%22rtdc.l.rtdc.4041%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186" t="s">
        <v>695</v>
      </c>
      <c r="B218" s="182">
        <v>4057</v>
      </c>
      <c r="C218" s="184" t="s">
        <v>192</v>
      </c>
      <c r="D218" s="184" t="s">
        <v>1017</v>
      </c>
      <c r="E218" s="183">
        <v>43084.197071759256</v>
      </c>
      <c r="F218" s="183">
        <v>43084.200439814813</v>
      </c>
      <c r="G218" s="182">
        <v>135</v>
      </c>
      <c r="H218" s="184" t="s">
        <v>1018</v>
      </c>
      <c r="I218" s="183">
        <v>43084.205682870372</v>
      </c>
      <c r="J218" s="182">
        <v>0</v>
      </c>
      <c r="K218" s="190" t="str">
        <f t="shared" si="142"/>
        <v>4057/4058</v>
      </c>
      <c r="L218" s="196" t="str">
        <f>VLOOKUP(A218,'Trips&amp;Operators'!$C$1:$G$99911,5,FALSE)</f>
        <v>MACDONALD THOMAS</v>
      </c>
      <c r="M218" s="181">
        <f t="shared" si="143"/>
        <v>5.2430555588216521E-3</v>
      </c>
      <c r="N218" s="182">
        <f t="shared" si="144"/>
        <v>7.550000004703179</v>
      </c>
      <c r="O218" s="182"/>
      <c r="P218" s="182"/>
      <c r="Q218" s="185"/>
      <c r="R218" s="197"/>
      <c r="S218" s="241">
        <f t="shared" si="145"/>
        <v>1</v>
      </c>
      <c r="T218" s="220" t="str">
        <f t="shared" si="146"/>
        <v>Southbound</v>
      </c>
      <c r="U218" s="22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21" t="str">
        <f t="shared" si="139"/>
        <v>https://d0f6bd738d7f1b3e5a7ca70fe4ff75f0.us-east-1.aws.found.io/app/kibana#/discover/Steve-Slow-Train-Analysis-(2080s-and-2083s)?_g=(refreshInterval:(display:Off,pause:!f,section:0,value:0),time:(from:'2017-12-15T03:43:47-0700',mode:absolute,to:'2017-12-15T05:56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8" s="222" t="str">
        <f>IF(AA218&lt;VLOOKUP(AG218,Variables!$AC$3:$AD$8,2,FALSE),"Y","N")</f>
        <v>Y</v>
      </c>
      <c r="X218" s="222">
        <f t="shared" si="151"/>
        <v>2</v>
      </c>
      <c r="Y218" s="222">
        <f t="shared" si="152"/>
        <v>2.3542000000000001</v>
      </c>
      <c r="Z218" s="222">
        <f t="shared" si="147"/>
        <v>2.4299999999999999E-2</v>
      </c>
      <c r="AA218" s="222">
        <f t="shared" si="148"/>
        <v>2.3298999999999999</v>
      </c>
      <c r="AB218" s="231" t="e">
        <f>VLOOKUP(A218,Enforcements!$C$7:$K$9,8,0)</f>
        <v>#N/A</v>
      </c>
      <c r="AC218" s="231" t="e">
        <f>VLOOKUP(A218,Enforcements!$C$7:$E$9,3,0)</f>
        <v>#N/A</v>
      </c>
      <c r="AD218" s="232">
        <f t="shared" si="149"/>
        <v>310</v>
      </c>
      <c r="AE218" s="233" t="str">
        <f t="shared" si="140"/>
        <v>aws s3 cp s3://rtdc.mdm.uploadarchive.raw/RTDC4057/ "%USERPROFILE%\AppData\Local\Temp\OnboardLogs"\RTDC4057\2017-12-15 --exclude "*" --recursive --include "*20171215*" &amp; "%USERPROFILE%\Documents\GitHub\mrs-test-scripts\Headless Mode &amp; Sideloading\WalkAndUnGZ.bat" "%USERPROFILE%\AppData\Local\Temp\OnboardLogs"\RTDC4057\2017-12-15 &amp; aws s3 cp s3://rtdc.mdm.uploadarchive.raw/RTDC4057/ "%USERPROFILE%\AppData\Local\Temp\OnboardLogs"\RTDC4057\2017-12-16 --exclude "*" --recursive --include "*20171216*" &amp; "%USERPROFILE%\Documents\GitHub\mrs-test-scripts\Headless Mode &amp; Sideloading\WalkAndUnGZ.bat" "%USERPROFILE%\AppData\Local\Temp\OnboardLogs"\RTDC4057\2017-12-16</v>
      </c>
      <c r="AF218" s="234" t="str">
        <f t="shared" si="141"/>
        <v>"C:\Program Files (x86)\AstroGrep\AstroGrep.exe" /e /r /s /spath="%USERPROFILE%\AppData\Local\Temp\OnboardLogs" /stypes="app*4057*20171215*" /stext=" 11:.+((SYSTEM_STATE.+slice.+state.+changed )|(ment ac)|(multiple cpu faults)|(system.+state.+changed )|(\[timeout)|(PRM\|1\|D)|(kpr)|(kdp)|(train st.+moving)|(\|lc)|(penalty))"</v>
      </c>
      <c r="AG218" s="226" t="str">
        <f t="shared" si="150"/>
        <v>Other</v>
      </c>
      <c r="AH218" s="189" t="str">
        <f t="shared" si="153"/>
        <v>"%USERPROFILE%\Documents\GitHub\eaglep3\Utilities\RefineRTDCRunTimes.py" --tripid 310-15 --locoid 4057 --swversion DE.1.0.9.0 --startMP 300:23542 --initTime 2017-12-15T04:43:47 --startdatetime 2017-12-15T04:48:38 --delay 135 --endMP 204:243 --enddatetime 2017-12-15T04:56:11 --enforcementcount 0 &gt;&gt;%USERPROFILE%\Documents\GitHub\eaglep3-reporting\EC\2017-12-15-refined-times.txt</v>
      </c>
      <c r="AI218" s="191" t="str">
        <f t="shared" si="154"/>
        <v>echo {"issue":{"subject":"","project_id":79,"tracker_id":40,"status_id":1,"priority_id":2,"assigned_to_id":338,"start_date":"2017-12-15","description":"","custom_fields":[{"id":1,"name":"Subdivision","value":"Other"},{"id":4,"name":"Milepost","value":"0.0243"},{"id":17,"name":"Train ID","value":"310-15"},{"id":16,"name":"Locomotive ID","value":"4057"},{"id":130,"name":"Impact","value":""},{"id":150,"name":"Time of Event (Mountain Time)","value":"04:56:11"},{"id":151,"name":"Denver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180"/>
      <c r="AK218" s="188"/>
      <c r="AL218" s="188"/>
      <c r="AM218" s="193" t="str">
        <f t="shared" si="155"/>
        <v>start /low /b %USERPROFILE%\Documents\GitHub\eaglep3\Utilities\DownloadLogsFromS3.py --loco 4057 --day 2017-12-15</v>
      </c>
      <c r="AN218" s="194" t="str">
        <f t="shared" si="156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11:56:11"},{"id":29,"name":"Sharepoint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87" t="str">
        <f t="shared" si="157"/>
        <v>https://d0f6bd738d7f1b3e5a7ca70fe4ff75f0.us-east-1.aws.found.io/app/kibana#/discover/Steve-Slow-Train-Analysis-(2080s-and-2083s)?_g=(refreshInterval:(display:Off,pause:!f,section:0,value:0),time:(from:'2017-12-15T03:43:47-0700',mode:absolute,to:'2017-12-15T05:56:11-0700'))&amp;_a=(columns:!('Message%20ID',Summary),filters:!(),index:'emp_*',interval:auto,query:(query_string:(analyze_wildcard:!t,query:'%22rtdc.l.rtdc.4057%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180" customFormat="1" x14ac:dyDescent="0.25">
      <c r="A219" s="186" t="s">
        <v>881</v>
      </c>
      <c r="B219" s="182">
        <v>4062</v>
      </c>
      <c r="C219" s="184" t="s">
        <v>192</v>
      </c>
      <c r="D219" s="184" t="s">
        <v>1019</v>
      </c>
      <c r="E219" s="183">
        <v>43085.086412037039</v>
      </c>
      <c r="F219" s="183">
        <v>43085.087789351855</v>
      </c>
      <c r="G219" s="182">
        <v>53</v>
      </c>
      <c r="H219" s="184" t="s">
        <v>1020</v>
      </c>
      <c r="I219" s="183">
        <v>43085.095462962963</v>
      </c>
      <c r="J219" s="182">
        <v>0</v>
      </c>
      <c r="K219" s="190" t="str">
        <f t="shared" si="142"/>
        <v>4061/4062</v>
      </c>
      <c r="L219" s="196" t="str">
        <f>VLOOKUP(A219,'Trips&amp;Operators'!$C$1:$G$99911,5,FALSE)</f>
        <v>ELBAUM MIKE</v>
      </c>
      <c r="M219" s="181">
        <f t="shared" si="143"/>
        <v>7.6736111077480018E-3</v>
      </c>
      <c r="N219" s="182">
        <f t="shared" si="144"/>
        <v>11.049999995157123</v>
      </c>
      <c r="O219" s="182"/>
      <c r="P219" s="182"/>
      <c r="Q219" s="185"/>
      <c r="R219" s="197"/>
      <c r="S219" s="241">
        <f t="shared" si="145"/>
        <v>1</v>
      </c>
      <c r="T219" s="220" t="str">
        <f t="shared" si="146"/>
        <v>NorthBound</v>
      </c>
      <c r="U219" s="22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21" t="str">
        <f t="shared" si="139"/>
        <v>https://d0f6bd738d7f1b3e5a7ca70fe4ff75f0.us-east-1.aws.found.io/app/kibana#/discover/Steve-Slow-Train-Analysis-(2080s-and-2083s)?_g=(refreshInterval:(display:Off,pause:!f,section:0,value:0),time:(from:'2017-12-16T01:04:26-0700',mode:absolute,to:'2017-12-16T03:17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9" s="222" t="str">
        <f>IF(AA219&lt;VLOOKUP(AG219,Variables!$AC$3:$AD$8,2,FALSE),"Y","N")</f>
        <v>Y</v>
      </c>
      <c r="X219" s="222">
        <f t="shared" si="151"/>
        <v>1</v>
      </c>
      <c r="Y219" s="222">
        <f t="shared" si="152"/>
        <v>5.7700000000000001E-2</v>
      </c>
      <c r="Z219" s="222">
        <f t="shared" si="147"/>
        <v>2.3302</v>
      </c>
      <c r="AA219" s="222">
        <f t="shared" si="148"/>
        <v>2.2725</v>
      </c>
      <c r="AB219" s="231" t="e">
        <f>VLOOKUP(A219,Enforcements!$C$7:$K$9,8,0)</f>
        <v>#N/A</v>
      </c>
      <c r="AC219" s="231" t="e">
        <f>VLOOKUP(A219,Enforcements!$C$7:$E$9,3,0)</f>
        <v>#N/A</v>
      </c>
      <c r="AD219" s="232">
        <f t="shared" si="149"/>
        <v>311</v>
      </c>
      <c r="AE219" s="233" t="str">
        <f t="shared" si="140"/>
        <v>aws s3 cp s3://rtdc.mdm.uploadarchive.raw/RTDC4062/ "%USERPROFILE%\AppData\Local\Temp\OnboardLogs"\RTDC4062\2017-12-16 --exclude "*" --recursive --include "*20171216*" &amp; "%USERPROFILE%\Documents\GitHub\mrs-test-scripts\Headless Mode &amp; Sideloading\WalkAndUnGZ.bat" "%USERPROFILE%\AppData\Local\Temp\OnboardLogs"\RTDC4062\2017-12-16 &amp; aws s3 cp s3://rtdc.mdm.uploadarchive.raw/RTDC4062/ "%USERPROFILE%\AppData\Local\Temp\OnboardLogs"\RTDC4062\2017-12-17 --exclude "*" --recursive --include "*20171217*" &amp; "%USERPROFILE%\Documents\GitHub\mrs-test-scripts\Headless Mode &amp; Sideloading\WalkAndUnGZ.bat" "%USERPROFILE%\AppData\Local\Temp\OnboardLogs"\RTDC4062\2017-12-17</v>
      </c>
      <c r="AF219" s="234" t="str">
        <f t="shared" si="141"/>
        <v>"C:\Program Files (x86)\AstroGrep\AstroGrep.exe" /e /r /s /spath="%USERPROFILE%\AppData\Local\Temp\OnboardLogs" /stypes="app*4062*20171216*" /stext=" 09:.+((SYSTEM_STATE.+slice.+state.+changed )|(ment ac)|(multiple cpu faults)|(system.+state.+changed )|(\[timeout)|(PRM\|1\|D)|(kpr)|(kdp)|(train st.+moving)|(\|lc)|(penalty))"</v>
      </c>
      <c r="AG219" s="226" t="str">
        <f t="shared" si="150"/>
        <v>Other</v>
      </c>
      <c r="AH219" s="189" t="str">
        <f t="shared" si="153"/>
        <v>"%USERPROFILE%\Documents\GitHub\eaglep3\Utilities\RefineRTDCRunTimes.py" --tripid 311-15 --locoid 4062 --swversion DE.1.0.9.0 --startMP 204:577 --initTime 2017-12-16T02:04:26 --startdatetime 2017-12-16T02:06:25 --delay 53 --endMP 300:23302 --enddatetime 2017-12-16T02:17:28 --enforcementcount 0 &gt;&gt;%USERPROFILE%\Documents\GitHub\eaglep3-reporting\EC\2017-12-15-refined-times.txt</v>
      </c>
      <c r="AI219" s="191" t="str">
        <f t="shared" si="154"/>
        <v>echo {"issue":{"subject":"","project_id":79,"tracker_id":40,"status_id":1,"priority_id":2,"assigned_to_id":338,"start_date":"2017-12-16","description":"","custom_fields":[{"id":1,"name":"Subdivision","value":"Other"},{"id":4,"name":"Milepost","value":"2.3302"},{"id":17,"name":"Train ID","value":"311-15"},{"id":16,"name":"Locomotive ID","value":"4062"},{"id":130,"name":"Impact","value":""},{"id":150,"name":"Time of Event (Mountain Time)","value":"02:17:28"},{"id":151,"name":"Denver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188"/>
      <c r="AL219" s="188"/>
      <c r="AM219" s="193" t="str">
        <f t="shared" si="155"/>
        <v>start /low /b %USERPROFILE%\Documents\GitHub\eaglep3\Utilities\DownloadLogsFromS3.py --loco 4062 --day 2017-12-16</v>
      </c>
      <c r="AN219" s="194" t="str">
        <f t="shared" si="156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09:17:28"},{"id":29,"name":"Sharepoint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87" t="str">
        <f t="shared" si="157"/>
        <v>https://d0f6bd738d7f1b3e5a7ca70fe4ff75f0.us-east-1.aws.found.io/app/kibana#/discover/Steve-Slow-Train-Analysis-(2080s-and-2083s)?_g=(refreshInterval:(display:Off,pause:!f,section:0,value:0),time:(from:'2017-12-16T01:04:26-0700',mode:absolute,to:'2017-12-16T03:17:28-0700'))&amp;_a=(columns:!('Message%20ID',Summary),filters:!(),index:'emp_*',interval:auto,query:(query_string:(analyze_wildcard:!t,query:'%22rtdc.l.rtdc.4062%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186" t="s">
        <v>707</v>
      </c>
      <c r="B220" s="182">
        <v>4035</v>
      </c>
      <c r="C220" s="184" t="s">
        <v>192</v>
      </c>
      <c r="D220" s="184" t="s">
        <v>1021</v>
      </c>
      <c r="E220" s="183">
        <v>43084.227546296293</v>
      </c>
      <c r="F220" s="183">
        <v>43084.229942129627</v>
      </c>
      <c r="G220" s="182">
        <v>64</v>
      </c>
      <c r="H220" s="184" t="s">
        <v>526</v>
      </c>
      <c r="I220" s="183">
        <v>43084.235034722224</v>
      </c>
      <c r="J220" s="182">
        <v>0</v>
      </c>
      <c r="K220" s="190" t="str">
        <f t="shared" si="142"/>
        <v>4035/4036</v>
      </c>
      <c r="L220" s="196" t="str">
        <f>VLOOKUP(A220,'Trips&amp;Operators'!$C$1:$G$99911,5,FALSE)</f>
        <v>YANAI IAN</v>
      </c>
      <c r="M220" s="181">
        <f t="shared" si="143"/>
        <v>5.0925925970659591E-3</v>
      </c>
      <c r="N220" s="182">
        <f t="shared" si="144"/>
        <v>7.3333333397749811</v>
      </c>
      <c r="O220" s="182"/>
      <c r="P220" s="182"/>
      <c r="Q220" s="185"/>
      <c r="R220" s="197"/>
      <c r="S220" s="241">
        <f t="shared" si="145"/>
        <v>1</v>
      </c>
      <c r="T220" s="220" t="str">
        <f t="shared" si="146"/>
        <v>Southbound</v>
      </c>
      <c r="U220" s="22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21" t="str">
        <f t="shared" si="139"/>
        <v>https://d0f6bd738d7f1b3e5a7ca70fe4ff75f0.us-east-1.aws.found.io/app/kibana#/discover/Steve-Slow-Train-Analysis-(2080s-and-2083s)?_g=(refreshInterval:(display:Off,pause:!f,section:0,value:0),time:(from:'2017-12-15T04:27:40-0700',mode:absolute,to:'2017-12-15T06:38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0" s="222" t="str">
        <f>IF(AA220&lt;VLOOKUP(AG220,Variables!$AC$3:$AD$8,2,FALSE),"Y","N")</f>
        <v>Y</v>
      </c>
      <c r="X220" s="222">
        <f t="shared" si="151"/>
        <v>1</v>
      </c>
      <c r="Y220" s="222">
        <f t="shared" si="152"/>
        <v>2.3711000000000002</v>
      </c>
      <c r="Z220" s="222">
        <f t="shared" si="147"/>
        <v>1.54E-2</v>
      </c>
      <c r="AA220" s="222">
        <f t="shared" si="148"/>
        <v>2.3557000000000001</v>
      </c>
      <c r="AB220" s="231" t="e">
        <f>VLOOKUP(A220,Enforcements!$C$7:$K$9,8,0)</f>
        <v>#N/A</v>
      </c>
      <c r="AC220" s="231" t="e">
        <f>VLOOKUP(A220,Enforcements!$C$7:$E$9,3,0)</f>
        <v>#N/A</v>
      </c>
      <c r="AD220" s="232">
        <f t="shared" si="149"/>
        <v>312</v>
      </c>
      <c r="AE220" s="233" t="str">
        <f t="shared" si="140"/>
        <v>aws s3 cp s3://rtdc.mdm.uploadarchive.raw/RTDC4035/ "%USERPROFILE%\AppData\Local\Temp\OnboardLogs"\RTDC4035\2017-12-15 --exclude "*" --recursive --include "*20171215*" &amp; "%USERPROFILE%\Documents\GitHub\mrs-test-scripts\Headless Mode &amp; Sideloading\WalkAndUnGZ.bat" "%USERPROFILE%\AppData\Local\Temp\OnboardLogs"\RTDC4035\2017-12-15 &amp; aws s3 cp s3://rtdc.mdm.uploadarchive.raw/RTDC4035/ "%USERPROFILE%\AppData\Local\Temp\OnboardLogs"\RTDC4035\2017-12-16 --exclude "*" --recursive --include "*20171216*" &amp; "%USERPROFILE%\Documents\GitHub\mrs-test-scripts\Headless Mode &amp; Sideloading\WalkAndUnGZ.bat" "%USERPROFILE%\AppData\Local\Temp\OnboardLogs"\RTDC4035\2017-12-16</v>
      </c>
      <c r="AF220" s="234" t="str">
        <f t="shared" si="141"/>
        <v>"C:\Program Files (x86)\AstroGrep\AstroGrep.exe" /e /r /s /spath="%USERPROFILE%\AppData\Local\Temp\OnboardLogs" /stypes="app*4035*20171215*" /stext=" 12:.+((SYSTEM_STATE.+slice.+state.+changed )|(ment ac)|(multiple cpu faults)|(system.+state.+changed )|(\[timeout)|(PRM\|1\|D)|(kpr)|(kdp)|(train st.+moving)|(\|lc)|(penalty))"</v>
      </c>
      <c r="AG220" s="226" t="str">
        <f t="shared" si="150"/>
        <v>Other</v>
      </c>
      <c r="AH220" s="189" t="str">
        <f t="shared" si="153"/>
        <v>"%USERPROFILE%\Documents\GitHub\eaglep3\Utilities\RefineRTDCRunTimes.py" --tripid 312-15 --locoid 4035 --swversion DE.1.0.9.0 --startMP 300:23711 --initTime 2017-12-15T05:27:40 --startdatetime 2017-12-15T05:31:07 --delay 64 --endMP 204:154 --enddatetime 2017-12-15T05:38:27 --enforcementcount 0 &gt;&gt;%USERPROFILE%\Documents\GitHub\eaglep3-reporting\EC\2017-12-15-refined-times.txt</v>
      </c>
      <c r="AI220" s="191" t="str">
        <f t="shared" si="154"/>
        <v>echo {"issue":{"subject":"","project_id":79,"tracker_id":40,"status_id":1,"priority_id":2,"assigned_to_id":338,"start_date":"2017-12-15","description":"","custom_fields":[{"id":1,"name":"Subdivision","value":"Other"},{"id":4,"name":"Milepost","value":"0.0154"},{"id":17,"name":"Train ID","value":"312-15"},{"id":16,"name":"Locomotive ID","value":"4035"},{"id":130,"name":"Impact","value":""},{"id":150,"name":"Time of Event (Mountain Time)","value":"05:38:27"},{"id":151,"name":"Denver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180"/>
      <c r="AK220" s="188"/>
      <c r="AL220" s="188"/>
      <c r="AM220" s="193" t="str">
        <f t="shared" si="155"/>
        <v>start /low /b %USERPROFILE%\Documents\GitHub\eaglep3\Utilities\DownloadLogsFromS3.py --loco 4035 --day 2017-12-15</v>
      </c>
      <c r="AN220" s="194" t="str">
        <f t="shared" si="156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12:38:27"},{"id":29,"name":"Sharepoint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87" t="str">
        <f t="shared" si="157"/>
        <v>https://d0f6bd738d7f1b3e5a7ca70fe4ff75f0.us-east-1.aws.found.io/app/kibana#/discover/Steve-Slow-Train-Analysis-(2080s-and-2083s)?_g=(refreshInterval:(display:Off,pause:!f,section:0,value:0),time:(from:'2017-12-15T04:27:40-0700',mode:absolute,to:'2017-12-15T06:38:27-0700'))&amp;_a=(columns:!('Message%20ID',Summary),filters:!(),index:'emp_*',interval:auto,query:(query_string:(analyze_wildcard:!t,query:'%22rtdc.l.rtdc.4035%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186" t="s">
        <v>694</v>
      </c>
      <c r="B221" s="182">
        <v>4008</v>
      </c>
      <c r="C221" s="184" t="s">
        <v>192</v>
      </c>
      <c r="D221" s="184" t="s">
        <v>1068</v>
      </c>
      <c r="E221" s="183">
        <v>43084.197800925926</v>
      </c>
      <c r="F221" s="183">
        <v>43084.202673611115</v>
      </c>
      <c r="G221" s="182">
        <v>67</v>
      </c>
      <c r="H221" s="184" t="s">
        <v>1035</v>
      </c>
      <c r="I221" s="183">
        <v>43084.208437499998</v>
      </c>
      <c r="J221" s="182">
        <v>0</v>
      </c>
      <c r="K221" s="190" t="str">
        <f t="shared" si="142"/>
        <v>4007/4008</v>
      </c>
      <c r="L221" s="196" t="str">
        <f>VLOOKUP(A221,'Trips&amp;Operators'!$C$1:$G$99911,5,FALSE)</f>
        <v>WILLIAMS DONTE</v>
      </c>
      <c r="M221" s="181">
        <f t="shared" si="143"/>
        <v>5.7638888829387724E-3</v>
      </c>
      <c r="N221" s="182">
        <f t="shared" si="144"/>
        <v>8.2999999914318323</v>
      </c>
      <c r="O221" s="182"/>
      <c r="P221" s="182"/>
      <c r="Q221" s="185"/>
      <c r="R221" s="197"/>
      <c r="S221" s="241">
        <f t="shared" si="145"/>
        <v>0</v>
      </c>
      <c r="T221" s="220" t="str">
        <f t="shared" si="146"/>
        <v>NorthBound</v>
      </c>
      <c r="U221" s="22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21" t="str">
        <f t="shared" si="139"/>
        <v>https://d0f6bd738d7f1b3e5a7ca70fe4ff75f0.us-east-1.aws.found.io/app/kibana#/discover/Steve-Slow-Train-Analysis-(2080s-and-2083s)?_g=(refreshInterval:(display:Off,pause:!f,section:0,value:0),time:(from:'2017-12-15T03:44:50-0700',mode:absolute,to:'2017-12-15T06:00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1" s="222" t="str">
        <f>IF(AA221&lt;VLOOKUP(AG221,Variables!$AC$3:$AD$8,2,FALSE),"Y","N")</f>
        <v>Y</v>
      </c>
      <c r="X221" s="222">
        <f t="shared" si="151"/>
        <v>589</v>
      </c>
      <c r="Y221" s="222">
        <f t="shared" si="152"/>
        <v>2.9889000000000001</v>
      </c>
      <c r="Z221" s="222">
        <f t="shared" si="147"/>
        <v>5.8929</v>
      </c>
      <c r="AA221" s="222">
        <f t="shared" si="148"/>
        <v>2.9039999999999999</v>
      </c>
      <c r="AB221" s="231" t="e">
        <f>VLOOKUP(A221,Enforcements!$C$7:$K$9,8,0)</f>
        <v>#N/A</v>
      </c>
      <c r="AC221" s="231" t="e">
        <f>VLOOKUP(A221,Enforcements!$C$7:$E$9,3,0)</f>
        <v>#N/A</v>
      </c>
      <c r="AD221" s="232">
        <f t="shared" si="149"/>
        <v>901</v>
      </c>
      <c r="AE221" s="233" t="str">
        <f t="shared" si="140"/>
        <v>aws s3 cp s3://rtdc.mdm.uploadarchive.raw/RTDC4008/ "%USERPROFILE%\AppData\Local\Temp\OnboardLogs"\RTDC4008\2017-12-15 --exclude "*" --recursive --include "*20171215*" &amp; "%USERPROFILE%\Documents\GitHub\mrs-test-scripts\Headless Mode &amp; Sideloading\WalkAndUnGZ.bat" "%USERPROFILE%\AppData\Local\Temp\OnboardLogs"\RTDC4008\2017-12-15 &amp; aws s3 cp s3://rtdc.mdm.uploadarchive.raw/RTDC4008/ "%USERPROFILE%\AppData\Local\Temp\OnboardLogs"\RTDC4008\2017-12-16 --exclude "*" --recursive --include "*20171216*" &amp; "%USERPROFILE%\Documents\GitHub\mrs-test-scripts\Headless Mode &amp; Sideloading\WalkAndUnGZ.bat" "%USERPROFILE%\AppData\Local\Temp\OnboardLogs"\RTDC4008\2017-12-16</v>
      </c>
      <c r="AF221" s="234" t="str">
        <f t="shared" si="141"/>
        <v>"C:\Program Files (x86)\AstroGrep\AstroGrep.exe" /e /r /s /spath="%USERPROFILE%\AppData\Local\Temp\OnboardLogs" /stypes="app*4008*20171215*" /stext=" 12:.+((SYSTEM_STATE.+slice.+state.+changed )|(ment ac)|(multiple cpu faults)|(system.+state.+changed )|(\[timeout)|(PRM\|1\|D)|(kpr)|(kdp)|(train st.+moving)|(\|lc)|(penalty))"</v>
      </c>
      <c r="AG221" s="226" t="str">
        <f t="shared" si="150"/>
        <v>Other</v>
      </c>
      <c r="AH221" s="189" t="str">
        <f t="shared" si="153"/>
        <v>"%USERPROFILE%\Documents\GitHub\eaglep3\Utilities\RefineRTDCRunTimes.py" --tripid 901-15 --locoid 4008 --swversion DE.1.0.9.0 --startMP 300:29889 --initTime 2017-12-15T04:44:50 --startdatetime 2017-12-15T04:51:51 --delay 67 --endMP 300:58929 --enddatetime 2017-12-15T05:00:09 --enforcementcount 0 &gt;&gt;%USERPROFILE%\Documents\GitHub\eaglep3-reporting\EC\2017-12-15-refined-times.txt</v>
      </c>
      <c r="AI221" s="191" t="str">
        <f t="shared" si="154"/>
        <v>echo {"issue":{"subject":"","project_id":79,"tracker_id":40,"status_id":1,"priority_id":2,"assigned_to_id":338,"start_date":"2017-12-15","description":"","custom_fields":[{"id":1,"name":"Subdivision","value":"Other"},{"id":4,"name":"Milepost","value":"5.8929"},{"id":17,"name":"Train ID","value":"901-15"},{"id":16,"name":"Locomotive ID","value":"4008"},{"id":130,"name":"Impact","value":""},{"id":150,"name":"Time of Event (Mountain Time)","value":"05:00:09"},{"id":151,"name":"Denver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180"/>
      <c r="AK221" s="188"/>
      <c r="AL221" s="188"/>
      <c r="AM221" s="193" t="str">
        <f t="shared" si="155"/>
        <v>start /low /b %USERPROFILE%\Documents\GitHub\eaglep3\Utilities\DownloadLogsFromS3.py --loco 4008 --day 2017-12-15</v>
      </c>
      <c r="AN221" s="194" t="str">
        <f t="shared" si="156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12:00:09"},{"id":29,"name":"Sharepoint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87" t="str">
        <f t="shared" si="157"/>
        <v>https://d0f6bd738d7f1b3e5a7ca70fe4ff75f0.us-east-1.aws.found.io/app/kibana#/discover/Steve-Slow-Train-Analysis-(2080s-and-2083s)?_g=(refreshInterval:(display:Off,pause:!f,section:0,value:0),time:(from:'2017-12-15T03:44:50-0700',mode:absolute,to:'2017-12-15T06:00:09-0700'))&amp;_a=(columns:!('Message%20ID',Summary),filters:!(),index:'emp_*',interval:auto,query:(query_string:(analyze_wildcard:!t,query:'%22rtdc.l.rtdc.4008%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186" t="s">
        <v>710</v>
      </c>
      <c r="B222" s="182">
        <v>4001</v>
      </c>
      <c r="C222" s="184" t="s">
        <v>192</v>
      </c>
      <c r="D222" s="184" t="s">
        <v>1069</v>
      </c>
      <c r="E222" s="183">
        <v>43084.237245370372</v>
      </c>
      <c r="F222" s="183">
        <v>43084.240567129629</v>
      </c>
      <c r="G222" s="182">
        <v>86</v>
      </c>
      <c r="H222" s="184" t="s">
        <v>1063</v>
      </c>
      <c r="I222" s="183">
        <v>43084.245428240742</v>
      </c>
      <c r="J222" s="182">
        <v>0</v>
      </c>
      <c r="K222" s="190" t="str">
        <f t="shared" si="142"/>
        <v>4001/4002</v>
      </c>
      <c r="L222" s="196" t="str">
        <f>VLOOKUP(A222,'Trips&amp;Operators'!$C$1:$G$99911,5,FALSE)</f>
        <v>DELGADO DIANAH</v>
      </c>
      <c r="M222" s="181">
        <f t="shared" si="143"/>
        <v>4.8611111124046147E-3</v>
      </c>
      <c r="N222" s="182">
        <f t="shared" si="144"/>
        <v>7.0000000018626451</v>
      </c>
      <c r="O222" s="182"/>
      <c r="P222" s="182"/>
      <c r="Q222" s="185"/>
      <c r="R222" s="197"/>
      <c r="S222" s="241">
        <f t="shared" si="145"/>
        <v>1</v>
      </c>
      <c r="T222" s="220" t="str">
        <f t="shared" si="146"/>
        <v>Southbound</v>
      </c>
      <c r="U222" s="22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21" t="str">
        <f t="shared" si="139"/>
        <v>https://d0f6bd738d7f1b3e5a7ca70fe4ff75f0.us-east-1.aws.found.io/app/kibana#/discover/Steve-Slow-Train-Analysis-(2080s-and-2083s)?_g=(refreshInterval:(display:Off,pause:!f,section:0,value:0),time:(from:'2017-12-15T04:41:38-0700',mode:absolute,to:'2017-12-15T06:53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2" s="222" t="str">
        <f>IF(AA222&lt;VLOOKUP(AG222,Variables!$AC$3:$AD$8,2,FALSE),"Y","N")</f>
        <v>Y</v>
      </c>
      <c r="X222" s="222">
        <f t="shared" si="151"/>
        <v>1</v>
      </c>
      <c r="Y222" s="222">
        <f t="shared" si="152"/>
        <v>2.2290999999999999</v>
      </c>
      <c r="Z222" s="222">
        <f t="shared" si="147"/>
        <v>1.4E-2</v>
      </c>
      <c r="AA222" s="222">
        <f t="shared" si="148"/>
        <v>2.2151000000000001</v>
      </c>
      <c r="AB222" s="231" t="e">
        <f>VLOOKUP(A222,Enforcements!$C$7:$K$9,8,0)</f>
        <v>#N/A</v>
      </c>
      <c r="AC222" s="231" t="e">
        <f>VLOOKUP(A222,Enforcements!$C$7:$E$9,3,0)</f>
        <v>#N/A</v>
      </c>
      <c r="AD222" s="232">
        <f t="shared" si="149"/>
        <v>902</v>
      </c>
      <c r="AE222" s="233" t="str">
        <f t="shared" si="140"/>
        <v>aws s3 cp s3://rtdc.mdm.uploadarchive.raw/RTDC4001/ "%USERPROFILE%\AppData\Local\Temp\OnboardLogs"\RTDC4001\2017-12-15 --exclude "*" --recursive --include "*20171215*" &amp; "%USERPROFILE%\Documents\GitHub\mrs-test-scripts\Headless Mode &amp; Sideloading\WalkAndUnGZ.bat" "%USERPROFILE%\AppData\Local\Temp\OnboardLogs"\RTDC4001\2017-12-15 &amp; aws s3 cp s3://rtdc.mdm.uploadarchive.raw/RTDC4001/ "%USERPROFILE%\AppData\Local\Temp\OnboardLogs"\RTDC4001\2017-12-16 --exclude "*" --recursive --include "*20171216*" &amp; "%USERPROFILE%\Documents\GitHub\mrs-test-scripts\Headless Mode &amp; Sideloading\WalkAndUnGZ.bat" "%USERPROFILE%\AppData\Local\Temp\OnboardLogs"\RTDC4001\2017-12-16</v>
      </c>
      <c r="AF222" s="234" t="str">
        <f t="shared" si="141"/>
        <v>"C:\Program Files (x86)\AstroGrep\AstroGrep.exe" /e /r /s /spath="%USERPROFILE%\AppData\Local\Temp\OnboardLogs" /stypes="app*4001*20171215*" /stext=" 12:.+((SYSTEM_STATE.+slice.+state.+changed )|(ment ac)|(multiple cpu faults)|(system.+state.+changed )|(\[timeout)|(PRM\|1\|D)|(kpr)|(kdp)|(train st.+moving)|(\|lc)|(penalty))"</v>
      </c>
      <c r="AG222" s="226" t="str">
        <f t="shared" si="150"/>
        <v>Other</v>
      </c>
      <c r="AH222" s="189" t="str">
        <f t="shared" si="153"/>
        <v>"%USERPROFILE%\Documents\GitHub\eaglep3\Utilities\RefineRTDCRunTimes.py" --tripid 902-15 --locoid 4001 --swversion DE.1.0.9.0 --startMP 300:22291 --initTime 2017-12-15T05:41:38 --startdatetime 2017-12-15T05:46:25 --delay 86 --endMP 204:140 --enddatetime 2017-12-15T05:53:25 --enforcementcount 0 &gt;&gt;%USERPROFILE%\Documents\GitHub\eaglep3-reporting\EC\2017-12-15-refined-times.txt</v>
      </c>
      <c r="AI222" s="191" t="str">
        <f t="shared" si="154"/>
        <v>echo {"issue":{"subject":"","project_id":79,"tracker_id":40,"status_id":1,"priority_id":2,"assigned_to_id":338,"start_date":"2017-12-15","description":"","custom_fields":[{"id":1,"name":"Subdivision","value":"Other"},{"id":4,"name":"Milepost","value":"0.014"},{"id":17,"name":"Train ID","value":"902-15"},{"id":16,"name":"Locomotive ID","value":"4001"},{"id":130,"name":"Impact","value":""},{"id":150,"name":"Time of Event (Mountain Time)","value":"05:53:25"},{"id":151,"name":"Denver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180"/>
      <c r="AK222" s="188"/>
      <c r="AL222" s="188"/>
      <c r="AM222" s="193" t="str">
        <f t="shared" si="155"/>
        <v>start /low /b %USERPROFILE%\Documents\GitHub\eaglep3\Utilities\DownloadLogsFromS3.py --loco 4001 --day 2017-12-15</v>
      </c>
      <c r="AN222" s="194" t="str">
        <f t="shared" si="156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12:53:25"},{"id":29,"name":"Sharepoint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87" t="str">
        <f t="shared" si="157"/>
        <v>https://d0f6bd738d7f1b3e5a7ca70fe4ff75f0.us-east-1.aws.found.io/app/kibana#/discover/Steve-Slow-Train-Analysis-(2080s-and-2083s)?_g=(refreshInterval:(display:Off,pause:!f,section:0,value:0),time:(from:'2017-12-15T04:41:38-0700',mode:absolute,to:'2017-12-15T06:53:25-0700'))&amp;_a=(columns:!('Message%20ID',Summary),filters:!(),index:'emp_*',interval:auto,query:(query_string:(analyze_wildcard:!t,query:'%22rtdc.l.rtdc.4001%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180" customFormat="1" x14ac:dyDescent="0.25">
      <c r="A223" s="186" t="s">
        <v>742</v>
      </c>
      <c r="B223" s="182">
        <v>4008</v>
      </c>
      <c r="C223" s="184" t="s">
        <v>192</v>
      </c>
      <c r="D223" s="184" t="s">
        <v>1070</v>
      </c>
      <c r="E223" s="183">
        <v>43084.35528935185</v>
      </c>
      <c r="F223" s="183">
        <v>43084.368287037039</v>
      </c>
      <c r="G223" s="182">
        <v>83</v>
      </c>
      <c r="H223" s="184" t="s">
        <v>1071</v>
      </c>
      <c r="I223" s="183">
        <v>43084.371064814812</v>
      </c>
      <c r="J223" s="182">
        <v>0</v>
      </c>
      <c r="K223" s="190" t="str">
        <f t="shared" si="142"/>
        <v>4007/4008</v>
      </c>
      <c r="L223" s="196" t="str">
        <f>VLOOKUP(A223,'Trips&amp;Operators'!$C$1:$G$99911,5,FALSE)</f>
        <v>WILLIAMS DONTE</v>
      </c>
      <c r="M223" s="181">
        <f t="shared" si="143"/>
        <v>2.7777777722803876E-3</v>
      </c>
      <c r="N223" s="182">
        <f t="shared" si="144"/>
        <v>3.9999999920837581</v>
      </c>
      <c r="O223" s="182"/>
      <c r="P223" s="182"/>
      <c r="Q223" s="185"/>
      <c r="R223" s="197"/>
      <c r="S223" s="241">
        <f t="shared" si="145"/>
        <v>1</v>
      </c>
      <c r="T223" s="220" t="str">
        <f t="shared" si="146"/>
        <v>NorthBound</v>
      </c>
      <c r="U223" s="22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21" t="str">
        <f t="shared" si="139"/>
        <v>https://d0f6bd738d7f1b3e5a7ca70fe4ff75f0.us-east-1.aws.found.io/app/kibana#/discover/Steve-Slow-Train-Analysis-(2080s-and-2083s)?_g=(refreshInterval:(display:Off,pause:!f,section:0,value:0),time:(from:'2017-12-15T07:31:37-0700',mode:absolute,to:'2017-12-15T09:54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3" s="222" t="str">
        <f>IF(AA223&lt;VLOOKUP(AG223,Variables!$AC$3:$AD$8,2,FALSE),"Y","N")</f>
        <v>Y</v>
      </c>
      <c r="X223" s="222">
        <f t="shared" si="151"/>
        <v>1</v>
      </c>
      <c r="Y223" s="222">
        <f t="shared" si="152"/>
        <v>4.0300000000000002E-2</v>
      </c>
      <c r="Z223" s="222">
        <f t="shared" si="147"/>
        <v>3.1379000000000001</v>
      </c>
      <c r="AA223" s="222">
        <f t="shared" si="148"/>
        <v>3.0975999999999999</v>
      </c>
      <c r="AB223" s="231" t="e">
        <f>VLOOKUP(A223,Enforcements!$C$7:$K$9,8,0)</f>
        <v>#N/A</v>
      </c>
      <c r="AC223" s="231" t="e">
        <f>VLOOKUP(A223,Enforcements!$C$7:$E$9,3,0)</f>
        <v>#N/A</v>
      </c>
      <c r="AD223" s="232">
        <f t="shared" si="149"/>
        <v>903</v>
      </c>
      <c r="AE223" s="233" t="str">
        <f t="shared" si="140"/>
        <v>aws s3 cp s3://rtdc.mdm.uploadarchive.raw/RTDC4008/ "%USERPROFILE%\AppData\Local\Temp\OnboardLogs"\RTDC4008\2017-12-15 --exclude "*" --recursive --include "*20171215*" &amp; "%USERPROFILE%\Documents\GitHub\mrs-test-scripts\Headless Mode &amp; Sideloading\WalkAndUnGZ.bat" "%USERPROFILE%\AppData\Local\Temp\OnboardLogs"\RTDC4008\2017-12-15 &amp; aws s3 cp s3://rtdc.mdm.uploadarchive.raw/RTDC4008/ "%USERPROFILE%\AppData\Local\Temp\OnboardLogs"\RTDC4008\2017-12-16 --exclude "*" --recursive --include "*20171216*" &amp; "%USERPROFILE%\Documents\GitHub\mrs-test-scripts\Headless Mode &amp; Sideloading\WalkAndUnGZ.bat" "%USERPROFILE%\AppData\Local\Temp\OnboardLogs"\RTDC4008\2017-12-16</v>
      </c>
      <c r="AF223" s="234" t="str">
        <f t="shared" si="141"/>
        <v>"C:\Program Files (x86)\AstroGrep\AstroGrep.exe" /e /r /s /spath="%USERPROFILE%\AppData\Local\Temp\OnboardLogs" /stypes="app*4008*20171215*" /stext=" 15:.+((SYSTEM_STATE.+slice.+state.+changed )|(ment ac)|(multiple cpu faults)|(system.+state.+changed )|(\[timeout)|(PRM\|1\|D)|(kpr)|(kdp)|(train st.+moving)|(\|lc)|(penalty))"</v>
      </c>
      <c r="AG223" s="226" t="str">
        <f t="shared" si="150"/>
        <v>Other</v>
      </c>
      <c r="AH223" s="189" t="str">
        <f t="shared" si="153"/>
        <v>"%USERPROFILE%\Documents\GitHub\eaglep3\Utilities\RefineRTDCRunTimes.py" --tripid 903-15 --locoid 4008 --swversion DE.1.0.9.0 --startMP 204:403 --initTime 2017-12-15T08:31:37 --startdatetime 2017-12-15T08:50:20 --delay 83 --endMP 300:31379 --enddatetime 2017-12-15T08:54:20 --enforcementcount 0 &gt;&gt;%USERPROFILE%\Documents\GitHub\eaglep3-reporting\EC\2017-12-15-refined-times.txt</v>
      </c>
      <c r="AI223" s="191" t="str">
        <f t="shared" si="154"/>
        <v>echo {"issue":{"subject":"","project_id":79,"tracker_id":40,"status_id":1,"priority_id":2,"assigned_to_id":338,"start_date":"2017-12-15","description":"","custom_fields":[{"id":1,"name":"Subdivision","value":"Other"},{"id":4,"name":"Milepost","value":"3.1379"},{"id":17,"name":"Train ID","value":"903-15"},{"id":16,"name":"Locomotive ID","value":"4008"},{"id":130,"name":"Impact","value":""},{"id":150,"name":"Time of Event (Mountain Time)","value":"08:54:20"},{"id":151,"name":"Denver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188"/>
      <c r="AL223" s="188"/>
      <c r="AM223" s="193" t="str">
        <f t="shared" si="155"/>
        <v>start /low /b %USERPROFILE%\Documents\GitHub\eaglep3\Utilities\DownloadLogsFromS3.py --loco 4008 --day 2017-12-15</v>
      </c>
      <c r="AN223" s="194" t="str">
        <f t="shared" si="156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15:54:20"},{"id":29,"name":"Sharepoint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87" t="str">
        <f t="shared" si="157"/>
        <v>https://d0f6bd738d7f1b3e5a7ca70fe4ff75f0.us-east-1.aws.found.io/app/kibana#/discover/Steve-Slow-Train-Analysis-(2080s-and-2083s)?_g=(refreshInterval:(display:Off,pause:!f,section:0,value:0),time:(from:'2017-12-15T07:31:37-0700',mode:absolute,to:'2017-12-15T09:54:20-0700'))&amp;_a=(columns:!('Message%20ID',Summary),filters:!(),index:'emp_*',interval:auto,query:(query_string:(analyze_wildcard:!t,query:'%22rtdc.l.rtdc.4008%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180" customFormat="1" x14ac:dyDescent="0.25">
      <c r="A224" s="186" t="s">
        <v>742</v>
      </c>
      <c r="B224" s="182">
        <v>4007</v>
      </c>
      <c r="C224" s="184" t="s">
        <v>192</v>
      </c>
      <c r="D224" s="184" t="s">
        <v>1072</v>
      </c>
      <c r="E224" s="183">
        <v>43084.366284722222</v>
      </c>
      <c r="F224" s="183">
        <v>43084.368287037039</v>
      </c>
      <c r="G224" s="182">
        <v>64</v>
      </c>
      <c r="H224" s="184" t="s">
        <v>1073</v>
      </c>
      <c r="I224" s="183">
        <v>43084.371064814812</v>
      </c>
      <c r="J224" s="182">
        <v>0</v>
      </c>
      <c r="K224" s="190" t="str">
        <f t="shared" si="142"/>
        <v>4007/4008</v>
      </c>
      <c r="L224" s="196" t="str">
        <f>VLOOKUP(A224,'Trips&amp;Operators'!$C$1:$G$99911,5,FALSE)</f>
        <v>WILLIAMS DONTE</v>
      </c>
      <c r="M224" s="181">
        <f t="shared" si="143"/>
        <v>2.7777777722803876E-3</v>
      </c>
      <c r="N224" s="182">
        <f t="shared" si="144"/>
        <v>3.9999999920837581</v>
      </c>
      <c r="O224" s="182"/>
      <c r="P224" s="182"/>
      <c r="Q224" s="185"/>
      <c r="R224" s="197"/>
      <c r="S224" s="241">
        <f t="shared" si="145"/>
        <v>0</v>
      </c>
      <c r="T224" s="220" t="str">
        <f t="shared" si="146"/>
        <v>NorthBound</v>
      </c>
      <c r="U224" s="22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21" t="str">
        <f t="shared" si="139"/>
        <v>https://d0f6bd738d7f1b3e5a7ca70fe4ff75f0.us-east-1.aws.found.io/app/kibana#/discover/Steve-Slow-Train-Analysis-(2080s-and-2083s)?_g=(refreshInterval:(display:Off,pause:!f,section:0,value:0),time:(from:'2017-12-15T07:47:27-0700',mode:absolute,to:'2017-12-15T09:54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4" s="222" t="str">
        <f>IF(AA224&lt;VLOOKUP(AG224,Variables!$AC$3:$AD$8,2,FALSE),"Y","N")</f>
        <v>Y</v>
      </c>
      <c r="X224" s="222">
        <f t="shared" si="151"/>
        <v>0</v>
      </c>
      <c r="Y224" s="222">
        <f t="shared" si="152"/>
        <v>3.1059000000000001</v>
      </c>
      <c r="Z224" s="222">
        <f t="shared" si="147"/>
        <v>2.8778000000000001</v>
      </c>
      <c r="AA224" s="222">
        <f t="shared" si="148"/>
        <v>0.22809999999999997</v>
      </c>
      <c r="AB224" s="231" t="e">
        <f>VLOOKUP(A224,Enforcements!$C$7:$K$9,8,0)</f>
        <v>#N/A</v>
      </c>
      <c r="AC224" s="231" t="e">
        <f>VLOOKUP(A224,Enforcements!$C$7:$E$9,3,0)</f>
        <v>#N/A</v>
      </c>
      <c r="AD224" s="232">
        <f t="shared" si="149"/>
        <v>903</v>
      </c>
      <c r="AE224" s="233" t="str">
        <f t="shared" si="140"/>
        <v>aws s3 cp s3://rtdc.mdm.uploadarchive.raw/RTDC4007/ "%USERPROFILE%\AppData\Local\Temp\OnboardLogs"\RTDC4007\2017-12-15 --exclude "*" --recursive --include "*20171215*" &amp; "%USERPROFILE%\Documents\GitHub\mrs-test-scripts\Headless Mode &amp; Sideloading\WalkAndUnGZ.bat" "%USERPROFILE%\AppData\Local\Temp\OnboardLogs"\RTDC4007\2017-12-15 &amp; aws s3 cp s3://rtdc.mdm.uploadarchive.raw/RTDC4007/ "%USERPROFILE%\AppData\Local\Temp\OnboardLogs"\RTDC4007\2017-12-16 --exclude "*" --recursive --include "*20171216*" &amp; "%USERPROFILE%\Documents\GitHub\mrs-test-scripts\Headless Mode &amp; Sideloading\WalkAndUnGZ.bat" "%USERPROFILE%\AppData\Local\Temp\OnboardLogs"\RTDC4007\2017-12-16</v>
      </c>
      <c r="AF224" s="234" t="str">
        <f t="shared" si="141"/>
        <v>"C:\Program Files (x86)\AstroGrep\AstroGrep.exe" /e /r /s /spath="%USERPROFILE%\AppData\Local\Temp\OnboardLogs" /stypes="app*4007*20171215*" /stext=" 15:.+((SYSTEM_STATE.+slice.+state.+changed )|(ment ac)|(multiple cpu faults)|(system.+state.+changed )|(\[timeout)|(PRM\|1\|D)|(kpr)|(kdp)|(train st.+moving)|(\|lc)|(penalty))"</v>
      </c>
      <c r="AG224" s="226" t="str">
        <f t="shared" si="150"/>
        <v>Other</v>
      </c>
      <c r="AH224" s="189" t="str">
        <f t="shared" si="153"/>
        <v>"%USERPROFILE%\Documents\GitHub\eaglep3\Utilities\RefineRTDCRunTimes.py" --tripid 903-15 --locoid 4007 --swversion DE.1.0.9.0 --startMP 300:31059 --initTime 2017-12-15T08:47:27 --startdatetime 2017-12-15T08:50:20 --delay 64 --endMP 300:28778 --enddatetime 2017-12-15T08:54:20 --enforcementcount 0 &gt;&gt;%USERPROFILE%\Documents\GitHub\eaglep3-reporting\EC\2017-12-15-refined-times.txt</v>
      </c>
      <c r="AI224" s="191" t="str">
        <f t="shared" si="154"/>
        <v>echo {"issue":{"subject":"","project_id":79,"tracker_id":40,"status_id":1,"priority_id":2,"assigned_to_id":338,"start_date":"2017-12-15","description":"","custom_fields":[{"id":1,"name":"Subdivision","value":"Other"},{"id":4,"name":"Milepost","value":"2.8778"},{"id":17,"name":"Train ID","value":"903-15"},{"id":16,"name":"Locomotive ID","value":"4007"},{"id":130,"name":"Impact","value":""},{"id":150,"name":"Time of Event (Mountain Time)","value":"08:54:20"},{"id":151,"name":"Denver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188"/>
      <c r="AL224" s="188"/>
      <c r="AM224" s="193" t="str">
        <f t="shared" si="155"/>
        <v>start /low /b %USERPROFILE%\Documents\GitHub\eaglep3\Utilities\DownloadLogsFromS3.py --loco 4007 --day 2017-12-15</v>
      </c>
      <c r="AN224" s="194" t="str">
        <f t="shared" si="156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15:54:20"},{"id":29,"name":"Sharepoint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87" t="str">
        <f t="shared" si="157"/>
        <v>https://d0f6bd738d7f1b3e5a7ca70fe4ff75f0.us-east-1.aws.found.io/app/kibana#/discover/Steve-Slow-Train-Analysis-(2080s-and-2083s)?_g=(refreshInterval:(display:Off,pause:!f,section:0,value:0),time:(from:'2017-12-15T07:47:27-0700',mode:absolute,to:'2017-12-15T09:54:20-0700'))&amp;_a=(columns:!('Message%20ID',Summary),filters:!(),index:'emp_*',interval:auto,query:(query_string:(analyze_wildcard:!t,query:'%22rtdc.l.rtdc.4007%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180" customFormat="1" x14ac:dyDescent="0.25">
      <c r="A225" s="186" t="s">
        <v>802</v>
      </c>
      <c r="B225" s="182">
        <v>4007</v>
      </c>
      <c r="C225" s="184" t="s">
        <v>192</v>
      </c>
      <c r="D225" s="184" t="s">
        <v>1074</v>
      </c>
      <c r="E225" s="183">
        <v>43084.632974537039</v>
      </c>
      <c r="F225" s="183">
        <v>43084.638344907406</v>
      </c>
      <c r="G225" s="182">
        <v>64</v>
      </c>
      <c r="H225" s="184" t="s">
        <v>636</v>
      </c>
      <c r="I225" s="183">
        <v>43084.643703703703</v>
      </c>
      <c r="J225" s="182">
        <v>0</v>
      </c>
      <c r="K225" s="190" t="str">
        <f t="shared" si="142"/>
        <v>4007/4008</v>
      </c>
      <c r="L225" s="196" t="str">
        <f>VLOOKUP(A225,'Trips&amp;Operators'!$C$1:$G$99911,5,FALSE)</f>
        <v>LORI SANTOS</v>
      </c>
      <c r="M225" s="181">
        <f t="shared" si="143"/>
        <v>5.3587962975143455E-3</v>
      </c>
      <c r="N225" s="182">
        <f t="shared" si="144"/>
        <v>7.7166666684206575</v>
      </c>
      <c r="O225" s="182"/>
      <c r="P225" s="182"/>
      <c r="Q225" s="185"/>
      <c r="R225" s="197"/>
      <c r="S225" s="241">
        <f t="shared" si="145"/>
        <v>1</v>
      </c>
      <c r="T225" s="220" t="str">
        <f t="shared" si="146"/>
        <v>Southbound</v>
      </c>
      <c r="U225" s="22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21" t="str">
        <f t="shared" si="139"/>
        <v>https://d0f6bd738d7f1b3e5a7ca70fe4ff75f0.us-east-1.aws.found.io/app/kibana#/discover/Steve-Slow-Train-Analysis-(2080s-and-2083s)?_g=(refreshInterval:(display:Off,pause:!f,section:0,value:0),time:(from:'2017-12-15T14:11:29-0700',mode:absolute,to:'2017-12-15T16:26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5" s="222" t="str">
        <f>IF(AA225&lt;VLOOKUP(AG225,Variables!$AC$3:$AD$8,2,FALSE),"Y","N")</f>
        <v>Y</v>
      </c>
      <c r="X225" s="222">
        <f t="shared" si="151"/>
        <v>1</v>
      </c>
      <c r="Y225" s="222">
        <f t="shared" si="152"/>
        <v>2.3368000000000002</v>
      </c>
      <c r="Z225" s="222">
        <f t="shared" si="147"/>
        <v>1.4200000000000001E-2</v>
      </c>
      <c r="AA225" s="222">
        <f t="shared" si="148"/>
        <v>2.3226</v>
      </c>
      <c r="AB225" s="231" t="e">
        <f>VLOOKUP(A225,Enforcements!$C$7:$K$9,8,0)</f>
        <v>#N/A</v>
      </c>
      <c r="AC225" s="231" t="e">
        <f>VLOOKUP(A225,Enforcements!$C$7:$E$9,3,0)</f>
        <v>#N/A</v>
      </c>
      <c r="AD225" s="232">
        <f t="shared" si="149"/>
        <v>904</v>
      </c>
      <c r="AE225" s="233" t="str">
        <f t="shared" si="140"/>
        <v>aws s3 cp s3://rtdc.mdm.uploadarchive.raw/RTDC4007/ "%USERPROFILE%\AppData\Local\Temp\OnboardLogs"\RTDC4007\2017-12-15 --exclude "*" --recursive --include "*20171215*" &amp; "%USERPROFILE%\Documents\GitHub\mrs-test-scripts\Headless Mode &amp; Sideloading\WalkAndUnGZ.bat" "%USERPROFILE%\AppData\Local\Temp\OnboardLogs"\RTDC4007\2017-12-15 &amp; aws s3 cp s3://rtdc.mdm.uploadarchive.raw/RTDC4007/ "%USERPROFILE%\AppData\Local\Temp\OnboardLogs"\RTDC4007\2017-12-16 --exclude "*" --recursive --include "*20171216*" &amp; "%USERPROFILE%\Documents\GitHub\mrs-test-scripts\Headless Mode &amp; Sideloading\WalkAndUnGZ.bat" "%USERPROFILE%\AppData\Local\Temp\OnboardLogs"\RTDC4007\2017-12-16</v>
      </c>
      <c r="AF225" s="234" t="str">
        <f t="shared" si="141"/>
        <v>"C:\Program Files (x86)\AstroGrep\AstroGrep.exe" /e /r /s /spath="%USERPROFILE%\AppData\Local\Temp\OnboardLogs" /stypes="app*4007*20171215*" /stext=" 22:.+((SYSTEM_STATE.+slice.+state.+changed )|(ment ac)|(multiple cpu faults)|(system.+state.+changed )|(\[timeout)|(PRM\|1\|D)|(kpr)|(kdp)|(train st.+moving)|(\|lc)|(penalty))"</v>
      </c>
      <c r="AG225" s="226" t="str">
        <f t="shared" si="150"/>
        <v>Other</v>
      </c>
      <c r="AH225" s="189" t="str">
        <f t="shared" si="153"/>
        <v>"%USERPROFILE%\Documents\GitHub\eaglep3\Utilities\RefineRTDCRunTimes.py" --tripid 904-15 --locoid 4007 --swversion DE.1.0.9.0 --startMP 300:23368 --initTime 2017-12-15T15:11:29 --startdatetime 2017-12-15T15:19:13 --delay 64 --endMP 204:142 --enddatetime 2017-12-15T15:26:56 --enforcementcount 0 &gt;&gt;%USERPROFILE%\Documents\GitHub\eaglep3-reporting\EC\2017-12-15-refined-times.txt</v>
      </c>
      <c r="AI225" s="191" t="str">
        <f t="shared" si="154"/>
        <v>echo {"issue":{"subject":"","project_id":79,"tracker_id":40,"status_id":1,"priority_id":2,"assigned_to_id":338,"start_date":"2017-12-15","description":"","custom_fields":[{"id":1,"name":"Subdivision","value":"Other"},{"id":4,"name":"Milepost","value":"0.0142"},{"id":17,"name":"Train ID","value":"904-15"},{"id":16,"name":"Locomotive ID","value":"4007"},{"id":130,"name":"Impact","value":""},{"id":150,"name":"Time of Event (Mountain Time)","value":"15:26:56"},{"id":151,"name":"Denver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188"/>
      <c r="AL225" s="188"/>
      <c r="AM225" s="193" t="str">
        <f t="shared" si="155"/>
        <v>start /low /b %USERPROFILE%\Documents\GitHub\eaglep3\Utilities\DownloadLogsFromS3.py --loco 4007 --day 2017-12-15</v>
      </c>
      <c r="AN225" s="194" t="str">
        <f t="shared" si="156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22:26:56"},{"id":29,"name":"Sharepoint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87" t="str">
        <f t="shared" si="157"/>
        <v>https://d0f6bd738d7f1b3e5a7ca70fe4ff75f0.us-east-1.aws.found.io/app/kibana#/discover/Steve-Slow-Train-Analysis-(2080s-and-2083s)?_g=(refreshInterval:(display:Off,pause:!f,section:0,value:0),time:(from:'2017-12-15T14:11:29-0700',mode:absolute,to:'2017-12-15T16:26:56-0700'))&amp;_a=(columns:!('Message%20ID',Summary),filters:!(),index:'emp_*',interval:auto,query:(query_string:(analyze_wildcard:!t,query:'%22rtdc.l.rtdc.4007%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186" t="s">
        <v>683</v>
      </c>
      <c r="B226" s="182">
        <v>4050</v>
      </c>
      <c r="C226" s="184" t="s">
        <v>192</v>
      </c>
      <c r="D226" s="184" t="s">
        <v>1022</v>
      </c>
      <c r="E226" s="183">
        <v>43084.122662037036</v>
      </c>
      <c r="F226" s="183">
        <v>43084.137986111113</v>
      </c>
      <c r="G226" s="182">
        <v>76</v>
      </c>
      <c r="H226" s="184" t="s">
        <v>1023</v>
      </c>
      <c r="I226" s="183">
        <v>43084.138969907406</v>
      </c>
      <c r="J226" s="182">
        <v>0</v>
      </c>
      <c r="K226" s="190" t="str">
        <f t="shared" si="142"/>
        <v>4049/4050</v>
      </c>
      <c r="L226" s="196" t="str">
        <f>VLOOKUP(A226,'Trips&amp;Operators'!$C$1:$G$99911,5,FALSE)</f>
        <v>SPECTOR MICHAEL</v>
      </c>
      <c r="M226" s="181">
        <f t="shared" si="143"/>
        <v>9.8379629343980923E-4</v>
      </c>
      <c r="N226" s="182">
        <f t="shared" si="144"/>
        <v>1.4166666625533253</v>
      </c>
      <c r="O226" s="182"/>
      <c r="P226" s="182"/>
      <c r="Q226" s="185"/>
      <c r="R226" s="197"/>
      <c r="S226" s="241">
        <f t="shared" si="145"/>
        <v>0</v>
      </c>
      <c r="T226" s="220" t="str">
        <f t="shared" si="146"/>
        <v>NorthBound</v>
      </c>
      <c r="U226" s="22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21" t="str">
        <f t="shared" si="139"/>
        <v>https://d0f6bd738d7f1b3e5a7ca70fe4ff75f0.us-east-1.aws.found.io/app/kibana#/discover/Steve-Slow-Train-Analysis-(2080s-and-2083s)?_g=(refreshInterval:(display:Off,pause:!f,section:0,value:0),time:(from:'2017-12-15T01:56:38-0700',mode:absolute,to:'2017-12-15T04:20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6" s="222" t="str">
        <f>IF(AA226&lt;VLOOKUP(AG226,Variables!$AC$3:$AD$8,2,FALSE),"Y","N")</f>
        <v>Y</v>
      </c>
      <c r="X226" s="222">
        <f t="shared" si="151"/>
        <v>-853</v>
      </c>
      <c r="Y226" s="222">
        <f t="shared" si="152"/>
        <v>4.2700000000000002E-2</v>
      </c>
      <c r="Z226" s="222">
        <f t="shared" si="147"/>
        <v>0.35659999999999997</v>
      </c>
      <c r="AA226" s="222">
        <f t="shared" si="148"/>
        <v>0.31389999999999996</v>
      </c>
      <c r="AB226" s="231" t="e">
        <f>VLOOKUP(A226,Enforcements!$C$7:$K$9,8,0)</f>
        <v>#N/A</v>
      </c>
      <c r="AC226" s="231" t="e">
        <f>VLOOKUP(A226,Enforcements!$C$7:$E$9,3,0)</f>
        <v>#N/A</v>
      </c>
      <c r="AD226" s="232">
        <f t="shared" si="149"/>
        <v>51</v>
      </c>
      <c r="AE226" s="233" t="str">
        <f t="shared" si="140"/>
        <v>aws s3 cp s3://rtdc.mdm.uploadarchive.raw/RTDC4050/ "%USERPROFILE%\AppData\Local\Temp\OnboardLogs"\RTDC4050\2017-12-15 --exclude "*" --recursive --include "*20171215*" &amp; "%USERPROFILE%\Documents\GitHub\mrs-test-scripts\Headless Mode &amp; Sideloading\WalkAndUnGZ.bat" "%USERPROFILE%\AppData\Local\Temp\OnboardLogs"\RTDC4050\2017-12-15 &amp; 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</v>
      </c>
      <c r="AF226" s="234" t="str">
        <f t="shared" si="141"/>
        <v>"C:\Program Files (x86)\AstroGrep\AstroGrep.exe" /e /r /s /spath="%USERPROFILE%\AppData\Local\Temp\OnboardLogs" /stypes="app*4050*20171215*" /stext=" 10:.+((SYSTEM_STATE.+slice.+state.+changed )|(ment ac)|(multiple cpu faults)|(system.+state.+changed )|(\[timeout)|(PRM\|1\|D)|(kpr)|(kdp)|(train st.+moving)|(\|lc)|(penalty))"</v>
      </c>
      <c r="AG226" s="226" t="str">
        <f t="shared" si="150"/>
        <v>Shuttle/Test</v>
      </c>
      <c r="AH226" s="189" t="str">
        <f t="shared" si="153"/>
        <v>"%USERPROFILE%\Documents\GitHub\eaglep3\Utilities\RefineRTDCRunTimes.py" --tripid 51-15 --locoid 4050 --swversion DE.1.0.9.0 --startMP 204:427 --initTime 2017-12-15T02:56:38 --startdatetime 2017-12-15T03:18:42 --delay 76 --endMP 204:3566 --enddatetime 2017-12-15T03:20:07 --enforcementcount 0 &gt;&gt;%USERPROFILE%\Documents\GitHub\eaglep3-reporting\EC\2017-12-15-refined-times.txt</v>
      </c>
      <c r="AI226" s="191" t="str">
        <f t="shared" si="154"/>
        <v>echo {"issue":{"subject":"","project_id":79,"tracker_id":40,"status_id":1,"priority_id":2,"assigned_to_id":338,"start_date":"2017-12-15","description":"","custom_fields":[{"id":1,"name":"Subdivision","value":"Shuttle/Test"},{"id":4,"name":"Milepost","value":"0.3566"},{"id":17,"name":"Train ID","value":"51-15"},{"id":16,"name":"Locomotive ID","value":"4050"},{"id":130,"name":"Impact","value":""},{"id":150,"name":"Time of Event (Mountain Time)","value":"03:20:07"},{"id":151,"name":"Denver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180"/>
      <c r="AK226" s="188"/>
      <c r="AL226" s="188"/>
      <c r="AM226" s="193" t="str">
        <f t="shared" si="155"/>
        <v>start /low /b %USERPROFILE%\Documents\GitHub\eaglep3\Utilities\DownloadLogsFromS3.py --loco 4050 --day 2017-12-15</v>
      </c>
      <c r="AN226" s="194" t="str">
        <f t="shared" si="156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10:20:07"},{"id":29,"name":"Sharepoint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87" t="str">
        <f t="shared" si="157"/>
        <v>https://d0f6bd738d7f1b3e5a7ca70fe4ff75f0.us-east-1.aws.found.io/app/kibana#/discover/Steve-Slow-Train-Analysis-(2080s-and-2083s)?_g=(refreshInterval:(display:Off,pause:!f,section:0,value:0),time:(from:'2017-12-15T01:56:38-0700',mode:absolute,to:'2017-12-15T04:20:07-0700'))&amp;_a=(columns:!('Message%20ID',Summary),filters:!(),index:'emp_*',interval:auto,query:(query_string:(analyze_wildcard:!t,query:'%22rtdc.l.rtdc.4050%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186" t="s">
        <v>683</v>
      </c>
      <c r="B227" s="182">
        <v>4049</v>
      </c>
      <c r="C227" s="184" t="s">
        <v>192</v>
      </c>
      <c r="D227" s="184" t="s">
        <v>1024</v>
      </c>
      <c r="E227" s="183">
        <v>43084.624224537038</v>
      </c>
      <c r="F227" s="183">
        <v>43084.625625000001</v>
      </c>
      <c r="G227" s="182">
        <v>50</v>
      </c>
      <c r="H227" s="184" t="s">
        <v>1025</v>
      </c>
      <c r="I227" s="183">
        <v>43084.627662037034</v>
      </c>
      <c r="J227" s="182">
        <v>0</v>
      </c>
      <c r="K227" s="190" t="str">
        <f t="shared" si="142"/>
        <v>4049/4050</v>
      </c>
      <c r="L227" s="196" t="str">
        <f>VLOOKUP(A227,'Trips&amp;Operators'!$C$1:$G$99911,5,FALSE)</f>
        <v>SPECTOR MICHAEL</v>
      </c>
      <c r="M227" s="181">
        <f t="shared" si="143"/>
        <v>2.0370370330056176E-3</v>
      </c>
      <c r="N227" s="182">
        <f t="shared" si="144"/>
        <v>2.9333333275280893</v>
      </c>
      <c r="O227" s="182"/>
      <c r="P227" s="182"/>
      <c r="Q227" s="185"/>
      <c r="R227" s="197"/>
      <c r="S227" s="241">
        <f t="shared" si="145"/>
        <v>0</v>
      </c>
      <c r="T227" s="220" t="str">
        <f t="shared" si="146"/>
        <v>NorthBound</v>
      </c>
      <c r="U227" s="22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21" t="str">
        <f t="shared" si="139"/>
        <v>https://d0f6bd738d7f1b3e5a7ca70fe4ff75f0.us-east-1.aws.found.io/app/kibana#/discover/Steve-Slow-Train-Analysis-(2080s-and-2083s)?_g=(refreshInterval:(display:Off,pause:!f,section:0,value:0),time:(from:'2017-12-15T13:58:53-0700',mode:absolute,to:'2017-12-15T16:03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7" s="222" t="str">
        <f>IF(AA227&lt;VLOOKUP(AG227,Variables!$AC$3:$AD$8,2,FALSE),"Y","N")</f>
        <v>Y</v>
      </c>
      <c r="X227" s="222">
        <f t="shared" si="151"/>
        <v>0</v>
      </c>
      <c r="Y227" s="222">
        <f t="shared" si="152"/>
        <v>0.52800000000000002</v>
      </c>
      <c r="Z227" s="222">
        <f t="shared" si="147"/>
        <v>1.2E-2</v>
      </c>
      <c r="AA227" s="222">
        <f t="shared" si="148"/>
        <v>0.51600000000000001</v>
      </c>
      <c r="AB227" s="231" t="e">
        <f>VLOOKUP(A227,Enforcements!$C$7:$K$9,8,0)</f>
        <v>#N/A</v>
      </c>
      <c r="AC227" s="231" t="e">
        <f>VLOOKUP(A227,Enforcements!$C$7:$E$9,3,0)</f>
        <v>#N/A</v>
      </c>
      <c r="AD227" s="232">
        <f t="shared" si="149"/>
        <v>51</v>
      </c>
      <c r="AE227" s="233" t="str">
        <f t="shared" si="140"/>
        <v>aws s3 cp s3://rtdc.mdm.uploadarchive.raw/RTDC4049/ "%USERPROFILE%\AppData\Local\Temp\OnboardLogs"\RTDC4049\2017-12-15 --exclude "*" --recursive --include "*20171215*" &amp; "%USERPROFILE%\Documents\GitHub\mrs-test-scripts\Headless Mode &amp; Sideloading\WalkAndUnGZ.bat" "%USERPROFILE%\AppData\Local\Temp\OnboardLogs"\RTDC4049\2017-12-15 &amp; 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</v>
      </c>
      <c r="AF227" s="234" t="str">
        <f t="shared" si="141"/>
        <v>"C:\Program Files (x86)\AstroGrep\AstroGrep.exe" /e /r /s /spath="%USERPROFILE%\AppData\Local\Temp\OnboardLogs" /stypes="app*4049*20171215*" /stext=" 22:.+((SYSTEM_STATE.+slice.+state.+changed )|(ment ac)|(multiple cpu faults)|(system.+state.+changed )|(\[timeout)|(PRM\|1\|D)|(kpr)|(kdp)|(train st.+moving)|(\|lc)|(penalty))"</v>
      </c>
      <c r="AG227" s="226" t="str">
        <f t="shared" si="150"/>
        <v>Shuttle/Test</v>
      </c>
      <c r="AH227" s="189" t="str">
        <f t="shared" si="153"/>
        <v>"%USERPROFILE%\Documents\GitHub\eaglep3\Utilities\RefineRTDCRunTimes.py" --tripid 51-15 --locoid 4049 --swversion DE.1.0.9.0 --startMP 300:5280 --initTime 2017-12-15T14:58:53 --startdatetime 2017-12-15T15:00:54 --delay 50 --endMP 204:120 --enddatetime 2017-12-15T15:03:50 --enforcementcount 0 &gt;&gt;%USERPROFILE%\Documents\GitHub\eaglep3-reporting\EC\2017-12-15-refined-times.txt</v>
      </c>
      <c r="AI227" s="191" t="str">
        <f t="shared" si="154"/>
        <v>echo {"issue":{"subject":"","project_id":79,"tracker_id":40,"status_id":1,"priority_id":2,"assigned_to_id":338,"start_date":"2017-12-15","description":"","custom_fields":[{"id":1,"name":"Subdivision","value":"Shuttle/Test"},{"id":4,"name":"Milepost","value":"0.012"},{"id":17,"name":"Train ID","value":"51-15"},{"id":16,"name":"Locomotive ID","value":"4049"},{"id":130,"name":"Impact","value":""},{"id":150,"name":"Time of Event (Mountain Time)","value":"15:03:50"},{"id":151,"name":"Denver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180"/>
      <c r="AK227" s="188"/>
      <c r="AL227" s="188"/>
      <c r="AM227" s="193" t="str">
        <f t="shared" si="155"/>
        <v>start /low /b %USERPROFILE%\Documents\GitHub\eaglep3\Utilities\DownloadLogsFromS3.py --loco 4049 --day 2017-12-15</v>
      </c>
      <c r="AN227" s="194" t="str">
        <f t="shared" si="156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22:03:50"},{"id":29,"name":"Sharepoint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87" t="str">
        <f t="shared" si="157"/>
        <v>https://d0f6bd738d7f1b3e5a7ca70fe4ff75f0.us-east-1.aws.found.io/app/kibana#/discover/Steve-Slow-Train-Analysis-(2080s-and-2083s)?_g=(refreshInterval:(display:Off,pause:!f,section:0,value:0),time:(from:'2017-12-15T13:58:53-0700',mode:absolute,to:'2017-12-15T16:03:50-0700'))&amp;_a=(columns:!('Message%20ID',Summary),filters:!(),index:'emp_*',interval:auto,query:(query_string:(analyze_wildcard:!t,query:'%22rtdc.l.rtdc.4049%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186" t="s">
        <v>683</v>
      </c>
      <c r="B228" s="182">
        <v>4050</v>
      </c>
      <c r="C228" s="184" t="s">
        <v>192</v>
      </c>
      <c r="D228" s="184" t="s">
        <v>1026</v>
      </c>
      <c r="E228" s="183">
        <v>43084.613912037035</v>
      </c>
      <c r="F228" s="183">
        <v>43084.625625000001</v>
      </c>
      <c r="G228" s="182">
        <v>67</v>
      </c>
      <c r="H228" s="184" t="s">
        <v>1027</v>
      </c>
      <c r="I228" s="183">
        <v>43084.627662037034</v>
      </c>
      <c r="J228" s="182">
        <v>0</v>
      </c>
      <c r="K228" s="190" t="str">
        <f t="shared" si="142"/>
        <v>4049/4050</v>
      </c>
      <c r="L228" s="196" t="str">
        <f>VLOOKUP(A228,'Trips&amp;Operators'!$C$1:$G$99911,5,FALSE)</f>
        <v>SPECTOR MICHAEL</v>
      </c>
      <c r="M228" s="181">
        <f t="shared" si="143"/>
        <v>2.0370370330056176E-3</v>
      </c>
      <c r="N228" s="182">
        <f t="shared" si="144"/>
        <v>2.9333333275280893</v>
      </c>
      <c r="O228" s="182"/>
      <c r="P228" s="182"/>
      <c r="Q228" s="185"/>
      <c r="R228" s="197"/>
      <c r="S228" s="241">
        <f t="shared" si="145"/>
        <v>0</v>
      </c>
      <c r="T228" s="220" t="str">
        <f t="shared" si="146"/>
        <v>NorthBound</v>
      </c>
      <c r="U228" s="22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21" t="str">
        <f t="shared" si="139"/>
        <v>https://d0f6bd738d7f1b3e5a7ca70fe4ff75f0.us-east-1.aws.found.io/app/kibana#/discover/Steve-Slow-Train-Analysis-(2080s-and-2083s)?_g=(refreshInterval:(display:Off,pause:!f,section:0,value:0),time:(from:'2017-12-15T13:44:02-0700',mode:absolute,to:'2017-12-15T16:03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8" s="222" t="str">
        <f>IF(AA228&lt;VLOOKUP(AG228,Variables!$AC$3:$AD$8,2,FALSE),"Y","N")</f>
        <v>Y</v>
      </c>
      <c r="X228" s="222">
        <f t="shared" si="151"/>
        <v>0</v>
      </c>
      <c r="Y228" s="222">
        <f t="shared" si="152"/>
        <v>0.1484</v>
      </c>
      <c r="Z228" s="222">
        <f t="shared" si="147"/>
        <v>0.55520000000000003</v>
      </c>
      <c r="AA228" s="222">
        <f t="shared" si="148"/>
        <v>0.40680000000000005</v>
      </c>
      <c r="AB228" s="231" t="e">
        <f>VLOOKUP(A228,Enforcements!$C$7:$K$9,8,0)</f>
        <v>#N/A</v>
      </c>
      <c r="AC228" s="231" t="e">
        <f>VLOOKUP(A228,Enforcements!$C$7:$E$9,3,0)</f>
        <v>#N/A</v>
      </c>
      <c r="AD228" s="232">
        <f t="shared" si="149"/>
        <v>51</v>
      </c>
      <c r="AE228" s="233" t="str">
        <f t="shared" si="140"/>
        <v>aws s3 cp s3://rtdc.mdm.uploadarchive.raw/RTDC4050/ "%USERPROFILE%\AppData\Local\Temp\OnboardLogs"\RTDC4050\2017-12-15 --exclude "*" --recursive --include "*20171215*" &amp; "%USERPROFILE%\Documents\GitHub\mrs-test-scripts\Headless Mode &amp; Sideloading\WalkAndUnGZ.bat" "%USERPROFILE%\AppData\Local\Temp\OnboardLogs"\RTDC4050\2017-12-15 &amp; 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</v>
      </c>
      <c r="AF228" s="234" t="str">
        <f t="shared" si="141"/>
        <v>"C:\Program Files (x86)\AstroGrep\AstroGrep.exe" /e /r /s /spath="%USERPROFILE%\AppData\Local\Temp\OnboardLogs" /stypes="app*4050*20171215*" /stext=" 22:.+((SYSTEM_STATE.+slice.+state.+changed )|(ment ac)|(multiple cpu faults)|(system.+state.+changed )|(\[timeout)|(PRM\|1\|D)|(kpr)|(kdp)|(train st.+moving)|(\|lc)|(penalty))"</v>
      </c>
      <c r="AG228" s="226" t="str">
        <f t="shared" si="150"/>
        <v>Shuttle/Test</v>
      </c>
      <c r="AH228" s="189" t="str">
        <f t="shared" si="153"/>
        <v>"%USERPROFILE%\Documents\GitHub\eaglep3\Utilities\RefineRTDCRunTimes.py" --tripid 51-15 --locoid 4050 --swversion DE.1.0.9.0 --startMP 204:1484 --initTime 2017-12-15T14:44:02 --startdatetime 2017-12-15T15:00:54 --delay 67 --endMP 300:5552 --enddatetime 2017-12-15T15:03:50 --enforcementcount 0 &gt;&gt;%USERPROFILE%\Documents\GitHub\eaglep3-reporting\EC\2017-12-15-refined-times.txt</v>
      </c>
      <c r="AI228" s="191" t="str">
        <f t="shared" si="154"/>
        <v>echo {"issue":{"subject":"","project_id":79,"tracker_id":40,"status_id":1,"priority_id":2,"assigned_to_id":338,"start_date":"2017-12-15","description":"","custom_fields":[{"id":1,"name":"Subdivision","value":"Shuttle/Test"},{"id":4,"name":"Milepost","value":"0.5552"},{"id":17,"name":"Train ID","value":"51-15"},{"id":16,"name":"Locomotive ID","value":"4050"},{"id":130,"name":"Impact","value":""},{"id":150,"name":"Time of Event (Mountain Time)","value":"15:03:50"},{"id":151,"name":"Denver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180"/>
      <c r="AK228" s="188"/>
      <c r="AL228" s="188"/>
      <c r="AM228" s="193" t="str">
        <f t="shared" si="155"/>
        <v>start /low /b %USERPROFILE%\Documents\GitHub\eaglep3\Utilities\DownloadLogsFromS3.py --loco 4050 --day 2017-12-15</v>
      </c>
      <c r="AN228" s="194" t="str">
        <f t="shared" si="156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22:03:50"},{"id":29,"name":"Sharepoint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87" t="str">
        <f t="shared" si="157"/>
        <v>https://d0f6bd738d7f1b3e5a7ca70fe4ff75f0.us-east-1.aws.found.io/app/kibana#/discover/Steve-Slow-Train-Analysis-(2080s-and-2083s)?_g=(refreshInterval:(display:Off,pause:!f,section:0,value:0),time:(from:'2017-12-15T13:44:02-0700',mode:absolute,to:'2017-12-15T16:03:50-0700'))&amp;_a=(columns:!('Message%20ID',Summary),filters:!(),index:'emp_*',interval:auto,query:(query_string:(analyze_wildcard:!t,query:'%22rtdc.l.rtdc.4050%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186" t="s">
        <v>686</v>
      </c>
      <c r="B229" s="182">
        <v>4049</v>
      </c>
      <c r="C229" s="184" t="s">
        <v>192</v>
      </c>
      <c r="D229" s="184" t="s">
        <v>1028</v>
      </c>
      <c r="E229" s="183">
        <v>43084.140034722222</v>
      </c>
      <c r="F229" s="183">
        <v>43084.141435185185</v>
      </c>
      <c r="G229" s="182">
        <v>65</v>
      </c>
      <c r="H229" s="184" t="s">
        <v>1029</v>
      </c>
      <c r="I229" s="183">
        <v>43084.14266203704</v>
      </c>
      <c r="J229" s="182">
        <v>0</v>
      </c>
      <c r="K229" s="190" t="str">
        <f t="shared" si="142"/>
        <v>4049/4050</v>
      </c>
      <c r="L229" s="196" t="str">
        <f>VLOOKUP(A229,'Trips&amp;Operators'!$C$1:$G$99911,5,FALSE)</f>
        <v>SPECTOR MICHAEL</v>
      </c>
      <c r="M229" s="181">
        <f t="shared" si="143"/>
        <v>1.2268518548808061E-3</v>
      </c>
      <c r="N229" s="182">
        <f t="shared" si="144"/>
        <v>1.7666666710283607</v>
      </c>
      <c r="O229" s="182"/>
      <c r="P229" s="182"/>
      <c r="Q229" s="185"/>
      <c r="R229" s="197"/>
      <c r="S229" s="241">
        <f t="shared" si="145"/>
        <v>0</v>
      </c>
      <c r="T229" s="220" t="str">
        <f t="shared" si="146"/>
        <v>Southbound</v>
      </c>
      <c r="U229" s="22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21" t="str">
        <f t="shared" si="139"/>
        <v>https://d0f6bd738d7f1b3e5a7ca70fe4ff75f0.us-east-1.aws.found.io/app/kibana#/discover/Steve-Slow-Train-Analysis-(2080s-and-2083s)?_g=(refreshInterval:(display:Off,pause:!f,section:0,value:0),time:(from:'2017-12-15T02:21:39-0700',mode:absolute,to:'2017-12-15T04:25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9" s="222" t="str">
        <f>IF(AA229&lt;VLOOKUP(AG229,Variables!$AC$3:$AD$8,2,FALSE),"Y","N")</f>
        <v>Y</v>
      </c>
      <c r="X229" s="222">
        <f t="shared" si="151"/>
        <v>1</v>
      </c>
      <c r="Y229" s="222">
        <f t="shared" si="152"/>
        <v>0.32429999999999998</v>
      </c>
      <c r="Z229" s="222">
        <f t="shared" si="147"/>
        <v>0.1171</v>
      </c>
      <c r="AA229" s="222">
        <f t="shared" si="148"/>
        <v>0.2072</v>
      </c>
      <c r="AB229" s="231" t="e">
        <f>VLOOKUP(A229,Enforcements!$C$7:$K$9,8,0)</f>
        <v>#N/A</v>
      </c>
      <c r="AC229" s="231" t="e">
        <f>VLOOKUP(A229,Enforcements!$C$7:$E$9,3,0)</f>
        <v>#N/A</v>
      </c>
      <c r="AD229" s="232">
        <f t="shared" si="149"/>
        <v>52</v>
      </c>
      <c r="AE229" s="233" t="str">
        <f t="shared" si="140"/>
        <v>aws s3 cp s3://rtdc.mdm.uploadarchive.raw/RTDC4049/ "%USERPROFILE%\AppData\Local\Temp\OnboardLogs"\RTDC4049\2017-12-15 --exclude "*" --recursive --include "*20171215*" &amp; "%USERPROFILE%\Documents\GitHub\mrs-test-scripts\Headless Mode &amp; Sideloading\WalkAndUnGZ.bat" "%USERPROFILE%\AppData\Local\Temp\OnboardLogs"\RTDC4049\2017-12-15 &amp; 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</v>
      </c>
      <c r="AF229" s="234" t="str">
        <f t="shared" si="141"/>
        <v>"C:\Program Files (x86)\AstroGrep\AstroGrep.exe" /e /r /s /spath="%USERPROFILE%\AppData\Local\Temp\OnboardLogs" /stypes="app*4049*20171215*" /stext=" 10:.+((SYSTEM_STATE.+slice.+state.+changed )|(ment ac)|(multiple cpu faults)|(system.+state.+changed )|(\[timeout)|(PRM\|1\|D)|(kpr)|(kdp)|(train st.+moving)|(\|lc)|(penalty))"</v>
      </c>
      <c r="AG229" s="226" t="str">
        <f t="shared" si="150"/>
        <v>Shuttle/Test</v>
      </c>
      <c r="AH229" s="189" t="str">
        <f t="shared" si="153"/>
        <v>"%USERPROFILE%\Documents\GitHub\eaglep3\Utilities\RefineRTDCRunTimes.py" --tripid 52-15 --locoid 4049 --swversion DE.1.0.9.0 --startMP 204:3243 --initTime 2017-12-15T03:21:39 --startdatetime 2017-12-15T03:23:40 --delay 65 --endMP 204:1171 --enddatetime 2017-12-15T03:25:26 --enforcementcount 0 &gt;&gt;%USERPROFILE%\Documents\GitHub\eaglep3-reporting\EC\2017-12-15-refined-times.txt</v>
      </c>
      <c r="AI229" s="191" t="str">
        <f t="shared" si="154"/>
        <v>echo {"issue":{"subject":"","project_id":79,"tracker_id":40,"status_id":1,"priority_id":2,"assigned_to_id":338,"start_date":"2017-12-15","description":"","custom_fields":[{"id":1,"name":"Subdivision","value":"Shuttle/Test"},{"id":4,"name":"Milepost","value":"0.1171"},{"id":17,"name":"Train ID","value":"52-15"},{"id":16,"name":"Locomotive ID","value":"4049"},{"id":130,"name":"Impact","value":""},{"id":150,"name":"Time of Event (Mountain Time)","value":"03:25:26"},{"id":151,"name":"Denver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180"/>
      <c r="AK229" s="188"/>
      <c r="AL229" s="188"/>
      <c r="AM229" s="193" t="str">
        <f t="shared" si="155"/>
        <v>start /low /b %USERPROFILE%\Documents\GitHub\eaglep3\Utilities\DownloadLogsFromS3.py --loco 4049 --day 2017-12-15</v>
      </c>
      <c r="AN229" s="194" t="str">
        <f t="shared" si="156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10:25:26"},{"id":29,"name":"Sharepoint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87" t="str">
        <f t="shared" si="157"/>
        <v>https://d0f6bd738d7f1b3e5a7ca70fe4ff75f0.us-east-1.aws.found.io/app/kibana#/discover/Steve-Slow-Train-Analysis-(2080s-and-2083s)?_g=(refreshInterval:(display:Off,pause:!f,section:0,value:0),time:(from:'2017-12-15T02:21:39-0700',mode:absolute,to:'2017-12-15T04:25:26-0700'))&amp;_a=(columns:!('Message%20ID',Summary),filters:!(),index:'emp_*',interval:auto,query:(query_string:(analyze_wildcard:!t,query:'%22rtdc.l.rtdc.4049%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186" t="s">
        <v>826</v>
      </c>
      <c r="B230" s="182">
        <v>4018</v>
      </c>
      <c r="C230" s="184" t="s">
        <v>192</v>
      </c>
      <c r="D230" s="184" t="s">
        <v>1030</v>
      </c>
      <c r="E230" s="183">
        <v>43084.724398148152</v>
      </c>
      <c r="F230" s="183">
        <v>43084.732268518521</v>
      </c>
      <c r="G230" s="182">
        <v>104</v>
      </c>
      <c r="H230" s="184" t="s">
        <v>566</v>
      </c>
      <c r="I230" s="183">
        <v>43084.788078703707</v>
      </c>
      <c r="J230" s="182">
        <v>0</v>
      </c>
      <c r="K230" s="190" t="str">
        <f t="shared" si="142"/>
        <v>4017/4018</v>
      </c>
      <c r="L230" s="196" t="str">
        <f>VLOOKUP(A230,'Trips&amp;Operators'!$C$1:$G$99911,5,FALSE)</f>
        <v>DE LA ROSA ALEX</v>
      </c>
      <c r="M230" s="181">
        <f t="shared" si="143"/>
        <v>5.5810185185691807E-2</v>
      </c>
      <c r="N230" s="182">
        <f t="shared" si="144"/>
        <v>80.366666667396203</v>
      </c>
      <c r="O230" s="182"/>
      <c r="P230" s="182"/>
      <c r="Q230" s="185"/>
      <c r="R230" s="197"/>
      <c r="S230" s="241">
        <f t="shared" si="145"/>
        <v>1</v>
      </c>
      <c r="T230" s="220" t="str">
        <f t="shared" si="146"/>
        <v>NorthBound</v>
      </c>
      <c r="U230" s="22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21" t="str">
        <f t="shared" si="139"/>
        <v>https://d0f6bd738d7f1b3e5a7ca70fe4ff75f0.us-east-1.aws.found.io/app/kibana#/discover/Steve-Slow-Train-Analysis-(2080s-and-2083s)?_g=(refreshInterval:(display:Off,pause:!f,section:0,value:0),time:(from:'2017-12-15T16:23:08-0700',mode:absolute,to:'2017-12-15T19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0" s="222" t="str">
        <f>IF(AA230&lt;VLOOKUP(AG230,Variables!$AC$3:$AD$8,2,FALSE),"Y","N")</f>
        <v>Y</v>
      </c>
      <c r="X230" s="222">
        <f t="shared" si="151"/>
        <v>1</v>
      </c>
      <c r="Y230" s="222">
        <f t="shared" si="152"/>
        <v>0.1148</v>
      </c>
      <c r="Z230" s="222">
        <f t="shared" si="147"/>
        <v>2.3308</v>
      </c>
      <c r="AA230" s="222">
        <f t="shared" si="148"/>
        <v>2.2160000000000002</v>
      </c>
      <c r="AB230" s="231" t="e">
        <f>VLOOKUP(A230,Enforcements!$C$7:$K$9,8,0)</f>
        <v>#N/A</v>
      </c>
      <c r="AC230" s="231" t="e">
        <f>VLOOKUP(A230,Enforcements!$C$7:$E$9,3,0)</f>
        <v>#N/A</v>
      </c>
      <c r="AD230" s="232">
        <f t="shared" si="149"/>
        <v>53</v>
      </c>
      <c r="AE230" s="233" t="str">
        <f t="shared" si="140"/>
        <v>aws s3 cp s3://rtdc.mdm.uploadarchive.raw/RTDC4018/ "%USERPROFILE%\AppData\Local\Temp\OnboardLogs"\RTDC4018\2017-12-15 --exclude "*" --recursive --include "*20171215*" &amp; "%USERPROFILE%\Documents\GitHub\mrs-test-scripts\Headless Mode &amp; Sideloading\WalkAndUnGZ.bat" "%USERPROFILE%\AppData\Local\Temp\OnboardLogs"\RTDC4018\2017-12-15 &amp; aws s3 cp s3://rtdc.mdm.uploadarchive.raw/RTDC4018/ "%USERPROFILE%\AppData\Local\Temp\OnboardLogs"\RTDC4018\2017-12-16 --exclude "*" --recursive --include "*20171216*" &amp; "%USERPROFILE%\Documents\GitHub\mrs-test-scripts\Headless Mode &amp; Sideloading\WalkAndUnGZ.bat" "%USERPROFILE%\AppData\Local\Temp\OnboardLogs"\RTDC4018\2017-12-16</v>
      </c>
      <c r="AF230" s="234" t="str">
        <f t="shared" si="141"/>
        <v>"C:\Program Files (x86)\AstroGrep\AstroGrep.exe" /e /r /s /spath="%USERPROFILE%\AppData\Local\Temp\OnboardLogs" /stypes="app*4018*20171216*" /stext=" 01:.+((SYSTEM_STATE.+slice.+state.+changed )|(ment ac)|(multiple cpu faults)|(system.+state.+changed )|(\[timeout)|(PRM\|1\|D)|(kpr)|(kdp)|(train st.+moving)|(\|lc)|(penalty))"</v>
      </c>
      <c r="AG230" s="226" t="str">
        <f t="shared" si="150"/>
        <v>Shuttle/Test</v>
      </c>
      <c r="AH230" s="189" t="str">
        <f t="shared" si="153"/>
        <v>"%USERPROFILE%\Documents\GitHub\eaglep3\Utilities\RefineRTDCRunTimes.py" --tripid 53-15 --locoid 4018 --swversion DE.1.0.9.0 --startMP 204:1148 --initTime 2017-12-15T17:23:08 --startdatetime 2017-12-15T17:34:28 --delay 104 --endMP 300:23308 --enddatetime 2017-12-15T18:54:50 --enforcementcount 0 &gt;&gt;%USERPROFILE%\Documents\GitHub\eaglep3-reporting\EC\2017-12-15-refined-times.txt</v>
      </c>
      <c r="AI230" s="191" t="str">
        <f t="shared" si="154"/>
        <v>echo {"issue":{"subject":"","project_id":79,"tracker_id":40,"status_id":1,"priority_id":2,"assigned_to_id":338,"start_date":"2017-12-15","description":"","custom_fields":[{"id":1,"name":"Subdivision","value":"Shuttle/Test"},{"id":4,"name":"Milepost","value":"2.3308"},{"id":17,"name":"Train ID","value":"53-15"},{"id":16,"name":"Locomotive ID","value":"4018"},{"id":130,"name":"Impact","value":""},{"id":150,"name":"Time of Event (Mountain Time)","value":"18:54:50"},{"id":151,"name":"Denver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180"/>
      <c r="AK230" s="188"/>
      <c r="AL230" s="188"/>
      <c r="AM230" s="193" t="str">
        <f t="shared" si="155"/>
        <v>start /low /b %USERPROFILE%\Documents\GitHub\eaglep3\Utilities\DownloadLogsFromS3.py --loco 4018 --day 2017-12-15</v>
      </c>
      <c r="AN230" s="194" t="str">
        <f t="shared" si="156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01:54:50"},{"id":29,"name":"Sharepoint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87" t="str">
        <f t="shared" si="157"/>
        <v>https://d0f6bd738d7f1b3e5a7ca70fe4ff75f0.us-east-1.aws.found.io/app/kibana#/discover/Steve-Slow-Train-Analysis-(2080s-and-2083s)?_g=(refreshInterval:(display:Off,pause:!f,section:0,value:0),time:(from:'2017-12-15T16:23:08-0700',mode:absolute,to:'2017-12-15T19:54:50-0700'))&amp;_a=(columns:!('Message%20ID',Summary),filters:!(),index:'emp_*',interval:auto,query:(query_string:(analyze_wildcard:!t,query:'%22rtdc.l.rtdc.4018%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186" t="s">
        <v>668</v>
      </c>
      <c r="B231" s="182">
        <v>4027</v>
      </c>
      <c r="C231" s="184" t="s">
        <v>192</v>
      </c>
      <c r="D231" s="184" t="s">
        <v>1031</v>
      </c>
      <c r="E231" s="183">
        <v>43084.711759259262</v>
      </c>
      <c r="F231" s="183">
        <v>43084.720011574071</v>
      </c>
      <c r="G231" s="182">
        <v>73</v>
      </c>
      <c r="H231" s="184" t="s">
        <v>1032</v>
      </c>
      <c r="I231" s="183">
        <v>43084.725081018521</v>
      </c>
      <c r="J231" s="182">
        <v>0</v>
      </c>
      <c r="K231" s="190" t="str">
        <f t="shared" si="142"/>
        <v>4027/4028</v>
      </c>
      <c r="L231" s="196" t="str">
        <f>VLOOKUP(A231,'Trips&amp;Operators'!$C$1:$G$99911,5,FALSE)</f>
        <v>STRICKLAND EVAN</v>
      </c>
      <c r="M231" s="181">
        <f t="shared" si="143"/>
        <v>5.069444450782612E-3</v>
      </c>
      <c r="N231" s="182">
        <f t="shared" si="144"/>
        <v>7.3000000091269612</v>
      </c>
      <c r="O231" s="182"/>
      <c r="P231" s="182"/>
      <c r="Q231" s="185"/>
      <c r="R231" s="197"/>
      <c r="S231" s="241">
        <f t="shared" si="145"/>
        <v>0</v>
      </c>
      <c r="T231" s="220" t="str">
        <f t="shared" si="146"/>
        <v>NorthBound</v>
      </c>
      <c r="U231" s="22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21" t="str">
        <f t="shared" si="139"/>
        <v>https://d0f6bd738d7f1b3e5a7ca70fe4ff75f0.us-east-1.aws.found.io/app/kibana#/discover/Steve-Slow-Train-Analysis-(2080s-and-2083s)?_g=(refreshInterval:(display:Off,pause:!f,section:0,value:0),time:(from:'2017-12-15T16:04:56-0700',mode:absolute,to:'2017-12-15T18:24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1" s="222" t="str">
        <f>IF(AA231&lt;VLOOKUP(AG231,Variables!$AC$3:$AD$8,2,FALSE),"Y","N")</f>
        <v>Y</v>
      </c>
      <c r="X231" s="222">
        <f t="shared" si="151"/>
        <v>18</v>
      </c>
      <c r="Y231" s="222">
        <f t="shared" si="152"/>
        <v>2.3639999999999999</v>
      </c>
      <c r="Z231" s="222">
        <f t="shared" si="147"/>
        <v>0.54400000000000004</v>
      </c>
      <c r="AA231" s="222">
        <f t="shared" si="148"/>
        <v>1.8199999999999998</v>
      </c>
      <c r="AB231" s="231" t="e">
        <f>VLOOKUP(A231,Enforcements!$C$7:$K$9,8,0)</f>
        <v>#N/A</v>
      </c>
      <c r="AC231" s="231" t="e">
        <f>VLOOKUP(A231,Enforcements!$C$7:$E$9,3,0)</f>
        <v>#N/A</v>
      </c>
      <c r="AD231" s="232">
        <f t="shared" si="149"/>
        <v>71</v>
      </c>
      <c r="AE231" s="233" t="str">
        <f t="shared" si="140"/>
        <v>aws s3 cp s3://rtdc.mdm.uploadarchive.raw/RTDC4027/ "%USERPROFILE%\AppData\Local\Temp\OnboardLogs"\RTDC4027\2017-12-15 --exclude "*" --recursive --include "*20171215*" &amp; "%USERPROFILE%\Documents\GitHub\mrs-test-scripts\Headless Mode &amp; Sideloading\WalkAndUnGZ.bat" "%USERPROFILE%\AppData\Local\Temp\OnboardLogs"\RTDC4027\2017-12-15 &amp; aws s3 cp s3://rtdc.mdm.uploadarchive.raw/RTDC4027/ "%USERPROFILE%\AppData\Local\Temp\OnboardLogs"\RTDC4027\2017-12-16 --exclude "*" --recursive --include "*20171216*" &amp; "%USERPROFILE%\Documents\GitHub\mrs-test-scripts\Headless Mode &amp; Sideloading\WalkAndUnGZ.bat" "%USERPROFILE%\AppData\Local\Temp\OnboardLogs"\RTDC4027\2017-12-16</v>
      </c>
      <c r="AF231" s="234" t="str">
        <f t="shared" si="141"/>
        <v>"C:\Program Files (x86)\AstroGrep\AstroGrep.exe" /e /r /s /spath="%USERPROFILE%\AppData\Local\Temp\OnboardLogs" /stypes="app*4027*20171216*" /stext=" 00:.+((SYSTEM_STATE.+slice.+state.+changed )|(ment ac)|(multiple cpu faults)|(system.+state.+changed )|(\[timeout)|(PRM\|1\|D)|(kpr)|(kdp)|(train st.+moving)|(\|lc)|(penalty))"</v>
      </c>
      <c r="AG231" s="226" t="str">
        <f t="shared" si="150"/>
        <v>Shuttle/Test</v>
      </c>
      <c r="AH231" s="189" t="str">
        <f t="shared" si="153"/>
        <v>"%USERPROFILE%\Documents\GitHub\eaglep3\Utilities\RefineRTDCRunTimes.py" --tripid 71-15 --locoid 4027 --swversion DE.1.0.9.0 --startMP 300:23640 --initTime 2017-12-15T17:04:56 --startdatetime 2017-12-15T17:16:49 --delay 73 --endMP 300:5440 --enddatetime 2017-12-15T17:24:07 --enforcementcount 0 &gt;&gt;%USERPROFILE%\Documents\GitHub\eaglep3-reporting\EC\2017-12-15-refined-times.txt</v>
      </c>
      <c r="AI231" s="191" t="str">
        <f t="shared" si="154"/>
        <v>echo {"issue":{"subject":"","project_id":79,"tracker_id":40,"status_id":1,"priority_id":2,"assigned_to_id":338,"start_date":"2017-12-15","description":"","custom_fields":[{"id":1,"name":"Subdivision","value":"Shuttle/Test"},{"id":4,"name":"Milepost","value":"0.544"},{"id":17,"name":"Train ID","value":"71-15"},{"id":16,"name":"Locomotive ID","value":"4027"},{"id":130,"name":"Impact","value":""},{"id":150,"name":"Time of Event (Mountain Time)","value":"17:24:07"},{"id":151,"name":"Denver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180"/>
      <c r="AK231" s="188"/>
      <c r="AL231" s="188"/>
      <c r="AM231" s="193" t="str">
        <f t="shared" si="155"/>
        <v>start /low /b %USERPROFILE%\Documents\GitHub\eaglep3\Utilities\DownloadLogsFromS3.py --loco 4027 --day 2017-12-15</v>
      </c>
      <c r="AN231" s="194" t="str">
        <f t="shared" si="156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00:24:07"},{"id":29,"name":"Sharepoint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87" t="str">
        <f t="shared" si="157"/>
        <v>https://d0f6bd738d7f1b3e5a7ca70fe4ff75f0.us-east-1.aws.found.io/app/kibana#/discover/Steve-Slow-Train-Analysis-(2080s-and-2083s)?_g=(refreshInterval:(display:Off,pause:!f,section:0,value:0),time:(from:'2017-12-15T16:04:56-0700',mode:absolute,to:'2017-12-15T18:24:07-0700'))&amp;_a=(columns:!('Message%20ID',Summary),filters:!(),index:'emp_*',interval:auto,query:(query_string:(analyze_wildcard:!t,query:'%22rtdc.l.rtdc.4027%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186" t="s">
        <v>854</v>
      </c>
      <c r="B232" s="182">
        <v>4028</v>
      </c>
      <c r="C232" s="184" t="s">
        <v>192</v>
      </c>
      <c r="D232" s="184" t="s">
        <v>1033</v>
      </c>
      <c r="E232" s="183">
        <v>43084.82503472222</v>
      </c>
      <c r="F232" s="183">
        <v>43084.836840277778</v>
      </c>
      <c r="G232" s="182">
        <v>169</v>
      </c>
      <c r="H232" s="184" t="s">
        <v>1034</v>
      </c>
      <c r="I232" s="183">
        <v>43084.838321759256</v>
      </c>
      <c r="J232" s="182">
        <v>0</v>
      </c>
      <c r="K232" s="190" t="str">
        <f t="shared" si="142"/>
        <v>4027/4028</v>
      </c>
      <c r="L232" s="196" t="str">
        <f>VLOOKUP(A232,'Trips&amp;Operators'!$C$1:$G$99911,5,FALSE)</f>
        <v>ANDREA WILLIAMS</v>
      </c>
      <c r="M232" s="181">
        <f t="shared" si="143"/>
        <v>1.48148147854954E-3</v>
      </c>
      <c r="N232" s="182">
        <f t="shared" si="144"/>
        <v>2.1333333291113377</v>
      </c>
      <c r="O232" s="182"/>
      <c r="P232" s="182"/>
      <c r="Q232" s="185"/>
      <c r="R232" s="197"/>
      <c r="S232" s="241">
        <f t="shared" si="145"/>
        <v>0</v>
      </c>
      <c r="T232" s="220" t="str">
        <f t="shared" si="146"/>
        <v>NorthBound</v>
      </c>
      <c r="U232" s="22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21" t="str">
        <f t="shared" si="139"/>
        <v>https://d0f6bd738d7f1b3e5a7ca70fe4ff75f0.us-east-1.aws.found.io/app/kibana#/discover/Steve-Slow-Train-Analysis-(2080s-and-2083s)?_g=(refreshInterval:(display:Off,pause:!f,section:0,value:0),time:(from:'2017-12-15T18:48:03-0700',mode:absolute,to:'2017-12-15T21:07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2" s="222" t="str">
        <f>IF(AA232&lt;VLOOKUP(AG232,Variables!$AC$3:$AD$8,2,FALSE),"Y","N")</f>
        <v>Y</v>
      </c>
      <c r="X232" s="222">
        <f t="shared" si="151"/>
        <v>4</v>
      </c>
      <c r="Y232" s="222">
        <f t="shared" si="152"/>
        <v>0.1186</v>
      </c>
      <c r="Z232" s="222">
        <f t="shared" si="147"/>
        <v>0.53990000000000005</v>
      </c>
      <c r="AA232" s="222">
        <f t="shared" si="148"/>
        <v>0.42130000000000006</v>
      </c>
      <c r="AB232" s="231" t="e">
        <f>VLOOKUP(A232,Enforcements!$C$7:$K$9,8,0)</f>
        <v>#N/A</v>
      </c>
      <c r="AC232" s="231" t="e">
        <f>VLOOKUP(A232,Enforcements!$C$7:$E$9,3,0)</f>
        <v>#N/A</v>
      </c>
      <c r="AD232" s="232">
        <f t="shared" si="149"/>
        <v>75</v>
      </c>
      <c r="AE232" s="233" t="str">
        <f t="shared" si="140"/>
        <v>aws s3 cp s3://rtdc.mdm.uploadarchive.raw/RTDC4028/ "%USERPROFILE%\AppData\Local\Temp\OnboardLogs"\RTDC4028\2017-12-15 --exclude "*" --recursive --include "*20171215*" &amp; "%USERPROFILE%\Documents\GitHub\mrs-test-scripts\Headless Mode &amp; Sideloading\WalkAndUnGZ.bat" "%USERPROFILE%\AppData\Local\Temp\OnboardLogs"\RTDC4028\2017-12-15 &amp; aws s3 cp s3://rtdc.mdm.uploadarchive.raw/RTDC4028/ "%USERPROFILE%\AppData\Local\Temp\OnboardLogs"\RTDC4028\2017-12-16 --exclude "*" --recursive --include "*20171216*" &amp; "%USERPROFILE%\Documents\GitHub\mrs-test-scripts\Headless Mode &amp; Sideloading\WalkAndUnGZ.bat" "%USERPROFILE%\AppData\Local\Temp\OnboardLogs"\RTDC4028\2017-12-16</v>
      </c>
      <c r="AF232" s="234" t="str">
        <f t="shared" si="141"/>
        <v>"C:\Program Files (x86)\AstroGrep\AstroGrep.exe" /e /r /s /spath="%USERPROFILE%\AppData\Local\Temp\OnboardLogs" /stypes="app*4028*20171216*" /stext=" 03:.+((SYSTEM_STATE.+slice.+state.+changed )|(ment ac)|(multiple cpu faults)|(system.+state.+changed )|(\[timeout)|(PRM\|1\|D)|(kpr)|(kdp)|(train st.+moving)|(\|lc)|(penalty))"</v>
      </c>
      <c r="AG232" s="226" t="str">
        <f t="shared" si="150"/>
        <v>Shuttle/Test</v>
      </c>
      <c r="AH232" s="189" t="str">
        <f t="shared" si="153"/>
        <v>"%USERPROFILE%\Documents\GitHub\eaglep3\Utilities\RefineRTDCRunTimes.py" --tripid 75-15 --locoid 4028 --swversion DE.1.0.9.0 --startMP 204:1186 --initTime 2017-12-15T19:48:03 --startdatetime 2017-12-15T20:05:03 --delay 169 --endMP 300:5399 --enddatetime 2017-12-15T20:07:11 --enforcementcount 0 &gt;&gt;%USERPROFILE%\Documents\GitHub\eaglep3-reporting\EC\2017-12-15-refined-times.txt</v>
      </c>
      <c r="AI232" s="191" t="str">
        <f t="shared" si="154"/>
        <v>echo {"issue":{"subject":"","project_id":79,"tracker_id":40,"status_id":1,"priority_id":2,"assigned_to_id":338,"start_date":"2017-12-15","description":"","custom_fields":[{"id":1,"name":"Subdivision","value":"Shuttle/Test"},{"id":4,"name":"Milepost","value":"0.5399"},{"id":17,"name":"Train ID","value":"75-15"},{"id":16,"name":"Locomotive ID","value":"4028"},{"id":130,"name":"Impact","value":""},{"id":150,"name":"Time of Event (Mountain Time)","value":"20:07:11"},{"id":151,"name":"Denver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180"/>
      <c r="AK232" s="188"/>
      <c r="AL232" s="188"/>
      <c r="AM232" s="193" t="str">
        <f t="shared" si="155"/>
        <v>start /low /b %USERPROFILE%\Documents\GitHub\eaglep3\Utilities\DownloadLogsFromS3.py --loco 4028 --day 2017-12-15</v>
      </c>
      <c r="AN232" s="194" t="str">
        <f t="shared" si="156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03:07:11"},{"id":29,"name":"Sharepoint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87" t="str">
        <f t="shared" si="157"/>
        <v>https://d0f6bd738d7f1b3e5a7ca70fe4ff75f0.us-east-1.aws.found.io/app/kibana#/discover/Steve-Slow-Train-Analysis-(2080s-and-2083s)?_g=(refreshInterval:(display:Off,pause:!f,section:0,value:0),time:(from:'2017-12-15T18:48:03-0700',mode:absolute,to:'2017-12-15T21:07:11-0700'))&amp;_a=(columns:!('Message%20ID',Summary),filters:!(),index:'emp_*',interval:auto,query:(query_string:(analyze_wildcard:!t,query:'%22rtdc.l.rtdc.4028%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18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18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18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18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18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18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18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18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s="20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s="20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s="20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s="2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s="20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s="20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s="20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s="20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s="20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s="20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s="20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s="20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s="20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s="20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s="20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s="20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s="20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s="20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s="20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:91" s="20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:91" s="20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s="20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s="20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:91" s="20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s="20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:9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s="20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:9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s="20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:9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9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91" s="20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:9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9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9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91" s="20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:9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9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9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9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9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9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9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9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9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9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4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M545"/>
      <c r="AO545"/>
    </row>
    <row r="546" spans="1:4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4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4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4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M549"/>
      <c r="AO549"/>
    </row>
    <row r="550" spans="1:4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  <row r="551" spans="1:4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M551"/>
      <c r="AO551"/>
    </row>
    <row r="552" spans="1:4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M552"/>
      <c r="AO552"/>
    </row>
    <row r="553" spans="1:4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M553"/>
      <c r="AO553"/>
    </row>
    <row r="554" spans="1:4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M554"/>
      <c r="AO554"/>
    </row>
    <row r="555" spans="1:4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M555"/>
      <c r="AO555"/>
    </row>
  </sheetData>
  <autoFilter ref="A12:AG550">
    <sortState ref="A13:AG550">
      <sortCondition ref="AG13:AG232"/>
      <sortCondition ref="AD13:AD232"/>
    </sortState>
  </autoFilter>
  <sortState ref="A13:AN455">
    <sortCondition ref="AG13:AG455"/>
    <sortCondition ref="AD13:AD455"/>
  </sortState>
  <mergeCells count="1">
    <mergeCell ref="A11:P11"/>
  </mergeCells>
  <conditionalFormatting sqref="W11:W12 W556:X1048576 W13:X232">
    <cfRule type="cellIs" dxfId="10" priority="465" operator="equal">
      <formula>"Y"</formula>
    </cfRule>
  </conditionalFormatting>
  <conditionalFormatting sqref="X556:X1048576 X13:X232">
    <cfRule type="cellIs" dxfId="9" priority="448" operator="greaterThan">
      <formula>1</formula>
    </cfRule>
  </conditionalFormatting>
  <conditionalFormatting sqref="X556:X1048576 X12:X232">
    <cfRule type="cellIs" dxfId="8" priority="445" operator="equal">
      <formula>0</formula>
    </cfRule>
  </conditionalFormatting>
  <conditionalFormatting sqref="A13:S232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AK13:AK232</xm:sqref>
        </x14:dataValidation>
        <x14:dataValidation type="list" allowBlank="1" showInputMessage="1" showErrorMessage="1">
          <x14:formula1>
            <xm:f>'Redmine List Values'!$C$2:$C$15</xm:f>
          </x14:formula1>
          <xm:sqref>AL13:AL232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40"/>
  <sheetViews>
    <sheetView tabSelected="1" topLeftCell="A2" zoomScaleNormal="100" workbookViewId="0">
      <selection activeCell="P15" sqref="P15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03" customWidth="1"/>
    <col min="5" max="5" width="29.42578125" style="103" customWidth="1"/>
    <col min="6" max="6" width="5.7109375" style="103" customWidth="1"/>
    <col min="7" max="7" width="5.85546875" style="103" customWidth="1"/>
    <col min="8" max="8" width="7.85546875" style="103" customWidth="1"/>
    <col min="9" max="9" width="9" style="103" customWidth="1"/>
    <col min="10" max="10" width="11.5703125" style="103" hidden="1" customWidth="1"/>
    <col min="11" max="11" width="9.140625" style="103" customWidth="1"/>
    <col min="12" max="12" width="4.85546875" style="103" customWidth="1"/>
    <col min="13" max="13" width="7.85546875" style="2" customWidth="1"/>
    <col min="14" max="14" width="15.5703125" style="102" customWidth="1"/>
    <col min="15" max="15" width="4.42578125" style="156" customWidth="1"/>
    <col min="16" max="16" width="24.7109375" style="103" customWidth="1"/>
    <col min="17" max="17" width="5" hidden="1" customWidth="1"/>
    <col min="18" max="18" width="5.5703125" style="67" customWidth="1"/>
    <col min="19" max="19" width="5.5703125" style="72" customWidth="1"/>
    <col min="20" max="20" width="6" style="66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46" customWidth="1"/>
    <col min="27" max="27" width="5.28515625" customWidth="1"/>
    <col min="28" max="28" width="5.5703125" customWidth="1"/>
    <col min="29" max="29" width="5.28515625" style="105" customWidth="1"/>
    <col min="30" max="30" width="6.7109375" customWidth="1"/>
    <col min="31" max="31" width="9.140625" style="131"/>
  </cols>
  <sheetData>
    <row r="1" spans="1:32" s="20" customFormat="1" ht="15.75" hidden="1" thickBot="1" x14ac:dyDescent="0.3">
      <c r="A1" s="8"/>
      <c r="D1" s="103"/>
      <c r="E1" s="103"/>
      <c r="F1" s="103"/>
      <c r="G1" s="103"/>
      <c r="H1" s="103"/>
      <c r="I1" s="103"/>
      <c r="J1" s="103"/>
      <c r="K1" s="103"/>
      <c r="L1" s="103"/>
      <c r="M1" s="2"/>
      <c r="N1" s="102"/>
      <c r="O1" s="156"/>
      <c r="P1" s="103"/>
      <c r="R1" s="67"/>
      <c r="S1" s="72"/>
      <c r="T1" s="66"/>
      <c r="V1" s="43"/>
      <c r="X1" s="2"/>
      <c r="Z1" s="146"/>
      <c r="AC1" s="105"/>
      <c r="AE1" s="131"/>
    </row>
    <row r="2" spans="1:32" s="20" customFormat="1" x14ac:dyDescent="0.25">
      <c r="A2" s="8"/>
      <c r="D2" s="103"/>
      <c r="E2" s="103"/>
      <c r="F2" s="103"/>
      <c r="G2" s="103"/>
      <c r="H2" s="103"/>
      <c r="I2" s="103"/>
      <c r="J2" s="103"/>
      <c r="K2" s="103"/>
      <c r="L2" s="114" t="s">
        <v>80</v>
      </c>
      <c r="M2" s="98"/>
      <c r="N2" s="115"/>
      <c r="O2" s="177">
        <f>COUNTIF($O$7:$O$80,"=Y")</f>
        <v>16</v>
      </c>
      <c r="P2" s="100"/>
      <c r="R2" s="67"/>
      <c r="S2" s="72"/>
      <c r="T2" s="66"/>
      <c r="V2" s="43"/>
      <c r="X2" s="2"/>
      <c r="Z2" s="146"/>
      <c r="AC2" s="106"/>
      <c r="AE2" s="131"/>
    </row>
    <row r="3" spans="1:32" s="20" customFormat="1" ht="15.75" thickBot="1" x14ac:dyDescent="0.3">
      <c r="A3" s="8"/>
      <c r="D3" s="103"/>
      <c r="E3" s="103"/>
      <c r="F3" s="103"/>
      <c r="G3" s="103"/>
      <c r="H3" s="103"/>
      <c r="I3" s="103"/>
      <c r="J3" s="103"/>
      <c r="K3" s="103"/>
      <c r="L3" s="116" t="s">
        <v>81</v>
      </c>
      <c r="M3" s="99"/>
      <c r="N3" s="117"/>
      <c r="O3" s="178">
        <f>COUNTA($O$7:$O$80)-O2</f>
        <v>18</v>
      </c>
      <c r="P3" s="100"/>
      <c r="R3" s="67"/>
      <c r="S3" s="72"/>
      <c r="T3" s="66"/>
      <c r="V3" s="43"/>
      <c r="X3" s="2"/>
      <c r="Z3" s="146"/>
      <c r="AC3" s="106"/>
      <c r="AE3" s="131"/>
    </row>
    <row r="4" spans="1:32" s="20" customFormat="1" x14ac:dyDescent="0.25">
      <c r="A4" s="8"/>
      <c r="D4" s="103"/>
      <c r="E4" s="103"/>
      <c r="F4" s="103"/>
      <c r="G4" s="103"/>
      <c r="H4" s="103"/>
      <c r="I4" s="103"/>
      <c r="J4" s="103"/>
      <c r="K4" s="103"/>
      <c r="L4" s="103"/>
      <c r="M4" s="2"/>
      <c r="N4" s="102"/>
      <c r="O4" s="176"/>
      <c r="P4" s="103"/>
      <c r="R4" s="67"/>
      <c r="S4" s="72"/>
      <c r="T4" s="66"/>
      <c r="V4" s="43"/>
      <c r="X4" s="2"/>
      <c r="Z4" s="146"/>
      <c r="AC4" s="106"/>
      <c r="AE4" s="131"/>
    </row>
    <row r="5" spans="1:32" s="10" customFormat="1" ht="15" customHeight="1" x14ac:dyDescent="0.25">
      <c r="A5" s="242" t="str">
        <f>"Eagle P3 Braking Events - "&amp;TEXT(Variables!$A$2,"YYYY-mm-dd")</f>
        <v>Eagle P3 Braking Events - 2017-12-15</v>
      </c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242"/>
      <c r="P5" s="118"/>
      <c r="R5" s="70"/>
      <c r="S5" s="73"/>
      <c r="T5" s="75"/>
      <c r="V5" s="44"/>
      <c r="X5" s="165"/>
      <c r="AC5" s="107"/>
      <c r="AE5" s="133"/>
    </row>
    <row r="6" spans="1:32" s="97" customFormat="1" ht="69.75" customHeight="1" x14ac:dyDescent="0.2">
      <c r="A6" s="87" t="s">
        <v>38</v>
      </c>
      <c r="B6" s="88" t="s">
        <v>37</v>
      </c>
      <c r="C6" s="88" t="s">
        <v>36</v>
      </c>
      <c r="D6" s="104" t="s">
        <v>35</v>
      </c>
      <c r="E6" s="104" t="s">
        <v>34</v>
      </c>
      <c r="F6" s="104" t="s">
        <v>33</v>
      </c>
      <c r="G6" s="104" t="s">
        <v>32</v>
      </c>
      <c r="H6" s="104" t="s">
        <v>31</v>
      </c>
      <c r="I6" s="104" t="s">
        <v>147</v>
      </c>
      <c r="J6" s="104" t="s">
        <v>30</v>
      </c>
      <c r="K6" s="104" t="s">
        <v>29</v>
      </c>
      <c r="L6" s="104" t="s">
        <v>28</v>
      </c>
      <c r="M6" s="89" t="s">
        <v>148</v>
      </c>
      <c r="N6" s="119" t="s">
        <v>47</v>
      </c>
      <c r="O6" s="162" t="s">
        <v>27</v>
      </c>
      <c r="P6" s="104" t="s">
        <v>24</v>
      </c>
      <c r="Q6" s="90"/>
      <c r="R6" s="91" t="s">
        <v>89</v>
      </c>
      <c r="S6" s="92" t="s">
        <v>55</v>
      </c>
      <c r="T6" s="93" t="s">
        <v>88</v>
      </c>
      <c r="U6" s="88" t="s">
        <v>83</v>
      </c>
      <c r="V6" s="94" t="s">
        <v>84</v>
      </c>
      <c r="W6" s="90" t="s">
        <v>343</v>
      </c>
      <c r="X6" s="166" t="s">
        <v>336</v>
      </c>
      <c r="Y6" s="95" t="s">
        <v>141</v>
      </c>
      <c r="Z6" s="147" t="s">
        <v>142</v>
      </c>
      <c r="AA6" s="96" t="s">
        <v>115</v>
      </c>
      <c r="AB6" s="96" t="s">
        <v>143</v>
      </c>
      <c r="AC6" s="108" t="s">
        <v>167</v>
      </c>
      <c r="AD6" s="97" t="s">
        <v>182</v>
      </c>
      <c r="AE6" s="132" t="s">
        <v>187</v>
      </c>
    </row>
    <row r="7" spans="1:32" s="1" customFormat="1" x14ac:dyDescent="0.25">
      <c r="A7" s="31">
        <v>43084.3362037037</v>
      </c>
      <c r="B7" s="30" t="s">
        <v>643</v>
      </c>
      <c r="C7" s="30" t="s">
        <v>650</v>
      </c>
      <c r="D7" s="30" t="s">
        <v>49</v>
      </c>
      <c r="E7" s="30" t="s">
        <v>183</v>
      </c>
      <c r="F7" s="42">
        <v>310</v>
      </c>
      <c r="G7" s="42">
        <v>775</v>
      </c>
      <c r="H7" s="42">
        <v>69702</v>
      </c>
      <c r="I7" s="42">
        <v>66088</v>
      </c>
      <c r="J7" s="30" t="s">
        <v>184</v>
      </c>
      <c r="K7" s="42">
        <v>63309</v>
      </c>
      <c r="L7" s="121" t="s">
        <v>51</v>
      </c>
      <c r="M7" s="122">
        <f t="shared" ref="M7:M40" si="0">CONVERT((I7-K7)/10000,"mi","ft")*IF(L7="Increasing Mileposts (1)",-1,1)</f>
        <v>1467.3119999999999</v>
      </c>
      <c r="N7" s="123" t="str">
        <f>VLOOKUP(C7,'Trips&amp;Operators'!$C$1:$G$99911,5,FALSE)</f>
        <v>ROCHA YAOTL</v>
      </c>
      <c r="O7" s="163" t="s">
        <v>178</v>
      </c>
      <c r="P7" s="192" t="s">
        <v>465</v>
      </c>
      <c r="Q7" s="30"/>
      <c r="R7" s="71" t="str">
        <f>VLOOKUP(C7,'Train Runs'!$A$13:$AE$10209,31,0)</f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S7" s="74" t="str">
        <f>VLOOKUP(C7,'Train Runs'!$A$13:$AE$10209,22,0)</f>
        <v>https://d0f6bd738d7f1b3e5a7ca70fe4ff75f0.us-east-1.aws.found.io/app/kibana#/discover/Steve-Slow-Train-Analysis-(2080s-and-2083s)?_g=(refreshInterval:(display:Off,pause:!f,section:0,value:0),time:(from:'2017-12-15T06:41:17-0700',mode:absolute,to:'2017-12-15T09:19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7" s="76" t="str">
        <f t="shared" ref="T7:T40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/stypes="*4003*201712151*" /stext=" 15:.+((SYSTEM_STATE.+slice.+state.+changed )|(ment ac)|(multiple cpu faults)|(system.+state.+changed )|(\[timeout)|(PRM\|1\|D)|(kpr)|(kdp)|(train st.+moving)|(\|lc)|(penalty))"</v>
      </c>
      <c r="U7" s="9" t="str">
        <f t="shared" ref="U7:U40" si="2">MID(B7,13,4)</f>
        <v>4003</v>
      </c>
      <c r="V7" s="31">
        <f t="shared" ref="V7:V40" si="3">A7-utc_offset/24</f>
        <v>43084.627870370365</v>
      </c>
      <c r="W7" s="45" t="str">
        <f t="shared" ref="W7:W40" si="4">DetSubdiv(C7)</f>
        <v>EC</v>
      </c>
      <c r="X7" s="22">
        <f t="shared" ref="X7:X40" si="5">VALUE(LEFT(C7,LEN(C7)-3))</f>
        <v>126</v>
      </c>
      <c r="Y7" s="86" t="str">
        <f t="shared" ref="Y7:Y4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Arrival","project_id":79,"tracker_id":40,"status_id":1,"priority_id":2,"assigned_to_id":338,"start_date":"2017-12-15","description":"","custom_fields":[{"id":1,"name":"Subdivision","value":"EC"},{"id":4,"name":"Milepost","value":"6.3309"},{"id":17,"name":"Train ID","value":"126-15"},{"id":16,"name":"Locomotive ID","value":"4003"},{"id":130,"name":"Impact","value":""},{"id":150,"name":"Time of Event (Mountain Time)","value":"08:04:08"},{"id":151,"name":"Denver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48"/>
      <c r="AA7" s="47"/>
      <c r="AB7" s="47"/>
      <c r="AC7" s="105" t="str">
        <f t="shared" ref="AC7:AC40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/c/Users/stu/AppData/Local/Temp/OnboardLogs/RTDC4003 --include="*4003*201712151*"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"%USERPROFILE%\AppData\Local\Temp\OnboardLogs"\RTDC4003\*4003*201712151* &gt;&gt; 2017-12-15-SliceDisagreementCheck.txt</v>
      </c>
      <c r="AE7" s="134" t="str">
        <f t="shared" ref="AE7:AE40" si="8">"start /low /b "&amp;dls3logs&amp;" --loco "&amp;U7&amp;" --day "&amp;TEXT(V7,"YYYY-MM-DD")</f>
        <v>start /low /b %USERPROFILE%\Documents\GitHub\eaglep3\Utilities\DownloadLogsFromS3.py --loco 4003 --day 2017-12-15</v>
      </c>
    </row>
    <row r="8" spans="1:32" s="1" customFormat="1" x14ac:dyDescent="0.25">
      <c r="A8" s="31">
        <v>43084.351898148147</v>
      </c>
      <c r="B8" s="30" t="s">
        <v>651</v>
      </c>
      <c r="C8" s="30" t="s">
        <v>652</v>
      </c>
      <c r="D8" s="30" t="s">
        <v>49</v>
      </c>
      <c r="E8" s="30" t="s">
        <v>183</v>
      </c>
      <c r="F8" s="42">
        <v>0</v>
      </c>
      <c r="G8" s="42">
        <v>214</v>
      </c>
      <c r="H8" s="42">
        <v>30982</v>
      </c>
      <c r="I8" s="42">
        <v>30801</v>
      </c>
      <c r="J8" s="30" t="s">
        <v>184</v>
      </c>
      <c r="K8" s="42">
        <v>30970</v>
      </c>
      <c r="L8" s="121" t="s">
        <v>51</v>
      </c>
      <c r="M8" s="122">
        <f t="shared" si="0"/>
        <v>-89.231999999999985</v>
      </c>
      <c r="N8" s="123" t="str">
        <f>VLOOKUP(C8,'Trips&amp;Operators'!$C$1:$G$99911,5,FALSE)</f>
        <v>MACDONALD THOMAS</v>
      </c>
      <c r="O8" s="163" t="s">
        <v>178</v>
      </c>
      <c r="P8" s="192" t="s">
        <v>465</v>
      </c>
      <c r="Q8" s="30"/>
      <c r="R8" s="71" t="str">
        <f>VLOOKUP(C8,'Train Runs'!$A$13:$AE$10209,31,0)</f>
        <v>aws s3 cp s3://rtdc.mdm.uploadarchive.raw/RTDC4057/ "%USERPROFILE%\AppData\Local\Temp\OnboardLogs"\RTDC4057\2017-12-15 --exclude "*" --recursive --include "*20171215*" &amp; "%USERPROFILE%\Documents\GitHub\mrs-test-scripts\Headless Mode &amp; Sideloading\WalkAndUnGZ.bat" "%USERPROFILE%\AppData\Local\Temp\OnboardLogs"\RTDC4057\2017-12-15 &amp; aws s3 cp s3://rtdc.mdm.uploadarchive.raw/RTDC4057/ "%USERPROFILE%\AppData\Local\Temp\OnboardLogs"\RTDC4057\2017-12-16 --exclude "*" --recursive --include "*20171216*" &amp; "%USERPROFILE%\Documents\GitHub\mrs-test-scripts\Headless Mode &amp; Sideloading\WalkAndUnGZ.bat" "%USERPROFILE%\AppData\Local\Temp\OnboardLogs"\RTDC4057\2017-12-16</v>
      </c>
      <c r="S8" s="74" t="str">
        <f>VLOOKUP(C8,'Train Runs'!$A$13:$AE$10209,22,0)</f>
        <v>https://d0f6bd738d7f1b3e5a7ca70fe4ff75f0.us-east-1.aws.found.io/app/kibana#/discover/Steve-Slow-Train-Analysis-(2080s-and-2083s)?_g=(refreshInterval:(display:Off,pause:!f,section:0,value:0),time:(from:'2017-12-15T06:54:20-0700',mode:absolute,to:'2017-12-15T09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8" s="76" t="str">
        <f t="shared" si="1"/>
        <v>"C:\Program Files (x86)\AstroGrep\AstroGrep.exe" /e /r /s /spath="%USERPROFILE%\AppData\Local\Temp\OnboardLogs" /stypes="*4057*201712151*" /stext=" 15:.+((SYSTEM_STATE.+slice.+state.+changed )|(ment ac)|(multiple cpu faults)|(system.+state.+changed )|(\[timeout)|(PRM\|1\|D)|(kpr)|(kdp)|(train st.+moving)|(\|lc)|(penalty))"</v>
      </c>
      <c r="U8" s="9" t="str">
        <f t="shared" si="2"/>
        <v>4057</v>
      </c>
      <c r="V8" s="31">
        <f t="shared" si="3"/>
        <v>43084.643564814811</v>
      </c>
      <c r="W8" s="45" t="str">
        <f t="shared" si="4"/>
        <v>EC</v>
      </c>
      <c r="X8" s="185">
        <f t="shared" si="5"/>
        <v>128</v>
      </c>
      <c r="Y8" s="191" t="str">
        <f t="shared" si="6"/>
        <v>echo {"issue":{"subject":"Early Arrival","project_id":79,"tracker_id":40,"status_id":1,"priority_id":2,"assigned_to_id":338,"start_date":"2017-12-15","description":"","custom_fields":[{"id":1,"name":"Subdivision","value":"EC"},{"id":4,"name":"Milepost","value":"3.097"},{"id":17,"name":"Train ID","value":"128-15"},{"id":16,"name":"Locomotive ID","value":"4057"},{"id":130,"name":"Impact","value":""},{"id":150,"name":"Time of Event (Mountain Time)","value":"08:26:44"},{"id":151,"name":"Denver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48"/>
      <c r="AA8" s="188"/>
      <c r="AB8" s="188"/>
      <c r="AC8" s="105" t="str">
        <f t="shared" si="7"/>
        <v>grep -hrE -A400 "Enforcement Action" /c/Users/stu/AppData/Local/Temp/OnboardLogs/RTDC4057 --include="*4057*201712151*"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"%USERPROFILE%\AppData\Local\Temp\OnboardLogs"\RTDC4057\*4057*201712151* &gt;&gt; 2017-12-15-SliceDisagreementCheck.txt</v>
      </c>
      <c r="AE8" s="134" t="str">
        <f t="shared" si="8"/>
        <v>start /low /b %USERPROFILE%\Documents\GitHub\eaglep3\Utilities\DownloadLogsFromS3.py --loco 4057 --day 2017-12-15</v>
      </c>
    </row>
    <row r="9" spans="1:32" s="1" customFormat="1" x14ac:dyDescent="0.25">
      <c r="A9" s="31">
        <v>43084.504131944443</v>
      </c>
      <c r="B9" s="30" t="s">
        <v>500</v>
      </c>
      <c r="C9" s="30" t="s">
        <v>658</v>
      </c>
      <c r="D9" s="30" t="s">
        <v>95</v>
      </c>
      <c r="E9" s="30" t="s">
        <v>183</v>
      </c>
      <c r="F9" s="42">
        <v>700</v>
      </c>
      <c r="G9" s="42">
        <v>750</v>
      </c>
      <c r="H9" s="42">
        <v>109028</v>
      </c>
      <c r="I9" s="42">
        <v>112378</v>
      </c>
      <c r="J9" s="30" t="s">
        <v>184</v>
      </c>
      <c r="K9" s="42">
        <v>108954</v>
      </c>
      <c r="L9" s="121" t="s">
        <v>50</v>
      </c>
      <c r="M9" s="122">
        <f t="shared" si="0"/>
        <v>-1807.8720000000001</v>
      </c>
      <c r="N9" s="123" t="str">
        <f>VLOOKUP(C9,'Trips&amp;Operators'!$C$1:$G$99911,5,FALSE)</f>
        <v>LONG FULLER</v>
      </c>
      <c r="O9" s="163" t="s">
        <v>178</v>
      </c>
      <c r="P9" s="192" t="s">
        <v>465</v>
      </c>
      <c r="Q9" s="30"/>
      <c r="R9" s="71" t="str">
        <f>VLOOKUP(C9,'Train Runs'!$A$13:$AE$10209,31,0)</f>
        <v>aws s3 cp s3://rtdc.mdm.uploadarchive.raw/RTDC4042/ "%USERPROFILE%\AppData\Local\Temp\OnboardLogs"\RTDC4042\2017-12-15 --exclude "*" --recursive --include "*20171215*" &amp; "%USERPROFILE%\Documents\GitHub\mrs-test-scripts\Headless Mode &amp; Sideloading\WalkAndUnGZ.bat" "%USERPROFILE%\AppData\Local\Temp\OnboardLogs"\RTDC4042\2017-12-15 &amp; aws s3 cp s3://rtdc.mdm.uploadarchive.raw/RTDC4042/ "%USERPROFILE%\AppData\Local\Temp\OnboardLogs"\RTDC4042\2017-12-16 --exclude "*" --recursive --include "*20171216*" &amp; "%USERPROFILE%\Documents\GitHub\mrs-test-scripts\Headless Mode &amp; Sideloading\WalkAndUnGZ.bat" "%USERPROFILE%\AppData\Local\Temp\OnboardLogs"\RTDC4042\2017-12-16</v>
      </c>
      <c r="S9" s="74" t="str">
        <f>VLOOKUP(C9,'Train Runs'!$A$13:$AE$10209,22,0)</f>
        <v>https://d0f6bd738d7f1b3e5a7ca70fe4ff75f0.us-east-1.aws.found.io/app/kibana#/discover/Steve-Slow-Train-Analysis-(2080s-and-2083s)?_g=(refreshInterval:(display:Off,pause:!f,section:0,value:0),time:(from:'2017-12-15T10:38:52-0700',mode:absolute,to:'2017-12-15T13:23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9" s="76" t="str">
        <f t="shared" si="1"/>
        <v>"C:\Program Files (x86)\AstroGrep\AstroGrep.exe" /e /r /s /spath="%USERPROFILE%\AppData\Local\Temp\OnboardLogs" /stypes="*4042*201712151*" /stext=" 19:.+((SYSTEM_STATE.+slice.+state.+changed )|(ment ac)|(multiple cpu faults)|(system.+state.+changed )|(\[timeout)|(PRM\|1\|D)|(kpr)|(kdp)|(train st.+moving)|(\|lc)|(penalty))"</v>
      </c>
      <c r="U9" s="9" t="str">
        <f t="shared" si="2"/>
        <v>4042</v>
      </c>
      <c r="V9" s="31">
        <f t="shared" si="3"/>
        <v>43084.795798611107</v>
      </c>
      <c r="W9" s="45" t="str">
        <f t="shared" si="4"/>
        <v>EC</v>
      </c>
      <c r="X9" s="185">
        <f t="shared" si="5"/>
        <v>165</v>
      </c>
      <c r="Y9" s="191" t="str">
        <f t="shared" si="6"/>
        <v>echo {"issue":{"subject":"Early Arrival","project_id":79,"tracker_id":40,"status_id":1,"priority_id":2,"assigned_to_id":338,"start_date":"2017-12-15","description":"","custom_fields":[{"id":1,"name":"Subdivision","value":"EC"},{"id":4,"name":"Milepost","value":"10.8954"},{"id":17,"name":"Train ID","value":"165-15"},{"id":16,"name":"Locomotive ID","value":"4042"},{"id":130,"name":"Impact","value":""},{"id":150,"name":"Time of Event (Mountain Time)","value":"12:05:57"},{"id":151,"name":"Denver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48"/>
      <c r="AA9" s="188"/>
      <c r="AB9" s="188"/>
      <c r="AC9" s="105" t="str">
        <f t="shared" si="7"/>
        <v>grep -hrE -A400 "Enforcement Action" /c/Users/stu/AppData/Local/Temp/OnboardLogs/RTDC4042 --include="*4042*201712151*"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"%USERPROFILE%\AppData\Local\Temp\OnboardLogs"\RTDC4042\*4042*201712151* &gt;&gt; 2017-12-15-SliceDisagreementCheck.txt</v>
      </c>
      <c r="AE9" s="134" t="str">
        <f t="shared" si="8"/>
        <v>start /low /b %USERPROFILE%\Documents\GitHub\eaglep3\Utilities\DownloadLogsFromS3.py --loco 4042 --day 2017-12-15</v>
      </c>
    </row>
    <row r="10" spans="1:32" x14ac:dyDescent="0.25">
      <c r="A10" s="31">
        <v>43084.705370370371</v>
      </c>
      <c r="B10" s="30" t="s">
        <v>643</v>
      </c>
      <c r="C10" s="30" t="s">
        <v>667</v>
      </c>
      <c r="D10" s="30" t="s">
        <v>49</v>
      </c>
      <c r="E10" s="30" t="s">
        <v>183</v>
      </c>
      <c r="F10" s="42">
        <v>240</v>
      </c>
      <c r="G10" s="42">
        <v>306</v>
      </c>
      <c r="H10" s="42">
        <v>35941</v>
      </c>
      <c r="I10" s="42">
        <v>35231</v>
      </c>
      <c r="J10" s="30" t="s">
        <v>184</v>
      </c>
      <c r="K10" s="42">
        <v>33257</v>
      </c>
      <c r="L10" s="121" t="s">
        <v>51</v>
      </c>
      <c r="M10" s="122">
        <f t="shared" si="0"/>
        <v>1042.2719999999999</v>
      </c>
      <c r="N10" s="123" t="str">
        <f>VLOOKUP(C10,'Trips&amp;Operators'!$C$1:$G$99911,5,FALSE)</f>
        <v>FORTUNATO FRANK</v>
      </c>
      <c r="O10" s="163" t="s">
        <v>178</v>
      </c>
      <c r="P10" s="192" t="s">
        <v>465</v>
      </c>
      <c r="Q10" s="30"/>
      <c r="R10" s="71" t="str">
        <f>VLOOKUP(C10,'Train Runs'!$A$13:$AE$10209,31,0)</f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S10" s="74" t="str">
        <f>VLOOKUP(C10,'Train Runs'!$A$13:$AE$10209,22,0)</f>
        <v>https://d0f6bd738d7f1b3e5a7ca70fe4ff75f0.us-east-1.aws.found.io/app/kibana#/discover/Steve-Slow-Train-Analysis-(2080s-and-2083s)?_g=(refreshInterval:(display:Off,pause:!f,section:0,value:0),time:(from:'2017-12-15T15:12:18-0700',mode:absolute,to:'2017-12-15T18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0" s="76" t="str">
        <f t="shared" si="1"/>
        <v>"C:\Program Files (x86)\AstroGrep\AstroGrep.exe" /e /r /s /spath="%USERPROFILE%\AppData\Local\Temp\OnboardLogs" /stypes="*4003*201712152*" /stext=" 23:.+((SYSTEM_STATE.+slice.+state.+changed )|(ment ac)|(multiple cpu faults)|(system.+state.+changed )|(\[timeout)|(PRM\|1\|D)|(kpr)|(kdp)|(train st.+moving)|(\|lc)|(penalty))"</v>
      </c>
      <c r="U10" s="9" t="str">
        <f t="shared" si="2"/>
        <v>4003</v>
      </c>
      <c r="V10" s="31">
        <f t="shared" si="3"/>
        <v>43084.997037037036</v>
      </c>
      <c r="W10" s="45" t="str">
        <f t="shared" si="4"/>
        <v>EC</v>
      </c>
      <c r="X10" s="185">
        <f t="shared" si="5"/>
        <v>196</v>
      </c>
      <c r="Y10" s="191" t="str">
        <f t="shared" si="6"/>
        <v>echo {"issue":{"subject":"Early Arrival","project_id":79,"tracker_id":40,"status_id":1,"priority_id":2,"assigned_to_id":338,"start_date":"2017-12-15","description":"","custom_fields":[{"id":1,"name":"Subdivision","value":"EC"},{"id":4,"name":"Milepost","value":"3.3257"},{"id":17,"name":"Train ID","value":"196-15"},{"id":16,"name":"Locomotive ID","value":"4003"},{"id":130,"name":"Impact","value":""},{"id":150,"name":"Time of Event (Mountain Time)","value":"16:55:44"},{"id":151,"name":"Denver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48"/>
      <c r="AA10" s="188"/>
      <c r="AB10" s="188"/>
      <c r="AC10" s="105" t="str">
        <f t="shared" si="7"/>
        <v>grep -hrE -A400 "Enforcement Action" /c/Users/stu/AppData/Local/Temp/OnboardLogs/RTDC4003 --include="*4003*201712152*"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"%USERPROFILE%\AppData\Local\Temp\OnboardLogs"\RTDC4003\*4003*201712152* &gt;&gt; 2017-12-15-SliceDisagreementCheck.txt</v>
      </c>
      <c r="AE10" s="134" t="str">
        <f t="shared" si="8"/>
        <v>start /low /b %USERPROFILE%\Documents\GitHub\eaglep3\Utilities\DownloadLogsFromS3.py --loco 4003 --day 2017-12-15</v>
      </c>
      <c r="AF10" s="1"/>
    </row>
    <row r="11" spans="1:32" x14ac:dyDescent="0.25">
      <c r="A11" s="31">
        <v>43084.754594907405</v>
      </c>
      <c r="B11" s="30" t="s">
        <v>363</v>
      </c>
      <c r="C11" s="30" t="s">
        <v>673</v>
      </c>
      <c r="D11" s="30" t="s">
        <v>49</v>
      </c>
      <c r="E11" s="30" t="s">
        <v>183</v>
      </c>
      <c r="F11" s="42">
        <v>0</v>
      </c>
      <c r="G11" s="42">
        <v>189</v>
      </c>
      <c r="H11" s="42">
        <v>27018</v>
      </c>
      <c r="I11" s="42">
        <v>27222</v>
      </c>
      <c r="J11" s="30" t="s">
        <v>184</v>
      </c>
      <c r="K11" s="42">
        <v>27053</v>
      </c>
      <c r="L11" s="121" t="s">
        <v>50</v>
      </c>
      <c r="M11" s="122">
        <f t="shared" si="0"/>
        <v>-89.231999999999985</v>
      </c>
      <c r="N11" s="123" t="str">
        <f>VLOOKUP(C11,'Trips&amp;Operators'!$C$1:$G$99911,5,FALSE)</f>
        <v>HOLCOMB KAMDEN</v>
      </c>
      <c r="O11" s="163" t="s">
        <v>178</v>
      </c>
      <c r="P11" s="192" t="s">
        <v>465</v>
      </c>
      <c r="Q11" s="30"/>
      <c r="R11" s="71" t="str">
        <f>VLOOKUP(C11,'Train Runs'!$A$13:$AE$10209,31,0)</f>
        <v>aws s3 cp s3://rtdc.mdm.uploadarchive.raw/RTDC4036/ "%USERPROFILE%\AppData\Local\Temp\OnboardLogs"\RTDC4036\2017-12-15 --exclude "*" --recursive --include "*20171215*" &amp; "%USERPROFILE%\Documents\GitHub\mrs-test-scripts\Headless Mode &amp; Sideloading\WalkAndUnGZ.bat" "%USERPROFILE%\AppData\Local\Temp\OnboardLogs"\RTDC4036\2017-12-15 &amp; aws s3 cp s3://rtdc.mdm.uploadarchive.raw/RTDC4036/ "%USERPROFILE%\AppData\Local\Temp\OnboardLogs"\RTDC4036\2017-12-16 --exclude "*" --recursive --include "*20171216*" &amp; "%USERPROFILE%\Documents\GitHub\mrs-test-scripts\Headless Mode &amp; Sideloading\WalkAndUnGZ.bat" "%USERPROFILE%\AppData\Local\Temp\OnboardLogs"\RTDC4036\2017-12-16</v>
      </c>
      <c r="S11" s="74" t="str">
        <f>VLOOKUP(C11,'Train Runs'!$A$13:$AE$10209,22,0)</f>
        <v>https://d0f6bd738d7f1b3e5a7ca70fe4ff75f0.us-east-1.aws.found.io/app/kibana#/discover/Steve-Slow-Train-Analysis-(2080s-and-2083s)?_g=(refreshInterval:(display:Off,pause:!f,section:0,value:0),time:(from:'2017-12-15T16:57:01-0700',mode:absolute,to:'2017-12-15T19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11" s="76" t="str">
        <f t="shared" si="1"/>
        <v>"C:\Program Files (x86)\AstroGrep\AstroGrep.exe" /e /r /s /spath="%USERPROFILE%\AppData\Local\Temp\OnboardLogs" /stypes="*4036*201712160*" /stext=" 01:.+((SYSTEM_STATE.+slice.+state.+changed )|(ment ac)|(multiple cpu faults)|(system.+state.+changed )|(\[timeout)|(PRM\|1\|D)|(kpr)|(kdp)|(train st.+moving)|(\|lc)|(penalty))"</v>
      </c>
      <c r="U11" s="9" t="str">
        <f t="shared" si="2"/>
        <v>4036</v>
      </c>
      <c r="V11" s="31">
        <f t="shared" si="3"/>
        <v>43085.046261574069</v>
      </c>
      <c r="W11" s="45" t="str">
        <f t="shared" si="4"/>
        <v>EC</v>
      </c>
      <c r="X11" s="185">
        <f t="shared" si="5"/>
        <v>215</v>
      </c>
      <c r="Y11" s="191" t="str">
        <f t="shared" si="6"/>
        <v>echo {"issue":{"subject":"Early Arrival","project_id":79,"tracker_id":40,"status_id":1,"priority_id":2,"assigned_to_id":338,"start_date":"2017-12-15","description":"","custom_fields":[{"id":1,"name":"Subdivision","value":"EC"},{"id":4,"name":"Milepost","value":"2.7053"},{"id":17,"name":"Train ID","value":"215-15"},{"id":16,"name":"Locomotive ID","value":"4036"},{"id":130,"name":"Impact","value":""},{"id":150,"name":"Time of Event (Mountain Time)","value":"18:06:37"},{"id":151,"name":"Denver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48"/>
      <c r="AA11" s="188"/>
      <c r="AB11" s="188"/>
      <c r="AC11" s="105" t="str">
        <f t="shared" si="7"/>
        <v>grep -hrE -A400 "Enforcement Action" /c/Users/stu/AppData/Local/Temp/OnboardLogs/RTDC4036 --include="*4036*201712160*"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"%USERPROFILE%\AppData\Local\Temp\OnboardLogs"\RTDC4036\*4036*201712160* &gt;&gt; 2017-12-15-SliceDisagreementCheck.txt</v>
      </c>
      <c r="AE11" s="134" t="str">
        <f t="shared" si="8"/>
        <v>start /low /b %USERPROFILE%\Documents\GitHub\eaglep3\Utilities\DownloadLogsFromS3.py --loco 4036 --day 2017-12-16</v>
      </c>
      <c r="AF11" s="1"/>
    </row>
    <row r="12" spans="1:32" x14ac:dyDescent="0.25">
      <c r="A12" s="31">
        <v>43084.842928240738</v>
      </c>
      <c r="B12" s="30" t="s">
        <v>443</v>
      </c>
      <c r="C12" s="30" t="s">
        <v>676</v>
      </c>
      <c r="D12" s="30" t="s">
        <v>49</v>
      </c>
      <c r="E12" s="30" t="s">
        <v>183</v>
      </c>
      <c r="F12" s="42">
        <v>0</v>
      </c>
      <c r="G12" s="42">
        <v>466</v>
      </c>
      <c r="H12" s="42">
        <v>62555</v>
      </c>
      <c r="I12" s="42">
        <v>63839</v>
      </c>
      <c r="J12" s="30" t="s">
        <v>184</v>
      </c>
      <c r="K12" s="42">
        <v>63069</v>
      </c>
      <c r="L12" s="121" t="s">
        <v>50</v>
      </c>
      <c r="M12" s="122">
        <f t="shared" si="0"/>
        <v>-406.56</v>
      </c>
      <c r="N12" s="123" t="str">
        <f>VLOOKUP(C12,'Trips&amp;Operators'!$C$1:$G$99911,5,FALSE)</f>
        <v>NICHOLSON WESLEY</v>
      </c>
      <c r="O12" s="163" t="s">
        <v>178</v>
      </c>
      <c r="P12" s="192" t="s">
        <v>465</v>
      </c>
      <c r="Q12" s="30"/>
      <c r="R12" s="71" t="str">
        <f>VLOOKUP(C12,'Train Runs'!$A$13:$AE$10209,31,0)</f>
        <v>aws s3 cp s3://rtdc.mdm.uploadarchive.raw/RTDC4032/ "%USERPROFILE%\AppData\Local\Temp\OnboardLogs"\RTDC4032\2017-12-15 --exclude "*" --recursive --include "*20171215*" &amp; "%USERPROFILE%\Documents\GitHub\mrs-test-scripts\Headless Mode &amp; Sideloading\WalkAndUnGZ.bat" "%USERPROFILE%\AppData\Local\Temp\OnboardLogs"\RTDC4032\2017-12-15 &amp; aws s3 cp s3://rtdc.mdm.uploadarchive.raw/RTDC4032/ "%USERPROFILE%\AppData\Local\Temp\OnboardLogs"\RTDC4032\2017-12-16 --exclude "*" --recursive --include "*20171216*" &amp; "%USERPROFILE%\Documents\GitHub\mrs-test-scripts\Headless Mode &amp; Sideloading\WalkAndUnGZ.bat" "%USERPROFILE%\AppData\Local\Temp\OnboardLogs"\RTDC4032\2017-12-16</v>
      </c>
      <c r="S12" s="74" t="str">
        <f>VLOOKUP(C12,'Train Runs'!$A$13:$AE$10209,22,0)</f>
        <v>https://d0f6bd738d7f1b3e5a7ca70fe4ff75f0.us-east-1.aws.found.io/app/kibana#/discover/Steve-Slow-Train-Analysis-(2080s-and-2083s)?_g=(refreshInterval:(display:Off,pause:!f,section:0,value:0),time:(from:'2017-12-15T18:54:01-0700',mode:absolute,to:'2017-12-15T21:37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2" s="76" t="str">
        <f t="shared" si="1"/>
        <v>"C:\Program Files (x86)\AstroGrep\AstroGrep.exe" /e /r /s /spath="%USERPROFILE%\AppData\Local\Temp\OnboardLogs" /stypes="*4032*201712160*" /stext=" 03:.+((SYSTEM_STATE.+slice.+state.+changed )|(ment ac)|(multiple cpu faults)|(system.+state.+changed )|(\[timeout)|(PRM\|1\|D)|(kpr)|(kdp)|(train st.+moving)|(\|lc)|(penalty))"</v>
      </c>
      <c r="U12" s="9" t="str">
        <f t="shared" si="2"/>
        <v>4032</v>
      </c>
      <c r="V12" s="31">
        <f t="shared" si="3"/>
        <v>43085.134594907402</v>
      </c>
      <c r="W12" s="45" t="str">
        <f t="shared" si="4"/>
        <v>EC</v>
      </c>
      <c r="X12" s="185">
        <f t="shared" si="5"/>
        <v>225</v>
      </c>
      <c r="Y12" s="191" t="str">
        <f t="shared" si="6"/>
        <v>echo {"issue":{"subject":"Early Arrival","project_id":79,"tracker_id":40,"status_id":1,"priority_id":2,"assigned_to_id":338,"start_date":"2017-12-15","description":"","custom_fields":[{"id":1,"name":"Subdivision","value":"EC"},{"id":4,"name":"Milepost","value":"6.3069"},{"id":17,"name":"Train ID","value":"225-15"},{"id":16,"name":"Locomotive ID","value":"4032"},{"id":130,"name":"Impact","value":""},{"id":150,"name":"Time of Event (Mountain Time)","value":"20:13:49"},{"id":151,"name":"Denver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48"/>
      <c r="AA12" s="188"/>
      <c r="AB12" s="188"/>
      <c r="AC12" s="105" t="str">
        <f t="shared" si="7"/>
        <v>grep -hrE -A400 "Enforcement Action" /c/Users/stu/AppData/Local/Temp/OnboardLogs/RTDC4032 --include="*4032*201712160*"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"%USERPROFILE%\AppData\Local\Temp\OnboardLogs"\RTDC4032\*4032*201712160* &gt;&gt; 2017-12-15-SliceDisagreementCheck.txt</v>
      </c>
      <c r="AE12" s="134" t="str">
        <f t="shared" si="8"/>
        <v>start /low /b %USERPROFILE%\Documents\GitHub\eaglep3\Utilities\DownloadLogsFromS3.py --loco 4032 --day 2017-12-16</v>
      </c>
      <c r="AF12" s="1"/>
    </row>
    <row r="13" spans="1:32" x14ac:dyDescent="0.25">
      <c r="A13" s="31">
        <v>43084.196921296294</v>
      </c>
      <c r="B13" s="30" t="s">
        <v>643</v>
      </c>
      <c r="C13" s="30" t="s">
        <v>644</v>
      </c>
      <c r="D13" s="30" t="s">
        <v>49</v>
      </c>
      <c r="E13" s="30" t="s">
        <v>190</v>
      </c>
      <c r="F13" s="42">
        <v>300</v>
      </c>
      <c r="G13" s="42">
        <v>488</v>
      </c>
      <c r="H13" s="42">
        <v>25100</v>
      </c>
      <c r="I13" s="42">
        <v>23544</v>
      </c>
      <c r="J13" s="30" t="s">
        <v>191</v>
      </c>
      <c r="K13" s="42">
        <v>21848</v>
      </c>
      <c r="L13" s="121" t="s">
        <v>51</v>
      </c>
      <c r="M13" s="122">
        <f t="shared" si="0"/>
        <v>895.48800000000006</v>
      </c>
      <c r="N13" s="123" t="str">
        <f>VLOOKUP(C13,'Trips&amp;Operators'!$C$1:$G$99911,5,FALSE)</f>
        <v>YORK EDGAR</v>
      </c>
      <c r="O13" s="163" t="s">
        <v>178</v>
      </c>
      <c r="P13" s="192"/>
      <c r="Q13" s="30"/>
      <c r="R13" s="71" t="str">
        <f>VLOOKUP(C13,'Train Runs'!$A$13:$AE$10209,31,0)</f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S13" s="74" t="str">
        <f>VLOOKUP(C13,'Train Runs'!$A$13:$AE$10209,22,0)</f>
        <v>https://d0f6bd738d7f1b3e5a7ca70fe4ff75f0.us-east-1.aws.found.io/app/kibana#/discover/Steve-Slow-Train-Analysis-(2080s-and-2083s)?_g=(refreshInterval:(display:Off,pause:!f,section:0,value:0),time:(from:'2017-12-15T02:53:41-0700',mode:absolute,to:'2017-12-15T05:49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3" s="76" t="str">
        <f t="shared" si="1"/>
        <v>"C:\Program Files (x86)\AstroGrep\AstroGrep.exe" /e /r /s /spath="%USERPROFILE%\AppData\Local\Temp\OnboardLogs" /stypes="*4003*201712151*" /stext=" 11:.+((SYSTEM_STATE.+slice.+state.+changed )|(ment ac)|(multiple cpu faults)|(system.+state.+changed )|(\[timeout)|(PRM\|1\|D)|(kpr)|(kdp)|(train st.+moving)|(\|lc)|(penalty))"</v>
      </c>
      <c r="U13" s="9" t="str">
        <f t="shared" si="2"/>
        <v>4003</v>
      </c>
      <c r="V13" s="31">
        <f t="shared" si="3"/>
        <v>43084.488587962958</v>
      </c>
      <c r="W13" s="45" t="str">
        <f t="shared" si="4"/>
        <v>EC</v>
      </c>
      <c r="X13" s="185">
        <f t="shared" si="5"/>
        <v>102</v>
      </c>
      <c r="Y13" s="191" t="str">
        <f t="shared" si="6"/>
        <v>echo {"issue":{"subject":"","project_id":79,"tracker_id":40,"status_id":1,"priority_id":2,"assigned_to_id":338,"start_date":"2017-12-15","description":"","custom_fields":[{"id":1,"name":"Subdivision","value":"EC"},{"id":4,"name":"Milepost","value":"2.1848"},{"id":17,"name":"Train ID","value":"102-15"},{"id":16,"name":"Locomotive ID","value":"4003"},{"id":130,"name":"Impact","value":""},{"id":150,"name":"Time of Event (Mountain Time)","value":"04:43:34"},{"id":151,"name":"Denver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48"/>
      <c r="AA13" s="188"/>
      <c r="AB13" s="188"/>
      <c r="AC13" s="105" t="str">
        <f t="shared" si="7"/>
        <v>grep -hrE -A400 "Enforcement Action" /c/Users/stu/AppData/Local/Temp/OnboardLogs/RTDC4003 --include="*4003*201712151*"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"%USERPROFILE%\AppData\Local\Temp\OnboardLogs"\RTDC4003\*4003*201712151* &gt;&gt; 2017-12-15-SliceDisagreementCheck.txt</v>
      </c>
      <c r="AE13" s="134" t="str">
        <f t="shared" si="8"/>
        <v>start /low /b %USERPROFILE%\Documents\GitHub\eaglep3\Utilities\DownloadLogsFromS3.py --loco 4003 --day 2017-12-15</v>
      </c>
      <c r="AF13" s="1"/>
    </row>
    <row r="14" spans="1:32" x14ac:dyDescent="0.25">
      <c r="A14" s="31">
        <v>43084.269953703704</v>
      </c>
      <c r="B14" s="30" t="s">
        <v>643</v>
      </c>
      <c r="C14" s="30" t="s">
        <v>648</v>
      </c>
      <c r="D14" s="30" t="s">
        <v>49</v>
      </c>
      <c r="E14" s="30" t="s">
        <v>190</v>
      </c>
      <c r="F14" s="42">
        <v>300</v>
      </c>
      <c r="G14" s="42">
        <v>464</v>
      </c>
      <c r="H14" s="42">
        <v>25388</v>
      </c>
      <c r="I14" s="42">
        <v>23961</v>
      </c>
      <c r="J14" s="30" t="s">
        <v>191</v>
      </c>
      <c r="K14" s="42">
        <v>21848</v>
      </c>
      <c r="L14" s="121" t="s">
        <v>51</v>
      </c>
      <c r="M14" s="122">
        <f t="shared" si="0"/>
        <v>1115.664</v>
      </c>
      <c r="N14" s="123" t="str">
        <f>VLOOKUP(C14,'Trips&amp;Operators'!$C$1:$G$99911,5,FALSE)</f>
        <v>ROCHA YAOTL</v>
      </c>
      <c r="O14" s="163" t="s">
        <v>178</v>
      </c>
      <c r="P14" s="192"/>
      <c r="Q14" s="30"/>
      <c r="R14" s="71" t="str">
        <f>VLOOKUP(C14,'Train Runs'!$A$13:$AE$10209,31,0)</f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S14" s="74" t="str">
        <f>VLOOKUP(C14,'Train Runs'!$A$13:$AE$10209,22,0)</f>
        <v>https://d0f6bd738d7f1b3e5a7ca70fe4ff75f0.us-east-1.aws.found.io/app/kibana#/discover/Steve-Slow-Train-Analysis-(2080s-and-2083s)?_g=(refreshInterval:(display:Off,pause:!f,section:0,value:0),time:(from:'2017-12-15T04:55:19-0700',mode:absolute,to:'2017-12-15T07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4" s="76" t="str">
        <f t="shared" si="1"/>
        <v>"C:\Program Files (x86)\AstroGrep\AstroGrep.exe" /e /r /s /spath="%USERPROFILE%\AppData\Local\Temp\OnboardLogs" /stypes="*4003*201712151*" /stext=" 13:.+((SYSTEM_STATE.+slice.+state.+changed )|(ment ac)|(multiple cpu faults)|(system.+state.+changed )|(\[timeout)|(PRM\|1\|D)|(kpr)|(kdp)|(train st.+moving)|(\|lc)|(penalty))"</v>
      </c>
      <c r="U14" s="9" t="str">
        <f t="shared" si="2"/>
        <v>4003</v>
      </c>
      <c r="V14" s="31">
        <f t="shared" si="3"/>
        <v>43084.561620370368</v>
      </c>
      <c r="W14" s="45" t="str">
        <f t="shared" si="4"/>
        <v>EC</v>
      </c>
      <c r="X14" s="185">
        <f t="shared" si="5"/>
        <v>112</v>
      </c>
      <c r="Y14" s="191" t="str">
        <f t="shared" si="6"/>
        <v>echo {"issue":{"subject":"","project_id":79,"tracker_id":40,"status_id":1,"priority_id":2,"assigned_to_id":338,"start_date":"2017-12-15","description":"","custom_fields":[{"id":1,"name":"Subdivision","value":"EC"},{"id":4,"name":"Milepost","value":"2.1848"},{"id":17,"name":"Train ID","value":"112-15"},{"id":16,"name":"Locomotive ID","value":"4003"},{"id":130,"name":"Impact","value":""},{"id":150,"name":"Time of Event (Mountain Time)","value":"06:28:44"},{"id":151,"name":"Denver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48"/>
      <c r="AA14" s="188"/>
      <c r="AB14" s="188"/>
      <c r="AC14" s="105" t="str">
        <f t="shared" si="7"/>
        <v>grep -hrE -A400 "Enforcement Action" /c/Users/stu/AppData/Local/Temp/OnboardLogs/RTDC4003 --include="*4003*201712151*"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"%USERPROFILE%\AppData\Local\Temp\OnboardLogs"\RTDC4003\*4003*201712151* &gt;&gt; 2017-12-15-SliceDisagreementCheck.txt</v>
      </c>
      <c r="AE14" s="134" t="str">
        <f t="shared" si="8"/>
        <v>start /low /b %USERPROFILE%\Documents\GitHub\eaglep3\Utilities\DownloadLogsFromS3.py --loco 4003 --day 2017-12-15</v>
      </c>
      <c r="AF14" s="1"/>
    </row>
    <row r="15" spans="1:32" x14ac:dyDescent="0.25">
      <c r="A15" s="31">
        <v>43084.813090277778</v>
      </c>
      <c r="B15" s="30" t="s">
        <v>364</v>
      </c>
      <c r="C15" s="30" t="s">
        <v>674</v>
      </c>
      <c r="D15" s="30" t="s">
        <v>49</v>
      </c>
      <c r="E15" s="30" t="s">
        <v>190</v>
      </c>
      <c r="F15" s="42">
        <v>200</v>
      </c>
      <c r="G15" s="42">
        <v>311</v>
      </c>
      <c r="H15" s="42">
        <v>6779</v>
      </c>
      <c r="I15" s="42">
        <v>6170</v>
      </c>
      <c r="J15" s="30" t="s">
        <v>191</v>
      </c>
      <c r="K15" s="42">
        <v>5457</v>
      </c>
      <c r="L15" s="121" t="s">
        <v>51</v>
      </c>
      <c r="M15" s="122">
        <f t="shared" si="0"/>
        <v>376.464</v>
      </c>
      <c r="N15" s="123" t="str">
        <f>VLOOKUP(C15,'Trips&amp;Operators'!$C$1:$G$99911,5,FALSE)</f>
        <v>HOLCOMB KAMDEN</v>
      </c>
      <c r="O15" s="163" t="s">
        <v>178</v>
      </c>
      <c r="P15" s="192"/>
      <c r="Q15" s="30"/>
      <c r="R15" s="71" t="str">
        <f>VLOOKUP(C15,'Train Runs'!$A$13:$AE$10209,31,0)</f>
        <v>aws s3 cp s3://rtdc.mdm.uploadarchive.raw/RTDC4035/ "%USERPROFILE%\AppData\Local\Temp\OnboardLogs"\RTDC4035\2017-12-15 --exclude "*" --recursive --include "*20171215*" &amp; "%USERPROFILE%\Documents\GitHub\mrs-test-scripts\Headless Mode &amp; Sideloading\WalkAndUnGZ.bat" "%USERPROFILE%\AppData\Local\Temp\OnboardLogs"\RTDC4035\2017-12-15 &amp; aws s3 cp s3://rtdc.mdm.uploadarchive.raw/RTDC4035/ "%USERPROFILE%\AppData\Local\Temp\OnboardLogs"\RTDC4035\2017-12-16 --exclude "*" --recursive --include "*20171216*" &amp; "%USERPROFILE%\Documents\GitHub\mrs-test-scripts\Headless Mode &amp; Sideloading\WalkAndUnGZ.bat" "%USERPROFILE%\AppData\Local\Temp\OnboardLogs"\RTDC4035\2017-12-16</v>
      </c>
      <c r="S15" s="74" t="str">
        <f>VLOOKUP(C15,'Train Runs'!$A$13:$AE$10209,22,0)</f>
        <v>https://d0f6bd738d7f1b3e5a7ca70fe4ff75f0.us-east-1.aws.found.io/app/kibana#/discover/Steve-Slow-Train-Analysis-(2080s-and-2083s)?_g=(refreshInterval:(display:Off,pause:!f,section:0,value:0),time:(from:'2017-12-15T16:57:01-0700',mode:absolute,to:'2017-12-15T20:34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5" s="76" t="str">
        <f t="shared" si="1"/>
        <v>"C:\Program Files (x86)\AstroGrep\AstroGrep.exe" /e /r /s /spath="%USERPROFILE%\AppData\Local\Temp\OnboardLogs" /stypes="*4035*201712160*" /stext=" 02:.+((SYSTEM_STATE.+slice.+state.+changed )|(ment ac)|(multiple cpu faults)|(system.+state.+changed )|(\[timeout)|(PRM\|1\|D)|(kpr)|(kdp)|(train st.+moving)|(\|lc)|(penalty))"</v>
      </c>
      <c r="U15" s="9" t="str">
        <f t="shared" si="2"/>
        <v>4035</v>
      </c>
      <c r="V15" s="31">
        <f t="shared" si="3"/>
        <v>43085.104756944442</v>
      </c>
      <c r="W15" s="45" t="str">
        <f t="shared" si="4"/>
        <v>EC</v>
      </c>
      <c r="X15" s="185">
        <f t="shared" si="5"/>
        <v>216</v>
      </c>
      <c r="Y15" s="191" t="str">
        <f t="shared" si="6"/>
        <v>echo {"issue":{"subject":"","project_id":79,"tracker_id":40,"status_id":1,"priority_id":2,"assigned_to_id":338,"start_date":"2017-12-15","description":"","custom_fields":[{"id":1,"name":"Subdivision","value":"EC"},{"id":4,"name":"Milepost","value":"0.5457"},{"id":17,"name":"Train ID","value":"216-15"},{"id":16,"name":"Locomotive ID","value":"4035"},{"id":130,"name":"Impact","value":""},{"id":150,"name":"Time of Event (Mountain Time)","value":"19:30:51"},{"id":151,"name":"Denver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48"/>
      <c r="AA15" s="188"/>
      <c r="AB15" s="188"/>
      <c r="AC15" s="105" t="str">
        <f t="shared" si="7"/>
        <v>grep -hrE -A400 "Enforcement Action" /c/Users/stu/AppData/Local/Temp/OnboardLogs/RTDC4035 --include="*4035*201712160*"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"%USERPROFILE%\AppData\Local\Temp\OnboardLogs"\RTDC4035\*4035*201712160* &gt;&gt; 2017-12-15-SliceDisagreementCheck.txt</v>
      </c>
      <c r="AE15" s="134" t="str">
        <f t="shared" si="8"/>
        <v>start /low /b %USERPROFILE%\Documents\GitHub\eaglep3\Utilities\DownloadLogsFromS3.py --loco 4035 --day 2017-12-16</v>
      </c>
      <c r="AF15" s="1"/>
    </row>
    <row r="16" spans="1:32" x14ac:dyDescent="0.25">
      <c r="A16" s="31">
        <v>43084.937523148146</v>
      </c>
      <c r="B16" s="30" t="s">
        <v>643</v>
      </c>
      <c r="C16" s="30" t="s">
        <v>678</v>
      </c>
      <c r="D16" s="30" t="s">
        <v>49</v>
      </c>
      <c r="E16" s="30" t="s">
        <v>190</v>
      </c>
      <c r="F16" s="42">
        <v>300</v>
      </c>
      <c r="G16" s="42">
        <v>462</v>
      </c>
      <c r="H16" s="42">
        <v>25058</v>
      </c>
      <c r="I16" s="42">
        <v>23617</v>
      </c>
      <c r="J16" s="30" t="s">
        <v>191</v>
      </c>
      <c r="K16" s="42">
        <v>21848</v>
      </c>
      <c r="L16" s="121" t="s">
        <v>51</v>
      </c>
      <c r="M16" s="122">
        <f t="shared" si="0"/>
        <v>934.03200000000004</v>
      </c>
      <c r="N16" s="123" t="str">
        <f>VLOOKUP(C16,'Trips&amp;Operators'!$C$1:$G$99911,5,FALSE)</f>
        <v>ANDERS STEVEN</v>
      </c>
      <c r="O16" s="163" t="s">
        <v>178</v>
      </c>
      <c r="P16" s="192"/>
      <c r="Q16" s="30"/>
      <c r="R16" s="71" t="str">
        <f>VLOOKUP(C16,'Train Runs'!$A$13:$AE$10209,31,0)</f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S16" s="74" t="str">
        <f>VLOOKUP(C16,'Train Runs'!$A$13:$AE$10209,22,0)</f>
        <v>https://d0f6bd738d7f1b3e5a7ca70fe4ff75f0.us-east-1.aws.found.io/app/kibana#/discover/Steve-Slow-Train-Analysis-(2080s-and-2083s)?_g=(refreshInterval:(display:Off,pause:!f,section:0,value:0),time:(from:'2017-12-15T20:54:44-0700',mode:absolute,to:'2017-12-15T23:37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6" s="76" t="str">
        <f t="shared" si="1"/>
        <v>"C:\Program Files (x86)\AstroGrep\AstroGrep.exe" /e /r /s /spath="%USERPROFILE%\AppData\Local\Temp\OnboardLogs" /stypes="*4003*201712160*" /stext=" 05:.+((SYSTEM_STATE.+slice.+state.+changed )|(ment ac)|(multiple cpu faults)|(system.+state.+changed )|(\[timeout)|(PRM\|1\|D)|(kpr)|(kdp)|(train st.+moving)|(\|lc)|(penalty))"</v>
      </c>
      <c r="U16" s="9" t="str">
        <f t="shared" si="2"/>
        <v>4003</v>
      </c>
      <c r="V16" s="31">
        <f t="shared" si="3"/>
        <v>43085.229189814811</v>
      </c>
      <c r="W16" s="45" t="str">
        <f t="shared" si="4"/>
        <v>EC</v>
      </c>
      <c r="X16" s="185">
        <f t="shared" si="5"/>
        <v>230</v>
      </c>
      <c r="Y16" s="191" t="str">
        <f t="shared" si="6"/>
        <v>echo {"issue":{"subject":"","project_id":79,"tracker_id":40,"status_id":1,"priority_id":2,"assigned_to_id":338,"start_date":"2017-12-15","description":"","custom_fields":[{"id":1,"name":"Subdivision","value":"EC"},{"id":4,"name":"Milepost","value":"2.1848"},{"id":17,"name":"Train ID","value":"230-15"},{"id":16,"name":"Locomotive ID","value":"4003"},{"id":130,"name":"Impact","value":""},{"id":150,"name":"Time of Event (Mountain Time)","value":"22:30:02"},{"id":151,"name":"Denver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48"/>
      <c r="AA16" s="188"/>
      <c r="AB16" s="188"/>
      <c r="AC16" s="105" t="str">
        <f t="shared" si="7"/>
        <v>grep -hrE -A400 "Enforcement Action" /c/Users/stu/AppData/Local/Temp/OnboardLogs/RTDC4003 --include="*4003*201712160*"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"%USERPROFILE%\AppData\Local\Temp\OnboardLogs"\RTDC4003\*4003*201712160* &gt;&gt; 2017-12-15-SliceDisagreementCheck.txt</v>
      </c>
      <c r="AE16" s="134" t="str">
        <f t="shared" si="8"/>
        <v>start /low /b %USERPROFILE%\Documents\GitHub\eaglep3\Utilities\DownloadLogsFromS3.py --loco 4003 --day 2017-12-16</v>
      </c>
      <c r="AF16" s="1"/>
    </row>
    <row r="17" spans="1:32" x14ac:dyDescent="0.25">
      <c r="A17" s="31">
        <v>43084.210358796299</v>
      </c>
      <c r="B17" s="30" t="s">
        <v>416</v>
      </c>
      <c r="C17" s="30" t="s">
        <v>645</v>
      </c>
      <c r="D17" s="30" t="s">
        <v>49</v>
      </c>
      <c r="E17" s="30" t="s">
        <v>354</v>
      </c>
      <c r="F17" s="42">
        <v>0</v>
      </c>
      <c r="G17" s="42">
        <v>675</v>
      </c>
      <c r="H17" s="42">
        <v>79541</v>
      </c>
      <c r="I17" s="42">
        <v>76708</v>
      </c>
      <c r="J17" s="30" t="s">
        <v>355</v>
      </c>
      <c r="K17" s="42">
        <v>75579</v>
      </c>
      <c r="L17" s="121" t="s">
        <v>51</v>
      </c>
      <c r="M17" s="122">
        <f t="shared" si="0"/>
        <v>596.11199999999997</v>
      </c>
      <c r="N17" s="123" t="str">
        <f>VLOOKUP(C17,'Trips&amp;Operators'!$C$1:$G$99911,5,FALSE)</f>
        <v>MAELZER KURT</v>
      </c>
      <c r="O17" s="163" t="s">
        <v>348</v>
      </c>
      <c r="P17" s="192" t="s">
        <v>438</v>
      </c>
      <c r="Q17" s="30"/>
      <c r="R17" s="71" t="str">
        <f>VLOOKUP(C17,'Train Runs'!$A$13:$AE$10209,31,0)</f>
        <v>aws s3 cp s3://rtdc.mdm.uploadarchive.raw/RTDC4043/ "%USERPROFILE%\AppData\Local\Temp\OnboardLogs"\RTDC4043\2017-12-15 --exclude "*" --recursive --include "*20171215*" &amp; "%USERPROFILE%\Documents\GitHub\mrs-test-scripts\Headless Mode &amp; Sideloading\WalkAndUnGZ.bat" "%USERPROFILE%\AppData\Local\Temp\OnboardLogs"\RTDC4043\2017-12-15 &amp; aws s3 cp s3://rtdc.mdm.uploadarchive.raw/RTDC4043/ "%USERPROFILE%\AppData\Local\Temp\OnboardLogs"\RTDC4043\2017-12-16 --exclude "*" --recursive --include "*20171216*" &amp; "%USERPROFILE%\Documents\GitHub\mrs-test-scripts\Headless Mode &amp; Sideloading\WalkAndUnGZ.bat" "%USERPROFILE%\AppData\Local\Temp\OnboardLogs"\RTDC4043\2017-12-16</v>
      </c>
      <c r="S17" s="74" t="str">
        <f>VLOOKUP(C17,'Train Runs'!$A$13:$AE$10209,22,0)</f>
        <v>https://d0f6bd738d7f1b3e5a7ca70fe4ff75f0.us-east-1.aws.found.io/app/kibana#/discover/Steve-Slow-Train-Analysis-(2080s-and-2083s)?_g=(refreshInterval:(display:Off,pause:!f,section:0,value:0),time:(from:'2017-12-15T03:35:15-0700',mode:absolute,to:'2017-12-15T06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7" s="76" t="str">
        <f t="shared" si="1"/>
        <v>"C:\Program Files (x86)\AstroGrep\AstroGrep.exe" /e /r /s /spath="%USERPROFILE%\AppData\Local\Temp\OnboardLogs" /stypes="*4043*201712151*" /stext=" 12:.+((SYSTEM_STATE.+slice.+state.+changed )|(ment ac)|(multiple cpu faults)|(system.+state.+changed )|(\[timeout)|(PRM\|1\|D)|(kpr)|(kdp)|(train st.+moving)|(\|lc)|(penalty))"</v>
      </c>
      <c r="U17" s="9" t="str">
        <f t="shared" si="2"/>
        <v>4043</v>
      </c>
      <c r="V17" s="31">
        <f t="shared" si="3"/>
        <v>43084.502025462964</v>
      </c>
      <c r="W17" s="45" t="str">
        <f t="shared" si="4"/>
        <v>EC</v>
      </c>
      <c r="X17" s="185">
        <f t="shared" si="5"/>
        <v>104</v>
      </c>
      <c r="Y17" s="191" t="str">
        <f t="shared" si="6"/>
        <v>echo {"issue":{"subject":"Wi-MAX data drop","project_id":79,"tracker_id":40,"status_id":1,"priority_id":2,"assigned_to_id":338,"start_date":"2017-12-15","description":"","custom_fields":[{"id":1,"name":"Subdivision","value":"EC"},{"id":4,"name":"Milepost","value":"7.5579"},{"id":17,"name":"Train ID","value":"104-15"},{"id":16,"name":"Locomotive ID","value":"4043"},{"id":130,"name":"Impact","value":""},{"id":150,"name":"Time of Event (Mountain Time)","value":"05:02:55"},{"id":151,"name":"Denver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48"/>
      <c r="AA17" s="188"/>
      <c r="AB17" s="188"/>
      <c r="AC17" s="105" t="str">
        <f t="shared" si="7"/>
        <v>grep -hrE -A400 "Enforcement Action" /c/Users/stu/AppData/Local/Temp/OnboardLogs/RTDC4043 --include="*4043*201712151*"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"%USERPROFILE%\AppData\Local\Temp\OnboardLogs"\RTDC4043\*4043*201712151* &gt;&gt; 2017-12-15-SliceDisagreementCheck.txt</v>
      </c>
      <c r="AE17" s="134" t="str">
        <f t="shared" si="8"/>
        <v>start /low /b %USERPROFILE%\Documents\GitHub\eaglep3\Utilities\DownloadLogsFromS3.py --loco 4043 --day 2017-12-15</v>
      </c>
      <c r="AF17" s="1"/>
    </row>
    <row r="18" spans="1:32" x14ac:dyDescent="0.25">
      <c r="A18" s="31">
        <v>43084.396840277775</v>
      </c>
      <c r="B18" s="30" t="s">
        <v>643</v>
      </c>
      <c r="C18" s="30" t="s">
        <v>656</v>
      </c>
      <c r="D18" s="30" t="s">
        <v>49</v>
      </c>
      <c r="E18" s="30" t="s">
        <v>354</v>
      </c>
      <c r="F18" s="42">
        <v>0</v>
      </c>
      <c r="G18" s="42">
        <v>740</v>
      </c>
      <c r="H18" s="42">
        <v>202344</v>
      </c>
      <c r="I18" s="42">
        <v>199268</v>
      </c>
      <c r="J18" s="30" t="s">
        <v>355</v>
      </c>
      <c r="K18" s="42">
        <v>198256</v>
      </c>
      <c r="L18" s="121" t="s">
        <v>51</v>
      </c>
      <c r="M18" s="122">
        <f t="shared" si="0"/>
        <v>534.33600000000001</v>
      </c>
      <c r="N18" s="123" t="str">
        <f>VLOOKUP(C18,'Trips&amp;Operators'!$C$1:$G$99911,5,FALSE)</f>
        <v>ROCHA YAOTL</v>
      </c>
      <c r="O18" s="163" t="s">
        <v>348</v>
      </c>
      <c r="P18" s="192" t="s">
        <v>438</v>
      </c>
      <c r="Q18" s="30"/>
      <c r="R18" s="71" t="str">
        <f>VLOOKUP(C18,'Train Runs'!$A$13:$AE$10209,31,0)</f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S18" s="74" t="str">
        <f>VLOOKUP(C18,'Train Runs'!$A$13:$AE$10209,22,0)</f>
        <v>https://d0f6bd738d7f1b3e5a7ca70fe4ff75f0.us-east-1.aws.found.io/app/kibana#/discover/Steve-Slow-Train-Analysis-(2080s-and-2083s)?_g=(refreshInterval:(display:Off,pause:!f,section:0,value:0),time:(from:'2017-12-15T08:24:50-0700',mode:absolute,to:'2017-12-15T11:03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8" s="76" t="str">
        <f t="shared" si="1"/>
        <v>"C:\Program Files (x86)\AstroGrep\AstroGrep.exe" /e /r /s /spath="%USERPROFILE%\AppData\Local\Temp\OnboardLogs" /stypes="*4003*201712151*" /stext=" 16:.+((SYSTEM_STATE.+slice.+state.+changed )|(ment ac)|(multiple cpu faults)|(system.+state.+changed )|(\[timeout)|(PRM\|1\|D)|(kpr)|(kdp)|(train st.+moving)|(\|lc)|(penalty))"</v>
      </c>
      <c r="U18" s="9" t="str">
        <f t="shared" si="2"/>
        <v>4003</v>
      </c>
      <c r="V18" s="31">
        <f t="shared" si="3"/>
        <v>43084.68850694444</v>
      </c>
      <c r="W18" s="45" t="str">
        <f t="shared" si="4"/>
        <v>EC</v>
      </c>
      <c r="X18" s="185">
        <f t="shared" si="5"/>
        <v>140</v>
      </c>
      <c r="Y18" s="191" t="str">
        <f t="shared" si="6"/>
        <v>echo {"issue":{"subject":"Wi-MAX data drop","project_id":79,"tracker_id":40,"status_id":1,"priority_id":2,"assigned_to_id":338,"start_date":"2017-12-15","description":"","custom_fields":[{"id":1,"name":"Subdivision","value":"EC"},{"id":4,"name":"Milepost","value":"19.8256"},{"id":17,"name":"Train ID","value":"140-15"},{"id":16,"name":"Locomotive ID","value":"4003"},{"id":130,"name":"Impact","value":""},{"id":150,"name":"Time of Event (Mountain Time)","value":"09:31:27"},{"id":151,"name":"Denver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48"/>
      <c r="AA18" s="188"/>
      <c r="AB18" s="188"/>
      <c r="AC18" s="105" t="str">
        <f t="shared" si="7"/>
        <v>grep -hrE -A400 "Enforcement Action" /c/Users/stu/AppData/Local/Temp/OnboardLogs/RTDC4003 --include="*4003*201712151*"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"%USERPROFILE%\AppData\Local\Temp\OnboardLogs"\RTDC4003\*4003*201712151* &gt;&gt; 2017-12-15-SliceDisagreementCheck.txt</v>
      </c>
      <c r="AE18" s="134" t="str">
        <f t="shared" si="8"/>
        <v>start /low /b %USERPROFILE%\Documents\GitHub\eaglep3\Utilities\DownloadLogsFromS3.py --loco 4003 --day 2017-12-15</v>
      </c>
      <c r="AF18" s="1"/>
    </row>
    <row r="19" spans="1:32" x14ac:dyDescent="0.25">
      <c r="A19" s="31">
        <v>43084.495925925927</v>
      </c>
      <c r="B19" s="30" t="s">
        <v>373</v>
      </c>
      <c r="C19" s="30" t="s">
        <v>657</v>
      </c>
      <c r="D19" s="30" t="s">
        <v>49</v>
      </c>
      <c r="E19" s="30" t="s">
        <v>354</v>
      </c>
      <c r="F19" s="42">
        <v>0</v>
      </c>
      <c r="G19" s="42">
        <v>714</v>
      </c>
      <c r="H19" s="42">
        <v>134870</v>
      </c>
      <c r="I19" s="42">
        <v>138200</v>
      </c>
      <c r="J19" s="30" t="s">
        <v>355</v>
      </c>
      <c r="K19" s="42">
        <v>138837</v>
      </c>
      <c r="L19" s="121" t="s">
        <v>50</v>
      </c>
      <c r="M19" s="122">
        <f t="shared" si="0"/>
        <v>336.33600000000001</v>
      </c>
      <c r="N19" s="123" t="str">
        <f>VLOOKUP(C19,'Trips&amp;Operators'!$C$1:$G$99911,5,FALSE)</f>
        <v>GONZALEZ ARMANDO</v>
      </c>
      <c r="O19" s="163" t="s">
        <v>348</v>
      </c>
      <c r="P19" s="192" t="s">
        <v>438</v>
      </c>
      <c r="Q19" s="30"/>
      <c r="R19" s="71" t="str">
        <f>VLOOKUP(C19,'Train Runs'!$A$13:$AE$10209,31,0)</f>
        <v>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 &amp; aws s3 cp s3://rtdc.mdm.uploadarchive.raw/RTDC4062/ "%USERPROFILE%\AppData\Local\Temp\OnboardLogs"\RTDC4062\2017-12-16 --exclude "*" --recursive --include "*20171216*" &amp; "%USERPROFILE%\Documents\GitHub\mrs-test-scripts\Headless Mode &amp; Sideloading\WalkAndUnGZ.bat" "%USERPROFILE%\AppData\Local\Temp\OnboardLogs"\RTDC4062\2017-12-16</v>
      </c>
      <c r="S19" s="74" t="str">
        <f>VLOOKUP(C19,'Train Runs'!$A$13:$AE$10209,22,0)</f>
        <v>https://d0f6bd738d7f1b3e5a7ca70fe4ff75f0.us-east-1.aws.found.io/app/kibana#/discover/Steve-Slow-Train-Analysis-(2080s-and-2083s)?_g=(refreshInterval:(display:Off,pause:!f,section:0,value:0),time:(from:'2017-12-15T10:22:33-0700',mode:absolute,to:'2017-12-15T13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9" s="76" t="str">
        <f t="shared" si="1"/>
        <v>"C:\Program Files (x86)\AstroGrep\AstroGrep.exe" /e /r /s /spath="%USERPROFILE%\AppData\Local\Temp\OnboardLogs" /stypes="*4062*201712151*" /stext=" 18:.+((SYSTEM_STATE.+slice.+state.+changed )|(ment ac)|(multiple cpu faults)|(system.+state.+changed )|(\[timeout)|(PRM\|1\|D)|(kpr)|(kdp)|(train st.+moving)|(\|lc)|(penalty))"</v>
      </c>
      <c r="U19" s="9" t="str">
        <f t="shared" si="2"/>
        <v>4062</v>
      </c>
      <c r="V19" s="31">
        <f t="shared" si="3"/>
        <v>43084.787592592591</v>
      </c>
      <c r="W19" s="45" t="str">
        <f t="shared" si="4"/>
        <v>EC</v>
      </c>
      <c r="X19" s="185">
        <f t="shared" si="5"/>
        <v>163</v>
      </c>
      <c r="Y19" s="191" t="str">
        <f t="shared" si="6"/>
        <v>echo {"issue":{"subject":"Wi-MAX data drop","project_id":79,"tracker_id":40,"status_id":1,"priority_id":2,"assigned_to_id":338,"start_date":"2017-12-15","description":"","custom_fields":[{"id":1,"name":"Subdivision","value":"EC"},{"id":4,"name":"Milepost","value":"13.8837"},{"id":17,"name":"Train ID","value":"163-15"},{"id":16,"name":"Locomotive ID","value":"4062"},{"id":130,"name":"Impact","value":""},{"id":150,"name":"Time of Event (Mountain Time)","value":"11:54:08"},{"id":151,"name":"Denver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48"/>
      <c r="AA19" s="188"/>
      <c r="AB19" s="188"/>
      <c r="AC19" s="105" t="str">
        <f t="shared" si="7"/>
        <v>grep -hrE -A400 "Enforcement Action" /c/Users/stu/AppData/Local/Temp/OnboardLogs/RTDC4062 --include="*4062*201712151*"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"%USERPROFILE%\AppData\Local\Temp\OnboardLogs"\RTDC4062\*4062*201712151* &gt;&gt; 2017-12-15-SliceDisagreementCheck.txt</v>
      </c>
      <c r="AE19" s="134" t="str">
        <f t="shared" si="8"/>
        <v>start /low /b %USERPROFILE%\Documents\GitHub\eaglep3\Utilities\DownloadLogsFromS3.py --loco 4062 --day 2017-12-15</v>
      </c>
      <c r="AF19" s="1"/>
    </row>
    <row r="20" spans="1:32" x14ac:dyDescent="0.25">
      <c r="A20" s="31">
        <v>43084.626550925925</v>
      </c>
      <c r="B20" s="30" t="s">
        <v>643</v>
      </c>
      <c r="C20" s="30" t="s">
        <v>663</v>
      </c>
      <c r="D20" s="30" t="s">
        <v>49</v>
      </c>
      <c r="E20" s="30" t="s">
        <v>354</v>
      </c>
      <c r="F20" s="42">
        <v>0</v>
      </c>
      <c r="G20" s="42">
        <v>336</v>
      </c>
      <c r="H20" s="42">
        <v>84897</v>
      </c>
      <c r="I20" s="42">
        <v>84111</v>
      </c>
      <c r="J20" s="30" t="s">
        <v>355</v>
      </c>
      <c r="K20" s="42">
        <v>81751</v>
      </c>
      <c r="L20" s="121" t="s">
        <v>51</v>
      </c>
      <c r="M20" s="122">
        <f t="shared" si="0"/>
        <v>1246.08</v>
      </c>
      <c r="N20" s="123" t="str">
        <f>VLOOKUP(C20,'Trips&amp;Operators'!$C$1:$G$99911,5,FALSE)</f>
        <v>FORTUNATO FRANK</v>
      </c>
      <c r="O20" s="163" t="s">
        <v>348</v>
      </c>
      <c r="P20" s="192" t="s">
        <v>438</v>
      </c>
      <c r="Q20" s="30"/>
      <c r="R20" s="71" t="str">
        <f>VLOOKUP(C20,'Train Runs'!$A$13:$AE$10209,31,0)</f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S20" s="74" t="str">
        <f>VLOOKUP(C20,'Train Runs'!$A$13:$AE$10209,22,0)</f>
        <v>https://d0f6bd738d7f1b3e5a7ca70fe4ff75f0.us-east-1.aws.found.io/app/kibana#/discover/Steve-Slow-Train-Analysis-(2080s-and-2083s)?_g=(refreshInterval:(display:Off,pause:!f,section:0,value:0),time:(from:'2017-12-15T13:22:13-0700',mode:absolute,to:'2017-12-15T16:20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0" s="76" t="str">
        <f t="shared" si="1"/>
        <v>"C:\Program Files (x86)\AstroGrep\AstroGrep.exe" /e /r /s /spath="%USERPROFILE%\AppData\Local\Temp\OnboardLogs" /stypes="*4003*201712152*" /stext=" 22:.+((SYSTEM_STATE.+slice.+state.+changed )|(ment ac)|(multiple cpu faults)|(system.+state.+changed )|(\[timeout)|(PRM\|1\|D)|(kpr)|(kdp)|(train st.+moving)|(\|lc)|(penalty))"</v>
      </c>
      <c r="U20" s="9" t="str">
        <f t="shared" si="2"/>
        <v>4003</v>
      </c>
      <c r="V20" s="31">
        <f t="shared" si="3"/>
        <v>43084.918217592589</v>
      </c>
      <c r="W20" s="45" t="str">
        <f t="shared" si="4"/>
        <v>EC</v>
      </c>
      <c r="X20" s="185">
        <f t="shared" si="5"/>
        <v>182</v>
      </c>
      <c r="Y20" s="191" t="str">
        <f t="shared" si="6"/>
        <v>echo {"issue":{"subject":"Wi-MAX data drop","project_id":79,"tracker_id":40,"status_id":1,"priority_id":2,"assigned_to_id":338,"start_date":"2017-12-15","description":"","custom_fields":[{"id":1,"name":"Subdivision","value":"EC"},{"id":4,"name":"Milepost","value":"8.1751"},{"id":17,"name":"Train ID","value":"182-15"},{"id":16,"name":"Locomotive ID","value":"4003"},{"id":130,"name":"Impact","value":""},{"id":150,"name":"Time of Event (Mountain Time)","value":"15:02:14"},{"id":151,"name":"Denver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48"/>
      <c r="AA20" s="188"/>
      <c r="AB20" s="188"/>
      <c r="AC20" s="105" t="str">
        <f t="shared" si="7"/>
        <v>grep -hrE -A400 "Enforcement Action" /c/Users/stu/AppData/Local/Temp/OnboardLogs/RTDC4003 --include="*4003*201712152*"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"%USERPROFILE%\AppData\Local\Temp\OnboardLogs"\RTDC4003\*4003*201712152* &gt;&gt; 2017-12-15-SliceDisagreementCheck.txt</v>
      </c>
      <c r="AE20" s="134" t="str">
        <f t="shared" si="8"/>
        <v>start /low /b %USERPROFILE%\Documents\GitHub\eaglep3\Utilities\DownloadLogsFromS3.py --loco 4003 --day 2017-12-15</v>
      </c>
      <c r="AF20" s="1"/>
    </row>
    <row r="21" spans="1:32" x14ac:dyDescent="0.25">
      <c r="A21" s="31">
        <v>43084.651377314818</v>
      </c>
      <c r="B21" s="30" t="s">
        <v>500</v>
      </c>
      <c r="C21" s="30" t="s">
        <v>665</v>
      </c>
      <c r="D21" s="30" t="s">
        <v>49</v>
      </c>
      <c r="E21" s="30" t="s">
        <v>354</v>
      </c>
      <c r="F21" s="42">
        <v>0</v>
      </c>
      <c r="G21" s="42">
        <v>398</v>
      </c>
      <c r="H21" s="42">
        <v>116525</v>
      </c>
      <c r="I21" s="42">
        <v>117498</v>
      </c>
      <c r="J21" s="30" t="s">
        <v>355</v>
      </c>
      <c r="K21" s="42">
        <v>118739</v>
      </c>
      <c r="L21" s="121" t="s">
        <v>50</v>
      </c>
      <c r="M21" s="122">
        <f t="shared" si="0"/>
        <v>655.24800000000005</v>
      </c>
      <c r="N21" s="123" t="str">
        <f>VLOOKUP(C21,'Trips&amp;Operators'!$C$1:$G$99911,5,FALSE)</f>
        <v>LONG FULLER</v>
      </c>
      <c r="O21" s="163" t="s">
        <v>348</v>
      </c>
      <c r="P21" s="192" t="s">
        <v>438</v>
      </c>
      <c r="Q21" s="30"/>
      <c r="R21" s="71" t="str">
        <f>VLOOKUP(C21,'Train Runs'!$A$13:$AE$10209,31,0)</f>
        <v>aws s3 cp s3://rtdc.mdm.uploadarchive.raw/RTDC4042/ "%USERPROFILE%\AppData\Local\Temp\OnboardLogs"\RTDC4042\2017-12-15 --exclude "*" --recursive --include "*20171215*" &amp; "%USERPROFILE%\Documents\GitHub\mrs-test-scripts\Headless Mode &amp; Sideloading\WalkAndUnGZ.bat" "%USERPROFILE%\AppData\Local\Temp\OnboardLogs"\RTDC4042\2017-12-15 &amp; aws s3 cp s3://rtdc.mdm.uploadarchive.raw/RTDC4042/ "%USERPROFILE%\AppData\Local\Temp\OnboardLogs"\RTDC4042\2017-12-16 --exclude "*" --recursive --include "*20171216*" &amp; "%USERPROFILE%\Documents\GitHub\mrs-test-scripts\Headless Mode &amp; Sideloading\WalkAndUnGZ.bat" "%USERPROFILE%\AppData\Local\Temp\OnboardLogs"\RTDC4042\2017-12-16</v>
      </c>
      <c r="S21" s="74" t="str">
        <f>VLOOKUP(C21,'Train Runs'!$A$13:$AE$10209,22,0)</f>
        <v>https://d0f6bd738d7f1b3e5a7ca70fe4ff75f0.us-east-1.aws.found.io/app/kibana#/discover/Steve-Slow-Train-Analysis-(2080s-and-2083s)?_g=(refreshInterval:(display:Off,pause:!f,section:0,value:0),time:(from:'2017-12-15T14:09:14-0700',mode:absolute,to:'2017-12-15T16:56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1" s="76" t="str">
        <f t="shared" si="1"/>
        <v>"C:\Program Files (x86)\AstroGrep\AstroGrep.exe" /e /r /s /spath="%USERPROFILE%\AppData\Local\Temp\OnboardLogs" /stypes="*4042*201712152*" /stext=" 22:.+((SYSTEM_STATE.+slice.+state.+changed )|(ment ac)|(multiple cpu faults)|(system.+state.+changed )|(\[timeout)|(PRM\|1\|D)|(kpr)|(kdp)|(train st.+moving)|(\|lc)|(penalty))"</v>
      </c>
      <c r="U21" s="9" t="str">
        <f t="shared" si="2"/>
        <v>4042</v>
      </c>
      <c r="V21" s="31">
        <f t="shared" si="3"/>
        <v>43084.943043981482</v>
      </c>
      <c r="W21" s="45" t="str">
        <f t="shared" si="4"/>
        <v>EC</v>
      </c>
      <c r="X21" s="185">
        <f t="shared" si="5"/>
        <v>193</v>
      </c>
      <c r="Y21" s="191" t="str">
        <f t="shared" si="6"/>
        <v>echo {"issue":{"subject":"Wi-MAX data drop","project_id":79,"tracker_id":40,"status_id":1,"priority_id":2,"assigned_to_id":338,"start_date":"2017-12-15","description":"","custom_fields":[{"id":1,"name":"Subdivision","value":"EC"},{"id":4,"name":"Milepost","value":"11.8739"},{"id":17,"name":"Train ID","value":"193-15"},{"id":16,"name":"Locomotive ID","value":"4042"},{"id":130,"name":"Impact","value":""},{"id":150,"name":"Time of Event (Mountain Time)","value":"15:37:59"},{"id":151,"name":"Denver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48"/>
      <c r="AA21" s="188"/>
      <c r="AB21" s="188"/>
      <c r="AC21" s="105" t="str">
        <f t="shared" si="7"/>
        <v>grep -hrE -A400 "Enforcement Action" /c/Users/stu/AppData/Local/Temp/OnboardLogs/RTDC4042 --include="*4042*201712152*"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"%USERPROFILE%\AppData\Local\Temp\OnboardLogs"\RTDC4042\*4042*201712152* &gt;&gt; 2017-12-15-SliceDisagreementCheck.txt</v>
      </c>
      <c r="AE21" s="134" t="str">
        <f t="shared" si="8"/>
        <v>start /low /b %USERPROFILE%\Documents\GitHub\eaglep3\Utilities\DownloadLogsFromS3.py --loco 4042 --day 2017-12-15</v>
      </c>
      <c r="AF21" s="1"/>
    </row>
    <row r="22" spans="1:32" x14ac:dyDescent="0.25">
      <c r="A22" s="31">
        <v>43084.652060185188</v>
      </c>
      <c r="B22" s="30" t="s">
        <v>500</v>
      </c>
      <c r="C22" s="30" t="s">
        <v>665</v>
      </c>
      <c r="D22" s="30" t="s">
        <v>49</v>
      </c>
      <c r="E22" s="30" t="s">
        <v>354</v>
      </c>
      <c r="F22" s="42">
        <v>0</v>
      </c>
      <c r="G22" s="42">
        <v>398</v>
      </c>
      <c r="H22" s="42">
        <v>116525</v>
      </c>
      <c r="I22" s="42">
        <v>117500</v>
      </c>
      <c r="J22" s="30" t="s">
        <v>355</v>
      </c>
      <c r="K22" s="42">
        <v>118739</v>
      </c>
      <c r="L22" s="121" t="s">
        <v>50</v>
      </c>
      <c r="M22" s="122">
        <f t="shared" si="0"/>
        <v>654.19200000000001</v>
      </c>
      <c r="N22" s="123" t="str">
        <f>VLOOKUP(C22,'Trips&amp;Operators'!$C$1:$G$99911,5,FALSE)</f>
        <v>LONG FULLER</v>
      </c>
      <c r="O22" s="163" t="s">
        <v>348</v>
      </c>
      <c r="P22" s="192" t="s">
        <v>438</v>
      </c>
      <c r="Q22" s="30"/>
      <c r="R22" s="71" t="str">
        <f>VLOOKUP(C22,'Train Runs'!$A$13:$AE$10209,31,0)</f>
        <v>aws s3 cp s3://rtdc.mdm.uploadarchive.raw/RTDC4042/ "%USERPROFILE%\AppData\Local\Temp\OnboardLogs"\RTDC4042\2017-12-15 --exclude "*" --recursive --include "*20171215*" &amp; "%USERPROFILE%\Documents\GitHub\mrs-test-scripts\Headless Mode &amp; Sideloading\WalkAndUnGZ.bat" "%USERPROFILE%\AppData\Local\Temp\OnboardLogs"\RTDC4042\2017-12-15 &amp; aws s3 cp s3://rtdc.mdm.uploadarchive.raw/RTDC4042/ "%USERPROFILE%\AppData\Local\Temp\OnboardLogs"\RTDC4042\2017-12-16 --exclude "*" --recursive --include "*20171216*" &amp; "%USERPROFILE%\Documents\GitHub\mrs-test-scripts\Headless Mode &amp; Sideloading\WalkAndUnGZ.bat" "%USERPROFILE%\AppData\Local\Temp\OnboardLogs"\RTDC4042\2017-12-16</v>
      </c>
      <c r="S22" s="74" t="str">
        <f>VLOOKUP(C22,'Train Runs'!$A$13:$AE$10209,22,0)</f>
        <v>https://d0f6bd738d7f1b3e5a7ca70fe4ff75f0.us-east-1.aws.found.io/app/kibana#/discover/Steve-Slow-Train-Analysis-(2080s-and-2083s)?_g=(refreshInterval:(display:Off,pause:!f,section:0,value:0),time:(from:'2017-12-15T14:09:14-0700',mode:absolute,to:'2017-12-15T16:56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2" s="76" t="str">
        <f t="shared" si="1"/>
        <v>"C:\Program Files (x86)\AstroGrep\AstroGrep.exe" /e /r /s /spath="%USERPROFILE%\AppData\Local\Temp\OnboardLogs" /stypes="*4042*201712152*" /stext=" 22:.+((SYSTEM_STATE.+slice.+state.+changed )|(ment ac)|(multiple cpu faults)|(system.+state.+changed )|(\[timeout)|(PRM\|1\|D)|(kpr)|(kdp)|(train st.+moving)|(\|lc)|(penalty))"</v>
      </c>
      <c r="U22" s="9" t="str">
        <f t="shared" si="2"/>
        <v>4042</v>
      </c>
      <c r="V22" s="31">
        <f t="shared" si="3"/>
        <v>43084.943726851852</v>
      </c>
      <c r="W22" s="45" t="str">
        <f t="shared" si="4"/>
        <v>EC</v>
      </c>
      <c r="X22" s="185">
        <f t="shared" si="5"/>
        <v>193</v>
      </c>
      <c r="Y22" s="191" t="str">
        <f t="shared" si="6"/>
        <v>echo {"issue":{"subject":"Wi-MAX data drop","project_id":79,"tracker_id":40,"status_id":1,"priority_id":2,"assigned_to_id":338,"start_date":"2017-12-15","description":"","custom_fields":[{"id":1,"name":"Subdivision","value":"EC"},{"id":4,"name":"Milepost","value":"11.8739"},{"id":17,"name":"Train ID","value":"193-15"},{"id":16,"name":"Locomotive ID","value":"4042"},{"id":130,"name":"Impact","value":""},{"id":150,"name":"Time of Event (Mountain Time)","value":"15:38:58"},{"id":151,"name":"Denver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48"/>
      <c r="AA22" s="188"/>
      <c r="AB22" s="188"/>
      <c r="AC22" s="105" t="str">
        <f t="shared" si="7"/>
        <v>grep -hrE -A400 "Enforcement Action" /c/Users/stu/AppData/Local/Temp/OnboardLogs/RTDC4042 --include="*4042*201712152*"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"%USERPROFILE%\AppData\Local\Temp\OnboardLogs"\RTDC4042\*4042*201712152* &gt;&gt; 2017-12-15-SliceDisagreementCheck.txt</v>
      </c>
      <c r="AE22" s="134" t="str">
        <f t="shared" si="8"/>
        <v>start /low /b %USERPROFILE%\Documents\GitHub\eaglep3\Utilities\DownloadLogsFromS3.py --loco 4042 --day 2017-12-15</v>
      </c>
      <c r="AF22" s="1"/>
    </row>
    <row r="23" spans="1:32" x14ac:dyDescent="0.25">
      <c r="A23" s="31">
        <v>43084.735925925925</v>
      </c>
      <c r="B23" s="30" t="s">
        <v>671</v>
      </c>
      <c r="C23" s="30" t="s">
        <v>672</v>
      </c>
      <c r="D23" s="30" t="s">
        <v>49</v>
      </c>
      <c r="E23" s="30" t="s">
        <v>354</v>
      </c>
      <c r="F23" s="42">
        <v>0</v>
      </c>
      <c r="G23" s="42">
        <v>618</v>
      </c>
      <c r="H23" s="42">
        <v>136820</v>
      </c>
      <c r="I23" s="42">
        <v>139436</v>
      </c>
      <c r="J23" s="30" t="s">
        <v>355</v>
      </c>
      <c r="K23" s="42">
        <v>138837</v>
      </c>
      <c r="L23" s="121" t="s">
        <v>50</v>
      </c>
      <c r="M23" s="122">
        <f t="shared" si="0"/>
        <v>-316.27199999999999</v>
      </c>
      <c r="N23" s="123" t="str">
        <f>VLOOKUP(C23,'Trips&amp;Operators'!$C$1:$G$99911,5,FALSE)</f>
        <v>FORTUNATO FRANK</v>
      </c>
      <c r="O23" s="163" t="s">
        <v>348</v>
      </c>
      <c r="P23" s="192" t="s">
        <v>438</v>
      </c>
      <c r="Q23" s="30"/>
      <c r="R23" s="71" t="str">
        <f>VLOOKUP(C23,'Train Runs'!$A$13:$AE$10209,31,0)</f>
        <v>aws s3 cp s3://rtdc.mdm.uploadarchive.raw/RTDC4004/ "%USERPROFILE%\AppData\Local\Temp\OnboardLogs"\RTDC4004\2017-12-15 --exclude "*" --recursive --include "*20171215*" &amp; "%USERPROFILE%\Documents\GitHub\mrs-test-scripts\Headless Mode &amp; Sideloading\WalkAndUnGZ.bat" "%USERPROFILE%\AppData\Local\Temp\OnboardLogs"\RTDC4004\2017-12-15 &amp; aws s3 cp s3://rtdc.mdm.uploadarchive.raw/RTDC4004/ "%USERPROFILE%\AppData\Local\Temp\OnboardLogs"\RTDC4004\2017-12-16 --exclude "*" --recursive --include "*20171216*" &amp; "%USERPROFILE%\Documents\GitHub\mrs-test-scripts\Headless Mode &amp; Sideloading\WalkAndUnGZ.bat" "%USERPROFILE%\AppData\Local\Temp\OnboardLogs"\RTDC4004\2017-12-16</v>
      </c>
      <c r="S23" s="74" t="str">
        <f>VLOOKUP(C23,'Train Runs'!$A$13:$AE$10209,22,0)</f>
        <v>https://d0f6bd738d7f1b3e5a7ca70fe4ff75f0.us-east-1.aws.found.io/app/kibana#/discover/Steve-Slow-Train-Analysis-(2080s-and-2083s)?_g=(refreshInterval:(display:Off,pause:!f,section:0,value:0),time:(from:'2017-12-15T16:10:45-0700',mode:absolute,to:'2017-12-15T18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3" s="76" t="str">
        <f t="shared" si="1"/>
        <v>"C:\Program Files (x86)\AstroGrep\AstroGrep.exe" /e /r /s /spath="%USERPROFILE%\AppData\Local\Temp\OnboardLogs" /stypes="*4004*201712160*" /stext=" 00:.+((SYSTEM_STATE.+slice.+state.+changed )|(ment ac)|(multiple cpu faults)|(system.+state.+changed )|(\[timeout)|(PRM\|1\|D)|(kpr)|(kdp)|(train st.+moving)|(\|lc)|(penalty))"</v>
      </c>
      <c r="U23" s="9" t="str">
        <f t="shared" si="2"/>
        <v>4004</v>
      </c>
      <c r="V23" s="31">
        <f t="shared" si="3"/>
        <v>43085.027592592589</v>
      </c>
      <c r="W23" s="45" t="str">
        <f t="shared" si="4"/>
        <v>EC</v>
      </c>
      <c r="X23" s="185">
        <f t="shared" si="5"/>
        <v>209</v>
      </c>
      <c r="Y23" s="191" t="str">
        <f t="shared" si="6"/>
        <v>echo {"issue":{"subject":"Wi-MAX data drop","project_id":79,"tracker_id":40,"status_id":1,"priority_id":2,"assigned_to_id":338,"start_date":"2017-12-15","description":"","custom_fields":[{"id":1,"name":"Subdivision","value":"EC"},{"id":4,"name":"Milepost","value":"13.8837"},{"id":17,"name":"Train ID","value":"209-15"},{"id":16,"name":"Locomotive ID","value":"4004"},{"id":130,"name":"Impact","value":""},{"id":150,"name":"Time of Event (Mountain Time)","value":"17:39:44"},{"id":151,"name":"Denver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48"/>
      <c r="AA23" s="188"/>
      <c r="AB23" s="188"/>
      <c r="AC23" s="105" t="str">
        <f t="shared" si="7"/>
        <v>grep -hrE -A400 "Enforcement Action" /c/Users/stu/AppData/Local/Temp/OnboardLogs/RTDC4004 --include="*4004*201712160*"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"%USERPROFILE%\AppData\Local\Temp\OnboardLogs"\RTDC4004\*4004*201712160* &gt;&gt; 2017-12-15-SliceDisagreementCheck.txt</v>
      </c>
      <c r="AE23" s="134" t="str">
        <f t="shared" si="8"/>
        <v>start /low /b %USERPROFILE%\Documents\GitHub\eaglep3\Utilities\DownloadLogsFromS3.py --loco 4004 --day 2017-12-16</v>
      </c>
      <c r="AF23" s="1"/>
    </row>
    <row r="24" spans="1:32" x14ac:dyDescent="0.25">
      <c r="A24" s="31">
        <v>43084.833726851852</v>
      </c>
      <c r="B24" s="30" t="s">
        <v>643</v>
      </c>
      <c r="C24" s="30" t="s">
        <v>675</v>
      </c>
      <c r="D24" s="30" t="s">
        <v>49</v>
      </c>
      <c r="E24" s="30" t="s">
        <v>354</v>
      </c>
      <c r="F24" s="42">
        <v>0</v>
      </c>
      <c r="G24" s="42">
        <v>340</v>
      </c>
      <c r="H24" s="42">
        <v>224948</v>
      </c>
      <c r="I24" s="42">
        <v>223502</v>
      </c>
      <c r="J24" s="30" t="s">
        <v>355</v>
      </c>
      <c r="K24" s="42">
        <v>224244</v>
      </c>
      <c r="L24" s="121" t="s">
        <v>51</v>
      </c>
      <c r="M24" s="122">
        <f t="shared" si="0"/>
        <v>-391.77600000000001</v>
      </c>
      <c r="N24" s="123" t="str">
        <f>VLOOKUP(C24,'Trips&amp;Operators'!$C$1:$G$99911,5,FALSE)</f>
        <v>ANDERS STEVEN</v>
      </c>
      <c r="O24" s="163" t="s">
        <v>348</v>
      </c>
      <c r="P24" s="192" t="s">
        <v>438</v>
      </c>
      <c r="Q24" s="30"/>
      <c r="R24" s="71" t="str">
        <f>VLOOKUP(C24,'Train Runs'!$A$13:$AE$10209,31,0)</f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S24" s="74" t="str">
        <f>VLOOKUP(C24,'Train Runs'!$A$13:$AE$10209,22,0)</f>
        <v>https://d0f6bd738d7f1b3e5a7ca70fe4ff75f0.us-east-1.aws.found.io/app/kibana#/discover/Steve-Slow-Train-Analysis-(2080s-and-2083s)?_g=(refreshInterval:(display:Off,pause:!f,section:0,value:0),time:(from:'2017-12-15T18:56:06-0700',mode:absolute,to:'2017-12-15T21:38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4" s="76" t="str">
        <f t="shared" si="1"/>
        <v>"C:\Program Files (x86)\AstroGrep\AstroGrep.exe" /e /r /s /spath="%USERPROFILE%\AppData\Local\Temp\OnboardLogs" /stypes="*4003*201712160*" /stext=" 03:.+((SYSTEM_STATE.+slice.+state.+changed )|(ment ac)|(multiple cpu faults)|(system.+state.+changed )|(\[timeout)|(PRM\|1\|D)|(kpr)|(kdp)|(train st.+moving)|(\|lc)|(penalty))"</v>
      </c>
      <c r="U24" s="9" t="str">
        <f t="shared" si="2"/>
        <v>4003</v>
      </c>
      <c r="V24" s="31">
        <f t="shared" si="3"/>
        <v>43085.125393518516</v>
      </c>
      <c r="W24" s="45" t="str">
        <f t="shared" si="4"/>
        <v>EC</v>
      </c>
      <c r="X24" s="185">
        <f t="shared" si="5"/>
        <v>222</v>
      </c>
      <c r="Y24" s="191" t="str">
        <f t="shared" si="6"/>
        <v>echo {"issue":{"subject":"Wi-MAX data drop","project_id":79,"tracker_id":40,"status_id":1,"priority_id":2,"assigned_to_id":338,"start_date":"2017-12-15","description":"","custom_fields":[{"id":1,"name":"Subdivision","value":"EC"},{"id":4,"name":"Milepost","value":"22.4244"},{"id":17,"name":"Train ID","value":"222-15"},{"id":16,"name":"Locomotive ID","value":"4003"},{"id":130,"name":"Impact","value":""},{"id":150,"name":"Time of Event (Mountain Time)","value":"20:00:34"},{"id":151,"name":"Denver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48"/>
      <c r="AA24" s="188"/>
      <c r="AB24" s="188"/>
      <c r="AC24" s="105" t="str">
        <f t="shared" si="7"/>
        <v>grep -hrE -A400 "Enforcement Action" /c/Users/stu/AppData/Local/Temp/OnboardLogs/RTDC4003 --include="*4003*201712160*"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"%USERPROFILE%\AppData\Local\Temp\OnboardLogs"\RTDC4003\*4003*201712160* &gt;&gt; 2017-12-15-SliceDisagreementCheck.txt</v>
      </c>
      <c r="AE24" s="134" t="str">
        <f t="shared" si="8"/>
        <v>start /low /b %USERPROFILE%\Documents\GitHub\eaglep3\Utilities\DownloadLogsFromS3.py --loco 4003 --day 2017-12-16</v>
      </c>
      <c r="AF24" s="1"/>
    </row>
    <row r="25" spans="1:32" x14ac:dyDescent="0.25">
      <c r="A25" s="31">
        <v>43084.934606481482</v>
      </c>
      <c r="B25" s="30" t="s">
        <v>443</v>
      </c>
      <c r="C25" s="30" t="s">
        <v>677</v>
      </c>
      <c r="D25" s="30" t="s">
        <v>49</v>
      </c>
      <c r="E25" s="30" t="s">
        <v>354</v>
      </c>
      <c r="F25" s="42">
        <v>0</v>
      </c>
      <c r="G25" s="42">
        <v>790</v>
      </c>
      <c r="H25" s="42">
        <v>144265</v>
      </c>
      <c r="I25" s="42">
        <v>148213</v>
      </c>
      <c r="J25" s="30" t="s">
        <v>355</v>
      </c>
      <c r="K25" s="42">
        <v>144300</v>
      </c>
      <c r="L25" s="121" t="s">
        <v>50</v>
      </c>
      <c r="M25" s="122">
        <f t="shared" si="0"/>
        <v>-2066.0639999999999</v>
      </c>
      <c r="N25" s="123" t="str">
        <f>VLOOKUP(C25,'Trips&amp;Operators'!$C$1:$G$99911,5,FALSE)</f>
        <v>NICHOLSON WESLEY</v>
      </c>
      <c r="O25" s="163" t="s">
        <v>348</v>
      </c>
      <c r="P25" s="192" t="s">
        <v>438</v>
      </c>
      <c r="Q25" s="30"/>
      <c r="R25" s="71" t="str">
        <f>VLOOKUP(C25,'Train Runs'!$A$13:$AE$10209,31,0)</f>
        <v>aws s3 cp s3://rtdc.mdm.uploadarchive.raw/RTDC4032/ "%USERPROFILE%\AppData\Local\Temp\OnboardLogs"\RTDC4032\2017-12-15 --exclude "*" --recursive --include "*20171215*" &amp; "%USERPROFILE%\Documents\GitHub\mrs-test-scripts\Headless Mode &amp; Sideloading\WalkAndUnGZ.bat" "%USERPROFILE%\AppData\Local\Temp\OnboardLogs"\RTDC4032\2017-12-15 &amp; aws s3 cp s3://rtdc.mdm.uploadarchive.raw/RTDC4032/ "%USERPROFILE%\AppData\Local\Temp\OnboardLogs"\RTDC4032\2017-12-16 --exclude "*" --recursive --include "*20171216*" &amp; "%USERPROFILE%\Documents\GitHub\mrs-test-scripts\Headless Mode &amp; Sideloading\WalkAndUnGZ.bat" "%USERPROFILE%\AppData\Local\Temp\OnboardLogs"\RTDC4032\2017-12-16</v>
      </c>
      <c r="S25" s="74" t="str">
        <f>VLOOKUP(C25,'Train Runs'!$A$13:$AE$10209,22,0)</f>
        <v>https://d0f6bd738d7f1b3e5a7ca70fe4ff75f0.us-east-1.aws.found.io/app/kibana#/discover/Steve-Slow-Train-Analysis-(2080s-and-2083s)?_g=(refreshInterval:(display:Off,pause:!f,section:0,value:0),time:(from:'2017-12-15T21:23:07-0700',mode:absolute,to:'2017-12-15T23:41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5" s="76" t="str">
        <f t="shared" si="1"/>
        <v>"C:\Program Files (x86)\AstroGrep\AstroGrep.exe" /e /r /s /spath="%USERPROFILE%\AppData\Local\Temp\OnboardLogs" /stypes="*4032*201712160*" /stext=" 05:.+((SYSTEM_STATE.+slice.+state.+changed )|(ment ac)|(multiple cpu faults)|(system.+state.+changed )|(\[timeout)|(PRM\|1\|D)|(kpr)|(kdp)|(train st.+moving)|(\|lc)|(penalty))"</v>
      </c>
      <c r="U25" s="9" t="str">
        <f t="shared" si="2"/>
        <v>4032</v>
      </c>
      <c r="V25" s="31">
        <f t="shared" si="3"/>
        <v>43085.226273148146</v>
      </c>
      <c r="W25" s="45" t="str">
        <f t="shared" si="4"/>
        <v>EC</v>
      </c>
      <c r="X25" s="185">
        <f t="shared" si="5"/>
        <v>233</v>
      </c>
      <c r="Y25" s="191" t="str">
        <f t="shared" si="6"/>
        <v>echo {"issue":{"subject":"Wi-MAX data drop","project_id":79,"tracker_id":40,"status_id":1,"priority_id":2,"assigned_to_id":338,"start_date":"2017-12-15","description":"","custom_fields":[{"id":1,"name":"Subdivision","value":"EC"},{"id":4,"name":"Milepost","value":"14.43"},{"id":17,"name":"Train ID","value":"233-15"},{"id":16,"name":"Locomotive ID","value":"4032"},{"id":130,"name":"Impact","value":""},{"id":150,"name":"Time of Event (Mountain Time)","value":"22:25:50"},{"id":151,"name":"Denver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48"/>
      <c r="AA25" s="188"/>
      <c r="AB25" s="188"/>
      <c r="AC25" s="105" t="str">
        <f t="shared" si="7"/>
        <v>grep -hrE -A400 "Enforcement Action" /c/Users/stu/AppData/Local/Temp/OnboardLogs/RTDC4032 --include="*4032*201712160*"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"%USERPROFILE%\AppData\Local\Temp\OnboardLogs"\RTDC4032\*4032*201712160* &gt;&gt; 2017-12-15-SliceDisagreementCheck.txt</v>
      </c>
      <c r="AE25" s="134" t="str">
        <f t="shared" si="8"/>
        <v>start /low /b %USERPROFILE%\Documents\GitHub\eaglep3\Utilities\DownloadLogsFromS3.py --loco 4032 --day 2017-12-16</v>
      </c>
      <c r="AF25" s="1"/>
    </row>
    <row r="26" spans="1:32" x14ac:dyDescent="0.25">
      <c r="A26" s="31">
        <v>43085.056932870371</v>
      </c>
      <c r="B26" s="30" t="s">
        <v>442</v>
      </c>
      <c r="C26" s="30" t="s">
        <v>681</v>
      </c>
      <c r="D26" s="30" t="s">
        <v>49</v>
      </c>
      <c r="E26" s="30" t="s">
        <v>354</v>
      </c>
      <c r="F26" s="42">
        <v>0</v>
      </c>
      <c r="G26" s="42">
        <v>344</v>
      </c>
      <c r="H26" s="42">
        <v>59736</v>
      </c>
      <c r="I26" s="42">
        <v>58884</v>
      </c>
      <c r="J26" s="30" t="s">
        <v>355</v>
      </c>
      <c r="K26" s="42">
        <v>57897</v>
      </c>
      <c r="L26" s="121" t="s">
        <v>51</v>
      </c>
      <c r="M26" s="122">
        <f t="shared" si="0"/>
        <v>521.13599999999997</v>
      </c>
      <c r="N26" s="123" t="str">
        <f>VLOOKUP(C26,'Trips&amp;Operators'!$C$1:$G$99911,5,FALSE)</f>
        <v>NICHOLSON WESLEY</v>
      </c>
      <c r="O26" s="163" t="s">
        <v>348</v>
      </c>
      <c r="P26" s="192" t="s">
        <v>438</v>
      </c>
      <c r="Q26" s="30"/>
      <c r="R26" s="71" t="str">
        <f>VLOOKUP(C26,'Train Runs'!$A$13:$AE$10209,31,0)</f>
        <v>aws s3 cp s3://rtdc.mdm.uploadarchive.raw/RTDC4031/ "%USERPROFILE%\AppData\Local\Temp\OnboardLogs"\RTDC4031\2017-12-16 --exclude "*" --recursive --include "*20171216*" &amp; "%USERPROFILE%\Documents\GitHub\mrs-test-scripts\Headless Mode &amp; Sideloading\WalkAndUnGZ.bat" "%USERPROFILE%\AppData\Local\Temp\OnboardLogs"\RTDC4031\2017-12-16 &amp; aws s3 cp s3://rtdc.mdm.uploadarchive.raw/RTDC4031/ "%USERPROFILE%\AppData\Local\Temp\OnboardLogs"\RTDC4031\2017-12-17 --exclude "*" --recursive --include "*20171217*" &amp; "%USERPROFILE%\Documents\GitHub\mrs-test-scripts\Headless Mode &amp; Sideloading\WalkAndUnGZ.bat" "%USERPROFILE%\AppData\Local\Temp\OnboardLogs"\RTDC4031\2017-12-17</v>
      </c>
      <c r="S26" s="74" t="str">
        <f>VLOOKUP(C26,'Train Runs'!$A$13:$AE$10209,22,0)</f>
        <v>https://d0f6bd738d7f1b3e5a7ca70fe4ff75f0.us-east-1.aws.found.io/app/kibana#/discover/Steve-Slow-Train-Analysis-(2080s-and-2083s)?_g=(refreshInterval:(display:Off,pause:!f,section:0,value:0),time:(from:'2017-12-15T23:52:20-0700',mode:absolute,to:'2017-12-16T02:39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6" s="76" t="str">
        <f t="shared" si="1"/>
        <v>"C:\Program Files (x86)\AstroGrep\AstroGrep.exe" /e /r /s /spath="%USERPROFILE%\AppData\Local\Temp\OnboardLogs" /stypes="*4031*201712160*" /stext=" 08:.+((SYSTEM_STATE.+slice.+state.+changed )|(ment ac)|(multiple cpu faults)|(system.+state.+changed )|(\[timeout)|(PRM\|1\|D)|(kpr)|(kdp)|(train st.+moving)|(\|lc)|(penalty))"</v>
      </c>
      <c r="U26" s="9" t="str">
        <f t="shared" si="2"/>
        <v>4031</v>
      </c>
      <c r="V26" s="31">
        <f t="shared" si="3"/>
        <v>43085.348599537036</v>
      </c>
      <c r="W26" s="45" t="str">
        <f t="shared" si="4"/>
        <v>EC</v>
      </c>
      <c r="X26" s="185">
        <f t="shared" si="5"/>
        <v>242</v>
      </c>
      <c r="Y26" s="191" t="str">
        <f t="shared" si="6"/>
        <v>echo {"issue":{"subject":"Wi-MAX data drop","project_id":79,"tracker_id":40,"status_id":1,"priority_id":2,"assigned_to_id":338,"start_date":"2017-12-16","description":"","custom_fields":[{"id":1,"name":"Subdivision","value":"EC"},{"id":4,"name":"Milepost","value":"5.7897"},{"id":17,"name":"Train ID","value":"242-15"},{"id":16,"name":"Locomotive ID","value":"4031"},{"id":130,"name":"Impact","value":""},{"id":150,"name":"Time of Event (Mountain Time)","value":"01:21:59"},{"id":151,"name":"Denver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48"/>
      <c r="AA26" s="188"/>
      <c r="AB26" s="188"/>
      <c r="AC26" s="105" t="str">
        <f t="shared" si="7"/>
        <v>grep -hrE -A400 "Enforcement Action" /c/Users/stu/AppData/Local/Temp/OnboardLogs/RTDC4031 --include="*4031*201712160*"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"%USERPROFILE%\AppData\Local\Temp\OnboardLogs"\RTDC4031\*4031*201712160* &gt;&gt; 2017-12-15-SliceDisagreementCheck.txt</v>
      </c>
      <c r="AE26" s="134" t="str">
        <f t="shared" si="8"/>
        <v>start /low /b %USERPROFILE%\Documents\GitHub\eaglep3\Utilities\DownloadLogsFromS3.py --loco 4031 --day 2017-12-16</v>
      </c>
      <c r="AF26" s="1"/>
    </row>
    <row r="27" spans="1:32" x14ac:dyDescent="0.25">
      <c r="A27" s="31">
        <v>43085.097256944442</v>
      </c>
      <c r="B27" s="30" t="s">
        <v>643</v>
      </c>
      <c r="C27" s="30" t="s">
        <v>682</v>
      </c>
      <c r="D27" s="30" t="s">
        <v>49</v>
      </c>
      <c r="E27" s="30" t="s">
        <v>354</v>
      </c>
      <c r="F27" s="42">
        <v>0</v>
      </c>
      <c r="G27" s="42">
        <v>614</v>
      </c>
      <c r="H27" s="42">
        <v>78005</v>
      </c>
      <c r="I27" s="42">
        <v>75362</v>
      </c>
      <c r="J27" s="30" t="s">
        <v>355</v>
      </c>
      <c r="K27" s="42">
        <v>75579</v>
      </c>
      <c r="L27" s="121" t="s">
        <v>51</v>
      </c>
      <c r="M27" s="122">
        <f t="shared" si="0"/>
        <v>-114.57599999999999</v>
      </c>
      <c r="N27" s="123" t="str">
        <f>VLOOKUP(C27,'Trips&amp;Operators'!$C$1:$G$99911,5,FALSE)</f>
        <v>ANDERS STEVEN</v>
      </c>
      <c r="O27" s="163" t="s">
        <v>348</v>
      </c>
      <c r="P27" s="192" t="s">
        <v>438</v>
      </c>
      <c r="Q27" s="30"/>
      <c r="R27" s="71" t="str">
        <f>VLOOKUP(C27,'Train Runs'!$A$13:$AE$10209,31,0)</f>
        <v>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 &amp; 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</v>
      </c>
      <c r="S27" s="74" t="str">
        <f>VLOOKUP(C27,'Train Runs'!$A$13:$AE$10209,22,0)</f>
        <v>https://d0f6bd738d7f1b3e5a7ca70fe4ff75f0.us-east-1.aws.found.io/app/kibana#/discover/Steve-Slow-Train-Analysis-(2080s-and-2083s)?_g=(refreshInterval:(display:Off,pause:!f,section:0,value:0),time:(from:'2017-12-15T23:58:34-0700',mode:absolute,to:'2017-12-16T03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7" s="76" t="str">
        <f t="shared" si="1"/>
        <v>"C:\Program Files (x86)\AstroGrep\AstroGrep.exe" /e /r /s /spath="%USERPROFILE%\AppData\Local\Temp\OnboardLogs" /stypes="*4003*201712160*" /stext=" 09:.+((SYSTEM_STATE.+slice.+state.+changed )|(ment ac)|(multiple cpu faults)|(system.+state.+changed )|(\[timeout)|(PRM\|1\|D)|(kpr)|(kdp)|(train st.+moving)|(\|lc)|(penalty))"</v>
      </c>
      <c r="U27" s="9" t="str">
        <f t="shared" si="2"/>
        <v>4003</v>
      </c>
      <c r="V27" s="31">
        <f t="shared" si="3"/>
        <v>43085.388923611106</v>
      </c>
      <c r="W27" s="45" t="str">
        <f t="shared" si="4"/>
        <v>EC</v>
      </c>
      <c r="X27" s="185">
        <f t="shared" si="5"/>
        <v>246</v>
      </c>
      <c r="Y27" s="191" t="str">
        <f t="shared" si="6"/>
        <v>echo {"issue":{"subject":"Wi-MAX data drop","project_id":79,"tracker_id":40,"status_id":1,"priority_id":2,"assigned_to_id":338,"start_date":"2017-12-16","description":"","custom_fields":[{"id":1,"name":"Subdivision","value":"EC"},{"id":4,"name":"Milepost","value":"7.5579"},{"id":17,"name":"Train ID","value":"246-15"},{"id":16,"name":"Locomotive ID","value":"4003"},{"id":130,"name":"Impact","value":""},{"id":150,"name":"Time of Event (Mountain Time)","value":"02:20:03"},{"id":151,"name":"Denver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48"/>
      <c r="AA27" s="188"/>
      <c r="AB27" s="188"/>
      <c r="AC27" s="105" t="str">
        <f t="shared" si="7"/>
        <v>grep -hrE -A400 "Enforcement Action" /c/Users/stu/AppData/Local/Temp/OnboardLogs/RTDC4003 --include="*4003*201712160*"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"%USERPROFILE%\AppData\Local\Temp\OnboardLogs"\RTDC4003\*4003*201712160* &gt;&gt; 2017-12-15-SliceDisagreementCheck.txt</v>
      </c>
      <c r="AE27" s="134" t="str">
        <f t="shared" si="8"/>
        <v>start /low /b %USERPROFILE%\Documents\GitHub\eaglep3\Utilities\DownloadLogsFromS3.py --loco 4003 --day 2017-12-16</v>
      </c>
      <c r="AF27" s="1"/>
    </row>
    <row r="28" spans="1:32" x14ac:dyDescent="0.25">
      <c r="A28" s="31">
        <v>43084.211388888885</v>
      </c>
      <c r="B28" s="30" t="s">
        <v>416</v>
      </c>
      <c r="C28" s="30" t="s">
        <v>645</v>
      </c>
      <c r="D28" s="30" t="s">
        <v>49</v>
      </c>
      <c r="E28" s="30" t="s">
        <v>455</v>
      </c>
      <c r="F28" s="42">
        <v>0</v>
      </c>
      <c r="G28" s="42">
        <v>589</v>
      </c>
      <c r="H28" s="42">
        <v>72772</v>
      </c>
      <c r="I28" s="42">
        <v>70224</v>
      </c>
      <c r="J28" s="30" t="s">
        <v>456</v>
      </c>
      <c r="K28" s="42">
        <v>69363</v>
      </c>
      <c r="L28" s="121" t="s">
        <v>51</v>
      </c>
      <c r="M28" s="122">
        <f t="shared" si="0"/>
        <v>454.608</v>
      </c>
      <c r="N28" s="123" t="str">
        <f>VLOOKUP(C28,'Trips&amp;Operators'!$C$1:$G$99911,5,FALSE)</f>
        <v>MAELZER KURT</v>
      </c>
      <c r="O28" s="163" t="s">
        <v>348</v>
      </c>
      <c r="P28" s="192" t="s">
        <v>438</v>
      </c>
      <c r="Q28" s="30"/>
      <c r="R28" s="71" t="str">
        <f>VLOOKUP(C28,'Train Runs'!$A$13:$AE$10209,31,0)</f>
        <v>aws s3 cp s3://rtdc.mdm.uploadarchive.raw/RTDC4043/ "%USERPROFILE%\AppData\Local\Temp\OnboardLogs"\RTDC4043\2017-12-15 --exclude "*" --recursive --include "*20171215*" &amp; "%USERPROFILE%\Documents\GitHub\mrs-test-scripts\Headless Mode &amp; Sideloading\WalkAndUnGZ.bat" "%USERPROFILE%\AppData\Local\Temp\OnboardLogs"\RTDC4043\2017-12-15 &amp; aws s3 cp s3://rtdc.mdm.uploadarchive.raw/RTDC4043/ "%USERPROFILE%\AppData\Local\Temp\OnboardLogs"\RTDC4043\2017-12-16 --exclude "*" --recursive --include "*20171216*" &amp; "%USERPROFILE%\Documents\GitHub\mrs-test-scripts\Headless Mode &amp; Sideloading\WalkAndUnGZ.bat" "%USERPROFILE%\AppData\Local\Temp\OnboardLogs"\RTDC4043\2017-12-16</v>
      </c>
      <c r="S28" s="74" t="str">
        <f>VLOOKUP(C28,'Train Runs'!$A$13:$AE$10209,22,0)</f>
        <v>https://d0f6bd738d7f1b3e5a7ca70fe4ff75f0.us-east-1.aws.found.io/app/kibana#/discover/Steve-Slow-Train-Analysis-(2080s-and-2083s)?_g=(refreshInterval:(display:Off,pause:!f,section:0,value:0),time:(from:'2017-12-15T03:35:15-0700',mode:absolute,to:'2017-12-15T06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8" s="76" t="str">
        <f t="shared" si="1"/>
        <v>"C:\Program Files (x86)\AstroGrep\AstroGrep.exe" /e /r /s /spath="%USERPROFILE%\AppData\Local\Temp\OnboardLogs" /stypes="*4043*201712151*" /stext=" 12:.+((SYSTEM_STATE.+slice.+state.+changed )|(ment ac)|(multiple cpu faults)|(system.+state.+changed )|(\[timeout)|(PRM\|1\|D)|(kpr)|(kdp)|(train st.+moving)|(\|lc)|(penalty))"</v>
      </c>
      <c r="U28" s="9" t="str">
        <f t="shared" si="2"/>
        <v>4043</v>
      </c>
      <c r="V28" s="31">
        <f t="shared" si="3"/>
        <v>43084.50305555555</v>
      </c>
      <c r="W28" s="45" t="str">
        <f t="shared" si="4"/>
        <v>EC</v>
      </c>
      <c r="X28" s="185">
        <f t="shared" si="5"/>
        <v>104</v>
      </c>
      <c r="Y28" s="191" t="str">
        <f t="shared" si="6"/>
        <v>echo {"issue":{"subject":"Wi-MAX data drop","project_id":79,"tracker_id":40,"status_id":1,"priority_id":2,"assigned_to_id":338,"start_date":"2017-12-15","description":"","custom_fields":[{"id":1,"name":"Subdivision","value":"EC"},{"id":4,"name":"Milepost","value":"6.9363"},{"id":17,"name":"Train ID","value":"104-15"},{"id":16,"name":"Locomotive ID","value":"4043"},{"id":130,"name":"Impact","value":""},{"id":150,"name":"Time of Event (Mountain Time)","value":"05:04:24"},{"id":151,"name":"Denver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48"/>
      <c r="AA28" s="188"/>
      <c r="AB28" s="188"/>
      <c r="AC28" s="105" t="str">
        <f t="shared" si="7"/>
        <v>grep -hrE -A400 "Enforcement Action" /c/Users/stu/AppData/Local/Temp/OnboardLogs/RTDC4043 --include="*4043*201712151*"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"%USERPROFILE%\AppData\Local\Temp\OnboardLogs"\RTDC4043\*4043*201712151* &gt;&gt; 2017-12-15-SliceDisagreementCheck.txt</v>
      </c>
      <c r="AE28" s="134" t="str">
        <f t="shared" si="8"/>
        <v>start /low /b %USERPROFILE%\Documents\GitHub\eaglep3\Utilities\DownloadLogsFromS3.py --loco 4043 --day 2017-12-15</v>
      </c>
      <c r="AF28" s="1"/>
    </row>
    <row r="29" spans="1:32" x14ac:dyDescent="0.25">
      <c r="A29" s="31">
        <v>43084.373784722222</v>
      </c>
      <c r="B29" s="30" t="s">
        <v>442</v>
      </c>
      <c r="C29" s="30" t="s">
        <v>653</v>
      </c>
      <c r="D29" s="30" t="s">
        <v>49</v>
      </c>
      <c r="E29" s="30" t="s">
        <v>455</v>
      </c>
      <c r="F29" s="42">
        <v>0</v>
      </c>
      <c r="G29" s="42">
        <v>373</v>
      </c>
      <c r="H29" s="42">
        <v>113137</v>
      </c>
      <c r="I29" s="42">
        <v>112093</v>
      </c>
      <c r="J29" s="30" t="s">
        <v>456</v>
      </c>
      <c r="K29" s="42">
        <v>110617</v>
      </c>
      <c r="L29" s="121" t="s">
        <v>51</v>
      </c>
      <c r="M29" s="122">
        <f t="shared" si="0"/>
        <v>779.32799999999997</v>
      </c>
      <c r="N29" s="123" t="str">
        <f>VLOOKUP(C29,'Trips&amp;Operators'!$C$1:$G$99911,5,FALSE)</f>
        <v>PAGE MARCUS</v>
      </c>
      <c r="O29" s="163" t="s">
        <v>348</v>
      </c>
      <c r="P29" s="192" t="s">
        <v>438</v>
      </c>
      <c r="Q29" s="30"/>
      <c r="R29" s="71" t="str">
        <f>VLOOKUP(C29,'Train Runs'!$A$13:$AE$10209,31,0)</f>
        <v>aws s3 cp s3://rtdc.mdm.uploadarchive.raw/RTDC4031/ "%USERPROFILE%\AppData\Local\Temp\OnboardLogs"\RTDC4031\2017-12-15 --exclude "*" --recursive --include "*20171215*" &amp; "%USERPROFILE%\Documents\GitHub\mrs-test-scripts\Headless Mode &amp; Sideloading\WalkAndUnGZ.bat" "%USERPROFILE%\AppData\Local\Temp\OnboardLogs"\RTDC4031\2017-12-15 &amp; aws s3 cp s3://rtdc.mdm.uploadarchive.raw/RTDC4031/ "%USERPROFILE%\AppData\Local\Temp\OnboardLogs"\RTDC4031\2017-12-16 --exclude "*" --recursive --include "*20171216*" &amp; "%USERPROFILE%\Documents\GitHub\mrs-test-scripts\Headless Mode &amp; Sideloading\WalkAndUnGZ.bat" "%USERPROFILE%\AppData\Local\Temp\OnboardLogs"\RTDC4031\2017-12-16</v>
      </c>
      <c r="S29" s="74" t="str">
        <f>VLOOKUP(C29,'Train Runs'!$A$13:$AE$10209,22,0)</f>
        <v>https://d0f6bd738d7f1b3e5a7ca70fe4ff75f0.us-east-1.aws.found.io/app/kibana#/discover/Steve-Slow-Train-Analysis-(2080s-and-2083s)?_g=(refreshInterval:(display:Off,pause:!f,section:0,value:0),time:(from:'2017-12-15T07:20:58-0700',mode:absolute,to:'2017-12-15T10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9" s="76" t="str">
        <f t="shared" si="1"/>
        <v>"C:\Program Files (x86)\AstroGrep\AstroGrep.exe" /e /r /s /spath="%USERPROFILE%\AppData\Local\Temp\OnboardLogs" /stypes="*4031*201712151*" /stext=" 15:.+((SYSTEM_STATE.+slice.+state.+changed )|(ment ac)|(multiple cpu faults)|(system.+state.+changed )|(\[timeout)|(PRM\|1\|D)|(kpr)|(kdp)|(train st.+moving)|(\|lc)|(penalty))"</v>
      </c>
      <c r="U29" s="9" t="str">
        <f t="shared" si="2"/>
        <v>4031</v>
      </c>
      <c r="V29" s="31">
        <f t="shared" si="3"/>
        <v>43084.665451388886</v>
      </c>
      <c r="W29" s="45" t="str">
        <f t="shared" si="4"/>
        <v>EC</v>
      </c>
      <c r="X29" s="185">
        <f t="shared" si="5"/>
        <v>134</v>
      </c>
      <c r="Y29" s="191" t="str">
        <f t="shared" si="6"/>
        <v>echo {"issue":{"subject":"Wi-MAX data drop","project_id":79,"tracker_id":40,"status_id":1,"priority_id":2,"assigned_to_id":338,"start_date":"2017-12-15","description":"","custom_fields":[{"id":1,"name":"Subdivision","value":"EC"},{"id":4,"name":"Milepost","value":"11.0617"},{"id":17,"name":"Train ID","value":"134-15"},{"id":16,"name":"Locomotive ID","value":"4031"},{"id":130,"name":"Impact","value":""},{"id":150,"name":"Time of Event (Mountain Time)","value":"08:58:15"},{"id":151,"name":"Denver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48"/>
      <c r="AA29" s="188"/>
      <c r="AB29" s="188"/>
      <c r="AC29" s="105" t="str">
        <f t="shared" si="7"/>
        <v>grep -hrE -A400 "Enforcement Action" /c/Users/stu/AppData/Local/Temp/OnboardLogs/RTDC4031 --include="*4031*201712151*"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"%USERPROFILE%\AppData\Local\Temp\OnboardLogs"\RTDC4031\*4031*201712151* &gt;&gt; 2017-12-15-SliceDisagreementCheck.txt</v>
      </c>
      <c r="AE29" s="134" t="str">
        <f t="shared" si="8"/>
        <v>start /low /b %USERPROFILE%\Documents\GitHub\eaglep3\Utilities\DownloadLogsFromS3.py --loco 4031 --day 2017-12-15</v>
      </c>
      <c r="AF29" s="1"/>
    </row>
    <row r="30" spans="1:32" x14ac:dyDescent="0.25">
      <c r="A30" s="31">
        <v>43084.949421296296</v>
      </c>
      <c r="B30" s="30" t="s">
        <v>416</v>
      </c>
      <c r="C30" s="30" t="s">
        <v>679</v>
      </c>
      <c r="D30" s="30" t="s">
        <v>95</v>
      </c>
      <c r="E30" s="30" t="s">
        <v>455</v>
      </c>
      <c r="F30" s="42">
        <v>0</v>
      </c>
      <c r="G30" s="42">
        <v>669</v>
      </c>
      <c r="H30" s="42">
        <v>104088</v>
      </c>
      <c r="I30" s="42">
        <v>100983</v>
      </c>
      <c r="J30" s="30" t="s">
        <v>456</v>
      </c>
      <c r="K30" s="42">
        <v>104776</v>
      </c>
      <c r="L30" s="121" t="s">
        <v>51</v>
      </c>
      <c r="M30" s="122">
        <f t="shared" si="0"/>
        <v>-2002.704</v>
      </c>
      <c r="N30" s="123" t="str">
        <f>VLOOKUP(C30,'Trips&amp;Operators'!$C$1:$G$99911,5,FALSE)</f>
        <v>ZEWDU DEREJE</v>
      </c>
      <c r="O30" s="163" t="s">
        <v>348</v>
      </c>
      <c r="P30" s="192" t="s">
        <v>438</v>
      </c>
      <c r="Q30" s="30"/>
      <c r="R30" s="71" t="str">
        <f>VLOOKUP(C30,'Train Runs'!$A$13:$AE$10209,31,0)</f>
        <v>aws s3 cp s3://rtdc.mdm.uploadarchive.raw/RTDC4043/ "%USERPROFILE%\AppData\Local\Temp\OnboardLogs"\RTDC4043\2017-12-15 --exclude "*" --recursive --include "*20171215*" &amp; "%USERPROFILE%\Documents\GitHub\mrs-test-scripts\Headless Mode &amp; Sideloading\WalkAndUnGZ.bat" "%USERPROFILE%\AppData\Local\Temp\OnboardLogs"\RTDC4043\2017-12-15 &amp; aws s3 cp s3://rtdc.mdm.uploadarchive.raw/RTDC4043/ "%USERPROFILE%\AppData\Local\Temp\OnboardLogs"\RTDC4043\2017-12-16 --exclude "*" --recursive --include "*20171216*" &amp; "%USERPROFILE%\Documents\GitHub\mrs-test-scripts\Headless Mode &amp; Sideloading\WalkAndUnGZ.bat" "%USERPROFILE%\AppData\Local\Temp\OnboardLogs"\RTDC4043\2017-12-16</v>
      </c>
      <c r="S30" s="74" t="str">
        <f>VLOOKUP(C30,'Train Runs'!$A$13:$AE$10209,22,0)</f>
        <v>https://d0f6bd738d7f1b3e5a7ca70fe4ff75f0.us-east-1.aws.found.io/app/kibana#/discover/Steve-Slow-Train-Analysis-(2080s-and-2083s)?_g=(refreshInterval:(display:Off,pause:!f,section:0,value:0),time:(from:'2017-12-15T21:23:07-0700',mode:absolute,to:'2017-12-16T00:08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0" s="76" t="str">
        <f t="shared" si="1"/>
        <v>"C:\Program Files (x86)\AstroGrep\AstroGrep.exe" /e /r /s /spath="%USERPROFILE%\AppData\Local\Temp\OnboardLogs" /stypes="*4043*201712160*" /stext=" 05:.+((SYSTEM_STATE.+slice.+state.+changed )|(ment ac)|(multiple cpu faults)|(system.+state.+changed )|(\[timeout)|(PRM\|1\|D)|(kpr)|(kdp)|(train st.+moving)|(\|lc)|(penalty))"</v>
      </c>
      <c r="U30" s="9" t="str">
        <f t="shared" si="2"/>
        <v>4043</v>
      </c>
      <c r="V30" s="31">
        <f t="shared" si="3"/>
        <v>43085.241087962961</v>
      </c>
      <c r="W30" s="45" t="str">
        <f t="shared" si="4"/>
        <v>EC</v>
      </c>
      <c r="X30" s="185">
        <f t="shared" si="5"/>
        <v>232</v>
      </c>
      <c r="Y30" s="191" t="str">
        <f t="shared" si="6"/>
        <v>echo {"issue":{"subject":"Wi-MAX data drop","project_id":79,"tracker_id":40,"status_id":1,"priority_id":2,"assigned_to_id":338,"start_date":"2017-12-15","description":"","custom_fields":[{"id":1,"name":"Subdivision","value":"EC"},{"id":4,"name":"Milepost","value":"10.4776"},{"id":17,"name":"Train ID","value":"232-15"},{"id":16,"name":"Locomotive ID","value":"4043"},{"id":130,"name":"Impact","value":""},{"id":150,"name":"Time of Event (Mountain Time)","value":"22:47:10"},{"id":151,"name":"Denver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48"/>
      <c r="AA30" s="188"/>
      <c r="AB30" s="188"/>
      <c r="AC30" s="105" t="str">
        <f t="shared" si="7"/>
        <v>grep -hrE -A400 "Enforcement Action" /c/Users/stu/AppData/Local/Temp/OnboardLogs/RTDC4043 --include="*4043*201712160*"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"%USERPROFILE%\AppData\Local\Temp\OnboardLogs"\RTDC4043\*4043*201712160* &gt;&gt; 2017-12-15-SliceDisagreementCheck.txt</v>
      </c>
      <c r="AE30" s="134" t="str">
        <f t="shared" si="8"/>
        <v>start /low /b %USERPROFILE%\Documents\GitHub\eaglep3\Utilities\DownloadLogsFromS3.py --loco 4043 --day 2017-12-16</v>
      </c>
      <c r="AF30" s="1"/>
    </row>
    <row r="31" spans="1:32" x14ac:dyDescent="0.25">
      <c r="A31" s="31">
        <v>43084.201296296298</v>
      </c>
      <c r="B31" s="30" t="s">
        <v>643</v>
      </c>
      <c r="C31" s="30" t="s">
        <v>644</v>
      </c>
      <c r="D31" s="30" t="s">
        <v>49</v>
      </c>
      <c r="E31" s="30" t="s">
        <v>516</v>
      </c>
      <c r="F31" s="42">
        <v>0</v>
      </c>
      <c r="G31" s="42">
        <v>148</v>
      </c>
      <c r="H31" s="42">
        <v>735</v>
      </c>
      <c r="I31" s="42">
        <v>528</v>
      </c>
      <c r="J31" s="30" t="s">
        <v>517</v>
      </c>
      <c r="K31" s="42">
        <v>1</v>
      </c>
      <c r="L31" s="121" t="s">
        <v>51</v>
      </c>
      <c r="M31" s="122">
        <f t="shared" si="0"/>
        <v>278.25599999999997</v>
      </c>
      <c r="N31" s="123" t="str">
        <f>VLOOKUP(C31,'Trips&amp;Operators'!$C$1:$G$99911,5,FALSE)</f>
        <v>YORK EDGAR</v>
      </c>
      <c r="O31" s="163" t="s">
        <v>178</v>
      </c>
      <c r="P31" s="192"/>
      <c r="Q31" s="30"/>
      <c r="R31" s="71" t="str">
        <f>VLOOKUP(C31,'Train Runs'!$A$13:$AE$10209,31,0)</f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S31" s="74" t="str">
        <f>VLOOKUP(C31,'Train Runs'!$A$13:$AE$10209,22,0)</f>
        <v>https://d0f6bd738d7f1b3e5a7ca70fe4ff75f0.us-east-1.aws.found.io/app/kibana#/discover/Steve-Slow-Train-Analysis-(2080s-and-2083s)?_g=(refreshInterval:(display:Off,pause:!f,section:0,value:0),time:(from:'2017-12-15T02:53:41-0700',mode:absolute,to:'2017-12-15T05:49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1" s="76" t="str">
        <f t="shared" si="1"/>
        <v>"C:\Program Files (x86)\AstroGrep\AstroGrep.exe" /e /r /s /spath="%USERPROFILE%\AppData\Local\Temp\OnboardLogs" /stypes="*4003*201712151*" /stext=" 11:.+((SYSTEM_STATE.+slice.+state.+changed )|(ment ac)|(multiple cpu faults)|(system.+state.+changed )|(\[timeout)|(PRM\|1\|D)|(kpr)|(kdp)|(train st.+moving)|(\|lc)|(penalty))"</v>
      </c>
      <c r="U31" s="9" t="str">
        <f t="shared" si="2"/>
        <v>4003</v>
      </c>
      <c r="V31" s="31">
        <f t="shared" si="3"/>
        <v>43084.492962962962</v>
      </c>
      <c r="W31" s="45" t="str">
        <f t="shared" si="4"/>
        <v>EC</v>
      </c>
      <c r="X31" s="185">
        <f t="shared" si="5"/>
        <v>102</v>
      </c>
      <c r="Y31" s="191" t="str">
        <f t="shared" si="6"/>
        <v>echo {"issue":{"subject":"","project_id":79,"tracker_id":40,"status_id":1,"priority_id":2,"assigned_to_id":338,"start_date":"2017-12-15","description":"","custom_fields":[{"id":1,"name":"Subdivision","value":"EC"},{"id":4,"name":"Milepost","value":"0.0001"},{"id":17,"name":"Train ID","value":"102-15"},{"id":16,"name":"Locomotive ID","value":"4003"},{"id":130,"name":"Impact","value":""},{"id":150,"name":"Time of Event (Mountain Time)","value":"04:49:52"},{"id":151,"name":"Denver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48"/>
      <c r="AA31" s="188"/>
      <c r="AB31" s="188"/>
      <c r="AC31" s="105" t="str">
        <f t="shared" si="7"/>
        <v>grep -hrE -A400 "Enforcement Action" /c/Users/stu/AppData/Local/Temp/OnboardLogs/RTDC4003 --include="*4003*201712151*"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"%USERPROFILE%\AppData\Local\Temp\OnboardLogs"\RTDC4003\*4003*201712151* &gt;&gt; 2017-12-15-SliceDisagreementCheck.txt</v>
      </c>
      <c r="AE31" s="134" t="str">
        <f t="shared" si="8"/>
        <v>start /low /b %USERPROFILE%\Documents\GitHub\eaglep3\Utilities\DownloadLogsFromS3.py --loco 4003 --day 2017-12-15</v>
      </c>
      <c r="AF31" s="1"/>
    </row>
    <row r="32" spans="1:32" x14ac:dyDescent="0.25">
      <c r="A32" s="31">
        <v>43084.274548611109</v>
      </c>
      <c r="B32" s="30" t="s">
        <v>643</v>
      </c>
      <c r="C32" s="30" t="s">
        <v>648</v>
      </c>
      <c r="D32" s="30" t="s">
        <v>49</v>
      </c>
      <c r="E32" s="30" t="s">
        <v>516</v>
      </c>
      <c r="F32" s="42">
        <v>0</v>
      </c>
      <c r="G32" s="42">
        <v>161</v>
      </c>
      <c r="H32" s="42">
        <v>839</v>
      </c>
      <c r="I32" s="42">
        <v>608</v>
      </c>
      <c r="J32" s="30" t="s">
        <v>517</v>
      </c>
      <c r="K32" s="42">
        <v>1</v>
      </c>
      <c r="L32" s="121" t="s">
        <v>51</v>
      </c>
      <c r="M32" s="122">
        <f t="shared" si="0"/>
        <v>320.49599999999998</v>
      </c>
      <c r="N32" s="123" t="str">
        <f>VLOOKUP(C32,'Trips&amp;Operators'!$C$1:$G$99911,5,FALSE)</f>
        <v>ROCHA YAOTL</v>
      </c>
      <c r="O32" s="163" t="s">
        <v>178</v>
      </c>
      <c r="P32" s="192"/>
      <c r="Q32" s="30"/>
      <c r="R32" s="71" t="str">
        <f>VLOOKUP(C32,'Train Runs'!$A$13:$AE$10209,31,0)</f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S32" s="74" t="str">
        <f>VLOOKUP(C32,'Train Runs'!$A$13:$AE$10209,22,0)</f>
        <v>https://d0f6bd738d7f1b3e5a7ca70fe4ff75f0.us-east-1.aws.found.io/app/kibana#/discover/Steve-Slow-Train-Analysis-(2080s-and-2083s)?_g=(refreshInterval:(display:Off,pause:!f,section:0,value:0),time:(from:'2017-12-15T04:55:19-0700',mode:absolute,to:'2017-12-15T07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2" s="76" t="str">
        <f t="shared" si="1"/>
        <v>"C:\Program Files (x86)\AstroGrep\AstroGrep.exe" /e /r /s /spath="%USERPROFILE%\AppData\Local\Temp\OnboardLogs" /stypes="*4003*201712151*" /stext=" 13:.+((SYSTEM_STATE.+slice.+state.+changed )|(ment ac)|(multiple cpu faults)|(system.+state.+changed )|(\[timeout)|(PRM\|1\|D)|(kpr)|(kdp)|(train st.+moving)|(\|lc)|(penalty))"</v>
      </c>
      <c r="U32" s="9" t="str">
        <f t="shared" si="2"/>
        <v>4003</v>
      </c>
      <c r="V32" s="31">
        <f t="shared" si="3"/>
        <v>43084.566215277773</v>
      </c>
      <c r="W32" s="45" t="str">
        <f t="shared" si="4"/>
        <v>EC</v>
      </c>
      <c r="X32" s="185">
        <f t="shared" si="5"/>
        <v>112</v>
      </c>
      <c r="Y32" s="191" t="str">
        <f t="shared" si="6"/>
        <v>echo {"issue":{"subject":"","project_id":79,"tracker_id":40,"status_id":1,"priority_id":2,"assigned_to_id":338,"start_date":"2017-12-15","description":"","custom_fields":[{"id":1,"name":"Subdivision","value":"EC"},{"id":4,"name":"Milepost","value":"0.0001"},{"id":17,"name":"Train ID","value":"112-15"},{"id":16,"name":"Locomotive ID","value":"4003"},{"id":130,"name":"Impact","value":""},{"id":150,"name":"Time of Event (Mountain Time)","value":"06:35:21"},{"id":151,"name":"Denver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48"/>
      <c r="AA32" s="188"/>
      <c r="AB32" s="188"/>
      <c r="AC32" s="105" t="str">
        <f t="shared" si="7"/>
        <v>grep -hrE -A400 "Enforcement Action" /c/Users/stu/AppData/Local/Temp/OnboardLogs/RTDC4003 --include="*4003*201712151*"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"%USERPROFILE%\AppData\Local\Temp\OnboardLogs"\RTDC4003\*4003*201712151* &gt;&gt; 2017-12-15-SliceDisagreementCheck.txt</v>
      </c>
      <c r="AE32" s="134" t="str">
        <f t="shared" si="8"/>
        <v>start /low /b %USERPROFILE%\Documents\GitHub\eaglep3\Utilities\DownloadLogsFromS3.py --loco 4003 --day 2017-12-15</v>
      </c>
      <c r="AF32" s="1"/>
    </row>
    <row r="33" spans="1:32" x14ac:dyDescent="0.25">
      <c r="A33" s="31">
        <v>43084.638796296298</v>
      </c>
      <c r="B33" s="30" t="s">
        <v>643</v>
      </c>
      <c r="C33" s="30" t="s">
        <v>663</v>
      </c>
      <c r="D33" s="30" t="s">
        <v>49</v>
      </c>
      <c r="E33" s="30" t="s">
        <v>516</v>
      </c>
      <c r="F33" s="42">
        <v>0</v>
      </c>
      <c r="G33" s="42">
        <v>146</v>
      </c>
      <c r="H33" s="42">
        <v>978</v>
      </c>
      <c r="I33" s="42">
        <v>774</v>
      </c>
      <c r="J33" s="30" t="s">
        <v>517</v>
      </c>
      <c r="K33" s="42">
        <v>1</v>
      </c>
      <c r="L33" s="121" t="s">
        <v>51</v>
      </c>
      <c r="M33" s="122">
        <f t="shared" si="0"/>
        <v>408.14400000000001</v>
      </c>
      <c r="N33" s="123" t="str">
        <f>VLOOKUP(C33,'Trips&amp;Operators'!$C$1:$G$99911,5,FALSE)</f>
        <v>FORTUNATO FRANK</v>
      </c>
      <c r="O33" s="163" t="s">
        <v>178</v>
      </c>
      <c r="P33" s="192"/>
      <c r="Q33" s="30"/>
      <c r="R33" s="71" t="str">
        <f>VLOOKUP(C33,'Train Runs'!$A$13:$AE$10209,31,0)</f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S33" s="74" t="str">
        <f>VLOOKUP(C33,'Train Runs'!$A$13:$AE$10209,22,0)</f>
        <v>https://d0f6bd738d7f1b3e5a7ca70fe4ff75f0.us-east-1.aws.found.io/app/kibana#/discover/Steve-Slow-Train-Analysis-(2080s-and-2083s)?_g=(refreshInterval:(display:Off,pause:!f,section:0,value:0),time:(from:'2017-12-15T13:22:13-0700',mode:absolute,to:'2017-12-15T16:20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3" s="76" t="str">
        <f t="shared" si="1"/>
        <v>"C:\Program Files (x86)\AstroGrep\AstroGrep.exe" /e /r /s /spath="%USERPROFILE%\AppData\Local\Temp\OnboardLogs" /stypes="*4003*201712152*" /stext=" 22:.+((SYSTEM_STATE.+slice.+state.+changed )|(ment ac)|(multiple cpu faults)|(system.+state.+changed )|(\[timeout)|(PRM\|1\|D)|(kpr)|(kdp)|(train st.+moving)|(\|lc)|(penalty))"</v>
      </c>
      <c r="U33" s="9" t="str">
        <f t="shared" si="2"/>
        <v>4003</v>
      </c>
      <c r="V33" s="31">
        <f t="shared" si="3"/>
        <v>43084.930462962962</v>
      </c>
      <c r="W33" s="45" t="str">
        <f t="shared" si="4"/>
        <v>EC</v>
      </c>
      <c r="X33" s="185">
        <f t="shared" si="5"/>
        <v>182</v>
      </c>
      <c r="Y33" s="191" t="str">
        <f t="shared" si="6"/>
        <v>echo {"issue":{"subject":"","project_id":79,"tracker_id":40,"status_id":1,"priority_id":2,"assigned_to_id":338,"start_date":"2017-12-15","description":"","custom_fields":[{"id":1,"name":"Subdivision","value":"EC"},{"id":4,"name":"Milepost","value":"0.0001"},{"id":17,"name":"Train ID","value":"182-15"},{"id":16,"name":"Locomotive ID","value":"4003"},{"id":130,"name":"Impact","value":""},{"id":150,"name":"Time of Event (Mountain Time)","value":"15:19:52"},{"id":151,"name":"Denver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48"/>
      <c r="AA33" s="188"/>
      <c r="AB33" s="188"/>
      <c r="AC33" s="105" t="str">
        <f t="shared" si="7"/>
        <v>grep -hrE -A400 "Enforcement Action" /c/Users/stu/AppData/Local/Temp/OnboardLogs/RTDC4003 --include="*4003*201712152*"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"%USERPROFILE%\AppData\Local\Temp\OnboardLogs"\RTDC4003\*4003*201712152* &gt;&gt; 2017-12-15-SliceDisagreementCheck.txt</v>
      </c>
      <c r="AE33" s="134" t="str">
        <f t="shared" si="8"/>
        <v>start /low /b %USERPROFILE%\Documents\GitHub\eaglep3\Utilities\DownloadLogsFromS3.py --loco 4003 --day 2017-12-15</v>
      </c>
      <c r="AF33" s="1"/>
    </row>
    <row r="34" spans="1:32" x14ac:dyDescent="0.25">
      <c r="A34" s="31">
        <v>43084.94290509259</v>
      </c>
      <c r="B34" s="30" t="s">
        <v>643</v>
      </c>
      <c r="C34" s="30" t="s">
        <v>678</v>
      </c>
      <c r="D34" s="30" t="s">
        <v>49</v>
      </c>
      <c r="E34" s="30" t="s">
        <v>516</v>
      </c>
      <c r="F34" s="42">
        <v>0</v>
      </c>
      <c r="G34" s="42">
        <v>137</v>
      </c>
      <c r="H34" s="42">
        <v>703</v>
      </c>
      <c r="I34" s="42">
        <v>535</v>
      </c>
      <c r="J34" s="30" t="s">
        <v>517</v>
      </c>
      <c r="K34" s="42">
        <v>1</v>
      </c>
      <c r="L34" s="121" t="s">
        <v>51</v>
      </c>
      <c r="M34" s="122">
        <f t="shared" si="0"/>
        <v>281.952</v>
      </c>
      <c r="N34" s="123" t="str">
        <f>VLOOKUP(C34,'Trips&amp;Operators'!$C$1:$G$99911,5,FALSE)</f>
        <v>ANDERS STEVEN</v>
      </c>
      <c r="O34" s="163" t="s">
        <v>178</v>
      </c>
      <c r="P34" s="192"/>
      <c r="Q34" s="30"/>
      <c r="R34" s="71" t="str">
        <f>VLOOKUP(C34,'Train Runs'!$A$13:$AE$10209,31,0)</f>
        <v>aws s3 cp s3://rtdc.mdm.uploadarchive.raw/RTDC4003/ "%USERPROFILE%\AppData\Local\Temp\OnboardLogs"\RTDC4003\2017-12-15 --exclude "*" --recursive --include "*20171215*" &amp; "%USERPROFILE%\Documents\GitHub\mrs-test-scripts\Headless Mode &amp; Sideloading\WalkAndUnGZ.bat" "%USERPROFILE%\AppData\Local\Temp\OnboardLogs"\RTDC4003\2017-12-15 &amp; aws s3 cp s3://rtdc.mdm.uploadarchive.raw/RTDC4003/ "%USERPROFILE%\AppData\Local\Temp\OnboardLogs"\RTDC4003\2017-12-16 --exclude "*" --recursive --include "*20171216*" &amp; "%USERPROFILE%\Documents\GitHub\mrs-test-scripts\Headless Mode &amp; Sideloading\WalkAndUnGZ.bat" "%USERPROFILE%\AppData\Local\Temp\OnboardLogs"\RTDC4003\2017-12-16</v>
      </c>
      <c r="S34" s="74" t="str">
        <f>VLOOKUP(C34,'Train Runs'!$A$13:$AE$10209,22,0)</f>
        <v>https://d0f6bd738d7f1b3e5a7ca70fe4ff75f0.us-east-1.aws.found.io/app/kibana#/discover/Steve-Slow-Train-Analysis-(2080s-and-2083s)?_g=(refreshInterval:(display:Off,pause:!f,section:0,value:0),time:(from:'2017-12-15T20:54:44-0700',mode:absolute,to:'2017-12-15T23:37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4" s="76" t="str">
        <f t="shared" si="1"/>
        <v>"C:\Program Files (x86)\AstroGrep\AstroGrep.exe" /e /r /s /spath="%USERPROFILE%\AppData\Local\Temp\OnboardLogs" /stypes="*4003*201712160*" /stext=" 05:.+((SYSTEM_STATE.+slice.+state.+changed )|(ment ac)|(multiple cpu faults)|(system.+state.+changed )|(\[timeout)|(PRM\|1\|D)|(kpr)|(kdp)|(train st.+moving)|(\|lc)|(penalty))"</v>
      </c>
      <c r="U34" s="9" t="str">
        <f t="shared" si="2"/>
        <v>4003</v>
      </c>
      <c r="V34" s="31">
        <f t="shared" si="3"/>
        <v>43085.234571759254</v>
      </c>
      <c r="W34" s="45" t="str">
        <f t="shared" si="4"/>
        <v>EC</v>
      </c>
      <c r="X34" s="185">
        <f t="shared" si="5"/>
        <v>230</v>
      </c>
      <c r="Y34" s="191" t="str">
        <f t="shared" si="6"/>
        <v>echo {"issue":{"subject":"","project_id":79,"tracker_id":40,"status_id":1,"priority_id":2,"assigned_to_id":338,"start_date":"2017-12-15","description":"","custom_fields":[{"id":1,"name":"Subdivision","value":"EC"},{"id":4,"name":"Milepost","value":"0.0001"},{"id":17,"name":"Train ID","value":"230-15"},{"id":16,"name":"Locomotive ID","value":"4003"},{"id":130,"name":"Impact","value":""},{"id":150,"name":"Time of Event (Mountain Time)","value":"22:37:47"},{"id":151,"name":"Denver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48"/>
      <c r="AA34" s="188"/>
      <c r="AB34" s="188"/>
      <c r="AC34" s="105" t="str">
        <f t="shared" si="7"/>
        <v>grep -hrE -A400 "Enforcement Action" /c/Users/stu/AppData/Local/Temp/OnboardLogs/RTDC4003 --include="*4003*201712160*"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"%USERPROFILE%\AppData\Local\Temp\OnboardLogs"\RTDC4003\*4003*201712160* &gt;&gt; 2017-12-15-SliceDisagreementCheck.txt</v>
      </c>
      <c r="AE34" s="134" t="str">
        <f t="shared" si="8"/>
        <v>start /low /b %USERPROFILE%\Documents\GitHub\eaglep3\Utilities\DownloadLogsFromS3.py --loco 4003 --day 2017-12-16</v>
      </c>
      <c r="AF34" s="1"/>
    </row>
    <row r="35" spans="1:32" x14ac:dyDescent="0.25">
      <c r="A35" s="31">
        <v>43084.634756944448</v>
      </c>
      <c r="B35" s="30" t="s">
        <v>469</v>
      </c>
      <c r="C35" s="30" t="s">
        <v>664</v>
      </c>
      <c r="D35" s="30" t="s">
        <v>95</v>
      </c>
      <c r="E35" s="30" t="s">
        <v>190</v>
      </c>
      <c r="F35" s="42">
        <v>450</v>
      </c>
      <c r="G35" s="42">
        <v>503</v>
      </c>
      <c r="H35" s="42">
        <v>14285</v>
      </c>
      <c r="I35" s="42">
        <v>16129</v>
      </c>
      <c r="J35" s="30" t="s">
        <v>191</v>
      </c>
      <c r="K35" s="42">
        <v>13572</v>
      </c>
      <c r="L35" s="121" t="s">
        <v>50</v>
      </c>
      <c r="M35" s="122">
        <f t="shared" si="0"/>
        <v>-1350.0959999999998</v>
      </c>
      <c r="N35" s="123" t="str">
        <f>VLOOKUP(C35,'Trips&amp;Operators'!$C$1:$G$99911,5,FALSE)</f>
        <v>WEST BRYAN</v>
      </c>
      <c r="O35" s="163" t="s">
        <v>178</v>
      </c>
      <c r="P35" s="192"/>
      <c r="Q35" s="30"/>
      <c r="R35" s="71" t="str">
        <f>VLOOKUP(C35,'Train Runs'!$A$13:$AE$10209,31,0)</f>
        <v>aws s3 cp s3://rtdc.mdm.uploadarchive.raw/RTDC4050/ "%USERPROFILE%\AppData\Local\Temp\OnboardLogs"\RTDC4050\2017-12-15 --exclude "*" --recursive --include "*20171215*" &amp; "%USERPROFILE%\Documents\GitHub\mrs-test-scripts\Headless Mode &amp; Sideloading\WalkAndUnGZ.bat" "%USERPROFILE%\AppData\Local\Temp\OnboardLogs"\RTDC4050\2017-12-15 &amp; 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</v>
      </c>
      <c r="S35" s="74" t="str">
        <f>VLOOKUP(C35,'Train Runs'!$A$13:$AE$10209,22,0)</f>
        <v>https://d0f6bd738d7f1b3e5a7ca70fe4ff75f0.us-east-1.aws.found.io/app/kibana#/discover/Steve-Slow-Train-Analysis-(2080s-and-2083s)?_g=(refreshInterval:(display:Off,pause:!f,section:0,value:0),time:(from:'2017-12-15T14:05:54-0700',mode:absolute,to:'2017-12-15T16:25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5" s="76" t="str">
        <f t="shared" si="1"/>
        <v>"C:\Program Files (x86)\AstroGrep\AstroGrep.exe" /e /r /s /spath="%USERPROFILE%\AppData\Local\Temp\OnboardLogs" /stypes="*4050*201712152*" /stext=" 22:.+((SYSTEM_STATE.+slice.+state.+changed )|(ment ac)|(multiple cpu faults)|(system.+state.+changed )|(\[timeout)|(PRM\|1\|D)|(kpr)|(kdp)|(train st.+moving)|(\|lc)|(penalty))"</v>
      </c>
      <c r="U35" s="9" t="str">
        <f t="shared" si="2"/>
        <v>4050</v>
      </c>
      <c r="V35" s="31">
        <f t="shared" si="3"/>
        <v>43084.926423611112</v>
      </c>
      <c r="W35" s="45" t="str">
        <f t="shared" si="4"/>
        <v>NW</v>
      </c>
      <c r="X35" s="185">
        <f t="shared" si="5"/>
        <v>825</v>
      </c>
      <c r="Y35" s="191" t="str">
        <f t="shared" si="6"/>
        <v>echo {"issue":{"subject":"","project_id":79,"tracker_id":40,"status_id":1,"priority_id":2,"assigned_to_id":338,"start_date":"2017-12-15","description":"","custom_fields":[{"id":1,"name":"Subdivision","value":"NW"},{"id":4,"name":"Milepost","value":"1.3572"},{"id":17,"name":"Train ID","value":"825-15"},{"id":16,"name":"Locomotive ID","value":"4050"},{"id":130,"name":"Impact","value":""},{"id":150,"name":"Time of Event (Mountain Time)","value":"15:14:03"},{"id":151,"name":"Denver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48"/>
      <c r="AA35" s="188"/>
      <c r="AB35" s="188"/>
      <c r="AC35" s="105" t="str">
        <f t="shared" si="7"/>
        <v>grep -hrE -A400 "Enforcement Action" /c/Users/stu/AppData/Local/Temp/OnboardLogs/RTDC4050 --include="*4050*201712152*"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"%USERPROFILE%\AppData\Local\Temp\OnboardLogs"\RTDC4050\*4050*201712152* &gt;&gt; 2017-12-15-SliceDisagreementCheck.txt</v>
      </c>
      <c r="AE35" s="134" t="str">
        <f t="shared" si="8"/>
        <v>start /low /b %USERPROFILE%\Documents\GitHub\eaglep3\Utilities\DownloadLogsFromS3.py --loco 4050 --day 2017-12-15</v>
      </c>
      <c r="AF35" s="1"/>
    </row>
    <row r="36" spans="1:32" x14ac:dyDescent="0.25">
      <c r="A36" s="31">
        <v>43084.506944444445</v>
      </c>
      <c r="B36" s="30" t="s">
        <v>654</v>
      </c>
      <c r="C36" s="30" t="s">
        <v>659</v>
      </c>
      <c r="D36" s="30" t="s">
        <v>95</v>
      </c>
      <c r="E36" s="30" t="s">
        <v>354</v>
      </c>
      <c r="F36" s="42">
        <v>0</v>
      </c>
      <c r="G36" s="42">
        <v>138</v>
      </c>
      <c r="H36" s="42">
        <v>1921</v>
      </c>
      <c r="I36" s="42">
        <v>2051</v>
      </c>
      <c r="J36" s="30" t="s">
        <v>355</v>
      </c>
      <c r="K36" s="42">
        <v>1725</v>
      </c>
      <c r="L36" s="121" t="s">
        <v>50</v>
      </c>
      <c r="M36" s="122">
        <f t="shared" si="0"/>
        <v>-172.12799999999999</v>
      </c>
      <c r="N36" s="123" t="str">
        <f>VLOOKUP(C36,'Trips&amp;Operators'!$C$1:$G$99911,5,FALSE)</f>
        <v>DELGADO DIANAH</v>
      </c>
      <c r="O36" s="163" t="s">
        <v>348</v>
      </c>
      <c r="P36" s="192" t="s">
        <v>1096</v>
      </c>
      <c r="Q36" s="30"/>
      <c r="R36" s="71" t="str">
        <f>VLOOKUP(C36,'Train Runs'!$A$13:$AE$10209,31,0)</f>
        <v>aws s3 cp s3://rtdc.mdm.uploadarchive.raw/RTDC4002/ "%USERPROFILE%\AppData\Local\Temp\OnboardLogs"\RTDC4002\2017-12-15 --exclude "*" --recursive --include "*20171215*" &amp; "%USERPROFILE%\Documents\GitHub\mrs-test-scripts\Headless Mode &amp; Sideloading\WalkAndUnGZ.bat" "%USERPROFILE%\AppData\Local\Temp\OnboardLogs"\RTDC4002\2017-12-15 &amp; aws s3 cp s3://rtdc.mdm.uploadarchive.raw/RTDC4002/ "%USERPROFILE%\AppData\Local\Temp\OnboardLogs"\RTDC4002\2017-12-16 --exclude "*" --recursive --include "*20171216*" &amp; "%USERPROFILE%\Documents\GitHub\mrs-test-scripts\Headless Mode &amp; Sideloading\WalkAndUnGZ.bat" "%USERPROFILE%\AppData\Local\Temp\OnboardLogs"\RTDC4002\2017-12-16</v>
      </c>
      <c r="S36" s="74" t="str">
        <f>VLOOKUP(C36,'Train Runs'!$A$13:$AE$10209,22,0)</f>
        <v>https://d0f6bd738d7f1b3e5a7ca70fe4ff75f0.us-east-1.aws.found.io/app/kibana#/discover/Steve-Slow-Train-Analysis-(2080s-and-2083s)?_g=(refreshInterval:(display:Off,pause:!f,section:0,value:0),time:(from:'2017-12-15T11:05:17-0700',mode:absolute,to:'2017-12-15T13:25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6" s="76" t="str">
        <f t="shared" si="1"/>
        <v>"C:\Program Files (x86)\AstroGrep\AstroGrep.exe" /e /r /s /spath="%USERPROFILE%\AppData\Local\Temp\OnboardLogs" /stypes="*4002*201712151*" /stext=" 19:.+((SYSTEM_STATE.+slice.+state.+changed )|(ment ac)|(multiple cpu faults)|(system.+state.+changed )|(\[timeout)|(PRM\|1\|D)|(kpr)|(kdp)|(train st.+moving)|(\|lc)|(penalty))"</v>
      </c>
      <c r="U36" s="9" t="str">
        <f t="shared" si="2"/>
        <v>4002</v>
      </c>
      <c r="V36" s="31">
        <f t="shared" si="3"/>
        <v>43084.798611111109</v>
      </c>
      <c r="W36" s="45" t="str">
        <f t="shared" si="4"/>
        <v>NW</v>
      </c>
      <c r="X36" s="185">
        <f t="shared" si="5"/>
        <v>819</v>
      </c>
      <c r="Y36" s="191" t="str">
        <f t="shared" si="6"/>
        <v>echo {"issue":{"subject":"Poor GPS at DUS","project_id":79,"tracker_id":40,"status_id":1,"priority_id":2,"assigned_to_id":338,"start_date":"2017-12-15","description":"","custom_fields":[{"id":1,"name":"Subdivision","value":"NW"},{"id":4,"name":"Milepost","value":"0.1725"},{"id":17,"name":"Train ID","value":"819-15"},{"id":16,"name":"Locomotive ID","value":"4002"},{"id":130,"name":"Impact","value":""},{"id":150,"name":"Time of Event (Mountain Time)","value":"12:10:00"},{"id":151,"name":"Denver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48"/>
      <c r="AA36" s="188"/>
      <c r="AB36" s="188"/>
      <c r="AC36" s="105" t="str">
        <f t="shared" si="7"/>
        <v>grep -hrE -A400 "Enforcement Action" /c/Users/stu/AppData/Local/Temp/OnboardLogs/RTDC4002 --include="*4002*201712151*"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"%USERPROFILE%\AppData\Local\Temp\OnboardLogs"\RTDC4002\*4002*201712151* &gt;&gt; 2017-12-15-SliceDisagreementCheck.txt</v>
      </c>
      <c r="AE36" s="134" t="str">
        <f t="shared" si="8"/>
        <v>start /low /b %USERPROFILE%\Documents\GitHub\eaglep3\Utilities\DownloadLogsFromS3.py --loco 4002 --day 2017-12-15</v>
      </c>
      <c r="AF36" s="1"/>
    </row>
    <row r="37" spans="1:32" x14ac:dyDescent="0.25">
      <c r="A37" s="31">
        <v>43084.694861111115</v>
      </c>
      <c r="B37" s="30" t="s">
        <v>356</v>
      </c>
      <c r="C37" s="30" t="s">
        <v>666</v>
      </c>
      <c r="D37" s="30" t="s">
        <v>95</v>
      </c>
      <c r="E37" s="30" t="s">
        <v>354</v>
      </c>
      <c r="F37" s="42">
        <v>0</v>
      </c>
      <c r="G37" s="42">
        <v>140</v>
      </c>
      <c r="H37" s="42">
        <v>2836</v>
      </c>
      <c r="I37" s="42">
        <v>3095</v>
      </c>
      <c r="J37" s="30" t="s">
        <v>355</v>
      </c>
      <c r="K37" s="42">
        <v>4790</v>
      </c>
      <c r="L37" s="121" t="s">
        <v>51</v>
      </c>
      <c r="M37" s="122">
        <f t="shared" si="0"/>
        <v>-894.96</v>
      </c>
      <c r="N37" s="123" t="str">
        <f>VLOOKUP(C37,'Trips&amp;Operators'!$C$1:$G$99911,5,FALSE)</f>
        <v>LORI SANTOS</v>
      </c>
      <c r="O37" s="163" t="s">
        <v>348</v>
      </c>
      <c r="P37" s="192" t="s">
        <v>1096</v>
      </c>
      <c r="Q37" s="30"/>
      <c r="R37" s="71" t="str">
        <f>VLOOKUP(C37,'Train Runs'!$A$13:$AE$10209,31,0)</f>
        <v>aws s3 cp s3://rtdc.mdm.uploadarchive.raw/RTDC4008/ "%USERPROFILE%\AppData\Local\Temp\OnboardLogs"\RTDC4008\2017-12-15 --exclude "*" --recursive --include "*20171215*" &amp; "%USERPROFILE%\Documents\GitHub\mrs-test-scripts\Headless Mode &amp; Sideloading\WalkAndUnGZ.bat" "%USERPROFILE%\AppData\Local\Temp\OnboardLogs"\RTDC4008\2017-12-15 &amp; aws s3 cp s3://rtdc.mdm.uploadarchive.raw/RTDC4008/ "%USERPROFILE%\AppData\Local\Temp\OnboardLogs"\RTDC4008\2017-12-16 --exclude "*" --recursive --include "*20171216*" &amp; "%USERPROFILE%\Documents\GitHub\mrs-test-scripts\Headless Mode &amp; Sideloading\WalkAndUnGZ.bat" "%USERPROFILE%\AppData\Local\Temp\OnboardLogs"\RTDC4008\2017-12-16</v>
      </c>
      <c r="S37" s="74" t="str">
        <f>VLOOKUP(C37,'Train Runs'!$A$13:$AE$10209,22,0)</f>
        <v>https://d0f6bd738d7f1b3e5a7ca70fe4ff75f0.us-east-1.aws.found.io/app/kibana#/discover/Steve-Slow-Train-Analysis-(2080s-and-2083s)?_g=(refreshInterval:(display:Off,pause:!f,section:0,value:0),time:(from:'2017-12-15T15:32:48-0700',mode:absolute,to:'2017-12-15T17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7" s="76" t="str">
        <f t="shared" si="1"/>
        <v>"C:\Program Files (x86)\AstroGrep\AstroGrep.exe" /e /r /s /spath="%USERPROFILE%\AppData\Local\Temp\OnboardLogs" /stypes="*4008*201712152*" /stext=" 23:.+((SYSTEM_STATE.+slice.+state.+changed )|(ment ac)|(multiple cpu faults)|(system.+state.+changed )|(\[timeout)|(PRM\|1\|D)|(kpr)|(kdp)|(train st.+moving)|(\|lc)|(penalty))"</v>
      </c>
      <c r="U37" s="9" t="str">
        <f t="shared" si="2"/>
        <v>4008</v>
      </c>
      <c r="V37" s="31">
        <f t="shared" si="3"/>
        <v>43084.986527777779</v>
      </c>
      <c r="W37" s="45" t="str">
        <f t="shared" si="4"/>
        <v>NW</v>
      </c>
      <c r="X37" s="185">
        <f t="shared" si="5"/>
        <v>831</v>
      </c>
      <c r="Y37" s="191" t="str">
        <f t="shared" si="6"/>
        <v>echo {"issue":{"subject":"Poor GPS at DUS","project_id":79,"tracker_id":40,"status_id":1,"priority_id":2,"assigned_to_id":338,"start_date":"2017-12-15","description":"","custom_fields":[{"id":1,"name":"Subdivision","value":"NW"},{"id":4,"name":"Milepost","value":"0.479"},{"id":17,"name":"Train ID","value":"831-15"},{"id":16,"name":"Locomotive ID","value":"4008"},{"id":130,"name":"Impact","value":""},{"id":150,"name":"Time of Event (Mountain Time)","value":"16:40:36"},{"id":151,"name":"Denver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48"/>
      <c r="AA37" s="188"/>
      <c r="AB37" s="188"/>
      <c r="AC37" s="105" t="str">
        <f t="shared" si="7"/>
        <v>grep -hrE -A400 "Enforcement Action" /c/Users/stu/AppData/Local/Temp/OnboardLogs/RTDC4008 --include="*4008*201712152*"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"%USERPROFILE%\AppData\Local\Temp\OnboardLogs"\RTDC4008\*4008*201712152* &gt;&gt; 2017-12-15-SliceDisagreementCheck.txt</v>
      </c>
      <c r="AE37" s="134" t="str">
        <f t="shared" si="8"/>
        <v>start /low /b %USERPROFILE%\Documents\GitHub\eaglep3\Utilities\DownloadLogsFromS3.py --loco 4008 --day 2017-12-15</v>
      </c>
      <c r="AF37" s="1"/>
    </row>
    <row r="38" spans="1:32" x14ac:dyDescent="0.25">
      <c r="A38" s="31">
        <v>43084.724351851852</v>
      </c>
      <c r="B38" s="30" t="s">
        <v>358</v>
      </c>
      <c r="C38" s="30" t="s">
        <v>669</v>
      </c>
      <c r="D38" s="30" t="s">
        <v>49</v>
      </c>
      <c r="E38" s="30" t="s">
        <v>670</v>
      </c>
      <c r="F38" s="42">
        <v>100</v>
      </c>
      <c r="G38" s="42">
        <v>165</v>
      </c>
      <c r="H38" s="42">
        <v>5125</v>
      </c>
      <c r="I38" s="42">
        <v>4962</v>
      </c>
      <c r="J38" s="30" t="s">
        <v>184</v>
      </c>
      <c r="K38" s="42">
        <v>4701</v>
      </c>
      <c r="L38" s="121" t="s">
        <v>51</v>
      </c>
      <c r="M38" s="122">
        <f t="shared" si="0"/>
        <v>137.80799999999999</v>
      </c>
      <c r="N38" s="123" t="str">
        <f>VLOOKUP(C38,'Trips&amp;Operators'!$C$1:$G$99911,5,FALSE)</f>
        <v>LORI SANTOS</v>
      </c>
      <c r="O38" s="163" t="s">
        <v>178</v>
      </c>
      <c r="P38" s="192"/>
      <c r="Q38" s="30"/>
      <c r="R38" s="71" t="str">
        <f>VLOOKUP(C38,'Train Runs'!$A$13:$AE$10209,31,0)</f>
        <v>aws s3 cp s3://rtdc.mdm.uploadarchive.raw/RTDC4007/ "%USERPROFILE%\AppData\Local\Temp\OnboardLogs"\RTDC4007\2017-12-15 --exclude "*" --recursive --include "*20171215*" &amp; "%USERPROFILE%\Documents\GitHub\mrs-test-scripts\Headless Mode &amp; Sideloading\WalkAndUnGZ.bat" "%USERPROFILE%\AppData\Local\Temp\OnboardLogs"\RTDC4007\2017-12-15 &amp; aws s3 cp s3://rtdc.mdm.uploadarchive.raw/RTDC4007/ "%USERPROFILE%\AppData\Local\Temp\OnboardLogs"\RTDC4007\2017-12-16 --exclude "*" --recursive --include "*20171216*" &amp; "%USERPROFILE%\Documents\GitHub\mrs-test-scripts\Headless Mode &amp; Sideloading\WalkAndUnGZ.bat" "%USERPROFILE%\AppData\Local\Temp\OnboardLogs"\RTDC4007\2017-12-16</v>
      </c>
      <c r="S38" s="74" t="str">
        <f>VLOOKUP(C38,'Train Runs'!$A$13:$AE$10209,22,0)</f>
        <v>https://d0f6bd738d7f1b3e5a7ca70fe4ff75f0.us-east-1.aws.found.io/app/kibana#/discover/Steve-Slow-Train-Analysis-(2080s-and-2083s)?_g=(refreshInterval:(display:Off,pause:!f,section:0,value:0),time:(from:'2017-12-15T15:57:56-0700',mode:absolute,to:'2017-12-15T18:26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8" s="76" t="str">
        <f t="shared" si="1"/>
        <v>"C:\Program Files (x86)\AstroGrep\AstroGrep.exe" /e /r /s /spath="%USERPROFILE%\AppData\Local\Temp\OnboardLogs" /stypes="*4007*201712160*" /stext=" 00:.+((SYSTEM_STATE.+slice.+state.+changed )|(ment ac)|(multiple cpu faults)|(system.+state.+changed )|(\[timeout)|(PRM\|1\|D)|(kpr)|(kdp)|(train st.+moving)|(\|lc)|(penalty))"</v>
      </c>
      <c r="U38" s="9" t="str">
        <f t="shared" si="2"/>
        <v>4007</v>
      </c>
      <c r="V38" s="31">
        <f t="shared" si="3"/>
        <v>43085.016018518516</v>
      </c>
      <c r="W38" s="45" t="str">
        <f t="shared" si="4"/>
        <v>NW</v>
      </c>
      <c r="X38" s="185">
        <f t="shared" si="5"/>
        <v>832</v>
      </c>
      <c r="Y38" s="191" t="str">
        <f t="shared" si="6"/>
        <v>echo {"issue":{"subject":"","project_id":79,"tracker_id":40,"status_id":1,"priority_id":2,"assigned_to_id":338,"start_date":"2017-12-15","description":"","custom_fields":[{"id":1,"name":"Subdivision","value":"NW"},{"id":4,"name":"Milepost","value":"0.4701"},{"id":17,"name":"Train ID","value":"832-15"},{"id":16,"name":"Locomotive ID","value":"4007"},{"id":130,"name":"Impact","value":""},{"id":150,"name":"Time of Event (Mountain Time)","value":"17:23:04"},{"id":151,"name":"Denver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48"/>
      <c r="AA38" s="188"/>
      <c r="AB38" s="188"/>
      <c r="AC38" s="105" t="str">
        <f t="shared" si="7"/>
        <v>grep -hrE -A400 "Enforcement Action" /c/Users/stu/AppData/Local/Temp/OnboardLogs/RTDC4007 --include="*4007*201712160*"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"%USERPROFILE%\AppData\Local\Temp\OnboardLogs"\RTDC4007\*4007*201712160* &gt;&gt; 2017-12-15-SliceDisagreementCheck.txt</v>
      </c>
      <c r="AE38" s="134" t="str">
        <f t="shared" si="8"/>
        <v>start /low /b %USERPROFILE%\Documents\GitHub\eaglep3\Utilities\DownloadLogsFromS3.py --loco 4007 --day 2017-12-16</v>
      </c>
      <c r="AF38" s="1"/>
    </row>
    <row r="39" spans="1:32" x14ac:dyDescent="0.25">
      <c r="A39" s="31">
        <v>43084.558229166665</v>
      </c>
      <c r="B39" s="30" t="s">
        <v>654</v>
      </c>
      <c r="C39" s="30" t="s">
        <v>660</v>
      </c>
      <c r="D39" s="30" t="s">
        <v>49</v>
      </c>
      <c r="E39" s="30" t="s">
        <v>516</v>
      </c>
      <c r="F39" s="42">
        <v>0</v>
      </c>
      <c r="G39" s="42">
        <v>156</v>
      </c>
      <c r="H39" s="42">
        <v>57941</v>
      </c>
      <c r="I39" s="42">
        <v>58218</v>
      </c>
      <c r="J39" s="30" t="s">
        <v>517</v>
      </c>
      <c r="K39" s="42">
        <v>59048</v>
      </c>
      <c r="L39" s="121" t="s">
        <v>50</v>
      </c>
      <c r="M39" s="122">
        <f t="shared" si="0"/>
        <v>438.24</v>
      </c>
      <c r="N39" s="123" t="str">
        <f>VLOOKUP(C39,'Trips&amp;Operators'!$C$1:$G$99911,5,FALSE)</f>
        <v>WEST BRYAN</v>
      </c>
      <c r="O39" s="163" t="s">
        <v>178</v>
      </c>
      <c r="P39" s="192"/>
      <c r="Q39" s="30"/>
      <c r="R39" s="71" t="str">
        <f>VLOOKUP(C39,'Train Runs'!$A$13:$AE$10209,31,0)</f>
        <v>aws s3 cp s3://rtdc.mdm.uploadarchive.raw/RTDC4002/ "%USERPROFILE%\AppData\Local\Temp\OnboardLogs"\RTDC4002\2017-12-15 --exclude "*" --recursive --include "*20171215*" &amp; "%USERPROFILE%\Documents\GitHub\mrs-test-scripts\Headless Mode &amp; Sideloading\WalkAndUnGZ.bat" "%USERPROFILE%\AppData\Local\Temp\OnboardLogs"\RTDC4002\2017-12-15 &amp; aws s3 cp s3://rtdc.mdm.uploadarchive.raw/RTDC4002/ "%USERPROFILE%\AppData\Local\Temp\OnboardLogs"\RTDC4002\2017-12-16 --exclude "*" --recursive --include "*20171216*" &amp; "%USERPROFILE%\Documents\GitHub\mrs-test-scripts\Headless Mode &amp; Sideloading\WalkAndUnGZ.bat" "%USERPROFILE%\AppData\Local\Temp\OnboardLogs"\RTDC4002\2017-12-16</v>
      </c>
      <c r="S39" s="74" t="str">
        <f>VLOOKUP(C39,'Train Runs'!$A$13:$AE$10209,22,0)</f>
        <v>https://d0f6bd738d7f1b3e5a7ca70fe4ff75f0.us-east-1.aws.found.io/app/kibana#/discover/Steve-Slow-Train-Analysis-(2080s-and-2083s)?_g=(refreshInterval:(display:Off,pause:!f,section:0,value:0),time:(from:'2017-12-15T11:59:29-0700',mode:absolute,to:'2017-12-15T14:26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9" s="76" t="str">
        <f t="shared" si="1"/>
        <v>"C:\Program Files (x86)\AstroGrep\AstroGrep.exe" /e /r /s /spath="%USERPROFILE%\AppData\Local\Temp\OnboardLogs" /stypes="*4002*201712152*" /stext=" 20:.+((SYSTEM_STATE.+slice.+state.+changed )|(ment ac)|(multiple cpu faults)|(system.+state.+changed )|(\[timeout)|(PRM\|1\|D)|(kpr)|(kdp)|(train st.+moving)|(\|lc)|(penalty))"</v>
      </c>
      <c r="U39" s="9" t="str">
        <f t="shared" si="2"/>
        <v>4002</v>
      </c>
      <c r="V39" s="31">
        <f t="shared" si="3"/>
        <v>43084.849895833329</v>
      </c>
      <c r="W39" s="45" t="str">
        <f t="shared" si="4"/>
        <v>NW</v>
      </c>
      <c r="X39" s="185">
        <f t="shared" si="5"/>
        <v>821</v>
      </c>
      <c r="Y39" s="191" t="str">
        <f t="shared" si="6"/>
        <v>echo {"issue":{"subject":"","project_id":79,"tracker_id":40,"status_id":1,"priority_id":2,"assigned_to_id":338,"start_date":"2017-12-15","description":"","custom_fields":[{"id":1,"name":"Subdivision","value":"NW"},{"id":4,"name":"Milepost","value":"5.9048"},{"id":17,"name":"Train ID","value":"821-15"},{"id":16,"name":"Locomotive ID","value":"4002"},{"id":130,"name":"Impact","value":""},{"id":150,"name":"Time of Event (Mountain Time)","value":"13:23:51"},{"id":151,"name":"Denver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9" s="148"/>
      <c r="AA39" s="188"/>
      <c r="AB39" s="188"/>
      <c r="AC39" s="105" t="str">
        <f t="shared" si="7"/>
        <v>grep -hrE -A400 "Enforcement Action" /c/Users/stu/AppData/Local/Temp/OnboardLogs/RTDC4002 --include="*4002*201712152*"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"%USERPROFILE%\AppData\Local\Temp\OnboardLogs"\RTDC4002\*4002*201712152* &gt;&gt; 2017-12-15-SliceDisagreementCheck.txt</v>
      </c>
      <c r="AE39" s="134" t="str">
        <f t="shared" si="8"/>
        <v>start /low /b %USERPROFILE%\Documents\GitHub\eaglep3\Utilities\DownloadLogsFromS3.py --loco 4002 --day 2017-12-15</v>
      </c>
      <c r="AF39" s="1"/>
    </row>
    <row r="40" spans="1:32" x14ac:dyDescent="0.25">
      <c r="A40" s="31">
        <v>43084.723981481482</v>
      </c>
      <c r="B40" s="30" t="s">
        <v>495</v>
      </c>
      <c r="C40" s="30" t="s">
        <v>668</v>
      </c>
      <c r="D40" s="30" t="s">
        <v>49</v>
      </c>
      <c r="E40" s="30" t="s">
        <v>354</v>
      </c>
      <c r="F40" s="42">
        <v>0</v>
      </c>
      <c r="G40" s="42">
        <v>91</v>
      </c>
      <c r="H40" s="42">
        <v>7219</v>
      </c>
      <c r="I40" s="42">
        <v>7088</v>
      </c>
      <c r="J40" s="30" t="s">
        <v>355</v>
      </c>
      <c r="K40" s="42">
        <v>6799</v>
      </c>
      <c r="L40" s="121" t="s">
        <v>51</v>
      </c>
      <c r="M40" s="122">
        <f t="shared" si="0"/>
        <v>152.59200000000001</v>
      </c>
      <c r="N40" s="123" t="str">
        <f>VLOOKUP(C40,'Trips&amp;Operators'!$C$1:$G$99911,5,FALSE)</f>
        <v>STRICKLAND EVAN</v>
      </c>
      <c r="O40" s="163" t="s">
        <v>178</v>
      </c>
      <c r="P40" s="192"/>
      <c r="Q40" s="30"/>
      <c r="R40" s="71" t="str">
        <f>VLOOKUP(C40,'Train Runs'!$A$13:$AE$10209,31,0)</f>
        <v>aws s3 cp s3://rtdc.mdm.uploadarchive.raw/RTDC4027/ "%USERPROFILE%\AppData\Local\Temp\OnboardLogs"\RTDC4027\2017-12-15 --exclude "*" --recursive --include "*20171215*" &amp; "%USERPROFILE%\Documents\GitHub\mrs-test-scripts\Headless Mode &amp; Sideloading\WalkAndUnGZ.bat" "%USERPROFILE%\AppData\Local\Temp\OnboardLogs"\RTDC4027\2017-12-15 &amp; aws s3 cp s3://rtdc.mdm.uploadarchive.raw/RTDC4027/ "%USERPROFILE%\AppData\Local\Temp\OnboardLogs"\RTDC4027\2017-12-16 --exclude "*" --recursive --include "*20171216*" &amp; "%USERPROFILE%\Documents\GitHub\mrs-test-scripts\Headless Mode &amp; Sideloading\WalkAndUnGZ.bat" "%USERPROFILE%\AppData\Local\Temp\OnboardLogs"\RTDC4027\2017-12-16</v>
      </c>
      <c r="S40" s="74" t="str">
        <f>VLOOKUP(C40,'Train Runs'!$A$13:$AE$10209,22,0)</f>
        <v>https://d0f6bd738d7f1b3e5a7ca70fe4ff75f0.us-east-1.aws.found.io/app/kibana#/discover/Steve-Slow-Train-Analysis-(2080s-and-2083s)?_g=(refreshInterval:(display:Off,pause:!f,section:0,value:0),time:(from:'2017-12-15T16:04:56-0700',mode:absolute,to:'2017-12-15T18:24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0" s="76" t="str">
        <f t="shared" si="1"/>
        <v>"C:\Program Files (x86)\AstroGrep\AstroGrep.exe" /e /r /s /spath="%USERPROFILE%\AppData\Local\Temp\OnboardLogs" /stypes="*4027*201712160*" /stext=" 00:.+((SYSTEM_STATE.+slice.+state.+changed )|(ment ac)|(multiple cpu faults)|(system.+state.+changed )|(\[timeout)|(PRM\|1\|D)|(kpr)|(kdp)|(train st.+moving)|(\|lc)|(penalty))"</v>
      </c>
      <c r="U40" s="9" t="str">
        <f t="shared" si="2"/>
        <v>4027</v>
      </c>
      <c r="V40" s="31">
        <f t="shared" si="3"/>
        <v>43085.015648148146</v>
      </c>
      <c r="W40" s="45" t="str">
        <f t="shared" si="4"/>
        <v>Shuttle/Test</v>
      </c>
      <c r="X40" s="185">
        <f t="shared" si="5"/>
        <v>71</v>
      </c>
      <c r="Y40" s="191" t="str">
        <f t="shared" si="6"/>
        <v>echo {"issue":{"subject":"","project_id":79,"tracker_id":40,"status_id":1,"priority_id":2,"assigned_to_id":338,"start_date":"2017-12-15","description":"","custom_fields":[{"id":1,"name":"Subdivision","value":"Shuttle/Test"},{"id":4,"name":"Milepost","value":"0.6799"},{"id":17,"name":"Train ID","value":"71-15"},{"id":16,"name":"Locomotive ID","value":"4027"},{"id":130,"name":"Impact","value":""},{"id":150,"name":"Time of Event (Mountain Time)","value":"17:22:32"},{"id":151,"name":"Denver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0" s="148"/>
      <c r="AA40" s="188"/>
      <c r="AB40" s="188"/>
      <c r="AC40" s="105" t="str">
        <f t="shared" si="7"/>
        <v>grep -hrE -A400 "Enforcement Action" /c/Users/stu/AppData/Local/Temp/OnboardLogs/RTDC4027 --include="*4027*201712160*"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"%USERPROFILE%\AppData\Local\Temp\OnboardLogs"\RTDC4027\*4027*201712160* &gt;&gt; 2017-12-15-SliceDisagreementCheck.txt</v>
      </c>
      <c r="AE40" s="134" t="str">
        <f t="shared" si="8"/>
        <v>start /low /b %USERPROFILE%\Documents\GitHub\eaglep3\Utilities\DownloadLogsFromS3.py --loco 4027 --day 2017-12-16</v>
      </c>
      <c r="AF40" s="1"/>
    </row>
  </sheetData>
  <autoFilter ref="A6:AC14">
    <sortState ref="A7:AC40">
      <sortCondition ref="W7:W40"/>
      <sortCondition ref="E7:E40"/>
      <sortCondition ref="K7:K40"/>
      <sortCondition ref="F7:F40"/>
    </sortState>
  </autoFilter>
  <sortState ref="A7:AE40">
    <sortCondition ref="W7:W40"/>
    <sortCondition ref="E7:E40"/>
    <sortCondition ref="C7:C40"/>
    <sortCondition ref="K7:K40"/>
    <sortCondition ref="F7:F40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40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AA7:AA40</xm:sqref>
        </x14:dataValidation>
        <x14:dataValidation type="list" allowBlank="1" showInputMessage="1" showErrorMessage="1">
          <x14:formula1>
            <xm:f>'Redmine List Values'!$C$2:$C$15</xm:f>
          </x14:formula1>
          <xm:sqref>AB7:AB40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200" customWidth="1"/>
    <col min="2" max="2" width="9.140625" style="2" customWidth="1"/>
    <col min="3" max="3" width="8" style="78" bestFit="1" customWidth="1"/>
    <col min="4" max="4" width="11.28515625" style="12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73" customWidth="1"/>
    <col min="10" max="10" width="9.140625" customWidth="1"/>
  </cols>
  <sheetData>
    <row r="1" spans="1:10" s="20" customFormat="1" x14ac:dyDescent="0.25">
      <c r="A1" s="200"/>
      <c r="B1" s="243" t="str">
        <f>"Trips that did not appear in PTC Data "&amp;TEXT(Variables!$A$2,"YYYY-mm-dd")</f>
        <v>Trips that did not appear in PTC Data 2017-12-15</v>
      </c>
      <c r="C1" s="243"/>
      <c r="D1" s="243"/>
      <c r="E1" s="243"/>
      <c r="F1" s="243"/>
      <c r="I1" s="173"/>
    </row>
    <row r="2" spans="1:10" s="23" customFormat="1" ht="45" x14ac:dyDescent="0.25">
      <c r="A2" s="237" t="s">
        <v>146</v>
      </c>
      <c r="B2" s="80" t="s">
        <v>58</v>
      </c>
      <c r="C2" s="77" t="s">
        <v>59</v>
      </c>
      <c r="D2" s="14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74" t="s">
        <v>101</v>
      </c>
      <c r="J2" s="28" t="s">
        <v>60</v>
      </c>
    </row>
    <row r="3" spans="1:10" x14ac:dyDescent="0.25">
      <c r="A3" s="220"/>
      <c r="B3" s="42" t="str">
        <f>A3&amp;"-"&amp;IF(DAY(Variables!$A$2)&lt;10,0,"")&amp;DAY(Variables!$A$2)</f>
        <v>-15</v>
      </c>
      <c r="C3" s="124"/>
      <c r="D3" s="179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75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" s="30" t="e">
        <f>VLOOKUP(B3,'Train Runs'!$A$13:$A$100206,1,FALSE)</f>
        <v>#N/A</v>
      </c>
    </row>
    <row r="4" spans="1:10" x14ac:dyDescent="0.25">
      <c r="A4" s="220"/>
      <c r="B4" s="42" t="str">
        <f>A4&amp;"-"&amp;IF(DAY(Variables!$A$2)&lt;10,0,"")&amp;DAY(Variables!$A$2)</f>
        <v>-15</v>
      </c>
      <c r="C4" s="124"/>
      <c r="D4" s="142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" s="30" t="e">
        <f>VLOOKUP(B4,'Train Runs'!$A$13:$A$100206,1,FALSE)</f>
        <v>#N/A</v>
      </c>
    </row>
    <row r="5" spans="1:10" x14ac:dyDescent="0.25">
      <c r="A5" s="220"/>
      <c r="B5" s="42" t="str">
        <f>A5&amp;"-"&amp;IF(DAY(Variables!$A$2)&lt;10,0,"")&amp;DAY(Variables!$A$2)</f>
        <v>-15</v>
      </c>
      <c r="C5" s="124"/>
      <c r="D5" s="142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" s="30" t="e">
        <f>VLOOKUP(B5,'Train Runs'!$A$13:$A$100206,1,FALSE)</f>
        <v>#N/A</v>
      </c>
    </row>
    <row r="6" spans="1:10" x14ac:dyDescent="0.25">
      <c r="A6" s="220"/>
      <c r="B6" s="42" t="str">
        <f>A6&amp;"-"&amp;IF(DAY(Variables!$A$2)&lt;10,0,"")&amp;DAY(Variables!$A$2)</f>
        <v>-15</v>
      </c>
      <c r="C6" s="124"/>
      <c r="D6" s="14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" s="30" t="e">
        <f>VLOOKUP(B6,'Train Runs'!$A$13:$A$100206,1,FALSE)</f>
        <v>#N/A</v>
      </c>
    </row>
    <row r="7" spans="1:10" x14ac:dyDescent="0.25">
      <c r="A7" s="220"/>
      <c r="B7" s="42" t="str">
        <f>A7&amp;"-"&amp;IF(DAY(Variables!$A$2)&lt;10,0,"")&amp;DAY(Variables!$A$2)</f>
        <v>-15</v>
      </c>
      <c r="C7" s="124"/>
      <c r="D7" s="14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" s="30" t="e">
        <f>VLOOKUP(B7,'Train Runs'!$A$13:$A$100206,1,FALSE)</f>
        <v>#N/A</v>
      </c>
    </row>
    <row r="8" spans="1:10" x14ac:dyDescent="0.25">
      <c r="A8" s="220"/>
      <c r="B8" s="42" t="str">
        <f>A8&amp;"-"&amp;IF(DAY(Variables!$A$2)&lt;10,0,"")&amp;DAY(Variables!$A$2)</f>
        <v>-15</v>
      </c>
      <c r="C8" s="124"/>
      <c r="D8" s="14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" s="30" t="e">
        <f>VLOOKUP(B8,'Train Runs'!$A$13:$A$100206,1,FALSE)</f>
        <v>#N/A</v>
      </c>
    </row>
    <row r="9" spans="1:10" x14ac:dyDescent="0.25">
      <c r="A9" s="220"/>
      <c r="B9" s="42" t="str">
        <f>A9&amp;"-"&amp;IF(DAY(Variables!$A$2)&lt;10,0,"")&amp;DAY(Variables!$A$2)</f>
        <v>-15</v>
      </c>
      <c r="C9" s="124"/>
      <c r="D9" s="14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" s="30" t="e">
        <f>VLOOKUP(B9,'Train Runs'!$A$13:$A$100206,1,FALSE)</f>
        <v>#N/A</v>
      </c>
    </row>
    <row r="10" spans="1:10" x14ac:dyDescent="0.25">
      <c r="A10" s="220"/>
      <c r="B10" s="42" t="str">
        <f>A10&amp;"-"&amp;IF(DAY(Variables!$A$2)&lt;10,0,"")&amp;DAY(Variables!$A$2)</f>
        <v>-15</v>
      </c>
      <c r="C10" s="124"/>
      <c r="D10" s="14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0" s="30" t="e">
        <f>VLOOKUP(B10,'Train Runs'!$A$13:$A$100206,1,FALSE)</f>
        <v>#N/A</v>
      </c>
    </row>
    <row r="11" spans="1:10" x14ac:dyDescent="0.25">
      <c r="A11" s="220"/>
      <c r="B11" s="42" t="str">
        <f>A11&amp;"-"&amp;IF(DAY(Variables!$A$2)&lt;10,0,"")&amp;DAY(Variables!$A$2)</f>
        <v>-15</v>
      </c>
      <c r="C11" s="124"/>
      <c r="D11" s="14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1" s="30" t="e">
        <f>VLOOKUP(B11,'Train Runs'!$A$13:$A$100206,1,FALSE)</f>
        <v>#N/A</v>
      </c>
    </row>
    <row r="12" spans="1:10" x14ac:dyDescent="0.25">
      <c r="A12" s="220"/>
      <c r="B12" s="42" t="str">
        <f>A12&amp;"-"&amp;IF(DAY(Variables!$A$2)&lt;10,0,"")&amp;DAY(Variables!$A$2)</f>
        <v>-15</v>
      </c>
      <c r="C12" s="124"/>
      <c r="D12" s="14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2" s="30" t="e">
        <f>VLOOKUP(B12,'Train Runs'!$A$13:$A$100206,1,FALSE)</f>
        <v>#N/A</v>
      </c>
    </row>
    <row r="13" spans="1:10" x14ac:dyDescent="0.25">
      <c r="A13" s="220"/>
      <c r="B13" s="42" t="str">
        <f>A13&amp;"-"&amp;IF(DAY(Variables!$A$2)&lt;10,0,"")&amp;DAY(Variables!$A$2)</f>
        <v>-15</v>
      </c>
      <c r="C13" s="124"/>
      <c r="D13" s="14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3" s="30" t="e">
        <f>VLOOKUP(B13,'Train Runs'!$A$13:$A$100206,1,FALSE)</f>
        <v>#N/A</v>
      </c>
    </row>
    <row r="14" spans="1:10" x14ac:dyDescent="0.25">
      <c r="A14" s="220"/>
      <c r="B14" s="42" t="str">
        <f>A14&amp;"-"&amp;IF(DAY(Variables!$A$2)&lt;10,0,"")&amp;DAY(Variables!$A$2)</f>
        <v>-15</v>
      </c>
      <c r="C14" s="124"/>
      <c r="D14" s="14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4" s="30" t="e">
        <f>VLOOKUP(B14,'Train Runs'!$A$13:$A$100206,1,FALSE)</f>
        <v>#N/A</v>
      </c>
    </row>
    <row r="15" spans="1:10" x14ac:dyDescent="0.25">
      <c r="A15" s="220"/>
      <c r="B15" s="42" t="str">
        <f>A15&amp;"-"&amp;IF(DAY(Variables!$A$2)&lt;10,0,"")&amp;DAY(Variables!$A$2)</f>
        <v>-15</v>
      </c>
      <c r="C15" s="124"/>
      <c r="D15" s="14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5" s="30" t="e">
        <f>VLOOKUP(B15,'Train Runs'!$A$13:$A$100206,1,FALSE)</f>
        <v>#N/A</v>
      </c>
    </row>
    <row r="16" spans="1:10" x14ac:dyDescent="0.25">
      <c r="A16" s="220"/>
      <c r="B16" s="42" t="str">
        <f>A16&amp;"-"&amp;IF(DAY(Variables!$A$2)&lt;10,0,"")&amp;DAY(Variables!$A$2)</f>
        <v>-15</v>
      </c>
      <c r="C16" s="124"/>
      <c r="D16" s="14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6" s="30" t="e">
        <f>VLOOKUP(B16,'Train Runs'!$A$13:$A$100206,1,FALSE)</f>
        <v>#N/A</v>
      </c>
    </row>
    <row r="17" spans="1:10" x14ac:dyDescent="0.25">
      <c r="A17" s="220"/>
      <c r="B17" s="42" t="str">
        <f>A17&amp;"-"&amp;IF(DAY(Variables!$A$2)&lt;10,0,"")&amp;DAY(Variables!$A$2)</f>
        <v>-15</v>
      </c>
      <c r="C17" s="124"/>
      <c r="D17" s="14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7" s="30" t="e">
        <f>VLOOKUP(B17,'Train Runs'!$A$13:$A$100206,1,FALSE)</f>
        <v>#N/A</v>
      </c>
    </row>
    <row r="18" spans="1:10" x14ac:dyDescent="0.25">
      <c r="A18" s="220"/>
      <c r="B18" s="42" t="str">
        <f>A18&amp;"-"&amp;IF(DAY(Variables!$A$2)&lt;10,0,"")&amp;DAY(Variables!$A$2)</f>
        <v>-15</v>
      </c>
      <c r="C18" s="124"/>
      <c r="D18" s="14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8" s="30" t="e">
        <f>VLOOKUP(B18,'Train Runs'!$A$13:$A$100206,1,FALSE)</f>
        <v>#N/A</v>
      </c>
    </row>
    <row r="19" spans="1:10" x14ac:dyDescent="0.25">
      <c r="A19" s="220"/>
      <c r="B19" s="42"/>
      <c r="C19" s="124"/>
      <c r="D19" s="142"/>
      <c r="E19" s="30"/>
      <c r="F19" s="21"/>
      <c r="G19" s="21"/>
      <c r="H19" s="29"/>
      <c r="I19" s="175"/>
      <c r="J19" s="30"/>
    </row>
    <row r="20" spans="1:10" x14ac:dyDescent="0.25">
      <c r="A20" s="220"/>
      <c r="B20" s="42"/>
      <c r="C20" s="124"/>
      <c r="D20" s="142"/>
      <c r="E20" s="30"/>
      <c r="F20" s="21"/>
      <c r="G20" s="21"/>
      <c r="H20" s="29"/>
      <c r="I20" s="175"/>
      <c r="J20" s="30"/>
    </row>
    <row r="21" spans="1:10" x14ac:dyDescent="0.25">
      <c r="A21" s="220"/>
      <c r="B21" s="42"/>
      <c r="C21" s="124"/>
      <c r="D21" s="142"/>
      <c r="E21" s="30"/>
      <c r="F21" s="21"/>
      <c r="G21" s="21"/>
      <c r="H21" s="29"/>
      <c r="I21" s="175"/>
      <c r="J21" s="30"/>
    </row>
    <row r="22" spans="1:10" x14ac:dyDescent="0.25">
      <c r="A22" s="220"/>
      <c r="B22" s="42"/>
      <c r="C22" s="124"/>
      <c r="D22" s="142"/>
      <c r="E22" s="30"/>
      <c r="F22" s="21"/>
      <c r="G22" s="21"/>
      <c r="H22" s="29"/>
      <c r="I22" s="175"/>
      <c r="J22" s="30"/>
    </row>
    <row r="23" spans="1:10" x14ac:dyDescent="0.25">
      <c r="A23" s="220"/>
      <c r="B23" s="42"/>
      <c r="C23" s="124"/>
      <c r="D23" s="142"/>
      <c r="E23" s="30"/>
      <c r="F23" s="21"/>
      <c r="G23" s="21"/>
      <c r="H23" s="29"/>
      <c r="I23" s="175"/>
      <c r="J23" s="30"/>
    </row>
    <row r="24" spans="1:10" x14ac:dyDescent="0.25">
      <c r="A24" s="220"/>
      <c r="B24" s="42"/>
      <c r="C24" s="124"/>
      <c r="D24" s="142"/>
      <c r="E24" s="30"/>
      <c r="F24" s="21"/>
      <c r="G24" s="21"/>
      <c r="H24" s="29"/>
      <c r="I24" s="175"/>
      <c r="J24" s="30"/>
    </row>
    <row r="25" spans="1:10" x14ac:dyDescent="0.25">
      <c r="A25" s="220"/>
      <c r="B25" s="42"/>
      <c r="C25" s="124"/>
      <c r="D25" s="142"/>
      <c r="E25" s="30"/>
      <c r="F25" s="21"/>
      <c r="G25" s="21"/>
      <c r="H25" s="29"/>
      <c r="I25" s="175"/>
      <c r="J25" s="30"/>
    </row>
    <row r="26" spans="1:10" x14ac:dyDescent="0.25">
      <c r="A26" s="220"/>
      <c r="B26" s="42"/>
      <c r="C26" s="124"/>
      <c r="D26" s="142"/>
      <c r="E26" s="30"/>
      <c r="F26" s="21"/>
      <c r="G26" s="21"/>
      <c r="H26" s="29"/>
      <c r="I26" s="175"/>
      <c r="J26" s="30"/>
    </row>
    <row r="27" spans="1:10" x14ac:dyDescent="0.25">
      <c r="A27" s="220"/>
      <c r="B27" s="42"/>
      <c r="C27" s="124"/>
      <c r="D27" s="142"/>
      <c r="E27" s="30"/>
      <c r="F27" s="21"/>
      <c r="G27" s="21"/>
      <c r="H27" s="29"/>
      <c r="I27" s="175"/>
      <c r="J27" s="30"/>
    </row>
    <row r="28" spans="1:10" x14ac:dyDescent="0.25">
      <c r="A28" s="220"/>
      <c r="B28" s="42"/>
      <c r="C28" s="124"/>
      <c r="D28" s="142"/>
      <c r="E28" s="30"/>
      <c r="F28" s="21"/>
      <c r="G28" s="21"/>
      <c r="H28" s="29"/>
      <c r="I28" s="175"/>
      <c r="J28" s="30"/>
    </row>
    <row r="29" spans="1:10" x14ac:dyDescent="0.25">
      <c r="A29" s="220"/>
      <c r="B29" s="42"/>
      <c r="C29" s="124"/>
      <c r="D29" s="142"/>
      <c r="E29" s="30"/>
      <c r="F29" s="21"/>
      <c r="G29" s="21"/>
      <c r="H29" s="29"/>
      <c r="I29" s="175"/>
      <c r="J29" s="30"/>
    </row>
    <row r="30" spans="1:10" x14ac:dyDescent="0.25">
      <c r="A30" s="220"/>
      <c r="B30" s="42"/>
      <c r="C30" s="124"/>
      <c r="D30" s="142"/>
      <c r="E30" s="30"/>
      <c r="F30" s="21"/>
      <c r="G30" s="21"/>
      <c r="H30" s="29"/>
      <c r="I30" s="175"/>
      <c r="J30" s="30"/>
    </row>
    <row r="31" spans="1:10" x14ac:dyDescent="0.25">
      <c r="A31" s="220"/>
      <c r="B31" s="42"/>
      <c r="C31" s="124"/>
      <c r="D31" s="142"/>
      <c r="E31" s="30"/>
      <c r="F31" s="21"/>
      <c r="G31" s="21"/>
      <c r="H31" s="29"/>
      <c r="I31" s="175"/>
      <c r="J31" s="30"/>
    </row>
    <row r="32" spans="1:10" x14ac:dyDescent="0.25">
      <c r="A32" s="220"/>
      <c r="B32" s="42"/>
      <c r="C32" s="124"/>
      <c r="D32" s="142"/>
      <c r="E32" s="30"/>
      <c r="F32" s="21"/>
      <c r="G32" s="21"/>
      <c r="H32" s="29"/>
      <c r="I32" s="175"/>
      <c r="J32" s="30"/>
    </row>
    <row r="33" spans="1:10" x14ac:dyDescent="0.25">
      <c r="A33" s="220"/>
      <c r="B33" s="42"/>
      <c r="C33" s="124"/>
      <c r="D33" s="142"/>
      <c r="E33" s="30"/>
      <c r="F33" s="21"/>
      <c r="G33" s="21"/>
      <c r="H33" s="29"/>
      <c r="I33" s="175"/>
      <c r="J33" s="30"/>
    </row>
    <row r="34" spans="1:10" x14ac:dyDescent="0.25">
      <c r="A34" s="220"/>
      <c r="B34" s="42"/>
      <c r="C34" s="124"/>
      <c r="D34" s="142"/>
      <c r="E34" s="30"/>
      <c r="F34" s="21"/>
      <c r="G34" s="21"/>
      <c r="H34" s="29"/>
      <c r="I34" s="175"/>
      <c r="J34" s="30"/>
    </row>
    <row r="35" spans="1:10" x14ac:dyDescent="0.25">
      <c r="A35" s="220"/>
      <c r="B35" s="42"/>
      <c r="C35" s="124"/>
      <c r="D35" s="142"/>
      <c r="E35" s="30"/>
      <c r="F35" s="21"/>
      <c r="G35" s="21"/>
      <c r="H35" s="29"/>
      <c r="I35" s="175"/>
      <c r="J35" s="30"/>
    </row>
    <row r="36" spans="1:10" x14ac:dyDescent="0.25">
      <c r="A36" s="220"/>
      <c r="B36" s="42"/>
      <c r="C36" s="124"/>
      <c r="D36" s="142"/>
      <c r="E36" s="30"/>
      <c r="F36" s="21"/>
      <c r="G36" s="21"/>
      <c r="H36" s="29"/>
      <c r="I36" s="175"/>
      <c r="J36" s="30"/>
    </row>
    <row r="37" spans="1:10" x14ac:dyDescent="0.25">
      <c r="A37" s="220"/>
      <c r="B37" s="42"/>
      <c r="C37" s="124"/>
      <c r="D37" s="142"/>
      <c r="E37" s="30"/>
      <c r="F37" s="21"/>
      <c r="G37" s="21"/>
      <c r="H37" s="29"/>
      <c r="I37" s="175"/>
      <c r="J37" s="30"/>
    </row>
    <row r="38" spans="1:10" x14ac:dyDescent="0.25">
      <c r="A38" s="220"/>
      <c r="B38" s="42"/>
      <c r="C38" s="124"/>
      <c r="D38" s="142"/>
      <c r="E38" s="30"/>
      <c r="F38" s="21"/>
      <c r="G38" s="21"/>
      <c r="H38" s="29"/>
      <c r="I38" s="175"/>
      <c r="J38" s="30"/>
    </row>
    <row r="39" spans="1:10" x14ac:dyDescent="0.25">
      <c r="A39" s="220"/>
      <c r="B39" s="42"/>
      <c r="C39" s="124"/>
      <c r="D39" s="142"/>
      <c r="E39" s="30"/>
      <c r="F39" s="21"/>
      <c r="G39" s="21"/>
      <c r="H39" s="29"/>
      <c r="I39" s="175"/>
      <c r="J39" s="30"/>
    </row>
    <row r="40" spans="1:10" x14ac:dyDescent="0.25">
      <c r="A40" s="220"/>
      <c r="B40" s="42"/>
      <c r="C40" s="124"/>
      <c r="D40" s="142"/>
      <c r="E40" s="30"/>
      <c r="F40" s="21"/>
      <c r="G40" s="21"/>
      <c r="H40" s="29"/>
      <c r="I40" s="175"/>
      <c r="J40" s="30"/>
    </row>
    <row r="41" spans="1:10" x14ac:dyDescent="0.25">
      <c r="A41" s="220"/>
      <c r="B41" s="42"/>
      <c r="C41" s="124"/>
      <c r="D41" s="142"/>
      <c r="E41" s="30"/>
      <c r="F41" s="21"/>
      <c r="G41" s="21"/>
      <c r="H41" s="29"/>
      <c r="I41" s="175"/>
      <c r="J41" s="30"/>
    </row>
    <row r="42" spans="1:10" x14ac:dyDescent="0.25">
      <c r="A42" s="220"/>
      <c r="B42" s="42"/>
      <c r="C42" s="124"/>
      <c r="D42" s="142"/>
      <c r="E42" s="30"/>
      <c r="F42" s="21"/>
      <c r="G42" s="21"/>
      <c r="H42" s="29"/>
      <c r="I42" s="175"/>
      <c r="J42" s="30"/>
    </row>
    <row r="43" spans="1:10" x14ac:dyDescent="0.25">
      <c r="A43" s="220"/>
      <c r="B43" s="42"/>
      <c r="C43" s="124"/>
      <c r="D43" s="142"/>
      <c r="E43" s="30"/>
      <c r="F43" s="21"/>
      <c r="G43" s="21"/>
      <c r="H43" s="29"/>
      <c r="I43" s="175"/>
      <c r="J43" s="30"/>
    </row>
    <row r="44" spans="1:10" x14ac:dyDescent="0.25">
      <c r="A44" s="220"/>
      <c r="B44" s="42"/>
      <c r="C44" s="124"/>
      <c r="D44" s="142"/>
      <c r="E44" s="30"/>
      <c r="F44" s="21"/>
      <c r="G44" s="21"/>
      <c r="H44" s="29"/>
      <c r="I44" s="175"/>
      <c r="J44" s="30"/>
    </row>
    <row r="45" spans="1:10" x14ac:dyDescent="0.25">
      <c r="A45" s="220"/>
      <c r="B45" s="42"/>
      <c r="C45" s="124"/>
      <c r="D45" s="142"/>
      <c r="E45" s="30"/>
      <c r="F45" s="21"/>
      <c r="G45" s="21"/>
      <c r="H45" s="29"/>
      <c r="I45" s="175"/>
      <c r="J45" s="30"/>
    </row>
    <row r="46" spans="1:10" x14ac:dyDescent="0.25">
      <c r="A46" s="220"/>
      <c r="B46" s="42"/>
      <c r="C46" s="124"/>
      <c r="D46" s="142"/>
      <c r="E46" s="30"/>
      <c r="F46" s="21"/>
      <c r="G46" s="21"/>
      <c r="H46" s="29"/>
      <c r="I46" s="175"/>
      <c r="J46" s="30"/>
    </row>
    <row r="47" spans="1:10" x14ac:dyDescent="0.25">
      <c r="A47" s="220"/>
      <c r="B47" s="42"/>
      <c r="C47" s="124"/>
      <c r="D47" s="142"/>
      <c r="E47" s="30"/>
      <c r="F47" s="21"/>
      <c r="G47" s="21"/>
      <c r="H47" s="29"/>
      <c r="I47" s="175"/>
      <c r="J47" s="30"/>
    </row>
    <row r="48" spans="1:10" x14ac:dyDescent="0.25">
      <c r="A48" s="220"/>
      <c r="B48" s="42"/>
      <c r="C48" s="124"/>
      <c r="D48" s="142"/>
      <c r="E48" s="30"/>
      <c r="F48" s="21"/>
      <c r="G48" s="21"/>
      <c r="H48" s="29"/>
      <c r="I48" s="175"/>
      <c r="J48" s="30"/>
    </row>
    <row r="49" spans="1:10" x14ac:dyDescent="0.25">
      <c r="A49" s="220"/>
      <c r="B49" s="42"/>
      <c r="C49" s="124"/>
      <c r="D49" s="142"/>
      <c r="E49" s="30"/>
      <c r="F49" s="21"/>
      <c r="G49" s="21"/>
      <c r="H49" s="29"/>
      <c r="I49" s="175"/>
      <c r="J49" s="30"/>
    </row>
    <row r="50" spans="1:10" x14ac:dyDescent="0.25">
      <c r="A50" s="220"/>
      <c r="B50" s="42"/>
      <c r="C50" s="124"/>
      <c r="D50" s="142"/>
      <c r="E50" s="30"/>
      <c r="F50" s="21"/>
      <c r="G50" s="21"/>
      <c r="H50" s="29"/>
      <c r="I50" s="175"/>
      <c r="J50" s="30"/>
    </row>
    <row r="51" spans="1:10" x14ac:dyDescent="0.25">
      <c r="A51" s="220"/>
      <c r="B51" s="42"/>
      <c r="C51" s="124"/>
      <c r="D51" s="142"/>
      <c r="E51" s="30"/>
      <c r="F51" s="21"/>
      <c r="G51" s="21"/>
      <c r="H51" s="29"/>
      <c r="I51" s="175"/>
      <c r="J51" s="30"/>
    </row>
    <row r="52" spans="1:10" x14ac:dyDescent="0.25">
      <c r="A52" s="220"/>
      <c r="B52" s="42"/>
      <c r="C52" s="124"/>
      <c r="D52" s="142"/>
      <c r="E52" s="30"/>
      <c r="F52" s="21"/>
      <c r="G52" s="21"/>
      <c r="H52" s="29"/>
      <c r="I52" s="175"/>
      <c r="J52" s="30"/>
    </row>
    <row r="53" spans="1:10" x14ac:dyDescent="0.25">
      <c r="A53" s="220"/>
      <c r="B53" s="42"/>
      <c r="C53" s="124"/>
      <c r="D53" s="142"/>
      <c r="E53" s="30"/>
      <c r="F53" s="21"/>
      <c r="G53" s="21"/>
      <c r="H53" s="29"/>
      <c r="I53" s="175"/>
      <c r="J53" s="30"/>
    </row>
    <row r="54" spans="1:10" x14ac:dyDescent="0.25">
      <c r="A54" s="220"/>
      <c r="B54" s="42"/>
      <c r="C54" s="124"/>
      <c r="D54" s="142"/>
      <c r="E54" s="30"/>
      <c r="F54" s="21"/>
      <c r="G54" s="21"/>
      <c r="H54" s="29"/>
      <c r="I54" s="175"/>
      <c r="J54" s="30"/>
    </row>
    <row r="55" spans="1:10" x14ac:dyDescent="0.25">
      <c r="A55" s="220"/>
      <c r="B55" s="42"/>
      <c r="C55" s="124"/>
      <c r="D55" s="142"/>
      <c r="E55" s="30"/>
      <c r="F55" s="21"/>
      <c r="G55" s="21"/>
      <c r="H55" s="29"/>
      <c r="I55" s="175"/>
      <c r="J55" s="30"/>
    </row>
    <row r="56" spans="1:10" x14ac:dyDescent="0.25">
      <c r="A56" s="220"/>
      <c r="B56" s="42"/>
      <c r="C56" s="124"/>
      <c r="D56" s="142"/>
      <c r="E56" s="30"/>
      <c r="F56" s="21"/>
      <c r="G56" s="21"/>
      <c r="H56" s="29"/>
      <c r="I56" s="175"/>
      <c r="J56" s="30"/>
    </row>
    <row r="57" spans="1:10" x14ac:dyDescent="0.25">
      <c r="A57" s="220"/>
      <c r="B57" s="42"/>
      <c r="C57" s="124"/>
      <c r="D57" s="142"/>
      <c r="E57" s="30"/>
      <c r="F57" s="21"/>
      <c r="G57" s="21"/>
      <c r="H57" s="29"/>
      <c r="I57" s="175"/>
      <c r="J57" s="30"/>
    </row>
    <row r="58" spans="1:10" x14ac:dyDescent="0.25">
      <c r="A58" s="220"/>
      <c r="B58" s="42"/>
      <c r="C58" s="124"/>
      <c r="D58" s="142"/>
      <c r="E58" s="30"/>
      <c r="F58" s="21"/>
      <c r="G58" s="21"/>
      <c r="H58" s="29"/>
      <c r="I58" s="175"/>
      <c r="J58" s="30"/>
    </row>
    <row r="59" spans="1:10" x14ac:dyDescent="0.25">
      <c r="A59" s="220"/>
      <c r="B59" s="42"/>
      <c r="C59" s="124"/>
      <c r="D59" s="142"/>
      <c r="E59" s="30"/>
      <c r="F59" s="21"/>
      <c r="G59" s="21"/>
      <c r="H59" s="29"/>
      <c r="I59" s="175"/>
      <c r="J59" s="30"/>
    </row>
    <row r="60" spans="1:10" x14ac:dyDescent="0.25">
      <c r="A60" s="220"/>
      <c r="B60" s="42"/>
      <c r="C60" s="124"/>
      <c r="D60" s="142"/>
      <c r="E60" s="30"/>
      <c r="F60" s="21"/>
      <c r="G60" s="21"/>
      <c r="H60" s="29"/>
      <c r="I60" s="175"/>
      <c r="J60" s="30"/>
    </row>
    <row r="61" spans="1:10" x14ac:dyDescent="0.25">
      <c r="A61" s="220"/>
      <c r="B61" s="42"/>
      <c r="C61" s="124"/>
      <c r="D61" s="142"/>
      <c r="E61" s="30"/>
      <c r="F61" s="21"/>
      <c r="G61" s="21"/>
      <c r="H61" s="29"/>
      <c r="I61" s="175"/>
      <c r="J61" s="30"/>
    </row>
    <row r="62" spans="1:10" x14ac:dyDescent="0.25">
      <c r="A62" s="220"/>
      <c r="B62" s="42"/>
      <c r="C62" s="124"/>
      <c r="D62" s="142"/>
      <c r="E62" s="30"/>
      <c r="F62" s="21"/>
      <c r="G62" s="21"/>
      <c r="H62" s="29"/>
      <c r="I62" s="175"/>
      <c r="J62" s="30"/>
    </row>
    <row r="63" spans="1:10" x14ac:dyDescent="0.25">
      <c r="A63" s="220"/>
      <c r="B63" s="42"/>
      <c r="C63" s="124"/>
      <c r="D63" s="142"/>
      <c r="E63" s="30"/>
      <c r="F63" s="21"/>
      <c r="G63" s="21"/>
      <c r="H63" s="29"/>
      <c r="I63" s="175"/>
      <c r="J63" s="30"/>
    </row>
    <row r="64" spans="1:10" x14ac:dyDescent="0.25">
      <c r="A64" s="220"/>
      <c r="B64" s="42"/>
      <c r="C64" s="124"/>
      <c r="D64" s="142"/>
      <c r="E64" s="30"/>
      <c r="F64" s="21"/>
      <c r="G64" s="21"/>
      <c r="H64" s="29"/>
      <c r="I64" s="175"/>
      <c r="J64" s="30"/>
    </row>
    <row r="65" spans="1:10" x14ac:dyDescent="0.25">
      <c r="A65" s="220"/>
      <c r="B65" s="42"/>
      <c r="C65" s="124"/>
      <c r="D65" s="142"/>
      <c r="E65" s="30"/>
      <c r="F65" s="21"/>
      <c r="G65" s="21"/>
      <c r="H65" s="29"/>
      <c r="I65" s="175"/>
      <c r="J65" s="30"/>
    </row>
    <row r="66" spans="1:10" x14ac:dyDescent="0.25">
      <c r="A66" s="220"/>
      <c r="B66" s="42"/>
      <c r="C66" s="124"/>
      <c r="D66" s="142"/>
      <c r="E66" s="30"/>
      <c r="F66" s="21"/>
      <c r="G66" s="21"/>
      <c r="H66" s="29"/>
      <c r="I66" s="175"/>
      <c r="J66" s="30"/>
    </row>
    <row r="67" spans="1:10" x14ac:dyDescent="0.25">
      <c r="A67" s="220"/>
      <c r="B67" s="42"/>
      <c r="C67" s="124"/>
      <c r="D67" s="142"/>
      <c r="E67" s="30"/>
      <c r="F67" s="21"/>
      <c r="G67" s="21"/>
      <c r="H67" s="29"/>
      <c r="I67" s="175"/>
      <c r="J67" s="30"/>
    </row>
    <row r="68" spans="1:10" x14ac:dyDescent="0.25">
      <c r="A68" s="220"/>
      <c r="B68" s="42"/>
      <c r="C68" s="124"/>
      <c r="D68" s="142"/>
      <c r="E68" s="30"/>
      <c r="F68" s="21"/>
      <c r="G68" s="21"/>
      <c r="H68" s="29"/>
      <c r="I68" s="175"/>
      <c r="J68" s="30"/>
    </row>
    <row r="69" spans="1:10" x14ac:dyDescent="0.25">
      <c r="A69" s="220"/>
      <c r="B69" s="42"/>
      <c r="C69" s="124"/>
      <c r="D69" s="142"/>
      <c r="E69" s="30"/>
      <c r="F69" s="21"/>
      <c r="G69" s="21"/>
      <c r="H69" s="29"/>
      <c r="I69" s="175"/>
      <c r="J69" s="30"/>
    </row>
    <row r="70" spans="1:10" x14ac:dyDescent="0.25">
      <c r="A70" s="220"/>
      <c r="B70" s="42"/>
      <c r="C70" s="124"/>
      <c r="D70" s="142"/>
      <c r="E70" s="30"/>
      <c r="F70" s="21"/>
      <c r="G70" s="21"/>
      <c r="H70" s="29"/>
      <c r="I70" s="175"/>
      <c r="J70" s="30"/>
    </row>
    <row r="71" spans="1:10" x14ac:dyDescent="0.25">
      <c r="A71" s="220"/>
      <c r="B71" s="42"/>
      <c r="C71" s="124"/>
      <c r="D71" s="142"/>
      <c r="E71" s="30"/>
      <c r="F71" s="21"/>
      <c r="G71" s="21"/>
      <c r="H71" s="29"/>
      <c r="I71" s="175"/>
      <c r="J71" s="30"/>
    </row>
    <row r="72" spans="1:10" x14ac:dyDescent="0.25">
      <c r="A72" s="220"/>
      <c r="B72" s="42"/>
      <c r="C72" s="124"/>
      <c r="D72" s="142"/>
      <c r="E72" s="30"/>
      <c r="F72" s="21"/>
      <c r="G72" s="21"/>
      <c r="H72" s="29"/>
      <c r="I72" s="175"/>
      <c r="J72" s="30"/>
    </row>
    <row r="73" spans="1:10" x14ac:dyDescent="0.25">
      <c r="A73" s="220"/>
      <c r="B73" s="42"/>
      <c r="C73" s="124"/>
      <c r="D73" s="142"/>
      <c r="E73" s="30"/>
      <c r="F73" s="21"/>
      <c r="G73" s="21"/>
      <c r="H73" s="29"/>
      <c r="I73" s="175"/>
      <c r="J73" s="30"/>
    </row>
    <row r="74" spans="1:10" x14ac:dyDescent="0.25">
      <c r="A74" s="220"/>
      <c r="B74" s="42"/>
      <c r="C74" s="124"/>
      <c r="D74" s="142"/>
      <c r="E74" s="30"/>
      <c r="F74" s="21"/>
      <c r="G74" s="21"/>
      <c r="H74" s="29"/>
      <c r="I74" s="175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4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2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2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43084.039849537039</v>
      </c>
      <c r="B2" s="20" t="s">
        <v>467</v>
      </c>
      <c r="C2" s="20" t="s">
        <v>581</v>
      </c>
      <c r="D2" s="127">
        <v>3320000</v>
      </c>
      <c r="E2" s="20" t="s">
        <v>360</v>
      </c>
      <c r="F2" s="20" t="s">
        <v>361</v>
      </c>
      <c r="G2" s="8" t="str">
        <f>E2&amp;" "&amp;F2</f>
        <v>NICHOLSON WESLEY</v>
      </c>
      <c r="H2" t="str">
        <f>MID(B2,13,4)</f>
        <v>4060</v>
      </c>
    </row>
    <row r="3" spans="1:8" x14ac:dyDescent="0.25">
      <c r="A3" s="8">
        <v>43084.05228009259</v>
      </c>
      <c r="B3" s="20" t="s">
        <v>448</v>
      </c>
      <c r="C3" s="20" t="s">
        <v>582</v>
      </c>
      <c r="D3" s="127">
        <v>890000</v>
      </c>
      <c r="E3" s="20" t="s">
        <v>344</v>
      </c>
      <c r="F3" s="20" t="s">
        <v>345</v>
      </c>
      <c r="G3" s="8" t="str">
        <f t="shared" ref="G3:G66" si="0">E3&amp;" "&amp;F3</f>
        <v>LOZA FIDEL</v>
      </c>
      <c r="H3" s="20" t="str">
        <f t="shared" ref="H3:H66" si="1">MID(B3,13,4)</f>
        <v>4010</v>
      </c>
    </row>
    <row r="4" spans="1:8" x14ac:dyDescent="0.25">
      <c r="A4" s="8">
        <v>43084.057650462964</v>
      </c>
      <c r="B4" s="20" t="s">
        <v>540</v>
      </c>
      <c r="C4" s="20" t="s">
        <v>571</v>
      </c>
      <c r="D4" s="127">
        <v>3320000</v>
      </c>
      <c r="E4" s="20" t="s">
        <v>360</v>
      </c>
      <c r="F4" s="20" t="s">
        <v>361</v>
      </c>
      <c r="G4" s="8" t="str">
        <f t="shared" si="0"/>
        <v>NICHOLSON WESLEY</v>
      </c>
      <c r="H4" s="20" t="str">
        <f t="shared" si="1"/>
        <v>4059</v>
      </c>
    </row>
    <row r="5" spans="1:8" x14ac:dyDescent="0.25">
      <c r="A5" s="8">
        <v>43084.059490740743</v>
      </c>
      <c r="B5" s="20" t="s">
        <v>540</v>
      </c>
      <c r="C5" s="20" t="s">
        <v>571</v>
      </c>
      <c r="D5" s="127">
        <v>3320000</v>
      </c>
      <c r="E5" s="20" t="s">
        <v>360</v>
      </c>
      <c r="F5" s="20" t="s">
        <v>361</v>
      </c>
      <c r="G5" s="8" t="str">
        <f t="shared" si="0"/>
        <v>NICHOLSON WESLEY</v>
      </c>
      <c r="H5" s="20" t="str">
        <f t="shared" si="1"/>
        <v>4059</v>
      </c>
    </row>
    <row r="6" spans="1:8" x14ac:dyDescent="0.25">
      <c r="A6" s="8">
        <v>43084.094618055555</v>
      </c>
      <c r="B6" s="20" t="s">
        <v>467</v>
      </c>
      <c r="C6" s="20" t="s">
        <v>583</v>
      </c>
      <c r="D6" s="127">
        <v>3320000</v>
      </c>
      <c r="E6" s="20" t="s">
        <v>360</v>
      </c>
      <c r="F6" s="20" t="s">
        <v>361</v>
      </c>
      <c r="G6" s="8" t="str">
        <f t="shared" si="0"/>
        <v>NICHOLSON WESLEY</v>
      </c>
      <c r="H6" s="20" t="str">
        <f t="shared" si="1"/>
        <v>4060</v>
      </c>
    </row>
    <row r="7" spans="1:8" x14ac:dyDescent="0.25">
      <c r="A7" s="8">
        <v>43084.111967592595</v>
      </c>
      <c r="B7" s="20" t="s">
        <v>471</v>
      </c>
      <c r="C7" s="20" t="s">
        <v>584</v>
      </c>
      <c r="D7" s="127">
        <v>1830000</v>
      </c>
      <c r="E7" s="20" t="s">
        <v>346</v>
      </c>
      <c r="F7" s="20" t="s">
        <v>347</v>
      </c>
      <c r="G7" s="8" t="str">
        <f t="shared" si="0"/>
        <v>YORK EDGAR</v>
      </c>
      <c r="H7" s="20" t="str">
        <f t="shared" si="1"/>
        <v>4049</v>
      </c>
    </row>
    <row r="8" spans="1:8" x14ac:dyDescent="0.25">
      <c r="A8" s="8">
        <v>43084.112824074073</v>
      </c>
      <c r="B8" s="20" t="s">
        <v>471</v>
      </c>
      <c r="C8" s="20" t="s">
        <v>584</v>
      </c>
      <c r="D8" s="127">
        <v>1830000</v>
      </c>
      <c r="E8" s="20" t="s">
        <v>346</v>
      </c>
      <c r="F8" s="20" t="s">
        <v>347</v>
      </c>
      <c r="G8" s="8" t="str">
        <f t="shared" si="0"/>
        <v>YORK EDGAR</v>
      </c>
      <c r="H8" s="20" t="str">
        <f t="shared" si="1"/>
        <v>4049</v>
      </c>
    </row>
    <row r="9" spans="1:8" ht="15.75" thickBot="1" x14ac:dyDescent="0.3">
      <c r="A9" s="24">
        <v>43084.113402777781</v>
      </c>
      <c r="B9" s="20" t="s">
        <v>471</v>
      </c>
      <c r="C9" s="20" t="s">
        <v>584</v>
      </c>
      <c r="D9" s="127">
        <v>1830000</v>
      </c>
      <c r="E9" s="20" t="s">
        <v>346</v>
      </c>
      <c r="F9" s="20" t="s">
        <v>347</v>
      </c>
      <c r="G9" s="8" t="str">
        <f t="shared" si="0"/>
        <v>YORK EDGAR</v>
      </c>
      <c r="H9" s="20" t="str">
        <f t="shared" si="1"/>
        <v>4049</v>
      </c>
    </row>
    <row r="10" spans="1:8" x14ac:dyDescent="0.25">
      <c r="A10" s="8">
        <v>43084.113923611112</v>
      </c>
      <c r="B10" s="20" t="s">
        <v>471</v>
      </c>
      <c r="C10" s="20" t="s">
        <v>584</v>
      </c>
      <c r="D10" s="127">
        <v>1830000</v>
      </c>
      <c r="E10" s="20" t="s">
        <v>346</v>
      </c>
      <c r="F10" s="20" t="s">
        <v>347</v>
      </c>
      <c r="G10" s="8" t="str">
        <f t="shared" si="0"/>
        <v>YORK EDGAR</v>
      </c>
      <c r="H10" s="20" t="str">
        <f t="shared" si="1"/>
        <v>4049</v>
      </c>
    </row>
    <row r="11" spans="1:8" x14ac:dyDescent="0.25">
      <c r="A11" s="8">
        <v>43084.123136574075</v>
      </c>
      <c r="B11" s="20" t="s">
        <v>469</v>
      </c>
      <c r="C11" s="20" t="s">
        <v>683</v>
      </c>
      <c r="D11" s="127">
        <v>1090000</v>
      </c>
      <c r="E11" s="20" t="s">
        <v>457</v>
      </c>
      <c r="F11" s="20" t="s">
        <v>352</v>
      </c>
      <c r="G11" s="8" t="str">
        <f t="shared" si="0"/>
        <v>SPECTOR MICHAEL</v>
      </c>
      <c r="H11" s="20" t="str">
        <f t="shared" si="1"/>
        <v>4050</v>
      </c>
    </row>
    <row r="12" spans="1:8" x14ac:dyDescent="0.25">
      <c r="A12" s="8">
        <v>43084.124166666668</v>
      </c>
      <c r="B12" s="20" t="s">
        <v>671</v>
      </c>
      <c r="C12" s="20" t="s">
        <v>684</v>
      </c>
      <c r="D12" s="127">
        <v>1830000</v>
      </c>
      <c r="E12" s="20" t="s">
        <v>346</v>
      </c>
      <c r="F12" s="20" t="s">
        <v>347</v>
      </c>
      <c r="G12" s="8" t="str">
        <f t="shared" si="0"/>
        <v>YORK EDGAR</v>
      </c>
      <c r="H12" s="20" t="str">
        <f t="shared" si="1"/>
        <v>4004</v>
      </c>
    </row>
    <row r="13" spans="1:8" x14ac:dyDescent="0.25">
      <c r="A13" s="8">
        <v>43084.139618055553</v>
      </c>
      <c r="B13" s="20" t="s">
        <v>416</v>
      </c>
      <c r="C13" s="20" t="s">
        <v>685</v>
      </c>
      <c r="D13" s="127">
        <v>2010000</v>
      </c>
      <c r="E13" s="20" t="s">
        <v>572</v>
      </c>
      <c r="F13" s="20" t="s">
        <v>573</v>
      </c>
      <c r="G13" s="8" t="str">
        <f t="shared" si="0"/>
        <v>MAELZER KURT</v>
      </c>
      <c r="H13" s="20" t="str">
        <f t="shared" si="1"/>
        <v>4043</v>
      </c>
    </row>
    <row r="14" spans="1:8" x14ac:dyDescent="0.25">
      <c r="A14" s="8">
        <v>43084.140497685185</v>
      </c>
      <c r="B14" s="20" t="s">
        <v>471</v>
      </c>
      <c r="C14" s="20" t="s">
        <v>686</v>
      </c>
      <c r="D14" s="127">
        <v>1090000</v>
      </c>
      <c r="E14" s="20" t="s">
        <v>457</v>
      </c>
      <c r="F14" s="20" t="s">
        <v>352</v>
      </c>
      <c r="G14" s="8" t="str">
        <f t="shared" si="0"/>
        <v>SPECTOR MICHAEL</v>
      </c>
      <c r="H14" s="20" t="str">
        <f t="shared" si="1"/>
        <v>4049</v>
      </c>
    </row>
    <row r="15" spans="1:8" x14ac:dyDescent="0.25">
      <c r="A15" s="8">
        <v>43084.15221064815</v>
      </c>
      <c r="B15" s="20" t="s">
        <v>415</v>
      </c>
      <c r="C15" s="20" t="s">
        <v>687</v>
      </c>
      <c r="D15" s="127">
        <v>2010000</v>
      </c>
      <c r="E15" s="20" t="s">
        <v>572</v>
      </c>
      <c r="F15" s="20" t="s">
        <v>573</v>
      </c>
      <c r="G15" s="8" t="str">
        <f t="shared" si="0"/>
        <v>MAELZER KURT</v>
      </c>
      <c r="H15" s="20" t="str">
        <f t="shared" si="1"/>
        <v>4044</v>
      </c>
    </row>
    <row r="16" spans="1:8" x14ac:dyDescent="0.25">
      <c r="A16" s="8">
        <v>43084.159016203703</v>
      </c>
      <c r="B16" s="20" t="s">
        <v>442</v>
      </c>
      <c r="C16" s="20" t="s">
        <v>688</v>
      </c>
      <c r="D16" s="127">
        <v>3260000</v>
      </c>
      <c r="E16" s="20" t="s">
        <v>538</v>
      </c>
      <c r="F16" s="20" t="s">
        <v>539</v>
      </c>
      <c r="G16" s="8" t="str">
        <f t="shared" si="0"/>
        <v>PAGE MARCUS</v>
      </c>
      <c r="H16" s="20" t="str">
        <f t="shared" si="1"/>
        <v>4031</v>
      </c>
    </row>
    <row r="17" spans="1:8" x14ac:dyDescent="0.25">
      <c r="A17" s="8">
        <v>43084.161134259259</v>
      </c>
      <c r="B17" s="20" t="s">
        <v>643</v>
      </c>
      <c r="C17" s="20" t="s">
        <v>644</v>
      </c>
      <c r="D17" s="127">
        <v>1830000</v>
      </c>
      <c r="E17" s="20" t="s">
        <v>346</v>
      </c>
      <c r="F17" s="20" t="s">
        <v>347</v>
      </c>
      <c r="G17" s="8" t="str">
        <f t="shared" si="0"/>
        <v>YORK EDGAR</v>
      </c>
      <c r="H17" s="20" t="str">
        <f t="shared" si="1"/>
        <v>4003</v>
      </c>
    </row>
    <row r="18" spans="1:8" x14ac:dyDescent="0.25">
      <c r="A18" s="8">
        <v>43084.161909722221</v>
      </c>
      <c r="B18" s="20" t="s">
        <v>643</v>
      </c>
      <c r="C18" s="20" t="s">
        <v>644</v>
      </c>
      <c r="D18" s="127">
        <v>1830000</v>
      </c>
      <c r="E18" s="20" t="s">
        <v>346</v>
      </c>
      <c r="F18" s="20" t="s">
        <v>347</v>
      </c>
      <c r="G18" s="8" t="str">
        <f t="shared" si="0"/>
        <v>YORK EDGAR</v>
      </c>
      <c r="H18" s="20" t="str">
        <f t="shared" si="1"/>
        <v>4003</v>
      </c>
    </row>
    <row r="19" spans="1:8" x14ac:dyDescent="0.25">
      <c r="A19" s="8">
        <v>43084.162638888891</v>
      </c>
      <c r="B19" s="20" t="s">
        <v>643</v>
      </c>
      <c r="C19" s="20" t="s">
        <v>644</v>
      </c>
      <c r="D19" s="127">
        <v>1830000</v>
      </c>
      <c r="E19" s="20" t="s">
        <v>346</v>
      </c>
      <c r="F19" s="20" t="s">
        <v>347</v>
      </c>
      <c r="G19" s="8" t="str">
        <f t="shared" si="0"/>
        <v>YORK EDGAR</v>
      </c>
      <c r="H19" s="20" t="str">
        <f t="shared" si="1"/>
        <v>4003</v>
      </c>
    </row>
    <row r="20" spans="1:8" x14ac:dyDescent="0.25">
      <c r="A20" s="8">
        <v>43084.168726851851</v>
      </c>
      <c r="B20" s="20" t="s">
        <v>375</v>
      </c>
      <c r="C20" s="20" t="s">
        <v>689</v>
      </c>
      <c r="D20" s="127">
        <v>1100000</v>
      </c>
      <c r="E20" s="20" t="s">
        <v>543</v>
      </c>
      <c r="F20" s="20" t="s">
        <v>544</v>
      </c>
      <c r="G20" s="8" t="str">
        <f t="shared" si="0"/>
        <v>GEBRETEKLE DAGNEW</v>
      </c>
      <c r="H20" s="20" t="str">
        <f t="shared" si="1"/>
        <v>4061</v>
      </c>
    </row>
    <row r="21" spans="1:8" x14ac:dyDescent="0.25">
      <c r="A21" s="8">
        <v>43084.171168981484</v>
      </c>
      <c r="B21" s="20" t="s">
        <v>443</v>
      </c>
      <c r="C21" s="20" t="s">
        <v>690</v>
      </c>
      <c r="D21" s="127">
        <v>3260000</v>
      </c>
      <c r="E21" s="20" t="s">
        <v>538</v>
      </c>
      <c r="F21" s="20" t="s">
        <v>539</v>
      </c>
      <c r="G21" s="8" t="str">
        <f t="shared" si="0"/>
        <v>PAGE MARCUS</v>
      </c>
      <c r="H21" s="20" t="str">
        <f t="shared" si="1"/>
        <v>4032</v>
      </c>
    </row>
    <row r="22" spans="1:8" x14ac:dyDescent="0.25">
      <c r="A22" s="26">
        <v>43084.17728009259</v>
      </c>
      <c r="B22" s="20" t="s">
        <v>646</v>
      </c>
      <c r="C22" s="20" t="s">
        <v>691</v>
      </c>
      <c r="D22" s="127">
        <v>2440000</v>
      </c>
      <c r="E22" s="20" t="s">
        <v>541</v>
      </c>
      <c r="F22" s="20" t="s">
        <v>542</v>
      </c>
      <c r="G22" s="8" t="str">
        <f t="shared" si="0"/>
        <v>LOPES KIMBERLY</v>
      </c>
      <c r="H22" s="20" t="str">
        <f t="shared" si="1"/>
        <v>4041</v>
      </c>
    </row>
    <row r="23" spans="1:8" x14ac:dyDescent="0.25">
      <c r="A23" s="8">
        <v>43084.185034722221</v>
      </c>
      <c r="B23" s="20" t="s">
        <v>373</v>
      </c>
      <c r="C23" s="20" t="s">
        <v>692</v>
      </c>
      <c r="D23" s="127">
        <v>1100000</v>
      </c>
      <c r="E23" s="20" t="s">
        <v>543</v>
      </c>
      <c r="F23" s="20" t="s">
        <v>544</v>
      </c>
      <c r="G23" s="8" t="str">
        <f t="shared" si="0"/>
        <v>GEBRETEKLE DAGNEW</v>
      </c>
      <c r="H23" s="20" t="str">
        <f t="shared" si="1"/>
        <v>4062</v>
      </c>
    </row>
    <row r="24" spans="1:8" x14ac:dyDescent="0.25">
      <c r="A24" s="8">
        <v>43084.191504629627</v>
      </c>
      <c r="B24" s="20" t="s">
        <v>416</v>
      </c>
      <c r="C24" s="20" t="s">
        <v>645</v>
      </c>
      <c r="D24" s="127">
        <v>2010000</v>
      </c>
      <c r="E24" s="20" t="s">
        <v>572</v>
      </c>
      <c r="F24" s="20" t="s">
        <v>573</v>
      </c>
      <c r="G24" s="8" t="str">
        <f t="shared" si="0"/>
        <v>MAELZER KURT</v>
      </c>
      <c r="H24" s="20" t="str">
        <f t="shared" si="1"/>
        <v>4043</v>
      </c>
    </row>
    <row r="25" spans="1:8" x14ac:dyDescent="0.25">
      <c r="A25" s="8">
        <v>43084.192731481482</v>
      </c>
      <c r="B25" s="20" t="s">
        <v>500</v>
      </c>
      <c r="C25" s="20" t="s">
        <v>693</v>
      </c>
      <c r="D25" s="127">
        <v>2440000</v>
      </c>
      <c r="E25" s="20" t="s">
        <v>541</v>
      </c>
      <c r="F25" s="20" t="s">
        <v>542</v>
      </c>
      <c r="G25" s="8" t="str">
        <f t="shared" si="0"/>
        <v>LOPES KIMBERLY</v>
      </c>
      <c r="H25" s="20" t="str">
        <f t="shared" si="1"/>
        <v>4042</v>
      </c>
    </row>
    <row r="26" spans="1:8" x14ac:dyDescent="0.25">
      <c r="A26" s="8">
        <v>43084.198368055557</v>
      </c>
      <c r="B26" s="20" t="s">
        <v>356</v>
      </c>
      <c r="C26" s="20" t="s">
        <v>694</v>
      </c>
      <c r="D26" s="127">
        <v>3040000</v>
      </c>
      <c r="E26" s="20" t="s">
        <v>365</v>
      </c>
      <c r="F26" s="20" t="s">
        <v>413</v>
      </c>
      <c r="G26" s="8" t="str">
        <f t="shared" si="0"/>
        <v>WILLIAMS DONTE</v>
      </c>
      <c r="H26" s="20" t="str">
        <f t="shared" si="1"/>
        <v>4008</v>
      </c>
    </row>
    <row r="27" spans="1:8" x14ac:dyDescent="0.25">
      <c r="A27" s="8">
        <v>43084.198414351849</v>
      </c>
      <c r="B27" s="20" t="s">
        <v>651</v>
      </c>
      <c r="C27" s="20" t="s">
        <v>695</v>
      </c>
      <c r="D27" s="127">
        <v>2560000</v>
      </c>
      <c r="E27" s="20" t="s">
        <v>696</v>
      </c>
      <c r="F27" s="20" t="s">
        <v>697</v>
      </c>
      <c r="G27" s="8" t="str">
        <f t="shared" si="0"/>
        <v>MACDONALD THOMAS</v>
      </c>
      <c r="H27" s="20" t="str">
        <f t="shared" si="1"/>
        <v>4057</v>
      </c>
    </row>
    <row r="28" spans="1:8" x14ac:dyDescent="0.25">
      <c r="A28" s="8">
        <v>43084.207812499997</v>
      </c>
      <c r="B28" s="20" t="s">
        <v>698</v>
      </c>
      <c r="C28" s="20" t="s">
        <v>699</v>
      </c>
      <c r="D28" s="127">
        <v>2560000</v>
      </c>
      <c r="E28" s="20" t="s">
        <v>696</v>
      </c>
      <c r="F28" s="20" t="s">
        <v>697</v>
      </c>
      <c r="G28" s="8" t="str">
        <f t="shared" si="0"/>
        <v>MACDONALD THOMAS</v>
      </c>
      <c r="H28" s="20" t="str">
        <f t="shared" si="1"/>
        <v>4058</v>
      </c>
    </row>
    <row r="29" spans="1:8" x14ac:dyDescent="0.25">
      <c r="A29" s="8">
        <v>43084.208020833335</v>
      </c>
      <c r="B29" s="20" t="s">
        <v>671</v>
      </c>
      <c r="C29" s="20" t="s">
        <v>700</v>
      </c>
      <c r="D29" s="127">
        <v>900000</v>
      </c>
      <c r="E29" s="20" t="s">
        <v>701</v>
      </c>
      <c r="F29" s="20" t="s">
        <v>702</v>
      </c>
      <c r="G29" s="8" t="str">
        <f t="shared" si="0"/>
        <v>ROCHA YAOTL</v>
      </c>
      <c r="H29" s="20" t="str">
        <f t="shared" si="1"/>
        <v>4004</v>
      </c>
    </row>
    <row r="30" spans="1:8" x14ac:dyDescent="0.25">
      <c r="A30" s="8">
        <v>43084.210173611114</v>
      </c>
      <c r="B30" s="20" t="s">
        <v>358</v>
      </c>
      <c r="C30" s="20" t="s">
        <v>703</v>
      </c>
      <c r="D30" s="127">
        <v>3040000</v>
      </c>
      <c r="E30" s="20" t="s">
        <v>365</v>
      </c>
      <c r="F30" s="20" t="s">
        <v>413</v>
      </c>
      <c r="G30" s="8" t="str">
        <f t="shared" si="0"/>
        <v>WILLIAMS DONTE</v>
      </c>
      <c r="H30" s="20" t="str">
        <f t="shared" si="1"/>
        <v>4007</v>
      </c>
    </row>
    <row r="31" spans="1:8" x14ac:dyDescent="0.25">
      <c r="A31" s="8">
        <v>43084.211886574078</v>
      </c>
      <c r="B31" s="20" t="s">
        <v>442</v>
      </c>
      <c r="C31" s="20" t="s">
        <v>704</v>
      </c>
      <c r="D31" s="127">
        <v>3260000</v>
      </c>
      <c r="E31" s="20" t="s">
        <v>538</v>
      </c>
      <c r="F31" s="20" t="s">
        <v>539</v>
      </c>
      <c r="G31" s="8" t="str">
        <f t="shared" si="0"/>
        <v>PAGE MARCUS</v>
      </c>
      <c r="H31" s="20" t="str">
        <f t="shared" si="1"/>
        <v>4031</v>
      </c>
    </row>
    <row r="32" spans="1:8" x14ac:dyDescent="0.25">
      <c r="A32" s="8">
        <v>43084.215729166666</v>
      </c>
      <c r="B32" s="20" t="s">
        <v>375</v>
      </c>
      <c r="C32" s="20" t="s">
        <v>705</v>
      </c>
      <c r="D32" s="127">
        <v>1100000</v>
      </c>
      <c r="E32" s="20" t="s">
        <v>543</v>
      </c>
      <c r="F32" s="20" t="s">
        <v>544</v>
      </c>
      <c r="G32" s="8" t="str">
        <f t="shared" si="0"/>
        <v>GEBRETEKLE DAGNEW</v>
      </c>
      <c r="H32" s="20" t="str">
        <f t="shared" si="1"/>
        <v>4061</v>
      </c>
    </row>
    <row r="33" spans="1:8" x14ac:dyDescent="0.25">
      <c r="A33" s="8">
        <v>43084.219537037039</v>
      </c>
      <c r="B33" s="20" t="s">
        <v>416</v>
      </c>
      <c r="C33" s="20" t="s">
        <v>645</v>
      </c>
      <c r="D33" s="127">
        <v>2010000</v>
      </c>
      <c r="E33" s="20" t="s">
        <v>572</v>
      </c>
      <c r="F33" s="20" t="s">
        <v>573</v>
      </c>
      <c r="G33" s="8" t="str">
        <f t="shared" si="0"/>
        <v>MAELZER KURT</v>
      </c>
      <c r="H33" s="20" t="str">
        <f t="shared" si="1"/>
        <v>4043</v>
      </c>
    </row>
    <row r="34" spans="1:8" x14ac:dyDescent="0.25">
      <c r="A34" s="8">
        <v>43084.225532407407</v>
      </c>
      <c r="B34" s="20" t="s">
        <v>415</v>
      </c>
      <c r="C34" s="20" t="s">
        <v>706</v>
      </c>
      <c r="D34" s="127">
        <v>2010000</v>
      </c>
      <c r="E34" s="20" t="s">
        <v>572</v>
      </c>
      <c r="F34" s="20" t="s">
        <v>573</v>
      </c>
      <c r="G34" s="8" t="str">
        <f t="shared" si="0"/>
        <v>MAELZER KURT</v>
      </c>
      <c r="H34" s="20" t="str">
        <f t="shared" si="1"/>
        <v>4044</v>
      </c>
    </row>
    <row r="35" spans="1:8" x14ac:dyDescent="0.25">
      <c r="A35" s="8">
        <v>43084.228078703702</v>
      </c>
      <c r="B35" s="20" t="s">
        <v>364</v>
      </c>
      <c r="C35" s="20" t="s">
        <v>707</v>
      </c>
      <c r="D35" s="127">
        <v>1230000</v>
      </c>
      <c r="E35" s="20" t="s">
        <v>458</v>
      </c>
      <c r="F35" s="20" t="s">
        <v>459</v>
      </c>
      <c r="G35" s="8" t="str">
        <f t="shared" si="0"/>
        <v>YANAI IAN</v>
      </c>
      <c r="H35" s="20" t="str">
        <f t="shared" si="1"/>
        <v>4035</v>
      </c>
    </row>
    <row r="36" spans="1:8" x14ac:dyDescent="0.25">
      <c r="A36" s="8">
        <v>43084.233715277776</v>
      </c>
      <c r="B36" s="20" t="s">
        <v>356</v>
      </c>
      <c r="C36" s="20" t="s">
        <v>708</v>
      </c>
      <c r="D36" s="127">
        <v>3040000</v>
      </c>
      <c r="E36" s="20" t="s">
        <v>365</v>
      </c>
      <c r="F36" s="20" t="s">
        <v>413</v>
      </c>
      <c r="G36" s="8" t="str">
        <f t="shared" si="0"/>
        <v>WILLIAMS DONTE</v>
      </c>
      <c r="H36" s="20" t="str">
        <f t="shared" si="1"/>
        <v>4008</v>
      </c>
    </row>
    <row r="37" spans="1:8" x14ac:dyDescent="0.25">
      <c r="A37" s="8">
        <v>43084.235567129632</v>
      </c>
      <c r="B37" s="20" t="s">
        <v>646</v>
      </c>
      <c r="C37" s="20" t="s">
        <v>647</v>
      </c>
      <c r="D37" s="127">
        <v>2440000</v>
      </c>
      <c r="E37" s="20" t="s">
        <v>541</v>
      </c>
      <c r="F37" s="20" t="s">
        <v>542</v>
      </c>
      <c r="G37" s="8" t="str">
        <f t="shared" si="0"/>
        <v>LOPES KIMBERLY</v>
      </c>
      <c r="H37" s="20" t="str">
        <f t="shared" si="1"/>
        <v>4041</v>
      </c>
    </row>
    <row r="38" spans="1:8" x14ac:dyDescent="0.25">
      <c r="A38" s="8">
        <v>43084.236863425926</v>
      </c>
      <c r="B38" s="20" t="s">
        <v>363</v>
      </c>
      <c r="C38" s="20" t="s">
        <v>709</v>
      </c>
      <c r="D38" s="127">
        <v>1230000</v>
      </c>
      <c r="E38" s="20" t="s">
        <v>458</v>
      </c>
      <c r="F38" s="20" t="s">
        <v>459</v>
      </c>
      <c r="G38" s="8" t="str">
        <f t="shared" si="0"/>
        <v>YANAI IAN</v>
      </c>
      <c r="H38" s="20" t="str">
        <f t="shared" si="1"/>
        <v>4036</v>
      </c>
    </row>
    <row r="39" spans="1:8" x14ac:dyDescent="0.25">
      <c r="A39" s="8">
        <v>43084.238020833334</v>
      </c>
      <c r="B39" s="20" t="s">
        <v>661</v>
      </c>
      <c r="C39" s="20" t="s">
        <v>710</v>
      </c>
      <c r="D39" s="127">
        <v>2370000</v>
      </c>
      <c r="E39" s="20" t="s">
        <v>711</v>
      </c>
      <c r="F39" s="20" t="s">
        <v>712</v>
      </c>
      <c r="G39" s="8" t="str">
        <f t="shared" si="0"/>
        <v>DELGADO DIANAH</v>
      </c>
      <c r="H39" s="20" t="str">
        <f t="shared" si="1"/>
        <v>4001</v>
      </c>
    </row>
    <row r="40" spans="1:8" x14ac:dyDescent="0.25">
      <c r="A40" s="8">
        <v>43084.244745370372</v>
      </c>
      <c r="B40" s="25" t="s">
        <v>443</v>
      </c>
      <c r="C40" s="20" t="s">
        <v>713</v>
      </c>
      <c r="D40" s="127">
        <v>3260000</v>
      </c>
      <c r="E40" s="20" t="s">
        <v>538</v>
      </c>
      <c r="F40" s="20" t="s">
        <v>539</v>
      </c>
      <c r="G40" s="8" t="str">
        <f t="shared" si="0"/>
        <v>PAGE MARCUS</v>
      </c>
      <c r="H40" s="20" t="str">
        <f t="shared" si="1"/>
        <v>4032</v>
      </c>
    </row>
    <row r="41" spans="1:8" x14ac:dyDescent="0.25">
      <c r="A41" s="8">
        <v>43084.24722222222</v>
      </c>
      <c r="B41" s="20" t="s">
        <v>643</v>
      </c>
      <c r="C41" s="20" t="s">
        <v>648</v>
      </c>
      <c r="D41" s="127">
        <v>900000</v>
      </c>
      <c r="E41" s="20" t="s">
        <v>701</v>
      </c>
      <c r="F41" s="20" t="s">
        <v>702</v>
      </c>
      <c r="G41" s="8" t="str">
        <f t="shared" si="0"/>
        <v>ROCHA YAOTL</v>
      </c>
      <c r="H41" s="20" t="str">
        <f t="shared" si="1"/>
        <v>4003</v>
      </c>
    </row>
    <row r="42" spans="1:8" x14ac:dyDescent="0.25">
      <c r="A42" s="8">
        <v>43084.247974537036</v>
      </c>
      <c r="B42" s="20" t="s">
        <v>654</v>
      </c>
      <c r="C42" s="20" t="s">
        <v>714</v>
      </c>
      <c r="D42" s="127">
        <v>2370000</v>
      </c>
      <c r="E42" s="20" t="s">
        <v>711</v>
      </c>
      <c r="F42" s="20" t="s">
        <v>712</v>
      </c>
      <c r="G42" s="8" t="str">
        <f t="shared" si="0"/>
        <v>DELGADO DIANAH</v>
      </c>
      <c r="H42" s="20" t="str">
        <f t="shared" si="1"/>
        <v>4002</v>
      </c>
    </row>
    <row r="43" spans="1:8" x14ac:dyDescent="0.25">
      <c r="A43" s="8">
        <v>43084.248206018521</v>
      </c>
      <c r="B43" s="20" t="s">
        <v>358</v>
      </c>
      <c r="C43" s="20" t="s">
        <v>715</v>
      </c>
      <c r="D43" s="127">
        <v>3040000</v>
      </c>
      <c r="E43" s="20" t="s">
        <v>365</v>
      </c>
      <c r="F43" s="20" t="s">
        <v>413</v>
      </c>
      <c r="G43" s="8" t="str">
        <f t="shared" si="0"/>
        <v>WILLIAMS DONTE</v>
      </c>
      <c r="H43" s="20" t="str">
        <f t="shared" si="1"/>
        <v>4007</v>
      </c>
    </row>
    <row r="44" spans="1:8" x14ac:dyDescent="0.25">
      <c r="A44" s="8">
        <v>43084.255636574075</v>
      </c>
      <c r="B44" s="20" t="s">
        <v>373</v>
      </c>
      <c r="C44" s="20" t="s">
        <v>716</v>
      </c>
      <c r="D44" s="127">
        <v>1100000</v>
      </c>
      <c r="E44" s="20" t="s">
        <v>543</v>
      </c>
      <c r="F44" s="20" t="s">
        <v>544</v>
      </c>
      <c r="G44" s="8" t="str">
        <f t="shared" si="0"/>
        <v>GEBRETEKLE DAGNEW</v>
      </c>
      <c r="H44" s="20" t="str">
        <f t="shared" si="1"/>
        <v>4062</v>
      </c>
    </row>
    <row r="45" spans="1:8" x14ac:dyDescent="0.25">
      <c r="A45" s="8">
        <v>43084.258391203701</v>
      </c>
      <c r="B45" s="20" t="s">
        <v>651</v>
      </c>
      <c r="C45" s="20" t="s">
        <v>717</v>
      </c>
      <c r="D45" s="127">
        <v>2560000</v>
      </c>
      <c r="E45" s="20" t="s">
        <v>696</v>
      </c>
      <c r="F45" s="20" t="s">
        <v>697</v>
      </c>
      <c r="G45" s="8" t="str">
        <f t="shared" si="0"/>
        <v>MACDONALD THOMAS</v>
      </c>
      <c r="H45" s="20" t="str">
        <f t="shared" si="1"/>
        <v>4057</v>
      </c>
    </row>
    <row r="46" spans="1:8" x14ac:dyDescent="0.25">
      <c r="A46" s="8">
        <v>43084.263483796298</v>
      </c>
      <c r="B46" s="20" t="s">
        <v>416</v>
      </c>
      <c r="C46" s="20" t="s">
        <v>718</v>
      </c>
      <c r="D46" s="127">
        <v>2010000</v>
      </c>
      <c r="E46" s="20" t="s">
        <v>572</v>
      </c>
      <c r="F46" s="20" t="s">
        <v>573</v>
      </c>
      <c r="G46" s="8" t="str">
        <f t="shared" si="0"/>
        <v>MAELZER KURT</v>
      </c>
      <c r="H46" s="20" t="str">
        <f t="shared" si="1"/>
        <v>4043</v>
      </c>
    </row>
    <row r="47" spans="1:8" x14ac:dyDescent="0.25">
      <c r="A47" s="8">
        <v>43084.265694444446</v>
      </c>
      <c r="B47" s="20" t="s">
        <v>364</v>
      </c>
      <c r="C47" s="20" t="s">
        <v>719</v>
      </c>
      <c r="D47" s="127">
        <v>1230000</v>
      </c>
      <c r="E47" s="20" t="s">
        <v>458</v>
      </c>
      <c r="F47" s="20" t="s">
        <v>459</v>
      </c>
      <c r="G47" s="8" t="str">
        <f t="shared" si="0"/>
        <v>YANAI IAN</v>
      </c>
      <c r="H47" s="20" t="str">
        <f t="shared" si="1"/>
        <v>4035</v>
      </c>
    </row>
    <row r="48" spans="1:8" x14ac:dyDescent="0.25">
      <c r="A48" s="8">
        <v>43084.265949074077</v>
      </c>
      <c r="B48" s="20" t="s">
        <v>500</v>
      </c>
      <c r="C48" s="20" t="s">
        <v>720</v>
      </c>
      <c r="D48" s="127">
        <v>2440000</v>
      </c>
      <c r="E48" s="20" t="s">
        <v>541</v>
      </c>
      <c r="F48" s="20" t="s">
        <v>542</v>
      </c>
      <c r="G48" s="8" t="str">
        <f t="shared" si="0"/>
        <v>LOPES KIMBERLY</v>
      </c>
      <c r="H48" s="20" t="str">
        <f t="shared" si="1"/>
        <v>4042</v>
      </c>
    </row>
    <row r="49" spans="1:8" x14ac:dyDescent="0.25">
      <c r="A49" s="8">
        <v>43084.268495370372</v>
      </c>
      <c r="B49" s="20" t="s">
        <v>661</v>
      </c>
      <c r="C49" s="20" t="s">
        <v>721</v>
      </c>
      <c r="D49" s="127">
        <v>2370000</v>
      </c>
      <c r="E49" s="20" t="s">
        <v>711</v>
      </c>
      <c r="F49" s="20" t="s">
        <v>712</v>
      </c>
      <c r="G49" s="8" t="str">
        <f t="shared" si="0"/>
        <v>DELGADO DIANAH</v>
      </c>
      <c r="H49" s="20" t="str">
        <f t="shared" si="1"/>
        <v>4001</v>
      </c>
    </row>
    <row r="50" spans="1:8" x14ac:dyDescent="0.25">
      <c r="A50" s="8">
        <v>43084.273287037038</v>
      </c>
      <c r="B50" s="20" t="s">
        <v>356</v>
      </c>
      <c r="C50" s="20" t="s">
        <v>722</v>
      </c>
      <c r="D50" s="127">
        <v>3040000</v>
      </c>
      <c r="E50" s="20" t="s">
        <v>365</v>
      </c>
      <c r="F50" s="20" t="s">
        <v>413</v>
      </c>
      <c r="G50" s="8" t="str">
        <f t="shared" si="0"/>
        <v>WILLIAMS DONTE</v>
      </c>
      <c r="H50" s="20" t="str">
        <f t="shared" si="1"/>
        <v>4008</v>
      </c>
    </row>
    <row r="51" spans="1:8" x14ac:dyDescent="0.25">
      <c r="A51" s="8">
        <v>43084.276284722226</v>
      </c>
      <c r="B51" s="20" t="s">
        <v>442</v>
      </c>
      <c r="C51" s="20" t="s">
        <v>723</v>
      </c>
      <c r="D51" s="127">
        <v>3260000</v>
      </c>
      <c r="E51" s="20" t="s">
        <v>538</v>
      </c>
      <c r="F51" s="20" t="s">
        <v>539</v>
      </c>
      <c r="G51" s="8" t="str">
        <f t="shared" si="0"/>
        <v>PAGE MARCUS</v>
      </c>
      <c r="H51" s="20" t="str">
        <f t="shared" si="1"/>
        <v>4031</v>
      </c>
    </row>
    <row r="52" spans="1:8" x14ac:dyDescent="0.25">
      <c r="A52" s="8">
        <v>43084.277326388888</v>
      </c>
      <c r="B52" s="20" t="s">
        <v>671</v>
      </c>
      <c r="C52" s="20" t="s">
        <v>724</v>
      </c>
      <c r="D52" s="127">
        <v>900000</v>
      </c>
      <c r="E52" s="20" t="s">
        <v>701</v>
      </c>
      <c r="F52" s="20" t="s">
        <v>702</v>
      </c>
      <c r="G52" s="8" t="str">
        <f t="shared" si="0"/>
        <v>ROCHA YAOTL</v>
      </c>
      <c r="H52" s="20" t="str">
        <f t="shared" si="1"/>
        <v>4004</v>
      </c>
    </row>
    <row r="53" spans="1:8" x14ac:dyDescent="0.25">
      <c r="A53" s="8">
        <v>43084.286053240743</v>
      </c>
      <c r="B53" s="20" t="s">
        <v>375</v>
      </c>
      <c r="C53" s="20" t="s">
        <v>725</v>
      </c>
      <c r="D53" s="127">
        <v>1100000</v>
      </c>
      <c r="E53" s="20" t="s">
        <v>543</v>
      </c>
      <c r="F53" s="20" t="s">
        <v>544</v>
      </c>
      <c r="G53" s="8" t="str">
        <f t="shared" si="0"/>
        <v>GEBRETEKLE DAGNEW</v>
      </c>
      <c r="H53" s="20" t="str">
        <f t="shared" si="1"/>
        <v>4061</v>
      </c>
    </row>
    <row r="54" spans="1:8" x14ac:dyDescent="0.25">
      <c r="A54" s="8">
        <v>43084.288483796299</v>
      </c>
      <c r="B54" s="20" t="s">
        <v>698</v>
      </c>
      <c r="C54" s="20" t="s">
        <v>726</v>
      </c>
      <c r="D54" s="127">
        <v>2560000</v>
      </c>
      <c r="E54" s="20" t="s">
        <v>696</v>
      </c>
      <c r="F54" s="20" t="s">
        <v>697</v>
      </c>
      <c r="G54" s="8" t="str">
        <f t="shared" si="0"/>
        <v>MACDONALD THOMAS</v>
      </c>
      <c r="H54" s="20" t="str">
        <f t="shared" si="1"/>
        <v>4058</v>
      </c>
    </row>
    <row r="55" spans="1:8" x14ac:dyDescent="0.25">
      <c r="A55" s="8">
        <v>43084.289884259262</v>
      </c>
      <c r="B55" s="20" t="s">
        <v>358</v>
      </c>
      <c r="C55" s="20" t="s">
        <v>727</v>
      </c>
      <c r="D55" s="127">
        <v>3040000</v>
      </c>
      <c r="E55" s="20" t="s">
        <v>365</v>
      </c>
      <c r="F55" s="20" t="s">
        <v>413</v>
      </c>
      <c r="G55" s="8" t="str">
        <f t="shared" si="0"/>
        <v>WILLIAMS DONTE</v>
      </c>
      <c r="H55" s="20" t="str">
        <f t="shared" si="1"/>
        <v>4007</v>
      </c>
    </row>
    <row r="56" spans="1:8" x14ac:dyDescent="0.25">
      <c r="A56" s="8">
        <v>43084.289942129632</v>
      </c>
      <c r="B56" s="20" t="s">
        <v>654</v>
      </c>
      <c r="C56" s="20" t="s">
        <v>728</v>
      </c>
      <c r="D56" s="127">
        <v>2370000</v>
      </c>
      <c r="E56" s="20" t="s">
        <v>711</v>
      </c>
      <c r="F56" s="20" t="s">
        <v>712</v>
      </c>
      <c r="G56" s="8" t="str">
        <f t="shared" si="0"/>
        <v>DELGADO DIANAH</v>
      </c>
      <c r="H56" s="20" t="str">
        <f t="shared" si="1"/>
        <v>4002</v>
      </c>
    </row>
    <row r="57" spans="1:8" x14ac:dyDescent="0.25">
      <c r="A57" s="8">
        <v>43084.297418981485</v>
      </c>
      <c r="B57" s="20" t="s">
        <v>415</v>
      </c>
      <c r="C57" s="20" t="s">
        <v>729</v>
      </c>
      <c r="D57" s="127">
        <v>2010000</v>
      </c>
      <c r="E57" s="20" t="s">
        <v>572</v>
      </c>
      <c r="F57" s="20" t="s">
        <v>573</v>
      </c>
      <c r="G57" s="8" t="str">
        <f t="shared" si="0"/>
        <v>MAELZER KURT</v>
      </c>
      <c r="H57" s="20" t="str">
        <f t="shared" si="1"/>
        <v>4044</v>
      </c>
    </row>
    <row r="58" spans="1:8" x14ac:dyDescent="0.25">
      <c r="A58" s="8">
        <v>43084.304652777777</v>
      </c>
      <c r="B58" s="20" t="s">
        <v>646</v>
      </c>
      <c r="C58" s="20" t="s">
        <v>730</v>
      </c>
      <c r="D58" s="127">
        <v>2440000</v>
      </c>
      <c r="E58" s="20" t="s">
        <v>541</v>
      </c>
      <c r="F58" s="20" t="s">
        <v>542</v>
      </c>
      <c r="G58" s="8" t="str">
        <f t="shared" si="0"/>
        <v>LOPES KIMBERLY</v>
      </c>
      <c r="H58" s="20" t="str">
        <f t="shared" si="1"/>
        <v>4041</v>
      </c>
    </row>
    <row r="59" spans="1:8" x14ac:dyDescent="0.25">
      <c r="A59" s="8">
        <v>43084.307280092595</v>
      </c>
      <c r="B59" s="20" t="s">
        <v>363</v>
      </c>
      <c r="C59" s="20" t="s">
        <v>731</v>
      </c>
      <c r="D59" s="127">
        <v>1230000</v>
      </c>
      <c r="E59" s="20" t="s">
        <v>458</v>
      </c>
      <c r="F59" s="20" t="s">
        <v>459</v>
      </c>
      <c r="G59" s="8" t="str">
        <f t="shared" si="0"/>
        <v>YANAI IAN</v>
      </c>
      <c r="H59" s="20" t="str">
        <f t="shared" si="1"/>
        <v>4036</v>
      </c>
    </row>
    <row r="60" spans="1:8" x14ac:dyDescent="0.25">
      <c r="A60" s="8">
        <v>43084.309328703705</v>
      </c>
      <c r="B60" s="20" t="s">
        <v>661</v>
      </c>
      <c r="C60" s="20" t="s">
        <v>732</v>
      </c>
      <c r="D60" s="127">
        <v>2370000</v>
      </c>
      <c r="E60" s="20" t="s">
        <v>711</v>
      </c>
      <c r="F60" s="20" t="s">
        <v>712</v>
      </c>
      <c r="G60" s="8" t="str">
        <f t="shared" si="0"/>
        <v>DELGADO DIANAH</v>
      </c>
      <c r="H60" s="20" t="str">
        <f t="shared" si="1"/>
        <v>4001</v>
      </c>
    </row>
    <row r="61" spans="1:8" x14ac:dyDescent="0.25">
      <c r="A61" s="8">
        <v>43084.313379629632</v>
      </c>
      <c r="B61" s="20" t="s">
        <v>356</v>
      </c>
      <c r="C61" s="20" t="s">
        <v>649</v>
      </c>
      <c r="D61" s="127">
        <v>3040000</v>
      </c>
      <c r="E61" s="20" t="s">
        <v>365</v>
      </c>
      <c r="F61" s="20" t="s">
        <v>413</v>
      </c>
      <c r="G61" s="8" t="str">
        <f t="shared" si="0"/>
        <v>WILLIAMS DONTE</v>
      </c>
      <c r="H61" s="20" t="str">
        <f t="shared" si="1"/>
        <v>4008</v>
      </c>
    </row>
    <row r="62" spans="1:8" x14ac:dyDescent="0.25">
      <c r="A62" s="8">
        <v>43084.318009259259</v>
      </c>
      <c r="B62" s="20" t="s">
        <v>443</v>
      </c>
      <c r="C62" s="20" t="s">
        <v>733</v>
      </c>
      <c r="D62" s="127">
        <v>3260000</v>
      </c>
      <c r="E62" s="20" t="s">
        <v>538</v>
      </c>
      <c r="F62" s="20" t="s">
        <v>539</v>
      </c>
      <c r="G62" s="8" t="str">
        <f t="shared" si="0"/>
        <v>PAGE MARCUS</v>
      </c>
      <c r="H62" s="20" t="str">
        <f t="shared" si="1"/>
        <v>4032</v>
      </c>
    </row>
    <row r="63" spans="1:8" x14ac:dyDescent="0.25">
      <c r="A63" s="8">
        <v>43084.320694444446</v>
      </c>
      <c r="B63" s="20" t="s">
        <v>643</v>
      </c>
      <c r="C63" s="20" t="s">
        <v>650</v>
      </c>
      <c r="D63" s="127">
        <v>900000</v>
      </c>
      <c r="E63" s="20" t="s">
        <v>701</v>
      </c>
      <c r="F63" s="20" t="s">
        <v>702</v>
      </c>
      <c r="G63" s="8" t="str">
        <f t="shared" si="0"/>
        <v>ROCHA YAOTL</v>
      </c>
      <c r="H63" s="20" t="str">
        <f t="shared" si="1"/>
        <v>4003</v>
      </c>
    </row>
    <row r="64" spans="1:8" x14ac:dyDescent="0.25">
      <c r="A64" s="26">
        <v>43084.328576388885</v>
      </c>
      <c r="B64" s="20" t="s">
        <v>373</v>
      </c>
      <c r="C64" s="20" t="s">
        <v>734</v>
      </c>
      <c r="D64" s="127">
        <v>1100000</v>
      </c>
      <c r="E64" s="20" t="s">
        <v>543</v>
      </c>
      <c r="F64" s="20" t="s">
        <v>544</v>
      </c>
      <c r="G64" s="8" t="str">
        <f t="shared" si="0"/>
        <v>GEBRETEKLE DAGNEW</v>
      </c>
      <c r="H64" s="20" t="str">
        <f t="shared" si="1"/>
        <v>4062</v>
      </c>
    </row>
    <row r="65" spans="1:8" x14ac:dyDescent="0.25">
      <c r="A65" s="8">
        <v>43084.329745370371</v>
      </c>
      <c r="B65" s="20" t="s">
        <v>651</v>
      </c>
      <c r="C65" s="20" t="s">
        <v>652</v>
      </c>
      <c r="D65" s="127">
        <v>2560000</v>
      </c>
      <c r="E65" s="20" t="s">
        <v>696</v>
      </c>
      <c r="F65" s="20" t="s">
        <v>697</v>
      </c>
      <c r="G65" s="8" t="str">
        <f t="shared" si="0"/>
        <v>MACDONALD THOMAS</v>
      </c>
      <c r="H65" s="20" t="str">
        <f t="shared" si="1"/>
        <v>4057</v>
      </c>
    </row>
    <row r="66" spans="1:8" x14ac:dyDescent="0.25">
      <c r="A66" s="8">
        <v>43084.331365740742</v>
      </c>
      <c r="B66" s="20" t="s">
        <v>654</v>
      </c>
      <c r="C66" s="20" t="s">
        <v>735</v>
      </c>
      <c r="D66" s="127">
        <v>2370000</v>
      </c>
      <c r="E66" s="20" t="s">
        <v>711</v>
      </c>
      <c r="F66" s="20" t="s">
        <v>712</v>
      </c>
      <c r="G66" s="8" t="str">
        <f t="shared" si="0"/>
        <v>DELGADO DIANAH</v>
      </c>
      <c r="H66" s="20" t="str">
        <f t="shared" si="1"/>
        <v>4002</v>
      </c>
    </row>
    <row r="67" spans="1:8" x14ac:dyDescent="0.25">
      <c r="A67" s="8">
        <v>43084.331423611111</v>
      </c>
      <c r="B67" s="20" t="s">
        <v>358</v>
      </c>
      <c r="C67" s="20" t="s">
        <v>736</v>
      </c>
      <c r="D67" s="127">
        <v>3040000</v>
      </c>
      <c r="E67" s="20" t="s">
        <v>365</v>
      </c>
      <c r="F67" s="20" t="s">
        <v>413</v>
      </c>
      <c r="G67" s="8" t="str">
        <f t="shared" ref="G67:G130" si="2">E67&amp;" "&amp;F67</f>
        <v>WILLIAMS DONTE</v>
      </c>
      <c r="H67" s="20" t="str">
        <f t="shared" ref="H67:H130" si="3">MID(B67,13,4)</f>
        <v>4007</v>
      </c>
    </row>
    <row r="68" spans="1:8" x14ac:dyDescent="0.25">
      <c r="A68" s="8">
        <v>43084.331608796296</v>
      </c>
      <c r="B68" s="20" t="s">
        <v>416</v>
      </c>
      <c r="C68" s="20" t="s">
        <v>737</v>
      </c>
      <c r="D68" s="127">
        <v>2010000</v>
      </c>
      <c r="E68" s="20" t="s">
        <v>572</v>
      </c>
      <c r="F68" s="20" t="s">
        <v>573</v>
      </c>
      <c r="G68" s="8" t="str">
        <f t="shared" si="2"/>
        <v>MAELZER KURT</v>
      </c>
      <c r="H68" s="20" t="str">
        <f t="shared" si="3"/>
        <v>4043</v>
      </c>
    </row>
    <row r="69" spans="1:8" x14ac:dyDescent="0.25">
      <c r="A69" s="8">
        <v>43084.338136574072</v>
      </c>
      <c r="B69" s="20" t="s">
        <v>500</v>
      </c>
      <c r="C69" s="20" t="s">
        <v>738</v>
      </c>
      <c r="D69" s="127">
        <v>2440000</v>
      </c>
      <c r="E69" s="20" t="s">
        <v>541</v>
      </c>
      <c r="F69" s="20" t="s">
        <v>542</v>
      </c>
      <c r="G69" s="8" t="str">
        <f t="shared" si="2"/>
        <v>LOPES KIMBERLY</v>
      </c>
      <c r="H69" s="20" t="str">
        <f t="shared" si="3"/>
        <v>4042</v>
      </c>
    </row>
    <row r="70" spans="1:8" x14ac:dyDescent="0.25">
      <c r="A70" s="8">
        <v>43084.339143518519</v>
      </c>
      <c r="B70" s="20" t="s">
        <v>364</v>
      </c>
      <c r="C70" s="20" t="s">
        <v>739</v>
      </c>
      <c r="D70" s="127">
        <v>1230000</v>
      </c>
      <c r="E70" s="20" t="s">
        <v>458</v>
      </c>
      <c r="F70" s="20" t="s">
        <v>459</v>
      </c>
      <c r="G70" s="8" t="str">
        <f t="shared" si="2"/>
        <v>YANAI IAN</v>
      </c>
      <c r="H70" s="20" t="str">
        <f t="shared" si="3"/>
        <v>4035</v>
      </c>
    </row>
    <row r="71" spans="1:8" x14ac:dyDescent="0.25">
      <c r="A71" s="8">
        <v>43084.348217592589</v>
      </c>
      <c r="B71" s="20" t="s">
        <v>442</v>
      </c>
      <c r="C71" s="20" t="s">
        <v>653</v>
      </c>
      <c r="D71" s="127">
        <v>3260000</v>
      </c>
      <c r="E71" s="20" t="s">
        <v>538</v>
      </c>
      <c r="F71" s="20" t="s">
        <v>539</v>
      </c>
      <c r="G71" s="8" t="str">
        <f t="shared" si="2"/>
        <v>PAGE MARCUS</v>
      </c>
      <c r="H71" s="20" t="str">
        <f t="shared" si="3"/>
        <v>4031</v>
      </c>
    </row>
    <row r="72" spans="1:8" x14ac:dyDescent="0.25">
      <c r="A72" s="8">
        <v>43084.348437499997</v>
      </c>
      <c r="B72" s="20" t="s">
        <v>671</v>
      </c>
      <c r="C72" s="20" t="s">
        <v>740</v>
      </c>
      <c r="D72" s="127">
        <v>900000</v>
      </c>
      <c r="E72" s="20" t="s">
        <v>701</v>
      </c>
      <c r="F72" s="20" t="s">
        <v>702</v>
      </c>
      <c r="G72" s="8" t="str">
        <f t="shared" si="2"/>
        <v>ROCHA YAOTL</v>
      </c>
      <c r="H72" s="20" t="str">
        <f t="shared" si="3"/>
        <v>4004</v>
      </c>
    </row>
    <row r="73" spans="1:8" x14ac:dyDescent="0.25">
      <c r="A73" s="8">
        <v>43084.352465277778</v>
      </c>
      <c r="B73" s="20" t="s">
        <v>661</v>
      </c>
      <c r="C73" s="20" t="s">
        <v>741</v>
      </c>
      <c r="D73" s="127">
        <v>2370000</v>
      </c>
      <c r="E73" s="20" t="s">
        <v>711</v>
      </c>
      <c r="F73" s="20" t="s">
        <v>712</v>
      </c>
      <c r="G73" s="8" t="str">
        <f t="shared" si="2"/>
        <v>DELGADO DIANAH</v>
      </c>
      <c r="H73" s="20" t="str">
        <f t="shared" si="3"/>
        <v>4001</v>
      </c>
    </row>
    <row r="74" spans="1:8" x14ac:dyDescent="0.25">
      <c r="A74" s="8">
        <v>43084.356041666666</v>
      </c>
      <c r="B74" s="20" t="s">
        <v>356</v>
      </c>
      <c r="C74" s="20" t="s">
        <v>742</v>
      </c>
      <c r="D74" s="127">
        <v>3040000</v>
      </c>
      <c r="E74" s="20" t="s">
        <v>365</v>
      </c>
      <c r="F74" s="20" t="s">
        <v>413</v>
      </c>
      <c r="G74" s="8" t="str">
        <f t="shared" si="2"/>
        <v>WILLIAMS DONTE</v>
      </c>
      <c r="H74" s="20" t="str">
        <f t="shared" si="3"/>
        <v>4008</v>
      </c>
    </row>
    <row r="75" spans="1:8" x14ac:dyDescent="0.25">
      <c r="A75" s="8">
        <v>43084.35974537037</v>
      </c>
      <c r="B75" s="20" t="s">
        <v>375</v>
      </c>
      <c r="C75" s="20" t="s">
        <v>743</v>
      </c>
      <c r="D75" s="127">
        <v>1100000</v>
      </c>
      <c r="E75" s="20" t="s">
        <v>543</v>
      </c>
      <c r="F75" s="20" t="s">
        <v>544</v>
      </c>
      <c r="G75" s="8" t="str">
        <f t="shared" si="2"/>
        <v>GEBRETEKLE DAGNEW</v>
      </c>
      <c r="H75" s="20" t="str">
        <f t="shared" si="3"/>
        <v>4061</v>
      </c>
    </row>
    <row r="76" spans="1:8" x14ac:dyDescent="0.25">
      <c r="A76" s="8">
        <v>43084.363009259258</v>
      </c>
      <c r="B76" s="20" t="s">
        <v>698</v>
      </c>
      <c r="C76" s="20" t="s">
        <v>744</v>
      </c>
      <c r="D76" s="127">
        <v>2560000</v>
      </c>
      <c r="E76" s="20" t="s">
        <v>696</v>
      </c>
      <c r="F76" s="20" t="s">
        <v>697</v>
      </c>
      <c r="G76" s="8" t="str">
        <f t="shared" si="2"/>
        <v>MACDONALD THOMAS</v>
      </c>
      <c r="H76" s="20" t="str">
        <f t="shared" si="3"/>
        <v>4058</v>
      </c>
    </row>
    <row r="77" spans="1:8" x14ac:dyDescent="0.25">
      <c r="A77" s="8">
        <v>43084.366782407407</v>
      </c>
      <c r="B77" s="20" t="s">
        <v>358</v>
      </c>
      <c r="C77" s="20" t="s">
        <v>742</v>
      </c>
      <c r="D77" s="127">
        <v>3040000</v>
      </c>
      <c r="E77" s="20" t="s">
        <v>365</v>
      </c>
      <c r="F77" s="20" t="s">
        <v>413</v>
      </c>
      <c r="G77" s="8" t="str">
        <f t="shared" si="2"/>
        <v>WILLIAMS DONTE</v>
      </c>
      <c r="H77" s="20" t="str">
        <f t="shared" si="3"/>
        <v>4007</v>
      </c>
    </row>
    <row r="78" spans="1:8" x14ac:dyDescent="0.25">
      <c r="A78" s="8">
        <v>43084.371365740742</v>
      </c>
      <c r="B78" s="20" t="s">
        <v>415</v>
      </c>
      <c r="C78" s="20" t="s">
        <v>745</v>
      </c>
      <c r="D78" s="127">
        <v>2010000</v>
      </c>
      <c r="E78" s="20" t="s">
        <v>572</v>
      </c>
      <c r="F78" s="20" t="s">
        <v>573</v>
      </c>
      <c r="G78" s="8" t="str">
        <f t="shared" si="2"/>
        <v>MAELZER KURT</v>
      </c>
      <c r="H78" s="20" t="str">
        <f t="shared" si="3"/>
        <v>4044</v>
      </c>
    </row>
    <row r="79" spans="1:8" x14ac:dyDescent="0.25">
      <c r="A79" s="8">
        <v>43084.372430555559</v>
      </c>
      <c r="B79" s="20" t="s">
        <v>646</v>
      </c>
      <c r="C79" s="20" t="s">
        <v>746</v>
      </c>
      <c r="D79" s="127">
        <v>2440000</v>
      </c>
      <c r="E79" s="20" t="s">
        <v>541</v>
      </c>
      <c r="F79" s="20" t="s">
        <v>542</v>
      </c>
      <c r="G79" s="8" t="str">
        <f t="shared" si="2"/>
        <v>LOPES KIMBERLY</v>
      </c>
      <c r="H79" s="20" t="str">
        <f t="shared" si="3"/>
        <v>4041</v>
      </c>
    </row>
    <row r="80" spans="1:8" x14ac:dyDescent="0.25">
      <c r="A80" s="8">
        <v>43084.378877314812</v>
      </c>
      <c r="B80" s="20" t="s">
        <v>654</v>
      </c>
      <c r="C80" s="20" t="s">
        <v>655</v>
      </c>
      <c r="D80" s="127">
        <v>2370000</v>
      </c>
      <c r="E80" s="20" t="s">
        <v>711</v>
      </c>
      <c r="F80" s="20" t="s">
        <v>712</v>
      </c>
      <c r="G80" s="8" t="str">
        <f t="shared" si="2"/>
        <v>DELGADO DIANAH</v>
      </c>
      <c r="H80" s="20" t="str">
        <f t="shared" si="3"/>
        <v>4002</v>
      </c>
    </row>
    <row r="81" spans="1:8" x14ac:dyDescent="0.25">
      <c r="A81" s="8">
        <v>43084.378958333335</v>
      </c>
      <c r="B81" s="20" t="s">
        <v>363</v>
      </c>
      <c r="C81" s="20" t="s">
        <v>747</v>
      </c>
      <c r="D81" s="127">
        <v>1230000</v>
      </c>
      <c r="E81" s="20" t="s">
        <v>458</v>
      </c>
      <c r="F81" s="20" t="s">
        <v>459</v>
      </c>
      <c r="G81" s="8" t="str">
        <f t="shared" si="2"/>
        <v>YANAI IAN</v>
      </c>
      <c r="H81" s="20" t="str">
        <f t="shared" si="3"/>
        <v>4036</v>
      </c>
    </row>
    <row r="82" spans="1:8" x14ac:dyDescent="0.25">
      <c r="A82" s="8">
        <v>43084.391458333332</v>
      </c>
      <c r="B82" s="20" t="s">
        <v>443</v>
      </c>
      <c r="C82" s="20" t="s">
        <v>748</v>
      </c>
      <c r="D82" s="127">
        <v>3260000</v>
      </c>
      <c r="E82" s="20" t="s">
        <v>538</v>
      </c>
      <c r="F82" s="20" t="s">
        <v>539</v>
      </c>
      <c r="G82" s="8" t="str">
        <f t="shared" si="2"/>
        <v>PAGE MARCUS</v>
      </c>
      <c r="H82" s="20" t="str">
        <f t="shared" si="3"/>
        <v>4032</v>
      </c>
    </row>
    <row r="83" spans="1:8" x14ac:dyDescent="0.25">
      <c r="A83" s="8">
        <v>43084.392766203702</v>
      </c>
      <c r="B83" s="20" t="s">
        <v>643</v>
      </c>
      <c r="C83" s="20" t="s">
        <v>656</v>
      </c>
      <c r="D83" s="127">
        <v>900000</v>
      </c>
      <c r="E83" s="20" t="s">
        <v>701</v>
      </c>
      <c r="F83" s="20" t="s">
        <v>702</v>
      </c>
      <c r="G83" s="8" t="str">
        <f t="shared" si="2"/>
        <v>ROCHA YAOTL</v>
      </c>
      <c r="H83" s="20" t="str">
        <f t="shared" si="3"/>
        <v>4003</v>
      </c>
    </row>
    <row r="84" spans="1:8" x14ac:dyDescent="0.25">
      <c r="A84" s="8">
        <v>43084.393263888887</v>
      </c>
      <c r="B84" s="20" t="s">
        <v>661</v>
      </c>
      <c r="C84" s="20" t="s">
        <v>749</v>
      </c>
      <c r="D84" s="127">
        <v>2370000</v>
      </c>
      <c r="E84" s="20" t="s">
        <v>711</v>
      </c>
      <c r="F84" s="20" t="s">
        <v>712</v>
      </c>
      <c r="G84" s="8" t="str">
        <f t="shared" si="2"/>
        <v>DELGADO DIANAH</v>
      </c>
      <c r="H84" s="20" t="str">
        <f t="shared" si="3"/>
        <v>4001</v>
      </c>
    </row>
    <row r="85" spans="1:8" x14ac:dyDescent="0.25">
      <c r="A85" s="8">
        <v>43084.40079861111</v>
      </c>
      <c r="B85" s="20" t="s">
        <v>373</v>
      </c>
      <c r="C85" s="20" t="s">
        <v>750</v>
      </c>
      <c r="D85" s="127">
        <v>1100000</v>
      </c>
      <c r="E85" s="20" t="s">
        <v>543</v>
      </c>
      <c r="F85" s="20" t="s">
        <v>544</v>
      </c>
      <c r="G85" s="8" t="str">
        <f t="shared" si="2"/>
        <v>GEBRETEKLE DAGNEW</v>
      </c>
      <c r="H85" s="20" t="str">
        <f t="shared" si="3"/>
        <v>4062</v>
      </c>
    </row>
    <row r="86" spans="1:8" x14ac:dyDescent="0.25">
      <c r="A86" s="8">
        <v>43084.400891203702</v>
      </c>
      <c r="B86" s="20" t="s">
        <v>651</v>
      </c>
      <c r="C86" s="20" t="s">
        <v>751</v>
      </c>
      <c r="D86" s="127">
        <v>2560000</v>
      </c>
      <c r="E86" s="20" t="s">
        <v>696</v>
      </c>
      <c r="F86" s="20" t="s">
        <v>697</v>
      </c>
      <c r="G86" s="8" t="str">
        <f t="shared" si="2"/>
        <v>MACDONALD THOMAS</v>
      </c>
      <c r="H86" s="20" t="str">
        <f t="shared" si="3"/>
        <v>4057</v>
      </c>
    </row>
    <row r="87" spans="1:8" x14ac:dyDescent="0.25">
      <c r="A87" s="8">
        <v>43084.402546296296</v>
      </c>
      <c r="B87" s="20" t="s">
        <v>416</v>
      </c>
      <c r="C87" s="20" t="s">
        <v>752</v>
      </c>
      <c r="D87" s="127">
        <v>2010000</v>
      </c>
      <c r="E87" s="20" t="s">
        <v>572</v>
      </c>
      <c r="F87" s="20" t="s">
        <v>573</v>
      </c>
      <c r="G87" s="8" t="str">
        <f t="shared" si="2"/>
        <v>MAELZER KURT</v>
      </c>
      <c r="H87" s="20" t="str">
        <f t="shared" si="3"/>
        <v>4043</v>
      </c>
    </row>
    <row r="88" spans="1:8" x14ac:dyDescent="0.25">
      <c r="A88" s="8">
        <v>43084.408958333333</v>
      </c>
      <c r="B88" s="20" t="s">
        <v>643</v>
      </c>
      <c r="C88" s="20" t="s">
        <v>656</v>
      </c>
      <c r="D88" s="127">
        <v>900000</v>
      </c>
      <c r="E88" s="20" t="s">
        <v>701</v>
      </c>
      <c r="F88" s="20" t="s">
        <v>702</v>
      </c>
      <c r="G88" s="8" t="str">
        <f t="shared" si="2"/>
        <v>ROCHA YAOTL</v>
      </c>
      <c r="H88" s="20" t="str">
        <f t="shared" si="3"/>
        <v>4003</v>
      </c>
    </row>
    <row r="89" spans="1:8" x14ac:dyDescent="0.25">
      <c r="A89" s="8">
        <v>43084.41101851852</v>
      </c>
      <c r="B89" s="20" t="s">
        <v>364</v>
      </c>
      <c r="C89" s="20" t="s">
        <v>753</v>
      </c>
      <c r="D89" s="127">
        <v>1230000</v>
      </c>
      <c r="E89" s="20" t="s">
        <v>458</v>
      </c>
      <c r="F89" s="20" t="s">
        <v>459</v>
      </c>
      <c r="G89" s="8" t="str">
        <f t="shared" si="2"/>
        <v>YANAI IAN</v>
      </c>
      <c r="H89" s="20" t="str">
        <f t="shared" si="3"/>
        <v>4035</v>
      </c>
    </row>
    <row r="90" spans="1:8" x14ac:dyDescent="0.25">
      <c r="A90" s="8">
        <v>43084.411493055559</v>
      </c>
      <c r="B90" s="20" t="s">
        <v>500</v>
      </c>
      <c r="C90" s="20" t="s">
        <v>754</v>
      </c>
      <c r="D90" s="127">
        <v>2440000</v>
      </c>
      <c r="E90" s="20" t="s">
        <v>541</v>
      </c>
      <c r="F90" s="20" t="s">
        <v>542</v>
      </c>
      <c r="G90" s="8" t="str">
        <f t="shared" si="2"/>
        <v>LOPES KIMBERLY</v>
      </c>
      <c r="H90" s="20" t="str">
        <f t="shared" si="3"/>
        <v>4042</v>
      </c>
    </row>
    <row r="91" spans="1:8" x14ac:dyDescent="0.25">
      <c r="A91" s="8">
        <v>43084.42050925926</v>
      </c>
      <c r="B91" s="20" t="s">
        <v>654</v>
      </c>
      <c r="C91" s="20" t="s">
        <v>755</v>
      </c>
      <c r="D91" s="127">
        <v>2370000</v>
      </c>
      <c r="E91" s="20" t="s">
        <v>711</v>
      </c>
      <c r="F91" s="20" t="s">
        <v>712</v>
      </c>
      <c r="G91" s="8" t="str">
        <f t="shared" si="2"/>
        <v>DELGADO DIANAH</v>
      </c>
      <c r="H91" s="20" t="str">
        <f t="shared" si="3"/>
        <v>4002</v>
      </c>
    </row>
    <row r="92" spans="1:8" x14ac:dyDescent="0.25">
      <c r="A92" s="8">
        <v>43084.424027777779</v>
      </c>
      <c r="B92" s="20" t="s">
        <v>671</v>
      </c>
      <c r="C92" s="20" t="s">
        <v>756</v>
      </c>
      <c r="D92" s="127">
        <v>3040000</v>
      </c>
      <c r="E92" s="20" t="s">
        <v>365</v>
      </c>
      <c r="F92" s="20" t="s">
        <v>413</v>
      </c>
      <c r="G92" s="8" t="str">
        <f t="shared" si="2"/>
        <v>WILLIAMS DONTE</v>
      </c>
      <c r="H92" s="20" t="str">
        <f t="shared" si="3"/>
        <v>4004</v>
      </c>
    </row>
    <row r="93" spans="1:8" x14ac:dyDescent="0.25">
      <c r="A93" s="8">
        <v>43084.424814814818</v>
      </c>
      <c r="B93" s="20" t="s">
        <v>442</v>
      </c>
      <c r="C93" s="20" t="s">
        <v>757</v>
      </c>
      <c r="D93" s="127">
        <v>3260000</v>
      </c>
      <c r="E93" s="20" t="s">
        <v>538</v>
      </c>
      <c r="F93" s="20" t="s">
        <v>539</v>
      </c>
      <c r="G93" s="8" t="str">
        <f t="shared" si="2"/>
        <v>PAGE MARCUS</v>
      </c>
      <c r="H93" s="20" t="str">
        <f t="shared" si="3"/>
        <v>4031</v>
      </c>
    </row>
    <row r="94" spans="1:8" x14ac:dyDescent="0.25">
      <c r="A94" s="8">
        <v>43084.431585648148</v>
      </c>
      <c r="B94" s="20" t="s">
        <v>375</v>
      </c>
      <c r="C94" s="20" t="s">
        <v>758</v>
      </c>
      <c r="D94" s="127">
        <v>1100000</v>
      </c>
      <c r="E94" s="20" t="s">
        <v>543</v>
      </c>
      <c r="F94" s="20" t="s">
        <v>544</v>
      </c>
      <c r="G94" s="8" t="str">
        <f t="shared" si="2"/>
        <v>GEBRETEKLE DAGNEW</v>
      </c>
      <c r="H94" s="20" t="str">
        <f t="shared" si="3"/>
        <v>4061</v>
      </c>
    </row>
    <row r="95" spans="1:8" x14ac:dyDescent="0.25">
      <c r="A95" s="8">
        <v>43084.434270833335</v>
      </c>
      <c r="B95" s="20" t="s">
        <v>661</v>
      </c>
      <c r="C95" s="20" t="s">
        <v>749</v>
      </c>
      <c r="D95" s="127">
        <v>2370000</v>
      </c>
      <c r="E95" s="20" t="s">
        <v>711</v>
      </c>
      <c r="F95" s="20" t="s">
        <v>712</v>
      </c>
      <c r="G95" s="8" t="str">
        <f t="shared" si="2"/>
        <v>DELGADO DIANAH</v>
      </c>
      <c r="H95" s="20" t="str">
        <f t="shared" si="3"/>
        <v>4001</v>
      </c>
    </row>
    <row r="96" spans="1:8" x14ac:dyDescent="0.25">
      <c r="A96" s="8">
        <v>43084.434444444443</v>
      </c>
      <c r="B96" s="20" t="s">
        <v>698</v>
      </c>
      <c r="C96" s="20" t="s">
        <v>759</v>
      </c>
      <c r="D96" s="127">
        <v>2560000</v>
      </c>
      <c r="E96" s="20" t="s">
        <v>696</v>
      </c>
      <c r="F96" s="20" t="s">
        <v>697</v>
      </c>
      <c r="G96" s="8" t="str">
        <f t="shared" si="2"/>
        <v>MACDONALD THOMAS</v>
      </c>
      <c r="H96" s="20" t="str">
        <f t="shared" si="3"/>
        <v>4058</v>
      </c>
    </row>
    <row r="97" spans="1:8" x14ac:dyDescent="0.25">
      <c r="A97" s="8">
        <v>43084.444062499999</v>
      </c>
      <c r="B97" s="20" t="s">
        <v>415</v>
      </c>
      <c r="C97" s="20" t="s">
        <v>760</v>
      </c>
      <c r="D97" s="127">
        <v>2550000</v>
      </c>
      <c r="E97" s="20" t="s">
        <v>574</v>
      </c>
      <c r="F97" s="20" t="s">
        <v>575</v>
      </c>
      <c r="G97" s="8" t="str">
        <f t="shared" si="2"/>
        <v>BADERTSCHER DIANE</v>
      </c>
      <c r="H97" s="20" t="str">
        <f t="shared" si="3"/>
        <v>4044</v>
      </c>
    </row>
    <row r="98" spans="1:8" x14ac:dyDescent="0.25">
      <c r="A98" s="8">
        <v>43084.452361111114</v>
      </c>
      <c r="B98" s="20" t="s">
        <v>646</v>
      </c>
      <c r="C98" s="20" t="s">
        <v>761</v>
      </c>
      <c r="D98" s="127">
        <v>2440000</v>
      </c>
      <c r="E98" s="20" t="s">
        <v>541</v>
      </c>
      <c r="F98" s="20" t="s">
        <v>542</v>
      </c>
      <c r="G98" s="8" t="str">
        <f t="shared" si="2"/>
        <v>LOPES KIMBERLY</v>
      </c>
      <c r="H98" s="20" t="str">
        <f t="shared" si="3"/>
        <v>4041</v>
      </c>
    </row>
    <row r="99" spans="1:8" x14ac:dyDescent="0.25">
      <c r="A99" s="8">
        <v>43084.453136574077</v>
      </c>
      <c r="B99" s="20" t="s">
        <v>363</v>
      </c>
      <c r="C99" s="20" t="s">
        <v>762</v>
      </c>
      <c r="D99" s="127">
        <v>1230000</v>
      </c>
      <c r="E99" s="20" t="s">
        <v>458</v>
      </c>
      <c r="F99" s="20" t="s">
        <v>459</v>
      </c>
      <c r="G99" s="8" t="str">
        <f t="shared" si="2"/>
        <v>YANAI IAN</v>
      </c>
      <c r="H99" s="20" t="str">
        <f t="shared" si="3"/>
        <v>4036</v>
      </c>
    </row>
    <row r="100" spans="1:8" x14ac:dyDescent="0.25">
      <c r="A100" s="8">
        <v>43084.456921296296</v>
      </c>
      <c r="B100" s="20" t="s">
        <v>643</v>
      </c>
      <c r="C100" s="20" t="s">
        <v>763</v>
      </c>
      <c r="D100" s="127">
        <v>3040000</v>
      </c>
      <c r="E100" s="20" t="s">
        <v>365</v>
      </c>
      <c r="F100" s="20" t="s">
        <v>413</v>
      </c>
      <c r="G100" s="8" t="str">
        <f t="shared" si="2"/>
        <v>WILLIAMS DONTE</v>
      </c>
      <c r="H100" s="20" t="str">
        <f t="shared" si="3"/>
        <v>4003</v>
      </c>
    </row>
    <row r="101" spans="1:8" x14ac:dyDescent="0.25">
      <c r="A101" s="8">
        <v>43084.462060185186</v>
      </c>
      <c r="B101" s="20" t="s">
        <v>654</v>
      </c>
      <c r="C101" s="20" t="s">
        <v>764</v>
      </c>
      <c r="D101" s="127">
        <v>2370000</v>
      </c>
      <c r="E101" s="20" t="s">
        <v>711</v>
      </c>
      <c r="F101" s="20" t="s">
        <v>712</v>
      </c>
      <c r="G101" s="8" t="str">
        <f t="shared" si="2"/>
        <v>DELGADO DIANAH</v>
      </c>
      <c r="H101" s="20" t="str">
        <f t="shared" si="3"/>
        <v>4002</v>
      </c>
    </row>
    <row r="102" spans="1:8" x14ac:dyDescent="0.25">
      <c r="A102" s="8">
        <v>43084.465324074074</v>
      </c>
      <c r="B102" s="20" t="s">
        <v>443</v>
      </c>
      <c r="C102" s="20" t="s">
        <v>765</v>
      </c>
      <c r="D102" s="127">
        <v>1810000</v>
      </c>
      <c r="E102" s="20" t="s">
        <v>520</v>
      </c>
      <c r="F102" s="20" t="s">
        <v>381</v>
      </c>
      <c r="G102" s="8" t="str">
        <f t="shared" si="2"/>
        <v>NEWELL JAMES</v>
      </c>
      <c r="H102" s="20" t="str">
        <f t="shared" si="3"/>
        <v>4032</v>
      </c>
    </row>
    <row r="103" spans="1:8" x14ac:dyDescent="0.25">
      <c r="A103" s="8">
        <v>43084.475081018521</v>
      </c>
      <c r="B103" s="20" t="s">
        <v>651</v>
      </c>
      <c r="C103" s="20" t="s">
        <v>766</v>
      </c>
      <c r="D103" s="127">
        <v>2560000</v>
      </c>
      <c r="E103" s="20" t="s">
        <v>696</v>
      </c>
      <c r="F103" s="20" t="s">
        <v>697</v>
      </c>
      <c r="G103" s="8" t="str">
        <f t="shared" si="2"/>
        <v>MACDONALD THOMAS</v>
      </c>
      <c r="H103" s="20" t="str">
        <f t="shared" si="3"/>
        <v>4057</v>
      </c>
    </row>
    <row r="104" spans="1:8" x14ac:dyDescent="0.25">
      <c r="A104" s="8">
        <v>43084.476087962961</v>
      </c>
      <c r="B104" s="20" t="s">
        <v>373</v>
      </c>
      <c r="C104" s="20" t="s">
        <v>657</v>
      </c>
      <c r="D104" s="127">
        <v>3330000</v>
      </c>
      <c r="E104" s="20" t="s">
        <v>767</v>
      </c>
      <c r="F104" s="20" t="s">
        <v>768</v>
      </c>
      <c r="G104" s="8" t="str">
        <f t="shared" si="2"/>
        <v>GONZALEZ ARMANDO</v>
      </c>
      <c r="H104" s="20" t="str">
        <f t="shared" si="3"/>
        <v>4062</v>
      </c>
    </row>
    <row r="105" spans="1:8" x14ac:dyDescent="0.25">
      <c r="A105" s="8">
        <v>43084.478067129632</v>
      </c>
      <c r="B105" s="20" t="s">
        <v>661</v>
      </c>
      <c r="C105" s="20" t="s">
        <v>769</v>
      </c>
      <c r="D105" s="127">
        <v>2370000</v>
      </c>
      <c r="E105" s="20" t="s">
        <v>711</v>
      </c>
      <c r="F105" s="20" t="s">
        <v>712</v>
      </c>
      <c r="G105" s="8" t="str">
        <f t="shared" si="2"/>
        <v>DELGADO DIANAH</v>
      </c>
      <c r="H105" s="20" t="str">
        <f t="shared" si="3"/>
        <v>4001</v>
      </c>
    </row>
    <row r="106" spans="1:8" x14ac:dyDescent="0.25">
      <c r="A106" s="8">
        <v>43084.483460648145</v>
      </c>
      <c r="B106" s="20" t="s">
        <v>416</v>
      </c>
      <c r="C106" s="20" t="s">
        <v>770</v>
      </c>
      <c r="D106" s="127">
        <v>2550000</v>
      </c>
      <c r="E106" s="20" t="s">
        <v>574</v>
      </c>
      <c r="F106" s="20" t="s">
        <v>575</v>
      </c>
      <c r="G106" s="8" t="str">
        <f t="shared" si="2"/>
        <v>BADERTSCHER DIANE</v>
      </c>
      <c r="H106" s="20" t="str">
        <f t="shared" si="3"/>
        <v>4043</v>
      </c>
    </row>
    <row r="107" spans="1:8" x14ac:dyDescent="0.25">
      <c r="A107" s="8">
        <v>43084.485578703701</v>
      </c>
      <c r="B107" s="20" t="s">
        <v>364</v>
      </c>
      <c r="C107" s="20" t="s">
        <v>771</v>
      </c>
      <c r="D107" s="127">
        <v>1230000</v>
      </c>
      <c r="E107" s="20" t="s">
        <v>458</v>
      </c>
      <c r="F107" s="20" t="s">
        <v>459</v>
      </c>
      <c r="G107" s="8" t="str">
        <f t="shared" si="2"/>
        <v>YANAI IAN</v>
      </c>
      <c r="H107" s="20" t="str">
        <f t="shared" si="3"/>
        <v>4035</v>
      </c>
    </row>
    <row r="108" spans="1:8" x14ac:dyDescent="0.25">
      <c r="A108" s="8">
        <v>43084.486504629633</v>
      </c>
      <c r="B108" s="20" t="s">
        <v>500</v>
      </c>
      <c r="C108" s="20" t="s">
        <v>658</v>
      </c>
      <c r="D108" s="127">
        <v>3840000</v>
      </c>
      <c r="E108" s="20" t="s">
        <v>461</v>
      </c>
      <c r="F108" s="20" t="s">
        <v>462</v>
      </c>
      <c r="G108" s="8" t="str">
        <f t="shared" si="2"/>
        <v>LONG FULLER</v>
      </c>
      <c r="H108" s="20" t="str">
        <f t="shared" si="3"/>
        <v>4042</v>
      </c>
    </row>
    <row r="109" spans="1:8" x14ac:dyDescent="0.25">
      <c r="A109" s="8">
        <v>43084.494872685187</v>
      </c>
      <c r="B109" s="20" t="s">
        <v>442</v>
      </c>
      <c r="C109" s="20" t="s">
        <v>772</v>
      </c>
      <c r="D109" s="127">
        <v>1810000</v>
      </c>
      <c r="E109" s="20" t="s">
        <v>520</v>
      </c>
      <c r="F109" s="20" t="s">
        <v>381</v>
      </c>
      <c r="G109" s="8" t="str">
        <f t="shared" si="2"/>
        <v>NEWELL JAMES</v>
      </c>
      <c r="H109" s="20" t="str">
        <f t="shared" si="3"/>
        <v>4031</v>
      </c>
    </row>
    <row r="110" spans="1:8" x14ac:dyDescent="0.25">
      <c r="A110" s="8">
        <v>43084.49796296296</v>
      </c>
      <c r="B110" s="20" t="s">
        <v>671</v>
      </c>
      <c r="C110" s="20" t="s">
        <v>773</v>
      </c>
      <c r="D110" s="127">
        <v>3000000</v>
      </c>
      <c r="E110" s="20" t="s">
        <v>518</v>
      </c>
      <c r="F110" s="20" t="s">
        <v>519</v>
      </c>
      <c r="G110" s="8" t="str">
        <f t="shared" si="2"/>
        <v>FORTUNATO FRANK</v>
      </c>
      <c r="H110" s="20" t="str">
        <f t="shared" si="3"/>
        <v>4004</v>
      </c>
    </row>
    <row r="111" spans="1:8" x14ac:dyDescent="0.25">
      <c r="A111" s="8">
        <v>43084.504155092596</v>
      </c>
      <c r="B111" s="20" t="s">
        <v>654</v>
      </c>
      <c r="C111" s="20" t="s">
        <v>659</v>
      </c>
      <c r="D111" s="127">
        <v>2370000</v>
      </c>
      <c r="E111" s="20" t="s">
        <v>711</v>
      </c>
      <c r="F111" s="20" t="s">
        <v>712</v>
      </c>
      <c r="G111" s="8" t="str">
        <f t="shared" si="2"/>
        <v>DELGADO DIANAH</v>
      </c>
      <c r="H111" s="20" t="str">
        <f t="shared" si="3"/>
        <v>4002</v>
      </c>
    </row>
    <row r="112" spans="1:8" x14ac:dyDescent="0.25">
      <c r="A112" s="8">
        <v>43084.505891203706</v>
      </c>
      <c r="B112" s="20" t="s">
        <v>698</v>
      </c>
      <c r="C112" s="20" t="s">
        <v>774</v>
      </c>
      <c r="D112" s="127">
        <v>1300000</v>
      </c>
      <c r="E112" s="20" t="s">
        <v>463</v>
      </c>
      <c r="F112" s="20" t="s">
        <v>464</v>
      </c>
      <c r="G112" s="8" t="str">
        <f t="shared" si="2"/>
        <v>LEVIN SCOTT</v>
      </c>
      <c r="H112" s="20" t="str">
        <f t="shared" si="3"/>
        <v>4058</v>
      </c>
    </row>
    <row r="113" spans="1:8" x14ac:dyDescent="0.25">
      <c r="A113" s="8">
        <v>43084.507870370369</v>
      </c>
      <c r="B113" s="20" t="s">
        <v>654</v>
      </c>
      <c r="C113" s="20" t="s">
        <v>659</v>
      </c>
      <c r="D113" s="127">
        <v>2370000</v>
      </c>
      <c r="E113" s="20" t="s">
        <v>711</v>
      </c>
      <c r="F113" s="20" t="s">
        <v>712</v>
      </c>
      <c r="G113" s="8" t="str">
        <f t="shared" si="2"/>
        <v>DELGADO DIANAH</v>
      </c>
      <c r="H113" s="20" t="str">
        <f t="shared" si="3"/>
        <v>4002</v>
      </c>
    </row>
    <row r="114" spans="1:8" x14ac:dyDescent="0.25">
      <c r="A114" s="8">
        <v>43084.514236111114</v>
      </c>
      <c r="B114" s="20" t="s">
        <v>375</v>
      </c>
      <c r="C114" s="20" t="s">
        <v>775</v>
      </c>
      <c r="D114" s="127">
        <v>3330000</v>
      </c>
      <c r="E114" s="20" t="s">
        <v>767</v>
      </c>
      <c r="F114" s="20" t="s">
        <v>768</v>
      </c>
      <c r="G114" s="8" t="str">
        <f t="shared" si="2"/>
        <v>GONZALEZ ARMANDO</v>
      </c>
      <c r="H114" s="20" t="str">
        <f t="shared" si="3"/>
        <v>4061</v>
      </c>
    </row>
    <row r="115" spans="1:8" x14ac:dyDescent="0.25">
      <c r="A115" s="8">
        <v>43084.517650462964</v>
      </c>
      <c r="B115" s="20" t="s">
        <v>415</v>
      </c>
      <c r="C115" s="20" t="s">
        <v>776</v>
      </c>
      <c r="D115" s="127">
        <v>2550000</v>
      </c>
      <c r="E115" s="20" t="s">
        <v>574</v>
      </c>
      <c r="F115" s="20" t="s">
        <v>575</v>
      </c>
      <c r="G115" s="8" t="str">
        <f t="shared" si="2"/>
        <v>BADERTSCHER DIANE</v>
      </c>
      <c r="H115" s="20" t="str">
        <f t="shared" si="3"/>
        <v>4044</v>
      </c>
    </row>
    <row r="116" spans="1:8" x14ac:dyDescent="0.25">
      <c r="A116" s="8">
        <v>43084.519629629627</v>
      </c>
      <c r="B116" s="20" t="s">
        <v>661</v>
      </c>
      <c r="C116" s="20" t="s">
        <v>777</v>
      </c>
      <c r="D116" s="127">
        <v>2370000</v>
      </c>
      <c r="E116" s="20" t="s">
        <v>711</v>
      </c>
      <c r="F116" s="20" t="s">
        <v>712</v>
      </c>
      <c r="G116" s="8" t="str">
        <f t="shared" si="2"/>
        <v>DELGADO DIANAH</v>
      </c>
      <c r="H116" s="20" t="str">
        <f t="shared" si="3"/>
        <v>4001</v>
      </c>
    </row>
    <row r="117" spans="1:8" x14ac:dyDescent="0.25">
      <c r="A117" s="8">
        <v>43084.526099537034</v>
      </c>
      <c r="B117" s="20" t="s">
        <v>646</v>
      </c>
      <c r="C117" s="20" t="s">
        <v>778</v>
      </c>
      <c r="D117" s="127">
        <v>3840000</v>
      </c>
      <c r="E117" s="20" t="s">
        <v>461</v>
      </c>
      <c r="F117" s="20" t="s">
        <v>462</v>
      </c>
      <c r="G117" s="8" t="str">
        <f t="shared" si="2"/>
        <v>LONG FULLER</v>
      </c>
      <c r="H117" s="20" t="str">
        <f t="shared" si="3"/>
        <v>4041</v>
      </c>
    </row>
    <row r="118" spans="1:8" x14ac:dyDescent="0.25">
      <c r="A118" s="8">
        <v>43084.526863425926</v>
      </c>
      <c r="B118" s="20" t="s">
        <v>643</v>
      </c>
      <c r="C118" s="20" t="s">
        <v>779</v>
      </c>
      <c r="D118" s="127">
        <v>3000000</v>
      </c>
      <c r="E118" s="20" t="s">
        <v>518</v>
      </c>
      <c r="F118" s="20" t="s">
        <v>519</v>
      </c>
      <c r="G118" s="8" t="str">
        <f t="shared" si="2"/>
        <v>FORTUNATO FRANK</v>
      </c>
      <c r="H118" s="20" t="str">
        <f t="shared" si="3"/>
        <v>4003</v>
      </c>
    </row>
    <row r="119" spans="1:8" x14ac:dyDescent="0.25">
      <c r="A119" s="8">
        <v>43084.527881944443</v>
      </c>
      <c r="B119" s="20" t="s">
        <v>363</v>
      </c>
      <c r="C119" s="20" t="s">
        <v>780</v>
      </c>
      <c r="D119" s="127">
        <v>2420000</v>
      </c>
      <c r="E119" s="20" t="s">
        <v>545</v>
      </c>
      <c r="F119" s="20" t="s">
        <v>546</v>
      </c>
      <c r="G119" s="8" t="str">
        <f t="shared" si="2"/>
        <v>HOLCOMB KAMDEN</v>
      </c>
      <c r="H119" s="20" t="str">
        <f t="shared" si="3"/>
        <v>4036</v>
      </c>
    </row>
    <row r="120" spans="1:8" x14ac:dyDescent="0.25">
      <c r="A120" s="8">
        <v>43084.536874999998</v>
      </c>
      <c r="B120" s="20" t="s">
        <v>443</v>
      </c>
      <c r="C120" s="20" t="s">
        <v>781</v>
      </c>
      <c r="D120" s="127">
        <v>1810000</v>
      </c>
      <c r="E120" s="20" t="s">
        <v>520</v>
      </c>
      <c r="F120" s="20" t="s">
        <v>381</v>
      </c>
      <c r="G120" s="8" t="str">
        <f t="shared" si="2"/>
        <v>NEWELL JAMES</v>
      </c>
      <c r="H120" s="20" t="str">
        <f t="shared" si="3"/>
        <v>4032</v>
      </c>
    </row>
    <row r="121" spans="1:8" x14ac:dyDescent="0.25">
      <c r="A121" s="8">
        <v>43084.542187500003</v>
      </c>
      <c r="B121" s="20" t="s">
        <v>654</v>
      </c>
      <c r="C121" s="20" t="s">
        <v>660</v>
      </c>
      <c r="D121" s="127">
        <v>3490000</v>
      </c>
      <c r="E121" s="20" t="s">
        <v>782</v>
      </c>
      <c r="F121" s="20" t="s">
        <v>783</v>
      </c>
      <c r="G121" s="8" t="str">
        <f t="shared" si="2"/>
        <v>WEST BRYAN</v>
      </c>
      <c r="H121" s="20" t="str">
        <f t="shared" si="3"/>
        <v>4002</v>
      </c>
    </row>
    <row r="122" spans="1:8" x14ac:dyDescent="0.25">
      <c r="A122" s="8">
        <v>43084.544131944444</v>
      </c>
      <c r="B122" s="25" t="s">
        <v>651</v>
      </c>
      <c r="C122" s="20" t="s">
        <v>784</v>
      </c>
      <c r="D122" s="127">
        <v>1300000</v>
      </c>
      <c r="E122" s="20" t="s">
        <v>463</v>
      </c>
      <c r="F122" s="20" t="s">
        <v>464</v>
      </c>
      <c r="G122" s="8" t="str">
        <f t="shared" si="2"/>
        <v>LEVIN SCOTT</v>
      </c>
      <c r="H122" s="20" t="str">
        <f t="shared" si="3"/>
        <v>4057</v>
      </c>
    </row>
    <row r="123" spans="1:8" x14ac:dyDescent="0.25">
      <c r="A123" s="8">
        <v>43084.548055555555</v>
      </c>
      <c r="B123" s="20" t="s">
        <v>373</v>
      </c>
      <c r="C123" s="20" t="s">
        <v>785</v>
      </c>
      <c r="D123" s="127">
        <v>3330000</v>
      </c>
      <c r="E123" s="20" t="s">
        <v>767</v>
      </c>
      <c r="F123" s="20" t="s">
        <v>768</v>
      </c>
      <c r="G123" s="8" t="str">
        <f t="shared" si="2"/>
        <v>GONZALEZ ARMANDO</v>
      </c>
      <c r="H123" s="20" t="str">
        <f t="shared" si="3"/>
        <v>4062</v>
      </c>
    </row>
    <row r="124" spans="1:8" x14ac:dyDescent="0.25">
      <c r="A124" s="8">
        <v>43084.555023148147</v>
      </c>
      <c r="B124" s="20" t="s">
        <v>416</v>
      </c>
      <c r="C124" s="20" t="s">
        <v>786</v>
      </c>
      <c r="D124" s="127">
        <v>2550000</v>
      </c>
      <c r="E124" s="20" t="s">
        <v>574</v>
      </c>
      <c r="F124" s="20" t="s">
        <v>575</v>
      </c>
      <c r="G124" s="8" t="str">
        <f t="shared" si="2"/>
        <v>BADERTSCHER DIANE</v>
      </c>
      <c r="H124" s="20" t="str">
        <f t="shared" si="3"/>
        <v>4043</v>
      </c>
    </row>
    <row r="125" spans="1:8" x14ac:dyDescent="0.25">
      <c r="A125" s="8">
        <v>43084.559166666666</v>
      </c>
      <c r="B125" s="20" t="s">
        <v>500</v>
      </c>
      <c r="C125" s="20" t="s">
        <v>787</v>
      </c>
      <c r="D125" s="127">
        <v>3840000</v>
      </c>
      <c r="E125" s="20" t="s">
        <v>461</v>
      </c>
      <c r="F125" s="20" t="s">
        <v>462</v>
      </c>
      <c r="G125" s="8" t="str">
        <f t="shared" si="2"/>
        <v>LONG FULLER</v>
      </c>
      <c r="H125" s="20" t="str">
        <f t="shared" si="3"/>
        <v>4042</v>
      </c>
    </row>
    <row r="126" spans="1:8" x14ac:dyDescent="0.25">
      <c r="A126" s="8">
        <v>43084.562164351853</v>
      </c>
      <c r="B126" s="20" t="s">
        <v>661</v>
      </c>
      <c r="C126" s="20" t="s">
        <v>788</v>
      </c>
      <c r="D126" s="127">
        <v>3490000</v>
      </c>
      <c r="E126" s="20" t="s">
        <v>782</v>
      </c>
      <c r="F126" s="20" t="s">
        <v>783</v>
      </c>
      <c r="G126" s="8" t="str">
        <f t="shared" si="2"/>
        <v>WEST BRYAN</v>
      </c>
      <c r="H126" s="20" t="str">
        <f t="shared" si="3"/>
        <v>4001</v>
      </c>
    </row>
    <row r="127" spans="1:8" x14ac:dyDescent="0.25">
      <c r="A127" s="8">
        <v>43084.568148148152</v>
      </c>
      <c r="B127" s="20" t="s">
        <v>671</v>
      </c>
      <c r="C127" s="20" t="s">
        <v>789</v>
      </c>
      <c r="D127" s="127">
        <v>3000000</v>
      </c>
      <c r="E127" s="20" t="s">
        <v>518</v>
      </c>
      <c r="F127" s="20" t="s">
        <v>519</v>
      </c>
      <c r="G127" s="8" t="str">
        <f t="shared" si="2"/>
        <v>FORTUNATO FRANK</v>
      </c>
      <c r="H127" s="20" t="str">
        <f t="shared" si="3"/>
        <v>4004</v>
      </c>
    </row>
    <row r="128" spans="1:8" x14ac:dyDescent="0.25">
      <c r="A128" s="8">
        <v>43084.568738425929</v>
      </c>
      <c r="B128" s="20" t="s">
        <v>364</v>
      </c>
      <c r="C128" s="20" t="s">
        <v>790</v>
      </c>
      <c r="D128" s="127">
        <v>2420000</v>
      </c>
      <c r="E128" s="20" t="s">
        <v>545</v>
      </c>
      <c r="F128" s="20" t="s">
        <v>546</v>
      </c>
      <c r="G128" s="8" t="str">
        <f t="shared" si="2"/>
        <v>HOLCOMB KAMDEN</v>
      </c>
      <c r="H128" s="20" t="str">
        <f t="shared" si="3"/>
        <v>4035</v>
      </c>
    </row>
    <row r="129" spans="1:8" x14ac:dyDescent="0.25">
      <c r="A129" s="8">
        <v>43084.571759259263</v>
      </c>
      <c r="B129" s="20" t="s">
        <v>442</v>
      </c>
      <c r="C129" s="20" t="s">
        <v>791</v>
      </c>
      <c r="D129" s="127">
        <v>1810000</v>
      </c>
      <c r="E129" s="20" t="s">
        <v>520</v>
      </c>
      <c r="F129" s="20" t="s">
        <v>381</v>
      </c>
      <c r="G129" s="8" t="str">
        <f t="shared" si="2"/>
        <v>NEWELL JAMES</v>
      </c>
      <c r="H129" s="20" t="str">
        <f t="shared" si="3"/>
        <v>4031</v>
      </c>
    </row>
    <row r="130" spans="1:8" x14ac:dyDescent="0.25">
      <c r="A130" s="8">
        <v>43084.577939814815</v>
      </c>
      <c r="B130" s="20" t="s">
        <v>698</v>
      </c>
      <c r="C130" s="20" t="s">
        <v>792</v>
      </c>
      <c r="D130" s="127">
        <v>1300000</v>
      </c>
      <c r="E130" s="20" t="s">
        <v>463</v>
      </c>
      <c r="F130" s="20" t="s">
        <v>464</v>
      </c>
      <c r="G130" s="8" t="str">
        <f t="shared" si="2"/>
        <v>LEVIN SCOTT</v>
      </c>
      <c r="H130" s="20" t="str">
        <f t="shared" si="3"/>
        <v>4058</v>
      </c>
    </row>
    <row r="131" spans="1:8" x14ac:dyDescent="0.25">
      <c r="A131" s="8">
        <v>43084.582743055558</v>
      </c>
      <c r="B131" s="20" t="s">
        <v>654</v>
      </c>
      <c r="C131" s="20" t="s">
        <v>793</v>
      </c>
      <c r="D131" s="127">
        <v>3490000</v>
      </c>
      <c r="E131" s="20" t="s">
        <v>782</v>
      </c>
      <c r="F131" s="20" t="s">
        <v>783</v>
      </c>
      <c r="G131" s="8" t="str">
        <f t="shared" ref="G131:G194" si="4">E131&amp;" "&amp;F131</f>
        <v>WEST BRYAN</v>
      </c>
      <c r="H131" s="20" t="str">
        <f t="shared" ref="H131:H194" si="5">MID(B131,13,4)</f>
        <v>4002</v>
      </c>
    </row>
    <row r="132" spans="1:8" x14ac:dyDescent="0.25">
      <c r="A132" s="8">
        <v>43084.588333333333</v>
      </c>
      <c r="B132" s="20" t="s">
        <v>375</v>
      </c>
      <c r="C132" s="20" t="s">
        <v>794</v>
      </c>
      <c r="D132" s="127">
        <v>3330000</v>
      </c>
      <c r="E132" s="20" t="s">
        <v>767</v>
      </c>
      <c r="F132" s="20" t="s">
        <v>768</v>
      </c>
      <c r="G132" s="8" t="str">
        <f t="shared" si="4"/>
        <v>GONZALEZ ARMANDO</v>
      </c>
      <c r="H132" s="20" t="str">
        <f t="shared" si="5"/>
        <v>4061</v>
      </c>
    </row>
    <row r="133" spans="1:8" x14ac:dyDescent="0.25">
      <c r="A133" s="8">
        <v>43084.590798611112</v>
      </c>
      <c r="B133" s="20" t="s">
        <v>415</v>
      </c>
      <c r="C133" s="20" t="s">
        <v>795</v>
      </c>
      <c r="D133" s="127">
        <v>2550000</v>
      </c>
      <c r="E133" s="20" t="s">
        <v>574</v>
      </c>
      <c r="F133" s="20" t="s">
        <v>575</v>
      </c>
      <c r="G133" s="8" t="str">
        <f t="shared" si="4"/>
        <v>BADERTSCHER DIANE</v>
      </c>
      <c r="H133" s="20" t="str">
        <f t="shared" si="5"/>
        <v>4044</v>
      </c>
    </row>
    <row r="134" spans="1:8" x14ac:dyDescent="0.25">
      <c r="A134" s="8">
        <v>43084.594525462962</v>
      </c>
      <c r="B134" s="20" t="s">
        <v>646</v>
      </c>
      <c r="C134" s="20" t="s">
        <v>796</v>
      </c>
      <c r="D134" s="127">
        <v>3840000</v>
      </c>
      <c r="E134" s="20" t="s">
        <v>461</v>
      </c>
      <c r="F134" s="20" t="s">
        <v>462</v>
      </c>
      <c r="G134" s="8" t="str">
        <f t="shared" si="4"/>
        <v>LONG FULLER</v>
      </c>
      <c r="H134" s="20" t="str">
        <f t="shared" si="5"/>
        <v>4041</v>
      </c>
    </row>
    <row r="135" spans="1:8" x14ac:dyDescent="0.25">
      <c r="A135" s="8">
        <v>43084.599085648151</v>
      </c>
      <c r="B135" s="20" t="s">
        <v>643</v>
      </c>
      <c r="C135" s="20" t="s">
        <v>663</v>
      </c>
      <c r="D135" s="127">
        <v>3000000</v>
      </c>
      <c r="E135" s="20" t="s">
        <v>518</v>
      </c>
      <c r="F135" s="20" t="s">
        <v>519</v>
      </c>
      <c r="G135" s="8" t="str">
        <f t="shared" si="4"/>
        <v>FORTUNATO FRANK</v>
      </c>
      <c r="H135" s="20" t="str">
        <f t="shared" si="5"/>
        <v>4003</v>
      </c>
    </row>
    <row r="136" spans="1:8" x14ac:dyDescent="0.25">
      <c r="A136" s="8">
        <v>43084.600381944445</v>
      </c>
      <c r="B136" s="20" t="s">
        <v>363</v>
      </c>
      <c r="C136" s="20" t="s">
        <v>797</v>
      </c>
      <c r="D136" s="127">
        <v>2420000</v>
      </c>
      <c r="E136" s="20" t="s">
        <v>545</v>
      </c>
      <c r="F136" s="20" t="s">
        <v>546</v>
      </c>
      <c r="G136" s="8" t="str">
        <f t="shared" si="4"/>
        <v>HOLCOMB KAMDEN</v>
      </c>
      <c r="H136" s="20" t="str">
        <f t="shared" si="5"/>
        <v>4036</v>
      </c>
    </row>
    <row r="137" spans="1:8" x14ac:dyDescent="0.25">
      <c r="A137" s="8">
        <v>43084.603773148148</v>
      </c>
      <c r="B137" s="20" t="s">
        <v>661</v>
      </c>
      <c r="C137" s="20" t="s">
        <v>662</v>
      </c>
      <c r="D137" s="127">
        <v>3490000</v>
      </c>
      <c r="E137" s="20" t="s">
        <v>782</v>
      </c>
      <c r="F137" s="20" t="s">
        <v>783</v>
      </c>
      <c r="G137" s="8" t="str">
        <f t="shared" si="4"/>
        <v>WEST BRYAN</v>
      </c>
      <c r="H137" s="20" t="str">
        <f t="shared" si="5"/>
        <v>4001</v>
      </c>
    </row>
    <row r="138" spans="1:8" x14ac:dyDescent="0.25">
      <c r="A138" s="8">
        <v>43084.611307870371</v>
      </c>
      <c r="B138" s="20" t="s">
        <v>443</v>
      </c>
      <c r="C138" s="20" t="s">
        <v>798</v>
      </c>
      <c r="D138" s="127">
        <v>1810000</v>
      </c>
      <c r="E138" s="20" t="s">
        <v>520</v>
      </c>
      <c r="F138" s="20" t="s">
        <v>381</v>
      </c>
      <c r="G138" s="8" t="str">
        <f t="shared" si="4"/>
        <v>NEWELL JAMES</v>
      </c>
      <c r="H138" s="20" t="str">
        <f t="shared" si="5"/>
        <v>4032</v>
      </c>
    </row>
    <row r="139" spans="1:8" x14ac:dyDescent="0.25">
      <c r="A139" s="8">
        <v>43084.612442129626</v>
      </c>
      <c r="B139" s="20" t="s">
        <v>651</v>
      </c>
      <c r="C139" s="20" t="s">
        <v>799</v>
      </c>
      <c r="D139" s="127">
        <v>1300000</v>
      </c>
      <c r="E139" s="20" t="s">
        <v>463</v>
      </c>
      <c r="F139" s="20" t="s">
        <v>464</v>
      </c>
      <c r="G139" s="8" t="str">
        <f t="shared" si="4"/>
        <v>LEVIN SCOTT</v>
      </c>
      <c r="H139" s="20" t="str">
        <f t="shared" si="5"/>
        <v>4057</v>
      </c>
    </row>
    <row r="140" spans="1:8" x14ac:dyDescent="0.25">
      <c r="A140" s="8">
        <v>43084.61446759259</v>
      </c>
      <c r="B140" s="20" t="s">
        <v>469</v>
      </c>
      <c r="C140" s="20" t="s">
        <v>683</v>
      </c>
      <c r="D140" s="127">
        <v>1780000</v>
      </c>
      <c r="E140" s="20" t="s">
        <v>578</v>
      </c>
      <c r="F140" s="20" t="s">
        <v>579</v>
      </c>
      <c r="G140" s="8" t="str">
        <f t="shared" si="4"/>
        <v>DE LA ROSA ALEX</v>
      </c>
      <c r="H140" s="20" t="str">
        <f t="shared" si="5"/>
        <v>4050</v>
      </c>
    </row>
    <row r="141" spans="1:8" x14ac:dyDescent="0.25">
      <c r="A141" s="8">
        <v>43084.621828703705</v>
      </c>
      <c r="B141" s="20" t="s">
        <v>373</v>
      </c>
      <c r="C141" s="20" t="s">
        <v>800</v>
      </c>
      <c r="D141" s="127">
        <v>3330000</v>
      </c>
      <c r="E141" s="20" t="s">
        <v>767</v>
      </c>
      <c r="F141" s="20" t="s">
        <v>768</v>
      </c>
      <c r="G141" s="8" t="str">
        <f t="shared" si="4"/>
        <v>GONZALEZ ARMANDO</v>
      </c>
      <c r="H141" s="20" t="str">
        <f t="shared" si="5"/>
        <v>4062</v>
      </c>
    </row>
    <row r="142" spans="1:8" x14ac:dyDescent="0.25">
      <c r="A142" s="8">
        <v>43084.623877314814</v>
      </c>
      <c r="B142" s="20" t="s">
        <v>471</v>
      </c>
      <c r="C142" s="20" t="s">
        <v>683</v>
      </c>
      <c r="D142" s="127">
        <v>1780000</v>
      </c>
      <c r="E142" s="20" t="s">
        <v>578</v>
      </c>
      <c r="F142" s="20" t="s">
        <v>579</v>
      </c>
      <c r="G142" s="8" t="str">
        <f t="shared" si="4"/>
        <v>DE LA ROSA ALEX</v>
      </c>
      <c r="H142" s="20" t="str">
        <f t="shared" si="5"/>
        <v>4049</v>
      </c>
    </row>
    <row r="143" spans="1:8" x14ac:dyDescent="0.25">
      <c r="A143" s="8">
        <v>43084.624594907407</v>
      </c>
      <c r="B143" s="20" t="s">
        <v>471</v>
      </c>
      <c r="C143" s="20" t="s">
        <v>683</v>
      </c>
      <c r="D143" s="127">
        <v>1780000</v>
      </c>
      <c r="E143" s="20" t="s">
        <v>578</v>
      </c>
      <c r="F143" s="20" t="s">
        <v>579</v>
      </c>
      <c r="G143" s="8" t="str">
        <f t="shared" si="4"/>
        <v>DE LA ROSA ALEX</v>
      </c>
      <c r="H143" s="20" t="str">
        <f t="shared" si="5"/>
        <v>4049</v>
      </c>
    </row>
    <row r="144" spans="1:8" x14ac:dyDescent="0.25">
      <c r="A144" s="8">
        <v>43084.629594907405</v>
      </c>
      <c r="B144" s="20" t="s">
        <v>469</v>
      </c>
      <c r="C144" s="20" t="s">
        <v>664</v>
      </c>
      <c r="D144" s="127">
        <v>3490000</v>
      </c>
      <c r="E144" s="20" t="s">
        <v>782</v>
      </c>
      <c r="F144" s="20" t="s">
        <v>783</v>
      </c>
      <c r="G144" s="8" t="str">
        <f t="shared" si="4"/>
        <v>WEST BRYAN</v>
      </c>
      <c r="H144" s="20" t="str">
        <f t="shared" si="5"/>
        <v>4050</v>
      </c>
    </row>
    <row r="145" spans="1:8" x14ac:dyDescent="0.25">
      <c r="A145" s="8">
        <v>43084.631412037037</v>
      </c>
      <c r="B145" s="20" t="s">
        <v>416</v>
      </c>
      <c r="C145" s="20" t="s">
        <v>801</v>
      </c>
      <c r="D145" s="127">
        <v>2550000</v>
      </c>
      <c r="E145" s="20" t="s">
        <v>574</v>
      </c>
      <c r="F145" s="20" t="s">
        <v>575</v>
      </c>
      <c r="G145" s="8" t="str">
        <f t="shared" si="4"/>
        <v>BADERTSCHER DIANE</v>
      </c>
      <c r="H145" s="20" t="str">
        <f t="shared" si="5"/>
        <v>4043</v>
      </c>
    </row>
    <row r="146" spans="1:8" x14ac:dyDescent="0.25">
      <c r="A146" s="8">
        <v>43084.631956018522</v>
      </c>
      <c r="B146" s="20" t="s">
        <v>500</v>
      </c>
      <c r="C146" s="20" t="s">
        <v>665</v>
      </c>
      <c r="D146" s="127">
        <v>3840000</v>
      </c>
      <c r="E146" s="20" t="s">
        <v>461</v>
      </c>
      <c r="F146" s="20" t="s">
        <v>462</v>
      </c>
      <c r="G146" s="8" t="str">
        <f t="shared" si="4"/>
        <v>LONG FULLER</v>
      </c>
      <c r="H146" s="20" t="str">
        <f t="shared" si="5"/>
        <v>4042</v>
      </c>
    </row>
    <row r="147" spans="1:8" x14ac:dyDescent="0.25">
      <c r="A147" s="8">
        <v>43084.63349537037</v>
      </c>
      <c r="B147" s="20" t="s">
        <v>358</v>
      </c>
      <c r="C147" s="20" t="s">
        <v>802</v>
      </c>
      <c r="D147" s="127">
        <v>3810000</v>
      </c>
      <c r="E147" s="20" t="s">
        <v>419</v>
      </c>
      <c r="F147" s="20" t="s">
        <v>420</v>
      </c>
      <c r="G147" s="8" t="str">
        <f t="shared" si="4"/>
        <v>LORI SANTOS</v>
      </c>
      <c r="H147" s="20" t="str">
        <f t="shared" si="5"/>
        <v>4007</v>
      </c>
    </row>
    <row r="148" spans="1:8" x14ac:dyDescent="0.25">
      <c r="A148" s="8">
        <v>43084.642476851855</v>
      </c>
      <c r="B148" s="20" t="s">
        <v>364</v>
      </c>
      <c r="C148" s="20" t="s">
        <v>803</v>
      </c>
      <c r="D148" s="127">
        <v>2420000</v>
      </c>
      <c r="E148" s="20" t="s">
        <v>545</v>
      </c>
      <c r="F148" s="20" t="s">
        <v>546</v>
      </c>
      <c r="G148" s="8" t="str">
        <f t="shared" si="4"/>
        <v>HOLCOMB KAMDEN</v>
      </c>
      <c r="H148" s="20" t="str">
        <f t="shared" si="5"/>
        <v>4035</v>
      </c>
    </row>
    <row r="149" spans="1:8" x14ac:dyDescent="0.25">
      <c r="A149" s="8">
        <v>43084.642581018517</v>
      </c>
      <c r="B149" s="20" t="s">
        <v>671</v>
      </c>
      <c r="C149" s="20" t="s">
        <v>804</v>
      </c>
      <c r="D149" s="127">
        <v>3000000</v>
      </c>
      <c r="E149" s="20" t="s">
        <v>518</v>
      </c>
      <c r="F149" s="20" t="s">
        <v>519</v>
      </c>
      <c r="G149" s="8" t="str">
        <f t="shared" si="4"/>
        <v>FORTUNATO FRANK</v>
      </c>
      <c r="H149" s="20" t="str">
        <f t="shared" si="5"/>
        <v>4004</v>
      </c>
    </row>
    <row r="150" spans="1:8" x14ac:dyDescent="0.25">
      <c r="A150" s="8">
        <v>43084.647430555553</v>
      </c>
      <c r="B150" s="20" t="s">
        <v>442</v>
      </c>
      <c r="C150" s="20" t="s">
        <v>805</v>
      </c>
      <c r="D150" s="127">
        <v>1810000</v>
      </c>
      <c r="E150" s="20" t="s">
        <v>520</v>
      </c>
      <c r="F150" s="20" t="s">
        <v>381</v>
      </c>
      <c r="G150" s="8" t="str">
        <f t="shared" si="4"/>
        <v>NEWELL JAMES</v>
      </c>
      <c r="H150" s="20" t="str">
        <f t="shared" si="5"/>
        <v>4031</v>
      </c>
    </row>
    <row r="151" spans="1:8" x14ac:dyDescent="0.25">
      <c r="A151" s="8">
        <v>43084.648576388892</v>
      </c>
      <c r="B151" s="20" t="s">
        <v>356</v>
      </c>
      <c r="C151" s="20" t="s">
        <v>806</v>
      </c>
      <c r="D151" s="127">
        <v>3810000</v>
      </c>
      <c r="E151" s="20" t="s">
        <v>419</v>
      </c>
      <c r="F151" s="20" t="s">
        <v>420</v>
      </c>
      <c r="G151" s="8" t="str">
        <f t="shared" si="4"/>
        <v>LORI SANTOS</v>
      </c>
      <c r="H151" s="20" t="str">
        <f t="shared" si="5"/>
        <v>4008</v>
      </c>
    </row>
    <row r="152" spans="1:8" x14ac:dyDescent="0.25">
      <c r="A152" s="8">
        <v>43084.648726851854</v>
      </c>
      <c r="B152" s="20" t="s">
        <v>471</v>
      </c>
      <c r="C152" s="20" t="s">
        <v>807</v>
      </c>
      <c r="D152" s="127">
        <v>3490000</v>
      </c>
      <c r="E152" s="20" t="s">
        <v>782</v>
      </c>
      <c r="F152" s="20" t="s">
        <v>783</v>
      </c>
      <c r="G152" s="8" t="str">
        <f t="shared" si="4"/>
        <v>WEST BRYAN</v>
      </c>
      <c r="H152" s="20" t="str">
        <f t="shared" si="5"/>
        <v>4049</v>
      </c>
    </row>
    <row r="153" spans="1:8" x14ac:dyDescent="0.25">
      <c r="A153" s="8">
        <v>43084.65053240741</v>
      </c>
      <c r="B153" s="20" t="s">
        <v>698</v>
      </c>
      <c r="C153" s="20" t="s">
        <v>808</v>
      </c>
      <c r="D153" s="127">
        <v>1300000</v>
      </c>
      <c r="E153" s="20" t="s">
        <v>463</v>
      </c>
      <c r="F153" s="20" t="s">
        <v>464</v>
      </c>
      <c r="G153" s="8" t="str">
        <f t="shared" si="4"/>
        <v>LEVIN SCOTT</v>
      </c>
      <c r="H153" s="20" t="str">
        <f t="shared" si="5"/>
        <v>4058</v>
      </c>
    </row>
    <row r="154" spans="1:8" x14ac:dyDescent="0.25">
      <c r="A154" s="8">
        <v>43084.659236111111</v>
      </c>
      <c r="B154" s="20" t="s">
        <v>375</v>
      </c>
      <c r="C154" s="20" t="s">
        <v>809</v>
      </c>
      <c r="D154" s="127">
        <v>3330000</v>
      </c>
      <c r="E154" s="20" t="s">
        <v>767</v>
      </c>
      <c r="F154" s="20" t="s">
        <v>768</v>
      </c>
      <c r="G154" s="8" t="str">
        <f t="shared" si="4"/>
        <v>GONZALEZ ARMANDO</v>
      </c>
      <c r="H154" s="20" t="str">
        <f t="shared" si="5"/>
        <v>4061</v>
      </c>
    </row>
    <row r="155" spans="1:8" x14ac:dyDescent="0.25">
      <c r="A155" s="8">
        <v>43084.663287037038</v>
      </c>
      <c r="B155" s="20" t="s">
        <v>415</v>
      </c>
      <c r="C155" s="20" t="s">
        <v>810</v>
      </c>
      <c r="D155" s="127">
        <v>2550000</v>
      </c>
      <c r="E155" s="20" t="s">
        <v>574</v>
      </c>
      <c r="F155" s="20" t="s">
        <v>575</v>
      </c>
      <c r="G155" s="8" t="str">
        <f t="shared" si="4"/>
        <v>BADERTSCHER DIANE</v>
      </c>
      <c r="H155" s="20" t="str">
        <f t="shared" si="5"/>
        <v>4044</v>
      </c>
    </row>
    <row r="156" spans="1:8" x14ac:dyDescent="0.25">
      <c r="A156" s="8">
        <v>43084.664548611108</v>
      </c>
      <c r="B156" s="20" t="s">
        <v>358</v>
      </c>
      <c r="C156" s="20" t="s">
        <v>806</v>
      </c>
      <c r="D156" s="127">
        <v>3810000</v>
      </c>
      <c r="E156" s="20" t="s">
        <v>419</v>
      </c>
      <c r="F156" s="20" t="s">
        <v>420</v>
      </c>
      <c r="G156" s="8" t="str">
        <f t="shared" si="4"/>
        <v>LORI SANTOS</v>
      </c>
      <c r="H156" s="20" t="str">
        <f t="shared" si="5"/>
        <v>4007</v>
      </c>
    </row>
    <row r="157" spans="1:8" x14ac:dyDescent="0.25">
      <c r="A157" s="8">
        <v>43084.665405092594</v>
      </c>
      <c r="B157" s="20" t="s">
        <v>358</v>
      </c>
      <c r="C157" s="20" t="s">
        <v>811</v>
      </c>
      <c r="D157" s="127">
        <v>3810000</v>
      </c>
      <c r="E157" s="20" t="s">
        <v>419</v>
      </c>
      <c r="F157" s="20" t="s">
        <v>420</v>
      </c>
      <c r="G157" s="8" t="str">
        <f t="shared" si="4"/>
        <v>LORI SANTOS</v>
      </c>
      <c r="H157" s="20" t="str">
        <f t="shared" si="5"/>
        <v>4007</v>
      </c>
    </row>
    <row r="158" spans="1:8" x14ac:dyDescent="0.25">
      <c r="A158" s="8">
        <v>43084.669027777774</v>
      </c>
      <c r="B158" s="20" t="s">
        <v>469</v>
      </c>
      <c r="C158" s="20" t="s">
        <v>812</v>
      </c>
      <c r="D158" s="127">
        <v>3490000</v>
      </c>
      <c r="E158" s="20" t="s">
        <v>782</v>
      </c>
      <c r="F158" s="20" t="s">
        <v>783</v>
      </c>
      <c r="G158" s="8" t="str">
        <f t="shared" si="4"/>
        <v>WEST BRYAN</v>
      </c>
      <c r="H158" s="20" t="str">
        <f t="shared" si="5"/>
        <v>4050</v>
      </c>
    </row>
    <row r="159" spans="1:8" x14ac:dyDescent="0.25">
      <c r="A159" s="8">
        <v>43084.671377314815</v>
      </c>
      <c r="B159" s="20" t="s">
        <v>646</v>
      </c>
      <c r="C159" s="20" t="s">
        <v>813</v>
      </c>
      <c r="D159" s="127">
        <v>3840000</v>
      </c>
      <c r="E159" s="20" t="s">
        <v>461</v>
      </c>
      <c r="F159" s="20" t="s">
        <v>462</v>
      </c>
      <c r="G159" s="8" t="str">
        <f t="shared" si="4"/>
        <v>LONG FULLER</v>
      </c>
      <c r="H159" s="20" t="str">
        <f t="shared" si="5"/>
        <v>4041</v>
      </c>
    </row>
    <row r="160" spans="1:8" x14ac:dyDescent="0.25">
      <c r="A160" s="8">
        <v>43084.673333333332</v>
      </c>
      <c r="B160" s="20" t="s">
        <v>363</v>
      </c>
      <c r="C160" s="20" t="s">
        <v>814</v>
      </c>
      <c r="D160" s="127">
        <v>2420000</v>
      </c>
      <c r="E160" s="20" t="s">
        <v>545</v>
      </c>
      <c r="F160" s="20" t="s">
        <v>546</v>
      </c>
      <c r="G160" s="8" t="str">
        <f t="shared" si="4"/>
        <v>HOLCOMB KAMDEN</v>
      </c>
      <c r="H160" s="20" t="str">
        <f t="shared" si="5"/>
        <v>4036</v>
      </c>
    </row>
    <row r="161" spans="1:8" x14ac:dyDescent="0.25">
      <c r="A161" s="8">
        <v>43084.675532407404</v>
      </c>
      <c r="B161" s="20" t="s">
        <v>643</v>
      </c>
      <c r="C161" s="20" t="s">
        <v>667</v>
      </c>
      <c r="D161" s="127">
        <v>3000000</v>
      </c>
      <c r="E161" s="20" t="s">
        <v>518</v>
      </c>
      <c r="F161" s="20" t="s">
        <v>519</v>
      </c>
      <c r="G161" s="8" t="str">
        <f t="shared" si="4"/>
        <v>FORTUNATO FRANK</v>
      </c>
      <c r="H161" s="20" t="str">
        <f t="shared" si="5"/>
        <v>4003</v>
      </c>
    </row>
    <row r="162" spans="1:8" x14ac:dyDescent="0.25">
      <c r="A162" s="8">
        <v>43084.684918981482</v>
      </c>
      <c r="B162" s="20" t="s">
        <v>471</v>
      </c>
      <c r="C162" s="20" t="s">
        <v>815</v>
      </c>
      <c r="D162" s="127">
        <v>3490000</v>
      </c>
      <c r="E162" s="20" t="s">
        <v>782</v>
      </c>
      <c r="F162" s="20" t="s">
        <v>783</v>
      </c>
      <c r="G162" s="8" t="str">
        <f t="shared" si="4"/>
        <v>WEST BRYAN</v>
      </c>
      <c r="H162" s="20" t="str">
        <f t="shared" si="5"/>
        <v>4049</v>
      </c>
    </row>
    <row r="163" spans="1:8" x14ac:dyDescent="0.25">
      <c r="A163" s="8">
        <v>43084.685173611113</v>
      </c>
      <c r="B163" s="20" t="s">
        <v>443</v>
      </c>
      <c r="C163" s="20" t="s">
        <v>816</v>
      </c>
      <c r="D163" s="127">
        <v>1810000</v>
      </c>
      <c r="E163" s="20" t="s">
        <v>520</v>
      </c>
      <c r="F163" s="20" t="s">
        <v>381</v>
      </c>
      <c r="G163" s="8" t="str">
        <f t="shared" si="4"/>
        <v>NEWELL JAMES</v>
      </c>
      <c r="H163" s="20" t="str">
        <f t="shared" si="5"/>
        <v>4032</v>
      </c>
    </row>
    <row r="164" spans="1:8" x14ac:dyDescent="0.25">
      <c r="A164" s="8">
        <v>43084.689872685187</v>
      </c>
      <c r="B164" s="20" t="s">
        <v>356</v>
      </c>
      <c r="C164" s="20" t="s">
        <v>666</v>
      </c>
      <c r="D164" s="127">
        <v>3810000</v>
      </c>
      <c r="E164" s="20" t="s">
        <v>419</v>
      </c>
      <c r="F164" s="20" t="s">
        <v>420</v>
      </c>
      <c r="G164" s="8" t="str">
        <f t="shared" si="4"/>
        <v>LORI SANTOS</v>
      </c>
      <c r="H164" s="20" t="str">
        <f t="shared" si="5"/>
        <v>4008</v>
      </c>
    </row>
    <row r="165" spans="1:8" x14ac:dyDescent="0.25">
      <c r="A165" s="8">
        <v>43084.690682870372</v>
      </c>
      <c r="B165" s="20" t="s">
        <v>651</v>
      </c>
      <c r="C165" s="20" t="s">
        <v>817</v>
      </c>
      <c r="D165" s="127">
        <v>1300000</v>
      </c>
      <c r="E165" s="20" t="s">
        <v>463</v>
      </c>
      <c r="F165" s="20" t="s">
        <v>464</v>
      </c>
      <c r="G165" s="8" t="str">
        <f t="shared" si="4"/>
        <v>LEVIN SCOTT</v>
      </c>
      <c r="H165" s="20" t="str">
        <f t="shared" si="5"/>
        <v>4057</v>
      </c>
    </row>
    <row r="166" spans="1:8" x14ac:dyDescent="0.25">
      <c r="A166" s="8">
        <v>43084.693043981482</v>
      </c>
      <c r="B166" s="20" t="s">
        <v>373</v>
      </c>
      <c r="C166" s="20" t="s">
        <v>818</v>
      </c>
      <c r="D166" s="127">
        <v>3330000</v>
      </c>
      <c r="E166" s="20" t="s">
        <v>767</v>
      </c>
      <c r="F166" s="20" t="s">
        <v>768</v>
      </c>
      <c r="G166" s="8" t="str">
        <f t="shared" si="4"/>
        <v>GONZALEZ ARMANDO</v>
      </c>
      <c r="H166" s="20" t="str">
        <f t="shared" si="5"/>
        <v>4062</v>
      </c>
    </row>
    <row r="167" spans="1:8" x14ac:dyDescent="0.25">
      <c r="A167" s="8">
        <v>43084.693657407406</v>
      </c>
      <c r="B167" s="20" t="s">
        <v>654</v>
      </c>
      <c r="C167" s="20" t="s">
        <v>668</v>
      </c>
      <c r="D167" s="127">
        <v>1760000</v>
      </c>
      <c r="E167" s="20" t="s">
        <v>576</v>
      </c>
      <c r="F167" s="20" t="s">
        <v>577</v>
      </c>
      <c r="G167" s="8" t="str">
        <f t="shared" si="4"/>
        <v>STRICKLAND EVAN</v>
      </c>
      <c r="H167" s="20" t="str">
        <f t="shared" si="5"/>
        <v>4002</v>
      </c>
    </row>
    <row r="168" spans="1:8" x14ac:dyDescent="0.25">
      <c r="A168" s="8">
        <v>43084.701643518521</v>
      </c>
      <c r="B168" s="20" t="s">
        <v>416</v>
      </c>
      <c r="C168" s="20" t="s">
        <v>819</v>
      </c>
      <c r="D168" s="127">
        <v>2550000</v>
      </c>
      <c r="E168" s="20" t="s">
        <v>574</v>
      </c>
      <c r="F168" s="20" t="s">
        <v>575</v>
      </c>
      <c r="G168" s="8" t="str">
        <f t="shared" si="4"/>
        <v>BADERTSCHER DIANE</v>
      </c>
      <c r="H168" s="20" t="str">
        <f t="shared" si="5"/>
        <v>4043</v>
      </c>
    </row>
    <row r="169" spans="1:8" x14ac:dyDescent="0.25">
      <c r="A169" s="8">
        <v>43084.705462962964</v>
      </c>
      <c r="B169" s="20" t="s">
        <v>500</v>
      </c>
      <c r="C169" s="20" t="s">
        <v>820</v>
      </c>
      <c r="D169" s="127">
        <v>1180000</v>
      </c>
      <c r="E169" s="20" t="s">
        <v>821</v>
      </c>
      <c r="F169" s="20" t="s">
        <v>822</v>
      </c>
      <c r="G169" s="8" t="str">
        <f t="shared" si="4"/>
        <v>LEVERE CRAIG</v>
      </c>
      <c r="H169" s="20" t="str">
        <f t="shared" si="5"/>
        <v>4042</v>
      </c>
    </row>
    <row r="170" spans="1:8" x14ac:dyDescent="0.25">
      <c r="A170" s="8">
        <v>43084.707303240742</v>
      </c>
      <c r="B170" s="20" t="s">
        <v>358</v>
      </c>
      <c r="C170" s="20" t="s">
        <v>669</v>
      </c>
      <c r="D170" s="127">
        <v>3810000</v>
      </c>
      <c r="E170" s="20" t="s">
        <v>419</v>
      </c>
      <c r="F170" s="20" t="s">
        <v>420</v>
      </c>
      <c r="G170" s="8" t="str">
        <f t="shared" si="4"/>
        <v>LORI SANTOS</v>
      </c>
      <c r="H170" s="20" t="str">
        <f t="shared" si="5"/>
        <v>4007</v>
      </c>
    </row>
    <row r="171" spans="1:8" x14ac:dyDescent="0.25">
      <c r="A171" s="8">
        <v>43084.710520833331</v>
      </c>
      <c r="B171" s="20" t="s">
        <v>469</v>
      </c>
      <c r="C171" s="20" t="s">
        <v>823</v>
      </c>
      <c r="D171" s="127">
        <v>3490000</v>
      </c>
      <c r="E171" s="20" t="s">
        <v>782</v>
      </c>
      <c r="F171" s="20" t="s">
        <v>783</v>
      </c>
      <c r="G171" s="8" t="str">
        <f t="shared" si="4"/>
        <v>WEST BRYAN</v>
      </c>
      <c r="H171" s="20" t="str">
        <f t="shared" si="5"/>
        <v>4050</v>
      </c>
    </row>
    <row r="172" spans="1:8" x14ac:dyDescent="0.25">
      <c r="A172" s="8">
        <v>43084.712268518517</v>
      </c>
      <c r="B172" s="20" t="s">
        <v>495</v>
      </c>
      <c r="C172" s="20" t="s">
        <v>668</v>
      </c>
      <c r="D172" s="127">
        <v>1760000</v>
      </c>
      <c r="E172" s="20" t="s">
        <v>576</v>
      </c>
      <c r="F172" s="20" t="s">
        <v>577</v>
      </c>
      <c r="G172" s="8" t="str">
        <f t="shared" si="4"/>
        <v>STRICKLAND EVAN</v>
      </c>
      <c r="H172" s="20" t="str">
        <f t="shared" si="5"/>
        <v>4027</v>
      </c>
    </row>
    <row r="173" spans="1:8" x14ac:dyDescent="0.25">
      <c r="A173" s="8">
        <v>43084.714918981481</v>
      </c>
      <c r="B173" s="20" t="s">
        <v>364</v>
      </c>
      <c r="C173" s="20" t="s">
        <v>824</v>
      </c>
      <c r="D173" s="127">
        <v>2420000</v>
      </c>
      <c r="E173" s="20" t="s">
        <v>545</v>
      </c>
      <c r="F173" s="20" t="s">
        <v>546</v>
      </c>
      <c r="G173" s="8" t="str">
        <f t="shared" si="4"/>
        <v>HOLCOMB KAMDEN</v>
      </c>
      <c r="H173" s="20" t="str">
        <f t="shared" si="5"/>
        <v>4035</v>
      </c>
    </row>
    <row r="174" spans="1:8" x14ac:dyDescent="0.25">
      <c r="A174" s="8">
        <v>43084.716192129628</v>
      </c>
      <c r="B174" s="20" t="s">
        <v>671</v>
      </c>
      <c r="C174" s="20" t="s">
        <v>672</v>
      </c>
      <c r="D174" s="127">
        <v>3000000</v>
      </c>
      <c r="E174" s="20" t="s">
        <v>518</v>
      </c>
      <c r="F174" s="20" t="s">
        <v>519</v>
      </c>
      <c r="G174" s="8" t="str">
        <f t="shared" si="4"/>
        <v>FORTUNATO FRANK</v>
      </c>
      <c r="H174" s="20" t="str">
        <f t="shared" si="5"/>
        <v>4004</v>
      </c>
    </row>
    <row r="175" spans="1:8" x14ac:dyDescent="0.25">
      <c r="A175" s="8">
        <v>43084.72</v>
      </c>
      <c r="B175" s="20" t="s">
        <v>442</v>
      </c>
      <c r="C175" s="20" t="s">
        <v>825</v>
      </c>
      <c r="D175" s="127">
        <v>1810000</v>
      </c>
      <c r="E175" s="20" t="s">
        <v>520</v>
      </c>
      <c r="F175" s="20" t="s">
        <v>381</v>
      </c>
      <c r="G175" s="8" t="str">
        <f t="shared" si="4"/>
        <v>NEWELL JAMES</v>
      </c>
      <c r="H175" s="20" t="str">
        <f t="shared" si="5"/>
        <v>4031</v>
      </c>
    </row>
    <row r="176" spans="1:8" x14ac:dyDescent="0.25">
      <c r="A176" s="8">
        <v>43084.725370370368</v>
      </c>
      <c r="B176" s="20" t="s">
        <v>357</v>
      </c>
      <c r="C176" s="20" t="s">
        <v>826</v>
      </c>
      <c r="D176" s="127">
        <v>1780000</v>
      </c>
      <c r="E176" s="20" t="s">
        <v>578</v>
      </c>
      <c r="F176" s="20" t="s">
        <v>579</v>
      </c>
      <c r="G176" s="8" t="str">
        <f t="shared" si="4"/>
        <v>DE LA ROSA ALEX</v>
      </c>
      <c r="H176" s="20" t="str">
        <f t="shared" si="5"/>
        <v>4018</v>
      </c>
    </row>
    <row r="177" spans="1:8" x14ac:dyDescent="0.25">
      <c r="A177" s="8">
        <v>43084.725844907407</v>
      </c>
      <c r="B177" s="20" t="s">
        <v>698</v>
      </c>
      <c r="C177" s="20" t="s">
        <v>827</v>
      </c>
      <c r="D177" s="127">
        <v>1300000</v>
      </c>
      <c r="E177" s="20" t="s">
        <v>463</v>
      </c>
      <c r="F177" s="20" t="s">
        <v>464</v>
      </c>
      <c r="G177" s="8" t="str">
        <f t="shared" si="4"/>
        <v>LEVIN SCOTT</v>
      </c>
      <c r="H177" s="20" t="str">
        <f t="shared" si="5"/>
        <v>4058</v>
      </c>
    </row>
    <row r="178" spans="1:8" x14ac:dyDescent="0.25">
      <c r="A178" s="8">
        <v>43084.729085648149</v>
      </c>
      <c r="B178" s="20" t="s">
        <v>471</v>
      </c>
      <c r="C178" s="20" t="s">
        <v>828</v>
      </c>
      <c r="D178" s="127">
        <v>3490000</v>
      </c>
      <c r="E178" s="20" t="s">
        <v>782</v>
      </c>
      <c r="F178" s="20" t="s">
        <v>783</v>
      </c>
      <c r="G178" s="8" t="str">
        <f t="shared" si="4"/>
        <v>WEST BRYAN</v>
      </c>
      <c r="H178" s="20" t="str">
        <f t="shared" si="5"/>
        <v>4049</v>
      </c>
    </row>
    <row r="179" spans="1:8" x14ac:dyDescent="0.25">
      <c r="A179" s="8">
        <v>43084.732476851852</v>
      </c>
      <c r="B179" s="20" t="s">
        <v>375</v>
      </c>
      <c r="C179" s="20" t="s">
        <v>829</v>
      </c>
      <c r="D179" s="127">
        <v>3330000</v>
      </c>
      <c r="E179" s="20" t="s">
        <v>767</v>
      </c>
      <c r="F179" s="20" t="s">
        <v>768</v>
      </c>
      <c r="G179" s="8" t="str">
        <f t="shared" si="4"/>
        <v>GONZALEZ ARMANDO</v>
      </c>
      <c r="H179" s="20" t="str">
        <f t="shared" si="5"/>
        <v>4061</v>
      </c>
    </row>
    <row r="180" spans="1:8" x14ac:dyDescent="0.25">
      <c r="A180" s="8">
        <v>43084.733865740738</v>
      </c>
      <c r="B180" s="20" t="s">
        <v>356</v>
      </c>
      <c r="C180" s="20" t="s">
        <v>830</v>
      </c>
      <c r="D180" s="127">
        <v>3810000</v>
      </c>
      <c r="E180" s="20" t="s">
        <v>419</v>
      </c>
      <c r="F180" s="20" t="s">
        <v>420</v>
      </c>
      <c r="G180" s="8" t="str">
        <f t="shared" si="4"/>
        <v>LORI SANTOS</v>
      </c>
      <c r="H180" s="20" t="str">
        <f t="shared" si="5"/>
        <v>4008</v>
      </c>
    </row>
    <row r="181" spans="1:8" x14ac:dyDescent="0.25">
      <c r="A181" s="8">
        <v>43084.737824074073</v>
      </c>
      <c r="B181" s="20" t="s">
        <v>415</v>
      </c>
      <c r="C181" s="20" t="s">
        <v>831</v>
      </c>
      <c r="D181" s="127">
        <v>3130000</v>
      </c>
      <c r="E181" s="20" t="s">
        <v>832</v>
      </c>
      <c r="F181" s="20" t="s">
        <v>833</v>
      </c>
      <c r="G181" s="8" t="str">
        <f t="shared" si="4"/>
        <v>ZEWDU DEREJE</v>
      </c>
      <c r="H181" s="20" t="str">
        <f t="shared" si="5"/>
        <v>4044</v>
      </c>
    </row>
    <row r="182" spans="1:8" x14ac:dyDescent="0.25">
      <c r="A182" s="8">
        <v>43084.741886574076</v>
      </c>
      <c r="B182" s="20" t="s">
        <v>646</v>
      </c>
      <c r="C182" s="20" t="s">
        <v>834</v>
      </c>
      <c r="D182" s="127">
        <v>1180000</v>
      </c>
      <c r="E182" s="20" t="s">
        <v>821</v>
      </c>
      <c r="F182" s="20" t="s">
        <v>822</v>
      </c>
      <c r="G182" s="8" t="str">
        <f t="shared" si="4"/>
        <v>LEVERE CRAIG</v>
      </c>
      <c r="H182" s="20" t="str">
        <f t="shared" si="5"/>
        <v>4041</v>
      </c>
    </row>
    <row r="183" spans="1:8" x14ac:dyDescent="0.25">
      <c r="A183" s="8">
        <v>43084.748530092591</v>
      </c>
      <c r="B183" s="20" t="s">
        <v>363</v>
      </c>
      <c r="C183" s="20" t="s">
        <v>673</v>
      </c>
      <c r="D183" s="127">
        <v>2420000</v>
      </c>
      <c r="E183" s="20" t="s">
        <v>545</v>
      </c>
      <c r="F183" s="20" t="s">
        <v>546</v>
      </c>
      <c r="G183" s="8" t="str">
        <f t="shared" si="4"/>
        <v>HOLCOMB KAMDEN</v>
      </c>
      <c r="H183" s="20" t="str">
        <f t="shared" si="5"/>
        <v>4036</v>
      </c>
    </row>
    <row r="184" spans="1:8" x14ac:dyDescent="0.25">
      <c r="A184" s="8">
        <v>43084.748576388891</v>
      </c>
      <c r="B184" s="20" t="s">
        <v>643</v>
      </c>
      <c r="C184" s="20" t="s">
        <v>835</v>
      </c>
      <c r="D184" s="127">
        <v>3000000</v>
      </c>
      <c r="E184" s="20" t="s">
        <v>518</v>
      </c>
      <c r="F184" s="20" t="s">
        <v>519</v>
      </c>
      <c r="G184" s="8" t="str">
        <f t="shared" si="4"/>
        <v>FORTUNATO FRANK</v>
      </c>
      <c r="H184" s="20" t="str">
        <f t="shared" si="5"/>
        <v>4003</v>
      </c>
    </row>
    <row r="185" spans="1:8" x14ac:dyDescent="0.25">
      <c r="A185" s="8">
        <v>43084.748622685183</v>
      </c>
      <c r="B185" s="20" t="s">
        <v>358</v>
      </c>
      <c r="C185" s="20" t="s">
        <v>836</v>
      </c>
      <c r="D185" s="127">
        <v>3810000</v>
      </c>
      <c r="E185" s="20" t="s">
        <v>419</v>
      </c>
      <c r="F185" s="20" t="s">
        <v>420</v>
      </c>
      <c r="G185" s="8" t="str">
        <f t="shared" si="4"/>
        <v>LORI SANTOS</v>
      </c>
      <c r="H185" s="20" t="str">
        <f t="shared" si="5"/>
        <v>4007</v>
      </c>
    </row>
    <row r="186" spans="1:8" x14ac:dyDescent="0.25">
      <c r="A186" s="8">
        <v>43084.754317129627</v>
      </c>
      <c r="B186" s="20" t="s">
        <v>469</v>
      </c>
      <c r="C186" s="20" t="s">
        <v>837</v>
      </c>
      <c r="D186" s="127">
        <v>3490000</v>
      </c>
      <c r="E186" s="20" t="s">
        <v>782</v>
      </c>
      <c r="F186" s="20" t="s">
        <v>783</v>
      </c>
      <c r="G186" s="8" t="str">
        <f t="shared" si="4"/>
        <v>WEST BRYAN</v>
      </c>
      <c r="H186" s="20" t="str">
        <f t="shared" si="5"/>
        <v>4050</v>
      </c>
    </row>
    <row r="187" spans="1:8" x14ac:dyDescent="0.25">
      <c r="A187" s="8">
        <v>43084.758703703701</v>
      </c>
      <c r="B187" s="20" t="s">
        <v>443</v>
      </c>
      <c r="C187" s="20" t="s">
        <v>838</v>
      </c>
      <c r="D187" s="127">
        <v>3320000</v>
      </c>
      <c r="E187" s="20" t="s">
        <v>360</v>
      </c>
      <c r="F187" s="20" t="s">
        <v>361</v>
      </c>
      <c r="G187" s="8" t="str">
        <f t="shared" si="4"/>
        <v>NICHOLSON WESLEY</v>
      </c>
      <c r="H187" s="20" t="str">
        <f t="shared" si="5"/>
        <v>4032</v>
      </c>
    </row>
    <row r="188" spans="1:8" x14ac:dyDescent="0.25">
      <c r="A188" s="8">
        <v>43084.759027777778</v>
      </c>
      <c r="B188" s="20" t="s">
        <v>651</v>
      </c>
      <c r="C188" s="20" t="s">
        <v>839</v>
      </c>
      <c r="D188" s="127">
        <v>1300000</v>
      </c>
      <c r="E188" s="20" t="s">
        <v>463</v>
      </c>
      <c r="F188" s="20" t="s">
        <v>464</v>
      </c>
      <c r="G188" s="8" t="str">
        <f t="shared" si="4"/>
        <v>LEVIN SCOTT</v>
      </c>
      <c r="H188" s="20" t="str">
        <f t="shared" si="5"/>
        <v>4057</v>
      </c>
    </row>
    <row r="189" spans="1:8" x14ac:dyDescent="0.25">
      <c r="A189" s="8">
        <v>43084.766828703701</v>
      </c>
      <c r="B189" s="20" t="s">
        <v>373</v>
      </c>
      <c r="C189" s="20" t="s">
        <v>840</v>
      </c>
      <c r="D189" s="127">
        <v>3340000</v>
      </c>
      <c r="E189" s="20" t="s">
        <v>408</v>
      </c>
      <c r="F189" s="20" t="s">
        <v>409</v>
      </c>
      <c r="G189" s="8" t="str">
        <f t="shared" si="4"/>
        <v>ELBAUM MIKE</v>
      </c>
      <c r="H189" s="20" t="str">
        <f t="shared" si="5"/>
        <v>4062</v>
      </c>
    </row>
    <row r="190" spans="1:8" x14ac:dyDescent="0.25">
      <c r="A190" s="8">
        <v>43084.769363425927</v>
      </c>
      <c r="B190" s="20" t="s">
        <v>471</v>
      </c>
      <c r="C190" s="20" t="s">
        <v>841</v>
      </c>
      <c r="D190" s="127">
        <v>3490000</v>
      </c>
      <c r="E190" s="20" t="s">
        <v>782</v>
      </c>
      <c r="F190" s="20" t="s">
        <v>783</v>
      </c>
      <c r="G190" s="8" t="str">
        <f t="shared" si="4"/>
        <v>WEST BRYAN</v>
      </c>
      <c r="H190" s="20" t="str">
        <f t="shared" si="5"/>
        <v>4049</v>
      </c>
    </row>
    <row r="191" spans="1:8" x14ac:dyDescent="0.25">
      <c r="A191" s="8">
        <v>43084.773217592592</v>
      </c>
      <c r="B191" s="20" t="s">
        <v>356</v>
      </c>
      <c r="C191" s="20" t="s">
        <v>842</v>
      </c>
      <c r="D191" s="127">
        <v>3810000</v>
      </c>
      <c r="E191" s="20" t="s">
        <v>419</v>
      </c>
      <c r="F191" s="20" t="s">
        <v>420</v>
      </c>
      <c r="G191" s="8" t="str">
        <f t="shared" si="4"/>
        <v>LORI SANTOS</v>
      </c>
      <c r="H191" s="20" t="str">
        <f t="shared" si="5"/>
        <v>4008</v>
      </c>
    </row>
    <row r="192" spans="1:8" x14ac:dyDescent="0.25">
      <c r="A192" s="8">
        <v>43084.775462962964</v>
      </c>
      <c r="B192" s="20" t="s">
        <v>416</v>
      </c>
      <c r="C192" s="20" t="s">
        <v>843</v>
      </c>
      <c r="D192" s="127">
        <v>3130000</v>
      </c>
      <c r="E192" s="20" t="s">
        <v>832</v>
      </c>
      <c r="F192" s="20" t="s">
        <v>833</v>
      </c>
      <c r="G192" s="8" t="str">
        <f t="shared" si="4"/>
        <v>ZEWDU DEREJE</v>
      </c>
      <c r="H192" s="20" t="str">
        <f t="shared" si="5"/>
        <v>4043</v>
      </c>
    </row>
    <row r="193" spans="1:8" x14ac:dyDescent="0.25">
      <c r="A193" s="8">
        <v>43084.778946759259</v>
      </c>
      <c r="B193" s="20" t="s">
        <v>500</v>
      </c>
      <c r="C193" s="20" t="s">
        <v>844</v>
      </c>
      <c r="D193" s="127">
        <v>3840000</v>
      </c>
      <c r="E193" s="20" t="s">
        <v>461</v>
      </c>
      <c r="F193" s="20" t="s">
        <v>462</v>
      </c>
      <c r="G193" s="8" t="str">
        <f t="shared" si="4"/>
        <v>LONG FULLER</v>
      </c>
      <c r="H193" s="20" t="str">
        <f t="shared" si="5"/>
        <v>4042</v>
      </c>
    </row>
    <row r="194" spans="1:8" x14ac:dyDescent="0.25">
      <c r="A194" s="8">
        <v>43084.788032407407</v>
      </c>
      <c r="B194" s="20" t="s">
        <v>364</v>
      </c>
      <c r="C194" s="20" t="s">
        <v>674</v>
      </c>
      <c r="D194" s="127">
        <v>2420000</v>
      </c>
      <c r="E194" s="20" t="s">
        <v>545</v>
      </c>
      <c r="F194" s="20" t="s">
        <v>546</v>
      </c>
      <c r="G194" s="8" t="str">
        <f t="shared" si="4"/>
        <v>HOLCOMB KAMDEN</v>
      </c>
      <c r="H194" s="20" t="str">
        <f t="shared" si="5"/>
        <v>4035</v>
      </c>
    </row>
    <row r="195" spans="1:8" x14ac:dyDescent="0.25">
      <c r="A195" s="8">
        <v>43084.788321759261</v>
      </c>
      <c r="B195" s="20" t="s">
        <v>671</v>
      </c>
      <c r="C195" s="20" t="s">
        <v>845</v>
      </c>
      <c r="D195" s="127">
        <v>3310000</v>
      </c>
      <c r="E195" s="20" t="s">
        <v>439</v>
      </c>
      <c r="F195" s="20" t="s">
        <v>440</v>
      </c>
      <c r="G195" s="8" t="str">
        <f t="shared" ref="G195:G258" si="6">E195&amp;" "&amp;F195</f>
        <v>ANDERS STEVEN</v>
      </c>
      <c r="H195" s="20" t="str">
        <f t="shared" ref="H195:H258" si="7">MID(B195,13,4)</f>
        <v>4004</v>
      </c>
    </row>
    <row r="196" spans="1:8" x14ac:dyDescent="0.25">
      <c r="A196" s="8">
        <v>43084.789756944447</v>
      </c>
      <c r="B196" s="20" t="s">
        <v>358</v>
      </c>
      <c r="C196" s="20" t="s">
        <v>846</v>
      </c>
      <c r="D196" s="127">
        <v>3810000</v>
      </c>
      <c r="E196" s="20" t="s">
        <v>419</v>
      </c>
      <c r="F196" s="20" t="s">
        <v>420</v>
      </c>
      <c r="G196" s="8" t="str">
        <f t="shared" si="6"/>
        <v>LORI SANTOS</v>
      </c>
      <c r="H196" s="20" t="str">
        <f t="shared" si="7"/>
        <v>4007</v>
      </c>
    </row>
    <row r="197" spans="1:8" x14ac:dyDescent="0.25">
      <c r="A197" s="8">
        <v>43084.791400462964</v>
      </c>
      <c r="B197" s="20" t="s">
        <v>442</v>
      </c>
      <c r="C197" s="20" t="s">
        <v>847</v>
      </c>
      <c r="D197" s="127">
        <v>3320000</v>
      </c>
      <c r="E197" s="20" t="s">
        <v>360</v>
      </c>
      <c r="F197" s="20" t="s">
        <v>361</v>
      </c>
      <c r="G197" s="8" t="str">
        <f t="shared" si="6"/>
        <v>NICHOLSON WESLEY</v>
      </c>
      <c r="H197" s="20" t="str">
        <f t="shared" si="7"/>
        <v>4031</v>
      </c>
    </row>
    <row r="198" spans="1:8" x14ac:dyDescent="0.25">
      <c r="A198" s="8">
        <v>43084.791701388887</v>
      </c>
      <c r="B198" s="20" t="s">
        <v>469</v>
      </c>
      <c r="C198" s="20" t="s">
        <v>848</v>
      </c>
      <c r="D198" s="127">
        <v>3490000</v>
      </c>
      <c r="E198" s="20" t="s">
        <v>782</v>
      </c>
      <c r="F198" s="20" t="s">
        <v>783</v>
      </c>
      <c r="G198" s="8" t="str">
        <f t="shared" si="6"/>
        <v>WEST BRYAN</v>
      </c>
      <c r="H198" s="20" t="str">
        <f t="shared" si="7"/>
        <v>4050</v>
      </c>
    </row>
    <row r="199" spans="1:8" x14ac:dyDescent="0.25">
      <c r="A199" s="8">
        <v>43084.797025462962</v>
      </c>
      <c r="B199" s="20" t="s">
        <v>375</v>
      </c>
      <c r="C199" s="20" t="s">
        <v>849</v>
      </c>
      <c r="D199" s="127">
        <v>3340000</v>
      </c>
      <c r="E199" s="20" t="s">
        <v>408</v>
      </c>
      <c r="F199" s="20" t="s">
        <v>409</v>
      </c>
      <c r="G199" s="8" t="str">
        <f t="shared" si="6"/>
        <v>ELBAUM MIKE</v>
      </c>
      <c r="H199" s="20" t="str">
        <f t="shared" si="7"/>
        <v>4061</v>
      </c>
    </row>
    <row r="200" spans="1:8" x14ac:dyDescent="0.25">
      <c r="A200" s="8">
        <v>43084.7971875</v>
      </c>
      <c r="B200" s="20" t="s">
        <v>698</v>
      </c>
      <c r="C200" s="20" t="s">
        <v>850</v>
      </c>
      <c r="D200" s="127">
        <v>1300000</v>
      </c>
      <c r="E200" s="20" t="s">
        <v>463</v>
      </c>
      <c r="F200" s="20" t="s">
        <v>464</v>
      </c>
      <c r="G200" s="8" t="str">
        <f t="shared" si="6"/>
        <v>LEVIN SCOTT</v>
      </c>
      <c r="H200" s="20" t="str">
        <f t="shared" si="7"/>
        <v>4058</v>
      </c>
    </row>
    <row r="201" spans="1:8" x14ac:dyDescent="0.25">
      <c r="A201" s="8">
        <v>43084.808229166665</v>
      </c>
      <c r="B201" s="20" t="s">
        <v>415</v>
      </c>
      <c r="C201" s="20" t="s">
        <v>851</v>
      </c>
      <c r="D201" s="127">
        <v>3130000</v>
      </c>
      <c r="E201" s="20" t="s">
        <v>832</v>
      </c>
      <c r="F201" s="20" t="s">
        <v>833</v>
      </c>
      <c r="G201" s="8" t="str">
        <f t="shared" si="6"/>
        <v>ZEWDU DEREJE</v>
      </c>
      <c r="H201" s="20" t="str">
        <f t="shared" si="7"/>
        <v>4044</v>
      </c>
    </row>
    <row r="202" spans="1:8" x14ac:dyDescent="0.25">
      <c r="A202" s="26">
        <v>43084.811099537037</v>
      </c>
      <c r="B202" s="20" t="s">
        <v>471</v>
      </c>
      <c r="C202" s="20" t="s">
        <v>852</v>
      </c>
      <c r="D202" s="127">
        <v>3490000</v>
      </c>
      <c r="E202" s="20" t="s">
        <v>782</v>
      </c>
      <c r="F202" s="20" t="s">
        <v>783</v>
      </c>
      <c r="G202" s="8" t="str">
        <f t="shared" si="6"/>
        <v>WEST BRYAN</v>
      </c>
      <c r="H202" s="20" t="str">
        <f t="shared" si="7"/>
        <v>4049</v>
      </c>
    </row>
    <row r="203" spans="1:8" x14ac:dyDescent="0.25">
      <c r="A203" s="8">
        <v>43084.819074074076</v>
      </c>
      <c r="B203" s="20" t="s">
        <v>363</v>
      </c>
      <c r="C203" s="20" t="s">
        <v>853</v>
      </c>
      <c r="D203" s="127">
        <v>2420000</v>
      </c>
      <c r="E203" s="20" t="s">
        <v>545</v>
      </c>
      <c r="F203" s="20" t="s">
        <v>546</v>
      </c>
      <c r="G203" s="8" t="str">
        <f t="shared" si="6"/>
        <v>HOLCOMB KAMDEN</v>
      </c>
      <c r="H203" s="20" t="str">
        <f t="shared" si="7"/>
        <v>4036</v>
      </c>
    </row>
    <row r="204" spans="1:8" x14ac:dyDescent="0.25">
      <c r="A204" s="8">
        <v>43084.826550925929</v>
      </c>
      <c r="B204" s="20" t="s">
        <v>496</v>
      </c>
      <c r="C204" s="20" t="s">
        <v>854</v>
      </c>
      <c r="D204" s="127">
        <v>3670000</v>
      </c>
      <c r="E204" s="20" t="s">
        <v>372</v>
      </c>
      <c r="F204" s="20" t="s">
        <v>365</v>
      </c>
      <c r="G204" s="8" t="str">
        <f t="shared" si="6"/>
        <v>ANDREA WILLIAMS</v>
      </c>
      <c r="H204" s="20" t="str">
        <f t="shared" si="7"/>
        <v>4028</v>
      </c>
    </row>
    <row r="205" spans="1:8" x14ac:dyDescent="0.25">
      <c r="A205" s="8">
        <v>43084.829641203702</v>
      </c>
      <c r="B205" s="20" t="s">
        <v>443</v>
      </c>
      <c r="C205" s="20" t="s">
        <v>676</v>
      </c>
      <c r="D205" s="127">
        <v>3320000</v>
      </c>
      <c r="E205" s="20" t="s">
        <v>360</v>
      </c>
      <c r="F205" s="20" t="s">
        <v>361</v>
      </c>
      <c r="G205" s="8" t="str">
        <f t="shared" si="6"/>
        <v>NICHOLSON WESLEY</v>
      </c>
      <c r="H205" s="20" t="str">
        <f t="shared" si="7"/>
        <v>4032</v>
      </c>
    </row>
    <row r="206" spans="1:8" x14ac:dyDescent="0.25">
      <c r="A206" s="8">
        <v>43084.831157407411</v>
      </c>
      <c r="B206" s="20" t="s">
        <v>643</v>
      </c>
      <c r="C206" s="20" t="s">
        <v>675</v>
      </c>
      <c r="D206" s="127">
        <v>3310000</v>
      </c>
      <c r="E206" s="20" t="s">
        <v>439</v>
      </c>
      <c r="F206" s="20" t="s">
        <v>440</v>
      </c>
      <c r="G206" s="8" t="str">
        <f t="shared" si="6"/>
        <v>ANDERS STEVEN</v>
      </c>
      <c r="H206" s="20" t="str">
        <f t="shared" si="7"/>
        <v>4003</v>
      </c>
    </row>
    <row r="207" spans="1:8" x14ac:dyDescent="0.25">
      <c r="A207" s="8">
        <v>43084.834247685183</v>
      </c>
      <c r="B207" s="20" t="s">
        <v>495</v>
      </c>
      <c r="C207" s="20" t="s">
        <v>854</v>
      </c>
      <c r="D207" s="127">
        <v>3670000</v>
      </c>
      <c r="E207" s="20" t="s">
        <v>372</v>
      </c>
      <c r="F207" s="20" t="s">
        <v>365</v>
      </c>
      <c r="G207" s="8" t="str">
        <f t="shared" si="6"/>
        <v>ANDREA WILLIAMS</v>
      </c>
      <c r="H207" s="20" t="str">
        <f t="shared" si="7"/>
        <v>4027</v>
      </c>
    </row>
    <row r="208" spans="1:8" x14ac:dyDescent="0.25">
      <c r="A208" s="8">
        <v>43084.838240740741</v>
      </c>
      <c r="B208" s="20" t="s">
        <v>373</v>
      </c>
      <c r="C208" s="20" t="s">
        <v>855</v>
      </c>
      <c r="D208" s="127">
        <v>3340000</v>
      </c>
      <c r="E208" s="20" t="s">
        <v>408</v>
      </c>
      <c r="F208" s="20" t="s">
        <v>409</v>
      </c>
      <c r="G208" s="8" t="str">
        <f t="shared" si="6"/>
        <v>ELBAUM MIKE</v>
      </c>
      <c r="H208" s="20" t="str">
        <f t="shared" si="7"/>
        <v>4062</v>
      </c>
    </row>
    <row r="209" spans="1:8" x14ac:dyDescent="0.25">
      <c r="A209" s="8">
        <v>43084.83834490741</v>
      </c>
      <c r="B209" s="20" t="s">
        <v>469</v>
      </c>
      <c r="C209" s="20" t="s">
        <v>856</v>
      </c>
      <c r="D209" s="127">
        <v>3490000</v>
      </c>
      <c r="E209" s="20" t="s">
        <v>782</v>
      </c>
      <c r="F209" s="20" t="s">
        <v>783</v>
      </c>
      <c r="G209" s="8" t="str">
        <f t="shared" si="6"/>
        <v>WEST BRYAN</v>
      </c>
      <c r="H209" s="20" t="str">
        <f t="shared" si="7"/>
        <v>4050</v>
      </c>
    </row>
    <row r="210" spans="1:8" x14ac:dyDescent="0.25">
      <c r="A210" s="8">
        <v>43084.843159722222</v>
      </c>
      <c r="B210" s="20" t="s">
        <v>643</v>
      </c>
      <c r="C210" s="20" t="s">
        <v>675</v>
      </c>
      <c r="D210" s="127">
        <v>3310000</v>
      </c>
      <c r="E210" s="20" t="s">
        <v>439</v>
      </c>
      <c r="F210" s="20" t="s">
        <v>440</v>
      </c>
      <c r="G210" s="8" t="str">
        <f t="shared" si="6"/>
        <v>ANDERS STEVEN</v>
      </c>
      <c r="H210" s="20" t="str">
        <f t="shared" si="7"/>
        <v>4003</v>
      </c>
    </row>
    <row r="211" spans="1:8" x14ac:dyDescent="0.25">
      <c r="A211" s="8">
        <v>43084.850324074076</v>
      </c>
      <c r="B211" s="20" t="s">
        <v>416</v>
      </c>
      <c r="C211" s="20" t="s">
        <v>857</v>
      </c>
      <c r="D211" s="127">
        <v>3130000</v>
      </c>
      <c r="E211" s="20" t="s">
        <v>832</v>
      </c>
      <c r="F211" s="20" t="s">
        <v>833</v>
      </c>
      <c r="G211" s="8" t="str">
        <f t="shared" si="6"/>
        <v>ZEWDU DEREJE</v>
      </c>
      <c r="H211" s="20" t="str">
        <f t="shared" si="7"/>
        <v>4043</v>
      </c>
    </row>
    <row r="212" spans="1:8" x14ac:dyDescent="0.25">
      <c r="A212" s="8">
        <v>43084.853576388887</v>
      </c>
      <c r="B212" s="20" t="s">
        <v>471</v>
      </c>
      <c r="C212" s="20" t="s">
        <v>858</v>
      </c>
      <c r="D212" s="127">
        <v>3490000</v>
      </c>
      <c r="E212" s="20" t="s">
        <v>782</v>
      </c>
      <c r="F212" s="20" t="s">
        <v>783</v>
      </c>
      <c r="G212" s="8" t="str">
        <f t="shared" si="6"/>
        <v>WEST BRYAN</v>
      </c>
      <c r="H212" s="20" t="str">
        <f t="shared" si="7"/>
        <v>4049</v>
      </c>
    </row>
    <row r="213" spans="1:8" x14ac:dyDescent="0.25">
      <c r="A213" s="8">
        <v>43084.866747685184</v>
      </c>
      <c r="B213" s="20" t="s">
        <v>442</v>
      </c>
      <c r="C213" s="20" t="s">
        <v>859</v>
      </c>
      <c r="D213" s="127">
        <v>3320000</v>
      </c>
      <c r="E213" s="20" t="s">
        <v>360</v>
      </c>
      <c r="F213" s="20" t="s">
        <v>361</v>
      </c>
      <c r="G213" s="8" t="str">
        <f t="shared" si="6"/>
        <v>NICHOLSON WESLEY</v>
      </c>
      <c r="H213" s="20" t="str">
        <f t="shared" si="7"/>
        <v>4031</v>
      </c>
    </row>
    <row r="214" spans="1:8" x14ac:dyDescent="0.25">
      <c r="A214" s="8">
        <v>43084.872719907406</v>
      </c>
      <c r="B214" s="20" t="s">
        <v>671</v>
      </c>
      <c r="C214" s="20" t="s">
        <v>860</v>
      </c>
      <c r="D214" s="127">
        <v>3310000</v>
      </c>
      <c r="E214" s="20" t="s">
        <v>439</v>
      </c>
      <c r="F214" s="20" t="s">
        <v>440</v>
      </c>
      <c r="G214" s="8" t="str">
        <f t="shared" si="6"/>
        <v>ANDERS STEVEN</v>
      </c>
      <c r="H214" s="20" t="str">
        <f t="shared" si="7"/>
        <v>4004</v>
      </c>
    </row>
    <row r="215" spans="1:8" x14ac:dyDescent="0.25">
      <c r="A215" s="8">
        <v>43084.877152777779</v>
      </c>
      <c r="B215" s="20" t="s">
        <v>469</v>
      </c>
      <c r="C215" s="20" t="s">
        <v>861</v>
      </c>
      <c r="D215" s="127">
        <v>3810000</v>
      </c>
      <c r="E215" s="20" t="s">
        <v>419</v>
      </c>
      <c r="F215" s="20" t="s">
        <v>420</v>
      </c>
      <c r="G215" s="8" t="str">
        <f t="shared" si="6"/>
        <v>LORI SANTOS</v>
      </c>
      <c r="H215" s="20" t="str">
        <f t="shared" si="7"/>
        <v>4050</v>
      </c>
    </row>
    <row r="216" spans="1:8" x14ac:dyDescent="0.25">
      <c r="A216" s="8">
        <v>43084.882743055554</v>
      </c>
      <c r="B216" s="20" t="s">
        <v>375</v>
      </c>
      <c r="C216" s="20" t="s">
        <v>862</v>
      </c>
      <c r="D216" s="127">
        <v>3340000</v>
      </c>
      <c r="E216" s="20" t="s">
        <v>408</v>
      </c>
      <c r="F216" s="20" t="s">
        <v>409</v>
      </c>
      <c r="G216" s="8" t="str">
        <f t="shared" si="6"/>
        <v>ELBAUM MIKE</v>
      </c>
      <c r="H216" s="20" t="str">
        <f t="shared" si="7"/>
        <v>4061</v>
      </c>
    </row>
    <row r="217" spans="1:8" x14ac:dyDescent="0.25">
      <c r="A217" s="8">
        <v>43084.884039351855</v>
      </c>
      <c r="B217" s="20" t="s">
        <v>415</v>
      </c>
      <c r="C217" s="20" t="s">
        <v>863</v>
      </c>
      <c r="D217" s="127">
        <v>3130000</v>
      </c>
      <c r="E217" s="20" t="s">
        <v>832</v>
      </c>
      <c r="F217" s="20" t="s">
        <v>833</v>
      </c>
      <c r="G217" s="8" t="str">
        <f t="shared" si="6"/>
        <v>ZEWDU DEREJE</v>
      </c>
      <c r="H217" s="20" t="str">
        <f t="shared" si="7"/>
        <v>4044</v>
      </c>
    </row>
    <row r="218" spans="1:8" x14ac:dyDescent="0.25">
      <c r="A218" s="8">
        <v>43084.893784722219</v>
      </c>
      <c r="B218" s="20" t="s">
        <v>471</v>
      </c>
      <c r="C218" s="20" t="s">
        <v>864</v>
      </c>
      <c r="D218" s="127">
        <v>3810000</v>
      </c>
      <c r="E218" s="20" t="s">
        <v>419</v>
      </c>
      <c r="F218" s="20" t="s">
        <v>420</v>
      </c>
      <c r="G218" s="8" t="str">
        <f t="shared" si="6"/>
        <v>LORI SANTOS</v>
      </c>
      <c r="H218" s="20" t="str">
        <f t="shared" si="7"/>
        <v>4049</v>
      </c>
    </row>
    <row r="219" spans="1:8" x14ac:dyDescent="0.25">
      <c r="A219" s="8">
        <v>43084.905798611115</v>
      </c>
      <c r="B219" s="20" t="s">
        <v>443</v>
      </c>
      <c r="C219" s="20" t="s">
        <v>677</v>
      </c>
      <c r="D219" s="127">
        <v>3320000</v>
      </c>
      <c r="E219" s="20" t="s">
        <v>360</v>
      </c>
      <c r="F219" s="20" t="s">
        <v>361</v>
      </c>
      <c r="G219" s="8" t="str">
        <f t="shared" si="6"/>
        <v>NICHOLSON WESLEY</v>
      </c>
      <c r="H219" s="20" t="str">
        <f t="shared" si="7"/>
        <v>4032</v>
      </c>
    </row>
    <row r="220" spans="1:8" x14ac:dyDescent="0.25">
      <c r="A220" s="8">
        <v>43084.913449074076</v>
      </c>
      <c r="B220" s="20" t="s">
        <v>643</v>
      </c>
      <c r="C220" s="20" t="s">
        <v>678</v>
      </c>
      <c r="D220" s="127">
        <v>3310000</v>
      </c>
      <c r="E220" s="20" t="s">
        <v>439</v>
      </c>
      <c r="F220" s="20" t="s">
        <v>440</v>
      </c>
      <c r="G220" s="8" t="str">
        <f t="shared" si="6"/>
        <v>ANDERS STEVEN</v>
      </c>
      <c r="H220" s="20" t="str">
        <f t="shared" si="7"/>
        <v>4003</v>
      </c>
    </row>
    <row r="221" spans="1:8" x14ac:dyDescent="0.25">
      <c r="A221" s="8">
        <v>43084.920185185183</v>
      </c>
      <c r="B221" s="20" t="s">
        <v>469</v>
      </c>
      <c r="C221" s="20" t="s">
        <v>865</v>
      </c>
      <c r="D221" s="127">
        <v>3810000</v>
      </c>
      <c r="E221" s="20" t="s">
        <v>419</v>
      </c>
      <c r="F221" s="20" t="s">
        <v>420</v>
      </c>
      <c r="G221" s="8" t="str">
        <f t="shared" si="6"/>
        <v>LORI SANTOS</v>
      </c>
      <c r="H221" s="20" t="str">
        <f t="shared" si="7"/>
        <v>4050</v>
      </c>
    </row>
    <row r="222" spans="1:8" x14ac:dyDescent="0.25">
      <c r="A222" s="8">
        <v>43084.921458333331</v>
      </c>
      <c r="B222" s="20" t="s">
        <v>373</v>
      </c>
      <c r="C222" s="20" t="s">
        <v>866</v>
      </c>
      <c r="D222" s="127">
        <v>3340000</v>
      </c>
      <c r="E222" s="20" t="s">
        <v>408</v>
      </c>
      <c r="F222" s="20" t="s">
        <v>409</v>
      </c>
      <c r="G222" s="8" t="str">
        <f t="shared" si="6"/>
        <v>ELBAUM MIKE</v>
      </c>
      <c r="H222" s="20" t="str">
        <f t="shared" si="7"/>
        <v>4062</v>
      </c>
    </row>
    <row r="223" spans="1:8" x14ac:dyDescent="0.25">
      <c r="A223" s="8">
        <v>43084.933113425926</v>
      </c>
      <c r="B223" s="20" t="s">
        <v>416</v>
      </c>
      <c r="C223" s="20" t="s">
        <v>679</v>
      </c>
      <c r="D223" s="127">
        <v>3130000</v>
      </c>
      <c r="E223" s="20" t="s">
        <v>832</v>
      </c>
      <c r="F223" s="20" t="s">
        <v>833</v>
      </c>
      <c r="G223" s="8" t="str">
        <f t="shared" si="6"/>
        <v>ZEWDU DEREJE</v>
      </c>
      <c r="H223" s="20" t="str">
        <f t="shared" si="7"/>
        <v>4043</v>
      </c>
    </row>
    <row r="224" spans="1:8" x14ac:dyDescent="0.25">
      <c r="A224" s="8">
        <v>43084.935613425929</v>
      </c>
      <c r="B224" t="s">
        <v>471</v>
      </c>
      <c r="C224" t="s">
        <v>867</v>
      </c>
      <c r="D224" s="127">
        <v>3810000</v>
      </c>
      <c r="E224" t="s">
        <v>419</v>
      </c>
      <c r="F224" s="20" t="s">
        <v>420</v>
      </c>
      <c r="G224" s="8" t="str">
        <f t="shared" si="6"/>
        <v>LORI SANTOS</v>
      </c>
      <c r="H224" s="20" t="str">
        <f t="shared" si="7"/>
        <v>4049</v>
      </c>
    </row>
    <row r="225" spans="1:8" x14ac:dyDescent="0.25">
      <c r="A225" s="8">
        <v>43084.953680555554</v>
      </c>
      <c r="B225" t="s">
        <v>442</v>
      </c>
      <c r="C225" t="s">
        <v>868</v>
      </c>
      <c r="D225" s="127">
        <v>3320000</v>
      </c>
      <c r="E225" t="s">
        <v>360</v>
      </c>
      <c r="F225" s="20" t="s">
        <v>361</v>
      </c>
      <c r="G225" s="8" t="str">
        <f t="shared" si="6"/>
        <v>NICHOLSON WESLEY</v>
      </c>
      <c r="H225" s="20" t="str">
        <f t="shared" si="7"/>
        <v>4031</v>
      </c>
    </row>
    <row r="226" spans="1:8" x14ac:dyDescent="0.25">
      <c r="A226" s="8">
        <v>43084.95758101852</v>
      </c>
      <c r="B226" t="s">
        <v>671</v>
      </c>
      <c r="C226" t="s">
        <v>869</v>
      </c>
      <c r="D226" s="127">
        <v>3310000</v>
      </c>
      <c r="E226" t="s">
        <v>439</v>
      </c>
      <c r="F226" s="20" t="s">
        <v>440</v>
      </c>
      <c r="G226" s="8" t="str">
        <f t="shared" si="6"/>
        <v>ANDERS STEVEN</v>
      </c>
      <c r="H226" s="20" t="str">
        <f t="shared" si="7"/>
        <v>4004</v>
      </c>
    </row>
    <row r="227" spans="1:8" x14ac:dyDescent="0.25">
      <c r="A227" s="8">
        <v>43084.961064814815</v>
      </c>
      <c r="B227" t="s">
        <v>469</v>
      </c>
      <c r="C227" t="s">
        <v>870</v>
      </c>
      <c r="D227" s="127">
        <v>3810000</v>
      </c>
      <c r="E227" t="s">
        <v>419</v>
      </c>
      <c r="F227" s="20" t="s">
        <v>420</v>
      </c>
      <c r="G227" s="8" t="str">
        <f t="shared" si="6"/>
        <v>LORI SANTOS</v>
      </c>
      <c r="H227" s="20" t="str">
        <f t="shared" si="7"/>
        <v>4050</v>
      </c>
    </row>
    <row r="228" spans="1:8" x14ac:dyDescent="0.25">
      <c r="A228" s="8">
        <v>43084.966134259259</v>
      </c>
      <c r="B228" t="s">
        <v>415</v>
      </c>
      <c r="C228" t="s">
        <v>871</v>
      </c>
      <c r="D228" s="127">
        <v>3130000</v>
      </c>
      <c r="E228" t="s">
        <v>832</v>
      </c>
      <c r="F228" s="20" t="s">
        <v>833</v>
      </c>
      <c r="G228" s="8" t="str">
        <f t="shared" si="6"/>
        <v>ZEWDU DEREJE</v>
      </c>
      <c r="H228" s="20" t="str">
        <f t="shared" si="7"/>
        <v>4044</v>
      </c>
    </row>
    <row r="229" spans="1:8" x14ac:dyDescent="0.25">
      <c r="A229" s="8">
        <v>43084.970879629633</v>
      </c>
      <c r="B229" t="s">
        <v>375</v>
      </c>
      <c r="C229" t="s">
        <v>872</v>
      </c>
      <c r="D229" s="127">
        <v>3340000</v>
      </c>
      <c r="E229" t="s">
        <v>408</v>
      </c>
      <c r="F229" s="20" t="s">
        <v>409</v>
      </c>
      <c r="G229" s="8" t="str">
        <f t="shared" si="6"/>
        <v>ELBAUM MIKE</v>
      </c>
      <c r="H229" s="20" t="str">
        <f t="shared" si="7"/>
        <v>4061</v>
      </c>
    </row>
    <row r="230" spans="1:8" x14ac:dyDescent="0.25">
      <c r="A230" s="8">
        <v>43084.976770833331</v>
      </c>
      <c r="B230" t="s">
        <v>471</v>
      </c>
      <c r="C230" t="s">
        <v>873</v>
      </c>
      <c r="D230" s="127">
        <v>3810000</v>
      </c>
      <c r="E230" t="s">
        <v>419</v>
      </c>
      <c r="F230" s="20" t="s">
        <v>420</v>
      </c>
      <c r="G230" s="8" t="str">
        <f t="shared" si="6"/>
        <v>LORI SANTOS</v>
      </c>
      <c r="H230" s="20" t="str">
        <f t="shared" si="7"/>
        <v>4049</v>
      </c>
    </row>
    <row r="231" spans="1:8" x14ac:dyDescent="0.25">
      <c r="A231" s="8">
        <v>43084.996504629627</v>
      </c>
      <c r="B231" t="s">
        <v>443</v>
      </c>
      <c r="C231" t="s">
        <v>874</v>
      </c>
      <c r="D231" s="127">
        <v>3320000</v>
      </c>
      <c r="E231" t="s">
        <v>360</v>
      </c>
      <c r="F231" s="20" t="s">
        <v>361</v>
      </c>
      <c r="G231" s="8" t="str">
        <f t="shared" si="6"/>
        <v>NICHOLSON WESLEY</v>
      </c>
      <c r="H231" s="20" t="str">
        <f t="shared" si="7"/>
        <v>4032</v>
      </c>
    </row>
    <row r="232" spans="1:8" x14ac:dyDescent="0.25">
      <c r="A232" s="8">
        <v>43084.996979166666</v>
      </c>
      <c r="B232" t="s">
        <v>643</v>
      </c>
      <c r="C232" t="s">
        <v>680</v>
      </c>
      <c r="D232" s="127">
        <v>3310000</v>
      </c>
      <c r="E232" t="s">
        <v>439</v>
      </c>
      <c r="F232" s="20" t="s">
        <v>440</v>
      </c>
      <c r="G232" s="8" t="str">
        <f t="shared" si="6"/>
        <v>ANDERS STEVEN</v>
      </c>
      <c r="H232" s="20" t="str">
        <f t="shared" si="7"/>
        <v>4003</v>
      </c>
    </row>
    <row r="233" spans="1:8" x14ac:dyDescent="0.25">
      <c r="A233" s="8">
        <v>43085.007013888891</v>
      </c>
      <c r="B233" t="s">
        <v>373</v>
      </c>
      <c r="C233" t="s">
        <v>875</v>
      </c>
      <c r="D233" s="127">
        <v>3340000</v>
      </c>
      <c r="E233" t="s">
        <v>408</v>
      </c>
      <c r="F233" s="20" t="s">
        <v>409</v>
      </c>
      <c r="G233" s="8" t="str">
        <f t="shared" si="6"/>
        <v>ELBAUM MIKE</v>
      </c>
      <c r="H233" s="20" t="str">
        <f t="shared" si="7"/>
        <v>4062</v>
      </c>
    </row>
    <row r="234" spans="1:8" x14ac:dyDescent="0.25">
      <c r="A234" s="8">
        <v>43085.015925925924</v>
      </c>
      <c r="B234" t="s">
        <v>416</v>
      </c>
      <c r="C234" t="s">
        <v>876</v>
      </c>
      <c r="D234" s="127">
        <v>3130000</v>
      </c>
      <c r="E234" t="s">
        <v>832</v>
      </c>
      <c r="F234" s="20" t="s">
        <v>833</v>
      </c>
      <c r="G234" s="8" t="str">
        <f t="shared" si="6"/>
        <v>ZEWDU DEREJE</v>
      </c>
      <c r="H234" s="20" t="str">
        <f t="shared" si="7"/>
        <v>4043</v>
      </c>
    </row>
    <row r="235" spans="1:8" x14ac:dyDescent="0.25">
      <c r="A235" s="8">
        <v>43085.037256944444</v>
      </c>
      <c r="B235" t="s">
        <v>442</v>
      </c>
      <c r="C235" t="s">
        <v>681</v>
      </c>
      <c r="D235" s="127">
        <v>3320000</v>
      </c>
      <c r="E235" t="s">
        <v>360</v>
      </c>
      <c r="F235" s="20" t="s">
        <v>361</v>
      </c>
      <c r="G235" s="8" t="str">
        <f t="shared" si="6"/>
        <v>NICHOLSON WESLEY</v>
      </c>
      <c r="H235" s="20" t="str">
        <f t="shared" si="7"/>
        <v>4031</v>
      </c>
    </row>
    <row r="236" spans="1:8" x14ac:dyDescent="0.25">
      <c r="A236" s="8">
        <v>43085.041041666664</v>
      </c>
      <c r="B236" t="s">
        <v>671</v>
      </c>
      <c r="C236" t="s">
        <v>877</v>
      </c>
      <c r="D236" s="127">
        <v>3310000</v>
      </c>
      <c r="E236" t="s">
        <v>439</v>
      </c>
      <c r="F236" s="20" t="s">
        <v>440</v>
      </c>
      <c r="G236" s="8" t="str">
        <f t="shared" si="6"/>
        <v>ANDERS STEVEN</v>
      </c>
      <c r="H236" s="20" t="str">
        <f t="shared" si="7"/>
        <v>4004</v>
      </c>
    </row>
    <row r="237" spans="1:8" x14ac:dyDescent="0.25">
      <c r="A237" s="8">
        <v>43085.048587962963</v>
      </c>
      <c r="B237" t="s">
        <v>415</v>
      </c>
      <c r="C237" t="s">
        <v>878</v>
      </c>
      <c r="D237" s="127">
        <v>3130000</v>
      </c>
      <c r="E237" t="s">
        <v>832</v>
      </c>
      <c r="F237" s="20" t="s">
        <v>833</v>
      </c>
      <c r="G237" s="8" t="str">
        <f t="shared" si="6"/>
        <v>ZEWDU DEREJE</v>
      </c>
      <c r="H237" s="20" t="str">
        <f t="shared" si="7"/>
        <v>4044</v>
      </c>
    </row>
    <row r="238" spans="1:8" x14ac:dyDescent="0.25">
      <c r="A238" s="8">
        <v>43085.049004629633</v>
      </c>
      <c r="B238" t="s">
        <v>375</v>
      </c>
      <c r="C238" t="s">
        <v>879</v>
      </c>
      <c r="D238" s="127">
        <v>3340000</v>
      </c>
      <c r="E238" t="s">
        <v>408</v>
      </c>
      <c r="F238" s="20" t="s">
        <v>409</v>
      </c>
      <c r="G238" s="8" t="str">
        <f t="shared" si="6"/>
        <v>ELBAUM MIKE</v>
      </c>
      <c r="H238" s="20" t="str">
        <f t="shared" si="7"/>
        <v>4061</v>
      </c>
    </row>
    <row r="239" spans="1:8" x14ac:dyDescent="0.25">
      <c r="A239" s="8">
        <v>43085.073009259257</v>
      </c>
      <c r="B239" t="s">
        <v>443</v>
      </c>
      <c r="C239" t="s">
        <v>880</v>
      </c>
      <c r="D239" s="127">
        <v>3320000</v>
      </c>
      <c r="E239" t="s">
        <v>360</v>
      </c>
      <c r="F239" s="20" t="s">
        <v>361</v>
      </c>
      <c r="G239" s="8" t="str">
        <f t="shared" si="6"/>
        <v>NICHOLSON WESLEY</v>
      </c>
      <c r="H239" s="20" t="str">
        <f t="shared" si="7"/>
        <v>4032</v>
      </c>
    </row>
    <row r="240" spans="1:8" x14ac:dyDescent="0.25">
      <c r="A240" s="8">
        <v>43085.079884259256</v>
      </c>
      <c r="B240" t="s">
        <v>643</v>
      </c>
      <c r="C240" t="s">
        <v>682</v>
      </c>
      <c r="D240" s="127">
        <v>3310000</v>
      </c>
      <c r="E240" t="s">
        <v>439</v>
      </c>
      <c r="F240" s="20" t="s">
        <v>440</v>
      </c>
      <c r="G240" s="8" t="str">
        <f t="shared" si="6"/>
        <v>ANDERS STEVEN</v>
      </c>
      <c r="H240" s="20" t="str">
        <f t="shared" si="7"/>
        <v>4003</v>
      </c>
    </row>
    <row r="241" spans="1:8" x14ac:dyDescent="0.25">
      <c r="A241" s="8">
        <v>43085.086817129632</v>
      </c>
      <c r="B241" t="s">
        <v>373</v>
      </c>
      <c r="C241" t="s">
        <v>881</v>
      </c>
      <c r="D241" s="127">
        <v>3340000</v>
      </c>
      <c r="E241" t="s">
        <v>408</v>
      </c>
      <c r="F241" s="20" t="s">
        <v>409</v>
      </c>
      <c r="G241" s="8" t="str">
        <f t="shared" si="6"/>
        <v>ELBAUM MIKE</v>
      </c>
      <c r="H241" s="20" t="str">
        <f t="shared" si="7"/>
        <v>4062</v>
      </c>
    </row>
    <row r="242" spans="1:8" x14ac:dyDescent="0.25">
      <c r="A242" s="8">
        <v>43085.106134259258</v>
      </c>
      <c r="B242" t="s">
        <v>643</v>
      </c>
      <c r="C242" t="s">
        <v>682</v>
      </c>
      <c r="D242" s="127">
        <v>3310000</v>
      </c>
      <c r="E242" t="s">
        <v>439</v>
      </c>
      <c r="F242" s="20" t="s">
        <v>440</v>
      </c>
      <c r="G242" s="8" t="str">
        <f t="shared" si="6"/>
        <v>ANDERS STEVEN</v>
      </c>
      <c r="H242" s="20" t="str">
        <f t="shared" si="7"/>
        <v>4003</v>
      </c>
    </row>
    <row r="243" spans="1:8" x14ac:dyDescent="0.25">
      <c r="A243" s="8">
        <v>43085.111006944448</v>
      </c>
      <c r="B243" t="s">
        <v>466</v>
      </c>
      <c r="C243" t="s">
        <v>882</v>
      </c>
      <c r="D243" s="127">
        <v>3120000</v>
      </c>
      <c r="E243" t="s">
        <v>580</v>
      </c>
      <c r="F243" s="20" t="s">
        <v>883</v>
      </c>
      <c r="G243" s="8" t="str">
        <f t="shared" si="6"/>
        <v>THOMPSON LESTER</v>
      </c>
      <c r="H243" s="20" t="str">
        <f t="shared" si="7"/>
        <v>4015</v>
      </c>
    </row>
    <row r="244" spans="1:8" x14ac:dyDescent="0.25">
      <c r="A244" s="8">
        <v>43085.112835648149</v>
      </c>
      <c r="B244" t="s">
        <v>671</v>
      </c>
      <c r="C244" t="s">
        <v>884</v>
      </c>
      <c r="D244" s="127">
        <v>3310000</v>
      </c>
      <c r="E244" t="s">
        <v>439</v>
      </c>
      <c r="F244" s="20" t="s">
        <v>440</v>
      </c>
      <c r="G244" s="8" t="str">
        <f t="shared" si="6"/>
        <v>ANDERS STEVEN</v>
      </c>
      <c r="H244" s="20" t="str">
        <f t="shared" si="7"/>
        <v>4004</v>
      </c>
    </row>
    <row r="245" spans="1:8" x14ac:dyDescent="0.25">
      <c r="A245" s="8">
        <v>43085.114571759259</v>
      </c>
      <c r="B245" t="s">
        <v>466</v>
      </c>
      <c r="C245" t="s">
        <v>882</v>
      </c>
      <c r="D245" s="127">
        <v>3120000</v>
      </c>
      <c r="E245" t="s">
        <v>580</v>
      </c>
      <c r="F245" s="20" t="s">
        <v>883</v>
      </c>
      <c r="G245" s="8" t="str">
        <f t="shared" si="6"/>
        <v>THOMPSON LESTER</v>
      </c>
      <c r="H245" s="20" t="str">
        <f t="shared" si="7"/>
        <v>4015</v>
      </c>
    </row>
    <row r="246" spans="1:8" x14ac:dyDescent="0.25">
      <c r="A246" s="8">
        <v>43083.007071759261</v>
      </c>
      <c r="B246" t="s">
        <v>443</v>
      </c>
      <c r="C246" t="s">
        <v>547</v>
      </c>
      <c r="D246" s="127">
        <v>3310000</v>
      </c>
      <c r="E246" t="s">
        <v>439</v>
      </c>
      <c r="F246" s="20" t="s">
        <v>440</v>
      </c>
      <c r="G246" s="8" t="str">
        <f t="shared" si="6"/>
        <v>ANDERS STEVEN</v>
      </c>
      <c r="H246" s="20" t="str">
        <f t="shared" si="7"/>
        <v>4032</v>
      </c>
    </row>
    <row r="247" spans="1:8" x14ac:dyDescent="0.25">
      <c r="A247" s="8">
        <v>43083.015277777777</v>
      </c>
      <c r="B247" t="s">
        <v>495</v>
      </c>
      <c r="C247" t="s">
        <v>536</v>
      </c>
      <c r="D247" s="127">
        <v>1200000</v>
      </c>
      <c r="E247" t="s">
        <v>472</v>
      </c>
      <c r="F247" s="20" t="s">
        <v>473</v>
      </c>
      <c r="G247" s="8" t="str">
        <f t="shared" si="6"/>
        <v>CUSHING HARRY</v>
      </c>
      <c r="H247" s="20" t="str">
        <f t="shared" si="7"/>
        <v>4027</v>
      </c>
    </row>
    <row r="248" spans="1:8" x14ac:dyDescent="0.25">
      <c r="A248" s="8">
        <v>43083.032152777778</v>
      </c>
      <c r="B248" t="s">
        <v>356</v>
      </c>
      <c r="C248" t="s">
        <v>548</v>
      </c>
      <c r="D248" s="127">
        <v>3320000</v>
      </c>
      <c r="E248" t="s">
        <v>360</v>
      </c>
      <c r="F248" s="20" t="s">
        <v>361</v>
      </c>
      <c r="G248" s="8" t="str">
        <f t="shared" si="6"/>
        <v>NICHOLSON WESLEY</v>
      </c>
      <c r="H248" s="20" t="str">
        <f t="shared" si="7"/>
        <v>4008</v>
      </c>
    </row>
    <row r="249" spans="1:8" x14ac:dyDescent="0.25">
      <c r="A249" s="8">
        <v>43083.037083333336</v>
      </c>
      <c r="B249" t="s">
        <v>416</v>
      </c>
      <c r="C249" t="s">
        <v>549</v>
      </c>
      <c r="D249" s="127">
        <v>890000</v>
      </c>
      <c r="E249" t="s">
        <v>344</v>
      </c>
      <c r="F249" s="20" t="s">
        <v>345</v>
      </c>
      <c r="G249" s="8" t="str">
        <f t="shared" si="6"/>
        <v>LOZA FIDEL</v>
      </c>
      <c r="H249" s="20" t="str">
        <f t="shared" si="7"/>
        <v>4043</v>
      </c>
    </row>
    <row r="250" spans="1:8" x14ac:dyDescent="0.25">
      <c r="A250" s="8">
        <v>43083.05196759259</v>
      </c>
      <c r="B250" t="s">
        <v>500</v>
      </c>
      <c r="C250" t="s">
        <v>550</v>
      </c>
      <c r="D250" s="127">
        <v>3220000</v>
      </c>
      <c r="E250" t="s">
        <v>370</v>
      </c>
      <c r="F250" s="20" t="s">
        <v>371</v>
      </c>
      <c r="G250" s="8" t="str">
        <f t="shared" si="6"/>
        <v>RESPASS AARON</v>
      </c>
      <c r="H250" s="20" t="str">
        <f t="shared" si="7"/>
        <v>4042</v>
      </c>
    </row>
    <row r="251" spans="1:8" x14ac:dyDescent="0.25">
      <c r="A251" s="8">
        <v>43083.052662037036</v>
      </c>
      <c r="B251" t="s">
        <v>442</v>
      </c>
      <c r="C251" t="s">
        <v>537</v>
      </c>
      <c r="D251" s="127">
        <v>3310000</v>
      </c>
      <c r="E251" t="s">
        <v>439</v>
      </c>
      <c r="F251" s="20" t="s">
        <v>440</v>
      </c>
      <c r="G251" s="8" t="str">
        <f t="shared" si="6"/>
        <v>ANDERS STEVEN</v>
      </c>
      <c r="H251" s="20" t="str">
        <f t="shared" si="7"/>
        <v>4031</v>
      </c>
    </row>
    <row r="252" spans="1:8" x14ac:dyDescent="0.25">
      <c r="A252" s="8">
        <v>43083.052916666667</v>
      </c>
      <c r="B252" t="s">
        <v>500</v>
      </c>
      <c r="C252" t="s">
        <v>550</v>
      </c>
      <c r="D252" s="127">
        <v>3220000</v>
      </c>
      <c r="E252" t="s">
        <v>370</v>
      </c>
      <c r="F252" s="20" t="s">
        <v>371</v>
      </c>
      <c r="G252" s="8" t="str">
        <f t="shared" si="6"/>
        <v>RESPASS AARON</v>
      </c>
      <c r="H252" s="20" t="str">
        <f t="shared" si="7"/>
        <v>4042</v>
      </c>
    </row>
    <row r="253" spans="1:8" x14ac:dyDescent="0.25">
      <c r="A253" s="8">
        <v>43083.068842592591</v>
      </c>
      <c r="B253" t="s">
        <v>415</v>
      </c>
      <c r="C253" t="s">
        <v>551</v>
      </c>
      <c r="D253" s="127">
        <v>3810000</v>
      </c>
      <c r="E253" t="s">
        <v>419</v>
      </c>
      <c r="F253" s="20" t="s">
        <v>420</v>
      </c>
      <c r="G253" s="8" t="str">
        <f t="shared" si="6"/>
        <v>LORI SANTOS</v>
      </c>
      <c r="H253" s="20" t="str">
        <f t="shared" si="7"/>
        <v>4044</v>
      </c>
    </row>
    <row r="254" spans="1:8" x14ac:dyDescent="0.25">
      <c r="A254" s="8">
        <v>43083.089953703704</v>
      </c>
      <c r="B254" t="s">
        <v>443</v>
      </c>
      <c r="C254" t="s">
        <v>552</v>
      </c>
      <c r="D254" s="127">
        <v>3310000</v>
      </c>
      <c r="E254" t="s">
        <v>439</v>
      </c>
      <c r="F254" s="20" t="s">
        <v>440</v>
      </c>
      <c r="G254" s="8" t="str">
        <f t="shared" si="6"/>
        <v>ANDERS STEVEN</v>
      </c>
      <c r="H254" s="20" t="str">
        <f t="shared" si="7"/>
        <v>4032</v>
      </c>
    </row>
    <row r="255" spans="1:8" x14ac:dyDescent="0.25">
      <c r="A255" s="8">
        <v>43075.956990740742</v>
      </c>
      <c r="B255" t="s">
        <v>356</v>
      </c>
      <c r="C255" t="s">
        <v>474</v>
      </c>
      <c r="D255" s="127">
        <v>2040000</v>
      </c>
      <c r="E255" t="s">
        <v>382</v>
      </c>
      <c r="F255" s="20" t="s">
        <v>383</v>
      </c>
      <c r="G255" s="8" t="str">
        <f t="shared" si="6"/>
        <v>MOSES BRADLEY</v>
      </c>
      <c r="H255" s="20" t="str">
        <f t="shared" si="7"/>
        <v>4008</v>
      </c>
    </row>
    <row r="256" spans="1:8" x14ac:dyDescent="0.25">
      <c r="A256" s="8">
        <v>43075.959849537037</v>
      </c>
      <c r="B256" t="s">
        <v>469</v>
      </c>
      <c r="C256" t="s">
        <v>475</v>
      </c>
      <c r="D256" s="127">
        <v>2000000</v>
      </c>
      <c r="E256" t="s">
        <v>380</v>
      </c>
      <c r="F256" s="20" t="s">
        <v>381</v>
      </c>
      <c r="G256" s="8" t="str">
        <f t="shared" si="6"/>
        <v>STAMBAUGH JAMES</v>
      </c>
      <c r="H256" s="20" t="str">
        <f t="shared" si="7"/>
        <v>4050</v>
      </c>
    </row>
    <row r="257" spans="1:8" x14ac:dyDescent="0.25">
      <c r="A257" s="8">
        <v>43075.966597222221</v>
      </c>
      <c r="B257" t="s">
        <v>449</v>
      </c>
      <c r="C257" t="s">
        <v>470</v>
      </c>
      <c r="D257" s="127">
        <v>3310000</v>
      </c>
      <c r="E257" t="s">
        <v>439</v>
      </c>
      <c r="F257" s="20" t="s">
        <v>440</v>
      </c>
      <c r="G257" s="8" t="str">
        <f t="shared" si="6"/>
        <v>ANDERS STEVEN</v>
      </c>
      <c r="H257" s="20" t="str">
        <f t="shared" si="7"/>
        <v>4063</v>
      </c>
    </row>
    <row r="258" spans="1:8" x14ac:dyDescent="0.25">
      <c r="A258" s="8">
        <v>43075.97451388889</v>
      </c>
      <c r="B258" t="s">
        <v>448</v>
      </c>
      <c r="C258" t="s">
        <v>476</v>
      </c>
      <c r="D258" s="127">
        <v>3220000</v>
      </c>
      <c r="E258" t="s">
        <v>370</v>
      </c>
      <c r="F258" s="20" t="s">
        <v>371</v>
      </c>
      <c r="G258" s="8" t="str">
        <f t="shared" si="6"/>
        <v>RESPASS AARON</v>
      </c>
      <c r="H258" s="20" t="str">
        <f t="shared" si="7"/>
        <v>4010</v>
      </c>
    </row>
    <row r="259" spans="1:8" x14ac:dyDescent="0.25">
      <c r="A259" s="8">
        <v>43075.97483796296</v>
      </c>
      <c r="B259" t="s">
        <v>471</v>
      </c>
      <c r="C259" t="s">
        <v>477</v>
      </c>
      <c r="D259" s="127">
        <v>2000000</v>
      </c>
      <c r="E259" t="s">
        <v>380</v>
      </c>
      <c r="F259" s="20" t="s">
        <v>381</v>
      </c>
      <c r="G259" s="8" t="str">
        <f t="shared" ref="G259:G313" si="8">E259&amp;" "&amp;F259</f>
        <v>STAMBAUGH JAMES</v>
      </c>
      <c r="H259" s="20" t="str">
        <f t="shared" ref="H259:H313" si="9">MID(B259,13,4)</f>
        <v>4049</v>
      </c>
    </row>
    <row r="260" spans="1:8" x14ac:dyDescent="0.25">
      <c r="A260" s="8">
        <v>43075.983958333331</v>
      </c>
      <c r="B260" t="s">
        <v>358</v>
      </c>
      <c r="C260" t="s">
        <v>478</v>
      </c>
      <c r="D260" s="127">
        <v>2040000</v>
      </c>
      <c r="E260" t="s">
        <v>382</v>
      </c>
      <c r="F260" s="20" t="s">
        <v>383</v>
      </c>
      <c r="G260" s="8" t="str">
        <f t="shared" si="8"/>
        <v>MOSES BRADLEY</v>
      </c>
      <c r="H260" s="20" t="str">
        <f t="shared" si="9"/>
        <v>4007</v>
      </c>
    </row>
    <row r="261" spans="1:8" x14ac:dyDescent="0.25">
      <c r="A261" s="8">
        <v>43075.98678240741</v>
      </c>
      <c r="B261" t="s">
        <v>443</v>
      </c>
      <c r="C261" t="s">
        <v>479</v>
      </c>
      <c r="D261" s="127">
        <v>890000</v>
      </c>
      <c r="E261" t="s">
        <v>344</v>
      </c>
      <c r="F261" s="20" t="s">
        <v>345</v>
      </c>
      <c r="G261" s="8" t="str">
        <f t="shared" si="8"/>
        <v>LOZA FIDEL</v>
      </c>
      <c r="H261" s="20" t="str">
        <f t="shared" si="9"/>
        <v>4032</v>
      </c>
    </row>
    <row r="262" spans="1:8" x14ac:dyDescent="0.25">
      <c r="A262" s="8">
        <v>43076.008206018516</v>
      </c>
      <c r="B262" t="s">
        <v>460</v>
      </c>
      <c r="C262" t="s">
        <v>480</v>
      </c>
      <c r="D262" s="127">
        <v>3310000</v>
      </c>
      <c r="E262" t="s">
        <v>439</v>
      </c>
      <c r="F262" s="20" t="s">
        <v>440</v>
      </c>
      <c r="G262" s="8" t="str">
        <f t="shared" si="8"/>
        <v>ANDERS STEVEN</v>
      </c>
      <c r="H262" s="20" t="str">
        <f t="shared" si="9"/>
        <v>4064</v>
      </c>
    </row>
    <row r="263" spans="1:8" x14ac:dyDescent="0.25">
      <c r="A263" s="8">
        <v>43076.015740740739</v>
      </c>
      <c r="B263" t="s">
        <v>447</v>
      </c>
      <c r="C263" t="s">
        <v>481</v>
      </c>
      <c r="D263" s="127">
        <v>3220000</v>
      </c>
      <c r="E263" t="s">
        <v>370</v>
      </c>
      <c r="F263" s="20" t="s">
        <v>371</v>
      </c>
      <c r="G263" s="8" t="str">
        <f t="shared" si="8"/>
        <v>RESPASS AARON</v>
      </c>
      <c r="H263" s="20" t="str">
        <f t="shared" si="9"/>
        <v>4009</v>
      </c>
    </row>
    <row r="264" spans="1:8" x14ac:dyDescent="0.25">
      <c r="A264" s="8">
        <v>43076.02616898148</v>
      </c>
      <c r="B264" t="s">
        <v>356</v>
      </c>
      <c r="C264" t="s">
        <v>482</v>
      </c>
      <c r="D264" s="127">
        <v>2040000</v>
      </c>
      <c r="E264" t="s">
        <v>382</v>
      </c>
      <c r="F264" s="20" t="s">
        <v>383</v>
      </c>
      <c r="G264" s="8" t="str">
        <f t="shared" si="8"/>
        <v>MOSES BRADLEY</v>
      </c>
      <c r="H264" s="20" t="str">
        <f t="shared" si="9"/>
        <v>4008</v>
      </c>
    </row>
    <row r="265" spans="1:8" x14ac:dyDescent="0.25">
      <c r="A265" s="8">
        <v>43076.03392361111</v>
      </c>
      <c r="B265" t="s">
        <v>442</v>
      </c>
      <c r="C265" t="s">
        <v>483</v>
      </c>
      <c r="D265" s="127">
        <v>3840000</v>
      </c>
      <c r="E265" t="s">
        <v>461</v>
      </c>
      <c r="F265" s="20" t="s">
        <v>462</v>
      </c>
      <c r="G265" s="8" t="str">
        <f t="shared" si="8"/>
        <v>LONG FULLER</v>
      </c>
      <c r="H265" s="20" t="str">
        <f t="shared" si="9"/>
        <v>4031</v>
      </c>
    </row>
    <row r="266" spans="1:8" x14ac:dyDescent="0.25">
      <c r="A266" s="8">
        <v>43076.04546296296</v>
      </c>
      <c r="B266" t="s">
        <v>448</v>
      </c>
      <c r="C266" t="s">
        <v>484</v>
      </c>
      <c r="D266" s="127">
        <v>3220000</v>
      </c>
      <c r="E266" t="s">
        <v>370</v>
      </c>
      <c r="F266" s="20" t="s">
        <v>371</v>
      </c>
      <c r="G266" s="8" t="str">
        <f t="shared" si="8"/>
        <v>RESPASS AARON</v>
      </c>
      <c r="H266" s="20" t="str">
        <f t="shared" si="9"/>
        <v>4010</v>
      </c>
    </row>
    <row r="267" spans="1:8" x14ac:dyDescent="0.25">
      <c r="A267" s="8">
        <v>43076.051261574074</v>
      </c>
      <c r="B267" t="s">
        <v>449</v>
      </c>
      <c r="C267" t="s">
        <v>485</v>
      </c>
      <c r="D267" s="127">
        <v>3310000</v>
      </c>
      <c r="E267" t="s">
        <v>439</v>
      </c>
      <c r="F267" s="20" t="s">
        <v>440</v>
      </c>
      <c r="G267" s="8" t="str">
        <f t="shared" si="8"/>
        <v>ANDERS STEVEN</v>
      </c>
      <c r="H267" s="20" t="str">
        <f t="shared" si="9"/>
        <v>4063</v>
      </c>
    </row>
    <row r="268" spans="1:8" x14ac:dyDescent="0.25">
      <c r="A268" s="8">
        <v>43076.070243055554</v>
      </c>
      <c r="B268" t="s">
        <v>443</v>
      </c>
      <c r="C268" t="s">
        <v>486</v>
      </c>
      <c r="D268" s="127">
        <v>3840000</v>
      </c>
      <c r="E268" t="s">
        <v>461</v>
      </c>
      <c r="F268" s="20" t="s">
        <v>462</v>
      </c>
      <c r="G268" s="8" t="str">
        <f t="shared" si="8"/>
        <v>LONG FULLER</v>
      </c>
      <c r="H268" s="20" t="str">
        <f t="shared" si="9"/>
        <v>4032</v>
      </c>
    </row>
    <row r="269" spans="1:8" x14ac:dyDescent="0.25">
      <c r="A269" s="8">
        <v>43076.08935185185</v>
      </c>
      <c r="B269" t="s">
        <v>460</v>
      </c>
      <c r="C269" t="s">
        <v>487</v>
      </c>
      <c r="D269" s="127">
        <v>3310000</v>
      </c>
      <c r="E269" t="s">
        <v>439</v>
      </c>
      <c r="F269" s="20" t="s">
        <v>440</v>
      </c>
      <c r="G269" s="8" t="str">
        <f t="shared" si="8"/>
        <v>ANDERS STEVEN</v>
      </c>
      <c r="H269" s="20" t="str">
        <f t="shared" si="9"/>
        <v>4064</v>
      </c>
    </row>
    <row r="270" spans="1:8" x14ac:dyDescent="0.25">
      <c r="A270" s="8">
        <v>43069.090451388889</v>
      </c>
      <c r="B270" t="s">
        <v>444</v>
      </c>
      <c r="C270" t="s">
        <v>445</v>
      </c>
      <c r="D270" s="127">
        <v>3310000</v>
      </c>
      <c r="E270" t="s">
        <v>439</v>
      </c>
      <c r="F270" s="20" t="s">
        <v>440</v>
      </c>
      <c r="G270" s="8" t="str">
        <f t="shared" si="8"/>
        <v>ANDERS STEVEN</v>
      </c>
      <c r="H270" s="20" t="str">
        <f t="shared" si="9"/>
        <v>4006</v>
      </c>
    </row>
    <row r="271" spans="1:8" x14ac:dyDescent="0.25">
      <c r="A271" s="8">
        <v>43069.091400462959</v>
      </c>
      <c r="B271" t="s">
        <v>444</v>
      </c>
      <c r="C271" t="s">
        <v>445</v>
      </c>
      <c r="D271" s="127">
        <v>3310000</v>
      </c>
      <c r="E271" t="s">
        <v>439</v>
      </c>
      <c r="F271" s="20" t="s">
        <v>440</v>
      </c>
      <c r="G271" s="8" t="str">
        <f t="shared" si="8"/>
        <v>ANDERS STEVEN</v>
      </c>
      <c r="H271" s="20" t="str">
        <f t="shared" si="9"/>
        <v>4006</v>
      </c>
    </row>
    <row r="272" spans="1:8" x14ac:dyDescent="0.25">
      <c r="A272" s="8">
        <v>43066.934120370373</v>
      </c>
      <c r="B272" t="s">
        <v>351</v>
      </c>
      <c r="C272" t="s">
        <v>421</v>
      </c>
      <c r="D272" s="127">
        <v>2000000</v>
      </c>
      <c r="E272" t="s">
        <v>380</v>
      </c>
      <c r="F272" s="20" t="s">
        <v>381</v>
      </c>
      <c r="G272" s="8" t="str">
        <f t="shared" si="8"/>
        <v>STAMBAUGH JAMES</v>
      </c>
      <c r="H272" s="20" t="str">
        <f t="shared" si="9"/>
        <v>4055</v>
      </c>
    </row>
    <row r="273" spans="1:8" x14ac:dyDescent="0.25">
      <c r="A273" s="8">
        <v>43066.945567129631</v>
      </c>
      <c r="B273" t="s">
        <v>357</v>
      </c>
      <c r="C273" t="s">
        <v>422</v>
      </c>
      <c r="D273" s="127">
        <v>3340000</v>
      </c>
      <c r="E273" t="s">
        <v>408</v>
      </c>
      <c r="F273" s="20" t="s">
        <v>409</v>
      </c>
      <c r="G273" s="8" t="str">
        <f t="shared" si="8"/>
        <v>ELBAUM MIKE</v>
      </c>
      <c r="H273" s="20" t="str">
        <f t="shared" si="9"/>
        <v>4018</v>
      </c>
    </row>
    <row r="274" spans="1:8" x14ac:dyDescent="0.25">
      <c r="A274" s="8">
        <v>43066.946863425925</v>
      </c>
      <c r="B274" t="s">
        <v>416</v>
      </c>
      <c r="C274" t="s">
        <v>423</v>
      </c>
      <c r="D274" s="127">
        <v>3500000</v>
      </c>
      <c r="E274" t="s">
        <v>368</v>
      </c>
      <c r="F274" s="20" t="s">
        <v>369</v>
      </c>
      <c r="G274" s="8" t="str">
        <f t="shared" si="8"/>
        <v>GUNTHIER ERIC</v>
      </c>
      <c r="H274" s="20" t="str">
        <f t="shared" si="9"/>
        <v>4043</v>
      </c>
    </row>
    <row r="275" spans="1:8" x14ac:dyDescent="0.25">
      <c r="A275" s="8">
        <v>43066.962430555555</v>
      </c>
      <c r="B275" t="s">
        <v>410</v>
      </c>
      <c r="C275" t="s">
        <v>424</v>
      </c>
      <c r="D275" s="127">
        <v>2000000</v>
      </c>
      <c r="E275" t="s">
        <v>380</v>
      </c>
      <c r="F275" s="20" t="s">
        <v>381</v>
      </c>
      <c r="G275" s="8" t="str">
        <f t="shared" si="8"/>
        <v>STAMBAUGH JAMES</v>
      </c>
      <c r="H275" s="20" t="str">
        <f t="shared" si="9"/>
        <v>4056</v>
      </c>
    </row>
    <row r="276" spans="1:8" x14ac:dyDescent="0.25">
      <c r="A276" s="8">
        <v>43066.969027777777</v>
      </c>
      <c r="B276" t="s">
        <v>374</v>
      </c>
      <c r="C276" t="s">
        <v>425</v>
      </c>
      <c r="D276" s="127">
        <v>890000</v>
      </c>
      <c r="E276" t="s">
        <v>344</v>
      </c>
      <c r="F276" s="20" t="s">
        <v>345</v>
      </c>
      <c r="G276" s="8" t="str">
        <f t="shared" si="8"/>
        <v>LOZA FIDEL</v>
      </c>
      <c r="H276" s="20" t="str">
        <f t="shared" si="9"/>
        <v>4022</v>
      </c>
    </row>
    <row r="277" spans="1:8" x14ac:dyDescent="0.25">
      <c r="A277" s="8">
        <v>43066.974097222221</v>
      </c>
      <c r="B277" t="s">
        <v>411</v>
      </c>
      <c r="C277" t="s">
        <v>426</v>
      </c>
      <c r="D277" s="127">
        <v>3040000</v>
      </c>
      <c r="E277" t="s">
        <v>365</v>
      </c>
      <c r="F277" s="20" t="s">
        <v>413</v>
      </c>
      <c r="G277" s="8" t="str">
        <f t="shared" si="8"/>
        <v>WILLIAMS DONTE</v>
      </c>
      <c r="H277" s="20" t="str">
        <f t="shared" si="9"/>
        <v>4025</v>
      </c>
    </row>
    <row r="278" spans="1:8" x14ac:dyDescent="0.25">
      <c r="A278" s="8">
        <v>43066.974907407406</v>
      </c>
      <c r="B278" t="s">
        <v>351</v>
      </c>
      <c r="C278" t="s">
        <v>427</v>
      </c>
      <c r="D278" s="127">
        <v>2000000</v>
      </c>
      <c r="E278" t="s">
        <v>380</v>
      </c>
      <c r="F278" s="20" t="s">
        <v>381</v>
      </c>
      <c r="G278" s="8" t="str">
        <f t="shared" si="8"/>
        <v>STAMBAUGH JAMES</v>
      </c>
      <c r="H278" s="20" t="str">
        <f t="shared" si="9"/>
        <v>4055</v>
      </c>
    </row>
    <row r="279" spans="1:8" x14ac:dyDescent="0.25">
      <c r="A279" s="8">
        <v>43066.986979166664</v>
      </c>
      <c r="B279" t="s">
        <v>359</v>
      </c>
      <c r="C279" t="s">
        <v>428</v>
      </c>
      <c r="D279" s="127">
        <v>3340000</v>
      </c>
      <c r="E279" t="s">
        <v>408</v>
      </c>
      <c r="F279" s="20" t="s">
        <v>409</v>
      </c>
      <c r="G279" s="8" t="str">
        <f t="shared" si="8"/>
        <v>ELBAUM MIKE</v>
      </c>
      <c r="H279" s="20" t="str">
        <f t="shared" si="9"/>
        <v>4017</v>
      </c>
    </row>
    <row r="280" spans="1:8" x14ac:dyDescent="0.25">
      <c r="A280" s="8">
        <v>43066.992754629631</v>
      </c>
      <c r="B280" t="s">
        <v>415</v>
      </c>
      <c r="C280" t="s">
        <v>429</v>
      </c>
      <c r="D280" s="127">
        <v>3220000</v>
      </c>
      <c r="E280" t="s">
        <v>370</v>
      </c>
      <c r="F280" s="20" t="s">
        <v>371</v>
      </c>
      <c r="G280" s="8" t="str">
        <f t="shared" si="8"/>
        <v>RESPASS AARON</v>
      </c>
      <c r="H280" s="20" t="str">
        <f t="shared" si="9"/>
        <v>4044</v>
      </c>
    </row>
    <row r="281" spans="1:8" x14ac:dyDescent="0.25">
      <c r="A281" s="8">
        <v>43067.015798611108</v>
      </c>
      <c r="B281" t="s">
        <v>418</v>
      </c>
      <c r="C281" t="s">
        <v>430</v>
      </c>
      <c r="D281" s="127">
        <v>890000</v>
      </c>
      <c r="E281" t="s">
        <v>344</v>
      </c>
      <c r="F281" s="20" t="s">
        <v>345</v>
      </c>
      <c r="G281" s="8" t="str">
        <f t="shared" si="8"/>
        <v>LOZA FIDEL</v>
      </c>
      <c r="H281" s="20" t="str">
        <f t="shared" si="9"/>
        <v>4021</v>
      </c>
    </row>
    <row r="282" spans="1:8" x14ac:dyDescent="0.25">
      <c r="A282" s="8">
        <v>43067.017256944448</v>
      </c>
      <c r="B282" t="s">
        <v>412</v>
      </c>
      <c r="C282" t="s">
        <v>431</v>
      </c>
      <c r="D282" s="127">
        <v>3040000</v>
      </c>
      <c r="E282" t="s">
        <v>365</v>
      </c>
      <c r="F282" s="20" t="s">
        <v>413</v>
      </c>
      <c r="G282" s="8" t="str">
        <f t="shared" si="8"/>
        <v>WILLIAMS DONTE</v>
      </c>
      <c r="H282" s="20" t="str">
        <f t="shared" si="9"/>
        <v>4026</v>
      </c>
    </row>
    <row r="283" spans="1:8" x14ac:dyDescent="0.25">
      <c r="A283" s="8">
        <v>43067.025405092594</v>
      </c>
      <c r="B283" t="s">
        <v>357</v>
      </c>
      <c r="C283" t="s">
        <v>432</v>
      </c>
      <c r="D283" s="127">
        <v>3340000</v>
      </c>
      <c r="E283" t="s">
        <v>408</v>
      </c>
      <c r="F283" s="20" t="s">
        <v>409</v>
      </c>
      <c r="G283" s="8" t="str">
        <f t="shared" si="8"/>
        <v>ELBAUM MIKE</v>
      </c>
      <c r="H283" s="20" t="str">
        <f t="shared" si="9"/>
        <v>4018</v>
      </c>
    </row>
    <row r="284" spans="1:8" x14ac:dyDescent="0.25">
      <c r="A284" s="8">
        <v>43067.035092592596</v>
      </c>
      <c r="B284" t="s">
        <v>416</v>
      </c>
      <c r="C284" t="s">
        <v>433</v>
      </c>
      <c r="D284" s="127">
        <v>3220000</v>
      </c>
      <c r="E284" t="s">
        <v>370</v>
      </c>
      <c r="F284" s="20" t="s">
        <v>371</v>
      </c>
      <c r="G284" s="8" t="str">
        <f t="shared" si="8"/>
        <v>RESPASS AARON</v>
      </c>
      <c r="H284" s="20" t="str">
        <f t="shared" si="9"/>
        <v>4043</v>
      </c>
    </row>
    <row r="285" spans="1:8" x14ac:dyDescent="0.25">
      <c r="A285" s="8">
        <v>43067.0469212963</v>
      </c>
      <c r="B285" t="s">
        <v>374</v>
      </c>
      <c r="C285" t="s">
        <v>417</v>
      </c>
      <c r="D285" s="127">
        <v>890000</v>
      </c>
      <c r="E285" t="s">
        <v>344</v>
      </c>
      <c r="F285" s="20" t="s">
        <v>345</v>
      </c>
      <c r="G285" s="8" t="str">
        <f t="shared" si="8"/>
        <v>LOZA FIDEL</v>
      </c>
      <c r="H285" s="20" t="str">
        <f t="shared" si="9"/>
        <v>4022</v>
      </c>
    </row>
    <row r="286" spans="1:8" x14ac:dyDescent="0.25">
      <c r="A286" s="8">
        <v>43067.056122685186</v>
      </c>
      <c r="B286" t="s">
        <v>411</v>
      </c>
      <c r="C286" t="s">
        <v>434</v>
      </c>
      <c r="D286" s="127">
        <v>3040000</v>
      </c>
      <c r="E286" t="s">
        <v>365</v>
      </c>
      <c r="F286" s="20" t="s">
        <v>413</v>
      </c>
      <c r="G286" s="8" t="str">
        <f t="shared" si="8"/>
        <v>WILLIAMS DONTE</v>
      </c>
      <c r="H286" s="20" t="str">
        <f t="shared" si="9"/>
        <v>4025</v>
      </c>
    </row>
    <row r="287" spans="1:8" x14ac:dyDescent="0.25">
      <c r="A287" s="8">
        <v>43067.066620370373</v>
      </c>
      <c r="B287" t="s">
        <v>415</v>
      </c>
      <c r="C287" t="s">
        <v>435</v>
      </c>
      <c r="D287" s="127">
        <v>3220000</v>
      </c>
      <c r="E287" t="s">
        <v>370</v>
      </c>
      <c r="F287" s="20" t="s">
        <v>371</v>
      </c>
      <c r="G287" s="8" t="str">
        <f t="shared" si="8"/>
        <v>RESPASS AARON</v>
      </c>
      <c r="H287" s="20" t="str">
        <f t="shared" si="9"/>
        <v>4044</v>
      </c>
    </row>
    <row r="288" spans="1:8" x14ac:dyDescent="0.25">
      <c r="A288" s="8">
        <v>43067.08871527778</v>
      </c>
      <c r="B288" t="s">
        <v>412</v>
      </c>
      <c r="C288" t="s">
        <v>436</v>
      </c>
      <c r="D288" s="127">
        <v>3040000</v>
      </c>
      <c r="E288" t="s">
        <v>365</v>
      </c>
      <c r="F288" s="20" t="s">
        <v>413</v>
      </c>
      <c r="G288" s="8" t="str">
        <f t="shared" si="8"/>
        <v>WILLIAMS DONTE</v>
      </c>
      <c r="H288" s="20" t="str">
        <f t="shared" si="9"/>
        <v>4026</v>
      </c>
    </row>
    <row r="289" spans="1:8" x14ac:dyDescent="0.25">
      <c r="A289" s="8">
        <v>43039.891932870371</v>
      </c>
      <c r="B289" t="s">
        <v>364</v>
      </c>
      <c r="C289" t="s">
        <v>384</v>
      </c>
      <c r="D289" s="127">
        <v>2040000</v>
      </c>
      <c r="E289" t="s">
        <v>382</v>
      </c>
      <c r="F289" s="20" t="s">
        <v>383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375</v>
      </c>
      <c r="C290" t="s">
        <v>385</v>
      </c>
      <c r="D290" s="127">
        <v>2000000</v>
      </c>
      <c r="E290" t="s">
        <v>380</v>
      </c>
      <c r="F290" s="20" t="s">
        <v>381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366</v>
      </c>
      <c r="C291" t="s">
        <v>386</v>
      </c>
      <c r="D291" s="127">
        <v>3320000</v>
      </c>
      <c r="E291" t="s">
        <v>360</v>
      </c>
      <c r="F291" s="20" t="s">
        <v>361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358</v>
      </c>
      <c r="C292" t="s">
        <v>387</v>
      </c>
      <c r="D292" s="127">
        <v>3500000</v>
      </c>
      <c r="E292" t="s">
        <v>368</v>
      </c>
      <c r="F292" s="20" t="s">
        <v>369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373</v>
      </c>
      <c r="C293" t="s">
        <v>388</v>
      </c>
      <c r="D293" s="127">
        <v>3220000</v>
      </c>
      <c r="E293" t="s">
        <v>370</v>
      </c>
      <c r="F293" s="20" t="s">
        <v>371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376</v>
      </c>
      <c r="C294" t="s">
        <v>377</v>
      </c>
      <c r="D294" s="127">
        <v>3670000</v>
      </c>
      <c r="E294" t="s">
        <v>372</v>
      </c>
      <c r="F294" s="20" t="s">
        <v>365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363</v>
      </c>
      <c r="C295" t="s">
        <v>389</v>
      </c>
      <c r="D295" s="127">
        <v>2040000</v>
      </c>
      <c r="E295" t="s">
        <v>382</v>
      </c>
      <c r="F295" s="20" t="s">
        <v>383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375</v>
      </c>
      <c r="C296" t="s">
        <v>390</v>
      </c>
      <c r="D296" s="127">
        <v>3220000</v>
      </c>
      <c r="E296" t="s">
        <v>370</v>
      </c>
      <c r="F296" s="20" t="s">
        <v>371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356</v>
      </c>
      <c r="C297" t="s">
        <v>391</v>
      </c>
      <c r="D297" s="127">
        <v>3500000</v>
      </c>
      <c r="E297" t="s">
        <v>368</v>
      </c>
      <c r="F297" s="20" t="s">
        <v>369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367</v>
      </c>
      <c r="C298" t="s">
        <v>392</v>
      </c>
      <c r="D298" s="127">
        <v>3320000</v>
      </c>
      <c r="E298" t="s">
        <v>360</v>
      </c>
      <c r="F298" s="20" t="s">
        <v>361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373</v>
      </c>
      <c r="C299" t="s">
        <v>393</v>
      </c>
      <c r="D299" s="127">
        <v>2000000</v>
      </c>
      <c r="E299" t="s">
        <v>380</v>
      </c>
      <c r="F299" s="20" t="s">
        <v>381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379</v>
      </c>
      <c r="C300" t="s">
        <v>394</v>
      </c>
      <c r="D300" s="127">
        <v>3670000</v>
      </c>
      <c r="E300" t="s">
        <v>372</v>
      </c>
      <c r="F300" s="20" t="s">
        <v>365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364</v>
      </c>
      <c r="C301" t="s">
        <v>395</v>
      </c>
      <c r="D301" s="127">
        <v>2040000</v>
      </c>
      <c r="E301" t="s">
        <v>382</v>
      </c>
      <c r="F301" s="20" t="s">
        <v>383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375</v>
      </c>
      <c r="C302" t="s">
        <v>396</v>
      </c>
      <c r="D302" s="127">
        <v>2000000</v>
      </c>
      <c r="E302" t="s">
        <v>380</v>
      </c>
      <c r="F302" s="20" t="s">
        <v>381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358</v>
      </c>
      <c r="C303" t="s">
        <v>378</v>
      </c>
      <c r="D303" s="127">
        <v>3500000</v>
      </c>
      <c r="E303" t="s">
        <v>368</v>
      </c>
      <c r="F303" s="20" t="s">
        <v>369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366</v>
      </c>
      <c r="C304" t="s">
        <v>397</v>
      </c>
      <c r="D304" s="127">
        <v>3320000</v>
      </c>
      <c r="E304" t="s">
        <v>360</v>
      </c>
      <c r="F304" s="20" t="s">
        <v>361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376</v>
      </c>
      <c r="C305" t="s">
        <v>398</v>
      </c>
      <c r="D305" s="127">
        <v>3670000</v>
      </c>
      <c r="E305" t="s">
        <v>372</v>
      </c>
      <c r="F305" s="20" t="s">
        <v>365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363</v>
      </c>
      <c r="C306" t="s">
        <v>399</v>
      </c>
      <c r="D306" s="127">
        <v>2040000</v>
      </c>
      <c r="E306" t="s">
        <v>382</v>
      </c>
      <c r="F306" s="20" t="s">
        <v>383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356</v>
      </c>
      <c r="C307" t="s">
        <v>400</v>
      </c>
      <c r="D307" s="127">
        <v>3500000</v>
      </c>
      <c r="E307" t="s">
        <v>368</v>
      </c>
      <c r="F307" s="20" t="s">
        <v>369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367</v>
      </c>
      <c r="C308" t="s">
        <v>401</v>
      </c>
      <c r="D308" s="127">
        <v>3320000</v>
      </c>
      <c r="E308" t="s">
        <v>360</v>
      </c>
      <c r="F308" s="20" t="s">
        <v>361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379</v>
      </c>
      <c r="C309" t="s">
        <v>402</v>
      </c>
      <c r="D309" s="127">
        <v>3670000</v>
      </c>
      <c r="E309" t="s">
        <v>372</v>
      </c>
      <c r="F309" s="20" t="s">
        <v>365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364</v>
      </c>
      <c r="C310" t="s">
        <v>403</v>
      </c>
      <c r="D310" s="127">
        <v>2040000</v>
      </c>
      <c r="E310" t="s">
        <v>382</v>
      </c>
      <c r="F310" s="20" t="s">
        <v>383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366</v>
      </c>
      <c r="C311" t="s">
        <v>404</v>
      </c>
      <c r="D311" s="127">
        <v>3320000</v>
      </c>
      <c r="E311" t="s">
        <v>360</v>
      </c>
      <c r="F311" s="20" t="s">
        <v>361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363</v>
      </c>
      <c r="C312" t="s">
        <v>405</v>
      </c>
      <c r="D312" s="127">
        <v>2040000</v>
      </c>
      <c r="E312" t="s">
        <v>382</v>
      </c>
      <c r="F312" s="20" t="s">
        <v>383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351</v>
      </c>
      <c r="C313" t="s">
        <v>362</v>
      </c>
      <c r="D313" s="12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T29"/>
    </sheetView>
  </sheetViews>
  <sheetFormatPr defaultColWidth="9.140625" defaultRowHeight="15" x14ac:dyDescent="0.25"/>
  <cols>
    <col min="1" max="1" width="22.5703125" style="130" customWidth="1"/>
    <col min="2" max="2" width="8.42578125" style="130" bestFit="1" customWidth="1"/>
    <col min="3" max="3" width="12.5703125" style="130" bestFit="1" customWidth="1"/>
    <col min="4" max="4" width="18.5703125" style="120" bestFit="1" customWidth="1"/>
    <col min="5" max="5" width="9.85546875" style="130" bestFit="1" customWidth="1"/>
    <col min="6" max="6" width="9" style="130" bestFit="1" customWidth="1"/>
    <col min="7" max="7" width="8.85546875" style="130" bestFit="1" customWidth="1"/>
    <col min="8" max="8" width="14" style="130" bestFit="1" customWidth="1"/>
    <col min="9" max="9" width="21.140625" style="130" bestFit="1" customWidth="1"/>
    <col min="10" max="10" width="8.7109375" style="130" bestFit="1" customWidth="1"/>
    <col min="11" max="11" width="11.28515625" style="130" bestFit="1" customWidth="1"/>
    <col min="12" max="12" width="11" style="130" bestFit="1" customWidth="1"/>
    <col min="13" max="13" width="11.28515625" style="130" bestFit="1" customWidth="1"/>
    <col min="14" max="14" width="13.7109375" style="130" bestFit="1" customWidth="1"/>
    <col min="15" max="15" width="14.85546875" style="130" bestFit="1" customWidth="1"/>
    <col min="16" max="16" width="16.7109375" style="130" bestFit="1" customWidth="1"/>
    <col min="17" max="17" width="9.42578125" style="100" bestFit="1" customWidth="1"/>
    <col min="18" max="16384" width="9.140625" style="100"/>
  </cols>
  <sheetData>
    <row r="1" spans="1:20" s="101" customFormat="1" x14ac:dyDescent="0.25">
      <c r="A1" s="224" t="s">
        <v>156</v>
      </c>
      <c r="B1" s="224" t="s">
        <v>159</v>
      </c>
      <c r="C1" s="224" t="s">
        <v>152</v>
      </c>
      <c r="D1" s="125" t="s">
        <v>164</v>
      </c>
      <c r="E1" s="224" t="s">
        <v>153</v>
      </c>
      <c r="F1" s="224" t="s">
        <v>151</v>
      </c>
      <c r="G1" s="224" t="s">
        <v>149</v>
      </c>
      <c r="H1" s="224" t="s">
        <v>521</v>
      </c>
      <c r="I1" s="224" t="s">
        <v>162</v>
      </c>
      <c r="J1" s="224" t="s">
        <v>163</v>
      </c>
      <c r="K1" s="224" t="s">
        <v>522</v>
      </c>
      <c r="L1" s="224" t="s">
        <v>157</v>
      </c>
      <c r="M1" s="224" t="s">
        <v>155</v>
      </c>
      <c r="N1" s="224" t="s">
        <v>150</v>
      </c>
      <c r="O1" s="224" t="s">
        <v>160</v>
      </c>
      <c r="P1" s="224" t="s">
        <v>334</v>
      </c>
      <c r="Q1" s="224" t="s">
        <v>154</v>
      </c>
      <c r="R1" s="224" t="s">
        <v>161</v>
      </c>
      <c r="S1" s="224" t="s">
        <v>335</v>
      </c>
      <c r="T1" s="224" t="s">
        <v>158</v>
      </c>
    </row>
    <row r="2" spans="1:20" x14ac:dyDescent="0.25">
      <c r="A2" s="200">
        <v>24.18</v>
      </c>
      <c r="B2" s="200">
        <v>0</v>
      </c>
      <c r="C2" s="200">
        <v>16.760000000000002</v>
      </c>
      <c r="D2" s="8">
        <v>43084</v>
      </c>
      <c r="E2" s="200">
        <v>0.73</v>
      </c>
      <c r="F2" s="200" t="s">
        <v>407</v>
      </c>
      <c r="G2" s="200">
        <v>300.02</v>
      </c>
      <c r="H2" s="200"/>
      <c r="I2" s="200">
        <v>0</v>
      </c>
      <c r="J2" s="200">
        <v>0</v>
      </c>
      <c r="K2" s="200"/>
      <c r="L2" s="200">
        <v>1024.81</v>
      </c>
      <c r="M2" s="200" t="s">
        <v>406</v>
      </c>
      <c r="N2" s="200">
        <v>24.18</v>
      </c>
      <c r="O2" s="200">
        <v>1513321200</v>
      </c>
      <c r="P2" s="200">
        <v>0</v>
      </c>
      <c r="Q2" s="200">
        <v>4.04</v>
      </c>
      <c r="R2" s="200">
        <v>181</v>
      </c>
      <c r="S2" s="200">
        <v>5.63</v>
      </c>
      <c r="T2" s="200">
        <v>2.62</v>
      </c>
    </row>
    <row r="3" spans="1:20" x14ac:dyDescent="0.25">
      <c r="A3" s="200">
        <v>23.93</v>
      </c>
      <c r="B3" s="200">
        <v>0</v>
      </c>
      <c r="C3" s="200">
        <v>15.25</v>
      </c>
      <c r="D3" s="8">
        <v>43084.041666666664</v>
      </c>
      <c r="E3" s="200">
        <v>0.69</v>
      </c>
      <c r="F3" s="200" t="s">
        <v>407</v>
      </c>
      <c r="G3" s="200">
        <v>300.02</v>
      </c>
      <c r="H3" s="200"/>
      <c r="I3" s="200">
        <v>0</v>
      </c>
      <c r="J3" s="200">
        <v>0</v>
      </c>
      <c r="K3" s="200"/>
      <c r="L3" s="200">
        <v>1023.67</v>
      </c>
      <c r="M3" s="200" t="s">
        <v>406</v>
      </c>
      <c r="N3" s="200">
        <v>23.93</v>
      </c>
      <c r="O3" s="200">
        <v>1513324800</v>
      </c>
      <c r="P3" s="200">
        <v>0</v>
      </c>
      <c r="Q3" s="200">
        <v>3.84</v>
      </c>
      <c r="R3" s="200">
        <v>177</v>
      </c>
      <c r="S3" s="200">
        <v>5.49</v>
      </c>
      <c r="T3" s="200">
        <v>2.42</v>
      </c>
    </row>
    <row r="4" spans="1:20" x14ac:dyDescent="0.25">
      <c r="A4" s="200">
        <v>24.44</v>
      </c>
      <c r="B4" s="200">
        <v>0</v>
      </c>
      <c r="C4" s="200">
        <v>13.23</v>
      </c>
      <c r="D4" s="8">
        <v>43084.083333333336</v>
      </c>
      <c r="E4" s="200">
        <v>0.62</v>
      </c>
      <c r="F4" s="200" t="s">
        <v>407</v>
      </c>
      <c r="G4" s="200">
        <v>300.24</v>
      </c>
      <c r="H4" s="200"/>
      <c r="I4" s="200">
        <v>0</v>
      </c>
      <c r="J4" s="200">
        <v>0</v>
      </c>
      <c r="K4" s="200"/>
      <c r="L4" s="200">
        <v>1023.84</v>
      </c>
      <c r="M4" s="200" t="s">
        <v>406</v>
      </c>
      <c r="N4" s="200">
        <v>24.44</v>
      </c>
      <c r="O4" s="200">
        <v>1513328400</v>
      </c>
      <c r="P4" s="200">
        <v>0</v>
      </c>
      <c r="Q4" s="200">
        <v>3.89</v>
      </c>
      <c r="R4" s="200">
        <v>176</v>
      </c>
      <c r="S4" s="200">
        <v>5.9</v>
      </c>
      <c r="T4" s="200">
        <v>2.2799999999999998</v>
      </c>
    </row>
    <row r="5" spans="1:20" x14ac:dyDescent="0.25">
      <c r="A5" s="200">
        <v>24.94</v>
      </c>
      <c r="B5" s="200">
        <v>0</v>
      </c>
      <c r="C5" s="200">
        <v>12</v>
      </c>
      <c r="D5" s="8">
        <v>43084.125</v>
      </c>
      <c r="E5" s="200">
        <v>0.56999999999999995</v>
      </c>
      <c r="F5" s="200" t="s">
        <v>407</v>
      </c>
      <c r="G5" s="200">
        <v>300.68</v>
      </c>
      <c r="H5" s="200"/>
      <c r="I5" s="200">
        <v>0</v>
      </c>
      <c r="J5" s="200">
        <v>0</v>
      </c>
      <c r="K5" s="200"/>
      <c r="L5" s="200">
        <v>1024.77</v>
      </c>
      <c r="M5" s="200" t="s">
        <v>406</v>
      </c>
      <c r="N5" s="200">
        <v>24.94</v>
      </c>
      <c r="O5" s="200">
        <v>1513332000</v>
      </c>
      <c r="P5" s="200">
        <v>0</v>
      </c>
      <c r="Q5" s="200">
        <v>4.04</v>
      </c>
      <c r="R5" s="200">
        <v>182</v>
      </c>
      <c r="S5" s="200">
        <v>5.72</v>
      </c>
      <c r="T5" s="200">
        <v>2.4300000000000002</v>
      </c>
    </row>
    <row r="6" spans="1:20" x14ac:dyDescent="0.25">
      <c r="A6" s="200">
        <v>26.36</v>
      </c>
      <c r="B6" s="200">
        <v>0</v>
      </c>
      <c r="C6" s="200">
        <v>11.23</v>
      </c>
      <c r="D6" s="8">
        <v>43084.166666666664</v>
      </c>
      <c r="E6" s="200">
        <v>0.52</v>
      </c>
      <c r="F6" s="200" t="s">
        <v>407</v>
      </c>
      <c r="G6" s="200">
        <v>301.12</v>
      </c>
      <c r="H6" s="200"/>
      <c r="I6" s="200">
        <v>0</v>
      </c>
      <c r="J6" s="200">
        <v>0</v>
      </c>
      <c r="K6" s="200"/>
      <c r="L6" s="200">
        <v>1023.77</v>
      </c>
      <c r="M6" s="200" t="s">
        <v>406</v>
      </c>
      <c r="N6" s="200">
        <v>26.36</v>
      </c>
      <c r="O6" s="200">
        <v>1513335600</v>
      </c>
      <c r="P6" s="200">
        <v>0</v>
      </c>
      <c r="Q6" s="200">
        <v>3.2</v>
      </c>
      <c r="R6" s="200">
        <v>190</v>
      </c>
      <c r="S6" s="200">
        <v>6.17</v>
      </c>
      <c r="T6" s="200">
        <v>2.46</v>
      </c>
    </row>
    <row r="7" spans="1:20" x14ac:dyDescent="0.25">
      <c r="A7" s="200">
        <v>23.81</v>
      </c>
      <c r="B7" s="200">
        <v>0</v>
      </c>
      <c r="C7" s="200">
        <v>10.210000000000001</v>
      </c>
      <c r="D7" s="8">
        <v>43084.208333333336</v>
      </c>
      <c r="E7" s="200">
        <v>0.46</v>
      </c>
      <c r="F7" s="200" t="s">
        <v>407</v>
      </c>
      <c r="G7" s="200">
        <v>300.45999999999998</v>
      </c>
      <c r="H7" s="200">
        <v>0</v>
      </c>
      <c r="I7" s="200">
        <v>1E-4</v>
      </c>
      <c r="J7" s="200">
        <v>7.0000000000000007E-2</v>
      </c>
      <c r="K7" s="200" t="s">
        <v>523</v>
      </c>
      <c r="L7" s="200">
        <v>1022.43</v>
      </c>
      <c r="M7" s="200" t="s">
        <v>406</v>
      </c>
      <c r="N7" s="200">
        <v>28.09</v>
      </c>
      <c r="O7" s="200">
        <v>1513339200</v>
      </c>
      <c r="P7" s="200">
        <v>0</v>
      </c>
      <c r="Q7" s="200">
        <v>3.32</v>
      </c>
      <c r="R7" s="200">
        <v>192</v>
      </c>
      <c r="S7" s="200">
        <v>8.48</v>
      </c>
      <c r="T7" s="200">
        <v>3.79</v>
      </c>
    </row>
    <row r="8" spans="1:20" x14ac:dyDescent="0.25">
      <c r="A8" s="200">
        <v>24.7</v>
      </c>
      <c r="B8" s="200">
        <v>0.04</v>
      </c>
      <c r="C8" s="200">
        <v>9.68</v>
      </c>
      <c r="D8" s="8">
        <v>43084.25</v>
      </c>
      <c r="E8" s="200">
        <v>0.45</v>
      </c>
      <c r="F8" s="200" t="s">
        <v>407</v>
      </c>
      <c r="G8" s="200">
        <v>300.79000000000002</v>
      </c>
      <c r="H8" s="200">
        <v>6.0000000000000001E-3</v>
      </c>
      <c r="I8" s="200">
        <v>5.9999999999999995E-4</v>
      </c>
      <c r="J8" s="200">
        <v>7.0000000000000007E-2</v>
      </c>
      <c r="K8" s="200" t="s">
        <v>523</v>
      </c>
      <c r="L8" s="200">
        <v>1021.44</v>
      </c>
      <c r="M8" s="200" t="s">
        <v>406</v>
      </c>
      <c r="N8" s="200">
        <v>28.4</v>
      </c>
      <c r="O8" s="200">
        <v>1513342800</v>
      </c>
      <c r="P8" s="200">
        <v>0</v>
      </c>
      <c r="Q8" s="200">
        <v>4.25</v>
      </c>
      <c r="R8" s="200">
        <v>191</v>
      </c>
      <c r="S8" s="200">
        <v>7.82</v>
      </c>
      <c r="T8" s="200">
        <v>3.38</v>
      </c>
    </row>
    <row r="9" spans="1:20" x14ac:dyDescent="0.25">
      <c r="A9" s="200">
        <v>24.58</v>
      </c>
      <c r="B9" s="200">
        <v>0.08</v>
      </c>
      <c r="C9" s="200">
        <v>9.84</v>
      </c>
      <c r="D9" s="8">
        <v>43084.291666666664</v>
      </c>
      <c r="E9" s="200">
        <v>0.46</v>
      </c>
      <c r="F9" s="200" t="s">
        <v>407</v>
      </c>
      <c r="G9" s="200">
        <v>301.44</v>
      </c>
      <c r="H9" s="200"/>
      <c r="I9" s="200">
        <v>0</v>
      </c>
      <c r="J9" s="200">
        <v>0</v>
      </c>
      <c r="K9" s="200"/>
      <c r="L9" s="200">
        <v>1019.94</v>
      </c>
      <c r="M9" s="200" t="s">
        <v>406</v>
      </c>
      <c r="N9" s="200">
        <v>27.83</v>
      </c>
      <c r="O9" s="200">
        <v>1513346400</v>
      </c>
      <c r="P9" s="200">
        <v>0</v>
      </c>
      <c r="Q9" s="200">
        <v>4.82</v>
      </c>
      <c r="R9" s="200">
        <v>194</v>
      </c>
      <c r="S9" s="200">
        <v>6.26</v>
      </c>
      <c r="T9" s="200">
        <v>3.02</v>
      </c>
    </row>
    <row r="10" spans="1:20" x14ac:dyDescent="0.25">
      <c r="A10" s="200">
        <v>29.59</v>
      </c>
      <c r="B10" s="200">
        <v>0.08</v>
      </c>
      <c r="C10" s="200">
        <v>10.27</v>
      </c>
      <c r="D10" s="8">
        <v>43084.333333333336</v>
      </c>
      <c r="E10" s="200">
        <v>0.44</v>
      </c>
      <c r="F10" s="200" t="s">
        <v>414</v>
      </c>
      <c r="G10" s="200">
        <v>301.88</v>
      </c>
      <c r="H10" s="200"/>
      <c r="I10" s="200">
        <v>0</v>
      </c>
      <c r="J10" s="200">
        <v>0</v>
      </c>
      <c r="K10" s="200"/>
      <c r="L10" s="200">
        <v>1019.78</v>
      </c>
      <c r="M10" s="200" t="s">
        <v>406</v>
      </c>
      <c r="N10" s="200">
        <v>29.59</v>
      </c>
      <c r="O10" s="200">
        <v>1513350000</v>
      </c>
      <c r="P10" s="200">
        <v>0</v>
      </c>
      <c r="Q10" s="200">
        <v>4.04</v>
      </c>
      <c r="R10" s="200">
        <v>203</v>
      </c>
      <c r="S10" s="200">
        <v>6.21</v>
      </c>
      <c r="T10" s="200">
        <v>2.61</v>
      </c>
    </row>
    <row r="11" spans="1:20" x14ac:dyDescent="0.25">
      <c r="A11" s="200">
        <v>36.26</v>
      </c>
      <c r="B11" s="200">
        <v>7.0000000000000007E-2</v>
      </c>
      <c r="C11" s="200">
        <v>12.33</v>
      </c>
      <c r="D11" s="8">
        <v>43084.375</v>
      </c>
      <c r="E11" s="200">
        <v>0.37</v>
      </c>
      <c r="F11" s="200" t="s">
        <v>414</v>
      </c>
      <c r="G11" s="200">
        <v>302.43</v>
      </c>
      <c r="H11" s="200"/>
      <c r="I11" s="200">
        <v>0</v>
      </c>
      <c r="J11" s="200">
        <v>0</v>
      </c>
      <c r="K11" s="200"/>
      <c r="L11" s="200">
        <v>1018.65</v>
      </c>
      <c r="M11" s="200" t="s">
        <v>406</v>
      </c>
      <c r="N11" s="200">
        <v>36.26</v>
      </c>
      <c r="O11" s="200">
        <v>1513353600</v>
      </c>
      <c r="P11" s="200">
        <v>1</v>
      </c>
      <c r="Q11" s="200">
        <v>4.8499999999999996</v>
      </c>
      <c r="R11" s="200">
        <v>196</v>
      </c>
      <c r="S11" s="200">
        <v>6.97</v>
      </c>
      <c r="T11" s="200">
        <v>2.84</v>
      </c>
    </row>
    <row r="12" spans="1:20" x14ac:dyDescent="0.25">
      <c r="A12" s="200">
        <v>45.15</v>
      </c>
      <c r="B12" s="200">
        <v>0.06</v>
      </c>
      <c r="C12" s="200">
        <v>13.37</v>
      </c>
      <c r="D12" s="8">
        <v>43084.416666666664</v>
      </c>
      <c r="E12" s="200">
        <v>0.27</v>
      </c>
      <c r="F12" s="200" t="s">
        <v>414</v>
      </c>
      <c r="G12" s="200">
        <v>302.87</v>
      </c>
      <c r="H12" s="200"/>
      <c r="I12" s="200">
        <v>1E-4</v>
      </c>
      <c r="J12" s="200">
        <v>0.02</v>
      </c>
      <c r="K12" s="200" t="s">
        <v>585</v>
      </c>
      <c r="L12" s="200">
        <v>1017.5</v>
      </c>
      <c r="M12" s="200" t="s">
        <v>406</v>
      </c>
      <c r="N12" s="200">
        <v>45.15</v>
      </c>
      <c r="O12" s="200">
        <v>1513357200</v>
      </c>
      <c r="P12" s="200">
        <v>1</v>
      </c>
      <c r="Q12" s="200">
        <v>4.53</v>
      </c>
      <c r="R12" s="200">
        <v>199</v>
      </c>
      <c r="S12" s="200">
        <v>7.78</v>
      </c>
      <c r="T12" s="200">
        <v>2.5499999999999998</v>
      </c>
    </row>
    <row r="13" spans="1:20" x14ac:dyDescent="0.25">
      <c r="A13" s="200">
        <v>52.51</v>
      </c>
      <c r="B13" s="200">
        <v>0.06</v>
      </c>
      <c r="C13" s="200">
        <v>11.99</v>
      </c>
      <c r="D13" s="8">
        <v>43084.458333333336</v>
      </c>
      <c r="E13" s="200">
        <v>0.19</v>
      </c>
      <c r="F13" s="200" t="s">
        <v>414</v>
      </c>
      <c r="G13" s="200">
        <v>293.35000000000002</v>
      </c>
      <c r="H13" s="200"/>
      <c r="I13" s="200">
        <v>2.0000000000000001E-4</v>
      </c>
      <c r="J13" s="200">
        <v>0.03</v>
      </c>
      <c r="K13" s="200" t="s">
        <v>585</v>
      </c>
      <c r="L13" s="200">
        <v>1016.1</v>
      </c>
      <c r="M13" s="200" t="s">
        <v>406</v>
      </c>
      <c r="N13" s="200">
        <v>52.51</v>
      </c>
      <c r="O13" s="200">
        <v>1513360800</v>
      </c>
      <c r="P13" s="200">
        <v>2</v>
      </c>
      <c r="Q13" s="200">
        <v>5.63</v>
      </c>
      <c r="R13" s="200">
        <v>219</v>
      </c>
      <c r="S13" s="200">
        <v>8.5399999999999991</v>
      </c>
      <c r="T13" s="200">
        <v>1.73</v>
      </c>
    </row>
    <row r="14" spans="1:20" x14ac:dyDescent="0.25">
      <c r="A14" s="200">
        <v>58.02</v>
      </c>
      <c r="B14" s="200">
        <v>0.05</v>
      </c>
      <c r="C14" s="200">
        <v>9.93</v>
      </c>
      <c r="D14" s="8">
        <v>43084.5</v>
      </c>
      <c r="E14" s="200">
        <v>0.15</v>
      </c>
      <c r="F14" s="200" t="s">
        <v>414</v>
      </c>
      <c r="G14" s="200">
        <v>292.57</v>
      </c>
      <c r="H14" s="200"/>
      <c r="I14" s="200">
        <v>5.0000000000000001E-4</v>
      </c>
      <c r="J14" s="200">
        <v>0.04</v>
      </c>
      <c r="K14" s="200" t="s">
        <v>585</v>
      </c>
      <c r="L14" s="200">
        <v>1013.73</v>
      </c>
      <c r="M14" s="200" t="s">
        <v>406</v>
      </c>
      <c r="N14" s="200">
        <v>58.02</v>
      </c>
      <c r="O14" s="200">
        <v>1513364400</v>
      </c>
      <c r="P14" s="200">
        <v>2</v>
      </c>
      <c r="Q14" s="200">
        <v>5.63</v>
      </c>
      <c r="R14" s="200">
        <v>269</v>
      </c>
      <c r="S14" s="200">
        <v>8.98</v>
      </c>
      <c r="T14" s="200">
        <v>2.89</v>
      </c>
    </row>
    <row r="15" spans="1:20" x14ac:dyDescent="0.25">
      <c r="A15" s="200">
        <v>60.61</v>
      </c>
      <c r="B15" s="200">
        <v>7.0000000000000007E-2</v>
      </c>
      <c r="C15" s="200">
        <v>8.77</v>
      </c>
      <c r="D15" s="8">
        <v>43084.541666666664</v>
      </c>
      <c r="E15" s="200">
        <v>0.13</v>
      </c>
      <c r="F15" s="200" t="s">
        <v>414</v>
      </c>
      <c r="G15" s="200">
        <v>292.68</v>
      </c>
      <c r="H15" s="200"/>
      <c r="I15" s="200">
        <v>5.0000000000000001E-4</v>
      </c>
      <c r="J15" s="200">
        <v>0.05</v>
      </c>
      <c r="K15" s="200" t="s">
        <v>585</v>
      </c>
      <c r="L15" s="200">
        <v>1012.78</v>
      </c>
      <c r="M15" s="200" t="s">
        <v>406</v>
      </c>
      <c r="N15" s="200">
        <v>60.61</v>
      </c>
      <c r="O15" s="200">
        <v>1513368000</v>
      </c>
      <c r="P15" s="200">
        <v>2</v>
      </c>
      <c r="Q15" s="200">
        <v>5.63</v>
      </c>
      <c r="R15" s="200">
        <v>259</v>
      </c>
      <c r="S15" s="200">
        <v>11.38</v>
      </c>
      <c r="T15" s="200">
        <v>4.2300000000000004</v>
      </c>
    </row>
    <row r="16" spans="1:20" x14ac:dyDescent="0.25">
      <c r="A16" s="200">
        <v>62.29</v>
      </c>
      <c r="B16" s="200">
        <v>0.06</v>
      </c>
      <c r="C16" s="200">
        <v>8.42</v>
      </c>
      <c r="D16" s="8">
        <v>43084.583333333336</v>
      </c>
      <c r="E16" s="200">
        <v>0.12</v>
      </c>
      <c r="F16" s="200" t="s">
        <v>414</v>
      </c>
      <c r="G16" s="200">
        <v>293.02</v>
      </c>
      <c r="H16" s="200"/>
      <c r="I16" s="200">
        <v>2.9999999999999997E-4</v>
      </c>
      <c r="J16" s="200">
        <v>0.02</v>
      </c>
      <c r="K16" s="200" t="s">
        <v>585</v>
      </c>
      <c r="L16" s="200">
        <v>1011.61</v>
      </c>
      <c r="M16" s="200" t="s">
        <v>406</v>
      </c>
      <c r="N16" s="200">
        <v>62.29</v>
      </c>
      <c r="O16" s="200">
        <v>1513371600</v>
      </c>
      <c r="P16" s="200">
        <v>1</v>
      </c>
      <c r="Q16" s="200">
        <v>5.75</v>
      </c>
      <c r="R16" s="200">
        <v>256</v>
      </c>
      <c r="S16" s="200">
        <v>11.49</v>
      </c>
      <c r="T16" s="200">
        <v>4.3099999999999996</v>
      </c>
    </row>
    <row r="17" spans="1:20" x14ac:dyDescent="0.25">
      <c r="A17" s="200">
        <v>62.24</v>
      </c>
      <c r="B17" s="200">
        <v>0.08</v>
      </c>
      <c r="C17" s="200">
        <v>8.8699999999999992</v>
      </c>
      <c r="D17" s="8">
        <v>43084.625</v>
      </c>
      <c r="E17" s="200">
        <v>0.12</v>
      </c>
      <c r="F17" s="200" t="s">
        <v>414</v>
      </c>
      <c r="G17" s="200">
        <v>293.58</v>
      </c>
      <c r="H17" s="200"/>
      <c r="I17" s="200">
        <v>2.0000000000000001E-4</v>
      </c>
      <c r="J17" s="200">
        <v>0.02</v>
      </c>
      <c r="K17" s="200" t="s">
        <v>585</v>
      </c>
      <c r="L17" s="200">
        <v>1011.07</v>
      </c>
      <c r="M17" s="200" t="s">
        <v>406</v>
      </c>
      <c r="N17" s="200">
        <v>62.24</v>
      </c>
      <c r="O17" s="200">
        <v>1513375200</v>
      </c>
      <c r="P17" s="200">
        <v>1</v>
      </c>
      <c r="Q17" s="200">
        <v>5.63</v>
      </c>
      <c r="R17" s="200">
        <v>258</v>
      </c>
      <c r="S17" s="200">
        <v>9.25</v>
      </c>
      <c r="T17" s="200">
        <v>3.32</v>
      </c>
    </row>
    <row r="18" spans="1:20" x14ac:dyDescent="0.25">
      <c r="A18" s="200">
        <v>60.58</v>
      </c>
      <c r="B18" s="200">
        <v>0.06</v>
      </c>
      <c r="C18" s="200">
        <v>9.69</v>
      </c>
      <c r="D18" s="8">
        <v>43084.666666666664</v>
      </c>
      <c r="E18" s="200">
        <v>0.13</v>
      </c>
      <c r="F18" s="200" t="s">
        <v>414</v>
      </c>
      <c r="G18" s="200">
        <v>294.58999999999997</v>
      </c>
      <c r="H18" s="200"/>
      <c r="I18" s="200">
        <v>2.0000000000000001E-4</v>
      </c>
      <c r="J18" s="200">
        <v>0.01</v>
      </c>
      <c r="K18" s="200" t="s">
        <v>585</v>
      </c>
      <c r="L18" s="200">
        <v>1011.3</v>
      </c>
      <c r="M18" s="200" t="s">
        <v>406</v>
      </c>
      <c r="N18" s="200">
        <v>60.58</v>
      </c>
      <c r="O18" s="200">
        <v>1513378800</v>
      </c>
      <c r="P18" s="200">
        <v>0</v>
      </c>
      <c r="Q18" s="200">
        <v>5.52</v>
      </c>
      <c r="R18" s="200">
        <v>240</v>
      </c>
      <c r="S18" s="200">
        <v>5.2</v>
      </c>
      <c r="T18" s="200">
        <v>1.53</v>
      </c>
    </row>
    <row r="19" spans="1:20" x14ac:dyDescent="0.25">
      <c r="A19" s="200">
        <v>54.28</v>
      </c>
      <c r="B19" s="200">
        <v>0.05</v>
      </c>
      <c r="C19" s="200">
        <v>11.39</v>
      </c>
      <c r="D19" s="8">
        <v>43084.708333333336</v>
      </c>
      <c r="E19" s="200">
        <v>0.18</v>
      </c>
      <c r="F19" s="200" t="s">
        <v>407</v>
      </c>
      <c r="G19" s="200">
        <v>297.7</v>
      </c>
      <c r="H19" s="200"/>
      <c r="I19" s="200">
        <v>0</v>
      </c>
      <c r="J19" s="200">
        <v>0</v>
      </c>
      <c r="K19" s="200"/>
      <c r="L19" s="200">
        <v>1011.22</v>
      </c>
      <c r="M19" s="200" t="s">
        <v>406</v>
      </c>
      <c r="N19" s="200">
        <v>54.28</v>
      </c>
      <c r="O19" s="200">
        <v>1513382400</v>
      </c>
      <c r="P19" s="200">
        <v>0</v>
      </c>
      <c r="Q19" s="200">
        <v>5.49</v>
      </c>
      <c r="R19" s="200">
        <v>237</v>
      </c>
      <c r="S19" s="200">
        <v>3.99</v>
      </c>
      <c r="T19" s="200">
        <v>1.26</v>
      </c>
    </row>
    <row r="20" spans="1:20" x14ac:dyDescent="0.25">
      <c r="A20" s="200">
        <v>50.21</v>
      </c>
      <c r="B20" s="200">
        <v>7.0000000000000007E-2</v>
      </c>
      <c r="C20" s="200">
        <v>11.7</v>
      </c>
      <c r="D20" s="8">
        <v>43084.75</v>
      </c>
      <c r="E20" s="200">
        <v>0.21</v>
      </c>
      <c r="F20" s="200" t="s">
        <v>407</v>
      </c>
      <c r="G20" s="200">
        <v>299.36</v>
      </c>
      <c r="H20" s="200"/>
      <c r="I20" s="200">
        <v>0</v>
      </c>
      <c r="J20" s="200">
        <v>0</v>
      </c>
      <c r="K20" s="200"/>
      <c r="L20" s="200">
        <v>1011.58</v>
      </c>
      <c r="M20" s="200" t="s">
        <v>406</v>
      </c>
      <c r="N20" s="200">
        <v>50.21</v>
      </c>
      <c r="O20" s="200">
        <v>1513386000</v>
      </c>
      <c r="P20" s="200">
        <v>0</v>
      </c>
      <c r="Q20" s="200">
        <v>5.48</v>
      </c>
      <c r="R20" s="200">
        <v>241</v>
      </c>
      <c r="S20" s="200">
        <v>6.12</v>
      </c>
      <c r="T20" s="200">
        <v>2.08</v>
      </c>
    </row>
    <row r="21" spans="1:20" x14ac:dyDescent="0.25">
      <c r="A21" s="200">
        <v>47.12</v>
      </c>
      <c r="B21" s="200">
        <v>0.04</v>
      </c>
      <c r="C21" s="200">
        <v>12.47</v>
      </c>
      <c r="D21" s="8">
        <v>43084.791666666664</v>
      </c>
      <c r="E21" s="200">
        <v>0.24</v>
      </c>
      <c r="F21" s="200" t="s">
        <v>407</v>
      </c>
      <c r="G21" s="200">
        <v>300.89999999999998</v>
      </c>
      <c r="H21" s="200"/>
      <c r="I21" s="200">
        <v>0</v>
      </c>
      <c r="J21" s="200">
        <v>0</v>
      </c>
      <c r="K21" s="200"/>
      <c r="L21" s="200">
        <v>1011.45</v>
      </c>
      <c r="M21" s="200" t="s">
        <v>406</v>
      </c>
      <c r="N21" s="200">
        <v>47.12</v>
      </c>
      <c r="O21" s="200">
        <v>1513389600</v>
      </c>
      <c r="P21" s="200">
        <v>0</v>
      </c>
      <c r="Q21" s="200">
        <v>4.87</v>
      </c>
      <c r="R21" s="200">
        <v>232</v>
      </c>
      <c r="S21" s="200">
        <v>5.08</v>
      </c>
      <c r="T21" s="200">
        <v>0.9</v>
      </c>
    </row>
    <row r="22" spans="1:20" x14ac:dyDescent="0.25">
      <c r="A22" s="200">
        <v>44.36</v>
      </c>
      <c r="B22" s="200">
        <v>0.23</v>
      </c>
      <c r="C22" s="200">
        <v>13.65</v>
      </c>
      <c r="D22" s="8">
        <v>43084.833333333336</v>
      </c>
      <c r="E22" s="200">
        <v>0.28000000000000003</v>
      </c>
      <c r="F22" s="200" t="s">
        <v>407</v>
      </c>
      <c r="G22" s="200">
        <v>302.64</v>
      </c>
      <c r="H22" s="200"/>
      <c r="I22" s="200">
        <v>0</v>
      </c>
      <c r="J22" s="200">
        <v>0</v>
      </c>
      <c r="K22" s="200"/>
      <c r="L22" s="200">
        <v>1011.07</v>
      </c>
      <c r="M22" s="200" t="s">
        <v>406</v>
      </c>
      <c r="N22" s="200">
        <v>44.36</v>
      </c>
      <c r="O22" s="200">
        <v>1513393200</v>
      </c>
      <c r="P22" s="200">
        <v>0</v>
      </c>
      <c r="Q22" s="200">
        <v>4.96</v>
      </c>
      <c r="R22" s="200">
        <v>190</v>
      </c>
      <c r="S22" s="200">
        <v>4.0599999999999996</v>
      </c>
      <c r="T22" s="200">
        <v>1.06</v>
      </c>
    </row>
    <row r="23" spans="1:20" x14ac:dyDescent="0.25">
      <c r="A23" s="200">
        <v>42.03</v>
      </c>
      <c r="B23" s="200">
        <v>0.16</v>
      </c>
      <c r="C23" s="200">
        <v>14.64</v>
      </c>
      <c r="D23" s="8">
        <v>43084.875</v>
      </c>
      <c r="E23" s="200">
        <v>0.32</v>
      </c>
      <c r="F23" s="200" t="s">
        <v>407</v>
      </c>
      <c r="G23" s="200">
        <v>304.60000000000002</v>
      </c>
      <c r="H23" s="200"/>
      <c r="I23" s="200">
        <v>0</v>
      </c>
      <c r="J23" s="200">
        <v>0</v>
      </c>
      <c r="K23" s="200"/>
      <c r="L23" s="200">
        <v>1010.17</v>
      </c>
      <c r="M23" s="200" t="s">
        <v>406</v>
      </c>
      <c r="N23" s="200">
        <v>42.03</v>
      </c>
      <c r="O23" s="200">
        <v>1513396800</v>
      </c>
      <c r="P23" s="200">
        <v>0</v>
      </c>
      <c r="Q23" s="200">
        <v>3.44</v>
      </c>
      <c r="R23" s="200">
        <v>189</v>
      </c>
      <c r="S23" s="200">
        <v>3.84</v>
      </c>
      <c r="T23" s="200">
        <v>1.44</v>
      </c>
    </row>
    <row r="24" spans="1:20" x14ac:dyDescent="0.25">
      <c r="A24" s="200">
        <v>42.15</v>
      </c>
      <c r="B24" s="200">
        <v>0.03</v>
      </c>
      <c r="C24" s="200">
        <v>14.5</v>
      </c>
      <c r="D24" s="8">
        <v>43084.916666666664</v>
      </c>
      <c r="E24" s="200">
        <v>0.32</v>
      </c>
      <c r="F24" s="200" t="s">
        <v>407</v>
      </c>
      <c r="G24" s="200">
        <v>306.64999999999998</v>
      </c>
      <c r="H24" s="200"/>
      <c r="I24" s="200">
        <v>0</v>
      </c>
      <c r="J24" s="200">
        <v>0</v>
      </c>
      <c r="K24" s="200"/>
      <c r="L24" s="200">
        <v>1010.98</v>
      </c>
      <c r="M24" s="200" t="s">
        <v>406</v>
      </c>
      <c r="N24" s="200">
        <v>42.15</v>
      </c>
      <c r="O24" s="200">
        <v>1513400400</v>
      </c>
      <c r="P24" s="200">
        <v>0</v>
      </c>
      <c r="Q24" s="200">
        <v>3.97</v>
      </c>
      <c r="R24" s="200">
        <v>194</v>
      </c>
      <c r="S24" s="200">
        <v>4.7</v>
      </c>
      <c r="T24" s="200">
        <v>1.1599999999999999</v>
      </c>
    </row>
    <row r="25" spans="1:20" x14ac:dyDescent="0.25">
      <c r="A25" s="200">
        <v>42.28</v>
      </c>
      <c r="B25" s="200">
        <v>0.04</v>
      </c>
      <c r="C25" s="200">
        <v>14.98</v>
      </c>
      <c r="D25" s="8">
        <v>43084.958333333336</v>
      </c>
      <c r="E25" s="200">
        <v>0.33</v>
      </c>
      <c r="F25" s="200" t="s">
        <v>407</v>
      </c>
      <c r="G25" s="200">
        <v>308.47000000000003</v>
      </c>
      <c r="H25" s="200"/>
      <c r="I25" s="200">
        <v>0</v>
      </c>
      <c r="J25" s="200">
        <v>0</v>
      </c>
      <c r="K25" s="200"/>
      <c r="L25" s="200">
        <v>1007.59</v>
      </c>
      <c r="M25" s="200" t="s">
        <v>406</v>
      </c>
      <c r="N25" s="200">
        <v>42.28</v>
      </c>
      <c r="O25" s="200">
        <v>1513404000</v>
      </c>
      <c r="P25" s="200">
        <v>0</v>
      </c>
      <c r="Q25" s="200">
        <v>3.83</v>
      </c>
      <c r="R25" s="200">
        <v>186</v>
      </c>
      <c r="S25" s="200">
        <v>4.67</v>
      </c>
      <c r="T25" s="200">
        <v>1.04</v>
      </c>
    </row>
    <row r="26" spans="1:20" x14ac:dyDescent="0.25">
      <c r="A26" s="200">
        <v>42.57</v>
      </c>
      <c r="B26" s="200">
        <v>0.08</v>
      </c>
      <c r="C26" s="200">
        <v>14.6</v>
      </c>
      <c r="D26" s="8">
        <v>43085</v>
      </c>
      <c r="E26" s="200">
        <v>0.32</v>
      </c>
      <c r="F26" s="200" t="s">
        <v>407</v>
      </c>
      <c r="G26" s="200">
        <v>309.74</v>
      </c>
      <c r="H26" s="200"/>
      <c r="I26" s="200">
        <v>0</v>
      </c>
      <c r="J26" s="200">
        <v>0</v>
      </c>
      <c r="K26" s="200"/>
      <c r="L26" s="200">
        <v>1007.8</v>
      </c>
      <c r="M26" s="200" t="s">
        <v>406</v>
      </c>
      <c r="N26" s="200">
        <v>42.57</v>
      </c>
      <c r="O26" s="200">
        <v>1513407600</v>
      </c>
      <c r="P26" s="200">
        <v>0</v>
      </c>
      <c r="Q26" s="200">
        <v>3.34</v>
      </c>
      <c r="R26" s="200">
        <v>187</v>
      </c>
      <c r="S26" s="200">
        <v>4.45</v>
      </c>
      <c r="T26" s="200">
        <v>1.55</v>
      </c>
    </row>
    <row r="27" spans="1:20" x14ac:dyDescent="0.25">
      <c r="A27" s="200">
        <v>42.29</v>
      </c>
      <c r="B27" s="200">
        <v>0.06</v>
      </c>
      <c r="C27" s="200">
        <v>15.11</v>
      </c>
      <c r="D27" s="8">
        <v>43085.041666666664</v>
      </c>
      <c r="E27" s="200">
        <v>0.33</v>
      </c>
      <c r="F27" s="200" t="s">
        <v>407</v>
      </c>
      <c r="G27" s="200">
        <v>310.60000000000002</v>
      </c>
      <c r="H27" s="200"/>
      <c r="I27" s="200">
        <v>0</v>
      </c>
      <c r="J27" s="200">
        <v>0</v>
      </c>
      <c r="K27" s="200"/>
      <c r="L27" s="200">
        <v>1006.07</v>
      </c>
      <c r="M27" s="200" t="s">
        <v>406</v>
      </c>
      <c r="N27" s="200">
        <v>42.29</v>
      </c>
      <c r="O27" s="200">
        <v>1513411200</v>
      </c>
      <c r="P27" s="200">
        <v>0</v>
      </c>
      <c r="Q27" s="200">
        <v>3.57</v>
      </c>
      <c r="R27" s="200">
        <v>198</v>
      </c>
      <c r="S27" s="200">
        <v>3.32</v>
      </c>
      <c r="T27" s="200">
        <v>1</v>
      </c>
    </row>
    <row r="28" spans="1:20" x14ac:dyDescent="0.25">
      <c r="A28" s="200">
        <v>41.7</v>
      </c>
      <c r="B28" s="200">
        <v>0.14000000000000001</v>
      </c>
      <c r="C28" s="200">
        <v>15.53</v>
      </c>
      <c r="D28" s="8">
        <v>43085.083333333336</v>
      </c>
      <c r="E28" s="200">
        <v>0.34</v>
      </c>
      <c r="F28" s="200" t="s">
        <v>407</v>
      </c>
      <c r="G28" s="200">
        <v>311.33999999999997</v>
      </c>
      <c r="H28" s="200"/>
      <c r="I28" s="200">
        <v>0</v>
      </c>
      <c r="J28" s="200">
        <v>0</v>
      </c>
      <c r="K28" s="200"/>
      <c r="L28" s="200">
        <v>1005.75</v>
      </c>
      <c r="M28" s="200" t="s">
        <v>406</v>
      </c>
      <c r="N28" s="200">
        <v>41.7</v>
      </c>
      <c r="O28" s="200">
        <v>1513414800</v>
      </c>
      <c r="P28" s="200">
        <v>0</v>
      </c>
      <c r="Q28" s="200">
        <v>2.86</v>
      </c>
      <c r="R28" s="200">
        <v>179</v>
      </c>
      <c r="S28" s="200">
        <v>3.07</v>
      </c>
      <c r="T28" s="200">
        <v>0.7</v>
      </c>
    </row>
    <row r="29" spans="1:20" x14ac:dyDescent="0.25">
      <c r="A29" s="200">
        <v>40.14</v>
      </c>
      <c r="B29" s="200">
        <v>0.28999999999999998</v>
      </c>
      <c r="C29" s="200">
        <v>15</v>
      </c>
      <c r="D29" s="8">
        <v>43085.125</v>
      </c>
      <c r="E29" s="200">
        <v>0.35</v>
      </c>
      <c r="F29" s="200" t="s">
        <v>553</v>
      </c>
      <c r="G29" s="200">
        <v>311.64999999999998</v>
      </c>
      <c r="H29" s="200"/>
      <c r="I29" s="200">
        <v>0</v>
      </c>
      <c r="J29" s="200">
        <v>0</v>
      </c>
      <c r="K29" s="200"/>
      <c r="L29" s="200">
        <v>1006.5</v>
      </c>
      <c r="M29" s="200" t="s">
        <v>554</v>
      </c>
      <c r="N29" s="200">
        <v>40.14</v>
      </c>
      <c r="O29" s="200">
        <v>1513418400</v>
      </c>
      <c r="P29" s="200">
        <v>0</v>
      </c>
      <c r="Q29" s="200">
        <v>4.7699999999999996</v>
      </c>
      <c r="R29" s="200">
        <v>123</v>
      </c>
      <c r="S29" s="200">
        <v>3.01</v>
      </c>
      <c r="T29" s="200">
        <v>2.56</v>
      </c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30" t="s">
        <v>179</v>
      </c>
    </row>
    <row r="33" spans="1:1" x14ac:dyDescent="0.25">
      <c r="A33" s="13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0" customWidth="1"/>
    <col min="10" max="10" width="24.28515625" style="129" bestFit="1" customWidth="1"/>
    <col min="11" max="11" width="15.28515625" style="129" hidden="1" customWidth="1"/>
    <col min="12" max="12" width="13.5703125" style="129" hidden="1" customWidth="1"/>
    <col min="13" max="13" width="9" style="143" bestFit="1" customWidth="1"/>
    <col min="14" max="17" width="9.140625" style="129"/>
    <col min="20" max="24" width="9.140625" style="143"/>
    <col min="29" max="29" width="12.42578125" customWidth="1"/>
    <col min="30" max="30" width="9.140625" style="156"/>
    <col min="31" max="32" width="9.140625" style="50"/>
  </cols>
  <sheetData>
    <row r="1" spans="1:32" ht="45.75" x14ac:dyDescent="0.3">
      <c r="A1" s="11" t="s">
        <v>25</v>
      </c>
      <c r="C1" s="109" t="s">
        <v>96</v>
      </c>
      <c r="D1" s="110" t="s">
        <v>97</v>
      </c>
      <c r="J1" s="135" t="s">
        <v>98</v>
      </c>
      <c r="K1" s="135" t="s">
        <v>66</v>
      </c>
      <c r="L1" s="135" t="s">
        <v>67</v>
      </c>
      <c r="O1" s="136" t="s">
        <v>99</v>
      </c>
      <c r="T1" s="145" t="s">
        <v>324</v>
      </c>
      <c r="U1" s="145"/>
      <c r="V1" s="145"/>
      <c r="W1" s="145"/>
      <c r="X1" s="145"/>
    </row>
    <row r="2" spans="1:32" ht="15.75" thickBot="1" x14ac:dyDescent="0.3">
      <c r="A2" s="12">
        <v>43084</v>
      </c>
      <c r="B2" s="4"/>
      <c r="C2" s="111">
        <v>50</v>
      </c>
      <c r="D2" s="112">
        <v>25</v>
      </c>
      <c r="F2" t="s">
        <v>110</v>
      </c>
      <c r="J2" s="135"/>
      <c r="K2" s="135" t="s">
        <v>66</v>
      </c>
      <c r="L2" s="135" t="s">
        <v>67</v>
      </c>
      <c r="T2" s="144" t="s">
        <v>325</v>
      </c>
      <c r="U2" s="144">
        <v>167</v>
      </c>
      <c r="V2" s="144">
        <v>168</v>
      </c>
      <c r="W2" s="144">
        <v>199</v>
      </c>
      <c r="X2" s="144">
        <v>200</v>
      </c>
      <c r="AD2" t="s">
        <v>337</v>
      </c>
      <c r="AE2" s="50" t="s">
        <v>340</v>
      </c>
      <c r="AF2" s="50" t="s">
        <v>341</v>
      </c>
    </row>
    <row r="3" spans="1:32" x14ac:dyDescent="0.25">
      <c r="C3" s="50"/>
      <c r="F3" t="s">
        <v>52</v>
      </c>
      <c r="J3" s="137" t="s">
        <v>68</v>
      </c>
      <c r="K3" s="138">
        <v>2.7052</v>
      </c>
      <c r="L3" s="138">
        <v>2.7349999999999999</v>
      </c>
      <c r="M3" s="143">
        <f t="shared" ref="M3:M14" si="0">AVERAGE(K3:L3)</f>
        <v>2.7201</v>
      </c>
      <c r="O3" s="129" t="s">
        <v>100</v>
      </c>
      <c r="P3" s="129">
        <f>AVERAGE(1.0714,1.1016)</f>
        <v>1.0865</v>
      </c>
      <c r="T3" s="144" t="s">
        <v>326</v>
      </c>
      <c r="U3" s="144">
        <v>174</v>
      </c>
      <c r="V3" s="144">
        <v>176</v>
      </c>
      <c r="W3" s="144">
        <v>207</v>
      </c>
      <c r="X3" s="144">
        <v>210</v>
      </c>
      <c r="AC3" s="30" t="s">
        <v>102</v>
      </c>
      <c r="AD3" s="121">
        <v>23</v>
      </c>
      <c r="AE3" s="42">
        <v>100</v>
      </c>
      <c r="AF3" s="42">
        <v>299</v>
      </c>
    </row>
    <row r="4" spans="1:32" ht="45" x14ac:dyDescent="0.25">
      <c r="C4" s="109" t="s">
        <v>96</v>
      </c>
      <c r="D4" s="110" t="s">
        <v>97</v>
      </c>
      <c r="F4" t="s">
        <v>53</v>
      </c>
      <c r="J4" s="137" t="s">
        <v>69</v>
      </c>
      <c r="K4" s="138">
        <v>3.0830000000000002</v>
      </c>
      <c r="L4" s="138">
        <v>3.097</v>
      </c>
      <c r="M4" s="143">
        <f t="shared" si="0"/>
        <v>3.09</v>
      </c>
      <c r="T4" s="144" t="s">
        <v>327</v>
      </c>
      <c r="U4" s="144">
        <v>173</v>
      </c>
      <c r="V4" s="144">
        <v>175</v>
      </c>
      <c r="W4" s="144">
        <v>208</v>
      </c>
      <c r="X4" s="144">
        <v>209</v>
      </c>
      <c r="AC4" s="30" t="s">
        <v>103</v>
      </c>
      <c r="AD4" s="121">
        <v>5.65</v>
      </c>
      <c r="AE4" s="42">
        <v>800</v>
      </c>
      <c r="AF4" s="42">
        <v>899</v>
      </c>
    </row>
    <row r="5" spans="1:32" x14ac:dyDescent="0.25">
      <c r="C5" s="50">
        <v>30</v>
      </c>
      <c r="D5" s="50">
        <v>9</v>
      </c>
      <c r="J5" s="137" t="s">
        <v>70</v>
      </c>
      <c r="K5" s="138">
        <v>3.3136000000000001</v>
      </c>
      <c r="L5" s="138">
        <v>3.3256999999999999</v>
      </c>
      <c r="M5" s="143">
        <f t="shared" si="0"/>
        <v>3.3196500000000002</v>
      </c>
      <c r="T5" s="144" t="s">
        <v>328</v>
      </c>
      <c r="U5" s="144">
        <v>187</v>
      </c>
      <c r="V5" s="144">
        <v>188</v>
      </c>
      <c r="W5" s="144">
        <v>223</v>
      </c>
      <c r="X5" s="144">
        <v>224</v>
      </c>
      <c r="AC5" s="30" t="s">
        <v>338</v>
      </c>
      <c r="AD5" s="121">
        <v>11.15</v>
      </c>
      <c r="AE5" s="42">
        <v>400</v>
      </c>
      <c r="AF5" s="42">
        <v>600</v>
      </c>
    </row>
    <row r="6" spans="1:32" x14ac:dyDescent="0.25">
      <c r="C6" s="50"/>
      <c r="F6" t="s">
        <v>111</v>
      </c>
      <c r="J6" s="137" t="s">
        <v>71</v>
      </c>
      <c r="K6" s="138">
        <v>4.2778999999999998</v>
      </c>
      <c r="L6" s="138">
        <v>4.2961</v>
      </c>
      <c r="M6" s="143">
        <f t="shared" si="0"/>
        <v>4.2869999999999999</v>
      </c>
      <c r="T6" s="144"/>
      <c r="U6" s="144"/>
      <c r="V6" s="144"/>
      <c r="W6" s="144"/>
      <c r="X6" s="144"/>
      <c r="AC6" s="45" t="s">
        <v>103</v>
      </c>
      <c r="AD6" s="167">
        <v>5.65</v>
      </c>
      <c r="AE6" s="42">
        <v>1800</v>
      </c>
      <c r="AF6" s="42">
        <v>1899</v>
      </c>
    </row>
    <row r="7" spans="1:32" x14ac:dyDescent="0.25">
      <c r="C7" s="50"/>
      <c r="F7" t="s">
        <v>333</v>
      </c>
      <c r="J7" s="137" t="s">
        <v>72</v>
      </c>
      <c r="K7" s="138">
        <v>4.7865000000000002</v>
      </c>
      <c r="L7" s="138">
        <v>4.8048000000000002</v>
      </c>
      <c r="M7" s="143">
        <f t="shared" si="0"/>
        <v>4.7956500000000002</v>
      </c>
      <c r="T7" s="144"/>
      <c r="U7" s="144"/>
      <c r="V7" s="144"/>
      <c r="W7" s="144"/>
      <c r="X7" s="144"/>
      <c r="AC7" s="30" t="s">
        <v>339</v>
      </c>
      <c r="AD7" s="121">
        <v>99</v>
      </c>
      <c r="AE7" s="42">
        <v>0</v>
      </c>
      <c r="AF7" s="42">
        <v>99</v>
      </c>
    </row>
    <row r="8" spans="1:32" x14ac:dyDescent="0.25">
      <c r="C8" s="50"/>
      <c r="F8" t="s">
        <v>349</v>
      </c>
      <c r="J8" s="137" t="s">
        <v>73</v>
      </c>
      <c r="K8" s="138">
        <v>5.3155000000000001</v>
      </c>
      <c r="L8" s="138">
        <v>5.3277000000000001</v>
      </c>
      <c r="M8" s="143">
        <f t="shared" si="0"/>
        <v>5.3216000000000001</v>
      </c>
      <c r="T8" s="144"/>
      <c r="U8" s="144"/>
      <c r="V8" s="144"/>
      <c r="W8" s="144"/>
      <c r="X8" s="144"/>
      <c r="AC8" s="45" t="s">
        <v>342</v>
      </c>
      <c r="AD8" s="161">
        <v>9999</v>
      </c>
      <c r="AE8" s="121">
        <v>9999</v>
      </c>
      <c r="AF8" s="121">
        <v>9999</v>
      </c>
    </row>
    <row r="9" spans="1:32" x14ac:dyDescent="0.25">
      <c r="C9" s="50"/>
      <c r="J9" s="137" t="s">
        <v>74</v>
      </c>
      <c r="K9" s="138">
        <v>5.8117000000000001</v>
      </c>
      <c r="L9" s="138">
        <v>5.8300999999999998</v>
      </c>
      <c r="M9" s="143">
        <f t="shared" si="0"/>
        <v>5.8209</v>
      </c>
      <c r="T9" s="144"/>
      <c r="U9" s="144"/>
      <c r="V9" s="144"/>
      <c r="W9" s="144"/>
      <c r="X9" s="144"/>
    </row>
    <row r="10" spans="1:32" x14ac:dyDescent="0.25">
      <c r="C10" s="50"/>
      <c r="J10" s="137" t="s">
        <v>75</v>
      </c>
      <c r="K10" s="138">
        <v>5.8783000000000003</v>
      </c>
      <c r="L10" s="138">
        <v>5.8903999999999996</v>
      </c>
      <c r="M10" s="143">
        <f t="shared" si="0"/>
        <v>5.8843499999999995</v>
      </c>
      <c r="T10" s="144"/>
      <c r="U10" s="144"/>
      <c r="V10" s="144"/>
      <c r="W10" s="144"/>
      <c r="X10" s="144"/>
    </row>
    <row r="11" spans="1:32" x14ac:dyDescent="0.25">
      <c r="C11" s="50"/>
      <c r="J11" s="137" t="s">
        <v>76</v>
      </c>
      <c r="K11" s="138">
        <v>6.3068</v>
      </c>
      <c r="L11" s="138">
        <v>6.3308999999999997</v>
      </c>
      <c r="M11" s="143">
        <f t="shared" si="0"/>
        <v>6.3188499999999994</v>
      </c>
      <c r="T11" s="144"/>
      <c r="U11" s="144"/>
      <c r="V11" s="144"/>
      <c r="W11" s="144"/>
      <c r="X11" s="144"/>
    </row>
    <row r="12" spans="1:32" x14ac:dyDescent="0.25">
      <c r="C12" s="50"/>
      <c r="J12" s="137" t="s">
        <v>77</v>
      </c>
      <c r="K12" s="138">
        <v>7.8349000000000002</v>
      </c>
      <c r="L12" s="138">
        <v>7.8468999999999998</v>
      </c>
      <c r="M12" s="143">
        <f t="shared" si="0"/>
        <v>7.8408999999999995</v>
      </c>
      <c r="T12" s="144"/>
      <c r="U12" s="144"/>
      <c r="V12" s="144"/>
      <c r="W12" s="144"/>
      <c r="X12" s="144"/>
    </row>
    <row r="13" spans="1:32" x14ac:dyDescent="0.25">
      <c r="C13" s="50"/>
      <c r="J13" s="137" t="s">
        <v>78</v>
      </c>
      <c r="K13" s="138">
        <v>10.373799999999999</v>
      </c>
      <c r="L13" s="138">
        <v>10.38</v>
      </c>
      <c r="M13" s="143">
        <f t="shared" si="0"/>
        <v>10.376899999999999</v>
      </c>
      <c r="T13" s="144"/>
      <c r="U13" s="144"/>
      <c r="V13" s="144"/>
      <c r="W13" s="144"/>
      <c r="X13" s="144"/>
    </row>
    <row r="14" spans="1:32" x14ac:dyDescent="0.25">
      <c r="C14" s="50"/>
      <c r="J14" s="137" t="s">
        <v>79</v>
      </c>
      <c r="K14" s="138">
        <v>10.8954</v>
      </c>
      <c r="L14" s="138">
        <v>10.913500000000001</v>
      </c>
      <c r="M14" s="143">
        <f t="shared" si="0"/>
        <v>10.904450000000001</v>
      </c>
      <c r="T14" s="144"/>
      <c r="U14" s="144"/>
      <c r="V14" s="144"/>
      <c r="W14" s="144"/>
      <c r="X14" s="144"/>
    </row>
    <row r="15" spans="1:32" x14ac:dyDescent="0.25">
      <c r="C15" s="50"/>
      <c r="J15" s="137"/>
      <c r="K15" s="138"/>
      <c r="L15" s="138"/>
      <c r="T15" s="144"/>
      <c r="U15" s="144"/>
      <c r="V15" s="144"/>
      <c r="W15" s="144"/>
      <c r="X15" s="144"/>
    </row>
    <row r="16" spans="1:32" x14ac:dyDescent="0.25">
      <c r="C16" s="50"/>
      <c r="J16" s="137"/>
      <c r="K16" s="138"/>
      <c r="L16" s="138"/>
      <c r="T16" s="144"/>
      <c r="U16" s="144"/>
      <c r="V16" s="144"/>
      <c r="W16" s="144"/>
      <c r="X16" s="144"/>
    </row>
    <row r="17" spans="3:24" x14ac:dyDescent="0.25">
      <c r="C17" s="126" t="s">
        <v>180</v>
      </c>
      <c r="J17" s="137"/>
      <c r="K17" s="138"/>
      <c r="L17" s="138"/>
      <c r="T17" s="144"/>
      <c r="U17" s="144"/>
      <c r="V17" s="144"/>
      <c r="W17" s="144"/>
      <c r="X17" s="144"/>
    </row>
    <row r="18" spans="3:24" x14ac:dyDescent="0.25">
      <c r="C18" t="s">
        <v>1075</v>
      </c>
      <c r="J18" s="137" t="s">
        <v>85</v>
      </c>
      <c r="K18" s="138"/>
      <c r="L18" s="138"/>
      <c r="M18" s="143" t="str">
        <f>"""C:\Program Files (x86)\AstroGrep\AstroGrep.exe"""</f>
        <v>"C:\Program Files (x86)\AstroGrep\AstroGrep.exe"</v>
      </c>
      <c r="T18" s="144"/>
      <c r="U18" s="144"/>
      <c r="V18" s="144"/>
      <c r="W18" s="144"/>
      <c r="X18" s="144"/>
    </row>
    <row r="19" spans="3:24" x14ac:dyDescent="0.25">
      <c r="C19" t="s">
        <v>1076</v>
      </c>
      <c r="J19" s="137" t="s">
        <v>86</v>
      </c>
      <c r="K19" s="138"/>
      <c r="L19" s="138"/>
      <c r="M19" s="143" t="s">
        <v>109</v>
      </c>
      <c r="T19" s="144"/>
      <c r="U19" s="144"/>
      <c r="V19" s="144"/>
      <c r="W19" s="144"/>
      <c r="X19" s="144"/>
    </row>
    <row r="20" spans="3:24" x14ac:dyDescent="0.25">
      <c r="C20" t="s">
        <v>1077</v>
      </c>
      <c r="J20" s="129" t="s">
        <v>87</v>
      </c>
      <c r="M20" s="143" t="s">
        <v>332</v>
      </c>
      <c r="N20" s="143" t="s">
        <v>323</v>
      </c>
      <c r="T20" s="144"/>
      <c r="U20" s="144"/>
      <c r="V20" s="144"/>
      <c r="W20" s="144"/>
      <c r="X20" s="144"/>
    </row>
    <row r="21" spans="3:24" x14ac:dyDescent="0.25">
      <c r="C21" t="s">
        <v>1078</v>
      </c>
      <c r="J21" s="129" t="s">
        <v>90</v>
      </c>
      <c r="K21" s="129" t="s">
        <v>91</v>
      </c>
      <c r="M21" s="143" t="s">
        <v>172</v>
      </c>
      <c r="T21" s="144"/>
      <c r="U21" s="144"/>
      <c r="V21" s="144"/>
      <c r="W21" s="144"/>
      <c r="X21" s="144"/>
    </row>
    <row r="22" spans="3:24" x14ac:dyDescent="0.25">
      <c r="C22" t="s">
        <v>1079</v>
      </c>
      <c r="J22" s="129" t="s">
        <v>92</v>
      </c>
      <c r="K22" s="129" t="s">
        <v>108</v>
      </c>
      <c r="M22" s="143" t="s">
        <v>108</v>
      </c>
      <c r="T22" s="144"/>
      <c r="U22" s="144"/>
      <c r="V22" s="144"/>
      <c r="W22" s="144"/>
      <c r="X22" s="144"/>
    </row>
    <row r="23" spans="3:24" x14ac:dyDescent="0.25">
      <c r="C23" t="s">
        <v>1080</v>
      </c>
      <c r="J23" s="139" t="s">
        <v>94</v>
      </c>
      <c r="M23" s="143" t="str">
        <f>"-07"</f>
        <v>-07</v>
      </c>
      <c r="T23" s="144"/>
      <c r="U23" s="144"/>
      <c r="V23" s="144"/>
      <c r="W23" s="144"/>
      <c r="X23" s="144"/>
    </row>
    <row r="24" spans="3:24" x14ac:dyDescent="0.25">
      <c r="C24" t="s">
        <v>1081</v>
      </c>
      <c r="J24" s="129" t="s">
        <v>105</v>
      </c>
      <c r="M24" s="143" t="s">
        <v>107</v>
      </c>
      <c r="T24" s="144"/>
      <c r="U24" s="144"/>
      <c r="V24" s="144"/>
      <c r="W24" s="144"/>
      <c r="X24" s="144"/>
    </row>
    <row r="25" spans="3:24" x14ac:dyDescent="0.25">
      <c r="C25" t="s">
        <v>1082</v>
      </c>
      <c r="J25" s="129" t="s">
        <v>144</v>
      </c>
      <c r="M25" s="143" t="b">
        <v>1</v>
      </c>
    </row>
    <row r="26" spans="3:24" x14ac:dyDescent="0.25">
      <c r="C26" t="s">
        <v>1083</v>
      </c>
      <c r="J26" s="129" t="s">
        <v>145</v>
      </c>
      <c r="M26" s="143" t="str">
        <f>"%USERPROFILE%\Documents\GitHub\eaglep3-reporting\EC\"&amp;TEXT(A2,"yyyy-mm-dd")&amp;"-refined-times.txt"</f>
        <v>%USERPROFILE%\Documents\GitHub\eaglep3-reporting\EC\2017-12-15-refined-times.txt</v>
      </c>
    </row>
    <row r="27" spans="3:24" x14ac:dyDescent="0.25">
      <c r="C27" t="s">
        <v>1084</v>
      </c>
      <c r="J27" s="129" t="s">
        <v>174</v>
      </c>
      <c r="M27" s="143" t="str">
        <f>"%USERPROFILE%\Documents\GitHub\eaglep3-reporting\EC\"&amp;TEXT(A2,"YYYY-MM-DD")&amp;"-Enforcements.txt"</f>
        <v>%USERPROFILE%\Documents\GitHub\eaglep3-reporting\EC\2017-12-15-Enforcements.txt</v>
      </c>
    </row>
    <row r="28" spans="3:24" x14ac:dyDescent="0.25">
      <c r="C28" t="s">
        <v>1085</v>
      </c>
      <c r="J28" s="129" t="s">
        <v>175</v>
      </c>
      <c r="M28" s="143" t="str">
        <f>"%USERPROFILE%\Documents\GitHub\eaglep3-reporting\EC\"&amp;TEXT(A2,"YYYY-MM-DD")&amp;"-Runs-refined.txt"</f>
        <v>%USERPROFILE%\Documents\GitHub\eaglep3-reporting\EC\2017-12-15-Runs-refined.txt</v>
      </c>
    </row>
    <row r="29" spans="3:24" x14ac:dyDescent="0.25">
      <c r="C29" t="s">
        <v>642</v>
      </c>
      <c r="J29" s="129" t="s">
        <v>176</v>
      </c>
      <c r="M29" s="143" t="str">
        <f>"%USERPROFILE%\Documents\GitHub\eaglep3-reporting\EC\"&amp;TEXT(A2,"YYYY-MM-DD")&amp;"-Trips.txt"</f>
        <v>%USERPROFILE%\Documents\GitHub\eaglep3-reporting\EC\2017-12-15-Trips.txt</v>
      </c>
    </row>
    <row r="30" spans="3:24" x14ac:dyDescent="0.25">
      <c r="C30" t="s">
        <v>1086</v>
      </c>
      <c r="J30" s="129" t="s">
        <v>177</v>
      </c>
      <c r="M30" s="143" t="str">
        <f>"%USERPROFILE%\Documents\GitHub\eaglep3-reporting\EC\"&amp;TEXT(A2,"YYYY-MM-DD")&amp;"-Weather.txt"</f>
        <v>%USERPROFILE%\Documents\GitHub\eaglep3-reporting\EC\2017-12-15-Weather.txt</v>
      </c>
    </row>
    <row r="31" spans="3:24" x14ac:dyDescent="0.25">
      <c r="C31" t="s">
        <v>1087</v>
      </c>
      <c r="J31" s="129" t="s">
        <v>188</v>
      </c>
      <c r="M31" s="143" t="s">
        <v>189</v>
      </c>
    </row>
    <row r="32" spans="3:24" x14ac:dyDescent="0.25">
      <c r="C32" t="s">
        <v>1088</v>
      </c>
    </row>
    <row r="33" spans="3:3" x14ac:dyDescent="0.25">
      <c r="C33" t="s">
        <v>1089</v>
      </c>
    </row>
    <row r="34" spans="3:3" x14ac:dyDescent="0.25">
      <c r="C34" t="s">
        <v>1090</v>
      </c>
    </row>
    <row r="35" spans="3:3" x14ac:dyDescent="0.25">
      <c r="C35" t="s">
        <v>1091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83" bestFit="1" customWidth="1"/>
    <col min="2" max="7" width="9.140625" style="83"/>
    <col min="8" max="8" width="17.7109375" style="172" bestFit="1" customWidth="1"/>
    <col min="9" max="10" width="9.140625" style="172"/>
    <col min="11" max="16384" width="9.140625" style="83"/>
  </cols>
  <sheetData>
    <row r="1" spans="1:11" x14ac:dyDescent="0.25">
      <c r="A1" s="82" t="s">
        <v>115</v>
      </c>
      <c r="B1" s="82" t="s">
        <v>116</v>
      </c>
      <c r="C1" s="83" t="s">
        <v>117</v>
      </c>
      <c r="H1" s="156" t="s">
        <v>112</v>
      </c>
      <c r="I1" s="170" t="s">
        <v>353</v>
      </c>
      <c r="J1" s="156" t="s">
        <v>330</v>
      </c>
    </row>
    <row r="2" spans="1:11" x14ac:dyDescent="0.25">
      <c r="A2" s="83" t="s">
        <v>118</v>
      </c>
      <c r="B2" s="83" t="s">
        <v>119</v>
      </c>
      <c r="C2" s="83" t="s">
        <v>120</v>
      </c>
      <c r="H2" s="156" t="s">
        <v>113</v>
      </c>
      <c r="I2" s="156" t="s">
        <v>114</v>
      </c>
      <c r="J2" s="156" t="s">
        <v>331</v>
      </c>
    </row>
    <row r="3" spans="1:11" x14ac:dyDescent="0.25">
      <c r="A3" s="83" t="s">
        <v>121</v>
      </c>
      <c r="B3" s="83" t="s">
        <v>122</v>
      </c>
      <c r="C3" s="83" t="s">
        <v>123</v>
      </c>
      <c r="H3" s="156" t="s">
        <v>137</v>
      </c>
      <c r="I3" s="156">
        <v>1</v>
      </c>
      <c r="J3" s="156">
        <v>1</v>
      </c>
      <c r="K3" s="49"/>
    </row>
    <row r="4" spans="1:11" x14ac:dyDescent="0.25">
      <c r="A4" s="83" t="s">
        <v>124</v>
      </c>
      <c r="C4" s="83" t="s">
        <v>125</v>
      </c>
      <c r="H4" s="156" t="s">
        <v>138</v>
      </c>
      <c r="I4" s="156">
        <v>2</v>
      </c>
      <c r="J4" s="156">
        <v>1</v>
      </c>
      <c r="K4" s="49"/>
    </row>
    <row r="5" spans="1:11" x14ac:dyDescent="0.25">
      <c r="A5" s="83" t="s">
        <v>126</v>
      </c>
      <c r="C5" s="83" t="s">
        <v>127</v>
      </c>
      <c r="H5" s="156" t="s">
        <v>139</v>
      </c>
      <c r="I5" s="156">
        <v>338</v>
      </c>
      <c r="J5" s="156">
        <v>10</v>
      </c>
      <c r="K5" s="49"/>
    </row>
    <row r="6" spans="1:11" x14ac:dyDescent="0.25">
      <c r="A6" s="83" t="s">
        <v>128</v>
      </c>
      <c r="C6" s="83" t="s">
        <v>129</v>
      </c>
      <c r="H6" s="171" t="s">
        <v>140</v>
      </c>
      <c r="I6" s="171" t="s">
        <v>119</v>
      </c>
    </row>
    <row r="7" spans="1:11" x14ac:dyDescent="0.25">
      <c r="A7" s="83" t="s">
        <v>130</v>
      </c>
      <c r="C7" s="83" t="s">
        <v>131</v>
      </c>
    </row>
    <row r="8" spans="1:11" x14ac:dyDescent="0.25">
      <c r="C8" s="83" t="s">
        <v>132</v>
      </c>
    </row>
    <row r="9" spans="1:11" x14ac:dyDescent="0.25">
      <c r="C9" s="84" t="s">
        <v>165</v>
      </c>
    </row>
    <row r="10" spans="1:11" x14ac:dyDescent="0.25">
      <c r="C10" s="83" t="s">
        <v>133</v>
      </c>
    </row>
    <row r="11" spans="1:11" x14ac:dyDescent="0.25">
      <c r="C11" s="83" t="s">
        <v>134</v>
      </c>
    </row>
    <row r="12" spans="1:11" x14ac:dyDescent="0.25">
      <c r="C12" s="83" t="s">
        <v>135</v>
      </c>
    </row>
    <row r="13" spans="1:11" x14ac:dyDescent="0.25">
      <c r="C13" s="83" t="s">
        <v>136</v>
      </c>
    </row>
    <row r="14" spans="1:11" x14ac:dyDescent="0.25">
      <c r="C14" s="84" t="s">
        <v>166</v>
      </c>
    </row>
    <row r="15" spans="1:11" x14ac:dyDescent="0.25">
      <c r="C15" s="8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2017-12-18T16:33:49Z</dcterms:modified>
</cp:coreProperties>
</file>