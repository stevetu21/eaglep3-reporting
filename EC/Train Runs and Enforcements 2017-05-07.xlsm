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Enforcements!$A$6:$AC$64</definedName>
    <definedName name="_xlnm._FilterDatabase" localSheetId="2" hidden="1">'Missing Trips'!$A$2:$J$80</definedName>
    <definedName name="_xlnm._FilterDatabase" localSheetId="0" hidden="1">'Train Runs'!$A$12:$AG$262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59" i="1" l="1"/>
  <c r="L159" i="1"/>
  <c r="M159" i="1"/>
  <c r="N159" i="1" s="1"/>
  <c r="V159" i="1"/>
  <c r="AA159" i="1"/>
  <c r="AB159" i="1"/>
  <c r="AC159" i="1"/>
  <c r="AD159" i="1"/>
  <c r="AG159" i="1" s="1"/>
  <c r="AE159" i="1"/>
  <c r="AF159" i="1"/>
  <c r="AH159" i="1"/>
  <c r="AM159" i="1"/>
  <c r="AN159" i="1"/>
  <c r="K144" i="1"/>
  <c r="L144" i="1"/>
  <c r="M144" i="1"/>
  <c r="P144" i="1" s="1"/>
  <c r="V144" i="1"/>
  <c r="AA144" i="1"/>
  <c r="AB144" i="1"/>
  <c r="AC144" i="1"/>
  <c r="AD144" i="1"/>
  <c r="T144" i="1" s="1"/>
  <c r="AE144" i="1"/>
  <c r="AF144" i="1"/>
  <c r="AH144" i="1"/>
  <c r="AM144" i="1"/>
  <c r="AN144" i="1"/>
  <c r="T159" i="1" l="1"/>
  <c r="U159" i="1" s="1"/>
  <c r="S159" i="1" s="1"/>
  <c r="W159" i="1"/>
  <c r="AI159" i="1"/>
  <c r="AG14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S11" i="3" s="1"/>
  <c r="Y31" i="1"/>
  <c r="Z31" i="1"/>
  <c r="AB31" i="1"/>
  <c r="AC31" i="1"/>
  <c r="AD31" i="1"/>
  <c r="AG31" i="1" s="1"/>
  <c r="AE31" i="1"/>
  <c r="R11" i="3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S13" i="3" s="1"/>
  <c r="Y40" i="1"/>
  <c r="Z40" i="1"/>
  <c r="AB40" i="1"/>
  <c r="AC40" i="1"/>
  <c r="AD40" i="1"/>
  <c r="AG40" i="1" s="1"/>
  <c r="AE40" i="1"/>
  <c r="R13" i="3" s="1"/>
  <c r="AF40" i="1"/>
  <c r="AH40" i="1"/>
  <c r="AM40" i="1"/>
  <c r="AN40" i="1"/>
  <c r="K41" i="1"/>
  <c r="L41" i="1"/>
  <c r="M41" i="1"/>
  <c r="N41" i="1" s="1"/>
  <c r="V41" i="1"/>
  <c r="S19" i="3" s="1"/>
  <c r="Y41" i="1"/>
  <c r="Z41" i="1"/>
  <c r="AB41" i="1"/>
  <c r="AC41" i="1"/>
  <c r="AD41" i="1"/>
  <c r="AE41" i="1"/>
  <c r="R19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S16" i="3" s="1"/>
  <c r="Y56" i="1"/>
  <c r="Z56" i="1"/>
  <c r="AB56" i="1"/>
  <c r="AC56" i="1"/>
  <c r="AD56" i="1"/>
  <c r="T56" i="1" s="1"/>
  <c r="AE56" i="1"/>
  <c r="R16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P61" i="1" s="1"/>
  <c r="V61" i="1"/>
  <c r="S23" i="3" s="1"/>
  <c r="Y61" i="1"/>
  <c r="Z61" i="1"/>
  <c r="AB61" i="1"/>
  <c r="AC61" i="1"/>
  <c r="AD61" i="1"/>
  <c r="T61" i="1" s="1"/>
  <c r="AE61" i="1"/>
  <c r="R23" i="3" s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S22" i="3" s="1"/>
  <c r="Y82" i="1"/>
  <c r="Z82" i="1"/>
  <c r="AB82" i="1"/>
  <c r="AC82" i="1"/>
  <c r="AD82" i="1"/>
  <c r="T82" i="1" s="1"/>
  <c r="AE82" i="1"/>
  <c r="R22" i="3" s="1"/>
  <c r="AF82" i="1"/>
  <c r="AH82" i="1"/>
  <c r="AM82" i="1"/>
  <c r="AN82" i="1"/>
  <c r="K83" i="1"/>
  <c r="L83" i="1"/>
  <c r="M83" i="1"/>
  <c r="N83" i="1" s="1"/>
  <c r="V83" i="1"/>
  <c r="S31" i="3" s="1"/>
  <c r="Y83" i="1"/>
  <c r="Z83" i="1"/>
  <c r="AB83" i="1"/>
  <c r="AC83" i="1"/>
  <c r="AD83" i="1"/>
  <c r="T83" i="1" s="1"/>
  <c r="AE83" i="1"/>
  <c r="R31" i="3" s="1"/>
  <c r="AF83" i="1"/>
  <c r="AH83" i="1"/>
  <c r="AM83" i="1"/>
  <c r="AN83" i="1"/>
  <c r="K84" i="1"/>
  <c r="L84" i="1"/>
  <c r="M84" i="1"/>
  <c r="N84" i="1" s="1"/>
  <c r="V84" i="1"/>
  <c r="S26" i="3" s="1"/>
  <c r="Y84" i="1"/>
  <c r="Z84" i="1"/>
  <c r="AB84" i="1"/>
  <c r="AC84" i="1"/>
  <c r="AD84" i="1"/>
  <c r="AE84" i="1"/>
  <c r="R26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S17" i="3" s="1"/>
  <c r="Y90" i="1"/>
  <c r="Z90" i="1"/>
  <c r="AB90" i="1"/>
  <c r="AC90" i="1"/>
  <c r="AD90" i="1"/>
  <c r="T90" i="1" s="1"/>
  <c r="AE90" i="1"/>
  <c r="R17" i="3" s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4" i="1"/>
  <c r="AM94" i="1"/>
  <c r="AN94" i="1"/>
  <c r="K162" i="1"/>
  <c r="L162" i="1"/>
  <c r="M162" i="1"/>
  <c r="N162" i="1" s="1"/>
  <c r="V162" i="1"/>
  <c r="S39" i="3" s="1"/>
  <c r="Y162" i="1"/>
  <c r="Z162" i="1"/>
  <c r="AB162" i="1"/>
  <c r="AC162" i="1"/>
  <c r="AD162" i="1"/>
  <c r="AG162" i="1" s="1"/>
  <c r="AE162" i="1"/>
  <c r="AF162" i="1"/>
  <c r="AH95" i="1"/>
  <c r="AM95" i="1"/>
  <c r="AN95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7" i="1"/>
  <c r="AM97" i="1"/>
  <c r="AN97" i="1"/>
  <c r="K164" i="1"/>
  <c r="L164" i="1"/>
  <c r="M164" i="1"/>
  <c r="N164" i="1" s="1"/>
  <c r="V164" i="1"/>
  <c r="S40" i="3" s="1"/>
  <c r="Y164" i="1"/>
  <c r="Z164" i="1"/>
  <c r="AB164" i="1"/>
  <c r="AC164" i="1"/>
  <c r="AD164" i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03" i="1"/>
  <c r="AM103" i="1"/>
  <c r="AN103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4" i="1"/>
  <c r="AM104" i="1"/>
  <c r="AN10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R41" i="3" s="1"/>
  <c r="AF170" i="1"/>
  <c r="AH105" i="1"/>
  <c r="AM105" i="1"/>
  <c r="AN105" i="1"/>
  <c r="K171" i="1"/>
  <c r="L171" i="1"/>
  <c r="M171" i="1"/>
  <c r="N171" i="1" s="1"/>
  <c r="V171" i="1"/>
  <c r="S35" i="3" s="1"/>
  <c r="Y171" i="1"/>
  <c r="Z171" i="1"/>
  <c r="AB171" i="1"/>
  <c r="AC171" i="1"/>
  <c r="AD171" i="1"/>
  <c r="T171" i="1" s="1"/>
  <c r="AE171" i="1"/>
  <c r="R42" i="3" s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K174" i="1"/>
  <c r="L174" i="1"/>
  <c r="M174" i="1"/>
  <c r="N174" i="1" s="1"/>
  <c r="V174" i="1"/>
  <c r="S36" i="3" s="1"/>
  <c r="Y174" i="1"/>
  <c r="Z174" i="1"/>
  <c r="AB174" i="1"/>
  <c r="AC174" i="1"/>
  <c r="AD174" i="1"/>
  <c r="T174" i="1" s="1"/>
  <c r="AE174" i="1"/>
  <c r="R36" i="3" s="1"/>
  <c r="AF174" i="1"/>
  <c r="AH109" i="1"/>
  <c r="AM109" i="1"/>
  <c r="AN109" i="1"/>
  <c r="K175" i="1"/>
  <c r="L175" i="1"/>
  <c r="M175" i="1"/>
  <c r="N175" i="1" s="1"/>
  <c r="V175" i="1"/>
  <c r="S43" i="3" s="1"/>
  <c r="Y175" i="1"/>
  <c r="Z175" i="1"/>
  <c r="AB175" i="1"/>
  <c r="AC175" i="1"/>
  <c r="AD175" i="1"/>
  <c r="T175" i="1" s="1"/>
  <c r="AE175" i="1"/>
  <c r="R43" i="3" s="1"/>
  <c r="AF175" i="1"/>
  <c r="AH110" i="1"/>
  <c r="AM110" i="1"/>
  <c r="AN110" i="1"/>
  <c r="K176" i="1"/>
  <c r="L176" i="1"/>
  <c r="M176" i="1"/>
  <c r="N176" i="1" s="1"/>
  <c r="V176" i="1"/>
  <c r="S38" i="3" s="1"/>
  <c r="Y176" i="1"/>
  <c r="Z176" i="1"/>
  <c r="AB176" i="1"/>
  <c r="AC176" i="1"/>
  <c r="AD176" i="1"/>
  <c r="T176" i="1" s="1"/>
  <c r="AE176" i="1"/>
  <c r="R38" i="3" s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P179" i="1" s="1"/>
  <c r="V179" i="1"/>
  <c r="Y179" i="1"/>
  <c r="Z179" i="1"/>
  <c r="AB179" i="1"/>
  <c r="AC179" i="1"/>
  <c r="AD179" i="1"/>
  <c r="AE179" i="1"/>
  <c r="AF179" i="1"/>
  <c r="AH113" i="1"/>
  <c r="AM113" i="1"/>
  <c r="AN113" i="1"/>
  <c r="AH114" i="1"/>
  <c r="AM114" i="1"/>
  <c r="AN114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5" i="1"/>
  <c r="AM115" i="1"/>
  <c r="AN115" i="1"/>
  <c r="K180" i="1"/>
  <c r="L180" i="1"/>
  <c r="M180" i="1"/>
  <c r="N180" i="1" s="1"/>
  <c r="V180" i="1"/>
  <c r="S37" i="3" s="1"/>
  <c r="Y180" i="1"/>
  <c r="Z180" i="1"/>
  <c r="AB180" i="1"/>
  <c r="AC180" i="1"/>
  <c r="AD180" i="1"/>
  <c r="AE180" i="1"/>
  <c r="R37" i="3" s="1"/>
  <c r="AF180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95" i="1"/>
  <c r="L95" i="1"/>
  <c r="M95" i="1"/>
  <c r="N95" i="1" s="1"/>
  <c r="V95" i="1"/>
  <c r="S20" i="3" s="1"/>
  <c r="Y95" i="1"/>
  <c r="Z95" i="1"/>
  <c r="AB95" i="1"/>
  <c r="AC95" i="1"/>
  <c r="AD95" i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V97" i="1"/>
  <c r="Y97" i="1"/>
  <c r="Z97" i="1"/>
  <c r="AB97" i="1"/>
  <c r="AC97" i="1"/>
  <c r="AD97" i="1"/>
  <c r="AG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AM133" i="1"/>
  <c r="AN133" i="1"/>
  <c r="K100" i="1"/>
  <c r="L100" i="1"/>
  <c r="M100" i="1"/>
  <c r="P100" i="1" s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V101" i="1"/>
  <c r="Y101" i="1"/>
  <c r="Z101" i="1"/>
  <c r="AB101" i="1"/>
  <c r="AC101" i="1"/>
  <c r="AD101" i="1"/>
  <c r="AG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8" i="1"/>
  <c r="AM138" i="1"/>
  <c r="AN138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9" i="1"/>
  <c r="AM139" i="1"/>
  <c r="AN13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0" i="1"/>
  <c r="AM140" i="1"/>
  <c r="AN140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1" i="1"/>
  <c r="AM141" i="1"/>
  <c r="AN141" i="1"/>
  <c r="K105" i="1"/>
  <c r="L105" i="1"/>
  <c r="M105" i="1"/>
  <c r="P105" i="1" s="1"/>
  <c r="V105" i="1"/>
  <c r="S8" i="3" s="1"/>
  <c r="Y105" i="1"/>
  <c r="Z105" i="1"/>
  <c r="AB105" i="1"/>
  <c r="AC105" i="1"/>
  <c r="AD105" i="1"/>
  <c r="T105" i="1" s="1"/>
  <c r="AE105" i="1"/>
  <c r="AF105" i="1"/>
  <c r="AH142" i="1"/>
  <c r="AM142" i="1"/>
  <c r="AN142" i="1"/>
  <c r="K106" i="1"/>
  <c r="L106" i="1"/>
  <c r="M106" i="1"/>
  <c r="V106" i="1"/>
  <c r="Y106" i="1"/>
  <c r="Z106" i="1"/>
  <c r="AB106" i="1"/>
  <c r="AC106" i="1"/>
  <c r="AD106" i="1"/>
  <c r="AG106" i="1" s="1"/>
  <c r="AE106" i="1"/>
  <c r="AF106" i="1"/>
  <c r="AH143" i="1"/>
  <c r="AM143" i="1"/>
  <c r="AN143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6" i="1"/>
  <c r="AM146" i="1"/>
  <c r="AN146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47" i="1"/>
  <c r="AM147" i="1"/>
  <c r="AN147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48" i="1"/>
  <c r="AM148" i="1"/>
  <c r="AN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K112" i="1"/>
  <c r="L112" i="1"/>
  <c r="M112" i="1"/>
  <c r="P112" i="1" s="1"/>
  <c r="V112" i="1"/>
  <c r="Y112" i="1"/>
  <c r="Z112" i="1"/>
  <c r="AB112" i="1"/>
  <c r="AC112" i="1"/>
  <c r="AD112" i="1"/>
  <c r="AE112" i="1"/>
  <c r="AF112" i="1"/>
  <c r="AH150" i="1"/>
  <c r="AM150" i="1"/>
  <c r="AN150" i="1"/>
  <c r="AH151" i="1"/>
  <c r="AM151" i="1"/>
  <c r="AN151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2" i="1"/>
  <c r="AM152" i="1"/>
  <c r="AN152" i="1"/>
  <c r="K114" i="1"/>
  <c r="L114" i="1"/>
  <c r="M114" i="1"/>
  <c r="N114" i="1" s="1"/>
  <c r="V114" i="1"/>
  <c r="S21" i="3" s="1"/>
  <c r="Y114" i="1"/>
  <c r="Z114" i="1"/>
  <c r="AB114" i="1"/>
  <c r="AC114" i="1"/>
  <c r="AD114" i="1"/>
  <c r="AE114" i="1"/>
  <c r="AF114" i="1"/>
  <c r="AH153" i="1"/>
  <c r="AM153" i="1"/>
  <c r="AN153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4" i="1"/>
  <c r="AM154" i="1"/>
  <c r="AN154" i="1"/>
  <c r="K116" i="1"/>
  <c r="L116" i="1"/>
  <c r="M116" i="1"/>
  <c r="N116" i="1" s="1"/>
  <c r="V116" i="1"/>
  <c r="S27" i="3" s="1"/>
  <c r="Y116" i="1"/>
  <c r="Z116" i="1"/>
  <c r="AB116" i="1"/>
  <c r="AC116" i="1"/>
  <c r="AD116" i="1"/>
  <c r="AE116" i="1"/>
  <c r="AF116" i="1"/>
  <c r="AH155" i="1"/>
  <c r="AM155" i="1"/>
  <c r="AN155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6" i="1"/>
  <c r="AM156" i="1"/>
  <c r="AN156" i="1"/>
  <c r="K118" i="1"/>
  <c r="L118" i="1"/>
  <c r="M118" i="1"/>
  <c r="N118" i="1" s="1"/>
  <c r="V118" i="1"/>
  <c r="S28" i="3" s="1"/>
  <c r="Y118" i="1"/>
  <c r="Z118" i="1"/>
  <c r="AB118" i="1"/>
  <c r="AC118" i="1"/>
  <c r="AD118" i="1"/>
  <c r="T118" i="1" s="1"/>
  <c r="AE118" i="1"/>
  <c r="AF118" i="1"/>
  <c r="AH157" i="1"/>
  <c r="AM157" i="1"/>
  <c r="AN157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8" i="1"/>
  <c r="AM158" i="1"/>
  <c r="AN158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0" i="1"/>
  <c r="AM160" i="1"/>
  <c r="AN160" i="1"/>
  <c r="K122" i="1"/>
  <c r="L122" i="1"/>
  <c r="M122" i="1"/>
  <c r="N122" i="1" s="1"/>
  <c r="V122" i="1"/>
  <c r="S29" i="3" s="1"/>
  <c r="Y122" i="1"/>
  <c r="Z122" i="1"/>
  <c r="AB122" i="1"/>
  <c r="AC122" i="1"/>
  <c r="AD122" i="1"/>
  <c r="AE122" i="1"/>
  <c r="AF122" i="1"/>
  <c r="AH161" i="1"/>
  <c r="AM161" i="1"/>
  <c r="AN161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2" i="1"/>
  <c r="AM162" i="1"/>
  <c r="AN162" i="1"/>
  <c r="K124" i="1"/>
  <c r="L124" i="1"/>
  <c r="M124" i="1"/>
  <c r="P124" i="1" s="1"/>
  <c r="V124" i="1"/>
  <c r="Y124" i="1"/>
  <c r="Z124" i="1"/>
  <c r="AB124" i="1"/>
  <c r="AC124" i="1"/>
  <c r="AD124" i="1"/>
  <c r="AE124" i="1"/>
  <c r="AF124" i="1"/>
  <c r="AH163" i="1"/>
  <c r="AM163" i="1"/>
  <c r="AN163" i="1"/>
  <c r="K125" i="1"/>
  <c r="L125" i="1"/>
  <c r="M125" i="1"/>
  <c r="N125" i="1" s="1"/>
  <c r="V125" i="1"/>
  <c r="S10" i="3" s="1"/>
  <c r="Y125" i="1"/>
  <c r="Z125" i="1"/>
  <c r="AB125" i="1"/>
  <c r="AC125" i="1"/>
  <c r="AD125" i="1"/>
  <c r="AE125" i="1"/>
  <c r="AF125" i="1"/>
  <c r="AH164" i="1"/>
  <c r="AM164" i="1"/>
  <c r="AN164" i="1"/>
  <c r="K126" i="1"/>
  <c r="L126" i="1"/>
  <c r="M126" i="1"/>
  <c r="P126" i="1" s="1"/>
  <c r="V126" i="1"/>
  <c r="Y126" i="1"/>
  <c r="AB126" i="1"/>
  <c r="AC126" i="1"/>
  <c r="AD126" i="1"/>
  <c r="AE126" i="1"/>
  <c r="AF126" i="1"/>
  <c r="AH165" i="1"/>
  <c r="AM165" i="1"/>
  <c r="AN165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6" i="1"/>
  <c r="AM166" i="1"/>
  <c r="AN166" i="1"/>
  <c r="K128" i="1"/>
  <c r="L128" i="1"/>
  <c r="M128" i="1"/>
  <c r="N128" i="1" s="1"/>
  <c r="V128" i="1"/>
  <c r="S9" i="3" s="1"/>
  <c r="Y128" i="1"/>
  <c r="Z128" i="1"/>
  <c r="AB128" i="1"/>
  <c r="AC128" i="1"/>
  <c r="AD128" i="1"/>
  <c r="AE128" i="1"/>
  <c r="AF128" i="1"/>
  <c r="AH167" i="1"/>
  <c r="AM167" i="1"/>
  <c r="AN167" i="1"/>
  <c r="K129" i="1"/>
  <c r="L129" i="1"/>
  <c r="M129" i="1"/>
  <c r="N129" i="1" s="1"/>
  <c r="V129" i="1"/>
  <c r="S32" i="3" s="1"/>
  <c r="Y129" i="1"/>
  <c r="Z129" i="1"/>
  <c r="AB129" i="1"/>
  <c r="AC129" i="1"/>
  <c r="AD129" i="1"/>
  <c r="AE129" i="1"/>
  <c r="AF129" i="1"/>
  <c r="AH168" i="1"/>
  <c r="AM168" i="1"/>
  <c r="AN168" i="1"/>
  <c r="K130" i="1"/>
  <c r="L130" i="1"/>
  <c r="M130" i="1"/>
  <c r="N130" i="1" s="1"/>
  <c r="V130" i="1"/>
  <c r="S30" i="3" s="1"/>
  <c r="Y130" i="1"/>
  <c r="Z130" i="1"/>
  <c r="AB130" i="1"/>
  <c r="AC130" i="1"/>
  <c r="AD130" i="1"/>
  <c r="T130" i="1" s="1"/>
  <c r="AE130" i="1"/>
  <c r="AF130" i="1"/>
  <c r="AH169" i="1"/>
  <c r="AM169" i="1"/>
  <c r="AN169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70" i="1"/>
  <c r="AM170" i="1"/>
  <c r="AN170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71" i="1"/>
  <c r="AM171" i="1"/>
  <c r="AN171" i="1"/>
  <c r="K133" i="1"/>
  <c r="L133" i="1"/>
  <c r="M133" i="1"/>
  <c r="P133" i="1" s="1"/>
  <c r="V133" i="1"/>
  <c r="S24" i="3" s="1"/>
  <c r="Y133" i="1"/>
  <c r="Z133" i="1"/>
  <c r="AB133" i="1"/>
  <c r="AC133" i="1"/>
  <c r="AD133" i="1"/>
  <c r="T133" i="1" s="1"/>
  <c r="AE133" i="1"/>
  <c r="AF133" i="1"/>
  <c r="AH172" i="1"/>
  <c r="AM172" i="1"/>
  <c r="AN172" i="1"/>
  <c r="K134" i="1"/>
  <c r="L134" i="1"/>
  <c r="M134" i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74" i="1"/>
  <c r="AM174" i="1"/>
  <c r="AN174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5" i="1"/>
  <c r="AM175" i="1"/>
  <c r="AN175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AH176" i="1"/>
  <c r="AM176" i="1"/>
  <c r="AN176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7" i="1"/>
  <c r="AM177" i="1"/>
  <c r="AN177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78" i="1"/>
  <c r="AM178" i="1"/>
  <c r="AN178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9" i="1"/>
  <c r="AM179" i="1"/>
  <c r="AN179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P142" i="1" s="1"/>
  <c r="V142" i="1"/>
  <c r="Y142" i="1"/>
  <c r="AB142" i="1"/>
  <c r="AC142" i="1"/>
  <c r="AD142" i="1"/>
  <c r="T142" i="1" s="1"/>
  <c r="AE142" i="1"/>
  <c r="AF142" i="1"/>
  <c r="AH180" i="1"/>
  <c r="AM180" i="1"/>
  <c r="AN180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81" i="1"/>
  <c r="AM181" i="1"/>
  <c r="AN181" i="1"/>
  <c r="K145" i="1"/>
  <c r="L145" i="1"/>
  <c r="M145" i="1"/>
  <c r="N145" i="1" s="1"/>
  <c r="V145" i="1"/>
  <c r="S14" i="3" s="1"/>
  <c r="Y145" i="1"/>
  <c r="Z145" i="1"/>
  <c r="AB145" i="1"/>
  <c r="AC145" i="1"/>
  <c r="AD145" i="1"/>
  <c r="AE145" i="1"/>
  <c r="AF145" i="1"/>
  <c r="AH182" i="1"/>
  <c r="AM182" i="1"/>
  <c r="AN182" i="1"/>
  <c r="K146" i="1"/>
  <c r="L146" i="1"/>
  <c r="M146" i="1"/>
  <c r="P146" i="1" s="1"/>
  <c r="V146" i="1"/>
  <c r="Y146" i="1"/>
  <c r="Z146" i="1"/>
  <c r="AB146" i="1"/>
  <c r="AC146" i="1"/>
  <c r="AD146" i="1"/>
  <c r="AE146" i="1"/>
  <c r="AF146" i="1"/>
  <c r="AH183" i="1"/>
  <c r="AM183" i="1"/>
  <c r="AN183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4" i="1"/>
  <c r="AM184" i="1"/>
  <c r="AN184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6" i="1"/>
  <c r="AM186" i="1"/>
  <c r="AN186" i="1"/>
  <c r="K150" i="1"/>
  <c r="L150" i="1"/>
  <c r="M150" i="1"/>
  <c r="N150" i="1" s="1"/>
  <c r="V150" i="1"/>
  <c r="S33" i="3" s="1"/>
  <c r="Y150" i="1"/>
  <c r="Z150" i="1"/>
  <c r="AB150" i="1"/>
  <c r="AC150" i="1"/>
  <c r="AD150" i="1"/>
  <c r="T150" i="1" s="1"/>
  <c r="AE150" i="1"/>
  <c r="AF150" i="1"/>
  <c r="AH187" i="1"/>
  <c r="AM187" i="1"/>
  <c r="AN187" i="1"/>
  <c r="K151" i="1"/>
  <c r="L151" i="1"/>
  <c r="M151" i="1"/>
  <c r="N151" i="1" s="1"/>
  <c r="V151" i="1"/>
  <c r="S15" i="3" s="1"/>
  <c r="Y151" i="1"/>
  <c r="Z151" i="1"/>
  <c r="AB151" i="1"/>
  <c r="AC151" i="1"/>
  <c r="AD151" i="1"/>
  <c r="T151" i="1" s="1"/>
  <c r="AE151" i="1"/>
  <c r="AF151" i="1"/>
  <c r="AH188" i="1"/>
  <c r="AM188" i="1"/>
  <c r="AN188" i="1"/>
  <c r="K152" i="1"/>
  <c r="L152" i="1"/>
  <c r="M152" i="1"/>
  <c r="P152" i="1" s="1"/>
  <c r="V152" i="1"/>
  <c r="S25" i="3" s="1"/>
  <c r="Y152" i="1"/>
  <c r="Z152" i="1"/>
  <c r="AB152" i="1"/>
  <c r="AC152" i="1"/>
  <c r="AD152" i="1"/>
  <c r="AG152" i="1" s="1"/>
  <c r="AE152" i="1"/>
  <c r="AF152" i="1"/>
  <c r="AH189" i="1"/>
  <c r="AM189" i="1"/>
  <c r="AN189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90" i="1"/>
  <c r="AM190" i="1"/>
  <c r="AN190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1" i="1"/>
  <c r="AM191" i="1"/>
  <c r="AN191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2" i="1"/>
  <c r="AM192" i="1"/>
  <c r="AN192" i="1"/>
  <c r="K156" i="1"/>
  <c r="L156" i="1"/>
  <c r="M156" i="1"/>
  <c r="N156" i="1" s="1"/>
  <c r="V156" i="1"/>
  <c r="S34" i="3" s="1"/>
  <c r="Y156" i="1"/>
  <c r="Z156" i="1"/>
  <c r="AB156" i="1"/>
  <c r="AC156" i="1"/>
  <c r="AD156" i="1"/>
  <c r="AG156" i="1" s="1"/>
  <c r="AE156" i="1"/>
  <c r="AF156" i="1"/>
  <c r="AH193" i="1"/>
  <c r="AM193" i="1"/>
  <c r="AN193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94" i="1"/>
  <c r="AM194" i="1"/>
  <c r="AN194" i="1"/>
  <c r="K158" i="1"/>
  <c r="L158" i="1"/>
  <c r="M158" i="1"/>
  <c r="N158" i="1" s="1"/>
  <c r="V158" i="1"/>
  <c r="Y158" i="1"/>
  <c r="Z158" i="1"/>
  <c r="AB158" i="1"/>
  <c r="AC158" i="1"/>
  <c r="AD158" i="1"/>
  <c r="X159" i="1" s="1"/>
  <c r="AE158" i="1"/>
  <c r="AF158" i="1"/>
  <c r="AH195" i="1"/>
  <c r="AM195" i="1"/>
  <c r="AN195" i="1"/>
  <c r="AH196" i="1"/>
  <c r="AM196" i="1"/>
  <c r="AN196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7" i="1"/>
  <c r="AM197" i="1"/>
  <c r="AN197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8" i="1"/>
  <c r="AM198" i="1"/>
  <c r="AN19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9" i="1"/>
  <c r="AM199" i="1"/>
  <c r="AN199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00" i="1"/>
  <c r="AM200" i="1"/>
  <c r="AN200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01" i="1"/>
  <c r="AM201" i="1"/>
  <c r="AN201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2" i="1"/>
  <c r="AM202" i="1"/>
  <c r="AN202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3" i="1"/>
  <c r="AM203" i="1"/>
  <c r="AN203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4" i="1"/>
  <c r="AM204" i="1"/>
  <c r="AN204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5" i="1"/>
  <c r="AM205" i="1"/>
  <c r="AN205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6" i="1"/>
  <c r="AM206" i="1"/>
  <c r="AN20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7" i="1"/>
  <c r="AM207" i="1"/>
  <c r="AN20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8" i="1"/>
  <c r="AM208" i="1"/>
  <c r="AN20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K211" i="1"/>
  <c r="L211" i="1"/>
  <c r="M211" i="1"/>
  <c r="N211" i="1" s="1"/>
  <c r="V211" i="1"/>
  <c r="S51" i="3" s="1"/>
  <c r="Y211" i="1"/>
  <c r="Z211" i="1"/>
  <c r="AB211" i="1"/>
  <c r="AC211" i="1"/>
  <c r="AD211" i="1"/>
  <c r="AE211" i="1"/>
  <c r="R51" i="3" s="1"/>
  <c r="AF211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213" i="1"/>
  <c r="AM213" i="1"/>
  <c r="AN213" i="1"/>
  <c r="K214" i="1"/>
  <c r="L214" i="1"/>
  <c r="M214" i="1"/>
  <c r="N214" i="1" s="1"/>
  <c r="V214" i="1"/>
  <c r="S50" i="3" s="1"/>
  <c r="Y214" i="1"/>
  <c r="Z214" i="1"/>
  <c r="AB214" i="1"/>
  <c r="AC214" i="1"/>
  <c r="AD214" i="1"/>
  <c r="AG214" i="1" s="1"/>
  <c r="AE214" i="1"/>
  <c r="R50" i="3" s="1"/>
  <c r="AF214" i="1"/>
  <c r="AH214" i="1"/>
  <c r="AM214" i="1"/>
  <c r="AN214" i="1"/>
  <c r="K215" i="1"/>
  <c r="L215" i="1"/>
  <c r="M215" i="1"/>
  <c r="N215" i="1" s="1"/>
  <c r="V215" i="1"/>
  <c r="S52" i="3" s="1"/>
  <c r="Y215" i="1"/>
  <c r="Z215" i="1"/>
  <c r="AB215" i="1"/>
  <c r="AC215" i="1"/>
  <c r="AD215" i="1"/>
  <c r="T215" i="1" s="1"/>
  <c r="AE215" i="1"/>
  <c r="R52" i="3" s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17" i="1"/>
  <c r="AM217" i="1"/>
  <c r="AN217" i="1"/>
  <c r="K218" i="1"/>
  <c r="L218" i="1"/>
  <c r="M218" i="1"/>
  <c r="N218" i="1" s="1"/>
  <c r="V218" i="1"/>
  <c r="S44" i="3" s="1"/>
  <c r="Y218" i="1"/>
  <c r="Z218" i="1"/>
  <c r="AB218" i="1"/>
  <c r="AC218" i="1"/>
  <c r="AD218" i="1"/>
  <c r="AG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R44" i="3" s="1"/>
  <c r="AF219" i="1"/>
  <c r="AH219" i="1"/>
  <c r="AM219" i="1"/>
  <c r="AN219" i="1"/>
  <c r="K220" i="1"/>
  <c r="L220" i="1"/>
  <c r="M220" i="1"/>
  <c r="N220" i="1" s="1"/>
  <c r="V220" i="1"/>
  <c r="S48" i="3" s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R48" i="3" s="1"/>
  <c r="AF221" i="1"/>
  <c r="AH221" i="1"/>
  <c r="AM221" i="1"/>
  <c r="AN221" i="1"/>
  <c r="K222" i="1"/>
  <c r="L222" i="1"/>
  <c r="M222" i="1"/>
  <c r="N222" i="1" s="1"/>
  <c r="V222" i="1"/>
  <c r="S49" i="3" s="1"/>
  <c r="Y222" i="1"/>
  <c r="Z222" i="1"/>
  <c r="AB222" i="1"/>
  <c r="AC222" i="1"/>
  <c r="AD222" i="1"/>
  <c r="AG222" i="1" s="1"/>
  <c r="AE222" i="1"/>
  <c r="R49" i="3" s="1"/>
  <c r="AF222" i="1"/>
  <c r="AH222" i="1"/>
  <c r="AM222" i="1"/>
  <c r="AN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225" i="1"/>
  <c r="AM225" i="1"/>
  <c r="AN225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26" i="1"/>
  <c r="AM226" i="1"/>
  <c r="AN226" i="1"/>
  <c r="M11" i="3"/>
  <c r="U11" i="3"/>
  <c r="T11" i="3" s="1"/>
  <c r="V11" i="3"/>
  <c r="W11" i="3"/>
  <c r="Y11" i="3" s="1"/>
  <c r="X11" i="3"/>
  <c r="M39" i="3"/>
  <c r="R39" i="3"/>
  <c r="U39" i="3"/>
  <c r="T39" i="3" s="1"/>
  <c r="V39" i="3"/>
  <c r="W39" i="3"/>
  <c r="X39" i="3"/>
  <c r="AC39" i="3"/>
  <c r="M19" i="3"/>
  <c r="U19" i="3"/>
  <c r="AC19" i="3" s="1"/>
  <c r="V19" i="3"/>
  <c r="W19" i="3"/>
  <c r="Y19" i="3" s="1"/>
  <c r="X19" i="3"/>
  <c r="M40" i="3"/>
  <c r="R40" i="3"/>
  <c r="U40" i="3"/>
  <c r="AC40" i="3" s="1"/>
  <c r="V40" i="3"/>
  <c r="W40" i="3"/>
  <c r="X40" i="3"/>
  <c r="M13" i="3"/>
  <c r="U13" i="3"/>
  <c r="AD13" i="3" s="1"/>
  <c r="V13" i="3"/>
  <c r="W13" i="3"/>
  <c r="X13" i="3"/>
  <c r="AC13" i="3"/>
  <c r="M23" i="3"/>
  <c r="U23" i="3"/>
  <c r="AC23" i="3" s="1"/>
  <c r="V23" i="3"/>
  <c r="W23" i="3"/>
  <c r="X23" i="3"/>
  <c r="M16" i="3"/>
  <c r="U16" i="3"/>
  <c r="AC16" i="3" s="1"/>
  <c r="V16" i="3"/>
  <c r="AE16" i="3" s="1"/>
  <c r="W16" i="3"/>
  <c r="Y16" i="3" s="1"/>
  <c r="X16" i="3"/>
  <c r="M41" i="3"/>
  <c r="S41" i="3"/>
  <c r="U41" i="3"/>
  <c r="AC41" i="3" s="1"/>
  <c r="V41" i="3"/>
  <c r="W41" i="3"/>
  <c r="X41" i="3"/>
  <c r="AD16" i="3"/>
  <c r="M50" i="3"/>
  <c r="U50" i="3"/>
  <c r="T50" i="3" s="1"/>
  <c r="V50" i="3"/>
  <c r="W50" i="3"/>
  <c r="X50" i="3"/>
  <c r="AC50" i="3"/>
  <c r="M35" i="3"/>
  <c r="U35" i="3"/>
  <c r="AC35" i="3" s="1"/>
  <c r="V35" i="3"/>
  <c r="W35" i="3"/>
  <c r="Y35" i="3" s="1"/>
  <c r="X35" i="3"/>
  <c r="M42" i="3"/>
  <c r="U42" i="3"/>
  <c r="AC42" i="3" s="1"/>
  <c r="V42" i="3"/>
  <c r="W42" i="3"/>
  <c r="X42" i="3"/>
  <c r="M52" i="3"/>
  <c r="U52" i="3"/>
  <c r="AC52" i="3" s="1"/>
  <c r="V52" i="3"/>
  <c r="W52" i="3"/>
  <c r="X52" i="3"/>
  <c r="M36" i="3"/>
  <c r="U36" i="3"/>
  <c r="AD36" i="3" s="1"/>
  <c r="V36" i="3"/>
  <c r="W36" i="3"/>
  <c r="X36" i="3"/>
  <c r="AC36" i="3"/>
  <c r="M31" i="3"/>
  <c r="U31" i="3"/>
  <c r="AC31" i="3" s="1"/>
  <c r="V31" i="3"/>
  <c r="W31" i="3"/>
  <c r="X31" i="3"/>
  <c r="M22" i="3"/>
  <c r="U22" i="3"/>
  <c r="AC22" i="3" s="1"/>
  <c r="V22" i="3"/>
  <c r="W22" i="3"/>
  <c r="X22" i="3"/>
  <c r="Y22" i="3"/>
  <c r="M43" i="3"/>
  <c r="U43" i="3"/>
  <c r="AC43" i="3" s="1"/>
  <c r="V43" i="3"/>
  <c r="W43" i="3"/>
  <c r="Y43" i="3" s="1"/>
  <c r="X43" i="3"/>
  <c r="M38" i="3"/>
  <c r="U38" i="3"/>
  <c r="T38" i="3" s="1"/>
  <c r="V38" i="3"/>
  <c r="W38" i="3"/>
  <c r="X38" i="3"/>
  <c r="AC38" i="3"/>
  <c r="M26" i="3"/>
  <c r="U26" i="3"/>
  <c r="AD26" i="3" s="1"/>
  <c r="V26" i="3"/>
  <c r="W26" i="3"/>
  <c r="X26" i="3"/>
  <c r="Y26" i="3"/>
  <c r="M18" i="3"/>
  <c r="R18" i="3"/>
  <c r="U18" i="3"/>
  <c r="AC18" i="3" s="1"/>
  <c r="V18" i="3"/>
  <c r="W18" i="3"/>
  <c r="X18" i="3"/>
  <c r="M17" i="3"/>
  <c r="U17" i="3"/>
  <c r="AC17" i="3" s="1"/>
  <c r="V17" i="3"/>
  <c r="W17" i="3"/>
  <c r="X17" i="3"/>
  <c r="M20" i="3"/>
  <c r="R20" i="3"/>
  <c r="U20" i="3"/>
  <c r="T20" i="3" s="1"/>
  <c r="V20" i="3"/>
  <c r="W20" i="3"/>
  <c r="X20" i="3"/>
  <c r="AC20" i="3"/>
  <c r="M7" i="3"/>
  <c r="U7" i="3"/>
  <c r="V7" i="3"/>
  <c r="W7" i="3"/>
  <c r="X7" i="3"/>
  <c r="M37" i="3"/>
  <c r="U37" i="3"/>
  <c r="AC37" i="3" s="1"/>
  <c r="V37" i="3"/>
  <c r="W37" i="3"/>
  <c r="X37" i="3"/>
  <c r="M8" i="3"/>
  <c r="R8" i="3"/>
  <c r="T8" i="3"/>
  <c r="U8" i="3"/>
  <c r="AC8" i="3" s="1"/>
  <c r="V8" i="3"/>
  <c r="W8" i="3"/>
  <c r="X8" i="3"/>
  <c r="M21" i="3"/>
  <c r="R21" i="3"/>
  <c r="U21" i="3"/>
  <c r="V21" i="3"/>
  <c r="W21" i="3"/>
  <c r="X21" i="3"/>
  <c r="AC21" i="3"/>
  <c r="M44" i="3"/>
  <c r="U44" i="3"/>
  <c r="V44" i="3"/>
  <c r="W44" i="3"/>
  <c r="X44" i="3"/>
  <c r="M10" i="3"/>
  <c r="R10" i="3"/>
  <c r="U10" i="3"/>
  <c r="AC10" i="3" s="1"/>
  <c r="V10" i="3"/>
  <c r="W10" i="3"/>
  <c r="X10" i="3"/>
  <c r="Y10" i="3"/>
  <c r="M46" i="3"/>
  <c r="U46" i="3"/>
  <c r="AC46" i="3" s="1"/>
  <c r="V46" i="3"/>
  <c r="W46" i="3"/>
  <c r="X46" i="3"/>
  <c r="M49" i="3"/>
  <c r="U49" i="3"/>
  <c r="T49" i="3" s="1"/>
  <c r="V49" i="3"/>
  <c r="W49" i="3"/>
  <c r="X49" i="3"/>
  <c r="AC49" i="3"/>
  <c r="M47" i="3"/>
  <c r="U47" i="3"/>
  <c r="AD47" i="3" s="1"/>
  <c r="V47" i="3"/>
  <c r="W47" i="3"/>
  <c r="X47" i="3"/>
  <c r="AC47" i="3"/>
  <c r="M27" i="3"/>
  <c r="R27" i="3"/>
  <c r="U27" i="3"/>
  <c r="AC27" i="3" s="1"/>
  <c r="V27" i="3"/>
  <c r="W27" i="3"/>
  <c r="Y27" i="3" s="1"/>
  <c r="X27" i="3"/>
  <c r="M48" i="3"/>
  <c r="U48" i="3"/>
  <c r="AC48" i="3" s="1"/>
  <c r="V48" i="3"/>
  <c r="W48" i="3"/>
  <c r="X48" i="3"/>
  <c r="M45" i="3"/>
  <c r="U45" i="3"/>
  <c r="T45" i="3" s="1"/>
  <c r="V45" i="3"/>
  <c r="W45" i="3"/>
  <c r="X45" i="3"/>
  <c r="AC45" i="3"/>
  <c r="M28" i="3"/>
  <c r="R28" i="3"/>
  <c r="U28" i="3"/>
  <c r="V28" i="3"/>
  <c r="W28" i="3"/>
  <c r="X28" i="3"/>
  <c r="AC28" i="3"/>
  <c r="M24" i="3"/>
  <c r="R24" i="3"/>
  <c r="U24" i="3"/>
  <c r="AC24" i="3" s="1"/>
  <c r="V24" i="3"/>
  <c r="W24" i="3"/>
  <c r="Y24" i="3" s="1"/>
  <c r="X24" i="3"/>
  <c r="M29" i="3"/>
  <c r="R29" i="3"/>
  <c r="U29" i="3"/>
  <c r="AC29" i="3" s="1"/>
  <c r="V29" i="3"/>
  <c r="W29" i="3"/>
  <c r="Y29" i="3" s="1"/>
  <c r="X29" i="3"/>
  <c r="AD43" i="3"/>
  <c r="AE43" i="3"/>
  <c r="M32" i="3"/>
  <c r="R32" i="3"/>
  <c r="U32" i="3"/>
  <c r="T32" i="3" s="1"/>
  <c r="V32" i="3"/>
  <c r="W32" i="3"/>
  <c r="X32" i="3"/>
  <c r="AC32" i="3"/>
  <c r="M9" i="3"/>
  <c r="R9" i="3"/>
  <c r="U9" i="3"/>
  <c r="V9" i="3"/>
  <c r="W9" i="3"/>
  <c r="Y9" i="3" s="1"/>
  <c r="X9" i="3"/>
  <c r="M30" i="3"/>
  <c r="R30" i="3"/>
  <c r="U30" i="3"/>
  <c r="AC30" i="3" s="1"/>
  <c r="V30" i="3"/>
  <c r="W30" i="3"/>
  <c r="X30" i="3"/>
  <c r="M51" i="3"/>
  <c r="U51" i="3"/>
  <c r="AC51" i="3" s="1"/>
  <c r="V51" i="3"/>
  <c r="W51" i="3"/>
  <c r="X51" i="3"/>
  <c r="M14" i="3"/>
  <c r="R14" i="3"/>
  <c r="U14" i="3"/>
  <c r="T14" i="3" s="1"/>
  <c r="V14" i="3"/>
  <c r="W14" i="3"/>
  <c r="X14" i="3"/>
  <c r="AC14" i="3"/>
  <c r="M33" i="3"/>
  <c r="R33" i="3"/>
  <c r="U33" i="3"/>
  <c r="V33" i="3"/>
  <c r="W33" i="3"/>
  <c r="Y33" i="3" s="1"/>
  <c r="X33" i="3"/>
  <c r="M25" i="3"/>
  <c r="R25" i="3"/>
  <c r="U25" i="3"/>
  <c r="AC25" i="3" s="1"/>
  <c r="V25" i="3"/>
  <c r="W25" i="3"/>
  <c r="X25" i="3"/>
  <c r="M15" i="3"/>
  <c r="R15" i="3"/>
  <c r="U15" i="3"/>
  <c r="AC15" i="3" s="1"/>
  <c r="V15" i="3"/>
  <c r="W15" i="3"/>
  <c r="X15" i="3"/>
  <c r="AD51" i="3"/>
  <c r="AE51" i="3"/>
  <c r="M34" i="3"/>
  <c r="R34" i="3"/>
  <c r="U34" i="3"/>
  <c r="AD52" i="3" s="1"/>
  <c r="V34" i="3"/>
  <c r="W34" i="3"/>
  <c r="X34" i="3"/>
  <c r="AC34" i="3"/>
  <c r="X181" i="1" l="1"/>
  <c r="S18" i="3"/>
  <c r="R35" i="3"/>
  <c r="X204" i="1"/>
  <c r="AA32" i="1"/>
  <c r="AA28" i="1"/>
  <c r="AA24" i="1"/>
  <c r="W24" i="1" s="1"/>
  <c r="AA22" i="1"/>
  <c r="AA14" i="1"/>
  <c r="AA39" i="1"/>
  <c r="T183" i="1"/>
  <c r="X183" i="1"/>
  <c r="T178" i="1"/>
  <c r="X178" i="1"/>
  <c r="T182" i="1"/>
  <c r="X182" i="1"/>
  <c r="T180" i="1"/>
  <c r="X180" i="1"/>
  <c r="AA132" i="1"/>
  <c r="W132" i="1" s="1"/>
  <c r="AA128" i="1"/>
  <c r="AA116" i="1"/>
  <c r="T179" i="1"/>
  <c r="X179" i="1"/>
  <c r="T164" i="1"/>
  <c r="X164" i="1"/>
  <c r="T163" i="1"/>
  <c r="X163" i="1"/>
  <c r="AG204" i="1"/>
  <c r="U204" i="1" s="1"/>
  <c r="S204" i="1" s="1"/>
  <c r="X203" i="1"/>
  <c r="AD49" i="3"/>
  <c r="AD48" i="3"/>
  <c r="AE48" i="3"/>
  <c r="Y45" i="3"/>
  <c r="Y39" i="3"/>
  <c r="AD41" i="3"/>
  <c r="AD38" i="3"/>
  <c r="Y30" i="3"/>
  <c r="Y7" i="3"/>
  <c r="Y23" i="3"/>
  <c r="Y40" i="3"/>
  <c r="AD45" i="3"/>
  <c r="T29" i="3"/>
  <c r="AD37" i="3"/>
  <c r="AE37" i="3"/>
  <c r="AD34" i="3"/>
  <c r="Y18" i="3"/>
  <c r="T43" i="3"/>
  <c r="T52" i="3"/>
  <c r="Y50" i="3"/>
  <c r="X144" i="1"/>
  <c r="AG145" i="1"/>
  <c r="AI145" i="1" s="1"/>
  <c r="X145" i="1"/>
  <c r="X92" i="1"/>
  <c r="X88" i="1"/>
  <c r="X87" i="1"/>
  <c r="AA156" i="1"/>
  <c r="W156" i="1" s="1"/>
  <c r="AA139" i="1"/>
  <c r="W139" i="1" s="1"/>
  <c r="X128" i="1"/>
  <c r="X115" i="1"/>
  <c r="AA160" i="1"/>
  <c r="AA91" i="1"/>
  <c r="W91" i="1" s="1"/>
  <c r="AA87" i="1"/>
  <c r="W87" i="1" s="1"/>
  <c r="AA100" i="1"/>
  <c r="W100" i="1" s="1"/>
  <c r="AA169" i="1"/>
  <c r="U144" i="1"/>
  <c r="S144" i="1" s="1"/>
  <c r="AI144" i="1"/>
  <c r="W144" i="1"/>
  <c r="T126" i="1"/>
  <c r="X126" i="1"/>
  <c r="AG183" i="1"/>
  <c r="AG124" i="1"/>
  <c r="AI124" i="1" s="1"/>
  <c r="X124" i="1"/>
  <c r="T123" i="1"/>
  <c r="X123" i="1"/>
  <c r="T102" i="1"/>
  <c r="U102" i="1" s="1"/>
  <c r="S102" i="1" s="1"/>
  <c r="S7" i="3"/>
  <c r="T129" i="1"/>
  <c r="X129" i="1"/>
  <c r="AG127" i="1"/>
  <c r="AI127" i="1" s="1"/>
  <c r="X127" i="1"/>
  <c r="X125" i="1"/>
  <c r="T96" i="1"/>
  <c r="AA193" i="1"/>
  <c r="AA161" i="1"/>
  <c r="AG196" i="1"/>
  <c r="U196" i="1" s="1"/>
  <c r="S196" i="1" s="1"/>
  <c r="X196" i="1"/>
  <c r="X195" i="1"/>
  <c r="X158" i="1"/>
  <c r="AG113" i="1"/>
  <c r="X113" i="1"/>
  <c r="AA189" i="1"/>
  <c r="X185" i="1"/>
  <c r="AA185" i="1"/>
  <c r="AA224" i="1"/>
  <c r="AA194" i="1"/>
  <c r="W194" i="1" s="1"/>
  <c r="T158" i="1"/>
  <c r="X137" i="1"/>
  <c r="AG116" i="1"/>
  <c r="X116" i="1"/>
  <c r="AG114" i="1"/>
  <c r="AI114" i="1" s="1"/>
  <c r="X114" i="1"/>
  <c r="AG169" i="1"/>
  <c r="U169" i="1" s="1"/>
  <c r="S169" i="1" s="1"/>
  <c r="AA168" i="1"/>
  <c r="AA63" i="1"/>
  <c r="AA61" i="1"/>
  <c r="X33" i="1"/>
  <c r="X29" i="1"/>
  <c r="X21" i="1"/>
  <c r="AA48" i="1"/>
  <c r="W48" i="1" s="1"/>
  <c r="X112" i="1"/>
  <c r="X177" i="1"/>
  <c r="AG176" i="1"/>
  <c r="U176" i="1" s="1"/>
  <c r="S176" i="1" s="1"/>
  <c r="AG53" i="1"/>
  <c r="AI53" i="1" s="1"/>
  <c r="X53" i="1"/>
  <c r="X20" i="1"/>
  <c r="X16" i="1"/>
  <c r="S42" i="3"/>
  <c r="U96" i="1"/>
  <c r="S96" i="1" s="1"/>
  <c r="AA202" i="1"/>
  <c r="W202" i="1" s="1"/>
  <c r="AA198" i="1"/>
  <c r="W198" i="1" s="1"/>
  <c r="AA143" i="1"/>
  <c r="W143" i="1" s="1"/>
  <c r="AA138" i="1"/>
  <c r="AA131" i="1"/>
  <c r="W131" i="1" s="1"/>
  <c r="T100" i="1"/>
  <c r="U100" i="1" s="1"/>
  <c r="AA99" i="1"/>
  <c r="AA190" i="1"/>
  <c r="X188" i="1"/>
  <c r="AG182" i="1"/>
  <c r="AA94" i="1"/>
  <c r="AA177" i="1"/>
  <c r="T177" i="1"/>
  <c r="AG166" i="1"/>
  <c r="AI166" i="1" s="1"/>
  <c r="X166" i="1"/>
  <c r="T160" i="1"/>
  <c r="AA85" i="1"/>
  <c r="X62" i="1"/>
  <c r="AA56" i="1"/>
  <c r="AA53" i="1"/>
  <c r="AG51" i="1"/>
  <c r="AI51" i="1" s="1"/>
  <c r="X45" i="1"/>
  <c r="AA43" i="1"/>
  <c r="X41" i="1"/>
  <c r="AA35" i="1"/>
  <c r="X15" i="1"/>
  <c r="T161" i="1"/>
  <c r="X161" i="1"/>
  <c r="AA213" i="1"/>
  <c r="W213" i="1" s="1"/>
  <c r="AA201" i="1"/>
  <c r="AA149" i="1"/>
  <c r="W149" i="1" s="1"/>
  <c r="AA145" i="1"/>
  <c r="AA188" i="1"/>
  <c r="W188" i="1" s="1"/>
  <c r="T188" i="1"/>
  <c r="U188" i="1" s="1"/>
  <c r="S188" i="1" s="1"/>
  <c r="AA187" i="1"/>
  <c r="W187" i="1" s="1"/>
  <c r="AG177" i="1"/>
  <c r="AA88" i="1"/>
  <c r="AG75" i="1"/>
  <c r="AI75" i="1" s="1"/>
  <c r="AA55" i="1"/>
  <c r="AA51" i="1"/>
  <c r="X48" i="1"/>
  <c r="AA44" i="1"/>
  <c r="W44" i="1" s="1"/>
  <c r="X35" i="1"/>
  <c r="AA23" i="1"/>
  <c r="AA222" i="1"/>
  <c r="W222" i="1" s="1"/>
  <c r="X200" i="1"/>
  <c r="X117" i="1"/>
  <c r="AG190" i="1"/>
  <c r="U190" i="1" s="1"/>
  <c r="S190" i="1" s="1"/>
  <c r="AA206" i="1"/>
  <c r="W206" i="1" s="1"/>
  <c r="R45" i="3"/>
  <c r="R7" i="3"/>
  <c r="AA226" i="1"/>
  <c r="W226" i="1" s="1"/>
  <c r="AA216" i="1"/>
  <c r="AA212" i="1"/>
  <c r="AA210" i="1"/>
  <c r="W210" i="1" s="1"/>
  <c r="T200" i="1"/>
  <c r="AA155" i="1"/>
  <c r="AG129" i="1"/>
  <c r="AA127" i="1"/>
  <c r="AA124" i="1"/>
  <c r="AA105" i="1"/>
  <c r="T192" i="1"/>
  <c r="U192" i="1" s="1"/>
  <c r="S192" i="1" s="1"/>
  <c r="AA191" i="1"/>
  <c r="W191" i="1" s="1"/>
  <c r="AA182" i="1"/>
  <c r="X94" i="1"/>
  <c r="AA176" i="1"/>
  <c r="X173" i="1"/>
  <c r="AA93" i="1"/>
  <c r="AA166" i="1"/>
  <c r="AA80" i="1"/>
  <c r="T78" i="1"/>
  <c r="U78" i="1" s="1"/>
  <c r="S78" i="1" s="1"/>
  <c r="AA77" i="1"/>
  <c r="AA72" i="1"/>
  <c r="AA64" i="1"/>
  <c r="AA60" i="1"/>
  <c r="AA47" i="1"/>
  <c r="T41" i="1"/>
  <c r="X32" i="1"/>
  <c r="T29" i="1"/>
  <c r="X17" i="1"/>
  <c r="X93" i="1"/>
  <c r="AA83" i="1"/>
  <c r="AA81" i="1"/>
  <c r="W81" i="1" s="1"/>
  <c r="AA78" i="1"/>
  <c r="W78" i="1" s="1"/>
  <c r="AA67" i="1"/>
  <c r="T45" i="1"/>
  <c r="AA31" i="1"/>
  <c r="W31" i="1" s="1"/>
  <c r="AA18" i="1"/>
  <c r="AA16" i="1"/>
  <c r="AG219" i="1"/>
  <c r="AI219" i="1" s="1"/>
  <c r="X219" i="1"/>
  <c r="AA217" i="1"/>
  <c r="W217" i="1" s="1"/>
  <c r="AA146" i="1"/>
  <c r="AI120" i="1"/>
  <c r="AG105" i="1"/>
  <c r="U105" i="1" s="1"/>
  <c r="S105" i="1" s="1"/>
  <c r="AA207" i="1"/>
  <c r="X215" i="1"/>
  <c r="AG158" i="1"/>
  <c r="X154" i="1"/>
  <c r="AG150" i="1"/>
  <c r="AG137" i="1"/>
  <c r="U137" i="1" s="1"/>
  <c r="S137" i="1" s="1"/>
  <c r="AA135" i="1"/>
  <c r="W135" i="1" s="1"/>
  <c r="AG111" i="1"/>
  <c r="U111" i="1" s="1"/>
  <c r="S111" i="1" s="1"/>
  <c r="AG209" i="1"/>
  <c r="U209" i="1" s="1"/>
  <c r="S209" i="1" s="1"/>
  <c r="AA96" i="1"/>
  <c r="W96" i="1" s="1"/>
  <c r="AA181" i="1"/>
  <c r="T93" i="1"/>
  <c r="AG83" i="1"/>
  <c r="AI83" i="1" s="1"/>
  <c r="X81" i="1"/>
  <c r="AG70" i="1"/>
  <c r="AI70" i="1" s="1"/>
  <c r="X70" i="1"/>
  <c r="AG49" i="1"/>
  <c r="AI49" i="1" s="1"/>
  <c r="X49" i="1"/>
  <c r="AG45" i="1"/>
  <c r="AI45" i="1" s="1"/>
  <c r="X44" i="1"/>
  <c r="AG43" i="1"/>
  <c r="AI43" i="1" s="1"/>
  <c r="AG32" i="1"/>
  <c r="AI32" i="1" s="1"/>
  <c r="X28" i="1"/>
  <c r="AA19" i="1"/>
  <c r="X222" i="1"/>
  <c r="AG223" i="1"/>
  <c r="AI223" i="1" s="1"/>
  <c r="X223" i="1"/>
  <c r="AA221" i="1"/>
  <c r="W221" i="1" s="1"/>
  <c r="S45" i="3"/>
  <c r="S46" i="3"/>
  <c r="S47" i="3"/>
  <c r="AA218" i="1"/>
  <c r="W218" i="1" s="1"/>
  <c r="X211" i="1"/>
  <c r="AG211" i="1"/>
  <c r="T211" i="1"/>
  <c r="AA220" i="1"/>
  <c r="AA197" i="1"/>
  <c r="AA195" i="1"/>
  <c r="W195" i="1" s="1"/>
  <c r="AA152" i="1"/>
  <c r="W152" i="1" s="1"/>
  <c r="X150" i="1"/>
  <c r="X146" i="1"/>
  <c r="AA140" i="1"/>
  <c r="W140" i="1" s="1"/>
  <c r="X136" i="1"/>
  <c r="AA120" i="1"/>
  <c r="W120" i="1" s="1"/>
  <c r="AA112" i="1"/>
  <c r="T109" i="1"/>
  <c r="U109" i="1" s="1"/>
  <c r="S109" i="1" s="1"/>
  <c r="AA108" i="1"/>
  <c r="T191" i="1"/>
  <c r="U191" i="1" s="1"/>
  <c r="S191" i="1" s="1"/>
  <c r="AA173" i="1"/>
  <c r="T173" i="1"/>
  <c r="AA164" i="1"/>
  <c r="T92" i="1"/>
  <c r="X78" i="1"/>
  <c r="AA65" i="1"/>
  <c r="W65" i="1" s="1"/>
  <c r="AA59" i="1"/>
  <c r="AA57" i="1"/>
  <c r="W57" i="1" s="1"/>
  <c r="AA54" i="1"/>
  <c r="AA38" i="1"/>
  <c r="X37" i="1"/>
  <c r="AA37" i="1"/>
  <c r="AA17" i="1"/>
  <c r="T17" i="1"/>
  <c r="X73" i="1"/>
  <c r="AA214" i="1"/>
  <c r="W214" i="1" s="1"/>
  <c r="AA199" i="1"/>
  <c r="W199" i="1" s="1"/>
  <c r="AA153" i="1"/>
  <c r="W153" i="1" s="1"/>
  <c r="X141" i="1"/>
  <c r="AA121" i="1"/>
  <c r="AA118" i="1"/>
  <c r="AA109" i="1"/>
  <c r="W109" i="1" s="1"/>
  <c r="AG107" i="1"/>
  <c r="AI107" i="1" s="1"/>
  <c r="AG207" i="1"/>
  <c r="U207" i="1" s="1"/>
  <c r="S207" i="1" s="1"/>
  <c r="AA98" i="1"/>
  <c r="X190" i="1"/>
  <c r="AG173" i="1"/>
  <c r="AA172" i="1"/>
  <c r="AG92" i="1"/>
  <c r="AI92" i="1" s="1"/>
  <c r="AA86" i="1"/>
  <c r="AG77" i="1"/>
  <c r="AI77" i="1" s="1"/>
  <c r="X74" i="1"/>
  <c r="AA69" i="1"/>
  <c r="AG67" i="1"/>
  <c r="AI67" i="1" s="1"/>
  <c r="X65" i="1"/>
  <c r="X57" i="1"/>
  <c r="AG47" i="1"/>
  <c r="AI47" i="1" s="1"/>
  <c r="AA40" i="1"/>
  <c r="W40" i="1" s="1"/>
  <c r="AA27" i="1"/>
  <c r="X25" i="1"/>
  <c r="AG17" i="1"/>
  <c r="AI17" i="1" s="1"/>
  <c r="AA225" i="1"/>
  <c r="W225" i="1" s="1"/>
  <c r="AG215" i="1"/>
  <c r="AI215" i="1" s="1"/>
  <c r="X214" i="1"/>
  <c r="AA205" i="1"/>
  <c r="AA203" i="1"/>
  <c r="W203" i="1" s="1"/>
  <c r="AG200" i="1"/>
  <c r="AA157" i="1"/>
  <c r="W157" i="1" s="1"/>
  <c r="AG154" i="1"/>
  <c r="U154" i="1" s="1"/>
  <c r="S154" i="1" s="1"/>
  <c r="X153" i="1"/>
  <c r="AA150" i="1"/>
  <c r="AA148" i="1"/>
  <c r="AA142" i="1"/>
  <c r="AA136" i="1"/>
  <c r="W136" i="1" s="1"/>
  <c r="AA133" i="1"/>
  <c r="X132" i="1"/>
  <c r="AA130" i="1"/>
  <c r="X122" i="1"/>
  <c r="AG121" i="1"/>
  <c r="U121" i="1" s="1"/>
  <c r="S121" i="1" s="1"/>
  <c r="X121" i="1"/>
  <c r="AA117" i="1"/>
  <c r="T116" i="1"/>
  <c r="AA114" i="1"/>
  <c r="AA104" i="1"/>
  <c r="AA103" i="1"/>
  <c r="AG98" i="1"/>
  <c r="U98" i="1" s="1"/>
  <c r="S98" i="1" s="1"/>
  <c r="AA184" i="1"/>
  <c r="W184" i="1" s="1"/>
  <c r="AG94" i="1"/>
  <c r="U94" i="1" s="1"/>
  <c r="S94" i="1" s="1"/>
  <c r="AG172" i="1"/>
  <c r="AI172" i="1" s="1"/>
  <c r="AG93" i="1"/>
  <c r="AA165" i="1"/>
  <c r="W165" i="1" s="1"/>
  <c r="AA162" i="1"/>
  <c r="W162" i="1" s="1"/>
  <c r="AA90" i="1"/>
  <c r="AA75" i="1"/>
  <c r="W75" i="1" s="1"/>
  <c r="AA73" i="1"/>
  <c r="AA70" i="1"/>
  <c r="AG69" i="1"/>
  <c r="AI69" i="1" s="1"/>
  <c r="AG41" i="1"/>
  <c r="AI41" i="1" s="1"/>
  <c r="X40" i="1"/>
  <c r="X39" i="1"/>
  <c r="AA33" i="1"/>
  <c r="AA26" i="1"/>
  <c r="X24" i="1"/>
  <c r="T21" i="1"/>
  <c r="AA20" i="1"/>
  <c r="W20" i="1" s="1"/>
  <c r="AA15" i="1"/>
  <c r="W15" i="1" s="1"/>
  <c r="T149" i="1"/>
  <c r="U149" i="1" s="1"/>
  <c r="S149" i="1" s="1"/>
  <c r="AA147" i="1"/>
  <c r="T146" i="1"/>
  <c r="X140" i="1"/>
  <c r="AA123" i="1"/>
  <c r="AA122" i="1"/>
  <c r="T122" i="1"/>
  <c r="U107" i="1"/>
  <c r="S107" i="1" s="1"/>
  <c r="R46" i="3"/>
  <c r="T226" i="1"/>
  <c r="U226" i="1" s="1"/>
  <c r="S226" i="1" s="1"/>
  <c r="AA219" i="1"/>
  <c r="T218" i="1"/>
  <c r="U218" i="1" s="1"/>
  <c r="S218" i="1" s="1"/>
  <c r="AA211" i="1"/>
  <c r="T210" i="1"/>
  <c r="U210" i="1" s="1"/>
  <c r="S210" i="1" s="1"/>
  <c r="AA200" i="1"/>
  <c r="T199" i="1"/>
  <c r="U199" i="1" s="1"/>
  <c r="S199" i="1" s="1"/>
  <c r="AA158" i="1"/>
  <c r="T157" i="1"/>
  <c r="U157" i="1" s="1"/>
  <c r="S157" i="1" s="1"/>
  <c r="T145" i="1"/>
  <c r="AG133" i="1"/>
  <c r="U133" i="1" s="1"/>
  <c r="S133" i="1" s="1"/>
  <c r="X133" i="1"/>
  <c r="T128" i="1"/>
  <c r="AA126" i="1"/>
  <c r="AA125" i="1"/>
  <c r="T125" i="1"/>
  <c r="AG118" i="1"/>
  <c r="U118" i="1" s="1"/>
  <c r="S118" i="1" s="1"/>
  <c r="AA115" i="1"/>
  <c r="T114" i="1"/>
  <c r="AA113" i="1"/>
  <c r="T113" i="1"/>
  <c r="AA111" i="1"/>
  <c r="X110" i="1"/>
  <c r="AA106" i="1"/>
  <c r="W106" i="1" s="1"/>
  <c r="T106" i="1"/>
  <c r="U106" i="1" s="1"/>
  <c r="X105" i="1"/>
  <c r="AA209" i="1"/>
  <c r="X208" i="1"/>
  <c r="AA101" i="1"/>
  <c r="W101" i="1" s="1"/>
  <c r="T101" i="1"/>
  <c r="U101" i="1" s="1"/>
  <c r="X100" i="1"/>
  <c r="X97" i="1"/>
  <c r="AG189" i="1"/>
  <c r="U189" i="1" s="1"/>
  <c r="S189" i="1" s="1"/>
  <c r="AI65" i="1"/>
  <c r="AI57" i="1"/>
  <c r="X149" i="1"/>
  <c r="AG146" i="1"/>
  <c r="AA141" i="1"/>
  <c r="T140" i="1"/>
  <c r="U140" i="1" s="1"/>
  <c r="S140" i="1" s="1"/>
  <c r="T132" i="1"/>
  <c r="U132" i="1" s="1"/>
  <c r="S132" i="1" s="1"/>
  <c r="AA129" i="1"/>
  <c r="AG128" i="1"/>
  <c r="AI128" i="1" s="1"/>
  <c r="AG122" i="1"/>
  <c r="R47" i="3"/>
  <c r="X226" i="1"/>
  <c r="AA223" i="1"/>
  <c r="T222" i="1"/>
  <c r="U222" i="1" s="1"/>
  <c r="S222" i="1" s="1"/>
  <c r="X218" i="1"/>
  <c r="AA215" i="1"/>
  <c r="T214" i="1"/>
  <c r="U214" i="1" s="1"/>
  <c r="S214" i="1" s="1"/>
  <c r="X210" i="1"/>
  <c r="AA204" i="1"/>
  <c r="T203" i="1"/>
  <c r="U203" i="1" s="1"/>
  <c r="S203" i="1" s="1"/>
  <c r="X199" i="1"/>
  <c r="AA196" i="1"/>
  <c r="T195" i="1"/>
  <c r="U195" i="1" s="1"/>
  <c r="S195" i="1" s="1"/>
  <c r="X157" i="1"/>
  <c r="AA154" i="1"/>
  <c r="T153" i="1"/>
  <c r="U153" i="1" s="1"/>
  <c r="S153" i="1" s="1"/>
  <c r="AA151" i="1"/>
  <c r="AG141" i="1"/>
  <c r="U141" i="1" s="1"/>
  <c r="S141" i="1" s="1"/>
  <c r="AA137" i="1"/>
  <c r="T136" i="1"/>
  <c r="U136" i="1" s="1"/>
  <c r="S136" i="1" s="1"/>
  <c r="AA134" i="1"/>
  <c r="AG125" i="1"/>
  <c r="AA119" i="1"/>
  <c r="AA110" i="1"/>
  <c r="W110" i="1" s="1"/>
  <c r="T110" i="1"/>
  <c r="U110" i="1" s="1"/>
  <c r="S110" i="1" s="1"/>
  <c r="X109" i="1"/>
  <c r="AA107" i="1"/>
  <c r="X106" i="1"/>
  <c r="AA208" i="1"/>
  <c r="W208" i="1" s="1"/>
  <c r="T208" i="1"/>
  <c r="U208" i="1" s="1"/>
  <c r="S208" i="1" s="1"/>
  <c r="X207" i="1"/>
  <c r="AA102" i="1"/>
  <c r="W102" i="1" s="1"/>
  <c r="X101" i="1"/>
  <c r="AA97" i="1"/>
  <c r="W97" i="1" s="1"/>
  <c r="T97" i="1"/>
  <c r="U97" i="1" s="1"/>
  <c r="S97" i="1" s="1"/>
  <c r="X96" i="1"/>
  <c r="AA192" i="1"/>
  <c r="W192" i="1" s="1"/>
  <c r="X191" i="1"/>
  <c r="AI81" i="1"/>
  <c r="T187" i="1"/>
  <c r="U187" i="1" s="1"/>
  <c r="S187" i="1" s="1"/>
  <c r="AA186" i="1"/>
  <c r="T185" i="1"/>
  <c r="AG180" i="1"/>
  <c r="AA179" i="1"/>
  <c r="AA178" i="1"/>
  <c r="X176" i="1"/>
  <c r="AG174" i="1"/>
  <c r="AI174" i="1" s="1"/>
  <c r="AA171" i="1"/>
  <c r="AA170" i="1"/>
  <c r="X169" i="1"/>
  <c r="X165" i="1"/>
  <c r="AA92" i="1"/>
  <c r="T91" i="1"/>
  <c r="U91" i="1" s="1"/>
  <c r="S91" i="1" s="1"/>
  <c r="AA89" i="1"/>
  <c r="T88" i="1"/>
  <c r="AG85" i="1"/>
  <c r="X85" i="1"/>
  <c r="AG82" i="1"/>
  <c r="U82" i="1" s="1"/>
  <c r="S82" i="1" s="1"/>
  <c r="X82" i="1"/>
  <c r="AG79" i="1"/>
  <c r="AI79" i="1" s="1"/>
  <c r="AA76" i="1"/>
  <c r="AA74" i="1"/>
  <c r="T74" i="1"/>
  <c r="AG73" i="1"/>
  <c r="AA71" i="1"/>
  <c r="X69" i="1"/>
  <c r="AG66" i="1"/>
  <c r="U66" i="1" s="1"/>
  <c r="S66" i="1" s="1"/>
  <c r="X66" i="1"/>
  <c r="AA62" i="1"/>
  <c r="T62" i="1"/>
  <c r="AG61" i="1"/>
  <c r="AG58" i="1"/>
  <c r="U58" i="1" s="1"/>
  <c r="S58" i="1" s="1"/>
  <c r="X58" i="1"/>
  <c r="AA52" i="1"/>
  <c r="W52" i="1" s="1"/>
  <c r="T52" i="1"/>
  <c r="U52" i="1" s="1"/>
  <c r="S52" i="1" s="1"/>
  <c r="AA49" i="1"/>
  <c r="T48" i="1"/>
  <c r="AA45" i="1"/>
  <c r="T44" i="1"/>
  <c r="U44" i="1" s="1"/>
  <c r="S44" i="1" s="1"/>
  <c r="AA41" i="1"/>
  <c r="T40" i="1"/>
  <c r="U40" i="1" s="1"/>
  <c r="S40" i="1" s="1"/>
  <c r="AG39" i="1"/>
  <c r="T37" i="1"/>
  <c r="AA36" i="1"/>
  <c r="W36" i="1" s="1"/>
  <c r="T36" i="1"/>
  <c r="U36" i="1" s="1"/>
  <c r="S36" i="1" s="1"/>
  <c r="AG35" i="1"/>
  <c r="T33" i="1"/>
  <c r="T31" i="1"/>
  <c r="U31" i="1" s="1"/>
  <c r="S31" i="1" s="1"/>
  <c r="AA30" i="1"/>
  <c r="X187" i="1"/>
  <c r="X162" i="1"/>
  <c r="T87" i="1"/>
  <c r="U87" i="1" s="1"/>
  <c r="S87" i="1" s="1"/>
  <c r="T81" i="1"/>
  <c r="U81" i="1" s="1"/>
  <c r="S81" i="1" s="1"/>
  <c r="T65" i="1"/>
  <c r="U65" i="1" s="1"/>
  <c r="S65" i="1" s="1"/>
  <c r="X61" i="1"/>
  <c r="T57" i="1"/>
  <c r="U57" i="1" s="1"/>
  <c r="S57" i="1" s="1"/>
  <c r="T16" i="1"/>
  <c r="AA95" i="1"/>
  <c r="AG185" i="1"/>
  <c r="AA180" i="1"/>
  <c r="AG178" i="1"/>
  <c r="AA175" i="1"/>
  <c r="AA174" i="1"/>
  <c r="X172" i="1"/>
  <c r="AG170" i="1"/>
  <c r="AI170" i="1" s="1"/>
  <c r="AA167" i="1"/>
  <c r="T165" i="1"/>
  <c r="U165" i="1" s="1"/>
  <c r="S165" i="1" s="1"/>
  <c r="AA163" i="1"/>
  <c r="X91" i="1"/>
  <c r="AG88" i="1"/>
  <c r="X86" i="1"/>
  <c r="AA84" i="1"/>
  <c r="AA82" i="1"/>
  <c r="AA79" i="1"/>
  <c r="X77" i="1"/>
  <c r="AG74" i="1"/>
  <c r="AG71" i="1"/>
  <c r="AI71" i="1" s="1"/>
  <c r="AA68" i="1"/>
  <c r="AA66" i="1"/>
  <c r="AG62" i="1"/>
  <c r="AA58" i="1"/>
  <c r="X52" i="1"/>
  <c r="AA50" i="1"/>
  <c r="AA46" i="1"/>
  <c r="AA42" i="1"/>
  <c r="AG37" i="1"/>
  <c r="AI37" i="1" s="1"/>
  <c r="X36" i="1"/>
  <c r="AG33" i="1"/>
  <c r="AI33" i="1" s="1"/>
  <c r="X31" i="1"/>
  <c r="AA29" i="1"/>
  <c r="T28" i="1"/>
  <c r="U28" i="1" s="1"/>
  <c r="S28" i="1" s="1"/>
  <c r="AA25" i="1"/>
  <c r="T24" i="1"/>
  <c r="U24" i="1" s="1"/>
  <c r="S24" i="1" s="1"/>
  <c r="AA21" i="1"/>
  <c r="T20" i="1"/>
  <c r="U20" i="1" s="1"/>
  <c r="S20" i="1" s="1"/>
  <c r="AG16" i="1"/>
  <c r="T15" i="1"/>
  <c r="U15" i="1" s="1"/>
  <c r="S15" i="1" s="1"/>
  <c r="T162" i="1"/>
  <c r="U162" i="1" s="1"/>
  <c r="S162" i="1" s="1"/>
  <c r="AA34" i="1"/>
  <c r="AG29" i="1"/>
  <c r="AI29" i="1" s="1"/>
  <c r="AG25" i="1"/>
  <c r="AI25" i="1" s="1"/>
  <c r="AG21" i="1"/>
  <c r="AI21" i="1" s="1"/>
  <c r="AI213" i="1"/>
  <c r="AI202" i="1"/>
  <c r="AI194" i="1"/>
  <c r="AI225" i="1"/>
  <c r="AI222" i="1"/>
  <c r="AI206" i="1"/>
  <c r="AI198" i="1"/>
  <c r="AI226" i="1"/>
  <c r="AI217" i="1"/>
  <c r="AI214" i="1"/>
  <c r="W148" i="1"/>
  <c r="AI221" i="1"/>
  <c r="AI218" i="1"/>
  <c r="AI210" i="1"/>
  <c r="X225" i="1"/>
  <c r="T225" i="1"/>
  <c r="U225" i="1" s="1"/>
  <c r="S225" i="1" s="1"/>
  <c r="X221" i="1"/>
  <c r="T221" i="1"/>
  <c r="U221" i="1" s="1"/>
  <c r="S221" i="1" s="1"/>
  <c r="X217" i="1"/>
  <c r="T217" i="1"/>
  <c r="U217" i="1" s="1"/>
  <c r="S217" i="1" s="1"/>
  <c r="X213" i="1"/>
  <c r="T213" i="1"/>
  <c r="U213" i="1" s="1"/>
  <c r="S213" i="1" s="1"/>
  <c r="X206" i="1"/>
  <c r="T206" i="1"/>
  <c r="U206" i="1" s="1"/>
  <c r="S206" i="1" s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X156" i="1"/>
  <c r="T156" i="1"/>
  <c r="U156" i="1" s="1"/>
  <c r="S156" i="1" s="1"/>
  <c r="X152" i="1"/>
  <c r="T152" i="1"/>
  <c r="U152" i="1" s="1"/>
  <c r="S152" i="1" s="1"/>
  <c r="X148" i="1"/>
  <c r="T148" i="1"/>
  <c r="U148" i="1" s="1"/>
  <c r="S148" i="1" s="1"/>
  <c r="X143" i="1"/>
  <c r="T143" i="1"/>
  <c r="U143" i="1" s="1"/>
  <c r="S143" i="1" s="1"/>
  <c r="X139" i="1"/>
  <c r="T139" i="1"/>
  <c r="U139" i="1" s="1"/>
  <c r="S139" i="1" s="1"/>
  <c r="X135" i="1"/>
  <c r="T135" i="1"/>
  <c r="U135" i="1" s="1"/>
  <c r="S135" i="1" s="1"/>
  <c r="X131" i="1"/>
  <c r="T131" i="1"/>
  <c r="U131" i="1" s="1"/>
  <c r="S131" i="1" s="1"/>
  <c r="T127" i="1"/>
  <c r="T124" i="1"/>
  <c r="X120" i="1"/>
  <c r="T120" i="1"/>
  <c r="U120" i="1" s="1"/>
  <c r="S120" i="1" s="1"/>
  <c r="T115" i="1"/>
  <c r="AG115" i="1"/>
  <c r="AI152" i="1"/>
  <c r="AI143" i="1"/>
  <c r="AI135" i="1"/>
  <c r="U150" i="1"/>
  <c r="S150" i="1" s="1"/>
  <c r="AI153" i="1"/>
  <c r="AG224" i="1"/>
  <c r="AG220" i="1"/>
  <c r="AG216" i="1"/>
  <c r="AG212" i="1"/>
  <c r="AG205" i="1"/>
  <c r="AI205" i="1" s="1"/>
  <c r="AG201" i="1"/>
  <c r="AG197" i="1"/>
  <c r="AI197" i="1" s="1"/>
  <c r="AG155" i="1"/>
  <c r="AI155" i="1" s="1"/>
  <c r="AG151" i="1"/>
  <c r="AG147" i="1"/>
  <c r="AI147" i="1" s="1"/>
  <c r="AG142" i="1"/>
  <c r="AI142" i="1" s="1"/>
  <c r="AG138" i="1"/>
  <c r="AG134" i="1"/>
  <c r="AI134" i="1" s="1"/>
  <c r="AG130" i="1"/>
  <c r="AI130" i="1" s="1"/>
  <c r="AG126" i="1"/>
  <c r="AI126" i="1" s="1"/>
  <c r="AG123" i="1"/>
  <c r="AG119" i="1"/>
  <c r="AI119" i="1" s="1"/>
  <c r="AI148" i="1"/>
  <c r="AI139" i="1"/>
  <c r="AI131" i="1"/>
  <c r="X224" i="1"/>
  <c r="X220" i="1"/>
  <c r="X216" i="1"/>
  <c r="X212" i="1"/>
  <c r="X205" i="1"/>
  <c r="X201" i="1"/>
  <c r="AI203" i="1"/>
  <c r="X197" i="1"/>
  <c r="AI199" i="1"/>
  <c r="AI195" i="1"/>
  <c r="X155" i="1"/>
  <c r="AI191" i="1"/>
  <c r="X151" i="1"/>
  <c r="AI187" i="1"/>
  <c r="X147" i="1"/>
  <c r="X142" i="1"/>
  <c r="X138" i="1"/>
  <c r="X134" i="1"/>
  <c r="X130" i="1"/>
  <c r="X119" i="1"/>
  <c r="AG117" i="1"/>
  <c r="X118" i="1"/>
  <c r="AG112" i="1"/>
  <c r="AI112" i="1" s="1"/>
  <c r="X111" i="1"/>
  <c r="AG108" i="1"/>
  <c r="X107" i="1"/>
  <c r="AG104" i="1"/>
  <c r="AI104" i="1" s="1"/>
  <c r="X209" i="1"/>
  <c r="AG103" i="1"/>
  <c r="X102" i="1"/>
  <c r="AG99" i="1"/>
  <c r="AI99" i="1" s="1"/>
  <c r="X98" i="1"/>
  <c r="AG193" i="1"/>
  <c r="X192" i="1"/>
  <c r="AG95" i="1"/>
  <c r="AI95" i="1" s="1"/>
  <c r="X189" i="1"/>
  <c r="AG186" i="1"/>
  <c r="T184" i="1"/>
  <c r="U184" i="1" s="1"/>
  <c r="S184" i="1" s="1"/>
  <c r="X184" i="1"/>
  <c r="AA183" i="1"/>
  <c r="T181" i="1"/>
  <c r="AG181" i="1"/>
  <c r="AI181" i="1" s="1"/>
  <c r="AI91" i="1"/>
  <c r="T112" i="1"/>
  <c r="AI149" i="1"/>
  <c r="X108" i="1"/>
  <c r="T108" i="1"/>
  <c r="X104" i="1"/>
  <c r="T104" i="1"/>
  <c r="AI140" i="1"/>
  <c r="X103" i="1"/>
  <c r="T103" i="1"/>
  <c r="AI136" i="1"/>
  <c r="X99" i="1"/>
  <c r="T99" i="1"/>
  <c r="AI132" i="1"/>
  <c r="X193" i="1"/>
  <c r="T193" i="1"/>
  <c r="X95" i="1"/>
  <c r="T95" i="1"/>
  <c r="X186" i="1"/>
  <c r="T186" i="1"/>
  <c r="AI87" i="1"/>
  <c r="AG167" i="1"/>
  <c r="AI167" i="1" s="1"/>
  <c r="AG163" i="1"/>
  <c r="AG160" i="1"/>
  <c r="AI160" i="1" s="1"/>
  <c r="AG89" i="1"/>
  <c r="AG179" i="1"/>
  <c r="AI179" i="1" s="1"/>
  <c r="AG175" i="1"/>
  <c r="AI175" i="1" s="1"/>
  <c r="X174" i="1"/>
  <c r="AG171" i="1"/>
  <c r="AI171" i="1" s="1"/>
  <c r="X170" i="1"/>
  <c r="AG168" i="1"/>
  <c r="AI168" i="1" s="1"/>
  <c r="X167" i="1"/>
  <c r="AI100" i="1"/>
  <c r="AG164" i="1"/>
  <c r="AI96" i="1"/>
  <c r="AG161" i="1"/>
  <c r="AI161" i="1" s="1"/>
  <c r="AG90" i="1"/>
  <c r="X89" i="1"/>
  <c r="AG86" i="1"/>
  <c r="T86" i="1"/>
  <c r="X175" i="1"/>
  <c r="AI109" i="1"/>
  <c r="X171" i="1"/>
  <c r="X168" i="1"/>
  <c r="X90" i="1"/>
  <c r="T84" i="1"/>
  <c r="X84" i="1"/>
  <c r="AG84" i="1"/>
  <c r="U75" i="1"/>
  <c r="S75" i="1" s="1"/>
  <c r="U71" i="1"/>
  <c r="S71" i="1" s="1"/>
  <c r="AG63" i="1"/>
  <c r="AG59" i="1"/>
  <c r="AG55" i="1"/>
  <c r="U48" i="1"/>
  <c r="S48" i="1" s="1"/>
  <c r="AI48" i="1"/>
  <c r="AI44" i="1"/>
  <c r="AI40" i="1"/>
  <c r="AI31" i="1"/>
  <c r="X83" i="1"/>
  <c r="AG80" i="1"/>
  <c r="X79" i="1"/>
  <c r="AI78" i="1"/>
  <c r="AG76" i="1"/>
  <c r="X75" i="1"/>
  <c r="AG72" i="1"/>
  <c r="X71" i="1"/>
  <c r="AG68" i="1"/>
  <c r="X67" i="1"/>
  <c r="AG64" i="1"/>
  <c r="X63" i="1"/>
  <c r="AG60" i="1"/>
  <c r="X59" i="1"/>
  <c r="AG56" i="1"/>
  <c r="X55" i="1"/>
  <c r="W54" i="1"/>
  <c r="T54" i="1"/>
  <c r="AI52" i="1"/>
  <c r="AI36" i="1"/>
  <c r="W28" i="1"/>
  <c r="X80" i="1"/>
  <c r="X76" i="1"/>
  <c r="X72" i="1"/>
  <c r="X68" i="1"/>
  <c r="X64" i="1"/>
  <c r="X60" i="1"/>
  <c r="X56" i="1"/>
  <c r="AI54" i="1"/>
  <c r="U54" i="1"/>
  <c r="S54" i="1" s="1"/>
  <c r="AI28" i="1"/>
  <c r="AI24" i="1"/>
  <c r="AI20" i="1"/>
  <c r="AI15" i="1"/>
  <c r="X54" i="1"/>
  <c r="AG50" i="1"/>
  <c r="AG46" i="1"/>
  <c r="AG42" i="1"/>
  <c r="AG38" i="1"/>
  <c r="AG34" i="1"/>
  <c r="AG30" i="1"/>
  <c r="AG26" i="1"/>
  <c r="AG22" i="1"/>
  <c r="AG18" i="1"/>
  <c r="AG14" i="1"/>
  <c r="X50" i="1"/>
  <c r="X46" i="1"/>
  <c r="X42" i="1"/>
  <c r="X38" i="1"/>
  <c r="X34" i="1"/>
  <c r="X30" i="1"/>
  <c r="AG27" i="1"/>
  <c r="X26" i="1"/>
  <c r="AG23" i="1"/>
  <c r="X22" i="1"/>
  <c r="AG19" i="1"/>
  <c r="X18" i="1"/>
  <c r="X51" i="1"/>
  <c r="X47" i="1"/>
  <c r="X43" i="1"/>
  <c r="X27" i="1"/>
  <c r="X23" i="1"/>
  <c r="X19" i="1"/>
  <c r="Y25" i="3"/>
  <c r="Y14" i="3"/>
  <c r="Y32" i="3"/>
  <c r="Y48" i="3"/>
  <c r="Y44" i="3"/>
  <c r="AE32" i="3"/>
  <c r="Y37" i="3"/>
  <c r="AD30" i="3"/>
  <c r="AD28" i="3"/>
  <c r="Y38" i="3"/>
  <c r="AD24" i="3"/>
  <c r="Y31" i="3"/>
  <c r="AE20" i="3"/>
  <c r="Y42" i="3"/>
  <c r="Y41" i="3"/>
  <c r="T40" i="3"/>
  <c r="AD32" i="3"/>
  <c r="AD29" i="3"/>
  <c r="AE29" i="3"/>
  <c r="AD20" i="3"/>
  <c r="T15" i="3"/>
  <c r="AC33" i="3"/>
  <c r="T48" i="3"/>
  <c r="Y47" i="3"/>
  <c r="Y46" i="3"/>
  <c r="AD33" i="3"/>
  <c r="Y8" i="3"/>
  <c r="AC7" i="3"/>
  <c r="AE24" i="3"/>
  <c r="AD21" i="3"/>
  <c r="Y52" i="3"/>
  <c r="T41" i="3"/>
  <c r="AD8" i="3"/>
  <c r="T34" i="3"/>
  <c r="Y15" i="3"/>
  <c r="T51" i="3"/>
  <c r="AD44" i="3"/>
  <c r="AE44" i="3"/>
  <c r="AD40" i="3"/>
  <c r="AE40" i="3"/>
  <c r="Y49" i="3"/>
  <c r="AE36" i="3"/>
  <c r="AC44" i="3"/>
  <c r="T21" i="3"/>
  <c r="T17" i="3"/>
  <c r="AD25" i="3"/>
  <c r="AE25" i="3"/>
  <c r="T22" i="3"/>
  <c r="T36" i="3"/>
  <c r="AE19" i="3"/>
  <c r="AD17" i="3"/>
  <c r="AE17" i="3"/>
  <c r="T16" i="3"/>
  <c r="T13" i="3"/>
  <c r="AE11" i="3"/>
  <c r="AD9" i="3"/>
  <c r="AE9" i="3"/>
  <c r="Y21" i="3"/>
  <c r="Y17" i="3"/>
  <c r="Y36" i="3"/>
  <c r="Y13" i="3"/>
  <c r="Y34" i="3"/>
  <c r="Y51" i="3"/>
  <c r="AE52" i="3"/>
  <c r="AE47" i="3"/>
  <c r="AC9" i="3"/>
  <c r="T46" i="3"/>
  <c r="AE33" i="3"/>
  <c r="Y20" i="3"/>
  <c r="AE28" i="3"/>
  <c r="AC26" i="3"/>
  <c r="AE23" i="3"/>
  <c r="AE21" i="3"/>
  <c r="T42" i="3"/>
  <c r="AE15" i="3"/>
  <c r="AE13" i="3"/>
  <c r="T19" i="3"/>
  <c r="AE46" i="3"/>
  <c r="T30" i="3"/>
  <c r="AE35" i="3"/>
  <c r="T10" i="3"/>
  <c r="AE27" i="3"/>
  <c r="T18" i="3"/>
  <c r="AE39" i="3"/>
  <c r="T27" i="3"/>
  <c r="AE31" i="3"/>
  <c r="T37" i="3"/>
  <c r="AD50" i="3"/>
  <c r="AE49" i="3"/>
  <c r="T33" i="3"/>
  <c r="AD46" i="3"/>
  <c r="AE45" i="3"/>
  <c r="T9" i="3"/>
  <c r="AD42" i="3"/>
  <c r="AE41" i="3"/>
  <c r="T28" i="3"/>
  <c r="AD39" i="3"/>
  <c r="AE38" i="3"/>
  <c r="T47" i="3"/>
  <c r="AD35" i="3"/>
  <c r="AE34" i="3"/>
  <c r="T44" i="3"/>
  <c r="AD31" i="3"/>
  <c r="AE30" i="3"/>
  <c r="T7" i="3"/>
  <c r="AD27" i="3"/>
  <c r="AE26" i="3"/>
  <c r="T26" i="3"/>
  <c r="AD23" i="3"/>
  <c r="AE22" i="3"/>
  <c r="T31" i="3"/>
  <c r="AD19" i="3"/>
  <c r="AE18" i="3"/>
  <c r="T35" i="3"/>
  <c r="AD15" i="3"/>
  <c r="AE14" i="3"/>
  <c r="T23" i="3"/>
  <c r="AD11" i="3"/>
  <c r="AE10" i="3"/>
  <c r="AC11" i="3"/>
  <c r="AE50" i="3"/>
  <c r="T25" i="3"/>
  <c r="AE42" i="3"/>
  <c r="T24" i="3"/>
  <c r="Y28" i="3"/>
  <c r="AD22" i="3"/>
  <c r="AD18" i="3"/>
  <c r="AD14" i="3"/>
  <c r="AD10" i="3"/>
  <c r="AE8" i="3"/>
  <c r="M12" i="3"/>
  <c r="R12" i="3"/>
  <c r="S12" i="3"/>
  <c r="U12" i="3"/>
  <c r="V12" i="3"/>
  <c r="W12" i="3"/>
  <c r="X12" i="3"/>
  <c r="AC12" i="3"/>
  <c r="W39" i="1" l="1"/>
  <c r="W85" i="1"/>
  <c r="AI176" i="1"/>
  <c r="W51" i="1"/>
  <c r="W145" i="1"/>
  <c r="U183" i="1"/>
  <c r="S183" i="1" s="1"/>
  <c r="W35" i="1"/>
  <c r="W111" i="1"/>
  <c r="W93" i="1"/>
  <c r="U145" i="1"/>
  <c r="S145" i="1" s="1"/>
  <c r="U182" i="1"/>
  <c r="S182" i="1" s="1"/>
  <c r="W185" i="1"/>
  <c r="U69" i="1"/>
  <c r="S69" i="1" s="1"/>
  <c r="U172" i="1"/>
  <c r="S172" i="1" s="1"/>
  <c r="U180" i="1"/>
  <c r="S180" i="1" s="1"/>
  <c r="W14" i="1"/>
  <c r="U79" i="1"/>
  <c r="S79" i="1" s="1"/>
  <c r="W90" i="1"/>
  <c r="U166" i="1"/>
  <c r="S166" i="1" s="1"/>
  <c r="AI58" i="1"/>
  <c r="U178" i="1"/>
  <c r="S178" i="1" s="1"/>
  <c r="U125" i="1"/>
  <c r="S125" i="1" s="1"/>
  <c r="U158" i="1"/>
  <c r="S158" i="1" s="1"/>
  <c r="W116" i="1"/>
  <c r="AI116" i="1"/>
  <c r="U174" i="1"/>
  <c r="S174" i="1" s="1"/>
  <c r="AI183" i="1"/>
  <c r="W146" i="1"/>
  <c r="W177" i="1"/>
  <c r="W193" i="1"/>
  <c r="W200" i="1"/>
  <c r="W169" i="1"/>
  <c r="U223" i="1"/>
  <c r="S223" i="1" s="1"/>
  <c r="U124" i="1"/>
  <c r="S124" i="1" s="1"/>
  <c r="AI178" i="1"/>
  <c r="W204" i="1"/>
  <c r="U122" i="1"/>
  <c r="S122" i="1" s="1"/>
  <c r="W98" i="1"/>
  <c r="W113" i="1"/>
  <c r="U215" i="1"/>
  <c r="S215" i="1" s="1"/>
  <c r="U29" i="1"/>
  <c r="S29" i="1" s="1"/>
  <c r="W59" i="1"/>
  <c r="U170" i="1"/>
  <c r="S170" i="1" s="1"/>
  <c r="W124" i="1"/>
  <c r="U113" i="1"/>
  <c r="S113" i="1" s="1"/>
  <c r="U211" i="1"/>
  <c r="S211" i="1" s="1"/>
  <c r="U62" i="1"/>
  <c r="S62" i="1" s="1"/>
  <c r="W196" i="1"/>
  <c r="U93" i="1"/>
  <c r="S93" i="1" s="1"/>
  <c r="W114" i="1"/>
  <c r="W173" i="1"/>
  <c r="U70" i="1"/>
  <c r="S70" i="1" s="1"/>
  <c r="W176" i="1"/>
  <c r="U129" i="1"/>
  <c r="S129" i="1" s="1"/>
  <c r="U53" i="1"/>
  <c r="S53" i="1" s="1"/>
  <c r="AI105" i="1"/>
  <c r="AI111" i="1"/>
  <c r="U51" i="1"/>
  <c r="S51" i="1" s="1"/>
  <c r="W186" i="1"/>
  <c r="W108" i="1"/>
  <c r="AI182" i="1"/>
  <c r="U21" i="1"/>
  <c r="S21" i="1" s="1"/>
  <c r="W63" i="1"/>
  <c r="W183" i="1"/>
  <c r="AI190" i="1"/>
  <c r="AI185" i="1"/>
  <c r="W53" i="1"/>
  <c r="U77" i="1"/>
  <c r="S77" i="1" s="1"/>
  <c r="W61" i="1"/>
  <c r="U114" i="1"/>
  <c r="S114" i="1" s="1"/>
  <c r="W166" i="1"/>
  <c r="U146" i="1"/>
  <c r="S146" i="1" s="1"/>
  <c r="W94" i="1"/>
  <c r="W115" i="1"/>
  <c r="U74" i="1"/>
  <c r="S74" i="1" s="1"/>
  <c r="W92" i="1"/>
  <c r="U92" i="1"/>
  <c r="S92" i="1" s="1"/>
  <c r="U45" i="1"/>
  <c r="S45" i="1" s="1"/>
  <c r="W83" i="1"/>
  <c r="W127" i="1"/>
  <c r="W164" i="1"/>
  <c r="U127" i="1"/>
  <c r="S127" i="1" s="1"/>
  <c r="W64" i="1"/>
  <c r="W88" i="1"/>
  <c r="U32" i="1"/>
  <c r="S32" i="1" s="1"/>
  <c r="W73" i="1"/>
  <c r="W154" i="1"/>
  <c r="W223" i="1"/>
  <c r="U116" i="1"/>
  <c r="S116" i="1" s="1"/>
  <c r="U200" i="1"/>
  <c r="S200" i="1" s="1"/>
  <c r="U173" i="1"/>
  <c r="S173" i="1" s="1"/>
  <c r="W150" i="1"/>
  <c r="U177" i="1"/>
  <c r="S177" i="1" s="1"/>
  <c r="AI82" i="1"/>
  <c r="U47" i="1"/>
  <c r="S47" i="1" s="1"/>
  <c r="W86" i="1"/>
  <c r="W201" i="1"/>
  <c r="U219" i="1"/>
  <c r="S219" i="1" s="1"/>
  <c r="W158" i="1"/>
  <c r="W211" i="1"/>
  <c r="W70" i="1"/>
  <c r="W89" i="1"/>
  <c r="AI211" i="1"/>
  <c r="W107" i="1"/>
  <c r="W219" i="1"/>
  <c r="U25" i="1"/>
  <c r="S25" i="1" s="1"/>
  <c r="U67" i="1"/>
  <c r="S67" i="1" s="1"/>
  <c r="U83" i="1"/>
  <c r="S83" i="1" s="1"/>
  <c r="AI115" i="1"/>
  <c r="U33" i="1"/>
  <c r="S33" i="1" s="1"/>
  <c r="W17" i="1"/>
  <c r="W182" i="1"/>
  <c r="W119" i="1"/>
  <c r="S100" i="1"/>
  <c r="W209" i="1"/>
  <c r="U37" i="1"/>
  <c r="S37" i="1" s="1"/>
  <c r="AI207" i="1"/>
  <c r="AI209" i="1"/>
  <c r="W46" i="1"/>
  <c r="W129" i="1"/>
  <c r="U17" i="1"/>
  <c r="S17" i="1" s="1"/>
  <c r="U49" i="1"/>
  <c r="S49" i="1" s="1"/>
  <c r="AI62" i="1"/>
  <c r="AI66" i="1"/>
  <c r="AI74" i="1"/>
  <c r="U88" i="1"/>
  <c r="S88" i="1" s="1"/>
  <c r="W220" i="1"/>
  <c r="W41" i="1"/>
  <c r="W49" i="1"/>
  <c r="W137" i="1"/>
  <c r="W105" i="1"/>
  <c r="W43" i="1"/>
  <c r="W190" i="1"/>
  <c r="U41" i="1"/>
  <c r="S41" i="1" s="1"/>
  <c r="U43" i="1"/>
  <c r="S43" i="1" s="1"/>
  <c r="W60" i="1"/>
  <c r="AI88" i="1"/>
  <c r="AI121" i="1"/>
  <c r="AI189" i="1"/>
  <c r="W29" i="1"/>
  <c r="W66" i="1"/>
  <c r="W174" i="1"/>
  <c r="W180" i="1"/>
  <c r="W45" i="1"/>
  <c r="W215" i="1"/>
  <c r="U128" i="1"/>
  <c r="S128" i="1" s="1"/>
  <c r="W133" i="1"/>
  <c r="W32" i="1"/>
  <c r="W82" i="1"/>
  <c r="W21" i="1"/>
  <c r="W77" i="1"/>
  <c r="W33" i="1"/>
  <c r="W172" i="1"/>
  <c r="W121" i="1"/>
  <c r="W207" i="1"/>
  <c r="W67" i="1"/>
  <c r="W128" i="1"/>
  <c r="W69" i="1"/>
  <c r="W47" i="1"/>
  <c r="AI164" i="1"/>
  <c r="W58" i="1"/>
  <c r="W62" i="1"/>
  <c r="W71" i="1"/>
  <c r="W125" i="1"/>
  <c r="W189" i="1"/>
  <c r="AI108" i="1"/>
  <c r="W160" i="1"/>
  <c r="W179" i="1"/>
  <c r="W151" i="1"/>
  <c r="AI151" i="1"/>
  <c r="AI201" i="1"/>
  <c r="U73" i="1"/>
  <c r="S73" i="1" s="1"/>
  <c r="AI73" i="1"/>
  <c r="U85" i="1"/>
  <c r="S85" i="1" s="1"/>
  <c r="AI85" i="1"/>
  <c r="AI157" i="1"/>
  <c r="AI118" i="1"/>
  <c r="W163" i="1"/>
  <c r="AI163" i="1"/>
  <c r="W103" i="1"/>
  <c r="AI103" i="1"/>
  <c r="W123" i="1"/>
  <c r="AI123" i="1"/>
  <c r="W138" i="1"/>
  <c r="AI138" i="1"/>
  <c r="AI186" i="1"/>
  <c r="AI193" i="1"/>
  <c r="U16" i="1"/>
  <c r="S16" i="1" s="1"/>
  <c r="AI16" i="1"/>
  <c r="W16" i="1"/>
  <c r="U61" i="1"/>
  <c r="S61" i="1" s="1"/>
  <c r="AI61" i="1"/>
  <c r="W170" i="1"/>
  <c r="W178" i="1"/>
  <c r="W122" i="1"/>
  <c r="W181" i="1"/>
  <c r="W25" i="1"/>
  <c r="W79" i="1"/>
  <c r="U185" i="1"/>
  <c r="S185" i="1" s="1"/>
  <c r="W37" i="1"/>
  <c r="U35" i="1"/>
  <c r="S35" i="1" s="1"/>
  <c r="AI35" i="1"/>
  <c r="U39" i="1"/>
  <c r="S39" i="1" s="1"/>
  <c r="AI39" i="1"/>
  <c r="W74" i="1"/>
  <c r="W141" i="1"/>
  <c r="W118" i="1"/>
  <c r="U23" i="1"/>
  <c r="S23" i="1" s="1"/>
  <c r="AI23" i="1"/>
  <c r="AI42" i="1"/>
  <c r="U42" i="1"/>
  <c r="S42" i="1" s="1"/>
  <c r="U27" i="1"/>
  <c r="S27" i="1" s="1"/>
  <c r="AI27" i="1"/>
  <c r="AI18" i="1"/>
  <c r="U18" i="1"/>
  <c r="S18" i="1" s="1"/>
  <c r="AI34" i="1"/>
  <c r="U34" i="1"/>
  <c r="S34" i="1" s="1"/>
  <c r="AI50" i="1"/>
  <c r="U50" i="1"/>
  <c r="S50" i="1" s="1"/>
  <c r="W18" i="1"/>
  <c r="U175" i="1"/>
  <c r="S175" i="1" s="1"/>
  <c r="AI110" i="1"/>
  <c r="W175" i="1"/>
  <c r="AI125" i="1"/>
  <c r="U95" i="1"/>
  <c r="S95" i="1" s="1"/>
  <c r="AI133" i="1"/>
  <c r="U99" i="1"/>
  <c r="S99" i="1" s="1"/>
  <c r="AI141" i="1"/>
  <c r="U104" i="1"/>
  <c r="S104" i="1" s="1"/>
  <c r="AI150" i="1"/>
  <c r="U112" i="1"/>
  <c r="S112" i="1" s="1"/>
  <c r="U117" i="1"/>
  <c r="S117" i="1" s="1"/>
  <c r="AI156" i="1"/>
  <c r="W117" i="1"/>
  <c r="U126" i="1"/>
  <c r="S126" i="1" s="1"/>
  <c r="AI165" i="1"/>
  <c r="U142" i="1"/>
  <c r="S142" i="1" s="1"/>
  <c r="AI180" i="1"/>
  <c r="AI196" i="1"/>
  <c r="U212" i="1"/>
  <c r="S212" i="1" s="1"/>
  <c r="AI212" i="1"/>
  <c r="AI154" i="1"/>
  <c r="U115" i="1"/>
  <c r="S115" i="1" s="1"/>
  <c r="W126" i="1"/>
  <c r="W212" i="1"/>
  <c r="AI26" i="1"/>
  <c r="U26" i="1"/>
  <c r="S26" i="1" s="1"/>
  <c r="U19" i="1"/>
  <c r="S19" i="1" s="1"/>
  <c r="AI19" i="1"/>
  <c r="AI55" i="1"/>
  <c r="U55" i="1"/>
  <c r="S55" i="1" s="1"/>
  <c r="U84" i="1"/>
  <c r="S84" i="1" s="1"/>
  <c r="AI84" i="1"/>
  <c r="W84" i="1"/>
  <c r="U161" i="1"/>
  <c r="S161" i="1" s="1"/>
  <c r="AI94" i="1"/>
  <c r="AI97" i="1"/>
  <c r="U163" i="1"/>
  <c r="S163" i="1" s="1"/>
  <c r="AI22" i="1"/>
  <c r="U22" i="1"/>
  <c r="S22" i="1" s="1"/>
  <c r="AI38" i="1"/>
  <c r="U38" i="1"/>
  <c r="S38" i="1" s="1"/>
  <c r="W19" i="1"/>
  <c r="W23" i="1"/>
  <c r="W27" i="1"/>
  <c r="W50" i="1"/>
  <c r="W26" i="1"/>
  <c r="AI59" i="1"/>
  <c r="U59" i="1"/>
  <c r="S59" i="1" s="1"/>
  <c r="U90" i="1"/>
  <c r="S90" i="1" s="1"/>
  <c r="AI90" i="1"/>
  <c r="U171" i="1"/>
  <c r="S171" i="1" s="1"/>
  <c r="AI106" i="1"/>
  <c r="AI101" i="1"/>
  <c r="U167" i="1"/>
  <c r="S167" i="1" s="1"/>
  <c r="W167" i="1"/>
  <c r="U130" i="1"/>
  <c r="S130" i="1" s="1"/>
  <c r="AI169" i="1"/>
  <c r="U147" i="1"/>
  <c r="S147" i="1" s="1"/>
  <c r="AI184" i="1"/>
  <c r="U197" i="1"/>
  <c r="S197" i="1" s="1"/>
  <c r="AI200" i="1"/>
  <c r="U216" i="1"/>
  <c r="S216" i="1" s="1"/>
  <c r="AI216" i="1"/>
  <c r="W34" i="1"/>
  <c r="AI56" i="1"/>
  <c r="U56" i="1"/>
  <c r="S56" i="1" s="1"/>
  <c r="AI60" i="1"/>
  <c r="U60" i="1"/>
  <c r="S60" i="1" s="1"/>
  <c r="AI64" i="1"/>
  <c r="U64" i="1"/>
  <c r="S64" i="1" s="1"/>
  <c r="AI68" i="1"/>
  <c r="U68" i="1"/>
  <c r="S68" i="1" s="1"/>
  <c r="AI72" i="1"/>
  <c r="U72" i="1"/>
  <c r="S72" i="1" s="1"/>
  <c r="AI76" i="1"/>
  <c r="U76" i="1"/>
  <c r="S76" i="1" s="1"/>
  <c r="AI80" i="1"/>
  <c r="U80" i="1"/>
  <c r="S80" i="1" s="1"/>
  <c r="AI63" i="1"/>
  <c r="U63" i="1"/>
  <c r="S63" i="1" s="1"/>
  <c r="W72" i="1"/>
  <c r="U168" i="1"/>
  <c r="S168" i="1" s="1"/>
  <c r="AI102" i="1"/>
  <c r="W55" i="1"/>
  <c r="AI89" i="1"/>
  <c r="U89" i="1"/>
  <c r="S89" i="1" s="1"/>
  <c r="W76" i="1"/>
  <c r="AI122" i="1"/>
  <c r="U186" i="1"/>
  <c r="S186" i="1" s="1"/>
  <c r="AI129" i="1"/>
  <c r="U193" i="1"/>
  <c r="S193" i="1" s="1"/>
  <c r="AI137" i="1"/>
  <c r="U103" i="1"/>
  <c r="S103" i="1" s="1"/>
  <c r="AI146" i="1"/>
  <c r="U108" i="1"/>
  <c r="S108" i="1" s="1"/>
  <c r="U119" i="1"/>
  <c r="S119" i="1" s="1"/>
  <c r="AI158" i="1"/>
  <c r="U134" i="1"/>
  <c r="AI173" i="1"/>
  <c r="U151" i="1"/>
  <c r="S151" i="1" s="1"/>
  <c r="AI188" i="1"/>
  <c r="U201" i="1"/>
  <c r="S201" i="1" s="1"/>
  <c r="AI204" i="1"/>
  <c r="U220" i="1"/>
  <c r="S220" i="1" s="1"/>
  <c r="AI220" i="1"/>
  <c r="W142" i="1"/>
  <c r="W147" i="1"/>
  <c r="W68" i="1"/>
  <c r="U86" i="1"/>
  <c r="S86" i="1" s="1"/>
  <c r="AI86" i="1"/>
  <c r="W168" i="1"/>
  <c r="AI14" i="1"/>
  <c r="U14" i="1"/>
  <c r="S14" i="1" s="1"/>
  <c r="AI30" i="1"/>
  <c r="U30" i="1"/>
  <c r="S30" i="1" s="1"/>
  <c r="AI46" i="1"/>
  <c r="U46" i="1"/>
  <c r="S46" i="1" s="1"/>
  <c r="W38" i="1"/>
  <c r="W42" i="1"/>
  <c r="W22" i="1"/>
  <c r="W30" i="1"/>
  <c r="U164" i="1"/>
  <c r="S164" i="1" s="1"/>
  <c r="AI98" i="1"/>
  <c r="U179" i="1"/>
  <c r="S179" i="1" s="1"/>
  <c r="AI113" i="1"/>
  <c r="W56" i="1"/>
  <c r="W80" i="1"/>
  <c r="AI93" i="1"/>
  <c r="U160" i="1"/>
  <c r="S160" i="1" s="1"/>
  <c r="W161" i="1"/>
  <c r="W171" i="1"/>
  <c r="U181" i="1"/>
  <c r="S181" i="1" s="1"/>
  <c r="AI117" i="1"/>
  <c r="W95" i="1"/>
  <c r="W99" i="1"/>
  <c r="W104" i="1"/>
  <c r="W112" i="1"/>
  <c r="U123" i="1"/>
  <c r="S123" i="1" s="1"/>
  <c r="AI162" i="1"/>
  <c r="U138" i="1"/>
  <c r="S138" i="1" s="1"/>
  <c r="AI177" i="1"/>
  <c r="U155" i="1"/>
  <c r="S155" i="1" s="1"/>
  <c r="AI192" i="1"/>
  <c r="U205" i="1"/>
  <c r="S205" i="1" s="1"/>
  <c r="AI208" i="1"/>
  <c r="U224" i="1"/>
  <c r="S224" i="1" s="1"/>
  <c r="AI224" i="1"/>
  <c r="W134" i="1"/>
  <c r="W130" i="1"/>
  <c r="W155" i="1"/>
  <c r="W197" i="1"/>
  <c r="W205" i="1"/>
  <c r="W216" i="1"/>
  <c r="W224" i="1"/>
  <c r="T12" i="3"/>
  <c r="AD12" i="3"/>
  <c r="AE12" i="3"/>
  <c r="Y12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11" i="3" s="1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N19" i="3" s="1"/>
  <c r="G69" i="4"/>
  <c r="G70" i="4"/>
  <c r="G71" i="4"/>
  <c r="G72" i="4"/>
  <c r="G73" i="4"/>
  <c r="N13" i="3" s="1"/>
  <c r="G74" i="4"/>
  <c r="N40" i="3" s="1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23" i="3" s="1"/>
  <c r="G95" i="4"/>
  <c r="N16" i="3" s="1"/>
  <c r="G96" i="4"/>
  <c r="G97" i="4"/>
  <c r="G98" i="4"/>
  <c r="G99" i="4"/>
  <c r="G100" i="4"/>
  <c r="G101" i="4"/>
  <c r="G102" i="4"/>
  <c r="G103" i="4"/>
  <c r="N41" i="3" s="1"/>
  <c r="G104" i="4"/>
  <c r="G105" i="4"/>
  <c r="G106" i="4"/>
  <c r="G107" i="4"/>
  <c r="G108" i="4"/>
  <c r="N50" i="3" s="1"/>
  <c r="G109" i="4"/>
  <c r="G110" i="4"/>
  <c r="G111" i="4"/>
  <c r="G112" i="4"/>
  <c r="G113" i="4"/>
  <c r="G114" i="4"/>
  <c r="G115" i="4"/>
  <c r="G116" i="4"/>
  <c r="G117" i="4"/>
  <c r="N52" i="3" s="1"/>
  <c r="G118" i="4"/>
  <c r="G119" i="4"/>
  <c r="G120" i="4"/>
  <c r="G121" i="4"/>
  <c r="G122" i="4"/>
  <c r="G123" i="4"/>
  <c r="G124" i="4"/>
  <c r="N31" i="3" s="1"/>
  <c r="G125" i="4"/>
  <c r="G126" i="4"/>
  <c r="N36" i="3" s="1"/>
  <c r="G127" i="4"/>
  <c r="G128" i="4"/>
  <c r="G129" i="4"/>
  <c r="N22" i="3" s="1"/>
  <c r="G130" i="4"/>
  <c r="G131" i="4"/>
  <c r="G132" i="4"/>
  <c r="N43" i="3" s="1"/>
  <c r="G133" i="4"/>
  <c r="N26" i="3" s="1"/>
  <c r="G134" i="4"/>
  <c r="G135" i="4"/>
  <c r="G136" i="4"/>
  <c r="N38" i="3" s="1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N37" i="3" s="1"/>
  <c r="G159" i="4"/>
  <c r="G160" i="4"/>
  <c r="N8" i="3" s="1"/>
  <c r="G161" i="4"/>
  <c r="G162" i="4"/>
  <c r="G163" i="4"/>
  <c r="G164" i="4"/>
  <c r="G165" i="4"/>
  <c r="G166" i="4"/>
  <c r="G167" i="4"/>
  <c r="G168" i="4"/>
  <c r="N12" i="3" s="1"/>
  <c r="G169" i="4"/>
  <c r="G170" i="4"/>
  <c r="G171" i="4"/>
  <c r="G172" i="4"/>
  <c r="G173" i="4"/>
  <c r="G174" i="4"/>
  <c r="G175" i="4"/>
  <c r="G176" i="4"/>
  <c r="N21" i="3" s="1"/>
  <c r="G177" i="4"/>
  <c r="G178" i="4"/>
  <c r="N44" i="3" s="1"/>
  <c r="G179" i="4"/>
  <c r="G180" i="4"/>
  <c r="N27" i="3" s="1"/>
  <c r="G181" i="4"/>
  <c r="G182" i="4"/>
  <c r="G183" i="4"/>
  <c r="N10" i="3" s="1"/>
  <c r="G184" i="4"/>
  <c r="N28" i="3" s="1"/>
  <c r="G185" i="4"/>
  <c r="G186" i="4"/>
  <c r="G187" i="4"/>
  <c r="N49" i="3" s="1"/>
  <c r="G188" i="4"/>
  <c r="N29" i="3" s="1"/>
  <c r="G189" i="4"/>
  <c r="G190" i="4"/>
  <c r="G191" i="4"/>
  <c r="G192" i="4"/>
  <c r="N32" i="3" s="1"/>
  <c r="G193" i="4"/>
  <c r="G194" i="4"/>
  <c r="G195" i="4"/>
  <c r="G196" i="4"/>
  <c r="G197" i="4"/>
  <c r="G198" i="4"/>
  <c r="G199" i="4"/>
  <c r="N24" i="3" s="1"/>
  <c r="G200" i="4"/>
  <c r="G201" i="4"/>
  <c r="G202" i="4"/>
  <c r="G203" i="4"/>
  <c r="N9" i="3" s="1"/>
  <c r="G204" i="4"/>
  <c r="G205" i="4"/>
  <c r="G206" i="4"/>
  <c r="N30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N51" i="3" s="1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N14" i="3" s="1"/>
  <c r="G236" i="4"/>
  <c r="N33" i="3" s="1"/>
  <c r="G237" i="4"/>
  <c r="G238" i="4"/>
  <c r="G239" i="4"/>
  <c r="G240" i="4"/>
  <c r="N25" i="3" s="1"/>
  <c r="G241" i="4"/>
  <c r="G242" i="4"/>
  <c r="G243" i="4"/>
  <c r="G244" i="4"/>
  <c r="G245" i="4"/>
  <c r="G246" i="4"/>
  <c r="G247" i="4"/>
  <c r="G248" i="4"/>
  <c r="G249" i="4"/>
  <c r="N15" i="3" s="1"/>
  <c r="G250" i="4"/>
  <c r="N34" i="3" s="1"/>
  <c r="G251" i="4"/>
  <c r="G252" i="4"/>
  <c r="G253" i="4"/>
  <c r="G254" i="4"/>
  <c r="G255" i="4"/>
  <c r="G256" i="4"/>
  <c r="G257" i="4"/>
  <c r="G258" i="4"/>
  <c r="G2" i="4"/>
  <c r="N45" i="3" l="1"/>
  <c r="N46" i="3"/>
  <c r="N47" i="3"/>
  <c r="N48" i="3"/>
  <c r="N17" i="3"/>
  <c r="N7" i="3"/>
  <c r="N42" i="3"/>
  <c r="N35" i="3"/>
  <c r="N18" i="3"/>
  <c r="N20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G3" i="6"/>
  <c r="H3" i="6"/>
  <c r="J3" i="6"/>
  <c r="B4" i="6"/>
  <c r="I4" i="6" l="1"/>
  <c r="F4" i="6"/>
  <c r="J4" i="6"/>
  <c r="G4" i="6"/>
  <c r="H4" i="6"/>
  <c r="B5" i="6"/>
  <c r="I5" i="6" l="1"/>
  <c r="F5" i="6"/>
  <c r="G5" i="6"/>
  <c r="H5" i="6"/>
  <c r="J5" i="6"/>
  <c r="B6" i="6"/>
  <c r="I6" i="6" l="1"/>
  <c r="F6" i="6"/>
  <c r="B7" i="6"/>
  <c r="J6" i="6"/>
  <c r="H6" i="6"/>
  <c r="G6" i="6"/>
  <c r="I7" i="6" l="1"/>
  <c r="F7" i="6"/>
  <c r="J7" i="6"/>
  <c r="G7" i="6"/>
  <c r="H7" i="6"/>
  <c r="B8" i="6"/>
  <c r="I8" i="6" l="1"/>
  <c r="F8" i="6"/>
  <c r="B9" i="6"/>
  <c r="G8" i="6"/>
  <c r="J8" i="6"/>
  <c r="H8" i="6"/>
  <c r="I9" i="6" l="1"/>
  <c r="F9" i="6"/>
  <c r="G9" i="6"/>
  <c r="J9" i="6"/>
  <c r="H9" i="6"/>
  <c r="B71" i="6" l="1"/>
  <c r="I71" i="6" l="1"/>
  <c r="F71" i="6"/>
  <c r="B72" i="6"/>
  <c r="H71" i="6"/>
  <c r="G71" i="6"/>
  <c r="J71" i="6"/>
  <c r="I72" i="6" l="1"/>
  <c r="F72" i="6"/>
  <c r="B73" i="6"/>
  <c r="J72" i="6"/>
  <c r="G72" i="6"/>
  <c r="H72" i="6"/>
  <c r="I73" i="6" l="1"/>
  <c r="F73" i="6"/>
  <c r="H73" i="6"/>
  <c r="G73" i="6"/>
  <c r="J73" i="6"/>
  <c r="B74" i="6"/>
  <c r="I74" i="6" l="1"/>
  <c r="F74" i="6"/>
  <c r="H74" i="6"/>
  <c r="J74" i="6"/>
  <c r="G74" i="6"/>
  <c r="B75" i="6"/>
  <c r="I75" i="6" l="1"/>
  <c r="F75" i="6"/>
  <c r="G75" i="6"/>
  <c r="J75" i="6"/>
  <c r="H75" i="6"/>
  <c r="B76" i="6"/>
  <c r="I76" i="6" l="1"/>
  <c r="F76" i="6"/>
  <c r="B77" i="6"/>
  <c r="H76" i="6"/>
  <c r="J76" i="6"/>
  <c r="G76" i="6"/>
  <c r="I77" i="6" l="1"/>
  <c r="F77" i="6"/>
  <c r="B78" i="6"/>
  <c r="J77" i="6"/>
  <c r="H77" i="6"/>
  <c r="G77" i="6"/>
  <c r="I78" i="6" l="1"/>
  <c r="F78" i="6"/>
  <c r="B80" i="6"/>
  <c r="B79" i="6"/>
  <c r="G78" i="6"/>
  <c r="H78" i="6"/>
  <c r="J78" i="6"/>
  <c r="I79" i="6" l="1"/>
  <c r="F79" i="6"/>
  <c r="I80" i="6"/>
  <c r="F80" i="6"/>
  <c r="G79" i="6"/>
  <c r="H79" i="6"/>
  <c r="J79" i="6"/>
  <c r="J80" i="6"/>
  <c r="G80" i="6"/>
  <c r="H8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<sst xmlns="http://schemas.openxmlformats.org/spreadsheetml/2006/main" count="2846" uniqueCount="978">
  <si>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</si>
  <si>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</si>
  <si>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</si>
  <si>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</si>
  <si>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</si>
  <si>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</si>
  <si>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</si>
  <si>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</si>
  <si>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</si>
  <si>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</si>
  <si>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</si>
  <si>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</si>
  <si>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</si>
  <si>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</si>
  <si>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</si>
  <si>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</si>
  <si>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</si>
  <si>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</si>
  <si>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</si>
  <si>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</si>
  <si>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</si>
  <si>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</si>
  <si>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</si>
  <si>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</si>
  <si>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</si>
  <si>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</si>
  <si>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</si>
  <si>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</si>
  <si>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</si>
  <si>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</si>
  <si>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</si>
  <si>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</si>
  <si>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</si>
  <si>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</si>
  <si>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</si>
  <si>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</si>
  <si>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</si>
  <si>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</si>
  <si>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</si>
  <si>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</si>
  <si>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</si>
  <si>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</si>
  <si>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</si>
  <si>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</si>
  <si>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</si>
  <si>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</si>
  <si>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</si>
  <si>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</si>
  <si>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</si>
  <si>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</si>
  <si>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</si>
  <si>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</si>
  <si>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</si>
  <si>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</si>
  <si>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</si>
  <si>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</si>
  <si>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</si>
  <si>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</si>
  <si>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</si>
  <si>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</si>
  <si>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</si>
  <si>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</si>
  <si>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</si>
  <si>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</si>
  <si>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</si>
  <si>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</si>
  <si>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</si>
  <si>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</si>
  <si>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</si>
  <si>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</si>
  <si>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</si>
  <si>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</si>
  <si>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</si>
  <si>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</si>
  <si>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</si>
  <si>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</si>
  <si>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</si>
  <si>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</si>
  <si>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</si>
  <si>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</si>
  <si>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</si>
  <si>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</si>
  <si>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</si>
  <si>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</si>
  <si>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</si>
  <si>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</si>
  <si>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</si>
  <si>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</si>
  <si>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</si>
  <si>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</si>
  <si>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</si>
  <si>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</si>
  <si>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</si>
  <si>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</si>
  <si>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</si>
  <si>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</si>
  <si>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</si>
  <si>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</si>
  <si>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</si>
  <si>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</si>
  <si>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</si>
  <si>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</si>
  <si>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</si>
  <si>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</si>
  <si>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</si>
  <si>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</si>
  <si>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</si>
  <si>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</si>
  <si>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</si>
  <si>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</si>
  <si>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</si>
  <si>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</si>
  <si>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</si>
  <si>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</si>
  <si>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</si>
  <si>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</si>
  <si>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</si>
  <si>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</si>
  <si>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</si>
  <si>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</si>
  <si>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</si>
  <si>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</si>
  <si>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</si>
  <si>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</si>
  <si>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</si>
  <si>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</si>
  <si>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</si>
  <si>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</si>
  <si>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</si>
  <si>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</si>
  <si>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</si>
  <si>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</si>
  <si>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</si>
  <si>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</si>
  <si>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</si>
  <si>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</si>
  <si>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</si>
  <si>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</si>
  <si>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</si>
  <si>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</si>
  <si>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</si>
  <si>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</si>
  <si>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</si>
  <si>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</si>
  <si>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</si>
  <si>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</si>
  <si>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</si>
  <si>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</si>
  <si>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</si>
  <si>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</si>
  <si>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</si>
  <si>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</si>
  <si>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</si>
  <si>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</si>
  <si>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</si>
  <si>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</si>
  <si>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</si>
  <si>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</si>
  <si>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</si>
  <si>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</si>
  <si>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</si>
  <si>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</si>
  <si>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</si>
  <si>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</si>
  <si>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</si>
  <si>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</si>
  <si>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</si>
  <si>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</si>
  <si>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</si>
  <si>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</si>
  <si>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</si>
  <si>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</si>
  <si>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</si>
  <si>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</si>
  <si>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</si>
  <si>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</si>
  <si>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</si>
  <si>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</si>
  <si>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</si>
  <si>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</si>
  <si>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</si>
  <si>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</si>
  <si>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</si>
  <si>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</si>
  <si>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</si>
  <si>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</si>
  <si>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</si>
  <si>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</si>
  <si>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</si>
  <si>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</si>
  <si>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</si>
  <si>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</si>
  <si>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</si>
  <si>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</si>
  <si>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</si>
  <si>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</si>
  <si>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</si>
  <si>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</si>
  <si>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</si>
  <si>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</si>
  <si>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</si>
  <si>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</si>
  <si>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</si>
  <si>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</si>
  <si>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</si>
  <si>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</si>
  <si>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</si>
  <si>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</si>
  <si>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</si>
  <si>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</si>
  <si>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</si>
  <si>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</si>
  <si>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</si>
  <si>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</si>
  <si>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</si>
  <si>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</si>
  <si>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</si>
  <si>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</si>
  <si>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</si>
  <si>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</si>
  <si>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</si>
  <si>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</si>
  <si>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</si>
  <si>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</si>
  <si>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</si>
  <si>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</si>
  <si>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</si>
  <si>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</si>
  <si>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</si>
  <si>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</si>
  <si>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</si>
  <si>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</si>
  <si>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</si>
  <si>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</si>
  <si>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</si>
  <si>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</si>
  <si>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</si>
  <si>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</si>
  <si>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</si>
  <si>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</si>
  <si>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</si>
  <si>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</si>
  <si>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</si>
  <si>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</si>
  <si>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</si>
  <si>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</si>
  <si>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</si>
  <si>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</si>
  <si>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</si>
  <si>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</si>
  <si>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</si>
  <si>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</si>
  <si>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</si>
  <si>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</si>
  <si>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</si>
  <si>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</si>
  <si>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</si>
  <si>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</si>
  <si>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</si>
  <si>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</si>
  <si>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</si>
  <si>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</si>
  <si>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</si>
  <si>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</si>
  <si>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</si>
  <si>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</si>
  <si>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</si>
  <si>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</si>
  <si>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</si>
  <si>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</si>
  <si>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</si>
  <si>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</si>
  <si>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</si>
  <si>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</si>
  <si>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</si>
  <si>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</si>
  <si>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</si>
  <si>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</si>
  <si>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</si>
  <si>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</si>
  <si>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</si>
  <si>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</si>
  <si>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</si>
  <si>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</si>
  <si>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</si>
  <si>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</si>
  <si>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</si>
  <si>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</si>
  <si>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</si>
  <si>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</si>
  <si>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</si>
  <si>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</si>
  <si>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</si>
  <si>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</si>
  <si>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</si>
  <si>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</si>
  <si>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</si>
  <si>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</si>
  <si>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</si>
  <si>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</si>
  <si>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</si>
  <si>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</si>
  <si>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</si>
  <si>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</si>
  <si>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</si>
  <si>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</si>
  <si>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</si>
  <si>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</si>
  <si>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</si>
  <si>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</si>
  <si>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</si>
  <si>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</si>
  <si>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</si>
  <si>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</si>
  <si>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</si>
  <si>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</si>
  <si>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</si>
  <si>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</si>
  <si>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</si>
  <si>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</si>
  <si>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</si>
  <si>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</si>
  <si>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</si>
  <si>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</si>
  <si>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</si>
  <si>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</si>
  <si>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</si>
  <si>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</si>
  <si>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</si>
  <si>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</si>
  <si>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</si>
  <si>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</si>
  <si>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</si>
  <si>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</si>
  <si>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</si>
  <si>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</si>
  <si>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</si>
  <si>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</si>
  <si>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</si>
  <si>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</si>
  <si>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</si>
  <si>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</si>
  <si>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</si>
  <si>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</si>
  <si>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</si>
  <si>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</si>
  <si>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</si>
  <si>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</si>
  <si>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</si>
  <si>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</si>
  <si>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</si>
  <si>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rtdc.l.rtdc.4022:itc</t>
  </si>
  <si>
    <t>SMITH</t>
  </si>
  <si>
    <t>246-18</t>
  </si>
  <si>
    <t>313-18</t>
  </si>
  <si>
    <t>315-18</t>
  </si>
  <si>
    <t>204:449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</si>
  <si>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</si>
  <si>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</si>
  <si>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</si>
  <si>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</si>
  <si>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</si>
  <si>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204:446</t>
  </si>
  <si>
    <t>rtdc.l.rtdc.4009:itc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</si>
  <si>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</si>
  <si>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</si>
  <si>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</si>
  <si>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</si>
  <si>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</si>
  <si>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</si>
  <si>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</si>
  <si>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rtdc.l.rtdc.4054:itc</t>
  </si>
  <si>
    <t>204:150</t>
  </si>
  <si>
    <t>204:149</t>
  </si>
  <si>
    <t>204:143</t>
  </si>
  <si>
    <t>204:466</t>
  </si>
  <si>
    <t>204:469</t>
  </si>
  <si>
    <t>204:451</t>
  </si>
  <si>
    <t>300:23346</t>
  </si>
  <si>
    <t>rtdc.l.rtdc.4018:itc</t>
  </si>
  <si>
    <t>204:233314</t>
  </si>
  <si>
    <t>204:464</t>
  </si>
  <si>
    <t>rtdc.l.rtdc.4053:itc</t>
  </si>
  <si>
    <t>204:156</t>
  </si>
  <si>
    <t>204:233310</t>
  </si>
  <si>
    <t>rtdc.l.rtdc.4017:itc</t>
  </si>
  <si>
    <t>204:453</t>
  </si>
  <si>
    <t>204:232973</t>
  </si>
  <si>
    <t>204:440</t>
  </si>
  <si>
    <t>204:232982</t>
  </si>
  <si>
    <t>204:232993</t>
  </si>
  <si>
    <t>204:232984</t>
  </si>
  <si>
    <t>rtdc.l.rtdc.4061:itc</t>
  </si>
  <si>
    <t>204:444</t>
  </si>
  <si>
    <t>204:161</t>
  </si>
  <si>
    <t>204:447</t>
  </si>
  <si>
    <t>204:139</t>
  </si>
  <si>
    <t>rtdc.l.rtdc.4042:itc</t>
  </si>
  <si>
    <t>rtdc.l.rtdc.4060:itc</t>
  </si>
  <si>
    <t>204:165</t>
  </si>
  <si>
    <t>204:141</t>
  </si>
  <si>
    <t>204:163</t>
  </si>
  <si>
    <t>300:58628</t>
  </si>
  <si>
    <t>204:233282</t>
  </si>
  <si>
    <t>204:147</t>
  </si>
  <si>
    <t>204:233291</t>
  </si>
  <si>
    <t>204:233332</t>
  </si>
  <si>
    <t>300:58619</t>
  </si>
  <si>
    <t>:.+((SYSTEM_STATE.+slice.+state.+changed )|(ment ac)|(multiple cpu faults)|(system.+state.+changed )|(\[timeout)|(PRM\|1\|D)|(kpr)|(kdp)|(train st.+moving)|(\|lc)|(penalty))</t>
  </si>
  <si>
    <t>FRANK</t>
  </si>
  <si>
    <t>204:233289</t>
  </si>
  <si>
    <t>204:442</t>
  </si>
  <si>
    <t>204:233319</t>
  </si>
  <si>
    <t>204:437</t>
  </si>
  <si>
    <t>204:473</t>
  </si>
  <si>
    <t>204:427</t>
  </si>
  <si>
    <t>300:58939</t>
  </si>
  <si>
    <t>rtdc.l.rtdc.4023:itc</t>
  </si>
  <si>
    <t>SIGNAL</t>
  </si>
  <si>
    <t>Signal based authority (5)</t>
  </si>
  <si>
    <t>rtdc.l.rtdc.4051:itc</t>
  </si>
  <si>
    <t>rtdc.l.rtdc.4024:itc</t>
  </si>
  <si>
    <t>BADERTSCHER</t>
  </si>
  <si>
    <t>DIANE</t>
  </si>
  <si>
    <t>GEBRETEKLE</t>
  </si>
  <si>
    <t>DAGNEW</t>
  </si>
  <si>
    <t>rtdc.l.rtdc.4052:itc</t>
  </si>
  <si>
    <t>FORTUNATO</t>
  </si>
  <si>
    <t>204:233297</t>
  </si>
  <si>
    <t>204:232987</t>
  </si>
  <si>
    <t>204:233298</t>
  </si>
  <si>
    <t>300:58931</t>
  </si>
  <si>
    <t>rtdc.l.rtdc.4041:itc</t>
  </si>
  <si>
    <t>rtdc.l.rtdc.4020:itc</t>
  </si>
  <si>
    <t>rtdc.l.rtdc.4043:itc</t>
  </si>
  <si>
    <t>ROBINSON</t>
  </si>
  <si>
    <t>KADDIBA</t>
  </si>
  <si>
    <t>rtdc.l.rtdc.4019:itc</t>
  </si>
  <si>
    <t>rtdc.l.rtdc.4044:itc</t>
  </si>
  <si>
    <t>BRANDNER</t>
  </si>
  <si>
    <t>MELINDA</t>
  </si>
  <si>
    <t>204:233006</t>
  </si>
  <si>
    <t>204:232955</t>
  </si>
  <si>
    <t>204:233301</t>
  </si>
  <si>
    <t>204:233295</t>
  </si>
  <si>
    <t>204:232988</t>
  </si>
  <si>
    <t>204:134</t>
  </si>
  <si>
    <t>204:233299</t>
  </si>
  <si>
    <t>204:232967</t>
  </si>
  <si>
    <t>204:233283</t>
  </si>
  <si>
    <t>204:233315</t>
  </si>
  <si>
    <t>204:438</t>
  </si>
  <si>
    <t>204:455</t>
  </si>
  <si>
    <t>204:233004</t>
  </si>
  <si>
    <t>204:125</t>
  </si>
  <si>
    <t>204:233000</t>
  </si>
  <si>
    <t>204:129</t>
  </si>
  <si>
    <t>204:1152</t>
  </si>
  <si>
    <t>204:965</t>
  </si>
  <si>
    <t>rtdc.l.rtdc.4005:itc</t>
  </si>
  <si>
    <t>rtdc.l.rtdc.4001:itc</t>
  </si>
  <si>
    <t>81-06</t>
  </si>
  <si>
    <t>241-06</t>
  </si>
  <si>
    <t>242-06</t>
  </si>
  <si>
    <t>rtdc.l.rtdc.4033:itc</t>
  </si>
  <si>
    <t>79-06</t>
  </si>
  <si>
    <t>rtdc.l.rtdc.4007:itc</t>
  </si>
  <si>
    <t>rtdc.l.rtdc.4034:itc</t>
  </si>
  <si>
    <t>rtdc.l.rtdc.4008:itc</t>
  </si>
  <si>
    <t>MAELZER</t>
  </si>
  <si>
    <t>KURT</t>
  </si>
  <si>
    <t>DAVIS</t>
  </si>
  <si>
    <t>WENDY</t>
  </si>
  <si>
    <t>DELGADO</t>
  </si>
  <si>
    <t>DIANAH</t>
  </si>
  <si>
    <t>SANTIZO</t>
  </si>
  <si>
    <t>D. EDY</t>
  </si>
  <si>
    <t>rtdc.l.rtdc.4006:itc</t>
  </si>
  <si>
    <t>ROMERO</t>
  </si>
  <si>
    <t>CHAD</t>
  </si>
  <si>
    <t>ARNOLD</t>
  </si>
  <si>
    <t>PAUL</t>
  </si>
  <si>
    <t>STEWART</t>
  </si>
  <si>
    <t>LEVIN</t>
  </si>
  <si>
    <t>SCOTT</t>
  </si>
  <si>
    <t>HELVIE</t>
  </si>
  <si>
    <t>ADAM</t>
  </si>
  <si>
    <t>SAFIEF</t>
  </si>
  <si>
    <t>AEIMEN</t>
  </si>
  <si>
    <t>71-06</t>
  </si>
  <si>
    <t>82-06</t>
  </si>
  <si>
    <t>238-06</t>
  </si>
  <si>
    <t>243-06</t>
  </si>
  <si>
    <t>240-06</t>
  </si>
  <si>
    <t>245-06</t>
  </si>
  <si>
    <t>244-06</t>
  </si>
  <si>
    <t>309-06</t>
  </si>
  <si>
    <t>311-06</t>
  </si>
  <si>
    <t>246-06</t>
  </si>
  <si>
    <t>313-06</t>
  </si>
  <si>
    <t>partly-cloudy-day</t>
  </si>
  <si>
    <t>Partly Cloudy</t>
  </si>
  <si>
    <t>Mostly Cloudy</t>
  </si>
  <si>
    <t>partly-cloudy-night</t>
  </si>
  <si>
    <t>204:775</t>
  </si>
  <si>
    <t>204:233339</t>
  </si>
  <si>
    <t>204:233327</t>
  </si>
  <si>
    <t>204:233274</t>
  </si>
  <si>
    <t>204:233015</t>
  </si>
  <si>
    <t>204:233312</t>
  </si>
  <si>
    <t>204:136</t>
  </si>
  <si>
    <t>204:233017</t>
  </si>
  <si>
    <t>204:233318</t>
  </si>
  <si>
    <t>204:232996</t>
  </si>
  <si>
    <t>204:86353</t>
  </si>
  <si>
    <t>204:130</t>
  </si>
  <si>
    <t>204:467</t>
  </si>
  <si>
    <t>204:233380</t>
  </si>
  <si>
    <t>204:424</t>
  </si>
  <si>
    <t>204:233393</t>
  </si>
  <si>
    <t>300:58615</t>
  </si>
  <si>
    <t>204:964</t>
  </si>
  <si>
    <t>300:58967</t>
  </si>
  <si>
    <t>204:478</t>
  </si>
  <si>
    <t>300:58929</t>
  </si>
  <si>
    <t>300:58935</t>
  </si>
  <si>
    <t>204:233007</t>
  </si>
  <si>
    <t>204:747</t>
  </si>
  <si>
    <t>300:58621</t>
  </si>
  <si>
    <t>204:233072</t>
  </si>
  <si>
    <t>204:233045</t>
  </si>
  <si>
    <t>204:169</t>
  </si>
  <si>
    <t>204:233364</t>
  </si>
  <si>
    <t>204:233300</t>
  </si>
  <si>
    <t>204:429</t>
  </si>
  <si>
    <t>204:232998</t>
  </si>
  <si>
    <t>204:232992</t>
  </si>
  <si>
    <t>204:123</t>
  </si>
  <si>
    <t>204:488</t>
  </si>
  <si>
    <t>300:23302</t>
  </si>
  <si>
    <t>204:3339</t>
  </si>
  <si>
    <t>204:1167</t>
  </si>
  <si>
    <t>204:132</t>
  </si>
  <si>
    <t>204:232976</t>
  </si>
  <si>
    <t>204:1223</t>
  </si>
  <si>
    <t>204:233317</t>
  </si>
  <si>
    <t>204:524</t>
  </si>
  <si>
    <t>300:23312</t>
  </si>
  <si>
    <t>start /low /b %USERPROFILE%\Documents\GitHub\eaglep3\Utilities\DownloadLogsFromS3.py --loco 4019 --day 2017-05-07</t>
  </si>
  <si>
    <t>106-07</t>
  </si>
  <si>
    <t>119-07</t>
  </si>
  <si>
    <t>1802-07</t>
  </si>
  <si>
    <t>129-07</t>
  </si>
  <si>
    <t>1804-07</t>
  </si>
  <si>
    <t>rtdc.l.rtdc.4011:itc</t>
  </si>
  <si>
    <t>128-07</t>
  </si>
  <si>
    <t>149-07</t>
  </si>
  <si>
    <t>144-07</t>
  </si>
  <si>
    <t>1810-07</t>
  </si>
  <si>
    <t>rtdc.l.rtdc.4021:itc</t>
  </si>
  <si>
    <t>56-07</t>
  </si>
  <si>
    <t>1811-07</t>
  </si>
  <si>
    <t>57-07</t>
  </si>
  <si>
    <t>UNKNOWN LOCATION</t>
  </si>
  <si>
    <t>Other (9)</t>
  </si>
  <si>
    <t>1814-07</t>
  </si>
  <si>
    <t>171-07</t>
  </si>
  <si>
    <t>170-07</t>
  </si>
  <si>
    <t>1815-07</t>
  </si>
  <si>
    <t>1816-07</t>
  </si>
  <si>
    <t>172-07</t>
  </si>
  <si>
    <t>rtdc.l.rtdc.4012:itc</t>
  </si>
  <si>
    <t>183-07</t>
  </si>
  <si>
    <t>178-07</t>
  </si>
  <si>
    <t>1820-07</t>
  </si>
  <si>
    <t>192-07</t>
  </si>
  <si>
    <t>200-07</t>
  </si>
  <si>
    <t>69-07</t>
  </si>
  <si>
    <t>211-07</t>
  </si>
  <si>
    <t>70-07</t>
  </si>
  <si>
    <t>72-07</t>
  </si>
  <si>
    <t>202-07</t>
  </si>
  <si>
    <t>204-07</t>
  </si>
  <si>
    <t>219-07</t>
  </si>
  <si>
    <t>rtdc.l.rtdc.4025:itc</t>
  </si>
  <si>
    <t>208-07</t>
  </si>
  <si>
    <t>215-07</t>
  </si>
  <si>
    <t>214-07</t>
  </si>
  <si>
    <t>216-07</t>
  </si>
  <si>
    <t>52-07</t>
  </si>
  <si>
    <t>230-07</t>
  </si>
  <si>
    <t>235-07</t>
  </si>
  <si>
    <t>237-07</t>
  </si>
  <si>
    <t>236-07</t>
  </si>
  <si>
    <t>241-07</t>
  </si>
  <si>
    <t>50-07</t>
  </si>
  <si>
    <t>GOLIGHTLY</t>
  </si>
  <si>
    <t>KENNETH</t>
  </si>
  <si>
    <t>302-07</t>
  </si>
  <si>
    <t>101-07</t>
  </si>
  <si>
    <t>304-07</t>
  </si>
  <si>
    <t>103-07</t>
  </si>
  <si>
    <t>ARVIDSON</t>
  </si>
  <si>
    <t>DANIEL</t>
  </si>
  <si>
    <t>306-07</t>
  </si>
  <si>
    <t>102-07</t>
  </si>
  <si>
    <t>105-07</t>
  </si>
  <si>
    <t>308-07</t>
  </si>
  <si>
    <t>310-07</t>
  </si>
  <si>
    <t>107-07</t>
  </si>
  <si>
    <t>104-07</t>
  </si>
  <si>
    <t>rtdc.l.rtdc.4026:itc</t>
  </si>
  <si>
    <t>109-07</t>
  </si>
  <si>
    <t>111-07</t>
  </si>
  <si>
    <t>113-07</t>
  </si>
  <si>
    <t>115-07</t>
  </si>
  <si>
    <t>MACDONALD</t>
  </si>
  <si>
    <t>THOMAS</t>
  </si>
  <si>
    <t>108-07</t>
  </si>
  <si>
    <t>1901-07</t>
  </si>
  <si>
    <t>NELSON</t>
  </si>
  <si>
    <t>ARIANE</t>
  </si>
  <si>
    <t>110-07</t>
  </si>
  <si>
    <t>117-07</t>
  </si>
  <si>
    <t>112-07</t>
  </si>
  <si>
    <t>1800-07</t>
  </si>
  <si>
    <t>114-07</t>
  </si>
  <si>
    <t>53-07</t>
  </si>
  <si>
    <t>121-07</t>
  </si>
  <si>
    <t>1801-07</t>
  </si>
  <si>
    <t>116-07</t>
  </si>
  <si>
    <t>123-07</t>
  </si>
  <si>
    <t>118-07</t>
  </si>
  <si>
    <t>125-07</t>
  </si>
  <si>
    <t>120-07</t>
  </si>
  <si>
    <t>127-07</t>
  </si>
  <si>
    <t>122-07</t>
  </si>
  <si>
    <t>1803-07</t>
  </si>
  <si>
    <t>124-07</t>
  </si>
  <si>
    <t>131-07</t>
  </si>
  <si>
    <t>126-07</t>
  </si>
  <si>
    <t>133-07</t>
  </si>
  <si>
    <t>135-07</t>
  </si>
  <si>
    <t>130-07</t>
  </si>
  <si>
    <t>137-07</t>
  </si>
  <si>
    <t>132-07</t>
  </si>
  <si>
    <t>1805-07</t>
  </si>
  <si>
    <t>139-07</t>
  </si>
  <si>
    <t>134-07</t>
  </si>
  <si>
    <t>141-07</t>
  </si>
  <si>
    <t>1806-07</t>
  </si>
  <si>
    <t>143-07</t>
  </si>
  <si>
    <t>136-07</t>
  </si>
  <si>
    <t>138-07</t>
  </si>
  <si>
    <t>145-07</t>
  </si>
  <si>
    <t>1807-07</t>
  </si>
  <si>
    <t>140-07</t>
  </si>
  <si>
    <t>142-07</t>
  </si>
  <si>
    <t>147-07</t>
  </si>
  <si>
    <t>1808-07</t>
  </si>
  <si>
    <t>151-07</t>
  </si>
  <si>
    <t>146-07</t>
  </si>
  <si>
    <t>153-07</t>
  </si>
  <si>
    <t>1809-07</t>
  </si>
  <si>
    <t>148-07</t>
  </si>
  <si>
    <t>155-07</t>
  </si>
  <si>
    <t>150-07</t>
  </si>
  <si>
    <t>157-07</t>
  </si>
  <si>
    <t>152-07</t>
  </si>
  <si>
    <t>159-07</t>
  </si>
  <si>
    <t>154-07</t>
  </si>
  <si>
    <t>156-07</t>
  </si>
  <si>
    <t>161-07</t>
  </si>
  <si>
    <t>163-07</t>
  </si>
  <si>
    <t>158-07</t>
  </si>
  <si>
    <t>1812-07</t>
  </si>
  <si>
    <t>165-07</t>
  </si>
  <si>
    <t>160-07</t>
  </si>
  <si>
    <t>167-07</t>
  </si>
  <si>
    <t>LALONDE</t>
  </si>
  <si>
    <t>GREGORY</t>
  </si>
  <si>
    <t>169-07</t>
  </si>
  <si>
    <t>162-07</t>
  </si>
  <si>
    <t>1813-07</t>
  </si>
  <si>
    <t>164-07</t>
  </si>
  <si>
    <t>166-07</t>
  </si>
  <si>
    <t>173-07</t>
  </si>
  <si>
    <t>168-07</t>
  </si>
  <si>
    <t>175-07</t>
  </si>
  <si>
    <t>177-07</t>
  </si>
  <si>
    <t>179-07</t>
  </si>
  <si>
    <t>174-07</t>
  </si>
  <si>
    <t>181-07</t>
  </si>
  <si>
    <t>176-07</t>
  </si>
  <si>
    <t>180-07</t>
  </si>
  <si>
    <t>185-07</t>
  </si>
  <si>
    <t>1817-07</t>
  </si>
  <si>
    <t>187-07</t>
  </si>
  <si>
    <t>182-07</t>
  </si>
  <si>
    <t>1818-07</t>
  </si>
  <si>
    <t>184-07</t>
  </si>
  <si>
    <t>189-07</t>
  </si>
  <si>
    <t>191-07</t>
  </si>
  <si>
    <t>186-07</t>
  </si>
  <si>
    <t>193-07</t>
  </si>
  <si>
    <t>67-07</t>
  </si>
  <si>
    <t>DAVIDSON</t>
  </si>
  <si>
    <t>DAVID</t>
  </si>
  <si>
    <t>1819-07</t>
  </si>
  <si>
    <t>188-07</t>
  </si>
  <si>
    <t>195-07</t>
  </si>
  <si>
    <t>190-07</t>
  </si>
  <si>
    <t>197-07</t>
  </si>
  <si>
    <t>199-07</t>
  </si>
  <si>
    <t>194-07</t>
  </si>
  <si>
    <t>1821-07</t>
  </si>
  <si>
    <t>201-07</t>
  </si>
  <si>
    <t>196-07</t>
  </si>
  <si>
    <t>198-07</t>
  </si>
  <si>
    <t>1822-07</t>
  </si>
  <si>
    <t>203-07</t>
  </si>
  <si>
    <t>205-07</t>
  </si>
  <si>
    <t>207-07</t>
  </si>
  <si>
    <t>209-07</t>
  </si>
  <si>
    <t>1823-07</t>
  </si>
  <si>
    <t>1824-07</t>
  </si>
  <si>
    <t>206-07</t>
  </si>
  <si>
    <t>MENGES</t>
  </si>
  <si>
    <t>BRAD</t>
  </si>
  <si>
    <t>213-07</t>
  </si>
  <si>
    <t>NEWELL</t>
  </si>
  <si>
    <t>210-07</t>
  </si>
  <si>
    <t>212-07</t>
  </si>
  <si>
    <t>1825-07</t>
  </si>
  <si>
    <t>217-07</t>
  </si>
  <si>
    <t>73-07</t>
  </si>
  <si>
    <t>1826-07</t>
  </si>
  <si>
    <t>303-07</t>
  </si>
  <si>
    <t>221-07</t>
  </si>
  <si>
    <t>218-07</t>
  </si>
  <si>
    <t>1827-07</t>
  </si>
  <si>
    <t>305-07</t>
  </si>
  <si>
    <t>220-07</t>
  </si>
  <si>
    <t>223-07</t>
  </si>
  <si>
    <t>1828-07</t>
  </si>
  <si>
    <t>307-07</t>
  </si>
  <si>
    <t>222-07</t>
  </si>
  <si>
    <t>225-07</t>
  </si>
  <si>
    <t>227-07</t>
  </si>
  <si>
    <t>224-07</t>
  </si>
  <si>
    <t>1829-07</t>
  </si>
  <si>
    <t>77-07</t>
  </si>
  <si>
    <t>1830-07</t>
  </si>
  <si>
    <t>226-07</t>
  </si>
  <si>
    <t>229-07</t>
  </si>
  <si>
    <t>REED</t>
  </si>
  <si>
    <t>ANDREW</t>
  </si>
  <si>
    <t>1831-07</t>
  </si>
  <si>
    <t>228-07</t>
  </si>
  <si>
    <t>231-07</t>
  </si>
  <si>
    <t>1832-07</t>
  </si>
  <si>
    <t>233-07</t>
  </si>
  <si>
    <t>232-07</t>
  </si>
  <si>
    <t>1833-07</t>
  </si>
  <si>
    <t>1902-07</t>
  </si>
  <si>
    <t>234-07</t>
  </si>
  <si>
    <t>239-07</t>
  </si>
  <si>
    <t>238-07</t>
  </si>
  <si>
    <t>243-07</t>
  </si>
  <si>
    <t>240-07</t>
  </si>
  <si>
    <t>315-07</t>
  </si>
  <si>
    <t>242-07</t>
  </si>
  <si>
    <t>309-07</t>
  </si>
  <si>
    <t>244-07</t>
  </si>
  <si>
    <t>311-07</t>
  </si>
  <si>
    <t>313-07</t>
  </si>
  <si>
    <t>precipType</t>
  </si>
  <si>
    <t>rain</t>
  </si>
  <si>
    <t>cloudy</t>
  </si>
  <si>
    <t>Overcast</t>
  </si>
  <si>
    <t>204:232672</t>
  </si>
  <si>
    <t>204:90</t>
  </si>
  <si>
    <t>204:233341</t>
  </si>
  <si>
    <t>204:170</t>
  </si>
  <si>
    <t>204:744</t>
  </si>
  <si>
    <t>204:233323</t>
  </si>
  <si>
    <t>204:232696</t>
  </si>
  <si>
    <t>204:233334</t>
  </si>
  <si>
    <t>204:1496</t>
  </si>
  <si>
    <t>204:232975</t>
  </si>
  <si>
    <t>204:672</t>
  </si>
  <si>
    <t>204:396</t>
  </si>
  <si>
    <t>204:233028</t>
  </si>
  <si>
    <t>204:732</t>
  </si>
  <si>
    <t>204:232977</t>
  </si>
  <si>
    <t>204:233284</t>
  </si>
  <si>
    <t>204:435</t>
  </si>
  <si>
    <t>204:233001</t>
  </si>
  <si>
    <t>204:233303</t>
  </si>
  <si>
    <t>204:233011</t>
  </si>
  <si>
    <t>204:233345</t>
  </si>
  <si>
    <t>204:233336</t>
  </si>
  <si>
    <t>204:233025</t>
  </si>
  <si>
    <t>204:233331</t>
  </si>
  <si>
    <t>204:482</t>
  </si>
  <si>
    <t>204:233355</t>
  </si>
  <si>
    <t>204:233051</t>
  </si>
  <si>
    <t>204:167</t>
  </si>
  <si>
    <t>204:233057</t>
  </si>
  <si>
    <t>204:233288</t>
  </si>
  <si>
    <t>204:19137</t>
  </si>
  <si>
    <t>204:232981</t>
  </si>
  <si>
    <t>204:232963</t>
  </si>
  <si>
    <t>204:471</t>
  </si>
  <si>
    <t>204:232989</t>
  </si>
  <si>
    <t>204:233330</t>
  </si>
  <si>
    <t>204:233278</t>
  </si>
  <si>
    <t>204:406</t>
  </si>
  <si>
    <t>204:233360</t>
  </si>
  <si>
    <t>204:114</t>
  </si>
  <si>
    <t>204:233342</t>
  </si>
  <si>
    <t>204:233060</t>
  </si>
  <si>
    <t>204:233042</t>
  </si>
  <si>
    <t>204:233417</t>
  </si>
  <si>
    <t>204:233113</t>
  </si>
  <si>
    <t>204:233094</t>
  </si>
  <si>
    <t>204:232974</t>
  </si>
  <si>
    <t>204:233410</t>
  </si>
  <si>
    <t>204:233106</t>
  </si>
  <si>
    <t>204:233407</t>
  </si>
  <si>
    <t>204:233078</t>
  </si>
  <si>
    <t>300:58630</t>
  </si>
  <si>
    <t>204:657</t>
  </si>
  <si>
    <t>300:58963</t>
  </si>
  <si>
    <t>300:57316</t>
  </si>
  <si>
    <t>204:677</t>
  </si>
  <si>
    <t>300:58946</t>
  </si>
  <si>
    <t>204:720</t>
  </si>
  <si>
    <t>204:1006</t>
  </si>
  <si>
    <t>300:58948</t>
  </si>
  <si>
    <t>300:58594</t>
  </si>
  <si>
    <t>204:1146</t>
  </si>
  <si>
    <t>300:58944</t>
  </si>
  <si>
    <t>300:58640</t>
  </si>
  <si>
    <t>204:687</t>
  </si>
  <si>
    <t>300:58960</t>
  </si>
  <si>
    <t>204:233363</t>
  </si>
  <si>
    <t>300:58643</t>
  </si>
  <si>
    <t>204:685</t>
  </si>
  <si>
    <t>204:974</t>
  </si>
  <si>
    <t>300:58649</t>
  </si>
  <si>
    <t>204:661</t>
  </si>
  <si>
    <t>204:972</t>
  </si>
  <si>
    <t>300:58950</t>
  </si>
  <si>
    <t>300:58636</t>
  </si>
  <si>
    <t>204:976</t>
  </si>
  <si>
    <t>204:699</t>
  </si>
  <si>
    <t>204:978</t>
  </si>
  <si>
    <t>204:1021</t>
  </si>
  <si>
    <t>204:233021</t>
  </si>
  <si>
    <t>204:783</t>
  </si>
  <si>
    <t>204:1084</t>
  </si>
  <si>
    <t>204:820</t>
  </si>
  <si>
    <t>204:1119</t>
  </si>
  <si>
    <t>204:1116</t>
  </si>
  <si>
    <t>300:58626</t>
  </si>
  <si>
    <t>204:769</t>
  </si>
  <si>
    <t>204:1060</t>
  </si>
  <si>
    <t>300:58609</t>
  </si>
  <si>
    <t>204:1076</t>
  </si>
  <si>
    <t>204:797</t>
  </si>
  <si>
    <t>204:1083</t>
  </si>
  <si>
    <t>204:766</t>
  </si>
  <si>
    <t>204:1055</t>
  </si>
  <si>
    <t>204:107</t>
  </si>
  <si>
    <t>204:1198</t>
  </si>
  <si>
    <t>204:232961</t>
  </si>
  <si>
    <t>204:104057</t>
  </si>
  <si>
    <t>300:29580</t>
  </si>
  <si>
    <t>300:30957</t>
  </si>
  <si>
    <t>300:21729</t>
  </si>
  <si>
    <t>204:127861</t>
  </si>
  <si>
    <t>204:393</t>
  </si>
  <si>
    <t>204:233026</t>
  </si>
  <si>
    <t>204:639</t>
  </si>
  <si>
    <t>204:220</t>
  </si>
  <si>
    <t>204:233362</t>
  </si>
  <si>
    <t>204:233043</t>
  </si>
  <si>
    <t>204:1030</t>
  </si>
  <si>
    <t>204:127863</t>
  </si>
  <si>
    <t>204:1889</t>
  </si>
  <si>
    <t>204:233376</t>
  </si>
  <si>
    <t>204:233223</t>
  </si>
  <si>
    <t>204:232921</t>
  </si>
  <si>
    <t>204:939</t>
  </si>
  <si>
    <t>204:515</t>
  </si>
  <si>
    <t>204:19152</t>
  </si>
  <si>
    <t>204:233268</t>
  </si>
  <si>
    <t>204:232947</t>
  </si>
  <si>
    <t>204:233264</t>
  </si>
  <si>
    <t>204:127854</t>
  </si>
  <si>
    <t>204:475</t>
  </si>
  <si>
    <t>204:233366</t>
  </si>
  <si>
    <t>204:233489</t>
  </si>
  <si>
    <t>204:233099</t>
  </si>
  <si>
    <t>204:19123</t>
  </si>
  <si>
    <t>204:233134</t>
  </si>
  <si>
    <t>204:19138</t>
  </si>
  <si>
    <t>204:232971</t>
  </si>
  <si>
    <t>204:233201</t>
  </si>
  <si>
    <t>204:232902</t>
  </si>
  <si>
    <t>204:233451</t>
  </si>
  <si>
    <t>300:20070</t>
  </si>
  <si>
    <t>204:1348</t>
  </si>
  <si>
    <t>300:23304</t>
  </si>
  <si>
    <t>300:22147</t>
  </si>
  <si>
    <t>204:2102</t>
  </si>
  <si>
    <t>204:1166</t>
  </si>
  <si>
    <t>300:23306</t>
  </si>
  <si>
    <t>300:22987</t>
  </si>
  <si>
    <t>204:1242</t>
  </si>
  <si>
    <t>300:22998</t>
  </si>
  <si>
    <t>300:21856</t>
  </si>
  <si>
    <t>204:486</t>
  </si>
  <si>
    <t>300:23129</t>
  </si>
  <si>
    <t>204:1218</t>
  </si>
  <si>
    <t>204:542</t>
  </si>
  <si>
    <t>204:127851</t>
  </si>
  <si>
    <t>204:1054</t>
  </si>
  <si>
    <t>204:1190</t>
  </si>
  <si>
    <t>204:3658</t>
  </si>
  <si>
    <t>300:23476</t>
  </si>
  <si>
    <t>204:898</t>
  </si>
  <si>
    <t>300:25437</t>
  </si>
  <si>
    <t>204:3175</t>
  </si>
  <si>
    <t>204:3460</t>
  </si>
  <si>
    <t>204:3121</t>
  </si>
  <si>
    <t>204:1505</t>
  </si>
  <si>
    <t>204:1755</t>
  </si>
  <si>
    <t>300:23186</t>
  </si>
  <si>
    <t>300:25120</t>
  </si>
  <si>
    <t>300:24260</t>
  </si>
  <si>
    <t>300:23421</t>
  </si>
  <si>
    <t>204:133</t>
  </si>
  <si>
    <t>204:1150</t>
  </si>
  <si>
    <t>204:2399</t>
  </si>
  <si>
    <t>start /low /b %USERPROFILE%\Documents\GitHub\eaglep3\Utilities\DownloadLogsFromS3.py --loco 4052 --day 2017-05-07</t>
  </si>
  <si>
    <t>start /low /b %USERPROFILE%\Documents\GitHub\eaglep3\Utilities\DownloadLogsFromS3.py --loco 4006 --day 2017-05-07</t>
  </si>
  <si>
    <t>start /low /b %USERPROFILE%\Documents\GitHub\eaglep3\Utilities\DownloadLogsFromS3.py --loco 4051 --day 2017-05-07</t>
  </si>
  <si>
    <t>start /low /b %USERPROFILE%\Documents\GitHub\eaglep3\Utilities\DownloadLogsFromS3.py --loco 4005 --day 2017-05-07</t>
  </si>
  <si>
    <t>start /low /b %USERPROFILE%\Documents\GitHub\eaglep3\Utilities\DownloadLogsFromS3.py --loco 4041 --day 2017-05-07</t>
  </si>
  <si>
    <t>start /low /b %USERPROFILE%\Documents\GitHub\eaglep3\Utilities\DownloadLogsFromS3.py --loco 4004 --day 2017-05-07</t>
  </si>
  <si>
    <t>start /low /b %USERPROFILE%\Documents\GitHub\eaglep3\Utilities\DownloadLogsFromS3.py --loco 4007 --day 2017-05-07</t>
  </si>
  <si>
    <t>start /low /b %USERPROFILE%\Documents\GitHub\eaglep3\Utilities\DownloadLogsFromS3.py --loco 4003 --day 2017-05-08</t>
  </si>
  <si>
    <t>start /low /b %USERPROFILE%\Documents\GitHub\eaglep3\Utilities\DownloadLogsFromS3.py --loco 4028 --day 2017-05-07</t>
  </si>
  <si>
    <t>start /low /b %USERPROFILE%\Documents\GitHub\eaglep3\Utilities\DownloadLogsFromS3.py --loco 4044 --day 2017-05-07</t>
  </si>
  <si>
    <t>start /low /b %USERPROFILE%\Documents\GitHub\eaglep3\Utilities\DownloadLogsFromS3.py --loco 4003 --day 2017-05-07</t>
  </si>
  <si>
    <t>start /low /b %USERPROFILE%\Documents\GitHub\eaglep3\Utilities\DownloadLogsFromS3.py --loco 4011 --day 2017-05-07</t>
  </si>
  <si>
    <t>start /low /b %USERPROFILE%\Documents\GitHub\eaglep3\Utilities\DownloadLogsFromS3.py --loco 4005 --day 2017-05-08</t>
  </si>
  <si>
    <t>start /low /b %USERPROFILE%\Documents\GitHub\eaglep3\Utilities\DownloadLogsFromS3.py --loco 4051 --day 2017-05-08</t>
  </si>
  <si>
    <t>start /low /b %USERPROFILE%\Documents\GitHub\eaglep3\Utilities\DownloadLogsFromS3.py --loco 4012 --day 2017-05-07</t>
  </si>
  <si>
    <t>start /low /b %USERPROFILE%\Documents\GitHub\eaglep3\Utilities\DownloadLogsFromS3.py --loco 4052 --day 2017-05-08</t>
  </si>
  <si>
    <t>start /low /b %USERPROFILE%\Documents\GitHub\eaglep3\Utilities\DownloadLogsFromS3.py --loco 4006 --day 2017-05-08</t>
  </si>
  <si>
    <t>start /low /b %USERPROFILE%\Documents\GitHub\eaglep3\Utilities\DownloadLogsFromS3.py --loco 4043 --day 2017-05-08</t>
  </si>
  <si>
    <t>start /low /b %USERPROFILE%\Documents\GitHub\eaglep3\Utilities\DownloadLogsFromS3.py --loco 4025 --day 2017-05-08</t>
  </si>
  <si>
    <t>start /low /b %USERPROFILE%\Documents\GitHub\eaglep3\Utilities\DownloadLogsFromS3.py --loco 4019 --day 2017-05-08</t>
  </si>
  <si>
    <t>start /low /b %USERPROFILE%\Documents\GitHub\eaglep3\Utilities\DownloadLogsFromS3.py --loco 4020 --day 2017-05-08</t>
  </si>
  <si>
    <t>start /low /b %USERPROFILE%\Documents\GitHub\eaglep3\Utilities\DownloadLogsFromS3.py --loco 4044 --day 2017-05-08</t>
  </si>
  <si>
    <t>start /low /b %USERPROFILE%\Documents\GitHub\eaglep3\Utilities\DownloadLogsFromS3.py --loco 4008 --day 2017-05-07</t>
  </si>
  <si>
    <t>Onboard in-route failure</t>
  </si>
  <si>
    <t>High winds at Sable XING</t>
  </si>
  <si>
    <t>Selected wrong track</t>
  </si>
  <si>
    <t>Failed Form C execution</t>
  </si>
  <si>
    <t>CCROC/crew/equipment mismatch</t>
  </si>
  <si>
    <t>Went active too close to signal</t>
  </si>
  <si>
    <t>Early arrival</t>
  </si>
  <si>
    <t>Form C</t>
  </si>
  <si>
    <t>Overspeed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</si>
</sst>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opLeftCell="A178" zoomScaleNormal="100" workbookViewId="0">
      <selection activeCell="R179" sqref="R179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42862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42862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34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COUNTIFS($N$13:$N$9327,"&gt;0",$AG$13:$AG$9327,I1)</f>
        <v>131</v>
      </c>
      <c r="K5" s="39"/>
      <c r="L5" s="39"/>
      <c r="M5" s="40">
        <f>AVERAGEIFS($N$13:$N$9327,$AG$13:$AG$9327,I1)</f>
        <v>39.835496183639421</v>
      </c>
      <c r="N5" s="38">
        <f t="array" ref="N5">MIN(IF($AG$13:$AG$9327=I1,IF(ISNUMBER($N$13:$N$9327),IF($N$13:$N$9327&gt;0,$N$13:$N$9327))))</f>
        <v>34.616666659712791</v>
      </c>
      <c r="O5" s="3">
        <f t="array" ref="O5">MAX(IF($AG$13:$AG$9327=I1,IF(ISNUMBER($N$13:$N$9327),IF($N$13:$N$9327&gt;0,$N$13:$N$9327))))</f>
        <v>60.033333337632939</v>
      </c>
      <c r="P5" s="2"/>
      <c r="R5" s="177" t="s">
        <v>17</v>
      </c>
      <c r="S5" s="199">
        <f>COUNTIFS($N$13:$N$9327,"&gt;0",$AG$13:$AG$9327,R1)</f>
        <v>33</v>
      </c>
      <c r="T5" s="179"/>
      <c r="U5" s="179"/>
      <c r="V5" s="176">
        <f>AVERAGEIFS($N$13:$N$9327,$AG$13:$AG$9327,R1)</f>
        <v>15.042929291852158</v>
      </c>
      <c r="W5" s="177">
        <f t="array" ref="W5">MIN(IF($AG$13:$AG$9327=R1,IF(ISNUMBER($N$13:$N$9327),IF($N$13:$N$9327&gt;0,$N$13:$N$9327))))</f>
        <v>12.383333336329088</v>
      </c>
      <c r="X5" s="178">
        <f t="array" ref="X5">MAX(IF($AG$13:$AG$9327=R1,IF(ISNUMBER($N$13:$N$9327),IF($N$13:$N$9327&gt;0,$N$13:$N$9327))))</f>
        <v>18.833333335351199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COUNT($O$13:$O$116)</f>
        <v>0</v>
      </c>
      <c r="K6" s="39"/>
      <c r="L6" s="39"/>
      <c r="M6" s="40">
        <f>IFERROR(AVERAGE($O$13:$O$116),0)</f>
        <v>0</v>
      </c>
      <c r="N6" s="38">
        <f>MIN($O$13:$O$116)</f>
        <v>0</v>
      </c>
      <c r="O6" s="3">
        <f>MAX($O$13:$O$116)</f>
        <v>0</v>
      </c>
      <c r="P6" s="2"/>
      <c r="R6" s="180" t="s">
        <v>43</v>
      </c>
      <c r="S6" s="199">
        <f>COUNT($O$13:$O$116)</f>
        <v>0</v>
      </c>
      <c r="T6" s="179"/>
      <c r="U6" s="179"/>
      <c r="V6" s="176">
        <f>IFERROR(AVERAGE($O$13:$O$116),0)</f>
        <v>0</v>
      </c>
      <c r="W6" s="177">
        <f>MIN($O$13:$O$116)</f>
        <v>0</v>
      </c>
      <c r="X6" s="178">
        <f>MAX($O$13:$O$116)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COUNTIFS($P$13:$P$9327,"&gt;0",$AG$13:$AG$9327,I1)</f>
        <v>13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COUNTIFS($P$13:$P$9327,"&gt;0",$AG$13:$AG$9327,R1)</f>
        <v>1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131</v>
      </c>
      <c r="K8" s="39"/>
      <c r="L8" s="39"/>
      <c r="M8" s="40">
        <f>M5</f>
        <v>39.835496183639421</v>
      </c>
      <c r="N8" s="38">
        <f>N5</f>
        <v>34.616666659712791</v>
      </c>
      <c r="O8" s="3">
        <f>O5</f>
        <v>60.033333337632939</v>
      </c>
      <c r="P8" s="2"/>
      <c r="R8" s="177" t="s">
        <v>16</v>
      </c>
      <c r="S8" s="199">
        <f>S5</f>
        <v>33</v>
      </c>
      <c r="T8" s="179"/>
      <c r="U8" s="179"/>
      <c r="V8" s="176">
        <f>V5</f>
        <v>15.042929291852158</v>
      </c>
      <c r="W8" s="177">
        <f>W5</f>
        <v>12.383333336329088</v>
      </c>
      <c r="X8" s="178">
        <f>X5</f>
        <v>18.833333335351199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0.90972222222222221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0.97058823529411764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- 2017-05-07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AVERAGE(S13:S89)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358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599</v>
      </c>
      <c r="B13" s="7">
        <v>4012</v>
      </c>
      <c r="C13" s="21" t="s">
        <v>209</v>
      </c>
      <c r="D13" s="21" t="s">
        <v>504</v>
      </c>
      <c r="E13" s="13">
        <v>42862.135196759256</v>
      </c>
      <c r="F13" s="13">
        <v>42862.136574074073</v>
      </c>
      <c r="G13" s="7">
        <v>1</v>
      </c>
      <c r="H13" s="21" t="s">
        <v>380</v>
      </c>
      <c r="I13" s="13">
        <v>42862.166273148148</v>
      </c>
      <c r="J13" s="7">
        <v>0</v>
      </c>
      <c r="K13" s="92" t="str">
        <f t="shared" ref="K13:K76" si="0">IF(ISEVEN(B13),(B13-1)&amp;"/"&amp;B13,B13&amp;"/"&amp;(B13+1))</f>
        <v>4011/4012</v>
      </c>
      <c r="L13" s="21" t="str">
        <f>VLOOKUP(A13,'Trips&amp;Operators'!$C$1:$G$99999,5,FALSE)</f>
        <v>SANTIZO D. EDY</v>
      </c>
      <c r="M13" s="6">
        <f t="shared" ref="M13:M76" si="1">I13-F13</f>
        <v>2.9699074075324461E-2</v>
      </c>
      <c r="N13" s="7">
        <f t="shared" ref="N13:P76" si="2">24*60*SUM($M13:$M13)</f>
        <v>42.766666668467224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-07T02:14:41-0600',mode:absolute,to:'2017-05-07T04:59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" s="192" t="str">
        <f t="shared" ref="W13:W76" si="6">IF(AA13&lt;IF(AG13="EC",23,5.65),"Y","N")</f>
        <v>N</v>
      </c>
      <c r="X13" s="192" t="e">
        <f t="shared" ref="X13:X76" si="7">VALUE(LEFT(AD13,4))-VALUE(LEFT(AD12,4))</f>
        <v>#VALUE!</v>
      </c>
      <c r="Y13" s="192">
        <f t="shared" ref="Y13:Y76" si="8">RIGHT(D13,LEN(D13)-4)/10000</f>
        <v>7.7499999999999999E-2</v>
      </c>
      <c r="Z13" s="192">
        <f t="shared" ref="Z13:Z76" si="9">RIGHT(H13,LEN(H13)-4)/10000</f>
        <v>23.331399999999999</v>
      </c>
      <c r="AA13" s="192">
        <f t="shared" ref="AA13:AA76" si="10">ABS(Z13-Y13)</f>
        <v>23.253899999999998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0101-07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/stypes="app*4012*20170507*"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4012 --swversion DE.1.0.9.0 --startMP 204:775 --initTime 2017-05-07T03:14:41 --startdatetime 2017-05-07T03:16:40 --delay 1 --endMP 204:233314 --enddatetime 2017-05-07T03:59:26 --enforcementcount 0 &gt;&gt;C:\Users\stu\Documents\GitHub\eaglep3-reporting\EC\2017-05-07-refined-times.txt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ID","value":"101-07"},{"id":16,"name":"Locomotive ID","value":"4012"},{"id":130,"name":"Impact","value":""},{"id":150,"name":"Time of Event (Mountain Time)","value":"03:59:26"},{"id":151,"name":"Denver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4012 --day 2017-05-07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09:59:26"},{"id":29,"name":"Sharepoint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605</v>
      </c>
      <c r="B14" s="7">
        <v>4005</v>
      </c>
      <c r="C14" s="21" t="s">
        <v>209</v>
      </c>
      <c r="D14" s="21" t="s">
        <v>780</v>
      </c>
      <c r="E14" s="13">
        <v>42862.168506944443</v>
      </c>
      <c r="F14" s="13">
        <v>42862.174629629626</v>
      </c>
      <c r="G14" s="7">
        <v>2</v>
      </c>
      <c r="H14" s="21" t="s">
        <v>781</v>
      </c>
      <c r="I14" s="13">
        <v>42862.206724537034</v>
      </c>
      <c r="J14" s="7">
        <v>0</v>
      </c>
      <c r="K14" s="92" t="str">
        <f t="shared" si="0"/>
        <v>4005/4006</v>
      </c>
      <c r="L14" s="21" t="str">
        <f>VLOOKUP(A14,'Trips&amp;Operators'!$C$1:$G$99999,5,FALSE)</f>
        <v>SANTIZO D. EDY</v>
      </c>
      <c r="M14" s="6">
        <f t="shared" si="1"/>
        <v>3.2094907408463769E-2</v>
      </c>
      <c r="N14" s="7">
        <f t="shared" si="2"/>
        <v>46.216666668187827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-07T03:02:39-0600',mode:absolute,to:'2017-05-07T05:57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23.267199999999999</v>
      </c>
      <c r="Z14" s="192">
        <f t="shared" si="9"/>
        <v>8.9999999999999993E-3</v>
      </c>
      <c r="AA14" s="192">
        <f t="shared" si="10"/>
        <v>23.258199999999999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0102-07</v>
      </c>
      <c r="AE14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4" s="77" t="str">
        <f t="shared" si="13"/>
        <v>"C:\Program Files (x86)\AstroGrep\AstroGrep.exe" /e /r /s /spath="%USERPROFILE%\AppData\Local\Temp\OnboardLogs" /stypes="app*4005*20170507*"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4005 --swversion DE.1.0.9.0 --startMP 204:232672 --initTime 2017-05-07T04:02:39 --startdatetime 2017-05-07T04:11:28 --delay 2 --endMP 204:90 --enddatetime 2017-05-07T04:57:41 --enforcementcount 0 &gt;&gt;C:\Users\stu\Documents\GitHub\eaglep3-reporting\EC\2017-05-07-refined-times.txt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{"issue":{"subject":"","project_id":79,"tracker_id":40,"status_id":1,"priority_id":2,"assigned_to_id":23,"start_date":"2017-05-07","description":"","custom_fields":[{"id":1,"name":"Subdivision","value":"EC"},{"id":4,"name":"Milepost","value":"0.009"},{"id":17,"name":"Train ID","value":"102-07"},{"id":16,"name":"Locomotive ID","value":"4005"},{"id":130,"name":"Impact","value":""},{"id":150,"name":"Time of Event (Mountain Time)","value":"04:57:41"},{"id":151,"name":"Denver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4005 --day 2017-05-07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10:57:41"},{"id":29,"name":"Sharepoint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601</v>
      </c>
      <c r="B15" s="7">
        <v>4020</v>
      </c>
      <c r="C15" s="21" t="s">
        <v>209</v>
      </c>
      <c r="D15" s="21" t="s">
        <v>541</v>
      </c>
      <c r="E15" s="13">
        <v>42862.15221064815</v>
      </c>
      <c r="F15" s="13">
        <v>42862.15797453704</v>
      </c>
      <c r="G15" s="7">
        <v>1</v>
      </c>
      <c r="H15" s="21" t="s">
        <v>782</v>
      </c>
      <c r="I15" s="13">
        <v>42862.185023148151</v>
      </c>
      <c r="J15" s="7">
        <v>0</v>
      </c>
      <c r="K15" s="92" t="str">
        <f t="shared" si="0"/>
        <v>4019/4020</v>
      </c>
      <c r="L15" s="21" t="str">
        <f>VLOOKUP(A15,'Trips&amp;Operators'!$C$1:$G$99999,5,FALSE)</f>
        <v>ARVIDSON DANIEL</v>
      </c>
      <c r="M15" s="6">
        <f t="shared" si="1"/>
        <v>2.7048611111240461E-2</v>
      </c>
      <c r="N15" s="7">
        <f t="shared" si="2"/>
        <v>38.950000000186265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-07T02:39:11-0600',mode:absolute,to:'2017-05-07T05:26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0.1167</v>
      </c>
      <c r="Z15" s="192">
        <f t="shared" si="9"/>
        <v>23.334099999999999</v>
      </c>
      <c r="AA15" s="192">
        <f t="shared" si="10"/>
        <v>23.217399999999998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0103-07</v>
      </c>
      <c r="AE15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5" s="77" t="str">
        <f t="shared" si="13"/>
        <v>"C:\Program Files (x86)\AstroGrep\AstroGrep.exe" /e /r /s /spath="%USERPROFILE%\AppData\Local\Temp\OnboardLogs" /stypes="app*4020*20170507*"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103-07 --locoid 4020 --swversion DE.1.0.9.0 --startMP 204:1167 --initTime 2017-05-07T03:39:11 --startdatetime 2017-05-07T03:47:29 --delay 1 --endMP 204:233341 --enddatetime 2017-05-07T04:26:26 --enforcementcount 0 &gt;&gt;C:\Users\stu\Documents\GitHub\eaglep3-reporting\EC\2017-05-07-refined-times.txt</v>
      </c>
      <c r="AI1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{"issue":{"subject":"","project_id":79,"tracker_id":40,"status_id":1,"priority_id":2,"assigned_to_id":23,"start_date":"2017-05-07","description":"","custom_fields":[{"id":1,"name":"Subdivision","value":"EC"},{"id":4,"name":"Milepost","value":"23.3341"},{"id":17,"name":"Train ID","value":"103-07"},{"id":16,"name":"Locomotive ID","value":"4020"},{"id":130,"name":"Impact","value":""},{"id":150,"name":"Time of Event (Mountain Time)","value":"04:26:26"},{"id":151,"name":"Denver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4020 --day 2017-05-07</v>
      </c>
      <c r="AN1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10:26:26"},{"id":29,"name":"Sharepoint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610</v>
      </c>
      <c r="B16" s="7">
        <v>4019</v>
      </c>
      <c r="C16" s="21" t="s">
        <v>209</v>
      </c>
      <c r="D16" s="21" t="s">
        <v>513</v>
      </c>
      <c r="E16" s="13">
        <v>42862.192627314813</v>
      </c>
      <c r="F16" s="13">
        <v>42862.195335648146</v>
      </c>
      <c r="G16" s="7">
        <v>1</v>
      </c>
      <c r="H16" s="21" t="s">
        <v>783</v>
      </c>
      <c r="I16" s="13">
        <v>42862.225115740737</v>
      </c>
      <c r="J16" s="7">
        <v>0</v>
      </c>
      <c r="K16" s="92" t="str">
        <f t="shared" si="0"/>
        <v>4019/4020</v>
      </c>
      <c r="L16" s="21" t="str">
        <f>VLOOKUP(A16,'Trips&amp;Operators'!$C$1:$G$99999,5,FALSE)</f>
        <v>ARVIDSON DANIEL</v>
      </c>
      <c r="M16" s="6">
        <f t="shared" si="1"/>
        <v>2.9780092590954155E-2</v>
      </c>
      <c r="N16" s="7">
        <f t="shared" si="2"/>
        <v>42.883333330973983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-07T03:37:23-0600',mode:absolute,to:'2017-05-07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23.299600000000002</v>
      </c>
      <c r="Z16" s="192">
        <f t="shared" si="9"/>
        <v>1.7000000000000001E-2</v>
      </c>
      <c r="AA16" s="192">
        <f t="shared" si="10"/>
        <v>23.282600000000002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0104-07</v>
      </c>
      <c r="AE16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6" s="77" t="str">
        <f t="shared" si="13"/>
        <v>"C:\Program Files (x86)\AstroGrep\AstroGrep.exe" /e /r /s /spath="%USERPROFILE%\AppData\Local\Temp\OnboardLogs" /stypes="app*4019*20170507*"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104-07 --locoid 4019 --swversion DE.1.0.9.0 --startMP 204:232996 --initTime 2017-05-07T04:37:23 --startdatetime 2017-05-07T04:41:17 --delay 1 --endMP 204:170 --enddatetime 2017-05-07T05:24:10 --enforcementcount 0 &gt;&gt;C:\Users\stu\Documents\GitHub\eaglep3-reporting\EC\2017-05-07-refined-times.txt</v>
      </c>
      <c r="AI1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{"issue":{"subject":"","project_id":79,"tracker_id":40,"status_id":1,"priority_id":2,"assigned_to_id":23,"start_date":"2017-05-07","description":"","custom_fields":[{"id":1,"name":"Subdivision","value":"EC"},{"id":4,"name":"Milepost","value":"0.017"},{"id":17,"name":"Train ID","value":"104-07"},{"id":16,"name":"Locomotive ID","value":"4019"},{"id":130,"name":"Impact","value":""},{"id":150,"name":"Time of Event (Mountain Time)","value":"05:24:10"},{"id":151,"name":"Denver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4019 --day 2017-05-07</v>
      </c>
      <c r="AN1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606</v>
      </c>
      <c r="B17" s="7">
        <v>4044</v>
      </c>
      <c r="C17" s="21" t="s">
        <v>209</v>
      </c>
      <c r="D17" s="21" t="s">
        <v>784</v>
      </c>
      <c r="E17" s="13">
        <v>42862.174467592595</v>
      </c>
      <c r="F17" s="13">
        <v>42862.177268518521</v>
      </c>
      <c r="G17" s="7">
        <v>1</v>
      </c>
      <c r="H17" s="21" t="s">
        <v>785</v>
      </c>
      <c r="I17" s="13">
        <v>42862.206006944441</v>
      </c>
      <c r="J17" s="7">
        <v>0</v>
      </c>
      <c r="K17" s="92" t="str">
        <f t="shared" si="0"/>
        <v>4043/4044</v>
      </c>
      <c r="L17" s="21" t="str">
        <f>VLOOKUP(A17,'Trips&amp;Operators'!$C$1:$G$99999,5,FALSE)</f>
        <v>BADERTSCHER DIANE</v>
      </c>
      <c r="M17" s="6">
        <f t="shared" si="1"/>
        <v>2.8738425920892041E-2</v>
      </c>
      <c r="N17" s="7">
        <f t="shared" si="2"/>
        <v>41.383333326084539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-07T03:11:14-0600',mode:absolute,to:'2017-05-07T05:56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7.4399999999999994E-2</v>
      </c>
      <c r="Z17" s="192">
        <f t="shared" si="9"/>
        <v>23.3323</v>
      </c>
      <c r="AA17" s="192">
        <f t="shared" si="10"/>
        <v>23.257899999999999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0105-07</v>
      </c>
      <c r="AE17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7" s="77" t="str">
        <f t="shared" si="13"/>
        <v>"C:\Program Files (x86)\AstroGrep\AstroGrep.exe" /e /r /s /spath="%USERPROFILE%\AppData\Local\Temp\OnboardLogs" /stypes="app*4044*20170507*"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105-07 --locoid 4044 --swversion DE.1.0.9.0 --startMP 204:744 --initTime 2017-05-07T04:11:14 --startdatetime 2017-05-07T04:15:16 --delay 1 --endMP 204:233323 --enddatetime 2017-05-07T04:56:39 --enforcementcount 0 &gt;&gt;C:\Users\stu\Documents\GitHub\eaglep3-reporting\EC\2017-05-07-refined-times.txt</v>
      </c>
      <c r="AI1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{"issue":{"subject":"","project_id":79,"tracker_id":40,"status_id":1,"priority_id":2,"assigned_to_id":23,"start_date":"2017-05-07","description":"","custom_fields":[{"id":1,"name":"Subdivision","value":"EC"},{"id":4,"name":"Milepost","value":"23.3323"},{"id":17,"name":"Train ID","value":"105-07"},{"id":16,"name":"Locomotive ID","value":"4044"},{"id":130,"name":"Impact","value":""},{"id":150,"name":"Time of Event (Mountain Time)","value":"04:56:39"},{"id":151,"name":"Denver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4044 --day 2017-05-07</v>
      </c>
      <c r="AN1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10:56:39"},{"id":29,"name":"Sharepoint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549</v>
      </c>
      <c r="B18" s="7">
        <v>4003</v>
      </c>
      <c r="C18" s="21" t="s">
        <v>209</v>
      </c>
      <c r="D18" s="21" t="s">
        <v>786</v>
      </c>
      <c r="E18" s="13">
        <v>42862.212164351855</v>
      </c>
      <c r="F18" s="13">
        <v>42862.216157407405</v>
      </c>
      <c r="G18" s="7">
        <v>1</v>
      </c>
      <c r="H18" s="21" t="s">
        <v>396</v>
      </c>
      <c r="I18" s="13">
        <v>42862.24496527778</v>
      </c>
      <c r="J18" s="7">
        <v>0</v>
      </c>
      <c r="K18" s="92" t="str">
        <f t="shared" si="0"/>
        <v>4003/4004</v>
      </c>
      <c r="L18" s="21" t="str">
        <f>VLOOKUP(A18,'Trips&amp;Operators'!$C$1:$G$99999,5,FALSE)</f>
        <v>BADERTSCHER DIANE</v>
      </c>
      <c r="M18" s="6">
        <f t="shared" si="1"/>
        <v>2.8807870374293998E-2</v>
      </c>
      <c r="N18" s="7">
        <f t="shared" si="2"/>
        <v>41.483333338983357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-07T04:05:31-0600',mode:absolute,to:'2017-05-07T06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23.269600000000001</v>
      </c>
      <c r="Z18" s="192">
        <f t="shared" si="9"/>
        <v>1.3899999999999999E-2</v>
      </c>
      <c r="AA18" s="192">
        <f t="shared" si="10"/>
        <v>23.255700000000001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 t="shared" si="11"/>
        <v>0106-07</v>
      </c>
      <c r="AE18" s="80" t="str">
        <f t="shared" si="12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8" s="77" t="str">
        <f t="shared" si="13"/>
        <v>"C:\Program Files (x86)\AstroGrep\AstroGrep.exe" /e /r /s /spath="%USERPROFILE%\AppData\Local\Temp\OnboardLogs" /stypes="app*4003*20170507*"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106-07 --locoid 4003 --swversion DE.1.0.9.0 --startMP 204:232696 --initTime 2017-05-07T05:05:31 --startdatetime 2017-05-07T05:11:16 --delay 1 --endMP 204:139 --enddatetime 2017-05-07T05:52:45 --enforcementcount 0 &gt;&gt;C:\Users\stu\Documents\GitHub\eaglep3-reporting\EC\2017-05-07-refined-times.txt</v>
      </c>
      <c r="AI1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ID","value":"106-07"},{"id":16,"name":"Locomotive ID","value":"4003"},{"id":130,"name":"Impact","value":""},{"id":150,"name":"Time of Event (Mountain Time)","value":"05:52:45"},{"id":151,"name":"Denver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4003 --day 2017-05-07</v>
      </c>
      <c r="AN1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609</v>
      </c>
      <c r="B19" s="7">
        <v>4052</v>
      </c>
      <c r="C19" s="21" t="s">
        <v>209</v>
      </c>
      <c r="D19" s="21" t="s">
        <v>368</v>
      </c>
      <c r="E19" s="13">
        <v>42862.18681712963</v>
      </c>
      <c r="F19" s="13">
        <v>42862.187881944446</v>
      </c>
      <c r="G19" s="7">
        <v>0</v>
      </c>
      <c r="H19" s="21" t="s">
        <v>380</v>
      </c>
      <c r="I19" s="13">
        <v>42862.214918981481</v>
      </c>
      <c r="J19" s="7">
        <v>0</v>
      </c>
      <c r="K19" s="92" t="str">
        <f t="shared" si="0"/>
        <v>4051/4052</v>
      </c>
      <c r="L19" s="21" t="str">
        <f>VLOOKUP(A19,'Trips&amp;Operators'!$C$1:$G$99999,5,FALSE)</f>
        <v>DAVIS WENDY</v>
      </c>
      <c r="M19" s="6">
        <f t="shared" si="1"/>
        <v>2.7037037034460809E-2</v>
      </c>
      <c r="N19" s="7">
        <f t="shared" si="2"/>
        <v>38.933333329623565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-07T03:29:01-0600',mode:absolute,to:'2017-05-07T06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4.58E-2</v>
      </c>
      <c r="Z19" s="192">
        <f t="shared" si="9"/>
        <v>23.331399999999999</v>
      </c>
      <c r="AA19" s="192">
        <f t="shared" si="10"/>
        <v>23.285599999999999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0107-07</v>
      </c>
      <c r="AE19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9" s="77" t="str">
        <f t="shared" si="13"/>
        <v>"C:\Program Files (x86)\AstroGrep\AstroGrep.exe" /e /r /s /spath="%USERPROFILE%\AppData\Local\Temp\OnboardLogs" /stypes="app*4052*20170507*"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107-07 --locoid 4052 --swversion DE.1.0.9.0 --startMP 204:458 --initTime 2017-05-07T04:29:01 --startdatetime 2017-05-07T04:30:33 --delay 0 --endMP 204:233314 --enddatetime 2017-05-07T05:09:29 --enforcementcount 0 &gt;&gt;C:\Users\stu\Documents\GitHub\eaglep3-reporting\EC\2017-05-07-refined-times.txt</v>
      </c>
      <c r="AI1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ID","value":"107-07"},{"id":16,"name":"Locomotive ID","value":"4052"},{"id":130,"name":"Impact","value":""},{"id":150,"name":"Time of Event (Mountain Time)","value":"05:09:29"},{"id":151,"name":"Denver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4052 --day 2017-05-07</v>
      </c>
      <c r="AN1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618</v>
      </c>
      <c r="B20" s="7">
        <v>4051</v>
      </c>
      <c r="C20" s="21" t="s">
        <v>209</v>
      </c>
      <c r="D20" s="21" t="s">
        <v>445</v>
      </c>
      <c r="E20" s="13">
        <v>42862.222569444442</v>
      </c>
      <c r="F20" s="13">
        <v>42862.226550925923</v>
      </c>
      <c r="G20" s="7">
        <v>1</v>
      </c>
      <c r="H20" s="21" t="s">
        <v>364</v>
      </c>
      <c r="I20" s="13">
        <v>42862.256006944444</v>
      </c>
      <c r="J20" s="7">
        <v>0</v>
      </c>
      <c r="K20" s="92" t="str">
        <f t="shared" si="0"/>
        <v>4051/4052</v>
      </c>
      <c r="L20" s="21" t="str">
        <f>VLOOKUP(A20,'Trips&amp;Operators'!$C$1:$G$99999,5,FALSE)</f>
        <v>DAVIS WENDY</v>
      </c>
      <c r="M20" s="6">
        <f t="shared" si="1"/>
        <v>2.9456018521159422E-2</v>
      </c>
      <c r="N20" s="7">
        <f t="shared" si="2"/>
        <v>42.416666670469567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-07T04:20:30-0600',mode:absolute,to:'2017-05-07T07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23.2988</v>
      </c>
      <c r="Z20" s="192">
        <f t="shared" si="9"/>
        <v>1.4500000000000001E-2</v>
      </c>
      <c r="AA20" s="192">
        <f t="shared" si="10"/>
        <v>23.284299999999998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0108-07</v>
      </c>
      <c r="AE20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20" s="77" t="str">
        <f t="shared" si="13"/>
        <v>"C:\Program Files (x86)\AstroGrep\AstroGrep.exe" /e /r /s /spath="%USERPROFILE%\AppData\Local\Temp\OnboardLogs" /stypes="app*4051*20170507*"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108-07 --locoid 4051 --swversion DE.1.0.9.0 --startMP 204:232988 --initTime 2017-05-07T05:20:30 --startdatetime 2017-05-07T05:26:14 --delay 1 --endMP 204:145 --enddatetime 2017-05-07T06:08:39 --enforcementcount 0 &gt;&gt;C:\Users\stu\Documents\GitHub\eaglep3-reporting\EC\2017-05-07-refined-times.txt</v>
      </c>
      <c r="AI2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ID","value":"108-07"},{"id":16,"name":"Locomotive ID","value":"4051"},{"id":130,"name":"Impact","value":""},{"id":150,"name":"Time of Event (Mountain Time)","value":"06:08:39"},{"id":151,"name":"Denver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4051 --day 2017-05-07</v>
      </c>
      <c r="AN2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612</v>
      </c>
      <c r="B21" s="7">
        <v>4026</v>
      </c>
      <c r="C21" s="21" t="s">
        <v>209</v>
      </c>
      <c r="D21" s="21" t="s">
        <v>375</v>
      </c>
      <c r="E21" s="13">
        <v>42862.195138888892</v>
      </c>
      <c r="F21" s="13">
        <v>42862.198148148149</v>
      </c>
      <c r="G21" s="7">
        <v>1</v>
      </c>
      <c r="H21" s="21" t="s">
        <v>787</v>
      </c>
      <c r="I21" s="13">
        <v>42862.224351851852</v>
      </c>
      <c r="J21" s="7">
        <v>0</v>
      </c>
      <c r="K21" s="92" t="str">
        <f t="shared" si="0"/>
        <v>4025/4026</v>
      </c>
      <c r="L21" s="21" t="str">
        <f>VLOOKUP(A21,'Trips&amp;Operators'!$C$1:$G$99999,5,FALSE)</f>
        <v>ROBINSON KADDIBA</v>
      </c>
      <c r="M21" s="6">
        <f t="shared" si="1"/>
        <v>2.6203703702776693E-2</v>
      </c>
      <c r="N21" s="7">
        <f t="shared" si="2"/>
        <v>37.733333331998438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-07T03:41:00-0600',mode:absolute,to:'2017-05-07T06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4.6600000000000003E-2</v>
      </c>
      <c r="Z21" s="192">
        <f t="shared" si="9"/>
        <v>23.333400000000001</v>
      </c>
      <c r="AA21" s="192">
        <f t="shared" si="10"/>
        <v>23.286799999999999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0109-07</v>
      </c>
      <c r="AE21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21" s="77" t="str">
        <f t="shared" si="13"/>
        <v>"C:\Program Files (x86)\AstroGrep\AstroGrep.exe" /e /r /s /spath="%USERPROFILE%\AppData\Local\Temp\OnboardLogs" /stypes="app*4026*20170507*"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109-07 --locoid 4026 --swversion DE.1.0.9.0 --startMP 204:466 --initTime 2017-05-07T04:41:00 --startdatetime 2017-05-07T04:45:20 --delay 1 --endMP 204:233334 --enddatetime 2017-05-07T05:23:04 --enforcementcount 0 &gt;&gt;C:\Users\stu\Documents\GitHub\eaglep3-reporting\EC\2017-05-07-refined-times.txt</v>
      </c>
      <c r="AI2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ID","value":"109-07"},{"id":16,"name":"Locomotive ID","value":"4026"},{"id":130,"name":"Impact","value":""},{"id":150,"name":"Time of Event (Mountain Time)","value":"05:23:04"},{"id":151,"name":"Denver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4026 --day 2017-05-07</v>
      </c>
      <c r="AN2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622</v>
      </c>
      <c r="B22" s="7">
        <v>4025</v>
      </c>
      <c r="C22" s="21" t="s">
        <v>209</v>
      </c>
      <c r="D22" s="21" t="s">
        <v>511</v>
      </c>
      <c r="E22" s="13">
        <v>42862.228854166664</v>
      </c>
      <c r="F22" s="13">
        <v>42862.236979166664</v>
      </c>
      <c r="G22" s="7">
        <v>1</v>
      </c>
      <c r="H22" s="21" t="s">
        <v>383</v>
      </c>
      <c r="I22" s="13">
        <v>42862.264780092592</v>
      </c>
      <c r="J22" s="7">
        <v>0</v>
      </c>
      <c r="K22" s="92" t="str">
        <f t="shared" si="0"/>
        <v>4025/4026</v>
      </c>
      <c r="L22" s="21" t="str">
        <f>VLOOKUP(A22,'Trips&amp;Operators'!$C$1:$G$99999,5,FALSE)</f>
        <v>ROBINSON KADDIBA</v>
      </c>
      <c r="M22" s="6">
        <f t="shared" si="1"/>
        <v>2.7800925927294884E-2</v>
      </c>
      <c r="N22" s="7">
        <f t="shared" si="2"/>
        <v>40.033333335304633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-07T04:29:33-0600',mode:absolute,to:'2017-05-07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23.3017</v>
      </c>
      <c r="Z22" s="192">
        <f t="shared" si="9"/>
        <v>1.5599999999999999E-2</v>
      </c>
      <c r="AA22" s="192">
        <f t="shared" si="10"/>
        <v>23.286100000000001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0110-07</v>
      </c>
      <c r="AE22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22" s="77" t="str">
        <f t="shared" si="13"/>
        <v>"C:\Program Files (x86)\AstroGrep\AstroGrep.exe" /e /r /s /spath="%USERPROFILE%\AppData\Local\Temp\OnboardLogs" /stypes="app*4025*20170507*"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110-07 --locoid 4025 --swversion DE.1.0.9.0 --startMP 204:233017 --initTime 2017-05-07T05:29:33 --startdatetime 2017-05-07T05:41:15 --delay 1 --endMP 204:156 --enddatetime 2017-05-07T06:21:17 --enforcementcount 0 &gt;&gt;C:\Users\stu\Documents\GitHub\eaglep3-reporting\EC\2017-05-07-refined-times.txt</v>
      </c>
      <c r="AI2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ID","value":"110-07"},{"id":16,"name":"Locomotive ID","value":"4025"},{"id":130,"name":"Impact","value":""},{"id":150,"name":"Time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4025 --day 2017-05-07</v>
      </c>
      <c r="AN2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613</v>
      </c>
      <c r="B23" s="7">
        <v>4028</v>
      </c>
      <c r="C23" s="21" t="s">
        <v>209</v>
      </c>
      <c r="D23" s="21" t="s">
        <v>788</v>
      </c>
      <c r="E23" s="13">
        <v>42862.203796296293</v>
      </c>
      <c r="F23" s="13">
        <v>42862.208553240744</v>
      </c>
      <c r="G23" s="7">
        <v>1</v>
      </c>
      <c r="H23" s="21" t="s">
        <v>405</v>
      </c>
      <c r="I23" s="13">
        <v>42862.233634259261</v>
      </c>
      <c r="J23" s="7">
        <v>0</v>
      </c>
      <c r="K23" s="92" t="str">
        <f t="shared" si="0"/>
        <v>4027/4028</v>
      </c>
      <c r="L23" s="21" t="str">
        <f>VLOOKUP(A23,'Trips&amp;Operators'!$C$1:$G$99999,5,FALSE)</f>
        <v>GEBRETEKLE DAGNEW</v>
      </c>
      <c r="M23" s="6">
        <f t="shared" si="1"/>
        <v>2.5081018517084885E-2</v>
      </c>
      <c r="N23" s="7">
        <f t="shared" si="2"/>
        <v>36.116666664602235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-07T03:53:28-0600',mode:absolute,to:'2017-05-07T06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0.14960000000000001</v>
      </c>
      <c r="Z23" s="192">
        <f t="shared" si="9"/>
        <v>23.3291</v>
      </c>
      <c r="AA23" s="192">
        <f t="shared" si="10"/>
        <v>23.179500000000001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0111-07</v>
      </c>
      <c r="AE23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23" s="77" t="str">
        <f t="shared" si="13"/>
        <v>"C:\Program Files (x86)\AstroGrep\AstroGrep.exe" /e /r /s /spath="%USERPROFILE%\AppData\Local\Temp\OnboardLogs" /stypes="app*4028*20170507*"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111-07 --locoid 4028 --swversion DE.1.0.9.0 --startMP 204:1496 --initTime 2017-05-07T04:53:28 --startdatetime 2017-05-07T05:00:19 --delay 1 --endMP 204:233291 --enddatetime 2017-05-07T05:36:26 --enforcementcount 0 &gt;&gt;C:\Users\stu\Documents\GitHub\eaglep3-reporting\EC\2017-05-07-refined-times.txt</v>
      </c>
      <c r="AI2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{"issue":{"subject":"","project_id":79,"tracker_id":40,"status_id":1,"priority_id":2,"assigned_to_id":23,"start_date":"2017-05-07","description":"","custom_fields":[{"id":1,"name":"Subdivision","value":"EC"},{"id":4,"name":"Milepost","value":"23.3291"},{"id":17,"name":"Train ID","value":"111-07"},{"id":16,"name":"Locomotive ID","value":"4028"},{"id":130,"name":"Impact","value":""},{"id":150,"name":"Time of Event (Mountain Time)","value":"05:36:26"},{"id":151,"name":"Denver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4028 --day 2017-05-07</v>
      </c>
      <c r="AN2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624</v>
      </c>
      <c r="B24" s="7">
        <v>4027</v>
      </c>
      <c r="C24" s="21" t="s">
        <v>209</v>
      </c>
      <c r="D24" s="21" t="s">
        <v>789</v>
      </c>
      <c r="E24" s="13">
        <v>42862.23951388889</v>
      </c>
      <c r="F24" s="13">
        <v>42862.247511574074</v>
      </c>
      <c r="G24" s="7">
        <v>2</v>
      </c>
      <c r="H24" s="21" t="s">
        <v>404</v>
      </c>
      <c r="I24" s="13">
        <v>42862.274293981478</v>
      </c>
      <c r="J24" s="7">
        <v>0</v>
      </c>
      <c r="K24" s="92" t="str">
        <f t="shared" si="0"/>
        <v>4027/4028</v>
      </c>
      <c r="L24" s="21" t="str">
        <f>VLOOKUP(A24,'Trips&amp;Operators'!$C$1:$G$99999,5,FALSE)</f>
        <v>GEBRETEKLE DAGNEW</v>
      </c>
      <c r="M24" s="6">
        <f t="shared" si="1"/>
        <v>2.6782407403516117E-2</v>
      </c>
      <c r="N24" s="7">
        <f t="shared" si="2"/>
        <v>38.566666661063209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-07T04:44:54-0600',mode:absolute,to:'2017-05-07T07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23.297499999999999</v>
      </c>
      <c r="Z24" s="192">
        <f t="shared" si="9"/>
        <v>1.47E-2</v>
      </c>
      <c r="AA24" s="192">
        <f t="shared" si="10"/>
        <v>23.282799999999998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0112-07</v>
      </c>
      <c r="AE24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24" s="77" t="str">
        <f t="shared" si="13"/>
        <v>"C:\Program Files (x86)\AstroGrep\AstroGrep.exe" /e /r /s /spath="%USERPROFILE%\AppData\Local\Temp\OnboardLogs" /stypes="app*4027*20170507*"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112-07 --locoid 4027 --swversion DE.1.0.9.0 --startMP 204:232975 --initTime 2017-05-07T05:44:54 --startdatetime 2017-05-07T05:56:25 --delay 2 --endMP 204:147 --enddatetime 2017-05-07T06:34:59 --enforcementcount 0 &gt;&gt;C:\Users\stu\Documents\GitHub\eaglep3-reporting\EC\2017-05-07-refined-times.txt</v>
      </c>
      <c r="AI2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{"issue":{"subject":"","project_id":79,"tracker_id":40,"status_id":1,"priority_id":2,"assigned_to_id":23,"start_date":"2017-05-07","description":"","custom_fields":[{"id":1,"name":"Subdivision","value":"EC"},{"id":4,"name":"Milepost","value":"0.0147"},{"id":17,"name":"Train ID","value":"112-07"},{"id":16,"name":"Locomotive ID","value":"4027"},{"id":130,"name":"Impact","value":""},{"id":150,"name":"Time of Event (Mountain Time)","value":"06:34:59"},{"id":151,"name":"Denver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4027 --day 2017-05-07</v>
      </c>
      <c r="AN2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614</v>
      </c>
      <c r="B25" s="7">
        <v>4012</v>
      </c>
      <c r="C25" s="21" t="s">
        <v>209</v>
      </c>
      <c r="D25" s="21" t="s">
        <v>790</v>
      </c>
      <c r="E25" s="13">
        <v>42862.211562500001</v>
      </c>
      <c r="F25" s="13">
        <v>42862.218900462962</v>
      </c>
      <c r="G25" s="7">
        <v>1</v>
      </c>
      <c r="H25" s="21" t="s">
        <v>450</v>
      </c>
      <c r="I25" s="13">
        <v>42862.244837962964</v>
      </c>
      <c r="J25" s="7">
        <v>0</v>
      </c>
      <c r="K25" s="92" t="str">
        <f t="shared" si="0"/>
        <v>4011/4012</v>
      </c>
      <c r="L25" s="21" t="str">
        <f>VLOOKUP(A25,'Trips&amp;Operators'!$C$1:$G$99999,5,FALSE)</f>
        <v>SANTIZO D. EDY</v>
      </c>
      <c r="M25" s="6">
        <f t="shared" si="1"/>
        <v>2.5937500002328306E-2</v>
      </c>
      <c r="N25" s="7">
        <f t="shared" si="2"/>
        <v>37.350000003352761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-07T04:04:39-0600',mode:absolute,to:'2017-05-07T06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6.7199999999999996E-2</v>
      </c>
      <c r="Z25" s="192">
        <f t="shared" si="9"/>
        <v>23.331499999999998</v>
      </c>
      <c r="AA25" s="192">
        <f t="shared" si="10"/>
        <v>23.264299999999999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0113-07</v>
      </c>
      <c r="AE25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25" s="77" t="str">
        <f t="shared" si="13"/>
        <v>"C:\Program Files (x86)\AstroGrep\AstroGrep.exe" /e /r /s /spath="%USERPROFILE%\AppData\Local\Temp\OnboardLogs" /stypes="app*4012*20170507*"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113-07 --locoid 4012 --swversion DE.1.0.9.0 --startMP 204:672 --initTime 2017-05-07T05:04:39 --startdatetime 2017-05-07T05:15:13 --delay 1 --endMP 204:233315 --enddatetime 2017-05-07T05:52:34 --enforcementcount 0 &gt;&gt;C:\Users\stu\Documents\GitHub\eaglep3-reporting\EC\2017-05-07-refined-times.txt</v>
      </c>
      <c r="AI2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{"issue":{"subject":"","project_id":79,"tracker_id":40,"status_id":1,"priority_id":2,"assigned_to_id":23,"start_date":"2017-05-07","description":"","custom_fields":[{"id":1,"name":"Subdivision","value":"EC"},{"id":4,"name":"Milepost","value":"23.3315"},{"id":17,"name":"Train ID","value":"113-07"},{"id":16,"name":"Locomotive ID","value":"4012"},{"id":130,"name":"Impact","value":""},{"id":150,"name":"Time of Event (Mountain Time)","value":"05:52:34"},{"id":151,"name":"Denver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4012 --day 2017-05-07</v>
      </c>
      <c r="AN2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626</v>
      </c>
      <c r="B26" s="7">
        <v>4011</v>
      </c>
      <c r="C26" s="21" t="s">
        <v>209</v>
      </c>
      <c r="D26" s="21" t="s">
        <v>513</v>
      </c>
      <c r="E26" s="13">
        <v>42862.245821759258</v>
      </c>
      <c r="F26" s="13">
        <v>42862.2578125</v>
      </c>
      <c r="G26" s="7">
        <v>1</v>
      </c>
      <c r="H26" s="21" t="s">
        <v>456</v>
      </c>
      <c r="I26" s="13">
        <v>42862.285173611112</v>
      </c>
      <c r="J26" s="7">
        <v>0</v>
      </c>
      <c r="K26" s="92" t="str">
        <f t="shared" si="0"/>
        <v>4011/4012</v>
      </c>
      <c r="L26" s="21" t="str">
        <f>VLOOKUP(A26,'Trips&amp;Operators'!$C$1:$G$99999,5,FALSE)</f>
        <v>SANTIZO D. EDY</v>
      </c>
      <c r="M26" s="6">
        <f t="shared" si="1"/>
        <v>2.73611111115315E-2</v>
      </c>
      <c r="N26" s="7">
        <f t="shared" si="2"/>
        <v>39.40000000060536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-07T04:53:59-0600',mode:absolute,to:'2017-05-07T07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23.299600000000002</v>
      </c>
      <c r="Z26" s="192">
        <f t="shared" si="9"/>
        <v>1.29E-2</v>
      </c>
      <c r="AA26" s="192">
        <f t="shared" si="10"/>
        <v>23.286700000000003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0114-07</v>
      </c>
      <c r="AE26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26" s="77" t="str">
        <f t="shared" si="13"/>
        <v>"C:\Program Files (x86)\AstroGrep\AstroGrep.exe" /e /r /s /spath="%USERPROFILE%\AppData\Local\Temp\OnboardLogs" /stypes="app*4011*20170507*"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114-07 --locoid 4011 --swversion DE.1.0.9.0 --startMP 204:232996 --initTime 2017-05-07T05:53:59 --startdatetime 2017-05-07T06:11:15 --delay 1 --endMP 204:129 --enddatetime 2017-05-07T06:50:39 --enforcementcount 0 &gt;&gt;C:\Users\stu\Documents\GitHub\eaglep3-reporting\EC\2017-05-07-refined-times.txt</v>
      </c>
      <c r="AI2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{"issue":{"subject":"","project_id":79,"tracker_id":40,"status_id":1,"priority_id":2,"assigned_to_id":23,"start_date":"2017-05-07","description":"","custom_fields":[{"id":1,"name":"Subdivision","value":"EC"},{"id":4,"name":"Milepost","value":"0.0129"},{"id":17,"name":"Train ID","value":"114-07"},{"id":16,"name":"Locomotive ID","value":"4011"},{"id":130,"name":"Impact","value":""},{"id":150,"name":"Time of Event (Mountain Time)","value":"06:50:39"},{"id":151,"name":"Denver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4011 --day 2017-05-07</v>
      </c>
      <c r="AN2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615</v>
      </c>
      <c r="B27" s="7">
        <v>4006</v>
      </c>
      <c r="C27" s="21" t="s">
        <v>209</v>
      </c>
      <c r="D27" s="21" t="s">
        <v>791</v>
      </c>
      <c r="E27" s="13">
        <v>42862.213912037034</v>
      </c>
      <c r="F27" s="13">
        <v>42862.229525462964</v>
      </c>
      <c r="G27" s="7">
        <v>1</v>
      </c>
      <c r="H27" s="21" t="s">
        <v>406</v>
      </c>
      <c r="I27" s="13">
        <v>42862.254305555558</v>
      </c>
      <c r="J27" s="7">
        <v>0</v>
      </c>
      <c r="K27" s="92" t="str">
        <f t="shared" si="0"/>
        <v>4005/4006</v>
      </c>
      <c r="L27" s="21" t="str">
        <f>VLOOKUP(A27,'Trips&amp;Operators'!$C$1:$G$99999,5,FALSE)</f>
        <v>MACDONALD THOMAS</v>
      </c>
      <c r="M27" s="6">
        <f t="shared" si="1"/>
        <v>2.4780092593573499E-2</v>
      </c>
      <c r="N27" s="7">
        <f t="shared" si="2"/>
        <v>35.683333334745839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-07T04:08:02-0600',mode:absolute,to:'2017-05-07T07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3.9600000000000003E-2</v>
      </c>
      <c r="Z27" s="192">
        <f t="shared" si="9"/>
        <v>23.333200000000001</v>
      </c>
      <c r="AA27" s="192">
        <f t="shared" si="10"/>
        <v>23.293600000000001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0115-07</v>
      </c>
      <c r="AE27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7" s="77" t="str">
        <f t="shared" si="13"/>
        <v>"C:\Program Files (x86)\AstroGrep\AstroGrep.exe" /e /r /s /spath="%USERPROFILE%\AppData\Local\Temp\OnboardLogs" /stypes="app*4006*20170507*"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115-07 --locoid 4006 --swversion DE.1.0.9.0 --startMP 204:396 --initTime 2017-05-07T05:08:02 --startdatetime 2017-05-07T05:30:31 --delay 1 --endMP 204:233332 --enddatetime 2017-05-07T06:06:12 --enforcementcount 0 &gt;&gt;C:\Users\stu\Documents\GitHub\eaglep3-reporting\EC\2017-05-07-refined-times.txt</v>
      </c>
      <c r="AI2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{"issue":{"subject":"","project_id":79,"tracker_id":40,"status_id":1,"priority_id":2,"assigned_to_id":23,"start_date":"2017-05-07","description":"","custom_fields":[{"id":1,"name":"Subdivision","value":"EC"},{"id":4,"name":"Milepost","value":"23.3332"},{"id":17,"name":"Train ID","value":"115-07"},{"id":16,"name":"Locomotive ID","value":"4006"},{"id":130,"name":"Impact","value":""},{"id":150,"name":"Time of Event (Mountain Time)","value":"06:06:12"},{"id":151,"name":"Denver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4006 --day 2017-05-07</v>
      </c>
      <c r="AN2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630</v>
      </c>
      <c r="B28" s="7">
        <v>4005</v>
      </c>
      <c r="C28" s="21" t="s">
        <v>209</v>
      </c>
      <c r="D28" s="21" t="s">
        <v>513</v>
      </c>
      <c r="E28" s="13">
        <v>42862.265405092592</v>
      </c>
      <c r="F28" s="13">
        <v>42862.268252314818</v>
      </c>
      <c r="G28" s="7">
        <v>2</v>
      </c>
      <c r="H28" s="21" t="s">
        <v>373</v>
      </c>
      <c r="I28" s="13">
        <v>42862.296631944446</v>
      </c>
      <c r="J28" s="7">
        <v>0</v>
      </c>
      <c r="K28" s="92" t="str">
        <f t="shared" si="0"/>
        <v>4005/4006</v>
      </c>
      <c r="L28" s="21" t="str">
        <f>VLOOKUP(A28,'Trips&amp;Operators'!$C$1:$G$99999,5,FALSE)</f>
        <v>MACDONALD THOMAS</v>
      </c>
      <c r="M28" s="6">
        <f t="shared" si="1"/>
        <v>2.8379629628034309E-2</v>
      </c>
      <c r="N28" s="7">
        <f t="shared" si="2"/>
        <v>40.866666664369404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-07T05:22:11-0600',mode:absolute,to:'2017-05-07T08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23.299600000000002</v>
      </c>
      <c r="Z28" s="192">
        <f t="shared" si="9"/>
        <v>1.49E-2</v>
      </c>
      <c r="AA28" s="192">
        <f t="shared" si="10"/>
        <v>23.284700000000001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0116-07</v>
      </c>
      <c r="AE28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28" s="77" t="str">
        <f t="shared" si="13"/>
        <v>"C:\Program Files (x86)\AstroGrep\AstroGrep.exe" /e /r /s /spath="%USERPROFILE%\AppData\Local\Temp\OnboardLogs" /stypes="app*4005*20170507*"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116-07 --locoid 4005 --swversion DE.1.0.9.0 --startMP 204:232996 --initTime 2017-05-07T06:22:11 --startdatetime 2017-05-07T06:26:17 --delay 2 --endMP 204:149 --enddatetime 2017-05-07T07:07:09 --enforcementcount 0 &gt;&gt;C:\Users\stu\Documents\GitHub\eaglep3-reporting\EC\2017-05-07-refined-times.txt</v>
      </c>
      <c r="AI2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{"issue":{"subject":"","project_id":79,"tracker_id":40,"status_id":1,"priority_id":2,"assigned_to_id":23,"start_date":"2017-05-07","description":"","custom_fields":[{"id":1,"name":"Subdivision","value":"EC"},{"id":4,"name":"Milepost","value":"0.0149"},{"id":17,"name":"Train ID","value":"116-07"},{"id":16,"name":"Locomotive ID","value":"4005"},{"id":130,"name":"Impact","value":""},{"id":150,"name":"Time of Event (Mountain Time)","value":"07:07:09"},{"id":151,"name":"Denver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4005 --day 2017-05-07</v>
      </c>
      <c r="AN2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623</v>
      </c>
      <c r="B29" s="7">
        <v>4020</v>
      </c>
      <c r="C29" s="21" t="s">
        <v>209</v>
      </c>
      <c r="D29" s="21" t="s">
        <v>376</v>
      </c>
      <c r="E29" s="13">
        <v>42862.231041666666</v>
      </c>
      <c r="F29" s="13">
        <v>42862.239803240744</v>
      </c>
      <c r="G29" s="7">
        <v>1</v>
      </c>
      <c r="H29" s="21" t="s">
        <v>787</v>
      </c>
      <c r="I29" s="13">
        <v>42862.265763888892</v>
      </c>
      <c r="J29" s="7">
        <v>0</v>
      </c>
      <c r="K29" s="92" t="str">
        <f t="shared" si="0"/>
        <v>4019/4020</v>
      </c>
      <c r="L29" s="21" t="str">
        <f>VLOOKUP(A29,'Trips&amp;Operators'!$C$1:$G$99999,5,FALSE)</f>
        <v>MAELZER KURT</v>
      </c>
      <c r="M29" s="6">
        <f t="shared" si="1"/>
        <v>2.5960648148611654E-2</v>
      </c>
      <c r="N29" s="7">
        <f t="shared" si="2"/>
        <v>37.383333334000781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-07T04:32:42-0600',mode:absolute,to:'2017-05-07T07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4.6899999999999997E-2</v>
      </c>
      <c r="Z29" s="192">
        <f t="shared" si="9"/>
        <v>23.333400000000001</v>
      </c>
      <c r="AA29" s="192">
        <f t="shared" si="10"/>
        <v>23.2865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0117-07</v>
      </c>
      <c r="AE29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29" s="77" t="str">
        <f t="shared" si="13"/>
        <v>"C:\Program Files (x86)\AstroGrep\AstroGrep.exe" /e /r /s /spath="%USERPROFILE%\AppData\Local\Temp\OnboardLogs" /stypes="app*4020*20170507*"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117-07 --locoid 4020 --swversion DE.1.0.9.0 --startMP 204:469 --initTime 2017-05-07T05:32:42 --startdatetime 2017-05-07T05:45:19 --delay 1 --endMP 204:233334 --enddatetime 2017-05-07T06:22:42 --enforcementcount 0 &gt;&gt;C:\Users\stu\Documents\GitHub\eaglep3-reporting\EC\2017-05-07-refined-times.txt</v>
      </c>
      <c r="AI2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ID","value":"117-07"},{"id":16,"name":"Locomotive ID","value":"4020"},{"id":130,"name":"Impact","value":""},{"id":150,"name":"Time of Event (Mountain Time)","value":"06:22:42"},{"id":151,"name":"Denver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4020 --day 2017-05-07</v>
      </c>
      <c r="AN2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632</v>
      </c>
      <c r="B30" s="7">
        <v>4019</v>
      </c>
      <c r="C30" s="21" t="s">
        <v>209</v>
      </c>
      <c r="D30" s="21" t="s">
        <v>792</v>
      </c>
      <c r="E30" s="13">
        <v>42862.272974537038</v>
      </c>
      <c r="F30" s="13">
        <v>42862.278784722221</v>
      </c>
      <c r="G30" s="7">
        <v>1</v>
      </c>
      <c r="H30" s="21" t="s">
        <v>373</v>
      </c>
      <c r="I30" s="13">
        <v>42862.307025462964</v>
      </c>
      <c r="J30" s="7">
        <v>0</v>
      </c>
      <c r="K30" s="92" t="str">
        <f t="shared" si="0"/>
        <v>4019/4020</v>
      </c>
      <c r="L30" s="21" t="str">
        <f>VLOOKUP(A30,'Trips&amp;Operators'!$C$1:$G$99999,5,FALSE)</f>
        <v>MAELZER KURT</v>
      </c>
      <c r="M30" s="6">
        <f t="shared" si="1"/>
        <v>2.8240740743058268E-2</v>
      </c>
      <c r="N30" s="7">
        <f t="shared" si="2"/>
        <v>40.666666670003906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-07T05:33:05-0600',mode:absolute,to:'2017-05-07T08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23.302800000000001</v>
      </c>
      <c r="Z30" s="192">
        <f t="shared" si="9"/>
        <v>1.49E-2</v>
      </c>
      <c r="AA30" s="192">
        <f t="shared" si="10"/>
        <v>23.2879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0118-07</v>
      </c>
      <c r="AE30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30" s="77" t="str">
        <f t="shared" si="13"/>
        <v>"C:\Program Files (x86)\AstroGrep\AstroGrep.exe" /e /r /s /spath="%USERPROFILE%\AppData\Local\Temp\OnboardLogs" /stypes="app*4019*20170507*"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118-07 --locoid 4019 --swversion DE.1.0.9.0 --startMP 204:233028 --initTime 2017-05-07T06:33:05 --startdatetime 2017-05-07T06:41:27 --delay 1 --endMP 204:149 --enddatetime 2017-05-07T07:22:07 --enforcementcount 0 &gt;&gt;C:\Users\stu\Documents\GitHub\eaglep3-reporting\EC\2017-05-07-refined-times.txt</v>
      </c>
      <c r="AI3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{"issue":{"subject":"","project_id":79,"tracker_id":40,"status_id":1,"priority_id":2,"assigned_to_id":23,"start_date":"2017-05-07","description":"","custom_fields":[{"id":1,"name":"Subdivision","value":"EC"},{"id":4,"name":"Milepost","value":"0.0149"},{"id":17,"name":"Train ID","value":"118-07"},{"id":16,"name":"Locomotive ID","value":"4019"},{"id":130,"name":"Impact","value":""},{"id":150,"name":"Time of Event (Mountain Time)","value":"07:22:07"},{"id":151,"name":"Denver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4019 --day 2017-05-07</v>
      </c>
      <c r="AN3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550</v>
      </c>
      <c r="B31" s="7">
        <v>4044</v>
      </c>
      <c r="C31" s="21" t="s">
        <v>209</v>
      </c>
      <c r="D31" s="21" t="s">
        <v>793</v>
      </c>
      <c r="E31" s="13">
        <v>42862.247881944444</v>
      </c>
      <c r="F31" s="13">
        <v>42862.251469907409</v>
      </c>
      <c r="G31" s="7">
        <v>4</v>
      </c>
      <c r="H31" s="21" t="s">
        <v>507</v>
      </c>
      <c r="I31" s="13">
        <v>42862.277037037034</v>
      </c>
      <c r="J31" s="7">
        <v>0</v>
      </c>
      <c r="K31" s="92" t="str">
        <f t="shared" si="0"/>
        <v>4043/4044</v>
      </c>
      <c r="L31" s="21" t="str">
        <f>VLOOKUP(A31,'Trips&amp;Operators'!$C$1:$G$99999,5,FALSE)</f>
        <v>BADERTSCHER DIANE</v>
      </c>
      <c r="M31" s="6">
        <f t="shared" si="1"/>
        <v>2.5567129625414964E-2</v>
      </c>
      <c r="N31" s="7">
        <f t="shared" si="2"/>
        <v>36.816666660597548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-07T04:56:57-0600',mode:absolute,to:'2017-05-07T07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7.3200000000000001E-2</v>
      </c>
      <c r="Z31" s="192">
        <f t="shared" si="9"/>
        <v>23.327400000000001</v>
      </c>
      <c r="AA31" s="192">
        <f t="shared" si="10"/>
        <v>23.254200000000001</v>
      </c>
      <c r="AB31" s="57" t="str">
        <f>VLOOKUP(A31,Enforcements!$C$7:$K$13,8,0)</f>
        <v>Bulletin (2)</v>
      </c>
      <c r="AC31" s="53" t="str">
        <f>VLOOKUP(A31,Enforcements!$C$7:$E$13,3,0)</f>
        <v>GRADE CROSSING</v>
      </c>
      <c r="AD31" s="54" t="str">
        <f t="shared" si="11"/>
        <v>0119-07</v>
      </c>
      <c r="AE31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31" s="77" t="str">
        <f t="shared" si="13"/>
        <v>"C:\Program Files (x86)\AstroGrep\AstroGrep.exe" /e /r /s /spath="%USERPROFILE%\AppData\Local\Temp\OnboardLogs" /stypes="app*4044*20170507*"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119-07 --locoid 4044 --swversion DE.1.0.9.0 --startMP 204:732 --initTime 2017-05-07T05:56:57 --startdatetime 2017-05-07T06:02:07 --delay 4 --endMP 204:233274 --enddatetime 2017-05-07T06:38:56 --enforcementcount 0 &gt;&gt;C:\Users\stu\Documents\GitHub\eaglep3-reporting\EC\2017-05-07-refined-times.txt</v>
      </c>
      <c r="AI3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{"issue":{"subject":"","project_id":79,"tracker_id":40,"status_id":1,"priority_id":2,"assigned_to_id":23,"start_date":"2017-05-07","description":"","custom_fields":[{"id":1,"name":"Subdivision","value":"EC"},{"id":4,"name":"Milepost","value":"23.3274"},{"id":17,"name":"Train ID","value":"119-07"},{"id":16,"name":"Locomotive ID","value":"4044"},{"id":130,"name":"Impact","value":""},{"id":150,"name":"Time of Event (Mountain Time)","value":"06:38:56"},{"id":151,"name":"Denver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4044 --day 2017-05-07</v>
      </c>
      <c r="AN3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634</v>
      </c>
      <c r="B32" s="7">
        <v>4043</v>
      </c>
      <c r="C32" s="21" t="s">
        <v>209</v>
      </c>
      <c r="D32" s="21" t="s">
        <v>442</v>
      </c>
      <c r="E32" s="13">
        <v>42862.280671296299</v>
      </c>
      <c r="F32" s="13">
        <v>42862.289050925923</v>
      </c>
      <c r="G32" s="7">
        <v>1</v>
      </c>
      <c r="H32" s="21" t="s">
        <v>374</v>
      </c>
      <c r="I32" s="13">
        <v>42862.317326388889</v>
      </c>
      <c r="J32" s="7">
        <v>0</v>
      </c>
      <c r="K32" s="92" t="str">
        <f t="shared" si="0"/>
        <v>4043/4044</v>
      </c>
      <c r="L32" s="21" t="str">
        <f>VLOOKUP(A32,'Trips&amp;Operators'!$C$1:$G$99999,5,FALSE)</f>
        <v>BADERTSCHER DIANE</v>
      </c>
      <c r="M32" s="6">
        <f t="shared" si="1"/>
        <v>2.8275462966121268E-2</v>
      </c>
      <c r="N32" s="7">
        <f t="shared" si="2"/>
        <v>40.716666671214625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-07T05:44:10-0600',mode:absolute,to:'2017-05-07T08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23.295500000000001</v>
      </c>
      <c r="Z32" s="192">
        <f t="shared" si="9"/>
        <v>1.43E-2</v>
      </c>
      <c r="AA32" s="192">
        <f t="shared" si="10"/>
        <v>23.281200000000002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0120-07</v>
      </c>
      <c r="AE32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32" s="77" t="str">
        <f t="shared" si="13"/>
        <v>"C:\Program Files (x86)\AstroGrep\AstroGrep.exe" /e /r /s /spath="%USERPROFILE%\AppData\Local\Temp\OnboardLogs" /stypes="app*4043*20170507*"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120-07 --locoid 4043 --swversion DE.1.0.9.0 --startMP 204:232955 --initTime 2017-05-07T06:44:10 --startdatetime 2017-05-07T06:56:14 --delay 1 --endMP 204:143 --enddatetime 2017-05-07T07:36:57 --enforcementcount 0 &gt;&gt;C:\Users\stu\Documents\GitHub\eaglep3-reporting\EC\2017-05-07-refined-times.txt</v>
      </c>
      <c r="AI3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ID","value":"120-07"},{"id":16,"name":"Locomotive ID","value":"4043"},{"id":130,"name":"Impact","value":""},{"id":150,"name":"Time of Event (Mountain Time)","value":"07:36:57"},{"id":151,"name":"Denver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4043 --day 2017-05-07</v>
      </c>
      <c r="AN3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628</v>
      </c>
      <c r="B33" s="7">
        <v>4052</v>
      </c>
      <c r="C33" s="21" t="s">
        <v>209</v>
      </c>
      <c r="D33" s="21" t="s">
        <v>386</v>
      </c>
      <c r="E33" s="13">
        <v>42862.257638888892</v>
      </c>
      <c r="F33" s="13">
        <v>42862.260671296295</v>
      </c>
      <c r="G33" s="7">
        <v>1</v>
      </c>
      <c r="H33" s="21" t="s">
        <v>444</v>
      </c>
      <c r="I33" s="13">
        <v>42862.287303240744</v>
      </c>
      <c r="J33" s="7">
        <v>0</v>
      </c>
      <c r="K33" s="92" t="str">
        <f t="shared" si="0"/>
        <v>4051/4052</v>
      </c>
      <c r="L33" s="21" t="str">
        <f>VLOOKUP(A33,'Trips&amp;Operators'!$C$1:$G$99999,5,FALSE)</f>
        <v>DAVIS WENDY</v>
      </c>
      <c r="M33" s="6">
        <f t="shared" si="1"/>
        <v>2.6631944449036382E-2</v>
      </c>
      <c r="N33" s="7">
        <f t="shared" si="2"/>
        <v>38.35000000661239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-07T05:11:00-0600',mode:absolute,to:'2017-05-07T07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4.53E-2</v>
      </c>
      <c r="Z33" s="192">
        <f t="shared" si="9"/>
        <v>23.329499999999999</v>
      </c>
      <c r="AA33" s="192">
        <f t="shared" si="10"/>
        <v>23.284199999999998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0121-07</v>
      </c>
      <c r="AE33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33" s="77" t="str">
        <f t="shared" si="13"/>
        <v>"C:\Program Files (x86)\AstroGrep\AstroGrep.exe" /e /r /s /spath="%USERPROFILE%\AppData\Local\Temp\OnboardLogs" /stypes="app*4052*20170507*"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121-07 --locoid 4052 --swversion DE.1.0.9.0 --startMP 204:453 --initTime 2017-05-07T06:11:00 --startdatetime 2017-05-07T06:15:22 --delay 1 --endMP 204:233295 --enddatetime 2017-05-07T06:53:43 --enforcementcount 0 &gt;&gt;C:\Users\stu\Documents\GitHub\eaglep3-reporting\EC\2017-05-07-refined-times.txt</v>
      </c>
      <c r="AI3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{"issue":{"subject":"","project_id":79,"tracker_id":40,"status_id":1,"priority_id":2,"assigned_to_id":23,"start_date":"2017-05-07","description":"","custom_fields":[{"id":1,"name":"Subdivision","value":"EC"},{"id":4,"name":"Milepost","value":"23.3295"},{"id":17,"name":"Train ID","value":"121-07"},{"id":16,"name":"Locomotive ID","value":"4052"},{"id":130,"name":"Impact","value":""},{"id":150,"name":"Time of Event (Mountain Time)","value":"06:53:43"},{"id":151,"name":"Denver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4052 --day 2017-05-07</v>
      </c>
      <c r="AN3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636</v>
      </c>
      <c r="B34" s="7">
        <v>4051</v>
      </c>
      <c r="C34" s="21" t="s">
        <v>209</v>
      </c>
      <c r="D34" s="21" t="s">
        <v>794</v>
      </c>
      <c r="E34" s="13">
        <v>42862.295312499999</v>
      </c>
      <c r="F34" s="13">
        <v>42862.299537037034</v>
      </c>
      <c r="G34" s="7">
        <v>0</v>
      </c>
      <c r="H34" s="21" t="s">
        <v>374</v>
      </c>
      <c r="I34" s="13">
        <v>42862.328287037039</v>
      </c>
      <c r="J34" s="7">
        <v>0</v>
      </c>
      <c r="K34" s="92" t="str">
        <f t="shared" si="0"/>
        <v>4051/4052</v>
      </c>
      <c r="L34" s="21" t="str">
        <f>VLOOKUP(A34,'Trips&amp;Operators'!$C$1:$G$99999,5,FALSE)</f>
        <v>DAVIS WENDY</v>
      </c>
      <c r="M34" s="6">
        <f t="shared" si="1"/>
        <v>2.8750000004947651E-2</v>
      </c>
      <c r="N34" s="7">
        <f t="shared" si="2"/>
        <v>41.400000007124618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-07T06:05:15-0600',mode:absolute,to:'2017-05-07T08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23.297699999999999</v>
      </c>
      <c r="Z34" s="192">
        <f t="shared" si="9"/>
        <v>1.43E-2</v>
      </c>
      <c r="AA34" s="192">
        <f t="shared" si="10"/>
        <v>23.2834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0122-07</v>
      </c>
      <c r="AE34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34" s="77" t="str">
        <f t="shared" si="13"/>
        <v>"C:\Program Files (x86)\AstroGrep\AstroGrep.exe" /e /r /s /spath="%USERPROFILE%\AppData\Local\Temp\OnboardLogs" /stypes="app*4051*20170507*"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122-07 --locoid 4051 --swversion DE.1.0.9.0 --startMP 204:232977 --initTime 2017-05-07T07:05:15 --startdatetime 2017-05-07T07:11:20 --delay 0 --endMP 204:143 --enddatetime 2017-05-07T07:52:44 --enforcementcount 0 &gt;&gt;C:\Users\stu\Documents\GitHub\eaglep3-reporting\EC\2017-05-07-refined-times.txt</v>
      </c>
      <c r="AI3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ID","value":"122-07"},{"id":16,"name":"Locomotive ID","value":"4051"},{"id":130,"name":"Impact","value":""},{"id":150,"name":"Time of Event (Mountain Time)","value":"07:52:44"},{"id":151,"name":"Denver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4051 --day 2017-05-07</v>
      </c>
      <c r="AN3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631</v>
      </c>
      <c r="B35" s="7">
        <v>4026</v>
      </c>
      <c r="C35" s="21" t="s">
        <v>209</v>
      </c>
      <c r="D35" s="21" t="s">
        <v>375</v>
      </c>
      <c r="E35" s="13">
        <v>42862.26898148148</v>
      </c>
      <c r="F35" s="13">
        <v>42862.270995370367</v>
      </c>
      <c r="G35" s="7">
        <v>1</v>
      </c>
      <c r="H35" s="21" t="s">
        <v>795</v>
      </c>
      <c r="I35" s="13">
        <v>42862.296099537038</v>
      </c>
      <c r="J35" s="7">
        <v>0</v>
      </c>
      <c r="K35" s="92" t="str">
        <f t="shared" si="0"/>
        <v>4025/4026</v>
      </c>
      <c r="L35" s="21" t="str">
        <f>VLOOKUP(A35,'Trips&amp;Operators'!$C$1:$G$99999,5,FALSE)</f>
        <v>ROBINSON KADDIBA</v>
      </c>
      <c r="M35" s="6">
        <f t="shared" si="1"/>
        <v>2.510416667064419E-2</v>
      </c>
      <c r="N35" s="7">
        <f t="shared" si="2"/>
        <v>36.150000005727634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-07T05:27:20-0600',mode:absolute,to:'2017-05-07T08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4.6600000000000003E-2</v>
      </c>
      <c r="Z35" s="192">
        <f t="shared" si="9"/>
        <v>23.328399999999998</v>
      </c>
      <c r="AA35" s="192">
        <f t="shared" si="10"/>
        <v>23.281799999999997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0123-07</v>
      </c>
      <c r="AE35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35" s="77" t="str">
        <f t="shared" si="13"/>
        <v>"C:\Program Files (x86)\AstroGrep\AstroGrep.exe" /e /r /s /spath="%USERPROFILE%\AppData\Local\Temp\OnboardLogs" /stypes="app*4026*20170507*"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123-07 --locoid 4026 --swversion DE.1.0.9.0 --startMP 204:466 --initTime 2017-05-07T06:27:20 --startdatetime 2017-05-07T06:30:14 --delay 1 --endMP 204:233284 --enddatetime 2017-05-07T07:06:23 --enforcementcount 0 &gt;&gt;C:\Users\stu\Documents\GitHub\eaglep3-reporting\EC\2017-05-07-refined-times.txt</v>
      </c>
      <c r="AI3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{"issue":{"subject":"","project_id":79,"tracker_id":40,"status_id":1,"priority_id":2,"assigned_to_id":23,"start_date":"2017-05-07","description":"","custom_fields":[{"id":1,"name":"Subdivision","value":"EC"},{"id":4,"name":"Milepost","value":"23.3284"},{"id":17,"name":"Train ID","value":"123-07"},{"id":16,"name":"Locomotive ID","value":"4026"},{"id":130,"name":"Impact","value":""},{"id":150,"name":"Time of Event (Mountain Time)","value":"07:06:23"},{"id":151,"name":"Denver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4026 --day 2017-05-07</v>
      </c>
      <c r="AN3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638</v>
      </c>
      <c r="B36" s="7">
        <v>4025</v>
      </c>
      <c r="C36" s="21" t="s">
        <v>209</v>
      </c>
      <c r="D36" s="21" t="s">
        <v>448</v>
      </c>
      <c r="E36" s="13">
        <v>42862.304583333331</v>
      </c>
      <c r="F36" s="13">
        <v>42862.309895833336</v>
      </c>
      <c r="G36" s="7">
        <v>2</v>
      </c>
      <c r="H36" s="21" t="s">
        <v>197</v>
      </c>
      <c r="I36" s="13">
        <v>42862.337152777778</v>
      </c>
      <c r="J36" s="7">
        <v>0</v>
      </c>
      <c r="K36" s="92" t="str">
        <f t="shared" si="0"/>
        <v>4025/4026</v>
      </c>
      <c r="L36" s="21" t="str">
        <f>VLOOKUP(A36,'Trips&amp;Operators'!$C$1:$G$99999,5,FALSE)</f>
        <v>ROBINSON KADDIBA</v>
      </c>
      <c r="M36" s="6">
        <f t="shared" si="1"/>
        <v>2.7256944442342501E-2</v>
      </c>
      <c r="N36" s="7">
        <f t="shared" si="2"/>
        <v>39.249999996973202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-07T06:18:36-0600',mode:absolute,to:'2017-05-07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23.296700000000001</v>
      </c>
      <c r="Z36" s="192">
        <f t="shared" si="9"/>
        <v>1.52E-2</v>
      </c>
      <c r="AA36" s="192">
        <f t="shared" si="10"/>
        <v>23.281500000000001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0124-07</v>
      </c>
      <c r="AE36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36" s="77" t="str">
        <f t="shared" si="13"/>
        <v>"C:\Program Files (x86)\AstroGrep\AstroGrep.exe" /e /r /s /spath="%USERPROFILE%\AppData\Local\Temp\OnboardLogs" /stypes="app*4025*20170507*"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124-07 --locoid 4025 --swversion DE.1.0.9.0 --startMP 204:232967 --initTime 2017-05-07T07:18:36 --startdatetime 2017-05-07T07:26:15 --delay 2 --endMP 204:152 --enddatetime 2017-05-07T08:05:30 --enforcementcount 0 &gt;&gt;C:\Users\stu\Documents\GitHub\eaglep3-reporting\EC\2017-05-07-refined-times.txt</v>
      </c>
      <c r="AI3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ID","value":"124-07"},{"id":16,"name":"Locomotive ID","value":"4025"},{"id":130,"name":"Impact","value":""},{"id":150,"name":"Time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4025 --day 2017-05-07</v>
      </c>
      <c r="AN3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633</v>
      </c>
      <c r="B37" s="7">
        <v>4028</v>
      </c>
      <c r="C37" s="21" t="s">
        <v>209</v>
      </c>
      <c r="D37" s="21" t="s">
        <v>413</v>
      </c>
      <c r="E37" s="13">
        <v>42862.276643518519</v>
      </c>
      <c r="F37" s="13">
        <v>42862.281493055554</v>
      </c>
      <c r="G37" s="7">
        <v>1</v>
      </c>
      <c r="H37" s="21" t="s">
        <v>506</v>
      </c>
      <c r="I37" s="13">
        <v>42862.306226851855</v>
      </c>
      <c r="J37" s="7">
        <v>0</v>
      </c>
      <c r="K37" s="92" t="str">
        <f t="shared" si="0"/>
        <v>4027/4028</v>
      </c>
      <c r="L37" s="21" t="str">
        <f>VLOOKUP(A37,'Trips&amp;Operators'!$C$1:$G$99999,5,FALSE)</f>
        <v>GEBRETEKLE DAGNEW</v>
      </c>
      <c r="M37" s="6">
        <f t="shared" si="1"/>
        <v>2.4733796301006805E-2</v>
      </c>
      <c r="N37" s="7">
        <f t="shared" si="2"/>
        <v>35.616666673449799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-07T05:38:22-0600',mode:absolute,to:'2017-05-07T08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4.3700000000000003E-2</v>
      </c>
      <c r="Z37" s="192">
        <f t="shared" si="9"/>
        <v>23.332699999999999</v>
      </c>
      <c r="AA37" s="192">
        <f t="shared" si="10"/>
        <v>23.288999999999998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0125-07</v>
      </c>
      <c r="AE37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37" s="77" t="str">
        <f t="shared" si="13"/>
        <v>"C:\Program Files (x86)\AstroGrep\AstroGrep.exe" /e /r /s /spath="%USERPROFILE%\AppData\Local\Temp\OnboardLogs" /stypes="app*4028*20170507*"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125-07 --locoid 4028 --swversion DE.1.0.9.0 --startMP 204:437 --initTime 2017-05-07T06:38:22 --startdatetime 2017-05-07T06:45:21 --delay 1 --endMP 204:233327 --enddatetime 2017-05-07T07:20:58 --enforcementcount 0 &gt;&gt;C:\Users\stu\Documents\GitHub\eaglep3-reporting\EC\2017-05-07-refined-times.txt</v>
      </c>
      <c r="AI3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{"issue":{"subject":"","project_id":79,"tracker_id":40,"status_id":1,"priority_id":2,"assigned_to_id":23,"start_date":"2017-05-07","description":"","custom_fields":[{"id":1,"name":"Subdivision","value":"EC"},{"id":4,"name":"Milepost","value":"23.3327"},{"id":17,"name":"Train ID","value":"125-07"},{"id":16,"name":"Locomotive ID","value":"4028"},{"id":130,"name":"Impact","value":""},{"id":150,"name":"Time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4028 --day 2017-05-07</v>
      </c>
      <c r="AN3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640</v>
      </c>
      <c r="B38" s="7">
        <v>4027</v>
      </c>
      <c r="C38" s="21" t="s">
        <v>209</v>
      </c>
      <c r="D38" s="21" t="s">
        <v>441</v>
      </c>
      <c r="E38" s="13">
        <v>42862.316516203704</v>
      </c>
      <c r="F38" s="13">
        <v>42862.320324074077</v>
      </c>
      <c r="G38" s="7">
        <v>1</v>
      </c>
      <c r="H38" s="21" t="s">
        <v>202</v>
      </c>
      <c r="I38" s="13">
        <v>42862.347361111111</v>
      </c>
      <c r="J38" s="7">
        <v>0</v>
      </c>
      <c r="K38" s="92" t="str">
        <f t="shared" si="0"/>
        <v>4027/4028</v>
      </c>
      <c r="L38" s="21" t="str">
        <f>VLOOKUP(A38,'Trips&amp;Operators'!$C$1:$G$99999,5,FALSE)</f>
        <v>GEBRETEKLE DAGNEW</v>
      </c>
      <c r="M38" s="6">
        <f t="shared" si="1"/>
        <v>2.7037037034460809E-2</v>
      </c>
      <c r="N38" s="7">
        <f t="shared" si="2"/>
        <v>38.933333329623565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-07T06:35:47-0600',mode:absolute,to:'2017-05-07T09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23.300599999999999</v>
      </c>
      <c r="Z38" s="192">
        <f t="shared" si="9"/>
        <v>1.54E-2</v>
      </c>
      <c r="AA38" s="192">
        <f t="shared" si="10"/>
        <v>23.2852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0126-07</v>
      </c>
      <c r="AE38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38" s="77" t="str">
        <f t="shared" si="13"/>
        <v>"C:\Program Files (x86)\AstroGrep\AstroGrep.exe" /e /r /s /spath="%USERPROFILE%\AppData\Local\Temp\OnboardLogs" /stypes="app*4027*20170507*"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126-07 --locoid 4027 --swversion DE.1.0.9.0 --startMP 204:233006 --initTime 2017-05-07T07:35:47 --startdatetime 2017-05-07T07:41:16 --delay 1 --endMP 204:154 --enddatetime 2017-05-07T08:20:12 --enforcementcount 0 &gt;&gt;C:\Users\stu\Documents\GitHub\eaglep3-reporting\EC\2017-05-07-refined-times.txt</v>
      </c>
      <c r="AI3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{"issue":{"subject":"","project_id":79,"tracker_id":40,"status_id":1,"priority_id":2,"assigned_to_id":23,"start_date":"2017-05-07","description":"","custom_fields":[{"id":1,"name":"Subdivision","value":"EC"},{"id":4,"name":"Milepost","value":"0.0154"},{"id":17,"name":"Train ID","value":"126-07"},{"id":16,"name":"Locomotive ID","value":"4027"},{"id":130,"name":"Impact","value":""},{"id":150,"name":"Time of Event (Mountain Time)","value":"08:20:12"},{"id":151,"name":"Denver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4027 --day 2017-05-07</v>
      </c>
      <c r="AN3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635</v>
      </c>
      <c r="B39" s="7">
        <v>4012</v>
      </c>
      <c r="C39" s="21" t="s">
        <v>209</v>
      </c>
      <c r="D39" s="21" t="s">
        <v>796</v>
      </c>
      <c r="E39" s="13">
        <v>42862.287719907406</v>
      </c>
      <c r="F39" s="13">
        <v>42862.291851851849</v>
      </c>
      <c r="G39" s="7">
        <v>1</v>
      </c>
      <c r="H39" s="21" t="s">
        <v>512</v>
      </c>
      <c r="I39" s="13">
        <v>42862.31689814815</v>
      </c>
      <c r="J39" s="7">
        <v>0</v>
      </c>
      <c r="K39" s="92" t="str">
        <f t="shared" si="0"/>
        <v>4011/4012</v>
      </c>
      <c r="L39" s="21" t="str">
        <f>VLOOKUP(A39,'Trips&amp;Operators'!$C$1:$G$99999,5,FALSE)</f>
        <v>SANTIZO D. EDY</v>
      </c>
      <c r="M39" s="6">
        <f t="shared" si="1"/>
        <v>2.5046296301297843E-2</v>
      </c>
      <c r="N39" s="7">
        <f t="shared" si="2"/>
        <v>36.066666673868895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-07T05:54:19-0600',mode:absolute,to:'2017-05-07T08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4.3499999999999997E-2</v>
      </c>
      <c r="Z39" s="192">
        <f t="shared" si="9"/>
        <v>23.331800000000001</v>
      </c>
      <c r="AA39" s="192">
        <f t="shared" si="10"/>
        <v>23.2883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0127-07</v>
      </c>
      <c r="AE39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39" s="77" t="str">
        <f t="shared" si="13"/>
        <v>"C:\Program Files (x86)\AstroGrep\AstroGrep.exe" /e /r /s /spath="%USERPROFILE%\AppData\Local\Temp\OnboardLogs" /stypes="app*4012*20170507*"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127-07 --locoid 4012 --swversion DE.1.0.9.0 --startMP 204:435 --initTime 2017-05-07T06:54:19 --startdatetime 2017-05-07T07:00:16 --delay 1 --endMP 204:233318 --enddatetime 2017-05-07T07:36:20 --enforcementcount 0 &gt;&gt;C:\Users\stu\Documents\GitHub\eaglep3-reporting\EC\2017-05-07-refined-times.txt</v>
      </c>
      <c r="AI3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{"issue":{"subject":"","project_id":79,"tracker_id":40,"status_id":1,"priority_id":2,"assigned_to_id":23,"start_date":"2017-05-07","description":"","custom_fields":[{"id":1,"name":"Subdivision","value":"EC"},{"id":4,"name":"Milepost","value":"23.3318"},{"id":17,"name":"Train ID","value":"127-07"},{"id":16,"name":"Locomotive ID","value":"4012"},{"id":130,"name":"Impact","value":""},{"id":150,"name":"Time of Event (Mountain Time)","value":"07:36:20"},{"id":151,"name":"Denver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4012 --day 2017-05-07</v>
      </c>
      <c r="AN3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555</v>
      </c>
      <c r="B40" s="7">
        <v>4011</v>
      </c>
      <c r="C40" s="21" t="s">
        <v>209</v>
      </c>
      <c r="D40" s="21" t="s">
        <v>797</v>
      </c>
      <c r="E40" s="13">
        <v>42862.317881944444</v>
      </c>
      <c r="F40" s="13">
        <v>42862.330729166664</v>
      </c>
      <c r="G40" s="7">
        <v>0</v>
      </c>
      <c r="H40" s="21" t="s">
        <v>364</v>
      </c>
      <c r="I40" s="13">
        <v>42862.358252314814</v>
      </c>
      <c r="J40" s="7">
        <v>0</v>
      </c>
      <c r="K40" s="92" t="str">
        <f t="shared" si="0"/>
        <v>4011/4012</v>
      </c>
      <c r="L40" s="21" t="str">
        <f>VLOOKUP(A40,'Trips&amp;Operators'!$C$1:$G$99999,5,FALSE)</f>
        <v>SANTIZO D. EDY</v>
      </c>
      <c r="M40" s="6">
        <f t="shared" si="1"/>
        <v>2.7523148150066845E-2</v>
      </c>
      <c r="N40" s="7">
        <f t="shared" si="2"/>
        <v>39.633333336096257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-07T06:37:45-0600',mode:absolute,to:'2017-05-07T09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23.3001</v>
      </c>
      <c r="Z40" s="192">
        <f t="shared" si="9"/>
        <v>1.4500000000000001E-2</v>
      </c>
      <c r="AA40" s="192">
        <f t="shared" si="10"/>
        <v>23.285599999999999</v>
      </c>
      <c r="AB40" s="57" t="str">
        <f>VLOOKUP(A40,Enforcements!$C$7:$K$13,8,0)</f>
        <v>Bulletin (2)</v>
      </c>
      <c r="AC40" s="53" t="str">
        <f>VLOOKUP(A40,Enforcements!$C$7:$E$13,3,0)</f>
        <v>GRADE CROSSING</v>
      </c>
      <c r="AD40" s="54" t="str">
        <f t="shared" si="11"/>
        <v>0128-07</v>
      </c>
      <c r="AE40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40" s="77" t="str">
        <f t="shared" si="13"/>
        <v>"C:\Program Files (x86)\AstroGrep\AstroGrep.exe" /e /r /s /spath="%USERPROFILE%\AppData\Local\Temp\OnboardLogs" /stypes="app*4011*20170507*"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128-07 --locoid 4011 --swversion DE.1.0.9.0 --startMP 204:233001 --initTime 2017-05-07T07:37:45 --startdatetime 2017-05-07T07:56:15 --delay 0 --endMP 204:145 --enddatetime 2017-05-07T08:35:53 --enforcementcount 0 &gt;&gt;C:\Users\stu\Documents\GitHub\eaglep3-reporting\EC\2017-05-07-refined-times.txt</v>
      </c>
      <c r="AI4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ID","value":"128-07"},{"id":16,"name":"Locomotive ID","value":"4011"},{"id":130,"name":"Impact","value":""},{"id":150,"name":"Time of Event (Mountain Time)","value":"08:35:53"},{"id":151,"name":"Denver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4011 --day 2017-05-07</v>
      </c>
      <c r="AN4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552</v>
      </c>
      <c r="B41" s="7">
        <v>4006</v>
      </c>
      <c r="C41" s="21" t="s">
        <v>209</v>
      </c>
      <c r="D41" s="21" t="s">
        <v>516</v>
      </c>
      <c r="E41" s="13">
        <v>42862.297997685186</v>
      </c>
      <c r="F41" s="13">
        <v>42862.302349537036</v>
      </c>
      <c r="G41" s="7">
        <v>1</v>
      </c>
      <c r="H41" s="21" t="s">
        <v>787</v>
      </c>
      <c r="I41" s="13">
        <v>42862.327592592592</v>
      </c>
      <c r="J41" s="7">
        <v>0</v>
      </c>
      <c r="K41" s="92" t="str">
        <f t="shared" si="0"/>
        <v>4005/4006</v>
      </c>
      <c r="L41" s="21" t="str">
        <f>VLOOKUP(A41,'Trips&amp;Operators'!$C$1:$G$99999,5,FALSE)</f>
        <v>MACDONALD THOMAS</v>
      </c>
      <c r="M41" s="6">
        <f t="shared" si="1"/>
        <v>2.5243055555620231E-2</v>
      </c>
      <c r="N41" s="7">
        <f t="shared" si="2"/>
        <v>36.350000000093132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-07T06:09:07-0600',mode:absolute,to:'2017-05-07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4.6699999999999998E-2</v>
      </c>
      <c r="Z41" s="192">
        <f t="shared" si="9"/>
        <v>23.333400000000001</v>
      </c>
      <c r="AA41" s="192">
        <f t="shared" si="10"/>
        <v>23.2867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0129-07</v>
      </c>
      <c r="AE41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41" s="77" t="str">
        <f t="shared" si="13"/>
        <v>"C:\Program Files (x86)\AstroGrep\AstroGrep.exe" /e /r /s /spath="%USERPROFILE%\AppData\Local\Temp\OnboardLogs" /stypes="app*4006*20170507*"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129-07 --locoid 4006 --swversion DE.1.0.9.0 --startMP 204:467 --initTime 2017-05-07T07:09:07 --startdatetime 2017-05-07T07:15:23 --delay 1 --endMP 204:233334 --enddatetime 2017-05-07T07:51:44 --enforcementcount 0 &gt;&gt;C:\Users\stu\Documents\GitHub\eaglep3-reporting\EC\2017-05-07-refined-times.txt</v>
      </c>
      <c r="AI4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ID","value":"129-07"},{"id":16,"name":"Locomotive ID","value":"4006"},{"id":130,"name":"Impact","value":""},{"id":150,"name":"Time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4006 --day 2017-05-07</v>
      </c>
      <c r="AN4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643</v>
      </c>
      <c r="B42" s="7">
        <v>4005</v>
      </c>
      <c r="C42" s="21" t="s">
        <v>209</v>
      </c>
      <c r="D42" s="21" t="s">
        <v>508</v>
      </c>
      <c r="E42" s="13">
        <v>42862.337731481479</v>
      </c>
      <c r="F42" s="13">
        <v>42862.341157407405</v>
      </c>
      <c r="G42" s="7">
        <v>1</v>
      </c>
      <c r="H42" s="21" t="s">
        <v>399</v>
      </c>
      <c r="I42" s="13">
        <v>42862.368379629632</v>
      </c>
      <c r="J42" s="7">
        <v>0</v>
      </c>
      <c r="K42" s="92" t="str">
        <f t="shared" si="0"/>
        <v>4005/4006</v>
      </c>
      <c r="L42" s="21" t="str">
        <f>VLOOKUP(A42,'Trips&amp;Operators'!$C$1:$G$99999,5,FALSE)</f>
        <v>MACDONALD THOMAS</v>
      </c>
      <c r="M42" s="6">
        <f t="shared" si="1"/>
        <v>2.7222222226555459E-2</v>
      </c>
      <c r="N42" s="7">
        <f t="shared" si="2"/>
        <v>39.200000006239861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-07T07:06:20-0600',mode:absolute,to:'2017-05-07T09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23.301500000000001</v>
      </c>
      <c r="Z42" s="192">
        <f t="shared" si="9"/>
        <v>1.6500000000000001E-2</v>
      </c>
      <c r="AA42" s="192">
        <f t="shared" si="10"/>
        <v>23.285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0130-07</v>
      </c>
      <c r="AE42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42" s="77" t="str">
        <f t="shared" si="13"/>
        <v>"C:\Program Files (x86)\AstroGrep\AstroGrep.exe" /e /r /s /spath="%USERPROFILE%\AppData\Local\Temp\OnboardLogs" /stypes="app*4005*20170507*"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130-07 --locoid 4005 --swversion DE.1.0.9.0 --startMP 204:233015 --initTime 2017-05-07T08:06:20 --startdatetime 2017-05-07T08:11:16 --delay 1 --endMP 204:165 --enddatetime 2017-05-07T08:50:28 --enforcementcount 0 &gt;&gt;C:\Users\stu\Documents\GitHub\eaglep3-reporting\EC\2017-05-07-refined-times.txt</v>
      </c>
      <c r="AI4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{"issue":{"subject":"","project_id":79,"tracker_id":40,"status_id":1,"priority_id":2,"assigned_to_id":23,"start_date":"2017-05-07","description":"","custom_fields":[{"id":1,"name":"Subdivision","value":"EC"},{"id":4,"name":"Milepost","value":"0.0165"},{"id":17,"name":"Train ID","value":"130-07"},{"id":16,"name":"Locomotive ID","value":"4005"},{"id":130,"name":"Impact","value":""},{"id":150,"name":"Time of Event (Mountain Time)","value":"08:50:28"},{"id":151,"name":"Denver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4005 --day 2017-05-07</v>
      </c>
      <c r="AN4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639</v>
      </c>
      <c r="B43" s="7">
        <v>4020</v>
      </c>
      <c r="C43" s="21" t="s">
        <v>209</v>
      </c>
      <c r="D43" s="21" t="s">
        <v>204</v>
      </c>
      <c r="E43" s="13">
        <v>42862.308935185189</v>
      </c>
      <c r="F43" s="13">
        <v>42862.312754629631</v>
      </c>
      <c r="G43" s="7">
        <v>0</v>
      </c>
      <c r="H43" s="21" t="s">
        <v>798</v>
      </c>
      <c r="I43" s="13">
        <v>42862.338576388887</v>
      </c>
      <c r="J43" s="7">
        <v>0</v>
      </c>
      <c r="K43" s="92" t="str">
        <f t="shared" si="0"/>
        <v>4019/4020</v>
      </c>
      <c r="L43" s="21" t="str">
        <f>VLOOKUP(A43,'Trips&amp;Operators'!$C$1:$G$99999,5,FALSE)</f>
        <v>MAELZER KURT</v>
      </c>
      <c r="M43" s="6">
        <f t="shared" si="1"/>
        <v>2.5821759256359655E-2</v>
      </c>
      <c r="N43" s="7">
        <f t="shared" si="2"/>
        <v>37.183333329157904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-07T06:24:52-0600',mode:absolute,to:'2017-05-07T09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4.5999999999999999E-2</v>
      </c>
      <c r="Z43" s="192">
        <f t="shared" si="9"/>
        <v>23.330300000000001</v>
      </c>
      <c r="AA43" s="192">
        <f t="shared" si="10"/>
        <v>23.284300000000002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0131-07</v>
      </c>
      <c r="AE43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43" s="77" t="str">
        <f t="shared" si="13"/>
        <v>"C:\Program Files (x86)\AstroGrep\AstroGrep.exe" /e /r /s /spath="%USERPROFILE%\AppData\Local\Temp\OnboardLogs" /stypes="app*4020*20170507*"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131-07 --locoid 4020 --swversion DE.1.0.9.0 --startMP 204:460 --initTime 2017-05-07T07:24:52 --startdatetime 2017-05-07T07:30:22 --delay 0 --endMP 204:233303 --enddatetime 2017-05-07T08:07:33 --enforcementcount 0 &gt;&gt;C:\Users\stu\Documents\GitHub\eaglep3-reporting\EC\2017-05-07-refined-times.txt</v>
      </c>
      <c r="AI4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{"issue":{"subject":"","project_id":79,"tracker_id":40,"status_id":1,"priority_id":2,"assigned_to_id":23,"start_date":"2017-05-07","description":"","custom_fields":[{"id":1,"name":"Subdivision","value":"EC"},{"id":4,"name":"Milepost","value":"23.3303"},{"id":17,"name":"Train ID","value":"131-07"},{"id":16,"name":"Locomotive ID","value":"4020"},{"id":130,"name":"Impact","value":""},{"id":150,"name":"Time of Event (Mountain Time)","value":"08:07:33"},{"id":151,"name":"Denver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4020 --day 2017-05-07</v>
      </c>
      <c r="AN4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645</v>
      </c>
      <c r="B44" s="7">
        <v>4019</v>
      </c>
      <c r="C44" s="21" t="s">
        <v>209</v>
      </c>
      <c r="D44" s="21" t="s">
        <v>799</v>
      </c>
      <c r="E44" s="13">
        <v>42862.345266203702</v>
      </c>
      <c r="F44" s="13">
        <v>42862.351736111108</v>
      </c>
      <c r="G44" s="7">
        <v>1</v>
      </c>
      <c r="H44" s="21" t="s">
        <v>357</v>
      </c>
      <c r="I44" s="13">
        <v>42862.379976851851</v>
      </c>
      <c r="J44" s="7">
        <v>0</v>
      </c>
      <c r="K44" s="92" t="str">
        <f t="shared" si="0"/>
        <v>4019/4020</v>
      </c>
      <c r="L44" s="21" t="str">
        <f>VLOOKUP(A44,'Trips&amp;Operators'!$C$1:$G$99999,5,FALSE)</f>
        <v>MAELZER KURT</v>
      </c>
      <c r="M44" s="6">
        <f t="shared" si="1"/>
        <v>2.8240740743058268E-2</v>
      </c>
      <c r="N44" s="7">
        <f t="shared" si="2"/>
        <v>40.666666670003906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-07T07:17:11-0600',mode:absolute,to:'2017-05-07T10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23.301100000000002</v>
      </c>
      <c r="Z44" s="192">
        <f t="shared" si="9"/>
        <v>1.38E-2</v>
      </c>
      <c r="AA44" s="192">
        <f t="shared" si="10"/>
        <v>23.287300000000002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0132-07</v>
      </c>
      <c r="AE44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44" s="77" t="str">
        <f t="shared" si="13"/>
        <v>"C:\Program Files (x86)\AstroGrep\AstroGrep.exe" /e /r /s /spath="%USERPROFILE%\AppData\Local\Temp\OnboardLogs" /stypes="app*4019*20170507*"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132-07 --locoid 4019 --swversion DE.1.0.9.0 --startMP 204:233011 --initTime 2017-05-07T08:17:11 --startdatetime 2017-05-07T08:26:30 --delay 1 --endMP 204:138 --enddatetime 2017-05-07T09:07:10 --enforcementcount 0 &gt;&gt;C:\Users\stu\Documents\GitHub\eaglep3-reporting\EC\2017-05-07-refined-times.txt</v>
      </c>
      <c r="AI4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ID","value":"132-07"},{"id":16,"name":"Locomotive ID","value":"4019"},{"id":130,"name":"Impact","value":""},{"id":150,"name":"Time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4019 --day 2017-05-07</v>
      </c>
      <c r="AN4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641</v>
      </c>
      <c r="B45" s="7">
        <v>4044</v>
      </c>
      <c r="C45" s="21" t="s">
        <v>209</v>
      </c>
      <c r="D45" s="21" t="s">
        <v>362</v>
      </c>
      <c r="E45" s="13">
        <v>42862.320289351854</v>
      </c>
      <c r="F45" s="13">
        <v>42862.323078703703</v>
      </c>
      <c r="G45" s="7">
        <v>1</v>
      </c>
      <c r="H45" s="21" t="s">
        <v>384</v>
      </c>
      <c r="I45" s="13">
        <v>42862.349131944444</v>
      </c>
      <c r="J45" s="7">
        <v>0</v>
      </c>
      <c r="K45" s="92" t="str">
        <f t="shared" si="0"/>
        <v>4043/4044</v>
      </c>
      <c r="L45" s="21" t="str">
        <f>VLOOKUP(A45,'Trips&amp;Operators'!$C$1:$G$99999,5,FALSE)</f>
        <v>BADERTSCHER DIANE</v>
      </c>
      <c r="M45" s="6">
        <f t="shared" si="1"/>
        <v>2.6053240741021E-2</v>
      </c>
      <c r="N45" s="7">
        <f t="shared" si="2"/>
        <v>37.51666666707024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-07T06:41:13-0600',mode:absolute,to:'2017-05-07T09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4.4600000000000001E-2</v>
      </c>
      <c r="Z45" s="192">
        <f t="shared" si="9"/>
        <v>23.331</v>
      </c>
      <c r="AA45" s="192">
        <f t="shared" si="10"/>
        <v>23.2864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0133-07</v>
      </c>
      <c r="AE45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45" s="77" t="str">
        <f t="shared" si="13"/>
        <v>"C:\Program Files (x86)\AstroGrep\AstroGrep.exe" /e /r /s /spath="%USERPROFILE%\AppData\Local\Temp\OnboardLogs" /stypes="app*4044*20170507*"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133-07 --locoid 4044 --swversion DE.1.0.9.0 --startMP 204:446 --initTime 2017-05-07T07:41:13 --startdatetime 2017-05-07T07:45:14 --delay 1 --endMP 204:233310 --enddatetime 2017-05-07T08:22:45 --enforcementcount 0 &gt;&gt;C:\Users\stu\Documents\GitHub\eaglep3-reporting\EC\2017-05-07-refined-times.txt</v>
      </c>
      <c r="AI4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{"issue":{"subject":"","project_id":79,"tracker_id":40,"status_id":1,"priority_id":2,"assigned_to_id":23,"start_date":"2017-05-07","description":"","custom_fields":[{"id":1,"name":"Subdivision","value":"EC"},{"id":4,"name":"Milepost","value":"23.331"},{"id":17,"name":"Train ID","value":"133-07"},{"id":16,"name":"Locomotive ID","value":"4044"},{"id":130,"name":"Impact","value":""},{"id":150,"name":"Time of Event (Mountain Time)","value":"08:22:45"},{"id":151,"name":"Denver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4044 --day 2017-05-07</v>
      </c>
      <c r="AN4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648</v>
      </c>
      <c r="B46" s="7">
        <v>4043</v>
      </c>
      <c r="C46" s="21" t="s">
        <v>209</v>
      </c>
      <c r="D46" s="21" t="s">
        <v>455</v>
      </c>
      <c r="E46" s="13">
        <v>42862.357002314813</v>
      </c>
      <c r="F46" s="13">
        <v>42862.361979166664</v>
      </c>
      <c r="G46" s="7">
        <v>1</v>
      </c>
      <c r="H46" s="21" t="s">
        <v>542</v>
      </c>
      <c r="I46" s="13">
        <v>42862.390347222223</v>
      </c>
      <c r="J46" s="7">
        <v>0</v>
      </c>
      <c r="K46" s="92" t="str">
        <f t="shared" si="0"/>
        <v>4043/4044</v>
      </c>
      <c r="L46" s="21" t="str">
        <f>VLOOKUP(A46,'Trips&amp;Operators'!$C$1:$G$99999,5,FALSE)</f>
        <v>BADERTSCHER DIANE</v>
      </c>
      <c r="M46" s="6">
        <f t="shared" si="1"/>
        <v>2.8368055558530614E-2</v>
      </c>
      <c r="N46" s="7">
        <f t="shared" si="2"/>
        <v>40.850000004284084</v>
      </c>
      <c r="O46" s="7"/>
      <c r="P46" s="7"/>
      <c r="Q46" s="22"/>
      <c r="R46" s="190"/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-07T07:34:05-0600',mode:absolute,to:'2017-05-07T10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23.3</v>
      </c>
      <c r="Z46" s="192">
        <f t="shared" si="9"/>
        <v>1.32E-2</v>
      </c>
      <c r="AA46" s="192">
        <f t="shared" si="10"/>
        <v>23.286799999999999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0134-07</v>
      </c>
      <c r="AE46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46" s="77" t="str">
        <f t="shared" si="13"/>
        <v>"C:\Program Files (x86)\AstroGrep\AstroGrep.exe" /e /r /s /spath="%USERPROFILE%\AppData\Local\Temp\OnboardLogs" /stypes="app*4043*20170507*"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134-07 --locoid 4043 --swversion DE.1.0.9.0 --startMP 204:233000 --initTime 2017-05-07T08:34:05 --startdatetime 2017-05-07T08:41:15 --delay 1 --endMP 204:132 --enddatetime 2017-05-07T09:22:06 --enforcementcount 0 &gt;&gt;C:\Users\stu\Documents\GitHub\eaglep3-reporting\EC\2017-05-07-refined-times.txt</v>
      </c>
      <c r="AI4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{"issue":{"subject":"","project_id":79,"tracker_id":40,"status_id":1,"priority_id":2,"assigned_to_id":23,"start_date":"2017-05-07","description":"","custom_fields":[{"id":1,"name":"Subdivision","value":"EC"},{"id":4,"name":"Milepost","value":"0.0132"},{"id":17,"name":"Train ID","value":"134-07"},{"id":16,"name":"Locomotive ID","value":"4043"},{"id":130,"name":"Impact","value":""},{"id":150,"name":"Time of Event (Mountain Time)","value":"09:22:06"},{"id":151,"name":"Denver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4043 --day 2017-05-07</v>
      </c>
      <c r="AN4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642</v>
      </c>
      <c r="B47" s="7">
        <v>4052</v>
      </c>
      <c r="C47" s="21" t="s">
        <v>209</v>
      </c>
      <c r="D47" s="21" t="s">
        <v>452</v>
      </c>
      <c r="E47" s="13">
        <v>42862.330266203702</v>
      </c>
      <c r="F47" s="13">
        <v>42862.333553240744</v>
      </c>
      <c r="G47" s="7">
        <v>1</v>
      </c>
      <c r="H47" s="21" t="s">
        <v>800</v>
      </c>
      <c r="I47" s="13">
        <v>42862.360231481478</v>
      </c>
      <c r="J47" s="7">
        <v>0</v>
      </c>
      <c r="K47" s="92" t="str">
        <f t="shared" si="0"/>
        <v>4051/4052</v>
      </c>
      <c r="L47" s="21" t="str">
        <f>VLOOKUP(A47,'Trips&amp;Operators'!$C$1:$G$99999,5,FALSE)</f>
        <v>DAVIS WENDY</v>
      </c>
      <c r="M47" s="6">
        <f t="shared" si="1"/>
        <v>2.6678240734327119E-2</v>
      </c>
      <c r="N47" s="7">
        <f t="shared" si="2"/>
        <v>38.416666657431051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-07T06:55:35-0600',mode:absolute,to:'2017-05-07T09:38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4.5499999999999999E-2</v>
      </c>
      <c r="Z47" s="192">
        <f t="shared" si="9"/>
        <v>23.334499999999998</v>
      </c>
      <c r="AA47" s="192">
        <f t="shared" si="10"/>
        <v>23.288999999999998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0135-07</v>
      </c>
      <c r="AE47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47" s="77" t="str">
        <f t="shared" si="13"/>
        <v>"C:\Program Files (x86)\AstroGrep\AstroGrep.exe" /e /r /s /spath="%USERPROFILE%\AppData\Local\Temp\OnboardLogs" /stypes="app*4052*20170507*"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135-07 --locoid 4052 --swversion DE.1.0.9.0 --startMP 204:455 --initTime 2017-05-07T07:55:35 --startdatetime 2017-05-07T08:00:19 --delay 1 --endMP 204:233345 --enddatetime 2017-05-07T08:38:44 --enforcementcount 0 &gt;&gt;C:\Users\stu\Documents\GitHub\eaglep3-reporting\EC\2017-05-07-refined-times.txt</v>
      </c>
      <c r="AI4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{"issue":{"subject":"","project_id":79,"tracker_id":40,"status_id":1,"priority_id":2,"assigned_to_id":23,"start_date":"2017-05-07","description":"","custom_fields":[{"id":1,"name":"Subdivision","value":"EC"},{"id":4,"name":"Milepost","value":"23.3345"},{"id":17,"name":"Train ID","value":"135-07"},{"id":16,"name":"Locomotive ID","value":"4052"},{"id":130,"name":"Impact","value":""},{"id":150,"name":"Time of Event (Mountain Time)","value":"08:38:44"},{"id":151,"name":"Denver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4052 --day 2017-05-07</v>
      </c>
      <c r="AN4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652</v>
      </c>
      <c r="B48" s="7">
        <v>4051</v>
      </c>
      <c r="C48" s="21" t="s">
        <v>209</v>
      </c>
      <c r="D48" s="21" t="s">
        <v>536</v>
      </c>
      <c r="E48" s="13">
        <v>42862.371215277781</v>
      </c>
      <c r="F48" s="13">
        <v>42862.372395833336</v>
      </c>
      <c r="G48" s="7">
        <v>1</v>
      </c>
      <c r="H48" s="21" t="s">
        <v>396</v>
      </c>
      <c r="I48" s="13">
        <v>42862.401736111111</v>
      </c>
      <c r="J48" s="7">
        <v>0</v>
      </c>
      <c r="K48" s="92" t="str">
        <f t="shared" si="0"/>
        <v>4051/4052</v>
      </c>
      <c r="L48" s="21" t="str">
        <f>VLOOKUP(A48,'Trips&amp;Operators'!$C$1:$G$99999,5,FALSE)</f>
        <v>DAVIS WENDY</v>
      </c>
      <c r="M48" s="6">
        <f t="shared" si="1"/>
        <v>2.9340277775190771E-2</v>
      </c>
      <c r="N48" s="7">
        <f t="shared" si="2"/>
        <v>42.24999999627471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-07T07:54:33-0600',mode:absolute,to:'2017-05-07T10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23.299199999999999</v>
      </c>
      <c r="Z48" s="192">
        <f t="shared" si="9"/>
        <v>1.3899999999999999E-2</v>
      </c>
      <c r="AA48" s="192">
        <f t="shared" si="10"/>
        <v>23.285299999999999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0136-07</v>
      </c>
      <c r="AE48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48" s="77" t="str">
        <f t="shared" si="13"/>
        <v>"C:\Program Files (x86)\AstroGrep\AstroGrep.exe" /e /r /s /spath="%USERPROFILE%\AppData\Local\Temp\OnboardLogs" /stypes="app*4051*20170507*"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136-07 --locoid 4051 --swversion DE.1.0.9.0 --startMP 204:232992 --initTime 2017-05-07T08:54:33 --startdatetime 2017-05-07T08:56:15 --delay 1 --endMP 204:139 --enddatetime 2017-05-07T09:38:30 --enforcementcount 0 &gt;&gt;C:\Users\stu\Documents\GitHub\eaglep3-reporting\EC\2017-05-07-refined-times.txt</v>
      </c>
      <c r="AI4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ID","value":"136-07"},{"id":16,"name":"Locomotive ID","value":"4051"},{"id":130,"name":"Impact","value":""},{"id":150,"name":"Time of Event (Mountain Time)","value":"09:38:30"},{"id":151,"name":"Denver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4051 --day 2017-05-07</v>
      </c>
      <c r="AN4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644</v>
      </c>
      <c r="B49" s="7">
        <v>4026</v>
      </c>
      <c r="C49" s="21" t="s">
        <v>209</v>
      </c>
      <c r="D49" s="21" t="s">
        <v>452</v>
      </c>
      <c r="E49" s="13">
        <v>42862.338842592595</v>
      </c>
      <c r="F49" s="13">
        <v>42862.343935185185</v>
      </c>
      <c r="G49" s="7">
        <v>2</v>
      </c>
      <c r="H49" s="21" t="s">
        <v>801</v>
      </c>
      <c r="I49" s="13">
        <v>42862.368703703702</v>
      </c>
      <c r="J49" s="7">
        <v>0</v>
      </c>
      <c r="K49" s="92" t="str">
        <f t="shared" si="0"/>
        <v>4025/4026</v>
      </c>
      <c r="L49" s="21" t="str">
        <f>VLOOKUP(A49,'Trips&amp;Operators'!$C$1:$G$99999,5,FALSE)</f>
        <v>ROBINSON KADDIBA</v>
      </c>
      <c r="M49" s="6">
        <f t="shared" si="1"/>
        <v>2.4768518516793847E-2</v>
      </c>
      <c r="N49" s="7">
        <f t="shared" si="2"/>
        <v>35.66666666418314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-07T07:07:56-0600',mode:absolute,to:'2017-05-07T09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4.5499999999999999E-2</v>
      </c>
      <c r="Z49" s="192">
        <f t="shared" si="9"/>
        <v>23.333600000000001</v>
      </c>
      <c r="AA49" s="192">
        <f t="shared" si="10"/>
        <v>23.2881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0137-07</v>
      </c>
      <c r="AE49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49" s="77" t="str">
        <f t="shared" si="13"/>
        <v>"C:\Program Files (x86)\AstroGrep\AstroGrep.exe" /e /r /s /spath="%USERPROFILE%\AppData\Local\Temp\OnboardLogs" /stypes="app*4026*20170507*"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137-07 --locoid 4026 --swversion DE.1.0.9.0 --startMP 204:455 --initTime 2017-05-07T08:07:56 --startdatetime 2017-05-07T08:15:16 --delay 2 --endMP 204:233336 --enddatetime 2017-05-07T08:50:56 --enforcementcount 0 &gt;&gt;C:\Users\stu\Documents\GitHub\eaglep3-reporting\EC\2017-05-07-refined-times.txt</v>
      </c>
      <c r="AI4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{"issue":{"subject":"","project_id":79,"tracker_id":40,"status_id":1,"priority_id":2,"assigned_to_id":23,"start_date":"2017-05-07","description":"","custom_fields":[{"id":1,"name":"Subdivision","value":"EC"},{"id":4,"name":"Milepost","value":"23.3336"},{"id":17,"name":"Train ID","value":"137-07"},{"id":16,"name":"Locomotive ID","value":"4026"},{"id":130,"name":"Impact","value":""},{"id":150,"name":"Time of Event (Mountain Time)","value":"08:50:56"},{"id":151,"name":"Denver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4026 --day 2017-05-07</v>
      </c>
      <c r="AN4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653</v>
      </c>
      <c r="B50" s="7">
        <v>4025</v>
      </c>
      <c r="C50" s="21" t="s">
        <v>209</v>
      </c>
      <c r="D50" s="21" t="s">
        <v>802</v>
      </c>
      <c r="E50" s="13">
        <v>42862.374560185184</v>
      </c>
      <c r="F50" s="13">
        <v>42862.382824074077</v>
      </c>
      <c r="G50" s="7">
        <v>1</v>
      </c>
      <c r="H50" s="21" t="s">
        <v>373</v>
      </c>
      <c r="I50" s="13">
        <v>42862.409826388888</v>
      </c>
      <c r="J50" s="7">
        <v>0</v>
      </c>
      <c r="K50" s="92" t="str">
        <f t="shared" si="0"/>
        <v>4025/4026</v>
      </c>
      <c r="L50" s="21" t="str">
        <f>VLOOKUP(A50,'Trips&amp;Operators'!$C$1:$G$99999,5,FALSE)</f>
        <v>ROBINSON KADDIBA</v>
      </c>
      <c r="M50" s="6">
        <f t="shared" si="1"/>
        <v>2.700231481139781E-2</v>
      </c>
      <c r="N50" s="7">
        <f t="shared" si="2"/>
        <v>38.883333328412846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-07T07:59:22-0600',mode:absolute,to:'2017-05-07T10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23.302499999999998</v>
      </c>
      <c r="Z50" s="192">
        <f t="shared" si="9"/>
        <v>1.49E-2</v>
      </c>
      <c r="AA50" s="192">
        <f t="shared" si="10"/>
        <v>23.287599999999998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0138-07</v>
      </c>
      <c r="AE50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50" s="77" t="str">
        <f t="shared" si="13"/>
        <v>"C:\Program Files (x86)\AstroGrep\AstroGrep.exe" /e /r /s /spath="%USERPROFILE%\AppData\Local\Temp\OnboardLogs" /stypes="app*4025*20170507*"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138-07 --locoid 4025 --swversion DE.1.0.9.0 --startMP 204:233025 --initTime 2017-05-07T08:59:22 --startdatetime 2017-05-07T09:11:16 --delay 1 --endMP 204:149 --enddatetime 2017-05-07T09:50:09 --enforcementcount 0 &gt;&gt;C:\Users\stu\Documents\GitHub\eaglep3-reporting\EC\2017-05-07-refined-times.txt</v>
      </c>
      <c r="AI5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{"issue":{"subject":"","project_id":79,"tracker_id":40,"status_id":1,"priority_id":2,"assigned_to_id":23,"start_date":"2017-05-07","description":"","custom_fields":[{"id":1,"name":"Subdivision","value":"EC"},{"id":4,"name":"Milepost","value":"0.0149"},{"id":17,"name":"Train ID","value":"138-07"},{"id":16,"name":"Locomotive ID","value":"4025"},{"id":130,"name":"Impact","value":""},{"id":150,"name":"Time of Event (Mountain Time)","value":"09:50:09"},{"id":151,"name":"Denver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4025 --day 2017-05-07</v>
      </c>
      <c r="AN5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647</v>
      </c>
      <c r="B51" s="7">
        <v>4028</v>
      </c>
      <c r="C51" s="21" t="s">
        <v>209</v>
      </c>
      <c r="D51" s="21" t="s">
        <v>204</v>
      </c>
      <c r="E51" s="13">
        <v>42862.349259259259</v>
      </c>
      <c r="F51" s="13">
        <v>42862.354351851849</v>
      </c>
      <c r="G51" s="7">
        <v>1</v>
      </c>
      <c r="H51" s="21" t="s">
        <v>505</v>
      </c>
      <c r="I51" s="13">
        <v>42862.379490740743</v>
      </c>
      <c r="J51" s="7">
        <v>0</v>
      </c>
      <c r="K51" s="92" t="str">
        <f t="shared" si="0"/>
        <v>4027/4028</v>
      </c>
      <c r="L51" s="21" t="str">
        <f>VLOOKUP(A51,'Trips&amp;Operators'!$C$1:$G$99999,5,FALSE)</f>
        <v>GEBRETEKLE DAGNEW</v>
      </c>
      <c r="M51" s="6">
        <f t="shared" si="1"/>
        <v>2.513888889370719E-2</v>
      </c>
      <c r="N51" s="7">
        <f t="shared" si="2"/>
        <v>36.200000006938353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-07T07:22:56-0600',mode:absolute,to:'2017-05-07T10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4.5999999999999999E-2</v>
      </c>
      <c r="Z51" s="192">
        <f t="shared" si="9"/>
        <v>23.3339</v>
      </c>
      <c r="AA51" s="192">
        <f t="shared" si="10"/>
        <v>23.2879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0139-07</v>
      </c>
      <c r="AE51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51" s="77" t="str">
        <f t="shared" si="13"/>
        <v>"C:\Program Files (x86)\AstroGrep\AstroGrep.exe" /e /r /s /spath="%USERPROFILE%\AppData\Local\Temp\OnboardLogs" /stypes="app*4028*20170507*"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139-07 --locoid 4028 --swversion DE.1.0.9.0 --startMP 204:460 --initTime 2017-05-07T08:22:56 --startdatetime 2017-05-07T08:30:16 --delay 1 --endMP 204:233339 --enddatetime 2017-05-07T09:06:28 --enforcementcount 0 &gt;&gt;C:\Users\stu\Documents\GitHub\eaglep3-reporting\EC\2017-05-07-refined-times.txt</v>
      </c>
      <c r="AI5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{"issue":{"subject":"","project_id":79,"tracker_id":40,"status_id":1,"priority_id":2,"assigned_to_id":23,"start_date":"2017-05-07","description":"","custom_fields":[{"id":1,"name":"Subdivision","value":"EC"},{"id":4,"name":"Milepost","value":"23.3339"},{"id":17,"name":"Train ID","value":"139-07"},{"id":16,"name":"Locomotive ID","value":"4028"},{"id":130,"name":"Impact","value":""},{"id":150,"name":"Time of Event (Mountain Time)","value":"09:06:28"},{"id":151,"name":"Denver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4028 --day 2017-05-07</v>
      </c>
      <c r="AN5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656</v>
      </c>
      <c r="B52" s="7">
        <v>4027</v>
      </c>
      <c r="C52" s="21" t="s">
        <v>209</v>
      </c>
      <c r="D52" s="21" t="s">
        <v>526</v>
      </c>
      <c r="E52" s="13">
        <v>42862.389131944445</v>
      </c>
      <c r="F52" s="13">
        <v>42862.393217592595</v>
      </c>
      <c r="G52" s="7">
        <v>1</v>
      </c>
      <c r="H52" s="21" t="s">
        <v>372</v>
      </c>
      <c r="I52" s="13">
        <v>42862.420335648145</v>
      </c>
      <c r="J52" s="7">
        <v>0</v>
      </c>
      <c r="K52" s="92" t="str">
        <f t="shared" si="0"/>
        <v>4027/4028</v>
      </c>
      <c r="L52" s="21" t="str">
        <f>VLOOKUP(A52,'Trips&amp;Operators'!$C$1:$G$99999,5,FALSE)</f>
        <v>GEBRETEKLE DAGNEW</v>
      </c>
      <c r="M52" s="6">
        <f t="shared" si="1"/>
        <v>2.7118055550090503E-2</v>
      </c>
      <c r="N52" s="7">
        <f t="shared" si="2"/>
        <v>39.049999992130324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-07T08:20:21-0600',mode:absolute,to:'2017-05-07T11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23.300699999999999</v>
      </c>
      <c r="Z52" s="192">
        <f t="shared" si="9"/>
        <v>1.4999999999999999E-2</v>
      </c>
      <c r="AA52" s="192">
        <f t="shared" si="10"/>
        <v>23.285699999999999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0140-07</v>
      </c>
      <c r="AE52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52" s="77" t="str">
        <f t="shared" si="13"/>
        <v>"C:\Program Files (x86)\AstroGrep\AstroGrep.exe" /e /r /s /spath="%USERPROFILE%\AppData\Local\Temp\OnboardLogs" /stypes="app*4027*20170507*"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140-07 --locoid 4027 --swversion DE.1.0.9.0 --startMP 204:233007 --initTime 2017-05-07T09:20:21 --startdatetime 2017-05-07T09:26:14 --delay 1 --endMP 204:150 --enddatetime 2017-05-07T10:05:17 --enforcementcount 0 &gt;&gt;C:\Users\stu\Documents\GitHub\eaglep3-reporting\EC\2017-05-07-refined-times.txt</v>
      </c>
      <c r="AI5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{"issue":{"subject":"","project_id":79,"tracker_id":40,"status_id":1,"priority_id":2,"assigned_to_id":23,"start_date":"2017-05-07","description":"","custom_fields":[{"id":1,"name":"Subdivision","value":"EC"},{"id":4,"name":"Milepost","value":"0.015"},{"id":17,"name":"Train ID","value":"140-07"},{"id":16,"name":"Locomotive ID","value":"4027"},{"id":130,"name":"Impact","value":""},{"id":150,"name":"Time of Event (Mountain Time)","value":"10:05:17"},{"id":151,"name":"Denver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4027 --day 2017-05-07</v>
      </c>
      <c r="AN5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649</v>
      </c>
      <c r="B53" s="7">
        <v>4012</v>
      </c>
      <c r="C53" s="21" t="s">
        <v>209</v>
      </c>
      <c r="D53" s="21" t="s">
        <v>386</v>
      </c>
      <c r="E53" s="13">
        <v>42862.359131944446</v>
      </c>
      <c r="F53" s="13">
        <v>42862.364803240744</v>
      </c>
      <c r="G53" s="7">
        <v>1</v>
      </c>
      <c r="H53" s="21" t="s">
        <v>803</v>
      </c>
      <c r="I53" s="13">
        <v>42862.389780092592</v>
      </c>
      <c r="J53" s="7">
        <v>0</v>
      </c>
      <c r="K53" s="92" t="str">
        <f t="shared" si="0"/>
        <v>4011/4012</v>
      </c>
      <c r="L53" s="21" t="str">
        <f>VLOOKUP(A53,'Trips&amp;Operators'!$C$1:$G$99999,5,FALSE)</f>
        <v>SANTIZO D. EDY</v>
      </c>
      <c r="M53" s="6">
        <f t="shared" si="1"/>
        <v>2.4976851847895887E-2</v>
      </c>
      <c r="N53" s="7">
        <f t="shared" si="2"/>
        <v>35.966666660970077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-07T07:37:09-0600',mode:absolute,to:'2017-05-07T10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3" s="192" t="str">
        <f t="shared" si="6"/>
        <v>N</v>
      </c>
      <c r="X53" s="192">
        <f t="shared" si="7"/>
        <v>1</v>
      </c>
      <c r="Y53" s="192">
        <f t="shared" si="8"/>
        <v>4.53E-2</v>
      </c>
      <c r="Z53" s="192">
        <f t="shared" si="9"/>
        <v>23.333100000000002</v>
      </c>
      <c r="AA53" s="192">
        <f t="shared" si="10"/>
        <v>23.287800000000001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0141-07</v>
      </c>
      <c r="AE53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53" s="77" t="str">
        <f t="shared" si="13"/>
        <v>"C:\Program Files (x86)\AstroGrep\AstroGrep.exe" /e /r /s /spath="%USERPROFILE%\AppData\Local\Temp\OnboardLogs" /stypes="app*4012*20170507*"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141-07 --locoid 4012 --swversion DE.1.0.9.0 --startMP 204:453 --initTime 2017-05-07T08:37:09 --startdatetime 2017-05-07T08:45:19 --delay 1 --endMP 204:233331 --enddatetime 2017-05-07T09:21:17 --enforcementcount 0 &gt;&gt;C:\Users\stu\Documents\GitHub\eaglep3-reporting\EC\2017-05-07-refined-times.txt</v>
      </c>
      <c r="AI5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{"issue":{"subject":"","project_id":79,"tracker_id":40,"status_id":1,"priority_id":2,"assigned_to_id":23,"start_date":"2017-05-07","description":"","custom_fields":[{"id":1,"name":"Subdivision","value":"EC"},{"id":4,"name":"Milepost","value":"23.3331"},{"id":17,"name":"Train ID","value":"141-07"},{"id":16,"name":"Locomotive ID","value":"4012"},{"id":130,"name":"Impact","value":""},{"id":150,"name":"Time of Event (Mountain Time)","value":"09:21:17"},{"id":151,"name":"Denver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4012 --day 2017-05-07</v>
      </c>
      <c r="AN5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657</v>
      </c>
      <c r="B54" s="7">
        <v>4011</v>
      </c>
      <c r="C54" s="21" t="s">
        <v>209</v>
      </c>
      <c r="D54" s="21" t="s">
        <v>799</v>
      </c>
      <c r="E54" s="13">
        <v>42862.390613425923</v>
      </c>
      <c r="F54" s="13">
        <v>42862.403680555559</v>
      </c>
      <c r="G54" s="7">
        <v>1</v>
      </c>
      <c r="H54" s="21" t="s">
        <v>202</v>
      </c>
      <c r="I54" s="13">
        <v>42862.429942129631</v>
      </c>
      <c r="J54" s="7">
        <v>0</v>
      </c>
      <c r="K54" s="92" t="str">
        <f t="shared" si="0"/>
        <v>4011/4012</v>
      </c>
      <c r="L54" s="21" t="str">
        <f>VLOOKUP(A54,'Trips&amp;Operators'!$C$1:$G$99999,5,FALSE)</f>
        <v>SANTIZO D. EDY</v>
      </c>
      <c r="M54" s="6">
        <f t="shared" si="1"/>
        <v>2.626157407212304E-2</v>
      </c>
      <c r="N54" s="7">
        <f t="shared" si="2"/>
        <v>37.816666663857177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-07T08:22:29-0600',mode:absolute,to:'2017-05-07T11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4" s="192" t="str">
        <f t="shared" si="6"/>
        <v>N</v>
      </c>
      <c r="X54" s="192">
        <f t="shared" si="7"/>
        <v>1</v>
      </c>
      <c r="Y54" s="192">
        <f t="shared" si="8"/>
        <v>23.301100000000002</v>
      </c>
      <c r="Z54" s="192">
        <f t="shared" si="9"/>
        <v>1.54E-2</v>
      </c>
      <c r="AA54" s="192">
        <f t="shared" si="10"/>
        <v>23.285700000000002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0142-07</v>
      </c>
      <c r="AE54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54" s="77" t="str">
        <f t="shared" si="13"/>
        <v>"C:\Program Files (x86)\AstroGrep\AstroGrep.exe" /e /r /s /spath="%USERPROFILE%\AppData\Local\Temp\OnboardLogs" /stypes="app*4011*20170507*"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142-07 --locoid 4011 --swversion DE.1.0.9.0 --startMP 204:233011 --initTime 2017-05-07T09:22:29 --startdatetime 2017-05-07T09:41:18 --delay 1 --endMP 204:154 --enddatetime 2017-05-07T10:19:07 --enforcementcount 0 &gt;&gt;C:\Users\stu\Documents\GitHub\eaglep3-reporting\EC\2017-05-07-refined-times.txt</v>
      </c>
      <c r="AI5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{"issue":{"subject":"","project_id":79,"tracker_id":40,"status_id":1,"priority_id":2,"assigned_to_id":23,"start_date":"2017-05-07","description":"","custom_fields":[{"id":1,"name":"Subdivision","value":"EC"},{"id":4,"name":"Milepost","value":"0.0154"},{"id":17,"name":"Train ID","value":"142-07"},{"id":16,"name":"Locomotive ID","value":"4011"},{"id":130,"name":"Impact","value":""},{"id":150,"name":"Time of Event (Mountain Time)","value":"10:19:07"},{"id":151,"name":"Denver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4011 --day 2017-05-07</v>
      </c>
      <c r="AN5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651</v>
      </c>
      <c r="B55" s="7">
        <v>4006</v>
      </c>
      <c r="C55" s="21" t="s">
        <v>209</v>
      </c>
      <c r="D55" s="21" t="s">
        <v>804</v>
      </c>
      <c r="E55" s="13">
        <v>42862.369409722225</v>
      </c>
      <c r="F55" s="13">
        <v>42862.375486111108</v>
      </c>
      <c r="G55" s="7">
        <v>1</v>
      </c>
      <c r="H55" s="21" t="s">
        <v>805</v>
      </c>
      <c r="I55" s="13">
        <v>42862.399976851855</v>
      </c>
      <c r="J55" s="7">
        <v>0</v>
      </c>
      <c r="K55" s="92" t="str">
        <f t="shared" si="0"/>
        <v>4005/4006</v>
      </c>
      <c r="L55" s="21" t="str">
        <f>VLOOKUP(A55,'Trips&amp;Operators'!$C$1:$G$99999,5,FALSE)</f>
        <v>MACDONALD THOMAS</v>
      </c>
      <c r="M55" s="6">
        <f t="shared" si="1"/>
        <v>2.4490740746841766E-2</v>
      </c>
      <c r="N55" s="7">
        <f t="shared" si="2"/>
        <v>35.266666675452143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-07T07:51:57-0600',mode:absolute,to:'2017-05-07T10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5" s="192" t="str">
        <f t="shared" si="6"/>
        <v>N</v>
      </c>
      <c r="X55" s="192">
        <f t="shared" si="7"/>
        <v>1</v>
      </c>
      <c r="Y55" s="192">
        <f t="shared" si="8"/>
        <v>4.82E-2</v>
      </c>
      <c r="Z55" s="192">
        <f t="shared" si="9"/>
        <v>23.3355</v>
      </c>
      <c r="AA55" s="192">
        <f t="shared" si="10"/>
        <v>23.287299999999998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0143-07</v>
      </c>
      <c r="AE55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55" s="77" t="str">
        <f t="shared" si="13"/>
        <v>"C:\Program Files (x86)\AstroGrep\AstroGrep.exe" /e /r /s /spath="%USERPROFILE%\AppData\Local\Temp\OnboardLogs" /stypes="app*4006*20170507*"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143-07 --locoid 4006 --swversion DE.1.0.9.0 --startMP 204:482 --initTime 2017-05-07T08:51:57 --startdatetime 2017-05-07T09:00:42 --delay 1 --endMP 204:233355 --enddatetime 2017-05-07T09:35:58 --enforcementcount 0 &gt;&gt;C:\Users\stu\Documents\GitHub\eaglep3-reporting\EC\2017-05-07-refined-times.txt</v>
      </c>
      <c r="AI5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{"issue":{"subject":"","project_id":79,"tracker_id":40,"status_id":1,"priority_id":2,"assigned_to_id":23,"start_date":"2017-05-07","description":"","custom_fields":[{"id":1,"name":"Subdivision","value":"EC"},{"id":4,"name":"Milepost","value":"23.3355"},{"id":17,"name":"Train ID","value":"143-07"},{"id":16,"name":"Locomotive ID","value":"4006"},{"id":130,"name":"Impact","value":""},{"id":150,"name":"Time of Event (Mountain Time)","value":"09:35:58"},{"id":151,"name":"Denver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4006 --day 2017-05-07</v>
      </c>
      <c r="AN5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557</v>
      </c>
      <c r="B56" s="7">
        <v>4005</v>
      </c>
      <c r="C56" s="21" t="s">
        <v>209</v>
      </c>
      <c r="D56" s="21" t="s">
        <v>806</v>
      </c>
      <c r="E56" s="13">
        <v>42862.410798611112</v>
      </c>
      <c r="F56" s="13">
        <v>42862.414259259262</v>
      </c>
      <c r="G56" s="7">
        <v>2</v>
      </c>
      <c r="H56" s="21" t="s">
        <v>807</v>
      </c>
      <c r="I56" s="13">
        <v>42862.445</v>
      </c>
      <c r="J56" s="7">
        <v>0</v>
      </c>
      <c r="K56" s="92" t="str">
        <f t="shared" si="0"/>
        <v>4005/4006</v>
      </c>
      <c r="L56" s="21" t="str">
        <f>VLOOKUP(A56,'Trips&amp;Operators'!$C$1:$G$99999,5,FALSE)</f>
        <v>MACDONALD THOMAS</v>
      </c>
      <c r="M56" s="6">
        <f t="shared" si="1"/>
        <v>3.0740740738110617E-2</v>
      </c>
      <c r="N56" s="7">
        <f t="shared" si="2"/>
        <v>44.266666662879288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-07T08:51:33-0600',mode:absolute,to:'2017-05-07T11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6" s="192" t="str">
        <f t="shared" si="6"/>
        <v>N</v>
      </c>
      <c r="X56" s="192">
        <f t="shared" si="7"/>
        <v>1</v>
      </c>
      <c r="Y56" s="192">
        <f t="shared" si="8"/>
        <v>23.305099999999999</v>
      </c>
      <c r="Z56" s="192">
        <f t="shared" si="9"/>
        <v>1.67E-2</v>
      </c>
      <c r="AA56" s="192">
        <f t="shared" si="10"/>
        <v>23.288399999999999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0144-07</v>
      </c>
      <c r="AE56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56" s="77" t="str">
        <f t="shared" si="13"/>
        <v>"C:\Program Files (x86)\AstroGrep\AstroGrep.exe" /e /r /s /spath="%USERPROFILE%\AppData\Local\Temp\OnboardLogs" /stypes="app*4005*20170507*"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144-07 --locoid 4005 --swversion DE.1.0.9.0 --startMP 204:233051 --initTime 2017-05-07T09:51:33 --startdatetime 2017-05-07T09:56:32 --delay 2 --endMP 204:167 --enddatetime 2017-05-07T10:40:48 --enforcementcount 0 &gt;&gt;C:\Users\stu\Documents\GitHub\eaglep3-reporting\EC\2017-05-07-refined-times.txt</v>
      </c>
      <c r="AI5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{"issue":{"subject":"","project_id":79,"tracker_id":40,"status_id":1,"priority_id":2,"assigned_to_id":23,"start_date":"2017-05-07","description":"","custom_fields":[{"id":1,"name":"Subdivision","value":"EC"},{"id":4,"name":"Milepost","value":"0.0167"},{"id":17,"name":"Train ID","value":"144-07"},{"id":16,"name":"Locomotive ID","value":"4005"},{"id":130,"name":"Impact","value":""},{"id":150,"name":"Time of Event (Mountain Time)","value":"10:40:48"},{"id":151,"name":"Denver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4005 --day 2017-05-07</v>
      </c>
      <c r="AN5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16:40:48"},{"id":29,"name":"Sharepoint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654</v>
      </c>
      <c r="B57" s="7">
        <v>4020</v>
      </c>
      <c r="C57" s="21" t="s">
        <v>209</v>
      </c>
      <c r="D57" s="21" t="s">
        <v>388</v>
      </c>
      <c r="E57" s="13">
        <v>42862.382708333331</v>
      </c>
      <c r="F57" s="13">
        <v>42862.385648148149</v>
      </c>
      <c r="G57" s="7">
        <v>1</v>
      </c>
      <c r="H57" s="21" t="s">
        <v>532</v>
      </c>
      <c r="I57" s="13">
        <v>42862.411296296297</v>
      </c>
      <c r="J57" s="7">
        <v>0</v>
      </c>
      <c r="K57" s="92" t="str">
        <f t="shared" si="0"/>
        <v>4019/4020</v>
      </c>
      <c r="L57" s="21" t="str">
        <f>VLOOKUP(A57,'Trips&amp;Operators'!$C$1:$G$99999,5,FALSE)</f>
        <v>MAELZER KURT</v>
      </c>
      <c r="M57" s="6">
        <f t="shared" si="1"/>
        <v>2.5648148148320615E-2</v>
      </c>
      <c r="N57" s="7">
        <f t="shared" si="2"/>
        <v>36.933333333581686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-07T08:11:06-0600',mode:absolute,to:'2017-05-07T10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192" t="str">
        <f t="shared" si="6"/>
        <v>N</v>
      </c>
      <c r="X57" s="192">
        <f t="shared" si="7"/>
        <v>1</v>
      </c>
      <c r="Y57" s="192">
        <f t="shared" si="8"/>
        <v>4.3999999999999997E-2</v>
      </c>
      <c r="Z57" s="192">
        <f t="shared" si="9"/>
        <v>23.336400000000001</v>
      </c>
      <c r="AA57" s="192">
        <f t="shared" si="10"/>
        <v>23.292400000000001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0145-07</v>
      </c>
      <c r="AE57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57" s="77" t="str">
        <f t="shared" si="13"/>
        <v>"C:\Program Files (x86)\AstroGrep\AstroGrep.exe" /e /r /s /spath="%USERPROFILE%\AppData\Local\Temp\OnboardLogs" /stypes="app*4020*20170507*"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145-07 --locoid 4020 --swversion DE.1.0.9.0 --startMP 204:440 --initTime 2017-05-07T09:11:06 --startdatetime 2017-05-07T09:15:20 --delay 1 --endMP 204:233364 --enddatetime 2017-05-07T09:52:16 --enforcementcount 0 &gt;&gt;C:\Users\stu\Documents\GitHub\eaglep3-reporting\EC\2017-05-07-refined-times.txt</v>
      </c>
      <c r="AI5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{"issue":{"subject":"","project_id":79,"tracker_id":40,"status_id":1,"priority_id":2,"assigned_to_id":23,"start_date":"2017-05-07","description":"","custom_fields":[{"id":1,"name":"Subdivision","value":"EC"},{"id":4,"name":"Milepost","value":"23.3364"},{"id":17,"name":"Train ID","value":"145-07"},{"id":16,"name":"Locomotive ID","value":"4020"},{"id":130,"name":"Impact","value":""},{"id":150,"name":"Time of Event (Mountain Time)","value":"09:52:16"},{"id":151,"name":"Denver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4020 --day 2017-05-07</v>
      </c>
      <c r="AN5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661</v>
      </c>
      <c r="B58" s="7">
        <v>4019</v>
      </c>
      <c r="C58" s="21" t="s">
        <v>209</v>
      </c>
      <c r="D58" s="21" t="s">
        <v>808</v>
      </c>
      <c r="E58" s="13">
        <v>42862.416701388887</v>
      </c>
      <c r="F58" s="13">
        <v>42862.424571759257</v>
      </c>
      <c r="G58" s="7">
        <v>0</v>
      </c>
      <c r="H58" s="21" t="s">
        <v>357</v>
      </c>
      <c r="I58" s="13">
        <v>42862.451747685183</v>
      </c>
      <c r="J58" s="7">
        <v>0</v>
      </c>
      <c r="K58" s="92" t="str">
        <f t="shared" si="0"/>
        <v>4019/4020</v>
      </c>
      <c r="L58" s="21" t="str">
        <f>VLOOKUP(A58,'Trips&amp;Operators'!$C$1:$G$99999,5,FALSE)</f>
        <v>MAELZER KURT</v>
      </c>
      <c r="M58" s="6">
        <f t="shared" si="1"/>
        <v>2.7175925926712807E-2</v>
      </c>
      <c r="N58" s="7">
        <f t="shared" si="2"/>
        <v>39.133333334466442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-07T09:00:03-0600',mode:absolute,to:'2017-05-07T11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192" t="str">
        <f t="shared" si="6"/>
        <v>N</v>
      </c>
      <c r="X58" s="192">
        <f t="shared" si="7"/>
        <v>1</v>
      </c>
      <c r="Y58" s="192">
        <f t="shared" si="8"/>
        <v>23.305700000000002</v>
      </c>
      <c r="Z58" s="192">
        <f t="shared" si="9"/>
        <v>1.38E-2</v>
      </c>
      <c r="AA58" s="192">
        <f t="shared" si="10"/>
        <v>23.291900000000002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0146-07</v>
      </c>
      <c r="AE58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58" s="77" t="str">
        <f t="shared" si="13"/>
        <v>"C:\Program Files (x86)\AstroGrep\AstroGrep.exe" /e /r /s /spath="%USERPROFILE%\AppData\Local\Temp\OnboardLogs" /stypes="app*4019*20170507*"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146-07 --locoid 4019 --swversion DE.1.0.9.0 --startMP 204:233057 --initTime 2017-05-07T10:00:03 --startdatetime 2017-05-07T10:11:23 --delay 0 --endMP 204:138 --enddatetime 2017-05-07T10:50:31 --enforcementcount 0 &gt;&gt;C:\Users\stu\Documents\GitHub\eaglep3-reporting\EC\2017-05-07-refined-times.txt</v>
      </c>
      <c r="AI5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ID","value":"146-07"},{"id":16,"name":"Locomotive ID","value":"4019"},{"id":130,"name":"Impact","value":""},{"id":150,"name":"Time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4019 --day 2017-05-07</v>
      </c>
      <c r="AN5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658</v>
      </c>
      <c r="B59" s="7">
        <v>4044</v>
      </c>
      <c r="C59" s="21" t="s">
        <v>209</v>
      </c>
      <c r="D59" s="21" t="s">
        <v>415</v>
      </c>
      <c r="E59" s="13">
        <v>42862.392418981479</v>
      </c>
      <c r="F59" s="13">
        <v>42862.39607638889</v>
      </c>
      <c r="G59" s="7">
        <v>1</v>
      </c>
      <c r="H59" s="21" t="s">
        <v>809</v>
      </c>
      <c r="I59" s="13">
        <v>42862.421689814815</v>
      </c>
      <c r="J59" s="7">
        <v>0</v>
      </c>
      <c r="K59" s="92" t="str">
        <f t="shared" si="0"/>
        <v>4043/4044</v>
      </c>
      <c r="L59" s="21" t="str">
        <f>VLOOKUP(A59,'Trips&amp;Operators'!$C$1:$G$99999,5,FALSE)</f>
        <v>BADERTSCHER DIANE</v>
      </c>
      <c r="M59" s="6">
        <f t="shared" si="1"/>
        <v>2.5613425925257616E-2</v>
      </c>
      <c r="N59" s="7">
        <f t="shared" si="2"/>
        <v>36.883333332370967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-07T08:25:05-0600',mode:absolute,to:'2017-05-07T11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192" t="str">
        <f t="shared" si="6"/>
        <v>N</v>
      </c>
      <c r="X59" s="192">
        <f t="shared" si="7"/>
        <v>1</v>
      </c>
      <c r="Y59" s="192">
        <f t="shared" si="8"/>
        <v>4.2700000000000002E-2</v>
      </c>
      <c r="Z59" s="192">
        <f t="shared" si="9"/>
        <v>23.328800000000001</v>
      </c>
      <c r="AA59" s="192">
        <f t="shared" si="10"/>
        <v>23.286100000000001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0147-07</v>
      </c>
      <c r="AE59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59" s="77" t="str">
        <f t="shared" si="13"/>
        <v>"C:\Program Files (x86)\AstroGrep\AstroGrep.exe" /e /r /s /spath="%USERPROFILE%\AppData\Local\Temp\OnboardLogs" /stypes="app*4044*20170507*"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147-07 --locoid 4044 --swversion DE.1.0.9.0 --startMP 204:427 --initTime 2017-05-07T09:25:05 --startdatetime 2017-05-07T09:30:21 --delay 1 --endMP 204:233288 --enddatetime 2017-05-07T10:07:14 --enforcementcount 0 &gt;&gt;C:\Users\stu\Documents\GitHub\eaglep3-reporting\EC\2017-05-07-refined-times.txt</v>
      </c>
      <c r="AI5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{"issue":{"subject":"","project_id":79,"tracker_id":40,"status_id":1,"priority_id":2,"assigned_to_id":23,"start_date":"2017-05-07","description":"","custom_fields":[{"id":1,"name":"Subdivision","value":"EC"},{"id":4,"name":"Milepost","value":"23.3288"},{"id":17,"name":"Train ID","value":"147-07"},{"id":16,"name":"Locomotive ID","value":"4044"},{"id":130,"name":"Impact","value":""},{"id":150,"name":"Time of Event (Mountain Time)","value":"10:07:14"},{"id":151,"name":"Denver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4044 --day 2017-05-07</v>
      </c>
      <c r="AN5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664</v>
      </c>
      <c r="B60" s="7">
        <v>4043</v>
      </c>
      <c r="C60" s="21" t="s">
        <v>209</v>
      </c>
      <c r="D60" s="21" t="s">
        <v>391</v>
      </c>
      <c r="E60" s="13">
        <v>42862.430405092593</v>
      </c>
      <c r="F60" s="13">
        <v>42862.435324074075</v>
      </c>
      <c r="G60" s="7">
        <v>1</v>
      </c>
      <c r="H60" s="21" t="s">
        <v>454</v>
      </c>
      <c r="I60" s="13">
        <v>42862.463530092595</v>
      </c>
      <c r="J60" s="7">
        <v>0</v>
      </c>
      <c r="K60" s="92" t="str">
        <f t="shared" si="0"/>
        <v>4043/4044</v>
      </c>
      <c r="L60" s="21" t="str">
        <f>VLOOKUP(A60,'Trips&amp;Operators'!$C$1:$G$99999,5,FALSE)</f>
        <v>BADERTSCHER DIANE</v>
      </c>
      <c r="M60" s="6">
        <f t="shared" si="1"/>
        <v>2.8206018519995268E-2</v>
      </c>
      <c r="N60" s="7">
        <f t="shared" si="2"/>
        <v>40.616666668793187</v>
      </c>
      <c r="O60" s="7"/>
      <c r="P60" s="7"/>
      <c r="Q60" s="22"/>
      <c r="R60" s="190"/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-07T09:19:47-0600',mode:absolute,to:'2017-05-07T12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192" t="str">
        <f t="shared" si="6"/>
        <v>N</v>
      </c>
      <c r="X60" s="192">
        <f t="shared" si="7"/>
        <v>1</v>
      </c>
      <c r="Y60" s="192">
        <f t="shared" si="8"/>
        <v>23.298400000000001</v>
      </c>
      <c r="Z60" s="192">
        <f t="shared" si="9"/>
        <v>1.2500000000000001E-2</v>
      </c>
      <c r="AA60" s="192">
        <f t="shared" si="10"/>
        <v>23.285900000000002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0148-07</v>
      </c>
      <c r="AE60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60" s="77" t="str">
        <f t="shared" si="13"/>
        <v>"C:\Program Files (x86)\AstroGrep\AstroGrep.exe" /e /r /s /spath="%USERPROFILE%\AppData\Local\Temp\OnboardLogs" /stypes="app*4043*20170507*"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148-07 --locoid 4043 --swversion DE.1.0.9.0 --startMP 204:232984 --initTime 2017-05-07T10:19:47 --startdatetime 2017-05-07T10:26:52 --delay 1 --endMP 204:125 --enddatetime 2017-05-07T11:07:29 --enforcementcount 0 &gt;&gt;C:\Users\stu\Documents\GitHub\eaglep3-reporting\EC\2017-05-07-refined-times.txt</v>
      </c>
      <c r="AI6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{"issue":{"subject":"","project_id":79,"tracker_id":40,"status_id":1,"priority_id":2,"assigned_to_id":23,"start_date":"2017-05-07","description":"","custom_fields":[{"id":1,"name":"Subdivision","value":"EC"},{"id":4,"name":"Milepost","value":"0.0125"},{"id":17,"name":"Train ID","value":"148-07"},{"id":16,"name":"Locomotive ID","value":"4043"},{"id":130,"name":"Impact","value":""},{"id":150,"name":"Time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4043 --day 2017-05-07</v>
      </c>
      <c r="AN6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556</v>
      </c>
      <c r="B61" s="7">
        <v>4052</v>
      </c>
      <c r="C61" s="21" t="s">
        <v>209</v>
      </c>
      <c r="D61" s="21" t="s">
        <v>810</v>
      </c>
      <c r="E61" s="13">
        <v>42862.403321759259</v>
      </c>
      <c r="F61" s="13">
        <v>42862.412048611113</v>
      </c>
      <c r="G61" s="7">
        <v>12</v>
      </c>
      <c r="H61" s="21" t="s">
        <v>410</v>
      </c>
      <c r="I61" s="13">
        <v>42862.439155092594</v>
      </c>
      <c r="J61" s="7">
        <v>0</v>
      </c>
      <c r="K61" s="92" t="str">
        <f t="shared" si="0"/>
        <v>4051/4052</v>
      </c>
      <c r="L61" s="21" t="str">
        <f>VLOOKUP(A61,'Trips&amp;Operators'!$C$1:$G$99999,5,FALSE)</f>
        <v>DAVIS WENDY</v>
      </c>
      <c r="M61" s="6">
        <f t="shared" si="1"/>
        <v>2.7106481480586808E-2</v>
      </c>
      <c r="N61" s="7"/>
      <c r="O61" s="7"/>
      <c r="P61" s="7">
        <f t="shared" si="2"/>
        <v>39.033333332045004</v>
      </c>
      <c r="Q61" s="22"/>
      <c r="R61" s="190" t="s">
        <v>969</v>
      </c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-07T08:40:47-0600',mode:absolute,to:'2017-05-07T11:32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1" s="192" t="str">
        <f t="shared" si="6"/>
        <v>Y</v>
      </c>
      <c r="X61" s="192">
        <f t="shared" si="7"/>
        <v>1</v>
      </c>
      <c r="Y61" s="192">
        <f t="shared" si="8"/>
        <v>1.9137</v>
      </c>
      <c r="Z61" s="192">
        <f t="shared" si="9"/>
        <v>23.328900000000001</v>
      </c>
      <c r="AA61" s="192">
        <f t="shared" si="10"/>
        <v>21.415200000000002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0149-07</v>
      </c>
      <c r="AE61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61" s="77" t="str">
        <f t="shared" si="13"/>
        <v>"C:\Program Files (x86)\AstroGrep\AstroGrep.exe" /e /r /s /spath="%USERPROFILE%\AppData\Local\Temp\OnboardLogs" /stypes="app*4052*20170507*"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149-07 --locoid 4052 --swversion DE.1.0.9.0 --startMP 204:19137 --initTime 2017-05-07T09:40:47 --startdatetime 2017-05-07T09:53:21 --delay 12 --endMP 204:233289 --enddatetime 2017-05-07T10:32:23 --enforcementcount 0 &gt;&gt;C:\Users\stu\Documents\GitHub\eaglep3-reporting\EC\2017-05-07-refined-times.txt</v>
      </c>
      <c r="AI61" s="99" t="str">
        <f t="shared" si="20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failure","project_id":79,"tracker_id":40,"status_id":1,"priority_id":2,"assigned_to_id":23,"start_date":"2017-05-07","description":"","custom_fields":[{"id":1,"name":"Subdivision","value":"EC"},{"id":4,"name":"Milepost","value":"23.3289"},{"id":17,"name":"Train ID","value":"149-07"},{"id":16,"name":"Locomotive ID","value":"4052"},{"id":130,"name":"Impact","value":""},{"id":150,"name":"Time of Event (Mountain Time)","value":"10:32:23"},{"id":151,"name":"Denver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4052 --day 2017-05-07</v>
      </c>
      <c r="AN61" s="154" t="str">
        <f t="shared" si="22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16:32:23"},{"id":29,"name":"Sharepoint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666</v>
      </c>
      <c r="B62" s="7">
        <v>4051</v>
      </c>
      <c r="C62" s="21" t="s">
        <v>209</v>
      </c>
      <c r="D62" s="21" t="s">
        <v>811</v>
      </c>
      <c r="E62" s="13">
        <v>42862.443391203706</v>
      </c>
      <c r="F62" s="13">
        <v>42862.445300925923</v>
      </c>
      <c r="G62" s="7">
        <v>1</v>
      </c>
      <c r="H62" s="21" t="s">
        <v>372</v>
      </c>
      <c r="I62" s="13">
        <v>42862.475023148145</v>
      </c>
      <c r="J62" s="7">
        <v>0</v>
      </c>
      <c r="K62" s="92" t="str">
        <f t="shared" si="0"/>
        <v>4051/4052</v>
      </c>
      <c r="L62" s="21" t="str">
        <f>VLOOKUP(A62,'Trips&amp;Operators'!$C$1:$G$99999,5,FALSE)</f>
        <v>DAVIS WENDY</v>
      </c>
      <c r="M62" s="6">
        <f t="shared" si="1"/>
        <v>2.9722222221607808E-2</v>
      </c>
      <c r="N62" s="7">
        <f t="shared" si="2"/>
        <v>42.799999999115244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-07T09:38:29-0600',mode:absolute,to:'2017-05-07T12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2" s="192" t="str">
        <f t="shared" si="6"/>
        <v>N</v>
      </c>
      <c r="X62" s="192">
        <f t="shared" si="7"/>
        <v>1</v>
      </c>
      <c r="Y62" s="192">
        <f t="shared" si="8"/>
        <v>23.298100000000002</v>
      </c>
      <c r="Z62" s="192">
        <f t="shared" si="9"/>
        <v>1.4999999999999999E-2</v>
      </c>
      <c r="AA62" s="192">
        <f t="shared" si="10"/>
        <v>23.283100000000001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0150-07</v>
      </c>
      <c r="AE62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62" s="77" t="str">
        <f t="shared" si="13"/>
        <v>"C:\Program Files (x86)\AstroGrep\AstroGrep.exe" /e /r /s /spath="%USERPROFILE%\AppData\Local\Temp\OnboardLogs" /stypes="app*4051*20170507*"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150-07 --locoid 4051 --swversion DE.1.0.9.0 --startMP 204:232981 --initTime 2017-05-07T10:38:29 --startdatetime 2017-05-07T10:41:14 --delay 1 --endMP 204:150 --enddatetime 2017-05-07T11:24:02 --enforcementcount 0 &gt;&gt;C:\Users\stu\Documents\GitHub\eaglep3-reporting\EC\2017-05-07-refined-times.txt</v>
      </c>
      <c r="AI6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{"issue":{"subject":"","project_id":79,"tracker_id":40,"status_id":1,"priority_id":2,"assigned_to_id":23,"start_date":"2017-05-07","description":"","custom_fields":[{"id":1,"name":"Subdivision","value":"EC"},{"id":4,"name":"Milepost","value":"0.015"},{"id":17,"name":"Train ID","value":"150-07"},{"id":16,"name":"Locomotive ID","value":"4051"},{"id":130,"name":"Impact","value":""},{"id":150,"name":"Time of Event (Mountain Time)","value":"11:24:02"},{"id":151,"name":"Denver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4051 --day 2017-05-07</v>
      </c>
      <c r="AN6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660</v>
      </c>
      <c r="B63" s="7">
        <v>4026</v>
      </c>
      <c r="C63" s="21" t="s">
        <v>209</v>
      </c>
      <c r="D63" s="21" t="s">
        <v>414</v>
      </c>
      <c r="E63" s="13">
        <v>42862.411527777775</v>
      </c>
      <c r="F63" s="13">
        <v>42862.41684027778</v>
      </c>
      <c r="G63" s="7">
        <v>2</v>
      </c>
      <c r="H63" s="21" t="s">
        <v>428</v>
      </c>
      <c r="I63" s="13">
        <v>42862.442673611113</v>
      </c>
      <c r="J63" s="7">
        <v>0</v>
      </c>
      <c r="K63" s="92" t="str">
        <f t="shared" si="0"/>
        <v>4025/4026</v>
      </c>
      <c r="L63" s="21" t="str">
        <f>VLOOKUP(A63,'Trips&amp;Operators'!$C$1:$G$99999,5,FALSE)</f>
        <v>ROBINSON KADDIBA</v>
      </c>
      <c r="M63" s="6">
        <f t="shared" si="1"/>
        <v>2.5833333333139308E-2</v>
      </c>
      <c r="N63" s="7">
        <f t="shared" si="2"/>
        <v>37.199999999720603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-07T08:52:36-0600',mode:absolute,to:'2017-05-07T11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3" s="192" t="str">
        <f t="shared" si="6"/>
        <v>N</v>
      </c>
      <c r="X63" s="192">
        <f t="shared" si="7"/>
        <v>1</v>
      </c>
      <c r="Y63" s="192">
        <f t="shared" si="8"/>
        <v>4.7300000000000002E-2</v>
      </c>
      <c r="Z63" s="192">
        <f t="shared" si="9"/>
        <v>23.329699999999999</v>
      </c>
      <c r="AA63" s="192">
        <f t="shared" si="10"/>
        <v>23.282399999999999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0151-07</v>
      </c>
      <c r="AE63" s="80" t="str">
        <f t="shared" si="12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63" s="77" t="str">
        <f t="shared" si="13"/>
        <v>"C:\Program Files (x86)\AstroGrep\AstroGrep.exe" /e /r /s /spath="%USERPROFILE%\AppData\Local\Temp\OnboardLogs" /stypes="app*4026*20170507*"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151-07 --locoid 4026 --swversion DE.1.0.9.0 --startMP 204:473 --initTime 2017-05-07T09:52:36 --startdatetime 2017-05-07T10:00:15 --delay 2 --endMP 204:233297 --enddatetime 2017-05-07T10:37:27 --enforcementcount 0 &gt;&gt;C:\Users\stu\Documents\GitHub\eaglep3-reporting\EC\2017-05-07-refined-times.txt</v>
      </c>
      <c r="AI6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{"issue":{"subject":"","project_id":79,"tracker_id":40,"status_id":1,"priority_id":2,"assigned_to_id":23,"start_date":"2017-05-07","description":"","custom_fields":[{"id":1,"name":"Subdivision","value":"EC"},{"id":4,"name":"Milepost","value":"23.3297"},{"id":17,"name":"Train ID","value":"151-07"},{"id":16,"name":"Locomotive ID","value":"4026"},{"id":130,"name":"Impact","value":""},{"id":150,"name":"Time of Event (Mountain Time)","value":"10:37:27"},{"id":151,"name":"Denver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4026 --day 2017-05-07</v>
      </c>
      <c r="AN6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668</v>
      </c>
      <c r="B64" s="7">
        <v>4025</v>
      </c>
      <c r="C64" s="21" t="s">
        <v>209</v>
      </c>
      <c r="D64" s="21" t="s">
        <v>812</v>
      </c>
      <c r="E64" s="13">
        <v>42862.45349537037</v>
      </c>
      <c r="F64" s="13">
        <v>42862.455729166664</v>
      </c>
      <c r="G64" s="7">
        <v>1</v>
      </c>
      <c r="H64" s="21" t="s">
        <v>383</v>
      </c>
      <c r="I64" s="13">
        <v>42862.483252314814</v>
      </c>
      <c r="J64" s="7">
        <v>0</v>
      </c>
      <c r="K64" s="92" t="str">
        <f t="shared" si="0"/>
        <v>4025/4026</v>
      </c>
      <c r="L64" s="21" t="str">
        <f>VLOOKUP(A64,'Trips&amp;Operators'!$C$1:$G$99999,5,FALSE)</f>
        <v>ROBINSON KADDIBA</v>
      </c>
      <c r="M64" s="6">
        <f t="shared" si="1"/>
        <v>2.7523148150066845E-2</v>
      </c>
      <c r="N64" s="7">
        <f t="shared" si="2"/>
        <v>39.633333336096257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-07T09:53:02-0600',mode:absolute,to:'2017-05-07T12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4" s="192" t="str">
        <f t="shared" si="6"/>
        <v>N</v>
      </c>
      <c r="X64" s="192">
        <f t="shared" si="7"/>
        <v>1</v>
      </c>
      <c r="Y64" s="192">
        <f t="shared" si="8"/>
        <v>23.296299999999999</v>
      </c>
      <c r="Z64" s="192">
        <f t="shared" si="9"/>
        <v>1.5599999999999999E-2</v>
      </c>
      <c r="AA64" s="192">
        <f t="shared" si="10"/>
        <v>23.2807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0152-07</v>
      </c>
      <c r="AE64" s="80" t="str">
        <f t="shared" si="12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64" s="77" t="str">
        <f t="shared" si="13"/>
        <v>"C:\Program Files (x86)\AstroGrep\AstroGrep.exe" /e /r /s /spath="%USERPROFILE%\AppData\Local\Temp\OnboardLogs" /stypes="app*4025*20170507*"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152-07 --locoid 4025 --swversion DE.1.0.9.0 --startMP 204:232963 --initTime 2017-05-07T10:53:02 --startdatetime 2017-05-07T10:56:15 --delay 1 --endMP 204:156 --enddatetime 2017-05-07T11:35:53 --enforcementcount 0 &gt;&gt;C:\Users\stu\Documents\GitHub\eaglep3-reporting\EC\2017-05-07-refined-times.txt</v>
      </c>
      <c r="AI6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ID","value":"152-07"},{"id":16,"name":"Locomotive ID","value":"4025"},{"id":130,"name":"Impact","value":""},{"id":150,"name":"Time of Event (Mountain Time)","value":"11:35:53"},{"id":151,"name":"Denver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4025 --day 2017-05-07</v>
      </c>
      <c r="AN6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662</v>
      </c>
      <c r="B65" s="7">
        <v>4028</v>
      </c>
      <c r="C65" s="21" t="s">
        <v>209</v>
      </c>
      <c r="D65" s="21" t="s">
        <v>813</v>
      </c>
      <c r="E65" s="13">
        <v>42862.422361111108</v>
      </c>
      <c r="F65" s="13">
        <v>42862.427291666667</v>
      </c>
      <c r="G65" s="7">
        <v>1</v>
      </c>
      <c r="H65" s="21" t="s">
        <v>428</v>
      </c>
      <c r="I65" s="13">
        <v>42862.452546296299</v>
      </c>
      <c r="J65" s="7">
        <v>0</v>
      </c>
      <c r="K65" s="92" t="str">
        <f t="shared" si="0"/>
        <v>4027/4028</v>
      </c>
      <c r="L65" s="21" t="str">
        <f>VLOOKUP(A65,'Trips&amp;Operators'!$C$1:$G$99999,5,FALSE)</f>
        <v>GEBRETEKLE DAGNEW</v>
      </c>
      <c r="M65" s="6">
        <f t="shared" si="1"/>
        <v>2.5254629632399883E-2</v>
      </c>
      <c r="N65" s="7">
        <f t="shared" si="2"/>
        <v>36.366666670655832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-07T09:08:12-0600',mode:absolute,to:'2017-05-07T11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5" s="192" t="str">
        <f t="shared" si="6"/>
        <v>N</v>
      </c>
      <c r="X65" s="192">
        <f t="shared" si="7"/>
        <v>1</v>
      </c>
      <c r="Y65" s="192">
        <f t="shared" si="8"/>
        <v>4.7100000000000003E-2</v>
      </c>
      <c r="Z65" s="192">
        <f t="shared" si="9"/>
        <v>23.329699999999999</v>
      </c>
      <c r="AA65" s="192">
        <f t="shared" si="10"/>
        <v>23.282599999999999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0153-07</v>
      </c>
      <c r="AE65" s="80" t="str">
        <f t="shared" si="12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65" s="77" t="str">
        <f t="shared" si="13"/>
        <v>"C:\Program Files (x86)\AstroGrep\AstroGrep.exe" /e /r /s /spath="%USERPROFILE%\AppData\Local\Temp\OnboardLogs" /stypes="app*4028*20170507*"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153-07 --locoid 4028 --swversion DE.1.0.9.0 --startMP 204:471 --initTime 2017-05-07T10:08:12 --startdatetime 2017-05-07T10:15:18 --delay 1 --endMP 204:233297 --enddatetime 2017-05-07T10:51:40 --enforcementcount 0 &gt;&gt;C:\Users\stu\Documents\GitHub\eaglep3-reporting\EC\2017-05-07-refined-times.txt</v>
      </c>
      <c r="AI6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{"issue":{"subject":"","project_id":79,"tracker_id":40,"status_id":1,"priority_id":2,"assigned_to_id":23,"start_date":"2017-05-07","description":"","custom_fields":[{"id":1,"name":"Subdivision","value":"EC"},{"id":4,"name":"Milepost","value":"23.3297"},{"id":17,"name":"Train ID","value":"153-07"},{"id":16,"name":"Locomotive ID","value":"4028"},{"id":130,"name":"Impact","value":""},{"id":150,"name":"Time of Event (Mountain Time)","value":"10:51:40"},{"id":151,"name":"Denver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4028 --day 2017-05-07</v>
      </c>
      <c r="AN6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670</v>
      </c>
      <c r="B66" s="7">
        <v>4027</v>
      </c>
      <c r="C66" s="21" t="s">
        <v>209</v>
      </c>
      <c r="D66" s="21" t="s">
        <v>814</v>
      </c>
      <c r="E66" s="13">
        <v>42862.462650462963</v>
      </c>
      <c r="F66" s="13">
        <v>42862.466296296298</v>
      </c>
      <c r="G66" s="7">
        <v>1</v>
      </c>
      <c r="H66" s="21" t="s">
        <v>401</v>
      </c>
      <c r="I66" s="13">
        <v>42862.493252314816</v>
      </c>
      <c r="J66" s="7">
        <v>0</v>
      </c>
      <c r="K66" s="92" t="str">
        <f t="shared" si="0"/>
        <v>4027/4028</v>
      </c>
      <c r="L66" s="21" t="str">
        <f>VLOOKUP(A66,'Trips&amp;Operators'!$C$1:$G$99999,5,FALSE)</f>
        <v>GEBRETEKLE DAGNEW</v>
      </c>
      <c r="M66" s="6">
        <f t="shared" si="1"/>
        <v>2.6956018518831115E-2</v>
      </c>
      <c r="N66" s="7">
        <f t="shared" si="2"/>
        <v>38.816666667116806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-07T10:06:13-0600',mode:absolute,to:'2017-05-07T12:50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92" t="str">
        <f t="shared" si="6"/>
        <v>N</v>
      </c>
      <c r="X66" s="192">
        <f t="shared" si="7"/>
        <v>1</v>
      </c>
      <c r="Y66" s="192">
        <f t="shared" si="8"/>
        <v>23.2989</v>
      </c>
      <c r="Z66" s="192">
        <f t="shared" si="9"/>
        <v>1.6299999999999999E-2</v>
      </c>
      <c r="AA66" s="192">
        <f t="shared" si="10"/>
        <v>23.282599999999999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0154-07</v>
      </c>
      <c r="AE66" s="80" t="str">
        <f t="shared" si="12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66" s="77" t="str">
        <f t="shared" si="13"/>
        <v>"C:\Program Files (x86)\AstroGrep\AstroGrep.exe" /e /r /s /spath="%USERPROFILE%\AppData\Local\Temp\OnboardLogs" /stypes="app*4027*20170507*"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154-07 --locoid 4027 --swversion DE.1.0.9.0 --startMP 204:232989 --initTime 2017-05-07T11:06:13 --startdatetime 2017-05-07T11:11:28 --delay 1 --endMP 204:163 --enddatetime 2017-05-07T11:50:17 --enforcementcount 0 &gt;&gt;C:\Users\stu\Documents\GitHub\eaglep3-reporting\EC\2017-05-07-refined-times.txt</v>
      </c>
      <c r="AI6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{"issue":{"subject":"","project_id":79,"tracker_id":40,"status_id":1,"priority_id":2,"assigned_to_id":23,"start_date":"2017-05-07","description":"","custom_fields":[{"id":1,"name":"Subdivision","value":"EC"},{"id":4,"name":"Milepost","value":"0.0163"},{"id":17,"name":"Train ID","value":"154-07"},{"id":16,"name":"Locomotive ID","value":"4027"},{"id":130,"name":"Impact","value":""},{"id":150,"name":"Time of Event (Mountain Time)","value":"11:50:17"},{"id":151,"name":"Denver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4027 --day 2017-05-07</v>
      </c>
      <c r="AN6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665</v>
      </c>
      <c r="B67" s="7">
        <v>4012</v>
      </c>
      <c r="C67" s="21" t="s">
        <v>209</v>
      </c>
      <c r="D67" s="21" t="s">
        <v>375</v>
      </c>
      <c r="E67" s="13">
        <v>42862.433055555557</v>
      </c>
      <c r="F67" s="13">
        <v>42862.437638888892</v>
      </c>
      <c r="G67" s="7">
        <v>1</v>
      </c>
      <c r="H67" s="21" t="s">
        <v>815</v>
      </c>
      <c r="I67" s="13">
        <v>42862.461678240739</v>
      </c>
      <c r="J67" s="7">
        <v>0</v>
      </c>
      <c r="K67" s="92" t="str">
        <f t="shared" si="0"/>
        <v>4011/4012</v>
      </c>
      <c r="L67" s="21" t="str">
        <f>VLOOKUP(A67,'Trips&amp;Operators'!$C$1:$G$99999,5,FALSE)</f>
        <v>ROMERO CHAD</v>
      </c>
      <c r="M67" s="6">
        <f t="shared" si="1"/>
        <v>2.4039351847022772E-2</v>
      </c>
      <c r="N67" s="7">
        <f t="shared" si="2"/>
        <v>34.616666659712791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-07T09:23:36-0600',mode:absolute,to:'2017-05-07T12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7" s="192" t="str">
        <f t="shared" si="6"/>
        <v>N</v>
      </c>
      <c r="X67" s="192">
        <f t="shared" si="7"/>
        <v>1</v>
      </c>
      <c r="Y67" s="192">
        <f t="shared" si="8"/>
        <v>4.6600000000000003E-2</v>
      </c>
      <c r="Z67" s="192">
        <f t="shared" si="9"/>
        <v>23.332999999999998</v>
      </c>
      <c r="AA67" s="192">
        <f t="shared" si="10"/>
        <v>23.286399999999997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0155-07</v>
      </c>
      <c r="AE67" s="80" t="str">
        <f t="shared" si="12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67" s="77" t="str">
        <f t="shared" si="13"/>
        <v>"C:\Program Files (x86)\AstroGrep\AstroGrep.exe" /e /r /s /spath="%USERPROFILE%\AppData\Local\Temp\OnboardLogs" /stypes="app*4012*20170507*"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155-07 --locoid 4012 --swversion DE.1.0.9.0 --startMP 204:466 --initTime 2017-05-07T10:23:36 --startdatetime 2017-05-07T10:30:12 --delay 1 --endMP 204:233330 --enddatetime 2017-05-07T11:04:49 --enforcementcount 0 &gt;&gt;C:\Users\stu\Documents\GitHub\eaglep3-reporting\EC\2017-05-07-refined-times.txt</v>
      </c>
      <c r="AI6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{"issue":{"subject":"","project_id":79,"tracker_id":40,"status_id":1,"priority_id":2,"assigned_to_id":23,"start_date":"2017-05-07","description":"","custom_fields":[{"id":1,"name":"Subdivision","value":"EC"},{"id":4,"name":"Milepost","value":"23.333"},{"id":17,"name":"Train ID","value":"155-07"},{"id":16,"name":"Locomotive ID","value":"4012"},{"id":130,"name":"Impact","value":""},{"id":150,"name":"Time of Event (Mountain Time)","value":"11:04:49"},{"id":151,"name":"Denver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4012 --day 2017-05-07</v>
      </c>
      <c r="AN6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671</v>
      </c>
      <c r="B68" s="7">
        <v>4011</v>
      </c>
      <c r="C68" s="21" t="s">
        <v>209</v>
      </c>
      <c r="D68" s="21" t="s">
        <v>526</v>
      </c>
      <c r="E68" s="13">
        <v>42862.46297453704</v>
      </c>
      <c r="F68" s="13">
        <v>42862.476805555554</v>
      </c>
      <c r="G68" s="7">
        <v>3</v>
      </c>
      <c r="H68" s="21" t="s">
        <v>510</v>
      </c>
      <c r="I68" s="13">
        <v>42862.503530092596</v>
      </c>
      <c r="J68" s="7">
        <v>0</v>
      </c>
      <c r="K68" s="92" t="str">
        <f t="shared" si="0"/>
        <v>4011/4012</v>
      </c>
      <c r="L68" s="21" t="str">
        <f>VLOOKUP(A68,'Trips&amp;Operators'!$C$1:$G$99999,5,FALSE)</f>
        <v>ROMERO CHAD</v>
      </c>
      <c r="M68" s="6">
        <f t="shared" si="1"/>
        <v>2.6724537041445728E-2</v>
      </c>
      <c r="N68" s="7">
        <f t="shared" si="2"/>
        <v>38.483333339681849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-07T10:06:41-0600',mode:absolute,to:'2017-05-07T13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8" s="192" t="str">
        <f t="shared" si="6"/>
        <v>N</v>
      </c>
      <c r="X68" s="192">
        <f t="shared" si="7"/>
        <v>1</v>
      </c>
      <c r="Y68" s="192">
        <f t="shared" si="8"/>
        <v>23.300699999999999</v>
      </c>
      <c r="Z68" s="192">
        <f t="shared" si="9"/>
        <v>1.3599999999999999E-2</v>
      </c>
      <c r="AA68" s="192">
        <f t="shared" si="10"/>
        <v>23.287099999999999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0156-07</v>
      </c>
      <c r="AE68" s="80" t="str">
        <f t="shared" si="12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68" s="77" t="str">
        <f t="shared" si="13"/>
        <v>"C:\Program Files (x86)\AstroGrep\AstroGrep.exe" /e /r /s /spath="%USERPROFILE%\AppData\Local\Temp\OnboardLogs" /stypes="app*4011*20170507*"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156-07 --locoid 4011 --swversion DE.1.0.9.0 --startMP 204:233007 --initTime 2017-05-07T11:06:41 --startdatetime 2017-05-07T11:26:36 --delay 3 --endMP 204:136 --enddatetime 2017-05-07T12:05:05 --enforcementcount 0 &gt;&gt;C:\Users\stu\Documents\GitHub\eaglep3-reporting\EC\2017-05-07-refined-times.txt</v>
      </c>
      <c r="AI68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{"issue":{"subject":"","project_id":79,"tracker_id":40,"status_id":1,"priority_id":2,"assigned_to_id":23,"start_date":"2017-05-07","description":"","custom_fields":[{"id":1,"name":"Subdivision","value":"EC"},{"id":4,"name":"Milepost","value":"0.0136"},{"id":17,"name":"Train ID","value":"156-07"},{"id":16,"name":"Locomotive ID","value":"4011"},{"id":130,"name":"Impact","value":""},{"id":150,"name":"Time of Event (Mountain Time)","value":"12:05:05"},{"id":151,"name":"Denver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4011 --day 2017-05-07</v>
      </c>
      <c r="AN68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667</v>
      </c>
      <c r="B69" s="7">
        <v>4006</v>
      </c>
      <c r="C69" s="21" t="s">
        <v>209</v>
      </c>
      <c r="D69" s="21" t="s">
        <v>523</v>
      </c>
      <c r="E69" s="13">
        <v>42862.44635416667</v>
      </c>
      <c r="F69" s="13">
        <v>42862.448252314818</v>
      </c>
      <c r="G69" s="7">
        <v>1</v>
      </c>
      <c r="H69" s="21" t="s">
        <v>380</v>
      </c>
      <c r="I69" s="13">
        <v>42862.472743055558</v>
      </c>
      <c r="J69" s="7">
        <v>0</v>
      </c>
      <c r="K69" s="92" t="str">
        <f t="shared" si="0"/>
        <v>4005/4006</v>
      </c>
      <c r="L69" s="21" t="str">
        <f>VLOOKUP(A69,'Trips&amp;Operators'!$C$1:$G$99999,5,FALSE)</f>
        <v>MACDONALD THOMAS</v>
      </c>
      <c r="M69" s="6">
        <f t="shared" si="1"/>
        <v>2.4490740739565808E-2</v>
      </c>
      <c r="N69" s="7">
        <f t="shared" si="2"/>
        <v>35.266666664974764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-07T09:42:45-0600',mode:absolute,to:'2017-05-07T12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9" s="192" t="str">
        <f t="shared" si="6"/>
        <v>N</v>
      </c>
      <c r="X69" s="192">
        <f t="shared" si="7"/>
        <v>1</v>
      </c>
      <c r="Y69" s="192">
        <f t="shared" si="8"/>
        <v>4.7800000000000002E-2</v>
      </c>
      <c r="Z69" s="192">
        <f t="shared" si="9"/>
        <v>23.331399999999999</v>
      </c>
      <c r="AA69" s="192">
        <f t="shared" si="10"/>
        <v>23.2836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0157-07</v>
      </c>
      <c r="AE69" s="80" t="str">
        <f t="shared" si="12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69" s="77" t="str">
        <f t="shared" si="13"/>
        <v>"C:\Program Files (x86)\AstroGrep\AstroGrep.exe" /e /r /s /spath="%USERPROFILE%\AppData\Local\Temp\OnboardLogs" /stypes="app*4006*20170507*"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157-07 --locoid 4006 --swversion DE.1.0.9.0 --startMP 204:478 --initTime 2017-05-07T10:42:45 --startdatetime 2017-05-07T10:45:29 --delay 1 --endMP 204:233314 --enddatetime 2017-05-07T11:20:45 --enforcementcount 0 &gt;&gt;C:\Users\stu\Documents\GitHub\eaglep3-reporting\EC\2017-05-07-refined-times.txt</v>
      </c>
      <c r="AI69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ID","value":"157-07"},{"id":16,"name":"Locomotive ID","value":"4006"},{"id":130,"name":"Impact","value":""},{"id":150,"name":"Time of Event (Mountain Time)","value":"11:20:45"},{"id":151,"name":"Denver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4006 --day 2017-05-07</v>
      </c>
      <c r="AN69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674</v>
      </c>
      <c r="B70" s="7">
        <v>4005</v>
      </c>
      <c r="C70" s="21" t="s">
        <v>209</v>
      </c>
      <c r="D70" s="21" t="s">
        <v>390</v>
      </c>
      <c r="E70" s="13">
        <v>42862.484872685185</v>
      </c>
      <c r="F70" s="13">
        <v>42862.486956018518</v>
      </c>
      <c r="G70" s="7">
        <v>1</v>
      </c>
      <c r="H70" s="21" t="s">
        <v>383</v>
      </c>
      <c r="I70" s="13">
        <v>42862.515752314815</v>
      </c>
      <c r="J70" s="7">
        <v>0</v>
      </c>
      <c r="K70" s="92" t="str">
        <f t="shared" si="0"/>
        <v>4005/4006</v>
      </c>
      <c r="L70" s="21" t="str">
        <f>VLOOKUP(A70,'Trips&amp;Operators'!$C$1:$G$99999,5,FALSE)</f>
        <v>MACDONALD THOMAS</v>
      </c>
      <c r="M70" s="6">
        <f t="shared" si="1"/>
        <v>2.8796296297514345E-2</v>
      </c>
      <c r="N70" s="7">
        <f t="shared" si="2"/>
        <v>41.466666668420658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-07T10:38:13-0600',mode:absolute,to:'2017-05-07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0" s="192" t="str">
        <f t="shared" si="6"/>
        <v>N</v>
      </c>
      <c r="X70" s="192">
        <f t="shared" si="7"/>
        <v>1</v>
      </c>
      <c r="Y70" s="192">
        <f t="shared" si="8"/>
        <v>23.299299999999999</v>
      </c>
      <c r="Z70" s="192">
        <f t="shared" si="9"/>
        <v>1.5599999999999999E-2</v>
      </c>
      <c r="AA70" s="192">
        <f t="shared" si="10"/>
        <v>23.2837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0158-07</v>
      </c>
      <c r="AE70" s="80" t="str">
        <f t="shared" si="12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70" s="77" t="str">
        <f t="shared" si="13"/>
        <v>"C:\Program Files (x86)\AstroGrep\AstroGrep.exe" /e /r /s /spath="%USERPROFILE%\AppData\Local\Temp\OnboardLogs" /stypes="app*4005*20170507*"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158-07 --locoid 4005 --swversion DE.1.0.9.0 --startMP 204:232993 --initTime 2017-05-07T11:38:13 --startdatetime 2017-05-07T11:41:13 --delay 1 --endMP 204:156 --enddatetime 2017-05-07T12:22:41 --enforcementcount 0 &gt;&gt;C:\Users\stu\Documents\GitHub\eaglep3-reporting\EC\2017-05-07-refined-times.txt</v>
      </c>
      <c r="AI70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{"issue":{"subject":"","project_id":79,"tracker_id":40,"status_id":1,"priority_id":2,"assigned_to_id":23,"start_date":"2017-05-07","description":"","custom_fields":[{"id":1,"name":"Subdivision","value":"EC"},{"id":4,"name":"Milepost","value":"0.0156"},{"id":17,"name":"Train ID","value":"158-07"},{"id":16,"name":"Locomotive ID","value":"4005"},{"id":130,"name":"Impact","value":""},{"id":150,"name":"Time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4005 --day 2017-05-07</v>
      </c>
      <c r="AN70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669</v>
      </c>
      <c r="B71" s="7">
        <v>4020</v>
      </c>
      <c r="C71" s="21" t="s">
        <v>209</v>
      </c>
      <c r="D71" s="21" t="s">
        <v>388</v>
      </c>
      <c r="E71" s="13">
        <v>42862.45380787037</v>
      </c>
      <c r="F71" s="13">
        <v>42862.458587962959</v>
      </c>
      <c r="G71" s="7">
        <v>1</v>
      </c>
      <c r="H71" s="21" t="s">
        <v>816</v>
      </c>
      <c r="I71" s="13">
        <v>42862.484791666669</v>
      </c>
      <c r="J71" s="7">
        <v>0</v>
      </c>
      <c r="K71" s="92" t="str">
        <f t="shared" si="0"/>
        <v>4019/4020</v>
      </c>
      <c r="L71" s="21" t="str">
        <f>VLOOKUP(A71,'Trips&amp;Operators'!$C$1:$G$99999,5,FALSE)</f>
        <v>STEWART MICHAEL</v>
      </c>
      <c r="M71" s="6">
        <f t="shared" si="1"/>
        <v>2.620370371005265E-2</v>
      </c>
      <c r="N71" s="7">
        <f t="shared" si="2"/>
        <v>37.733333342475817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-07T09:53:29-0600',mode:absolute,to:'2017-05-07T12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192" t="str">
        <f t="shared" si="6"/>
        <v>N</v>
      </c>
      <c r="X71" s="192">
        <f t="shared" si="7"/>
        <v>1</v>
      </c>
      <c r="Y71" s="192">
        <f t="shared" si="8"/>
        <v>4.3999999999999997E-2</v>
      </c>
      <c r="Z71" s="192">
        <f t="shared" si="9"/>
        <v>23.3278</v>
      </c>
      <c r="AA71" s="192">
        <f t="shared" si="10"/>
        <v>23.283799999999999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0159-07</v>
      </c>
      <c r="AE71" s="80" t="str">
        <f t="shared" si="12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71" s="77" t="str">
        <f t="shared" si="13"/>
        <v>"C:\Program Files (x86)\AstroGrep\AstroGrep.exe" /e /r /s /spath="%USERPROFILE%\AppData\Local\Temp\OnboardLogs" /stypes="app*4020*20170507*"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159-07 --locoid 4020 --swversion DE.1.0.9.0 --startMP 204:440 --initTime 2017-05-07T10:53:29 --startdatetime 2017-05-07T11:00:22 --delay 1 --endMP 204:233278 --enddatetime 2017-05-07T11:38:06 --enforcementcount 0 &gt;&gt;C:\Users\stu\Documents\GitHub\eaglep3-reporting\EC\2017-05-07-refined-times.txt</v>
      </c>
      <c r="AI71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{"issue":{"subject":"","project_id":79,"tracker_id":40,"status_id":1,"priority_id":2,"assigned_to_id":23,"start_date":"2017-05-07","description":"","custom_fields":[{"id":1,"name":"Subdivision","value":"EC"},{"id":4,"name":"Milepost","value":"23.3278"},{"id":17,"name":"Train ID","value":"159-07"},{"id":16,"name":"Locomotive ID","value":"4020"},{"id":130,"name":"Impact","value":""},{"id":150,"name":"Time of Event (Mountain Time)","value":"11:38:06"},{"id":151,"name":"Denver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4020 --day 2017-05-07</v>
      </c>
      <c r="AN71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677</v>
      </c>
      <c r="B72" s="7">
        <v>4019</v>
      </c>
      <c r="C72" s="21" t="s">
        <v>209</v>
      </c>
      <c r="D72" s="21" t="s">
        <v>389</v>
      </c>
      <c r="E72" s="13">
        <v>42862.494421296295</v>
      </c>
      <c r="F72" s="13">
        <v>42862.497418981482</v>
      </c>
      <c r="G72" s="7">
        <v>2</v>
      </c>
      <c r="H72" s="21" t="s">
        <v>364</v>
      </c>
      <c r="I72" s="13">
        <v>42862.525671296295</v>
      </c>
      <c r="J72" s="7">
        <v>0</v>
      </c>
      <c r="K72" s="92" t="str">
        <f t="shared" si="0"/>
        <v>4019/4020</v>
      </c>
      <c r="L72" s="21" t="str">
        <f>VLOOKUP(A72,'Trips&amp;Operators'!$C$1:$G$99999,5,FALSE)</f>
        <v>STEWART MICHAEL</v>
      </c>
      <c r="M72" s="6">
        <f t="shared" si="1"/>
        <v>2.8252314812561963E-2</v>
      </c>
      <c r="N72" s="7">
        <f t="shared" si="2"/>
        <v>40.683333330089226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-07T10:51:58-0600',mode:absolute,to:'2017-05-07T13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192" t="str">
        <f t="shared" si="6"/>
        <v>N</v>
      </c>
      <c r="X72" s="192">
        <f t="shared" si="7"/>
        <v>1</v>
      </c>
      <c r="Y72" s="192">
        <f t="shared" si="8"/>
        <v>23.298200000000001</v>
      </c>
      <c r="Z72" s="192">
        <f t="shared" si="9"/>
        <v>1.4500000000000001E-2</v>
      </c>
      <c r="AA72" s="192">
        <f t="shared" si="10"/>
        <v>23.2837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0160-07</v>
      </c>
      <c r="AE72" s="80" t="str">
        <f t="shared" si="12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72" s="77" t="str">
        <f t="shared" si="13"/>
        <v>"C:\Program Files (x86)\AstroGrep\AstroGrep.exe" /e /r /s /spath="%USERPROFILE%\AppData\Local\Temp\OnboardLogs" /stypes="app*4019*20170507*"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160-07 --locoid 4019 --swversion DE.1.0.9.0 --startMP 204:232982 --initTime 2017-05-07T11:51:58 --startdatetime 2017-05-07T11:56:17 --delay 2 --endMP 204:145 --enddatetime 2017-05-07T12:36:58 --enforcementcount 0 &gt;&gt;C:\Users\stu\Documents\GitHub\eaglep3-reporting\EC\2017-05-07-refined-times.txt</v>
      </c>
      <c r="AI72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ID","value":"160-07"},{"id":16,"name":"Locomotive ID","value":"4019"},{"id":130,"name":"Impact","value":""},{"id":150,"name":"Time of Event (Mountain Time)","value":"12:36:58"},{"id":151,"name":"Denver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4019 --day 2017-05-07</v>
      </c>
      <c r="AN72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672</v>
      </c>
      <c r="B73" s="7">
        <v>4044</v>
      </c>
      <c r="C73" s="21" t="s">
        <v>209</v>
      </c>
      <c r="D73" s="21" t="s">
        <v>817</v>
      </c>
      <c r="E73" s="13">
        <v>42862.465277777781</v>
      </c>
      <c r="F73" s="13">
        <v>42862.469224537039</v>
      </c>
      <c r="G73" s="7">
        <v>2</v>
      </c>
      <c r="H73" s="21" t="s">
        <v>412</v>
      </c>
      <c r="I73" s="13">
        <v>42862.497175925928</v>
      </c>
      <c r="J73" s="7">
        <v>0</v>
      </c>
      <c r="K73" s="92" t="str">
        <f t="shared" si="0"/>
        <v>4043/4044</v>
      </c>
      <c r="L73" s="21" t="str">
        <f>VLOOKUP(A73,'Trips&amp;Operators'!$C$1:$G$99999,5,FALSE)</f>
        <v>DAVIS MICHAEL</v>
      </c>
      <c r="M73" s="6">
        <f t="shared" si="1"/>
        <v>2.7951388889050577E-2</v>
      </c>
      <c r="N73" s="7">
        <f t="shared" si="2"/>
        <v>40.250000000232831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-07T10:10:00-0600',mode:absolute,to:'2017-05-07T12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192" t="str">
        <f t="shared" si="6"/>
        <v>N</v>
      </c>
      <c r="X73" s="192">
        <f t="shared" si="7"/>
        <v>1</v>
      </c>
      <c r="Y73" s="192">
        <f t="shared" si="8"/>
        <v>4.0599999999999997E-2</v>
      </c>
      <c r="Z73" s="192">
        <f t="shared" si="9"/>
        <v>23.331900000000001</v>
      </c>
      <c r="AA73" s="192">
        <f t="shared" si="10"/>
        <v>23.2913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0161-07</v>
      </c>
      <c r="AE73" s="80" t="str">
        <f t="shared" si="12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73" s="77" t="str">
        <f t="shared" si="13"/>
        <v>"C:\Program Files (x86)\AstroGrep\AstroGrep.exe" /e /r /s /spath="%USERPROFILE%\AppData\Local\Temp\OnboardLogs" /stypes="app*4044*20170507*"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161-07 --locoid 4044 --swversion DE.1.0.9.0 --startMP 204:406 --initTime 2017-05-07T11:10:00 --startdatetime 2017-05-07T11:15:41 --delay 2 --endMP 204:233319 --enddatetime 2017-05-07T11:55:56 --enforcementcount 0 &gt;&gt;C:\Users\stu\Documents\GitHub\eaglep3-reporting\EC\2017-05-07-refined-times.txt</v>
      </c>
      <c r="AI73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{"issue":{"subject":"","project_id":79,"tracker_id":40,"status_id":1,"priority_id":2,"assigned_to_id":23,"start_date":"2017-05-07","description":"","custom_fields":[{"id":1,"name":"Subdivision","value":"EC"},{"id":4,"name":"Milepost","value":"23.3319"},{"id":17,"name":"Train ID","value":"161-07"},{"id":16,"name":"Locomotive ID","value":"4044"},{"id":130,"name":"Impact","value":""},{"id":150,"name":"Time of Event (Mountain Time)","value":"11:55:56"},{"id":151,"name":"Denver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4044 --day 2017-05-07</v>
      </c>
      <c r="AN73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682</v>
      </c>
      <c r="B74" s="7">
        <v>4043</v>
      </c>
      <c r="C74" s="21" t="s">
        <v>209</v>
      </c>
      <c r="D74" s="21" t="s">
        <v>508</v>
      </c>
      <c r="E74" s="13">
        <v>42862.505509259259</v>
      </c>
      <c r="F74" s="13">
        <v>42862.508159722223</v>
      </c>
      <c r="G74" s="7">
        <v>2</v>
      </c>
      <c r="H74" s="21" t="s">
        <v>374</v>
      </c>
      <c r="I74" s="13">
        <v>42862.536423611113</v>
      </c>
      <c r="J74" s="7">
        <v>0</v>
      </c>
      <c r="K74" s="92" t="str">
        <f t="shared" si="0"/>
        <v>4043/4044</v>
      </c>
      <c r="L74" s="21" t="str">
        <f>VLOOKUP(A74,'Trips&amp;Operators'!$C$1:$G$99999,5,FALSE)</f>
        <v>DAVIS MICHAEL</v>
      </c>
      <c r="M74" s="6">
        <f t="shared" si="1"/>
        <v>2.8263888889341615E-2</v>
      </c>
      <c r="N74" s="7">
        <f t="shared" si="2"/>
        <v>40.700000000651926</v>
      </c>
      <c r="O74" s="7"/>
      <c r="P74" s="7"/>
      <c r="Q74" s="22"/>
      <c r="R74" s="190"/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-07T11:07:56-0600',mode:absolute,to:'2017-05-07T13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192" t="str">
        <f t="shared" si="6"/>
        <v>N</v>
      </c>
      <c r="X74" s="192">
        <f t="shared" si="7"/>
        <v>1</v>
      </c>
      <c r="Y74" s="192">
        <f t="shared" si="8"/>
        <v>23.301500000000001</v>
      </c>
      <c r="Z74" s="192">
        <f t="shared" si="9"/>
        <v>1.43E-2</v>
      </c>
      <c r="AA74" s="192">
        <f t="shared" si="10"/>
        <v>23.287200000000002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0162-07</v>
      </c>
      <c r="AE74" s="80" t="str">
        <f t="shared" si="12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74" s="77" t="str">
        <f t="shared" si="13"/>
        <v>"C:\Program Files (x86)\AstroGrep\AstroGrep.exe" /e /r /s /spath="%USERPROFILE%\AppData\Local\Temp\OnboardLogs" /stypes="app*4043*20170507*"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162-07 --locoid 4043 --swversion DE.1.0.9.0 --startMP 204:233015 --initTime 2017-05-07T12:07:56 --startdatetime 2017-05-07T12:11:45 --delay 2 --endMP 204:143 --enddatetime 2017-05-07T12:52:27 --enforcementcount 0 &gt;&gt;C:\Users\stu\Documents\GitHub\eaglep3-reporting\EC\2017-05-07-refined-times.txt</v>
      </c>
      <c r="AI74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ID","value":"162-07"},{"id":16,"name":"Locomotive ID","value":"4043"},{"id":130,"name":"Impact","value":""},{"id":150,"name":"Time of Event (Mountain Time)","value":"12:52:27"},{"id":151,"name":"Denver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4043 --day 2017-05-07</v>
      </c>
      <c r="AN74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673</v>
      </c>
      <c r="B75" s="7">
        <v>4052</v>
      </c>
      <c r="C75" s="21" t="s">
        <v>209</v>
      </c>
      <c r="D75" s="21" t="s">
        <v>395</v>
      </c>
      <c r="E75" s="13">
        <v>42862.477280092593</v>
      </c>
      <c r="F75" s="13">
        <v>42862.479328703703</v>
      </c>
      <c r="G75" s="7">
        <v>2</v>
      </c>
      <c r="H75" s="21" t="s">
        <v>818</v>
      </c>
      <c r="I75" s="13">
        <v>42862.504571759258</v>
      </c>
      <c r="J75" s="7">
        <v>0</v>
      </c>
      <c r="K75" s="92" t="str">
        <f t="shared" si="0"/>
        <v>4051/4052</v>
      </c>
      <c r="L75" s="21" t="str">
        <f>VLOOKUP(A75,'Trips&amp;Operators'!$C$1:$G$99999,5,FALSE)</f>
        <v>LEVIN SCOTT</v>
      </c>
      <c r="M75" s="6">
        <f t="shared" si="1"/>
        <v>2.5243055555620231E-2</v>
      </c>
      <c r="N75" s="7">
        <f t="shared" si="2"/>
        <v>36.350000000093132</v>
      </c>
      <c r="O75" s="7"/>
      <c r="P75" s="7"/>
      <c r="Q75" s="22"/>
      <c r="R75" s="190"/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-07T10:27:17-0600',mode:absolute,to:'2017-05-07T13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5" s="192" t="str">
        <f t="shared" si="6"/>
        <v>N</v>
      </c>
      <c r="X75" s="192">
        <f t="shared" si="7"/>
        <v>1</v>
      </c>
      <c r="Y75" s="192">
        <f t="shared" si="8"/>
        <v>4.4699999999999997E-2</v>
      </c>
      <c r="Z75" s="192">
        <f t="shared" si="9"/>
        <v>23.335999999999999</v>
      </c>
      <c r="AA75" s="192">
        <f t="shared" si="10"/>
        <v>23.2913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0163-07</v>
      </c>
      <c r="AE75" s="80" t="str">
        <f t="shared" si="12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75" s="77" t="str">
        <f t="shared" si="13"/>
        <v>"C:\Program Files (x86)\AstroGrep\AstroGrep.exe" /e /r /s /spath="%USERPROFILE%\AppData\Local\Temp\OnboardLogs" /stypes="app*4052*20170507*"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163-07 --locoid 4052 --swversion DE.1.0.9.0 --startMP 204:447 --initTime 2017-05-07T11:27:17 --startdatetime 2017-05-07T11:30:14 --delay 2 --endMP 204:233360 --enddatetime 2017-05-07T12:06:35 --enforcementcount 0 &gt;&gt;C:\Users\stu\Documents\GitHub\eaglep3-reporting\EC\2017-05-07-refined-times.txt</v>
      </c>
      <c r="AI75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{"issue":{"subject":"","project_id":79,"tracker_id":40,"status_id":1,"priority_id":2,"assigned_to_id":23,"start_date":"2017-05-07","description":"","custom_fields":[{"id":1,"name":"Subdivision","value":"EC"},{"id":4,"name":"Milepost","value":"23.336"},{"id":17,"name":"Train ID","value":"163-07"},{"id":16,"name":"Locomotive ID","value":"4052"},{"id":130,"name":"Impact","value":""},{"id":150,"name":"Time of Event (Mountain Time)","value":"12:06:35"},{"id":151,"name":"Denver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4052 --day 2017-05-07</v>
      </c>
      <c r="AN75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684</v>
      </c>
      <c r="B76" s="7">
        <v>4051</v>
      </c>
      <c r="C76" s="21" t="s">
        <v>209</v>
      </c>
      <c r="D76" s="21" t="s">
        <v>802</v>
      </c>
      <c r="E76" s="13">
        <v>42862.515023148146</v>
      </c>
      <c r="F76" s="13">
        <v>42862.518263888887</v>
      </c>
      <c r="G76" s="7">
        <v>1</v>
      </c>
      <c r="H76" s="21" t="s">
        <v>819</v>
      </c>
      <c r="I76" s="13">
        <v>42862.545381944445</v>
      </c>
      <c r="J76" s="7">
        <v>0</v>
      </c>
      <c r="K76" s="92" t="str">
        <f t="shared" si="0"/>
        <v>4051/4052</v>
      </c>
      <c r="L76" s="21" t="str">
        <f>VLOOKUP(A76,'Trips&amp;Operators'!$C$1:$G$99999,5,FALSE)</f>
        <v>LEVIN SCOTT</v>
      </c>
      <c r="M76" s="6">
        <f t="shared" si="1"/>
        <v>2.7118055557366461E-2</v>
      </c>
      <c r="N76" s="7">
        <f t="shared" si="2"/>
        <v>39.050000002607703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-07T11:21:38-0600',mode:absolute,to:'2017-05-07T14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6" s="192" t="str">
        <f t="shared" si="6"/>
        <v>N</v>
      </c>
      <c r="X76" s="192">
        <f t="shared" si="7"/>
        <v>1</v>
      </c>
      <c r="Y76" s="192">
        <f t="shared" si="8"/>
        <v>23.302499999999998</v>
      </c>
      <c r="Z76" s="192">
        <f t="shared" si="9"/>
        <v>1.14E-2</v>
      </c>
      <c r="AA76" s="192">
        <f t="shared" si="10"/>
        <v>23.2911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0164-07</v>
      </c>
      <c r="AE76" s="80" t="str">
        <f t="shared" si="12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76" s="77" t="str">
        <f t="shared" si="13"/>
        <v>"C:\Program Files (x86)\AstroGrep\AstroGrep.exe" /e /r /s /spath="%USERPROFILE%\AppData\Local\Temp\OnboardLogs" /stypes="app*4051*20170507*"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164-07 --locoid 4051 --swversion DE.1.0.9.0 --startMP 204:233025 --initTime 2017-05-07T12:21:38 --startdatetime 2017-05-07T12:26:18 --delay 1 --endMP 204:114 --enddatetime 2017-05-07T13:05:21 --enforcementcount 0 &gt;&gt;C:\Users\stu\Documents\GitHub\eaglep3-reporting\EC\2017-05-07-refined-times.txt</v>
      </c>
      <c r="AI76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{"issue":{"subject":"","project_id":79,"tracker_id":40,"status_id":1,"priority_id":2,"assigned_to_id":23,"start_date":"2017-05-07","description":"","custom_fields":[{"id":1,"name":"Subdivision","value":"EC"},{"id":4,"name":"Milepost","value":"0.0114"},{"id":17,"name":"Train ID","value":"164-07"},{"id":16,"name":"Locomotive ID","value":"4051"},{"id":130,"name":"Impact","value":""},{"id":150,"name":"Time of Event (Mountain Time)","value":"13:05:21"},{"id":151,"name":"Denver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4051 --day 2017-05-07</v>
      </c>
      <c r="AN76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676</v>
      </c>
      <c r="B77" s="7">
        <v>4026</v>
      </c>
      <c r="C77" s="21" t="s">
        <v>209</v>
      </c>
      <c r="D77" s="21" t="s">
        <v>813</v>
      </c>
      <c r="E77" s="13">
        <v>42862.485115740739</v>
      </c>
      <c r="F77" s="13">
        <v>42862.489814814813</v>
      </c>
      <c r="G77" s="7">
        <v>3</v>
      </c>
      <c r="H77" s="21" t="s">
        <v>820</v>
      </c>
      <c r="I77" s="13">
        <v>42862.515856481485</v>
      </c>
      <c r="J77" s="7">
        <v>0</v>
      </c>
      <c r="K77" s="92" t="str">
        <f t="shared" ref="K77:K138" si="23">IF(ISEVEN(B77),(B77-1)&amp;"/"&amp;B77,B77&amp;"/"&amp;(B77+1))</f>
        <v>4025/4026</v>
      </c>
      <c r="L77" s="21" t="str">
        <f>VLOOKUP(A77,'Trips&amp;Operators'!$C$1:$G$99999,5,FALSE)</f>
        <v>SAFIEF AEIMEN</v>
      </c>
      <c r="M77" s="6">
        <f t="shared" ref="M77:M138" si="24">I77-F77</f>
        <v>2.6041666671517305E-2</v>
      </c>
      <c r="N77" s="7">
        <f t="shared" ref="N77:P138" si="25">24*60*SUM($M77:$M77)</f>
        <v>37.500000006984919</v>
      </c>
      <c r="O77" s="7"/>
      <c r="P77" s="7"/>
      <c r="Q77" s="22"/>
      <c r="R77" s="190"/>
      <c r="S77" s="196">
        <f t="shared" ref="S77:S138" si="26">SUM(U77:U77)/IF(AG77="EC",12,1)</f>
        <v>1</v>
      </c>
      <c r="T77" s="190" t="str">
        <f t="shared" ref="T77:T138" si="27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38" si="2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-07T10:38:34-0600',mode:absolute,to:'2017-05-07T13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7" s="192" t="str">
        <f t="shared" ref="W77:W138" si="29">IF(AA77&lt;IF(AG77="EC",23,5.65),"Y","N")</f>
        <v>N</v>
      </c>
      <c r="X77" s="192">
        <f t="shared" ref="X77:X138" si="30">VALUE(LEFT(AD77,4))-VALUE(LEFT(AD76,4))</f>
        <v>1</v>
      </c>
      <c r="Y77" s="192">
        <f t="shared" ref="Y77:Y138" si="31">RIGHT(D77,LEN(D77)-4)/10000</f>
        <v>4.7100000000000003E-2</v>
      </c>
      <c r="Z77" s="192">
        <f t="shared" ref="Z77:Z138" si="32">RIGHT(H77,LEN(H77)-4)/10000</f>
        <v>23.334199999999999</v>
      </c>
      <c r="AA77" s="192">
        <f t="shared" ref="AA77:AA138" si="33">ABS(Z77-Y77)</f>
        <v>23.287099999999999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38" si="34">IF(LEN(A77)=6,"0"&amp;A77,A77)</f>
        <v>0165-07</v>
      </c>
      <c r="AE77" s="80" t="str">
        <f t="shared" ref="AE77:AE138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77" s="77" t="str">
        <f t="shared" ref="AF77:AF138" si="36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/stypes="app*4026*20170507*" /stext=" 18:.+((SYSTEM_STATE.+slice.+state.+changed )|(ment ac)|(multiple cpu faults)|(system.+state.+changed )|(\[timeout)|(PRM\|1\|D)|(kpr)|(kdp)|(train st.+moving)|(\|lc)|(penalty))"</v>
      </c>
      <c r="AG77" s="1" t="str">
        <f t="shared" ref="AG77:AG138" si="37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165-07 --locoid 4026 --swversion DE.1.0.9.0 --startMP 204:471 --initTime 2017-05-07T11:38:34 --startdatetime 2017-05-07T11:45:20 --delay 3 --endMP 204:233342 --enddatetime 2017-05-07T12:22:50 --enforcementcount 0 &gt;&gt;C:\Users\stu\Documents\GitHub\eaglep3-reporting\EC\2017-05-07-refined-times.txt</v>
      </c>
      <c r="AI77" s="99" t="str">
        <f t="shared" si="20"/>
        <v>echo {"issue":{"subject":"","project_id":79,"tracker_id":40,"status_id":1,"priority_id":2,"assigned_to_id":23,"start_date":"2017-05-07","description":"","custom_fields":[{"id":1,"name":"Subdivision","value":"EC"},{"id":4,"name":"Milepost","value":"23.3342"},{"id":17,"name":"Train ID","value":"165-07"},{"id":16,"name":"Locomotive ID","value":"4026"},{"id":130,"name":"Impact","value":""},{"id":150,"name":"Time of Event (Mountain Time)","value":"12:22:50"},{"id":151,"name":"Denver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4026 --day 2017-05-07</v>
      </c>
      <c r="AN77" s="154" t="str">
        <f t="shared" si="2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685</v>
      </c>
      <c r="B78" s="7">
        <v>4025</v>
      </c>
      <c r="C78" s="21" t="s">
        <v>209</v>
      </c>
      <c r="D78" s="21" t="s">
        <v>821</v>
      </c>
      <c r="E78" s="13">
        <v>42862.518564814818</v>
      </c>
      <c r="F78" s="13">
        <v>42862.528807870367</v>
      </c>
      <c r="G78" s="7">
        <v>2</v>
      </c>
      <c r="H78" s="21" t="s">
        <v>197</v>
      </c>
      <c r="I78" s="13">
        <v>42862.556990740741</v>
      </c>
      <c r="J78" s="7">
        <v>0</v>
      </c>
      <c r="K78" s="92" t="str">
        <f t="shared" si="23"/>
        <v>4025/4026</v>
      </c>
      <c r="L78" s="21" t="str">
        <f>VLOOKUP(A78,'Trips&amp;Operators'!$C$1:$G$99999,5,FALSE)</f>
        <v>SAFIEF AEIMEN</v>
      </c>
      <c r="M78" s="6">
        <f t="shared" si="24"/>
        <v>2.8182870373711921E-2</v>
      </c>
      <c r="N78" s="7">
        <f t="shared" si="25"/>
        <v>40.583333338145167</v>
      </c>
      <c r="O78" s="7"/>
      <c r="P78" s="7"/>
      <c r="Q78" s="22"/>
      <c r="R78" s="190"/>
      <c r="S78" s="196">
        <f t="shared" si="26"/>
        <v>1</v>
      </c>
      <c r="T78" s="190" t="str">
        <f t="shared" si="27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8"/>
        <v>https://d0f6bd738d7f1b3e5a7ca70fe4ff75f0.us-east-1.aws.found.io/app/kibana#/discover/Steve-Slow-Train-Analysis-(2080s-and-2083s)?_g=(refreshInterval:(display:Off,pause:!f,section:0,value:0),time:(from:'2017-05-07T11:26:44-0600',mode:absolute,to:'2017-05-07T14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8" s="192" t="str">
        <f t="shared" si="29"/>
        <v>N</v>
      </c>
      <c r="X78" s="192">
        <f t="shared" si="30"/>
        <v>1</v>
      </c>
      <c r="Y78" s="192">
        <f t="shared" si="31"/>
        <v>23.306000000000001</v>
      </c>
      <c r="Z78" s="192">
        <f t="shared" si="32"/>
        <v>1.52E-2</v>
      </c>
      <c r="AA78" s="192">
        <f t="shared" si="33"/>
        <v>23.290800000000001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4"/>
        <v>0166-07</v>
      </c>
      <c r="AE78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78" s="77" t="str">
        <f t="shared" si="36"/>
        <v>"C:\Program Files (x86)\AstroGrep\AstroGrep.exe" /e /r /s /spath="%USERPROFILE%\AppData\Local\Temp\OnboardLogs" /stypes="app*4025*20170507*" /stext=" 19:.+((SYSTEM_STATE.+slice.+state.+changed )|(ment ac)|(multiple cpu faults)|(system.+state.+changed )|(\[timeout)|(PRM\|1\|D)|(kpr)|(kdp)|(train st.+moving)|(\|lc)|(penalty))"</v>
      </c>
      <c r="AG78" s="1" t="str">
        <f t="shared" si="37"/>
        <v>EC</v>
      </c>
      <c r="AH78" s="81" t="str">
        <f t="shared" ref="AH78:AH139" si="3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4025 --swversion DE.1.0.9.0 --startMP 204:233060 --initTime 2017-05-07T12:26:44 --startdatetime 2017-05-07T12:41:29 --delay 2 --endMP 204:152 --enddatetime 2017-05-07T13:22:04 --enforcementcount 0 &gt;&gt;C:\Users\stu\Documents\GitHub\eaglep3-reporting\EC\2017-05-07-refined-times.txt</v>
      </c>
      <c r="AI78" s="99" t="str">
        <f t="shared" ref="AI78:AI139" si="3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ID","value":"166-07"},{"id":16,"name":"Locomotive ID","value":"4025"},{"id":130,"name":"Impact","value":""},{"id":150,"name":"Time of Event (Mountain Time)","value":"13:22:04"},{"id":151,"name":"Denver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39" si="40">"start /low /b "&amp;dls3logs&amp;" --loco "&amp;B78&amp;" --day "&amp;TEXT(F78,"YYYY-MM-DD")</f>
        <v>start /low /b %USERPROFILE%\Documents\GitHub\eaglep3\Utilities\DownloadLogsFromS3.py --loco 4025 --day 2017-05-07</v>
      </c>
      <c r="AN78" s="154" t="str">
        <f t="shared" ref="AN78:AN139" si="4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678</v>
      </c>
      <c r="B79" s="7">
        <v>4028</v>
      </c>
      <c r="C79" s="21" t="s">
        <v>209</v>
      </c>
      <c r="D79" s="21" t="s">
        <v>538</v>
      </c>
      <c r="E79" s="13">
        <v>42862.49622685185</v>
      </c>
      <c r="F79" s="13">
        <v>42862.500162037039</v>
      </c>
      <c r="G79" s="7">
        <v>1</v>
      </c>
      <c r="H79" s="21" t="s">
        <v>805</v>
      </c>
      <c r="I79" s="13">
        <v>42862.524837962963</v>
      </c>
      <c r="J79" s="7">
        <v>0</v>
      </c>
      <c r="K79" s="92" t="str">
        <f t="shared" si="23"/>
        <v>4027/4028</v>
      </c>
      <c r="L79" s="21" t="str">
        <f>VLOOKUP(A79,'Trips&amp;Operators'!$C$1:$G$99999,5,FALSE)</f>
        <v>LALONDE GREGORY</v>
      </c>
      <c r="M79" s="6">
        <f t="shared" si="24"/>
        <v>2.4675925924384501E-2</v>
      </c>
      <c r="N79" s="7">
        <f t="shared" si="25"/>
        <v>35.533333331113681</v>
      </c>
      <c r="O79" s="7"/>
      <c r="P79" s="7"/>
      <c r="Q79" s="22"/>
      <c r="R79" s="190"/>
      <c r="S79" s="196">
        <f t="shared" si="26"/>
        <v>1</v>
      </c>
      <c r="T79" s="190" t="str">
        <f t="shared" si="27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8"/>
        <v>https://d0f6bd738d7f1b3e5a7ca70fe4ff75f0.us-east-1.aws.found.io/app/kibana#/discover/Steve-Slow-Train-Analysis-(2080s-and-2083s)?_g=(refreshInterval:(display:Off,pause:!f,section:0,value:0),time:(from:'2017-05-07T10:54:34-0600',mode:absolute,to:'2017-05-07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9" s="192" t="str">
        <f t="shared" si="29"/>
        <v>N</v>
      </c>
      <c r="X79" s="192">
        <f t="shared" si="30"/>
        <v>1</v>
      </c>
      <c r="Y79" s="192">
        <f t="shared" si="31"/>
        <v>4.8800000000000003E-2</v>
      </c>
      <c r="Z79" s="192">
        <f t="shared" si="32"/>
        <v>23.3355</v>
      </c>
      <c r="AA79" s="192">
        <f t="shared" si="33"/>
        <v>23.2867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4"/>
        <v>0167-07</v>
      </c>
      <c r="AE79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79" s="77" t="str">
        <f t="shared" si="36"/>
        <v>"C:\Program Files (x86)\AstroGrep\AstroGrep.exe" /e /r /s /spath="%USERPROFILE%\AppData\Local\Temp\OnboardLogs" /stypes="app*4028*20170507*" /stext=" 18:.+((SYSTEM_STATE.+slice.+state.+changed )|(ment ac)|(multiple cpu faults)|(system.+state.+changed )|(\[timeout)|(PRM\|1\|D)|(kpr)|(kdp)|(train st.+moving)|(\|lc)|(penalty))"</v>
      </c>
      <c r="AG79" s="1" t="str">
        <f t="shared" si="37"/>
        <v>EC</v>
      </c>
      <c r="AH79" s="81" t="str">
        <f t="shared" si="38"/>
        <v>"%USERPROFILE%\Documents\GitHub\eaglep3\Utilities\RefineRTDCRunTimes.py" --tripid 167-07 --locoid 4028 --swversion DE.1.0.9.0 --startMP 204:488 --initTime 2017-05-07T11:54:34 --startdatetime 2017-05-07T12:00:14 --delay 1 --endMP 204:233355 --enddatetime 2017-05-07T12:35:46 --enforcementcount 0 &gt;&gt;C:\Users\stu\Documents\GitHub\eaglep3-reporting\EC\2017-05-07-refined-times.txt</v>
      </c>
      <c r="AI7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{"issue":{"subject":"","project_id":79,"tracker_id":40,"status_id":1,"priority_id":2,"assigned_to_id":23,"start_date":"2017-05-07","description":"","custom_fields":[{"id":1,"name":"Subdivision","value":"EC"},{"id":4,"name":"Milepost","value":"23.3355"},{"id":17,"name":"Train ID","value":"167-07"},{"id":16,"name":"Locomotive ID","value":"4028"},{"id":130,"name":"Impact","value":""},{"id":150,"name":"Time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0"/>
        <v>start /low /b %USERPROFILE%\Documents\GitHub\eaglep3\Utilities\DownloadLogsFromS3.py --loco 4028 --day 2017-05-07</v>
      </c>
      <c r="AN7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687</v>
      </c>
      <c r="B80" s="7">
        <v>4027</v>
      </c>
      <c r="C80" s="21" t="s">
        <v>209</v>
      </c>
      <c r="D80" s="21" t="s">
        <v>822</v>
      </c>
      <c r="E80" s="13">
        <v>42862.528831018521</v>
      </c>
      <c r="F80" s="13">
        <v>42862.539131944446</v>
      </c>
      <c r="G80" s="7">
        <v>1</v>
      </c>
      <c r="H80" s="21" t="s">
        <v>396</v>
      </c>
      <c r="I80" s="13">
        <v>42862.567025462966</v>
      </c>
      <c r="J80" s="7">
        <v>0</v>
      </c>
      <c r="K80" s="92" t="str">
        <f t="shared" si="23"/>
        <v>4027/4028</v>
      </c>
      <c r="L80" s="21" t="str">
        <f>VLOOKUP(A80,'Trips&amp;Operators'!$C$1:$G$99999,5,FALSE)</f>
        <v>LALONDE GREGORY</v>
      </c>
      <c r="M80" s="6">
        <f t="shared" si="24"/>
        <v>2.789351851970423E-2</v>
      </c>
      <c r="N80" s="7">
        <f t="shared" si="25"/>
        <v>40.166666668374091</v>
      </c>
      <c r="O80" s="7"/>
      <c r="P80" s="7"/>
      <c r="Q80" s="22"/>
      <c r="R80" s="190"/>
      <c r="S80" s="196">
        <f t="shared" si="26"/>
        <v>1</v>
      </c>
      <c r="T80" s="190" t="str">
        <f t="shared" si="27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8"/>
        <v>https://d0f6bd738d7f1b3e5a7ca70fe4ff75f0.us-east-1.aws.found.io/app/kibana#/discover/Steve-Slow-Train-Analysis-(2080s-and-2083s)?_g=(refreshInterval:(display:Off,pause:!f,section:0,value:0),time:(from:'2017-05-07T11:41:31-0600',mode:absolute,to:'2017-05-07T14:36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92" t="str">
        <f t="shared" si="29"/>
        <v>N</v>
      </c>
      <c r="X80" s="192">
        <f t="shared" si="30"/>
        <v>1</v>
      </c>
      <c r="Y80" s="192">
        <f t="shared" si="31"/>
        <v>23.304200000000002</v>
      </c>
      <c r="Z80" s="192">
        <f t="shared" si="32"/>
        <v>1.3899999999999999E-2</v>
      </c>
      <c r="AA80" s="192">
        <f t="shared" si="33"/>
        <v>23.290300000000002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4"/>
        <v>0168-07</v>
      </c>
      <c r="AE80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80" s="77" t="str">
        <f t="shared" si="36"/>
        <v>"C:\Program Files (x86)\AstroGrep\AstroGrep.exe" /e /r /s /spath="%USERPROFILE%\AppData\Local\Temp\OnboardLogs" /stypes="app*4027*20170507*" /stext=" 19:.+((SYSTEM_STATE.+slice.+state.+changed )|(ment ac)|(multiple cpu faults)|(system.+state.+changed )|(\[timeout)|(PRM\|1\|D)|(kpr)|(kdp)|(train st.+moving)|(\|lc)|(penalty))"</v>
      </c>
      <c r="AG80" s="1" t="str">
        <f t="shared" si="37"/>
        <v>EC</v>
      </c>
      <c r="AH80" s="81" t="str">
        <f t="shared" si="38"/>
        <v>"%USERPROFILE%\Documents\GitHub\eaglep3\Utilities\RefineRTDCRunTimes.py" --tripid 168-07 --locoid 4027 --swversion DE.1.0.9.0 --startMP 204:233042 --initTime 2017-05-07T12:41:31 --startdatetime 2017-05-07T12:56:21 --delay 1 --endMP 204:139 --enddatetime 2017-05-07T13:36:31 --enforcementcount 0 &gt;&gt;C:\Users\stu\Documents\GitHub\eaglep3-reporting\EC\2017-05-07-refined-times.txt</v>
      </c>
      <c r="AI8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ID","value":"168-07"},{"id":16,"name":"Locomotive ID","value":"4027"},{"id":130,"name":"Impact","value":""},{"id":150,"name":"Time of Event (Mountain Time)","value":"13:36:31"},{"id":151,"name":"Denver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0"/>
        <v>start /low /b %USERPROFILE%\Documents\GitHub\eaglep3\Utilities\DownloadLogsFromS3.py --loco 4027 --day 2017-05-07</v>
      </c>
      <c r="AN8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681</v>
      </c>
      <c r="B81" s="7">
        <v>4012</v>
      </c>
      <c r="C81" s="21" t="s">
        <v>209</v>
      </c>
      <c r="D81" s="21" t="s">
        <v>518</v>
      </c>
      <c r="E81" s="13">
        <v>42862.504699074074</v>
      </c>
      <c r="F81" s="13">
        <v>42862.510578703703</v>
      </c>
      <c r="G81" s="7">
        <v>1</v>
      </c>
      <c r="H81" s="21" t="s">
        <v>823</v>
      </c>
      <c r="I81" s="13">
        <v>42862.535138888888</v>
      </c>
      <c r="J81" s="7">
        <v>0</v>
      </c>
      <c r="K81" s="92" t="str">
        <f t="shared" si="23"/>
        <v>4011/4012</v>
      </c>
      <c r="L81" s="21" t="str">
        <f>VLOOKUP(A81,'Trips&amp;Operators'!$C$1:$G$99999,5,FALSE)</f>
        <v>ROMERO CHAD</v>
      </c>
      <c r="M81" s="6">
        <f t="shared" si="24"/>
        <v>2.4560185185691807E-2</v>
      </c>
      <c r="N81" s="7">
        <f t="shared" si="25"/>
        <v>35.366666667396203</v>
      </c>
      <c r="O81" s="7"/>
      <c r="P81" s="7"/>
      <c r="Q81" s="22"/>
      <c r="R81" s="190"/>
      <c r="S81" s="196">
        <f t="shared" si="26"/>
        <v>1</v>
      </c>
      <c r="T81" s="190" t="str">
        <f t="shared" si="27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8"/>
        <v>https://d0f6bd738d7f1b3e5a7ca70fe4ff75f0.us-east-1.aws.found.io/app/kibana#/discover/Steve-Slow-Train-Analysis-(2080s-and-2083s)?_g=(refreshInterval:(display:Off,pause:!f,section:0,value:0),time:(from:'2017-05-07T11:06:46-0600',mode:absolute,to:'2017-05-07T13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1" s="192" t="str">
        <f t="shared" si="29"/>
        <v>N</v>
      </c>
      <c r="X81" s="192">
        <f t="shared" si="30"/>
        <v>1</v>
      </c>
      <c r="Y81" s="192">
        <f t="shared" si="31"/>
        <v>4.24E-2</v>
      </c>
      <c r="Z81" s="192">
        <f t="shared" si="32"/>
        <v>23.341699999999999</v>
      </c>
      <c r="AA81" s="192">
        <f t="shared" si="33"/>
        <v>23.299299999999999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4"/>
        <v>0169-07</v>
      </c>
      <c r="AE81" s="80" t="str">
        <f t="shared" si="35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81" s="77" t="str">
        <f t="shared" si="36"/>
        <v>"C:\Program Files (x86)\AstroGrep\AstroGrep.exe" /e /r /s /spath="%USERPROFILE%\AppData\Local\Temp\OnboardLogs" /stypes="app*4012*20170507*" /stext=" 18:.+((SYSTEM_STATE.+slice.+state.+changed )|(ment ac)|(multiple cpu faults)|(system.+state.+changed )|(\[timeout)|(PRM\|1\|D)|(kpr)|(kdp)|(train st.+moving)|(\|lc)|(penalty))"</v>
      </c>
      <c r="AG81" s="1" t="str">
        <f t="shared" si="37"/>
        <v>EC</v>
      </c>
      <c r="AH81" s="81" t="str">
        <f t="shared" si="38"/>
        <v>"%USERPROFILE%\Documents\GitHub\eaglep3\Utilities\RefineRTDCRunTimes.py" --tripid 169-07 --locoid 4012 --swversion DE.1.0.9.0 --startMP 204:424 --initTime 2017-05-07T12:06:46 --startdatetime 2017-05-07T12:15:14 --delay 1 --endMP 204:233417 --enddatetime 2017-05-07T12:50:36 --enforcementcount 0 &gt;&gt;C:\Users\stu\Documents\GitHub\eaglep3-reporting\EC\2017-05-07-refined-times.txt</v>
      </c>
      <c r="AI8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{"issue":{"subject":"","project_id":79,"tracker_id":40,"status_id":1,"priority_id":2,"assigned_to_id":23,"start_date":"2017-05-07","description":"","custom_fields":[{"id":1,"name":"Subdivision","value":"EC"},{"id":4,"name":"Milepost","value":"23.3417"},{"id":17,"name":"Train ID","value":"169-07"},{"id":16,"name":"Locomotive ID","value":"4012"},{"id":130,"name":"Impact","value":""},{"id":150,"name":"Time of Event (Mountain Time)","value":"12:50:36"},{"id":151,"name":"Denver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0"/>
        <v>start /low /b %USERPROFILE%\Documents\GitHub\eaglep3\Utilities\DownloadLogsFromS3.py --loco 4012 --day 2017-05-07</v>
      </c>
      <c r="AN8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567</v>
      </c>
      <c r="B82" s="7">
        <v>4011</v>
      </c>
      <c r="C82" s="21" t="s">
        <v>209</v>
      </c>
      <c r="D82" s="21" t="s">
        <v>824</v>
      </c>
      <c r="E82" s="13">
        <v>42862.536354166667</v>
      </c>
      <c r="F82" s="13">
        <v>42862.549583333333</v>
      </c>
      <c r="G82" s="7">
        <v>1</v>
      </c>
      <c r="H82" s="21" t="s">
        <v>364</v>
      </c>
      <c r="I82" s="13">
        <v>42862.577025462961</v>
      </c>
      <c r="J82" s="7">
        <v>0</v>
      </c>
      <c r="K82" s="92" t="str">
        <f t="shared" si="23"/>
        <v>4011/4012</v>
      </c>
      <c r="L82" s="21" t="str">
        <f>VLOOKUP(A82,'Trips&amp;Operators'!$C$1:$G$99999,5,FALSE)</f>
        <v>ROMERO CHAD</v>
      </c>
      <c r="M82" s="6">
        <f t="shared" si="24"/>
        <v>2.7442129627161194E-2</v>
      </c>
      <c r="N82" s="7">
        <f t="shared" si="25"/>
        <v>39.516666663112119</v>
      </c>
      <c r="O82" s="7"/>
      <c r="P82" s="7"/>
      <c r="Q82" s="22"/>
      <c r="R82" s="190"/>
      <c r="S82" s="196">
        <f t="shared" si="26"/>
        <v>1</v>
      </c>
      <c r="T82" s="190" t="str">
        <f t="shared" si="27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8"/>
        <v>https://d0f6bd738d7f1b3e5a7ca70fe4ff75f0.us-east-1.aws.found.io/app/kibana#/discover/Steve-Slow-Train-Analysis-(2080s-and-2083s)?_g=(refreshInterval:(display:Off,pause:!f,section:0,value:0),time:(from:'2017-05-07T11:52:21-0600',mode:absolute,to:'2017-05-07T14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2" s="192" t="str">
        <f t="shared" si="29"/>
        <v>N</v>
      </c>
      <c r="X82" s="192">
        <f t="shared" si="30"/>
        <v>1</v>
      </c>
      <c r="Y82" s="192">
        <f t="shared" si="31"/>
        <v>23.311299999999999</v>
      </c>
      <c r="Z82" s="192">
        <f t="shared" si="32"/>
        <v>1.4500000000000001E-2</v>
      </c>
      <c r="AA82" s="192">
        <f t="shared" si="33"/>
        <v>23.296799999999998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4"/>
        <v>0170-07</v>
      </c>
      <c r="AE82" s="80" t="str">
        <f t="shared" si="35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82" s="77" t="str">
        <f t="shared" si="36"/>
        <v>"C:\Program Files (x86)\AstroGrep\AstroGrep.exe" /e /r /s /spath="%USERPROFILE%\AppData\Local\Temp\OnboardLogs" /stypes="app*4011*20170507*" /stext=" 19:.+((SYSTEM_STATE.+slice.+state.+changed )|(ment ac)|(multiple cpu faults)|(system.+state.+changed )|(\[timeout)|(PRM\|1\|D)|(kpr)|(kdp)|(train st.+moving)|(\|lc)|(penalty))"</v>
      </c>
      <c r="AG82" s="1" t="str">
        <f t="shared" si="37"/>
        <v>EC</v>
      </c>
      <c r="AH82" s="81" t="str">
        <f t="shared" si="38"/>
        <v>"%USERPROFILE%\Documents\GitHub\eaglep3\Utilities\RefineRTDCRunTimes.py" --tripid 170-07 --locoid 4011 --swversion DE.1.0.9.0 --startMP 204:233113 --initTime 2017-05-07T12:52:21 --startdatetime 2017-05-07T13:11:24 --delay 1 --endMP 204:145 --enddatetime 2017-05-07T13:50:55 --enforcementcount 0 &gt;&gt;C:\Users\stu\Documents\GitHub\eaglep3-reporting\EC\2017-05-07-refined-times.txt</v>
      </c>
      <c r="AI8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{"issue":{"subject":"","project_id":79,"tracker_id":40,"status_id":1,"priority_id":2,"assigned_to_id":23,"start_date":"2017-05-07","description":"","custom_fields":[{"id":1,"name":"Subdivision","value":"EC"},{"id":4,"name":"Milepost","value":"0.0145"},{"id":17,"name":"Train ID","value":"170-07"},{"id":16,"name":"Locomotive ID","value":"4011"},{"id":130,"name":"Impact","value":""},{"id":150,"name":"Time of Event (Mountain Time)","value":"13:50:55"},{"id":151,"name":"Denver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0"/>
        <v>start /low /b %USERPROFILE%\Documents\GitHub\eaglep3\Utilities\DownloadLogsFromS3.py --loco 4011 --day 2017-05-07</v>
      </c>
      <c r="AN8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566</v>
      </c>
      <c r="B83" s="7">
        <v>4006</v>
      </c>
      <c r="C83" s="21" t="s">
        <v>209</v>
      </c>
      <c r="D83" s="21" t="s">
        <v>381</v>
      </c>
      <c r="E83" s="13">
        <v>42862.517789351848</v>
      </c>
      <c r="F83" s="13">
        <v>42862.521064814813</v>
      </c>
      <c r="G83" s="7">
        <v>1</v>
      </c>
      <c r="H83" s="21" t="s">
        <v>519</v>
      </c>
      <c r="I83" s="13">
        <v>42862.548437500001</v>
      </c>
      <c r="J83" s="7">
        <v>0</v>
      </c>
      <c r="K83" s="92" t="str">
        <f t="shared" si="23"/>
        <v>4005/4006</v>
      </c>
      <c r="L83" s="21" t="str">
        <f>VLOOKUP(A83,'Trips&amp;Operators'!$C$1:$G$99999,5,FALSE)</f>
        <v>BRANDNER MELINDA</v>
      </c>
      <c r="M83" s="6">
        <f t="shared" si="24"/>
        <v>2.7372685188311152E-2</v>
      </c>
      <c r="N83" s="7">
        <f t="shared" si="25"/>
        <v>39.416666671168059</v>
      </c>
      <c r="O83" s="7"/>
      <c r="P83" s="7"/>
      <c r="Q83" s="22"/>
      <c r="R83" s="190"/>
      <c r="S83" s="196">
        <f t="shared" si="26"/>
        <v>1</v>
      </c>
      <c r="T83" s="190" t="str">
        <f t="shared" si="27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8"/>
        <v>https://d0f6bd738d7f1b3e5a7ca70fe4ff75f0.us-east-1.aws.found.io/app/kibana#/discover/Steve-Slow-Train-Analysis-(2080s-and-2083s)?_g=(refreshInterval:(display:Off,pause:!f,section:0,value:0),time:(from:'2017-05-07T11:25:37-0600',mode:absolute,to:'2017-05-07T14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192" t="str">
        <f t="shared" si="29"/>
        <v>N</v>
      </c>
      <c r="X83" s="192">
        <f t="shared" si="30"/>
        <v>1</v>
      </c>
      <c r="Y83" s="192">
        <f t="shared" si="31"/>
        <v>4.6399999999999997E-2</v>
      </c>
      <c r="Z83" s="192">
        <f t="shared" si="32"/>
        <v>23.339300000000001</v>
      </c>
      <c r="AA83" s="192">
        <f t="shared" si="33"/>
        <v>23.292900000000003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4"/>
        <v>0171-07</v>
      </c>
      <c r="AE83" s="80" t="str">
        <f t="shared" si="3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83" s="77" t="str">
        <f t="shared" si="36"/>
        <v>"C:\Program Files (x86)\AstroGrep\AstroGrep.exe" /e /r /s /spath="%USERPROFILE%\AppData\Local\Temp\OnboardLogs" /stypes="app*4006*20170507*" /stext=" 19:.+((SYSTEM_STATE.+slice.+state.+changed )|(ment ac)|(multiple cpu faults)|(system.+state.+changed )|(\[timeout)|(PRM\|1\|D)|(kpr)|(kdp)|(train st.+moving)|(\|lc)|(penalty))"</v>
      </c>
      <c r="AG83" s="1" t="str">
        <f t="shared" si="37"/>
        <v>EC</v>
      </c>
      <c r="AH83" s="81" t="str">
        <f t="shared" si="38"/>
        <v>"%USERPROFILE%\Documents\GitHub\eaglep3\Utilities\RefineRTDCRunTimes.py" --tripid 171-07 --locoid 4006 --swversion DE.1.0.9.0 --startMP 204:464 --initTime 2017-05-07T12:25:37 --startdatetime 2017-05-07T12:30:20 --delay 1 --endMP 204:233393 --enddatetime 2017-05-07T13:09:45 --enforcementcount 0 &gt;&gt;C:\Users\stu\Documents\GitHub\eaglep3-reporting\EC\2017-05-07-refined-times.txt</v>
      </c>
      <c r="AI8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{"issue":{"subject":"","project_id":79,"tracker_id":40,"status_id":1,"priority_id":2,"assigned_to_id":23,"start_date":"2017-05-07","description":"","custom_fields":[{"id":1,"name":"Subdivision","value":"EC"},{"id":4,"name":"Milepost","value":"23.3393"},{"id":17,"name":"Train ID","value":"171-07"},{"id":16,"name":"Locomotive ID","value":"4006"},{"id":130,"name":"Impact","value":""},{"id":150,"name":"Time of Event (Mountain Time)","value":"13:09:45"},{"id":151,"name":"Denver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0"/>
        <v>start /low /b %USERPROFILE%\Documents\GitHub\eaglep3\Utilities\DownloadLogsFromS3.py --loco 4006 --day 2017-05-07</v>
      </c>
      <c r="AN8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2" t="s">
        <v>570</v>
      </c>
      <c r="B84" s="7">
        <v>4005</v>
      </c>
      <c r="C84" s="21" t="s">
        <v>209</v>
      </c>
      <c r="D84" s="21" t="s">
        <v>825</v>
      </c>
      <c r="E84" s="13">
        <v>42862.555</v>
      </c>
      <c r="F84" s="13">
        <v>42862.559907407405</v>
      </c>
      <c r="G84" s="7">
        <v>1</v>
      </c>
      <c r="H84" s="21" t="s">
        <v>515</v>
      </c>
      <c r="I84" s="13">
        <v>42862.589479166665</v>
      </c>
      <c r="J84" s="7">
        <v>0</v>
      </c>
      <c r="K84" s="92" t="str">
        <f t="shared" si="23"/>
        <v>4005/4006</v>
      </c>
      <c r="L84" s="21" t="str">
        <f>VLOOKUP(A84,'Trips&amp;Operators'!$C$1:$G$99999,5,FALSE)</f>
        <v>BRANDNER MELINDA</v>
      </c>
      <c r="M84" s="6">
        <f t="shared" si="24"/>
        <v>2.9571759259852115E-2</v>
      </c>
      <c r="N84" s="7">
        <f t="shared" si="25"/>
        <v>42.583333334187046</v>
      </c>
      <c r="O84" s="7"/>
      <c r="P84" s="7"/>
      <c r="Q84" s="22"/>
      <c r="R84" s="190"/>
      <c r="S84" s="196">
        <f t="shared" si="26"/>
        <v>1</v>
      </c>
      <c r="T84" s="190" t="str">
        <f t="shared" si="27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8"/>
        <v>https://d0f6bd738d7f1b3e5a7ca70fe4ff75f0.us-east-1.aws.found.io/app/kibana#/discover/Steve-Slow-Train-Analysis-(2080s-and-2083s)?_g=(refreshInterval:(display:Off,pause:!f,section:0,value:0),time:(from:'2017-05-07T12:19:12-0600',mode:absolute,to:'2017-05-07T15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192" t="str">
        <f t="shared" si="29"/>
        <v>N</v>
      </c>
      <c r="X84" s="192">
        <f t="shared" si="30"/>
        <v>1</v>
      </c>
      <c r="Y84" s="192">
        <f t="shared" si="31"/>
        <v>23.3094</v>
      </c>
      <c r="Z84" s="192">
        <f t="shared" si="32"/>
        <v>1.2999999999999999E-2</v>
      </c>
      <c r="AA84" s="192">
        <f t="shared" si="33"/>
        <v>23.296399999999998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4"/>
        <v>0172-07</v>
      </c>
      <c r="AE84" s="80" t="str">
        <f t="shared" si="3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84" s="77" t="str">
        <f t="shared" si="36"/>
        <v>"C:\Program Files (x86)\AstroGrep\AstroGrep.exe" /e /r /s /spath="%USERPROFILE%\AppData\Local\Temp\OnboardLogs" /stypes="app*4005*20170507*" /stext=" 20:.+((SYSTEM_STATE.+slice.+state.+changed )|(ment ac)|(multiple cpu faults)|(system.+state.+changed )|(\[timeout)|(PRM\|1\|D)|(kpr)|(kdp)|(train st.+moving)|(\|lc)|(penalty))"</v>
      </c>
      <c r="AG84" s="1" t="str">
        <f t="shared" si="37"/>
        <v>EC</v>
      </c>
      <c r="AH84" s="81" t="str">
        <f t="shared" si="38"/>
        <v>"%USERPROFILE%\Documents\GitHub\eaglep3\Utilities\RefineRTDCRunTimes.py" --tripid 172-07 --locoid 4005 --swversion DE.1.0.9.0 --startMP 204:233094 --initTime 2017-05-07T13:19:12 --startdatetime 2017-05-07T13:26:16 --delay 1 --endMP 204:130 --enddatetime 2017-05-07T14:08:51 --enforcementcount 0 &gt;&gt;C:\Users\stu\Documents\GitHub\eaglep3-reporting\EC\2017-05-07-refined-times.txt</v>
      </c>
      <c r="AI8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{"issue":{"subject":"","project_id":79,"tracker_id":40,"status_id":1,"priority_id":2,"assigned_to_id":23,"start_date":"2017-05-07","description":"","custom_fields":[{"id":1,"name":"Subdivision","value":"EC"},{"id":4,"name":"Milepost","value":"0.013"},{"id":17,"name":"Train ID","value":"172-07"},{"id":16,"name":"Locomotive ID","value":"4005"},{"id":130,"name":"Impact","value":""},{"id":150,"name":"Time of Event (Mountain Time)","value":"14:08:51"},{"id":151,"name":"Denver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7"/>
      <c r="AL84" s="47"/>
      <c r="AM84" s="145" t="str">
        <f t="shared" si="40"/>
        <v>start /low /b %USERPROFILE%\Documents\GitHub\eaglep3\Utilities\DownloadLogsFromS3.py --loco 4005 --day 2017-05-07</v>
      </c>
      <c r="AN8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686</v>
      </c>
      <c r="B85" s="7">
        <v>4020</v>
      </c>
      <c r="C85" s="21" t="s">
        <v>209</v>
      </c>
      <c r="D85" s="21" t="s">
        <v>204</v>
      </c>
      <c r="E85" s="13">
        <v>42862.527997685182</v>
      </c>
      <c r="F85" s="13">
        <v>42862.531851851854</v>
      </c>
      <c r="G85" s="7">
        <v>1</v>
      </c>
      <c r="H85" s="21" t="s">
        <v>533</v>
      </c>
      <c r="I85" s="13">
        <v>42862.557754629626</v>
      </c>
      <c r="J85" s="7">
        <v>0</v>
      </c>
      <c r="K85" s="92" t="str">
        <f t="shared" si="23"/>
        <v>4019/4020</v>
      </c>
      <c r="L85" s="21" t="str">
        <f>VLOOKUP(A85,'Trips&amp;Operators'!$C$1:$G$99999,5,FALSE)</f>
        <v>STEWART MICHAEL</v>
      </c>
      <c r="M85" s="6">
        <f t="shared" si="24"/>
        <v>2.5902777771989349E-2</v>
      </c>
      <c r="N85" s="7">
        <f t="shared" si="25"/>
        <v>37.299999991664663</v>
      </c>
      <c r="O85" s="7"/>
      <c r="P85" s="7"/>
      <c r="Q85" s="22"/>
      <c r="R85" s="190"/>
      <c r="S85" s="196">
        <f t="shared" si="26"/>
        <v>1</v>
      </c>
      <c r="T85" s="190" t="str">
        <f t="shared" si="27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8"/>
        <v>https://d0f6bd738d7f1b3e5a7ca70fe4ff75f0.us-east-1.aws.found.io/app/kibana#/discover/Steve-Slow-Train-Analysis-(2080s-and-2083s)?_g=(refreshInterval:(display:Off,pause:!f,section:0,value:0),time:(from:'2017-05-07T11:40:19-0600',mode:absolute,to:'2017-05-07T14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5" s="192" t="str">
        <f t="shared" si="29"/>
        <v>N</v>
      </c>
      <c r="X85" s="192">
        <f t="shared" si="30"/>
        <v>1</v>
      </c>
      <c r="Y85" s="192">
        <f t="shared" si="31"/>
        <v>4.5999999999999999E-2</v>
      </c>
      <c r="Z85" s="192">
        <f t="shared" si="32"/>
        <v>23.33</v>
      </c>
      <c r="AA85" s="192">
        <f t="shared" si="33"/>
        <v>23.283999999999999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4"/>
        <v>0173-07</v>
      </c>
      <c r="AE85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85" s="77" t="str">
        <f t="shared" si="36"/>
        <v>"C:\Program Files (x86)\AstroGrep\AstroGrep.exe" /e /r /s /spath="%USERPROFILE%\AppData\Local\Temp\OnboardLogs" /stypes="app*4020*20170507*" /stext=" 19:.+((SYSTEM_STATE.+slice.+state.+changed )|(ment ac)|(multiple cpu faults)|(system.+state.+changed )|(\[timeout)|(PRM\|1\|D)|(kpr)|(kdp)|(train st.+moving)|(\|lc)|(penalty))"</v>
      </c>
      <c r="AG85" s="1" t="str">
        <f t="shared" si="37"/>
        <v>EC</v>
      </c>
      <c r="AH85" s="81" t="str">
        <f t="shared" si="38"/>
        <v>"%USERPROFILE%\Documents\GitHub\eaglep3\Utilities\RefineRTDCRunTimes.py" --tripid 173-07 --locoid 4020 --swversion DE.1.0.9.0 --startMP 204:460 --initTime 2017-05-07T12:40:19 --startdatetime 2017-05-07T12:45:52 --delay 1 --endMP 204:233300 --enddatetime 2017-05-07T13:23:10 --enforcementcount 0 &gt;&gt;C:\Users\stu\Documents\GitHub\eaglep3-reporting\EC\2017-05-07-refined-times.txt</v>
      </c>
      <c r="AI8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{"issue":{"subject":"","project_id":79,"tracker_id":40,"status_id":1,"priority_id":2,"assigned_to_id":23,"start_date":"2017-05-07","description":"","custom_fields":[{"id":1,"name":"Subdivision","value":"EC"},{"id":4,"name":"Milepost","value":"23.33"},{"id":17,"name":"Train ID","value":"173-07"},{"id":16,"name":"Locomotive ID","value":"4020"},{"id":130,"name":"Impact","value":""},{"id":150,"name":"Time of Event (Mountain Time)","value":"13:23:10"},{"id":151,"name":"Denver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40"/>
        <v>start /low /b %USERPROFILE%\Documents\GitHub\eaglep3\Utilities\DownloadLogsFromS3.py --loco 4020 --day 2017-05-07</v>
      </c>
      <c r="AN8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2" t="s">
        <v>691</v>
      </c>
      <c r="B86" s="7">
        <v>4019</v>
      </c>
      <c r="C86" s="21" t="s">
        <v>209</v>
      </c>
      <c r="D86" s="21" t="s">
        <v>826</v>
      </c>
      <c r="E86" s="13">
        <v>42862.567858796298</v>
      </c>
      <c r="F86" s="13">
        <v>42862.570613425924</v>
      </c>
      <c r="G86" s="7">
        <v>1</v>
      </c>
      <c r="H86" s="21" t="s">
        <v>202</v>
      </c>
      <c r="I86" s="13">
        <v>42862.59847222222</v>
      </c>
      <c r="J86" s="7">
        <v>0</v>
      </c>
      <c r="K86" s="92" t="str">
        <f t="shared" si="23"/>
        <v>4019/4020</v>
      </c>
      <c r="L86" s="21" t="str">
        <f>VLOOKUP(A86,'Trips&amp;Operators'!$C$1:$G$99999,5,FALSE)</f>
        <v>STEWART MICHAEL</v>
      </c>
      <c r="M86" s="6">
        <f t="shared" si="24"/>
        <v>2.7858796296641231E-2</v>
      </c>
      <c r="N86" s="7">
        <f t="shared" si="25"/>
        <v>40.116666667163372</v>
      </c>
      <c r="O86" s="7"/>
      <c r="P86" s="7"/>
      <c r="Q86" s="22"/>
      <c r="R86" s="190"/>
      <c r="S86" s="196">
        <f t="shared" si="26"/>
        <v>1</v>
      </c>
      <c r="T86" s="190" t="str">
        <f t="shared" si="27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28"/>
        <v>https://d0f6bd738d7f1b3e5a7ca70fe4ff75f0.us-east-1.aws.found.io/app/kibana#/discover/Steve-Slow-Train-Analysis-(2080s-and-2083s)?_g=(refreshInterval:(display:Off,pause:!f,section:0,value:0),time:(from:'2017-05-07T12:37:43-0600',mode:absolute,to:'2017-05-07T15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6" s="192" t="str">
        <f t="shared" si="29"/>
        <v>N</v>
      </c>
      <c r="X86" s="192">
        <f t="shared" si="30"/>
        <v>1</v>
      </c>
      <c r="Y86" s="192">
        <f t="shared" si="31"/>
        <v>23.2974</v>
      </c>
      <c r="Z86" s="192">
        <f t="shared" si="32"/>
        <v>1.54E-2</v>
      </c>
      <c r="AA86" s="192">
        <f t="shared" si="33"/>
        <v>23.282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4"/>
        <v>0174-07</v>
      </c>
      <c r="AE86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86" s="77" t="str">
        <f t="shared" si="36"/>
        <v>"C:\Program Files (x86)\AstroGrep\AstroGrep.exe" /e /r /s /spath="%USERPROFILE%\AppData\Local\Temp\OnboardLogs" /stypes="app*4019*20170507*" /stext=" 20:.+((SYSTEM_STATE.+slice.+state.+changed )|(ment ac)|(multiple cpu faults)|(system.+state.+changed )|(\[timeout)|(PRM\|1\|D)|(kpr)|(kdp)|(train st.+moving)|(\|lc)|(penalty))"</v>
      </c>
      <c r="AG86" s="1" t="str">
        <f t="shared" si="37"/>
        <v>EC</v>
      </c>
      <c r="AH86" s="81" t="str">
        <f t="shared" si="38"/>
        <v>"%USERPROFILE%\Documents\GitHub\eaglep3\Utilities\RefineRTDCRunTimes.py" --tripid 174-07 --locoid 4019 --swversion DE.1.0.9.0 --startMP 204:232974 --initTime 2017-05-07T13:37:43 --startdatetime 2017-05-07T13:41:41 --delay 1 --endMP 204:154 --enddatetime 2017-05-07T14:21:48 --enforcementcount 0 &gt;&gt;C:\Users\stu\Documents\GitHub\eaglep3-reporting\EC\2017-05-07-refined-times.txt</v>
      </c>
      <c r="AI8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{"issue":{"subject":"","project_id":79,"tracker_id":40,"status_id":1,"priority_id":2,"assigned_to_id":23,"start_date":"2017-05-07","description":"","custom_fields":[{"id":1,"name":"Subdivision","value":"EC"},{"id":4,"name":"Milepost","value":"0.0154"},{"id":17,"name":"Train ID","value":"174-07"},{"id":16,"name":"Locomotive ID","value":"4019"},{"id":130,"name":"Impact","value":""},{"id":150,"name":"Time of Event (Mountain Time)","value":"14:21:48"},{"id":151,"name":"Denver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40"/>
        <v>start /low /b %USERPROFILE%\Documents\GitHub\eaglep3\Utilities\DownloadLogsFromS3.py --loco 4019 --day 2017-05-07</v>
      </c>
      <c r="AN8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2" t="s">
        <v>688</v>
      </c>
      <c r="B87" s="7">
        <v>4044</v>
      </c>
      <c r="C87" s="21" t="s">
        <v>209</v>
      </c>
      <c r="D87" s="21" t="s">
        <v>395</v>
      </c>
      <c r="E87" s="13">
        <v>42862.53837962963</v>
      </c>
      <c r="F87" s="13">
        <v>42862.541967592595</v>
      </c>
      <c r="G87" s="7">
        <v>1</v>
      </c>
      <c r="H87" s="21" t="s">
        <v>509</v>
      </c>
      <c r="I87" s="13">
        <v>42862.568229166667</v>
      </c>
      <c r="J87" s="7">
        <v>0</v>
      </c>
      <c r="K87" s="92" t="str">
        <f t="shared" si="23"/>
        <v>4043/4044</v>
      </c>
      <c r="L87" s="21" t="str">
        <f>VLOOKUP(A87,'Trips&amp;Operators'!$C$1:$G$99999,5,FALSE)</f>
        <v>DAVIS MICHAEL</v>
      </c>
      <c r="M87" s="6">
        <f t="shared" si="24"/>
        <v>2.626157407212304E-2</v>
      </c>
      <c r="N87" s="7">
        <f t="shared" si="25"/>
        <v>37.816666663857177</v>
      </c>
      <c r="O87" s="7"/>
      <c r="P87" s="7"/>
      <c r="Q87" s="22"/>
      <c r="R87" s="190"/>
      <c r="S87" s="196">
        <f t="shared" si="26"/>
        <v>1</v>
      </c>
      <c r="T87" s="190" t="str">
        <f t="shared" si="27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8"/>
        <v>https://d0f6bd738d7f1b3e5a7ca70fe4ff75f0.us-east-1.aws.found.io/app/kibana#/discover/Steve-Slow-Train-Analysis-(2080s-and-2083s)?_g=(refreshInterval:(display:Off,pause:!f,section:0,value:0),time:(from:'2017-05-07T11:55:16-0600',mode:absolute,to:'2017-05-07T14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7" s="192" t="str">
        <f t="shared" si="29"/>
        <v>N</v>
      </c>
      <c r="X87" s="192">
        <f t="shared" si="30"/>
        <v>1</v>
      </c>
      <c r="Y87" s="192">
        <f t="shared" si="31"/>
        <v>4.4699999999999997E-2</v>
      </c>
      <c r="Z87" s="192">
        <f t="shared" si="32"/>
        <v>23.331199999999999</v>
      </c>
      <c r="AA87" s="192">
        <f t="shared" si="33"/>
        <v>23.2865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4"/>
        <v>0175-07</v>
      </c>
      <c r="AE87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87" s="77" t="str">
        <f t="shared" si="36"/>
        <v>"C:\Program Files (x86)\AstroGrep\AstroGrep.exe" /e /r /s /spath="%USERPROFILE%\AppData\Local\Temp\OnboardLogs" /stypes="app*4044*20170507*" /stext=" 19:.+((SYSTEM_STATE.+slice.+state.+changed )|(ment ac)|(multiple cpu faults)|(system.+state.+changed )|(\[timeout)|(PRM\|1\|D)|(kpr)|(kdp)|(train st.+moving)|(\|lc)|(penalty))"</v>
      </c>
      <c r="AG87" s="1" t="str">
        <f t="shared" si="37"/>
        <v>EC</v>
      </c>
      <c r="AH87" s="81" t="str">
        <f t="shared" si="38"/>
        <v>"%USERPROFILE%\Documents\GitHub\eaglep3\Utilities\RefineRTDCRunTimes.py" --tripid 175-07 --locoid 4044 --swversion DE.1.0.9.0 --startMP 204:447 --initTime 2017-05-07T12:55:16 --startdatetime 2017-05-07T13:00:26 --delay 1 --endMP 204:233312 --enddatetime 2017-05-07T13:38:15 --enforcementcount 0 &gt;&gt;C:\Users\stu\Documents\GitHub\eaglep3-reporting\EC\2017-05-07-refined-times.txt</v>
      </c>
      <c r="AI8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{"issue":{"subject":"","project_id":79,"tracker_id":40,"status_id":1,"priority_id":2,"assigned_to_id":23,"start_date":"2017-05-07","description":"","custom_fields":[{"id":1,"name":"Subdivision","value":"EC"},{"id":4,"name":"Milepost","value":"23.3312"},{"id":17,"name":"Train ID","value":"175-07"},{"id":16,"name":"Locomotive ID","value":"4044"},{"id":130,"name":"Impact","value":""},{"id":150,"name":"Time of Event (Mountain Time)","value":"13:38:15"},{"id":151,"name":"Denver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0"/>
        <v>start /low /b %USERPROFILE%\Documents\GitHub\eaglep3\Utilities\DownloadLogsFromS3.py --loco 4044 --day 2017-05-07</v>
      </c>
      <c r="AN8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2" t="s">
        <v>693</v>
      </c>
      <c r="B88" s="7">
        <v>4043</v>
      </c>
      <c r="C88" s="21" t="s">
        <v>209</v>
      </c>
      <c r="D88" s="21" t="s">
        <v>535</v>
      </c>
      <c r="E88" s="13">
        <v>42862.578032407408</v>
      </c>
      <c r="F88" s="13">
        <v>42862.580879629626</v>
      </c>
      <c r="G88" s="7">
        <v>1</v>
      </c>
      <c r="H88" s="21" t="s">
        <v>198</v>
      </c>
      <c r="I88" s="13">
        <v>42862.609594907408</v>
      </c>
      <c r="J88" s="7">
        <v>0</v>
      </c>
      <c r="K88" s="92" t="str">
        <f t="shared" si="23"/>
        <v>4043/4044</v>
      </c>
      <c r="L88" s="21" t="str">
        <f>VLOOKUP(A88,'Trips&amp;Operators'!$C$1:$G$99999,5,FALSE)</f>
        <v>DAVIS MICHAEL</v>
      </c>
      <c r="M88" s="6">
        <f t="shared" si="24"/>
        <v>2.8715277781884652E-2</v>
      </c>
      <c r="N88" s="7">
        <f t="shared" si="25"/>
        <v>41.350000005913898</v>
      </c>
      <c r="O88" s="7"/>
      <c r="P88" s="7"/>
      <c r="Q88" s="22"/>
      <c r="R88" s="190"/>
      <c r="S88" s="196">
        <f t="shared" si="26"/>
        <v>1</v>
      </c>
      <c r="T88" s="190" t="str">
        <f t="shared" si="27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8"/>
        <v>https://d0f6bd738d7f1b3e5a7ca70fe4ff75f0.us-east-1.aws.found.io/app/kibana#/discover/Steve-Slow-Train-Analysis-(2080s-and-2083s)?_g=(refreshInterval:(display:Off,pause:!f,section:0,value:0),time:(from:'2017-05-07T12:52:22-0600',mode:absolute,to:'2017-05-07T15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192" t="str">
        <f t="shared" si="29"/>
        <v>N</v>
      </c>
      <c r="X88" s="192">
        <f t="shared" si="30"/>
        <v>1</v>
      </c>
      <c r="Y88" s="192">
        <f t="shared" si="31"/>
        <v>23.299800000000001</v>
      </c>
      <c r="Z88" s="192">
        <f t="shared" si="32"/>
        <v>1.5800000000000002E-2</v>
      </c>
      <c r="AA88" s="192">
        <f t="shared" si="33"/>
        <v>23.284000000000002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4"/>
        <v>0176-07</v>
      </c>
      <c r="AE88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88" s="77" t="str">
        <f t="shared" si="36"/>
        <v>"C:\Program Files (x86)\AstroGrep\AstroGrep.exe" /e /r /s /spath="%USERPROFILE%\AppData\Local\Temp\OnboardLogs" /stypes="app*4043*20170507*" /stext=" 20:.+((SYSTEM_STATE.+slice.+state.+changed )|(ment ac)|(multiple cpu faults)|(system.+state.+changed )|(\[timeout)|(PRM\|1\|D)|(kpr)|(kdp)|(train st.+moving)|(\|lc)|(penalty))"</v>
      </c>
      <c r="AG88" s="1" t="str">
        <f t="shared" si="37"/>
        <v>EC</v>
      </c>
      <c r="AH88" s="81" t="str">
        <f t="shared" si="38"/>
        <v>"%USERPROFILE%\Documents\GitHub\eaglep3\Utilities\RefineRTDCRunTimes.py" --tripid 176-07 --locoid 4043 --swversion DE.1.0.9.0 --startMP 204:232998 --initTime 2017-05-07T13:52:22 --startdatetime 2017-05-07T13:56:28 --delay 1 --endMP 204:158 --enddatetime 2017-05-07T14:37:49 --enforcementcount 0 &gt;&gt;C:\Users\stu\Documents\GitHub\eaglep3-reporting\EC\2017-05-07-refined-times.txt</v>
      </c>
      <c r="AI8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{"issue":{"subject":"","project_id":79,"tracker_id":40,"status_id":1,"priority_id":2,"assigned_to_id":23,"start_date":"2017-05-07","description":"","custom_fields":[{"id":1,"name":"Subdivision","value":"EC"},{"id":4,"name":"Milepost","value":"0.0158"},{"id":17,"name":"Train ID","value":"176-07"},{"id":16,"name":"Locomotive ID","value":"4043"},{"id":130,"name":"Impact","value":""},{"id":150,"name":"Time of Event (Mountain Time)","value":"14:37:49"},{"id":151,"name":"Denver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40"/>
        <v>start /low /b %USERPROFILE%\Documents\GitHub\eaglep3\Utilities\DownloadLogsFromS3.py --loco 4043 --day 2017-05-07</v>
      </c>
      <c r="AN8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689</v>
      </c>
      <c r="B89" s="7">
        <v>4052</v>
      </c>
      <c r="C89" s="21" t="s">
        <v>209</v>
      </c>
      <c r="D89" s="21" t="s">
        <v>534</v>
      </c>
      <c r="E89" s="13">
        <v>42862.548101851855</v>
      </c>
      <c r="F89" s="13">
        <v>42862.552245370367</v>
      </c>
      <c r="G89" s="7">
        <v>1</v>
      </c>
      <c r="H89" s="21" t="s">
        <v>827</v>
      </c>
      <c r="I89" s="13">
        <v>42862.577835648146</v>
      </c>
      <c r="J89" s="7">
        <v>0</v>
      </c>
      <c r="K89" s="92" t="str">
        <f t="shared" si="23"/>
        <v>4051/4052</v>
      </c>
      <c r="L89" s="21" t="str">
        <f>VLOOKUP(A89,'Trips&amp;Operators'!$C$1:$G$99999,5,FALSE)</f>
        <v>LEVIN SCOTT</v>
      </c>
      <c r="M89" s="6">
        <f t="shared" si="24"/>
        <v>2.5590277778974269E-2</v>
      </c>
      <c r="N89" s="7">
        <f t="shared" si="25"/>
        <v>36.850000001722947</v>
      </c>
      <c r="O89" s="7"/>
      <c r="P89" s="7"/>
      <c r="Q89" s="22"/>
      <c r="R89" s="190"/>
      <c r="S89" s="196">
        <f t="shared" si="26"/>
        <v>1</v>
      </c>
      <c r="T89" s="190" t="str">
        <f t="shared" si="27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8"/>
        <v>https://d0f6bd738d7f1b3e5a7ca70fe4ff75f0.us-east-1.aws.found.io/app/kibana#/discover/Steve-Slow-Train-Analysis-(2080s-and-2083s)?_g=(refreshInterval:(display:Off,pause:!f,section:0,value:0),time:(from:'2017-05-07T12:09:16-0600',mode:absolute,to:'2017-05-07T14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9" s="192" t="str">
        <f t="shared" si="29"/>
        <v>N</v>
      </c>
      <c r="X89" s="192">
        <f t="shared" si="30"/>
        <v>1</v>
      </c>
      <c r="Y89" s="192">
        <f t="shared" si="31"/>
        <v>4.2900000000000001E-2</v>
      </c>
      <c r="Z89" s="192">
        <f t="shared" si="32"/>
        <v>23.341000000000001</v>
      </c>
      <c r="AA89" s="192">
        <f t="shared" si="33"/>
        <v>23.298100000000002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4"/>
        <v>0177-07</v>
      </c>
      <c r="AE89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89" s="77" t="str">
        <f t="shared" si="36"/>
        <v>"C:\Program Files (x86)\AstroGrep\AstroGrep.exe" /e /r /s /spath="%USERPROFILE%\AppData\Local\Temp\OnboardLogs" /stypes="app*4052*20170507*" /stext=" 19:.+((SYSTEM_STATE.+slice.+state.+changed )|(ment ac)|(multiple cpu faults)|(system.+state.+changed )|(\[timeout)|(PRM\|1\|D)|(kpr)|(kdp)|(train st.+moving)|(\|lc)|(penalty))"</v>
      </c>
      <c r="AG89" s="1" t="str">
        <f t="shared" si="37"/>
        <v>EC</v>
      </c>
      <c r="AH89" s="81" t="str">
        <f t="shared" si="38"/>
        <v>"%USERPROFILE%\Documents\GitHub\eaglep3\Utilities\RefineRTDCRunTimes.py" --tripid 177-07 --locoid 4052 --swversion DE.1.0.9.0 --startMP 204:429 --initTime 2017-05-07T13:09:16 --startdatetime 2017-05-07T13:15:14 --delay 1 --endMP 204:233410 --enddatetime 2017-05-07T13:52:05 --enforcementcount 0 &gt;&gt;C:\Users\stu\Documents\GitHub\eaglep3-reporting\EC\2017-05-07-refined-times.txt</v>
      </c>
      <c r="AI8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{"issue":{"subject":"","project_id":79,"tracker_id":40,"status_id":1,"priority_id":2,"assigned_to_id":23,"start_date":"2017-05-07","description":"","custom_fields":[{"id":1,"name":"Subdivision","value":"EC"},{"id":4,"name":"Milepost","value":"23.341"},{"id":17,"name":"Train ID","value":"177-07"},{"id":16,"name":"Locomotive ID","value":"4052"},{"id":130,"name":"Impact","value":""},{"id":150,"name":"Time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0"/>
        <v>start /low /b %USERPROFILE%\Documents\GitHub\eaglep3\Utilities\DownloadLogsFromS3.py --loco 4052 --day 2017-05-07</v>
      </c>
      <c r="AN8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573</v>
      </c>
      <c r="B90" s="7">
        <v>4051</v>
      </c>
      <c r="C90" s="21" t="s">
        <v>209</v>
      </c>
      <c r="D90" s="21" t="s">
        <v>828</v>
      </c>
      <c r="E90" s="13">
        <v>42862.588784722226</v>
      </c>
      <c r="F90" s="13">
        <v>42862.591215277775</v>
      </c>
      <c r="G90" s="7">
        <v>1</v>
      </c>
      <c r="H90" s="21" t="s">
        <v>542</v>
      </c>
      <c r="I90" s="13">
        <v>42862.61922453704</v>
      </c>
      <c r="J90" s="7">
        <v>0</v>
      </c>
      <c r="K90" s="92" t="str">
        <f t="shared" si="23"/>
        <v>4051/4052</v>
      </c>
      <c r="L90" s="21" t="str">
        <f>VLOOKUP(A90,'Trips&amp;Operators'!$C$1:$G$99999,5,FALSE)</f>
        <v>LEVIN SCOTT</v>
      </c>
      <c r="M90" s="6">
        <f t="shared" si="24"/>
        <v>2.8009259265672881E-2</v>
      </c>
      <c r="N90" s="7">
        <f t="shared" si="25"/>
        <v>40.333333342568949</v>
      </c>
      <c r="O90" s="7"/>
      <c r="P90" s="7"/>
      <c r="Q90" s="22"/>
      <c r="R90" s="190"/>
      <c r="S90" s="196">
        <f t="shared" si="26"/>
        <v>1</v>
      </c>
      <c r="T90" s="190" t="str">
        <f t="shared" si="27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8"/>
        <v>https://d0f6bd738d7f1b3e5a7ca70fe4ff75f0.us-east-1.aws.found.io/app/kibana#/discover/Steve-Slow-Train-Analysis-(2080s-and-2083s)?_g=(refreshInterval:(display:Off,pause:!f,section:0,value:0),time:(from:'2017-05-07T13:07:51-0600',mode:absolute,to:'2017-05-07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0" s="192" t="str">
        <f t="shared" si="29"/>
        <v>N</v>
      </c>
      <c r="X90" s="192">
        <f t="shared" si="30"/>
        <v>1</v>
      </c>
      <c r="Y90" s="192">
        <f t="shared" si="31"/>
        <v>23.310600000000001</v>
      </c>
      <c r="Z90" s="192">
        <f t="shared" si="32"/>
        <v>1.32E-2</v>
      </c>
      <c r="AA90" s="192">
        <f t="shared" si="33"/>
        <v>23.2974</v>
      </c>
      <c r="AB90" s="57" t="str">
        <f>VLOOKUP(A90,Enforcements!$C$7:$K$13,8,0)</f>
        <v>Bulletin (2)</v>
      </c>
      <c r="AC90" s="53" t="str">
        <f>VLOOKUP(A90,Enforcements!$C$7:$E$13,3,0)</f>
        <v>GRADE CROSSING</v>
      </c>
      <c r="AD90" s="54" t="str">
        <f t="shared" si="34"/>
        <v>0178-07</v>
      </c>
      <c r="AE90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90" s="77" t="str">
        <f t="shared" si="36"/>
        <v>"C:\Program Files (x86)\AstroGrep\AstroGrep.exe" /e /r /s /spath="%USERPROFILE%\AppData\Local\Temp\OnboardLogs" /stypes="app*4051*20170507*" /stext=" 20:.+((SYSTEM_STATE.+slice.+state.+changed )|(ment ac)|(multiple cpu faults)|(system.+state.+changed )|(\[timeout)|(PRM\|1\|D)|(kpr)|(kdp)|(train st.+moving)|(\|lc)|(penalty))"</v>
      </c>
      <c r="AG90" s="1" t="str">
        <f t="shared" si="37"/>
        <v>EC</v>
      </c>
      <c r="AH90" s="81" t="str">
        <f t="shared" si="38"/>
        <v>"%USERPROFILE%\Documents\GitHub\eaglep3\Utilities\RefineRTDCRunTimes.py" --tripid 178-07 --locoid 4051 --swversion DE.1.0.9.0 --startMP 204:233106 --initTime 2017-05-07T14:07:51 --startdatetime 2017-05-07T14:11:21 --delay 1 --endMP 204:132 --enddatetime 2017-05-07T14:51:41 --enforcementcount 0 &gt;&gt;C:\Users\stu\Documents\GitHub\eaglep3-reporting\EC\2017-05-07-refined-times.txt</v>
      </c>
      <c r="AI9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{"issue":{"subject":"","project_id":79,"tracker_id":40,"status_id":1,"priority_id":2,"assigned_to_id":23,"start_date":"2017-05-07","description":"","custom_fields":[{"id":1,"name":"Subdivision","value":"EC"},{"id":4,"name":"Milepost","value":"0.0132"},{"id":17,"name":"Train ID","value":"178-07"},{"id":16,"name":"Locomotive ID","value":"4051"},{"id":130,"name":"Impact","value":""},{"id":150,"name":"Time of Event (Mountain Time)","value":"14:51:41"},{"id":151,"name":"Denver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0"/>
        <v>start /low /b %USERPROFILE%\Documents\GitHub\eaglep3\Utilities\DownloadLogsFromS3.py --loco 4051 --day 2017-05-07</v>
      </c>
      <c r="AN9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690</v>
      </c>
      <c r="B91" s="7">
        <v>4026</v>
      </c>
      <c r="C91" s="21" t="s">
        <v>209</v>
      </c>
      <c r="D91" s="21" t="s">
        <v>356</v>
      </c>
      <c r="E91" s="13">
        <v>42862.558761574073</v>
      </c>
      <c r="F91" s="13">
        <v>42862.562708333331</v>
      </c>
      <c r="G91" s="7">
        <v>1</v>
      </c>
      <c r="H91" s="21" t="s">
        <v>829</v>
      </c>
      <c r="I91" s="13">
        <v>42862.587812500002</v>
      </c>
      <c r="J91" s="7">
        <v>0</v>
      </c>
      <c r="K91" s="92" t="str">
        <f t="shared" si="23"/>
        <v>4025/4026</v>
      </c>
      <c r="L91" s="21" t="str">
        <f>VLOOKUP(A91,'Trips&amp;Operators'!$C$1:$G$99999,5,FALSE)</f>
        <v>SAFIEF AEIMEN</v>
      </c>
      <c r="M91" s="6">
        <f t="shared" si="24"/>
        <v>2.510416667064419E-2</v>
      </c>
      <c r="N91" s="7">
        <f t="shared" si="25"/>
        <v>36.150000005727634</v>
      </c>
      <c r="O91" s="7"/>
      <c r="P91" s="7"/>
      <c r="Q91" s="22"/>
      <c r="R91" s="190"/>
      <c r="S91" s="196">
        <f t="shared" si="26"/>
        <v>1</v>
      </c>
      <c r="T91" s="190" t="str">
        <f t="shared" si="27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8"/>
        <v>https://d0f6bd738d7f1b3e5a7ca70fe4ff75f0.us-east-1.aws.found.io/app/kibana#/discover/Steve-Slow-Train-Analysis-(2080s-and-2083s)?_g=(refreshInterval:(display:Off,pause:!f,section:0,value:0),time:(from:'2017-05-07T12:24:37-0600',mode:absolute,to:'2017-05-07T15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1" s="192" t="str">
        <f t="shared" si="29"/>
        <v>N</v>
      </c>
      <c r="X91" s="192">
        <f t="shared" si="30"/>
        <v>1</v>
      </c>
      <c r="Y91" s="192">
        <f t="shared" si="31"/>
        <v>4.4900000000000002E-2</v>
      </c>
      <c r="Z91" s="192">
        <f t="shared" si="32"/>
        <v>23.340699999999998</v>
      </c>
      <c r="AA91" s="192">
        <f t="shared" si="33"/>
        <v>23.2958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4"/>
        <v>0179-07</v>
      </c>
      <c r="AE91" s="80" t="str">
        <f t="shared" si="3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91" s="77" t="str">
        <f t="shared" si="36"/>
        <v>"C:\Program Files (x86)\AstroGrep\AstroGrep.exe" /e /r /s /spath="%USERPROFILE%\AppData\Local\Temp\OnboardLogs" /stypes="app*4026*20170507*" /stext=" 20:.+((SYSTEM_STATE.+slice.+state.+changed )|(ment ac)|(multiple cpu faults)|(system.+state.+changed )|(\[timeout)|(PRM\|1\|D)|(kpr)|(kdp)|(train st.+moving)|(\|lc)|(penalty))"</v>
      </c>
      <c r="AG91" s="1" t="str">
        <f t="shared" si="37"/>
        <v>EC</v>
      </c>
      <c r="AH91" s="81" t="str">
        <f t="shared" si="38"/>
        <v>"%USERPROFILE%\Documents\GitHub\eaglep3\Utilities\RefineRTDCRunTimes.py" --tripid 179-07 --locoid 4026 --swversion DE.1.0.9.0 --startMP 204:449 --initTime 2017-05-07T13:24:37 --startdatetime 2017-05-07T13:30:18 --delay 1 --endMP 204:233407 --enddatetime 2017-05-07T14:06:27 --enforcementcount 0 &gt;&gt;C:\Users\stu\Documents\GitHub\eaglep3-reporting\EC\2017-05-07-refined-times.txt</v>
      </c>
      <c r="AI9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{"issue":{"subject":"","project_id":79,"tracker_id":40,"status_id":1,"priority_id":2,"assigned_to_id":23,"start_date":"2017-05-07","description":"","custom_fields":[{"id":1,"name":"Subdivision","value":"EC"},{"id":4,"name":"Milepost","value":"23.3407"},{"id":17,"name":"Train ID","value":"179-07"},{"id":16,"name":"Locomotive ID","value":"4026"},{"id":130,"name":"Impact","value":""},{"id":150,"name":"Time of Event (Mountain Time)","value":"14:06:27"},{"id":151,"name":"Denver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40"/>
        <v>start /low /b %USERPROFILE%\Documents\GitHub\eaglep3\Utilities\DownloadLogsFromS3.py --loco 4026 --day 2017-05-07</v>
      </c>
      <c r="AN9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2" spans="1:91" s="1" customFormat="1" x14ac:dyDescent="0.25">
      <c r="A92" s="32" t="s">
        <v>694</v>
      </c>
      <c r="B92" s="7">
        <v>4025</v>
      </c>
      <c r="C92" s="21" t="s">
        <v>209</v>
      </c>
      <c r="D92" s="21" t="s">
        <v>830</v>
      </c>
      <c r="E92" s="13">
        <v>42862.58971064815</v>
      </c>
      <c r="F92" s="13">
        <v>42862.601909722223</v>
      </c>
      <c r="G92" s="7">
        <v>1</v>
      </c>
      <c r="H92" s="21" t="s">
        <v>396</v>
      </c>
      <c r="I92" s="13">
        <v>42862.628854166665</v>
      </c>
      <c r="J92" s="7">
        <v>0</v>
      </c>
      <c r="K92" s="92" t="str">
        <f t="shared" si="23"/>
        <v>4025/4026</v>
      </c>
      <c r="L92" s="21" t="str">
        <f>VLOOKUP(A92,'Trips&amp;Operators'!$C$1:$G$99999,5,FALSE)</f>
        <v>SAFIEF AEIMEN</v>
      </c>
      <c r="M92" s="6">
        <f t="shared" si="24"/>
        <v>2.6944444442051463E-2</v>
      </c>
      <c r="N92" s="7">
        <f t="shared" si="25"/>
        <v>38.799999996554106</v>
      </c>
      <c r="O92" s="7"/>
      <c r="P92" s="7"/>
      <c r="Q92" s="22"/>
      <c r="R92" s="190"/>
      <c r="S92" s="196">
        <f t="shared" si="26"/>
        <v>1</v>
      </c>
      <c r="T92" s="190" t="str">
        <f t="shared" si="27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8"/>
        <v>https://d0f6bd738d7f1b3e5a7ca70fe4ff75f0.us-east-1.aws.found.io/app/kibana#/discover/Steve-Slow-Train-Analysis-(2080s-and-2083s)?_g=(refreshInterval:(display:Off,pause:!f,section:0,value:0),time:(from:'2017-05-07T13:09:11-0600',mode:absolute,to:'2017-05-07T16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2" s="192" t="str">
        <f t="shared" si="29"/>
        <v>N</v>
      </c>
      <c r="X92" s="192">
        <f t="shared" si="30"/>
        <v>1</v>
      </c>
      <c r="Y92" s="192">
        <f t="shared" si="31"/>
        <v>23.3078</v>
      </c>
      <c r="Z92" s="192">
        <f t="shared" si="32"/>
        <v>1.3899999999999999E-2</v>
      </c>
      <c r="AA92" s="192">
        <f t="shared" si="33"/>
        <v>23.293900000000001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4"/>
        <v>0180-07</v>
      </c>
      <c r="AE92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92" s="77" t="str">
        <f t="shared" si="36"/>
        <v>"C:\Program Files (x86)\AstroGrep\AstroGrep.exe" /e /r /s /spath="%USERPROFILE%\AppData\Local\Temp\OnboardLogs" /stypes="app*4025*20170507*" /stext=" 21:.+((SYSTEM_STATE.+slice.+state.+changed )|(ment ac)|(multiple cpu faults)|(system.+state.+changed )|(\[timeout)|(PRM\|1\|D)|(kpr)|(kdp)|(train st.+moving)|(\|lc)|(penalty))"</v>
      </c>
      <c r="AG92" s="1" t="str">
        <f t="shared" si="37"/>
        <v>EC</v>
      </c>
      <c r="AH92" s="81" t="str">
        <f t="shared" si="38"/>
        <v>"%USERPROFILE%\Documents\GitHub\eaglep3\Utilities\RefineRTDCRunTimes.py" --tripid 180-07 --locoid 4025 --swversion DE.1.0.9.0 --startMP 204:233078 --initTime 2017-05-07T14:09:11 --startdatetime 2017-05-07T14:26:45 --delay 1 --endMP 204:139 --enddatetime 2017-05-07T15:05:33 --enforcementcount 0 &gt;&gt;C:\Users\stu\Documents\GitHub\eaglep3-reporting\EC\2017-05-07-refined-times.txt</v>
      </c>
      <c r="AI9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{"issue":{"subject":"","project_id":79,"tracker_id":40,"status_id":1,"priority_id":2,"assigned_to_id":23,"start_date":"2017-05-07","description":"","custom_fields":[{"id":1,"name":"Subdivision","value":"EC"},{"id":4,"name":"Milepost","value":"0.0139"},{"id":17,"name":"Train ID","value":"180-07"},{"id":16,"name":"Locomotive ID","value":"4025"},{"id":130,"name":"Impact","value":""},{"id":150,"name":"Time of Event (Mountain Time)","value":"15:05:33"},{"id":151,"name":"Denver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40"/>
        <v>start /low /b %USERPROFILE%\Documents\GitHub\eaglep3\Utilities\DownloadLogsFromS3.py --loco 4025 --day 2017-05-07</v>
      </c>
      <c r="AN9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692</v>
      </c>
      <c r="B93" s="7">
        <v>4028</v>
      </c>
      <c r="C93" s="21" t="s">
        <v>209</v>
      </c>
      <c r="D93" s="21" t="s">
        <v>451</v>
      </c>
      <c r="E93" s="13">
        <v>42862.569166666668</v>
      </c>
      <c r="F93" s="13">
        <v>42862.573310185187</v>
      </c>
      <c r="G93" s="7">
        <v>0</v>
      </c>
      <c r="H93" s="21" t="s">
        <v>846</v>
      </c>
      <c r="I93" s="13">
        <v>42862.598726851851</v>
      </c>
      <c r="J93" s="7">
        <v>0</v>
      </c>
      <c r="K93" s="92" t="str">
        <f t="shared" si="23"/>
        <v>4027/4028</v>
      </c>
      <c r="L93" s="21" t="str">
        <f>VLOOKUP(A93,'Trips&amp;Operators'!$C$1:$G$99999,5,FALSE)</f>
        <v>LALONDE GREGORY</v>
      </c>
      <c r="M93" s="6">
        <f t="shared" si="24"/>
        <v>2.5416666663659271E-2</v>
      </c>
      <c r="N93" s="7">
        <f t="shared" si="25"/>
        <v>36.59999999566935</v>
      </c>
      <c r="O93" s="7"/>
      <c r="P93" s="7"/>
      <c r="Q93" s="22"/>
      <c r="R93" s="190"/>
      <c r="S93" s="196">
        <f t="shared" si="26"/>
        <v>1</v>
      </c>
      <c r="T93" s="190" t="str">
        <f t="shared" si="27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8"/>
        <v>https://d0f6bd738d7f1b3e5a7ca70fe4ff75f0.us-east-1.aws.found.io/app/kibana#/discover/Steve-Slow-Train-Analysis-(2080s-and-2083s)?_g=(refreshInterval:(display:Off,pause:!f,section:0,value:0),time:(from:'2017-05-07T12:39:36-0600',mode:absolute,to:'2017-05-07T15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3" s="192" t="str">
        <f t="shared" si="29"/>
        <v>N</v>
      </c>
      <c r="X93" s="192">
        <f t="shared" si="30"/>
        <v>1</v>
      </c>
      <c r="Y93" s="192">
        <f t="shared" si="31"/>
        <v>4.3799999999999999E-2</v>
      </c>
      <c r="Z93" s="192">
        <f t="shared" si="32"/>
        <v>23.336300000000001</v>
      </c>
      <c r="AA93" s="192">
        <f t="shared" si="33"/>
        <v>23.2925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4"/>
        <v>0181-07</v>
      </c>
      <c r="AE93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93" s="77" t="str">
        <f t="shared" si="36"/>
        <v>"C:\Program Files (x86)\AstroGrep\AstroGrep.exe" /e /r /s /spath="%USERPROFILE%\AppData\Local\Temp\OnboardLogs" /stypes="app*4028*20170507*" /stext=" 20:.+((SYSTEM_STATE.+slice.+state.+changed )|(ment ac)|(multiple cpu faults)|(system.+state.+changed )|(\[timeout)|(PRM\|1\|D)|(kpr)|(kdp)|(train st.+moving)|(\|lc)|(penalty))"</v>
      </c>
      <c r="AG93" s="1" t="str">
        <f t="shared" si="37"/>
        <v>EC</v>
      </c>
      <c r="AH93" s="81" t="str">
        <f t="shared" si="38"/>
        <v>"%USERPROFILE%\Documents\GitHub\eaglep3\Utilities\RefineRTDCRunTimes.py" --tripid 181-07 --locoid 4028 --swversion DE.1.0.9.0 --startMP 204:438 --initTime 2017-05-07T13:39:36 --startdatetime 2017-05-07T13:45:34 --delay 0 --endMP 204:233363 --enddatetime 2017-05-07T14:22:10 --enforcementcount 0 &gt;&gt;C:\Users\stu\Documents\GitHub\eaglep3-reporting\EC\2017-05-07-refined-times.txt</v>
      </c>
      <c r="AI9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{"issue":{"subject":"","project_id":79,"tracker_id":40,"status_id":1,"priority_id":2,"assigned_to_id":23,"start_date":"2017-05-07","description":"","custom_fields":[{"id":1,"name":"Subdivision","value":"EC"},{"id":4,"name":"Milepost","value":"23.3363"},{"id":17,"name":"Train ID","value":"181-07"},{"id":16,"name":"Locomotive ID","value":"4028"},{"id":130,"name":"Impact","value":""},{"id":150,"name":"Time of Event (Mountain Time)","value":"14:22:10"},{"id":151,"name":"Denver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40"/>
        <v>start /low /b %USERPROFILE%\Documents\GitHub\eaglep3\Utilities\DownloadLogsFromS3.py --loco 4028 --day 2017-05-07</v>
      </c>
      <c r="AN9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698</v>
      </c>
      <c r="B94" s="7">
        <v>4027</v>
      </c>
      <c r="C94" s="21" t="s">
        <v>209</v>
      </c>
      <c r="D94" s="21" t="s">
        <v>859</v>
      </c>
      <c r="E94" s="13">
        <v>42862.603622685187</v>
      </c>
      <c r="F94" s="13">
        <v>42862.611944444441</v>
      </c>
      <c r="G94" s="7">
        <v>3</v>
      </c>
      <c r="H94" s="21" t="s">
        <v>400</v>
      </c>
      <c r="I94" s="13">
        <v>42862.638379629629</v>
      </c>
      <c r="J94" s="7">
        <v>0</v>
      </c>
      <c r="K94" s="92" t="str">
        <f t="shared" si="23"/>
        <v>4027/4028</v>
      </c>
      <c r="L94" s="21" t="str">
        <f>VLOOKUP(A94,'Trips&amp;Operators'!$C$1:$G$99999,5,FALSE)</f>
        <v>LALONDE GREGORY</v>
      </c>
      <c r="M94" s="6">
        <f t="shared" si="24"/>
        <v>2.6435185187438037E-2</v>
      </c>
      <c r="N94" s="7">
        <f t="shared" si="25"/>
        <v>38.066666669910774</v>
      </c>
      <c r="O94" s="7"/>
      <c r="P94" s="7"/>
      <c r="Q94" s="22"/>
      <c r="R94" s="190"/>
      <c r="S94" s="196">
        <f t="shared" si="26"/>
        <v>1</v>
      </c>
      <c r="T94" s="190" t="str">
        <f t="shared" si="27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8"/>
        <v>https://d0f6bd738d7f1b3e5a7ca70fe4ff75f0.us-east-1.aws.found.io/app/kibana#/discover/Steve-Slow-Train-Analysis-(2080s-and-2083s)?_g=(refreshInterval:(display:Off,pause:!f,section:0,value:0),time:(from:'2017-05-07T13:29:13-0600',mode:absolute,to:'2017-05-07T16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4" s="192" t="str">
        <f t="shared" si="29"/>
        <v>N</v>
      </c>
      <c r="X94" s="192">
        <f t="shared" si="30"/>
        <v>1</v>
      </c>
      <c r="Y94" s="192">
        <f t="shared" si="31"/>
        <v>23.302099999999999</v>
      </c>
      <c r="Z94" s="192">
        <f t="shared" si="32"/>
        <v>1.41E-2</v>
      </c>
      <c r="AA94" s="192">
        <f t="shared" si="33"/>
        <v>23.288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4"/>
        <v>0182-07</v>
      </c>
      <c r="AE94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94" s="77" t="str">
        <f t="shared" si="36"/>
        <v>"C:\Program Files (x86)\AstroGrep\AstroGrep.exe" /e /r /s /spath="%USERPROFILE%\AppData\Local\Temp\OnboardLogs" /stypes="app*4027*20170507*" /stext=" 21:.+((SYSTEM_STATE.+slice.+state.+changed )|(ment ac)|(multiple cpu faults)|(system.+state.+changed )|(\[timeout)|(PRM\|1\|D)|(kpr)|(kdp)|(train st.+moving)|(\|lc)|(penalty))"</v>
      </c>
      <c r="AG94" s="1" t="str">
        <f t="shared" si="37"/>
        <v>EC</v>
      </c>
      <c r="AH94" s="81" t="str">
        <f t="shared" si="38"/>
        <v>"%USERPROFILE%\Documents\GitHub\eaglep3\Utilities\RefineRTDCRunTimes.py" --tripid 182-07 --locoid 4027 --swversion DE.1.0.9.0 --startMP 204:233021 --initTime 2017-05-07T14:29:13 --startdatetime 2017-05-07T14:41:12 --delay 3 --endMP 204:141 --enddatetime 2017-05-07T15:19:16 --enforcementcount 0 &gt;&gt;C:\Users\stu\Documents\GitHub\eaglep3-reporting\EC\2017-05-07-refined-times.txt</v>
      </c>
      <c r="AI9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{"issue":{"subject":"","project_id":79,"tracker_id":40,"status_id":1,"priority_id":2,"assigned_to_id":23,"start_date":"2017-05-07","description":"","custom_fields":[{"id":1,"name":"Subdivision","value":"EC"},{"id":4,"name":"Milepost","value":"0.0141"},{"id":17,"name":"Train ID","value":"182-07"},{"id":16,"name":"Locomotive ID","value":"4027"},{"id":130,"name":"Impact","value":""},{"id":150,"name":"Time of Event (Mountain Time)","value":"15:19:16"},{"id":151,"name":"Denver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0"/>
        <v>start /low /b %USERPROFILE%\Documents\GitHub\eaglep3\Utilities\DownloadLogsFromS3.py --loco 4027 --day 2017-05-07</v>
      </c>
      <c r="AN9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572</v>
      </c>
      <c r="B95" s="7">
        <v>4012</v>
      </c>
      <c r="C95" s="21" t="s">
        <v>209</v>
      </c>
      <c r="D95" s="21" t="s">
        <v>451</v>
      </c>
      <c r="E95" s="13">
        <v>42862.579351851855</v>
      </c>
      <c r="F95" s="13">
        <v>42862.583472222221</v>
      </c>
      <c r="G95" s="7">
        <v>1</v>
      </c>
      <c r="H95" s="21" t="s">
        <v>517</v>
      </c>
      <c r="I95" s="13">
        <v>42862.609259259261</v>
      </c>
      <c r="J95" s="7">
        <v>0</v>
      </c>
      <c r="K95" s="92" t="str">
        <f t="shared" si="23"/>
        <v>4011/4012</v>
      </c>
      <c r="L95" s="21" t="str">
        <f>VLOOKUP(A95,'Trips&amp;Operators'!$C$1:$G$99999,5,FALSE)</f>
        <v>ROMERO CHAD</v>
      </c>
      <c r="M95" s="6">
        <f t="shared" si="24"/>
        <v>2.5787037040572613E-2</v>
      </c>
      <c r="N95" s="7">
        <f t="shared" si="25"/>
        <v>37.133333338424563</v>
      </c>
      <c r="O95" s="7"/>
      <c r="P95" s="7"/>
      <c r="Q95" s="22"/>
      <c r="R95" s="190"/>
      <c r="S95" s="196">
        <f t="shared" si="26"/>
        <v>1</v>
      </c>
      <c r="T95" s="190" t="str">
        <f t="shared" si="27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8"/>
        <v>https://d0f6bd738d7f1b3e5a7ca70fe4ff75f0.us-east-1.aws.found.io/app/kibana#/discover/Steve-Slow-Train-Analysis-(2080s-and-2083s)?_g=(refreshInterval:(display:Off,pause:!f,section:0,value:0),time:(from:'2017-05-07T12:54:16-0600',mode:absolute,to:'2017-05-07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5" s="192" t="str">
        <f t="shared" si="29"/>
        <v>N</v>
      </c>
      <c r="X95" s="192">
        <f t="shared" si="30"/>
        <v>1</v>
      </c>
      <c r="Y95" s="192">
        <f t="shared" si="31"/>
        <v>4.3799999999999999E-2</v>
      </c>
      <c r="Z95" s="192">
        <f t="shared" si="32"/>
        <v>23.338000000000001</v>
      </c>
      <c r="AA95" s="192">
        <f t="shared" si="33"/>
        <v>23.2942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4"/>
        <v>0183-07</v>
      </c>
      <c r="AE95" s="80" t="str">
        <f t="shared" si="35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95" s="77" t="str">
        <f t="shared" si="36"/>
        <v>"C:\Program Files (x86)\AstroGrep\AstroGrep.exe" /e /r /s /spath="%USERPROFILE%\AppData\Local\Temp\OnboardLogs" /stypes="app*4012*20170507*" /stext=" 20:.+((SYSTEM_STATE.+slice.+state.+changed )|(ment ac)|(multiple cpu faults)|(system.+state.+changed )|(\[timeout)|(PRM\|1\|D)|(kpr)|(kdp)|(train st.+moving)|(\|lc)|(penalty))"</v>
      </c>
      <c r="AG95" s="1" t="str">
        <f t="shared" si="37"/>
        <v>EC</v>
      </c>
      <c r="AH95" s="81" t="str">
        <f t="shared" si="38"/>
        <v>"%USERPROFILE%\Documents\GitHub\eaglep3\Utilities\RefineRTDCRunTimes.py" --tripid 183-07 --locoid 4012 --swversion DE.1.0.9.0 --startMP 204:438 --initTime 2017-05-07T13:54:16 --startdatetime 2017-05-07T14:00:12 --delay 1 --endMP 204:233380 --enddatetime 2017-05-07T14:37:20 --enforcementcount 0 &gt;&gt;C:\Users\stu\Documents\GitHub\eaglep3-reporting\EC\2017-05-07-refined-times.txt</v>
      </c>
      <c r="AI9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{"issue":{"subject":"","project_id":79,"tracker_id":40,"status_id":1,"priority_id":2,"assigned_to_id":23,"start_date":"2017-05-07","description":"","custom_fields":[{"id":1,"name":"Subdivision","value":"EC"},{"id":4,"name":"Milepost","value":"23.338"},{"id":17,"name":"Train ID","value":"183-07"},{"id":16,"name":"Locomotive ID","value":"4012"},{"id":130,"name":"Impact","value":""},{"id":150,"name":"Time of Event (Mountain Time)","value":"14:37:20"},{"id":151,"name":"Denver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0"/>
        <v>start /low /b %USERPROFILE%\Documents\GitHub\eaglep3\Utilities\DownloadLogsFromS3.py --loco 4012 --day 2017-05-07</v>
      </c>
      <c r="AN9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700</v>
      </c>
      <c r="B96" s="7">
        <v>4011</v>
      </c>
      <c r="C96" s="21" t="s">
        <v>209</v>
      </c>
      <c r="D96" s="21" t="s">
        <v>822</v>
      </c>
      <c r="E96" s="13">
        <v>42862.610648148147</v>
      </c>
      <c r="F96" s="13">
        <v>42862.622430555559</v>
      </c>
      <c r="G96" s="7">
        <v>1</v>
      </c>
      <c r="H96" s="21" t="s">
        <v>874</v>
      </c>
      <c r="I96" s="13">
        <v>42862.649317129632</v>
      </c>
      <c r="J96" s="7">
        <v>0</v>
      </c>
      <c r="K96" s="92" t="str">
        <f t="shared" si="23"/>
        <v>4011/4012</v>
      </c>
      <c r="L96" s="21" t="str">
        <f>VLOOKUP(A96,'Trips&amp;Operators'!$C$1:$G$99999,5,FALSE)</f>
        <v>ROMERO CHAD</v>
      </c>
      <c r="M96" s="6">
        <f t="shared" si="24"/>
        <v>2.6886574072705116E-2</v>
      </c>
      <c r="N96" s="7">
        <f t="shared" si="25"/>
        <v>38.716666664695367</v>
      </c>
      <c r="O96" s="7"/>
      <c r="P96" s="7"/>
      <c r="Q96" s="22"/>
      <c r="R96" s="190"/>
      <c r="S96" s="196">
        <f t="shared" si="26"/>
        <v>1</v>
      </c>
      <c r="T96" s="190" t="str">
        <f t="shared" si="27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8"/>
        <v>https://d0f6bd738d7f1b3e5a7ca70fe4ff75f0.us-east-1.aws.found.io/app/kibana#/discover/Steve-Slow-Train-Analysis-(2080s-and-2083s)?_g=(refreshInterval:(display:Off,pause:!f,section:0,value:0),time:(from:'2017-05-07T13:39:20-0600',mode:absolute,to:'2017-05-07T16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6" s="192" t="str">
        <f t="shared" si="29"/>
        <v>N</v>
      </c>
      <c r="X96" s="192">
        <f t="shared" si="30"/>
        <v>1</v>
      </c>
      <c r="Y96" s="192">
        <f t="shared" si="31"/>
        <v>23.304200000000002</v>
      </c>
      <c r="Z96" s="192">
        <f t="shared" si="32"/>
        <v>1.0699999999999999E-2</v>
      </c>
      <c r="AA96" s="192">
        <f t="shared" si="33"/>
        <v>23.293500000000002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4"/>
        <v>0184-07</v>
      </c>
      <c r="AE96" s="80" t="str">
        <f t="shared" si="35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96" s="77" t="str">
        <f t="shared" si="36"/>
        <v>"C:\Program Files (x86)\AstroGrep\AstroGrep.exe" /e /r /s /spath="%USERPROFILE%\AppData\Local\Temp\OnboardLogs" /stypes="app*4011*20170507*" /stext=" 21:.+((SYSTEM_STATE.+slice.+state.+changed )|(ment ac)|(multiple cpu faults)|(system.+state.+changed )|(\[timeout)|(PRM\|1\|D)|(kpr)|(kdp)|(train st.+moving)|(\|lc)|(penalty))"</v>
      </c>
      <c r="AG96" s="1" t="str">
        <f t="shared" si="37"/>
        <v>EC</v>
      </c>
      <c r="AH96" s="81" t="str">
        <f t="shared" si="38"/>
        <v>"%USERPROFILE%\Documents\GitHub\eaglep3\Utilities\RefineRTDCRunTimes.py" --tripid 184-07 --locoid 4011 --swversion DE.1.0.9.0 --startMP 204:233042 --initTime 2017-05-07T14:39:20 --startdatetime 2017-05-07T14:56:18 --delay 1 --endMP 204:107 --enddatetime 2017-05-07T15:35:01 --enforcementcount 0 &gt;&gt;C:\Users\stu\Documents\GitHub\eaglep3-reporting\EC\2017-05-07-refined-times.txt</v>
      </c>
      <c r="AI9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{"issue":{"subject":"","project_id":79,"tracker_id":40,"status_id":1,"priority_id":2,"assigned_to_id":23,"start_date":"2017-05-07","description":"","custom_fields":[{"id":1,"name":"Subdivision","value":"EC"},{"id":4,"name":"Milepost","value":"0.0107"},{"id":17,"name":"Train ID","value":"184-07"},{"id":16,"name":"Locomotive ID","value":"4011"},{"id":130,"name":"Impact","value":""},{"id":150,"name":"Time of Event (Mountain Time)","value":"15:35:01"},{"id":151,"name":"Denver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0"/>
        <v>start /low /b %USERPROFILE%\Documents\GitHub\eaglep3\Utilities\DownloadLogsFromS3.py --loco 4011 --day 2017-05-07</v>
      </c>
      <c r="AN9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695</v>
      </c>
      <c r="B97" s="7">
        <v>4006</v>
      </c>
      <c r="C97" s="21" t="s">
        <v>209</v>
      </c>
      <c r="D97" s="21" t="s">
        <v>377</v>
      </c>
      <c r="E97" s="13">
        <v>42862.590868055559</v>
      </c>
      <c r="F97" s="13">
        <v>42862.710196759261</v>
      </c>
      <c r="G97" s="7">
        <v>1</v>
      </c>
      <c r="H97" s="21" t="s">
        <v>393</v>
      </c>
      <c r="I97" s="13">
        <v>42862.710347222222</v>
      </c>
      <c r="J97" s="7">
        <v>0</v>
      </c>
      <c r="K97" s="92" t="str">
        <f t="shared" si="23"/>
        <v>4005/4006</v>
      </c>
      <c r="L97" s="21" t="str">
        <f>VLOOKUP(A97,'Trips&amp;Operators'!$C$1:$G$99999,5,FALSE)</f>
        <v>BRANDNER MELINDA</v>
      </c>
      <c r="M97" s="6">
        <f t="shared" si="24"/>
        <v>1.5046296175569296E-4</v>
      </c>
      <c r="N97" s="7"/>
      <c r="O97" s="7"/>
      <c r="P97" s="7">
        <v>1</v>
      </c>
      <c r="Q97" s="22"/>
      <c r="R97" s="190" t="s">
        <v>969</v>
      </c>
      <c r="S97" s="196">
        <f t="shared" si="26"/>
        <v>0</v>
      </c>
      <c r="T97" s="190" t="str">
        <f t="shared" si="27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0</v>
      </c>
      <c r="V97" s="191" t="str">
        <f t="shared" si="28"/>
        <v>https://d0f6bd738d7f1b3e5a7ca70fe4ff75f0.us-east-1.aws.found.io/app/kibana#/discover/Steve-Slow-Train-Analysis-(2080s-and-2083s)?_g=(refreshInterval:(display:Off,pause:!f,section:0,value:0),time:(from:'2017-05-07T13:10:51-0600',mode:absolute,to:'2017-05-07T18:02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192" t="str">
        <f t="shared" si="29"/>
        <v>Y</v>
      </c>
      <c r="X97" s="192">
        <f t="shared" si="30"/>
        <v>1</v>
      </c>
      <c r="Y97" s="192">
        <f t="shared" si="31"/>
        <v>4.5100000000000001E-2</v>
      </c>
      <c r="Z97" s="192">
        <f t="shared" si="32"/>
        <v>4.4400000000000002E-2</v>
      </c>
      <c r="AA97" s="192">
        <f t="shared" si="33"/>
        <v>6.9999999999999923E-4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4"/>
        <v>0185-07</v>
      </c>
      <c r="AE97" s="80" t="str">
        <f t="shared" si="3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97" s="77" t="str">
        <f t="shared" si="36"/>
        <v>"C:\Program Files (x86)\AstroGrep\AstroGrep.exe" /e /r /s /spath="%USERPROFILE%\AppData\Local\Temp\OnboardLogs" /stypes="app*4006*20170507*" /stext=" 23:.+((SYSTEM_STATE.+slice.+state.+changed )|(ment ac)|(multiple cpu faults)|(system.+state.+changed )|(\[timeout)|(PRM\|1\|D)|(kpr)|(kdp)|(train st.+moving)|(\|lc)|(penalty))"</v>
      </c>
      <c r="AG97" s="1" t="str">
        <f t="shared" si="37"/>
        <v>EC</v>
      </c>
      <c r="AH97" s="81" t="str">
        <f t="shared" si="38"/>
        <v>"%USERPROFILE%\Documents\GitHub\eaglep3\Utilities\RefineRTDCRunTimes.py" --tripid 185-07 --locoid 4006 --swversion DE.1.0.9.0 --startMP 204:451 --initTime 2017-05-07T14:10:51 --startdatetime 2017-05-07T17:02:41 --delay 1 --endMP 204:444 --enddatetime 2017-05-07T17:02:54 --enforcementcount 0 &gt;&gt;C:\Users\stu\Documents\GitHub\eaglep3-reporting\EC\2017-05-07-refined-times.txt</v>
      </c>
      <c r="AI97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failure","project_id":79,"tracker_id":40,"status_id":1,"priority_id":2,"assigned_to_id":23,"start_date":"2017-05-07","description":"","custom_fields":[{"id":1,"name":"Subdivision","value":"EC"},{"id":4,"name":"Milepost","value":"0.0444"},{"id":17,"name":"Train ID","value":"185-07"},{"id":16,"name":"Locomotive ID","value":"4006"},{"id":130,"name":"Impact","value":""},{"id":150,"name":"Time of Event (Mountain Time)","value":"17:02:54"},{"id":151,"name":"Denver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0"/>
        <v>start /low /b %USERPROFILE%\Documents\GitHub\eaglep3\Utilities\DownloadLogsFromS3.py --loco 4006 --day 2017-05-07</v>
      </c>
      <c r="AN97" s="154" t="str">
        <f t="shared" si="4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703</v>
      </c>
      <c r="B98" s="7">
        <v>4005</v>
      </c>
      <c r="C98" s="21" t="s">
        <v>209</v>
      </c>
      <c r="D98" s="21" t="s">
        <v>529</v>
      </c>
      <c r="E98" s="13">
        <v>42862.629942129628</v>
      </c>
      <c r="F98" s="13">
        <v>42862.632928240739</v>
      </c>
      <c r="G98" s="7">
        <v>1</v>
      </c>
      <c r="H98" s="21" t="s">
        <v>875</v>
      </c>
      <c r="I98" s="13">
        <v>42862.662743055553</v>
      </c>
      <c r="J98" s="7">
        <v>0</v>
      </c>
      <c r="K98" s="92" t="str">
        <f t="shared" si="23"/>
        <v>4005/4006</v>
      </c>
      <c r="L98" s="21" t="str">
        <f>VLOOKUP(A98,'Trips&amp;Operators'!$C$1:$G$99999,5,FALSE)</f>
        <v>BRANDNER MELINDA</v>
      </c>
      <c r="M98" s="6">
        <f t="shared" si="24"/>
        <v>2.9814814814017154E-2</v>
      </c>
      <c r="N98" s="7">
        <f t="shared" si="25"/>
        <v>42.933333332184702</v>
      </c>
      <c r="O98" s="7"/>
      <c r="P98" s="7"/>
      <c r="Q98" s="22"/>
      <c r="R98" s="190"/>
      <c r="S98" s="196">
        <f t="shared" si="26"/>
        <v>1</v>
      </c>
      <c r="T98" s="190" t="str">
        <f t="shared" si="27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8"/>
        <v>https://d0f6bd738d7f1b3e5a7ca70fe4ff75f0.us-east-1.aws.found.io/app/kibana#/discover/Steve-Slow-Train-Analysis-(2080s-and-2083s)?_g=(refreshInterval:(display:Off,pause:!f,section:0,value:0),time:(from:'2017-05-07T14:07:07-0600',mode:absolute,to:'2017-05-07T16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192" t="str">
        <f t="shared" si="29"/>
        <v>N</v>
      </c>
      <c r="X98" s="192">
        <f t="shared" si="30"/>
        <v>1</v>
      </c>
      <c r="Y98" s="192">
        <f t="shared" si="31"/>
        <v>23.307200000000002</v>
      </c>
      <c r="Z98" s="192">
        <f t="shared" si="32"/>
        <v>0.1198</v>
      </c>
      <c r="AA98" s="192">
        <f t="shared" si="33"/>
        <v>23.1874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4"/>
        <v>0186-07</v>
      </c>
      <c r="AE98" s="80" t="str">
        <f t="shared" si="3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98" s="77" t="str">
        <f t="shared" si="36"/>
        <v>"C:\Program Files (x86)\AstroGrep\AstroGrep.exe" /e /r /s /spath="%USERPROFILE%\AppData\Local\Temp\OnboardLogs" /stypes="app*4005*20170507*" /stext=" 21:.+((SYSTEM_STATE.+slice.+state.+changed )|(ment ac)|(multiple cpu faults)|(system.+state.+changed )|(\[timeout)|(PRM\|1\|D)|(kpr)|(kdp)|(train st.+moving)|(\|lc)|(penalty))"</v>
      </c>
      <c r="AG98" s="1" t="str">
        <f t="shared" si="37"/>
        <v>EC</v>
      </c>
      <c r="AH98" s="81" t="str">
        <f t="shared" si="38"/>
        <v>"%USERPROFILE%\Documents\GitHub\eaglep3\Utilities\RefineRTDCRunTimes.py" --tripid 186-07 --locoid 4005 --swversion DE.1.0.9.0 --startMP 204:233072 --initTime 2017-05-07T15:07:07 --startdatetime 2017-05-07T15:11:25 --delay 1 --endMP 204:1198 --enddatetime 2017-05-07T15:54:21 --enforcementcount 0 &gt;&gt;C:\Users\stu\Documents\GitHub\eaglep3-reporting\EC\2017-05-07-refined-times.txt</v>
      </c>
      <c r="AI9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{"issue":{"subject":"","project_id":79,"tracker_id":40,"status_id":1,"priority_id":2,"assigned_to_id":23,"start_date":"2017-05-07","description":"","custom_fields":[{"id":1,"name":"Subdivision","value":"EC"},{"id":4,"name":"Milepost","value":"0.1198"},{"id":17,"name":"Train ID","value":"186-07"},{"id":16,"name":"Locomotive ID","value":"4005"},{"id":130,"name":"Impact","value":""},{"id":150,"name":"Time of Event (Mountain Time)","value":"15:54:21"},{"id":151,"name":"Denver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0"/>
        <v>start /low /b %USERPROFILE%\Documents\GitHub\eaglep3\Utilities\DownloadLogsFromS3.py --loco 4005 --day 2017-05-07</v>
      </c>
      <c r="AN9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697</v>
      </c>
      <c r="B99" s="7">
        <v>4020</v>
      </c>
      <c r="C99" s="21" t="s">
        <v>209</v>
      </c>
      <c r="D99" s="21" t="s">
        <v>203</v>
      </c>
      <c r="E99" s="13">
        <v>42862.601458333331</v>
      </c>
      <c r="F99" s="13">
        <v>42862.604826388888</v>
      </c>
      <c r="G99" s="7">
        <v>1</v>
      </c>
      <c r="H99" s="21" t="s">
        <v>405</v>
      </c>
      <c r="I99" s="13">
        <v>42862.630844907406</v>
      </c>
      <c r="J99" s="7">
        <v>0</v>
      </c>
      <c r="K99" s="92" t="str">
        <f t="shared" si="23"/>
        <v>4019/4020</v>
      </c>
      <c r="L99" s="21" t="str">
        <f>VLOOKUP(A99,'Trips&amp;Operators'!$C$1:$G$99999,5,FALSE)</f>
        <v>STEWART MICHAEL</v>
      </c>
      <c r="M99" s="6">
        <f t="shared" si="24"/>
        <v>2.6018518517958E-2</v>
      </c>
      <c r="N99" s="7">
        <f t="shared" si="25"/>
        <v>37.46666666585952</v>
      </c>
      <c r="O99" s="7"/>
      <c r="P99" s="7"/>
      <c r="Q99" s="22"/>
      <c r="R99" s="190"/>
      <c r="S99" s="196">
        <f t="shared" si="26"/>
        <v>1</v>
      </c>
      <c r="T99" s="190" t="str">
        <f t="shared" si="27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8"/>
        <v>https://d0f6bd738d7f1b3e5a7ca70fe4ff75f0.us-east-1.aws.found.io/app/kibana#/discover/Steve-Slow-Train-Analysis-(2080s-and-2083s)?_g=(refreshInterval:(display:Off,pause:!f,section:0,value:0),time:(from:'2017-05-07T13:26:06-0600',mode:absolute,to:'2017-05-07T16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9" s="192" t="str">
        <f t="shared" si="29"/>
        <v>N</v>
      </c>
      <c r="X99" s="192">
        <f t="shared" si="30"/>
        <v>1</v>
      </c>
      <c r="Y99" s="192">
        <f t="shared" si="31"/>
        <v>4.5699999999999998E-2</v>
      </c>
      <c r="Z99" s="192">
        <f t="shared" si="32"/>
        <v>23.3291</v>
      </c>
      <c r="AA99" s="192">
        <f t="shared" si="33"/>
        <v>23.2834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4"/>
        <v>0187-07</v>
      </c>
      <c r="AE99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99" s="77" t="str">
        <f t="shared" si="36"/>
        <v>"C:\Program Files (x86)\AstroGrep\AstroGrep.exe" /e /r /s /spath="%USERPROFILE%\AppData\Local\Temp\OnboardLogs" /stypes="app*4020*20170507*" /stext=" 21:.+((SYSTEM_STATE.+slice.+state.+changed )|(ment ac)|(multiple cpu faults)|(system.+state.+changed )|(\[timeout)|(PRM\|1\|D)|(kpr)|(kdp)|(train st.+moving)|(\|lc)|(penalty))"</v>
      </c>
      <c r="AG99" s="1" t="str">
        <f t="shared" si="37"/>
        <v>EC</v>
      </c>
      <c r="AH99" s="81" t="str">
        <f t="shared" si="38"/>
        <v>"%USERPROFILE%\Documents\GitHub\eaglep3\Utilities\RefineRTDCRunTimes.py" --tripid 187-07 --locoid 4020 --swversion DE.1.0.9.0 --startMP 204:457 --initTime 2017-05-07T14:26:06 --startdatetime 2017-05-07T14:30:57 --delay 1 --endMP 204:233291 --enddatetime 2017-05-07T15:08:25 --enforcementcount 0 &gt;&gt;C:\Users\stu\Documents\GitHub\eaglep3-reporting\EC\2017-05-07-refined-times.txt</v>
      </c>
      <c r="AI9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{"issue":{"subject":"","project_id":79,"tracker_id":40,"status_id":1,"priority_id":2,"assigned_to_id":23,"start_date":"2017-05-07","description":"","custom_fields":[{"id":1,"name":"Subdivision","value":"EC"},{"id":4,"name":"Milepost","value":"23.3291"},{"id":17,"name":"Train ID","value":"187-07"},{"id":16,"name":"Locomotive ID","value":"4020"},{"id":130,"name":"Impact","value":""},{"id":150,"name":"Time of Event (Mountain Time)","value":"15:08:25"},{"id":151,"name":"Denver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0"/>
        <v>start /low /b %USERPROFILE%\Documents\GitHub\eaglep3\Utilities\DownloadLogsFromS3.py --loco 4020 --day 2017-05-07</v>
      </c>
      <c r="AN9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709</v>
      </c>
      <c r="B100" s="7">
        <v>4019</v>
      </c>
      <c r="C100" s="21" t="s">
        <v>209</v>
      </c>
      <c r="D100" s="21" t="s">
        <v>876</v>
      </c>
      <c r="E100" s="13">
        <v>42862.640046296299</v>
      </c>
      <c r="F100" s="13">
        <v>42862.641932870371</v>
      </c>
      <c r="G100" s="7">
        <v>2</v>
      </c>
      <c r="H100" s="21" t="s">
        <v>877</v>
      </c>
      <c r="I100" s="13">
        <v>42862.656504629631</v>
      </c>
      <c r="J100" s="7">
        <v>0</v>
      </c>
      <c r="K100" s="92" t="str">
        <f t="shared" si="23"/>
        <v>4019/4020</v>
      </c>
      <c r="L100" s="21" t="str">
        <f>VLOOKUP(A100,'Trips&amp;Operators'!$C$1:$G$99999,5,FALSE)</f>
        <v>STEWART MICHAEL</v>
      </c>
      <c r="M100" s="6">
        <f t="shared" si="24"/>
        <v>1.4571759260434192E-2</v>
      </c>
      <c r="N100" s="7"/>
      <c r="O100" s="7"/>
      <c r="P100" s="7">
        <f t="shared" si="25"/>
        <v>20.983333335025236</v>
      </c>
      <c r="Q100" s="22"/>
      <c r="R100" s="190" t="s">
        <v>970</v>
      </c>
      <c r="S100" s="196">
        <f>SUM(U100:U101)/IF(AG100="EC",12,1)</f>
        <v>0.91666666666666663</v>
      </c>
      <c r="T100" s="190" t="str">
        <f t="shared" si="27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</v>
      </c>
      <c r="V100" s="191" t="str">
        <f t="shared" si="28"/>
        <v>https://d0f6bd738d7f1b3e5a7ca70fe4ff75f0.us-east-1.aws.found.io/app/kibana#/discover/Steve-Slow-Train-Analysis-(2080s-and-2083s)?_g=(refreshInterval:(display:Off,pause:!f,section:0,value:0),time:(from:'2017-05-07T14:21:40-0600',mode:absolute,to:'2017-05-07T16:45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0" s="192" t="str">
        <f t="shared" si="29"/>
        <v>Y</v>
      </c>
      <c r="X100" s="192">
        <f t="shared" si="30"/>
        <v>1</v>
      </c>
      <c r="Y100" s="192">
        <f t="shared" si="31"/>
        <v>23.296099999999999</v>
      </c>
      <c r="Z100" s="192">
        <f t="shared" si="32"/>
        <v>10.4057</v>
      </c>
      <c r="AA100" s="192">
        <f t="shared" si="33"/>
        <v>12.8904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4"/>
        <v>0188-07</v>
      </c>
      <c r="AE100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00" s="77" t="str">
        <f t="shared" si="36"/>
        <v>"C:\Program Files (x86)\AstroGrep\AstroGrep.exe" /e /r /s /spath="%USERPROFILE%\AppData\Local\Temp\OnboardLogs" /stypes="app*4019*20170507*" /stext=" 21:.+((SYSTEM_STATE.+slice.+state.+changed )|(ment ac)|(multiple cpu faults)|(system.+state.+changed )|(\[timeout)|(PRM\|1\|D)|(kpr)|(kdp)|(train st.+moving)|(\|lc)|(penalty))"</v>
      </c>
      <c r="AG100" s="1" t="str">
        <f t="shared" si="37"/>
        <v>EC</v>
      </c>
      <c r="AH100" s="81" t="str">
        <f t="shared" si="38"/>
        <v>"%USERPROFILE%\Documents\GitHub\eaglep3\Utilities\RefineRTDCRunTimes.py" --tripid 188-07 --locoid 4019 --swversion DE.1.0.9.0 --startMP 204:232961 --initTime 2017-05-07T15:21:40 --startdatetime 2017-05-07T15:24:23 --delay 2 --endMP 204:104057 --enddatetime 2017-05-07T15:45:22 --enforcementcount 0 &gt;&gt;C:\Users\stu\Documents\GitHub\eaglep3-reporting\EC\2017-05-07-refined-times.txt</v>
      </c>
      <c r="AI100" s="99" t="str">
        <f t="shared" si="39"/>
        <v>echo {"issue":{"subject":"High winds at Sable XING","project_id":79,"tracker_id":40,"status_id":1,"priority_id":2,"assigned_to_id":23,"start_date":"2017-05-07","description":"","custom_fields":[{"id":1,"name":"Subdivision","value":"EC"},{"id":4,"name":"Milepost","value":"10.4057"},{"id":17,"name":"Train ID","value":"188-07"},{"id":16,"name":"Locomotive ID","value":"4019"},{"id":130,"name":"Impact","value":""},{"id":150,"name":"Time of Event (Mountain Time)","value":"15:45:22"},{"id":151,"name":"Denver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0"/>
        <v>start /low /b %USERPROFILE%\Documents\GitHub\eaglep3\Utilities\DownloadLogsFromS3.py --loco 4019 --day 2017-05-07</v>
      </c>
      <c r="AN100" s="154" t="str">
        <f t="shared" si="41"/>
        <v>echo {"issue":{"subject":"High winds at Sable XING","project_id":30,"tracker_id":4,"status_id":1,"priority_id":1,"assigned_to_id":10,"start_date":"2017-05-07","description":"","custom_fields":[{"id":30,"name":"Category","value":"Issue"},{"id":3,"name":"Functional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21:45:22"},{"id":29,"name":"Sharepoint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709</v>
      </c>
      <c r="B101" s="7">
        <v>4019</v>
      </c>
      <c r="C101" s="21" t="s">
        <v>209</v>
      </c>
      <c r="D101" s="21" t="s">
        <v>514</v>
      </c>
      <c r="E101" s="13">
        <v>42862.663263888891</v>
      </c>
      <c r="F101" s="13">
        <v>42862.664247685185</v>
      </c>
      <c r="G101" s="7">
        <v>1</v>
      </c>
      <c r="H101" s="21" t="s">
        <v>404</v>
      </c>
      <c r="I101" s="13">
        <v>42862.680532407408</v>
      </c>
      <c r="J101" s="7">
        <v>0</v>
      </c>
      <c r="K101" s="92" t="str">
        <f t="shared" si="23"/>
        <v>4019/4020</v>
      </c>
      <c r="L101" s="21" t="str">
        <f>VLOOKUP(A101,'Trips&amp;Operators'!$C$1:$G$99999,5,FALSE)</f>
        <v>STEWART MICHAEL</v>
      </c>
      <c r="M101" s="6">
        <f t="shared" si="24"/>
        <v>1.6284722223645076E-2</v>
      </c>
      <c r="N101" s="7"/>
      <c r="O101" s="7"/>
      <c r="P101" s="7"/>
      <c r="Q101" s="22"/>
      <c r="R101" s="190"/>
      <c r="S101" s="196"/>
      <c r="T101" s="190" t="str">
        <f t="shared" si="27"/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10</v>
      </c>
      <c r="V101" s="191" t="str">
        <f t="shared" si="28"/>
        <v>https://d0f6bd738d7f1b3e5a7ca70fe4ff75f0.us-east-1.aws.found.io/app/kibana#/discover/Steve-Slow-Train-Analysis-(2080s-and-2083s)?_g=(refreshInterval:(display:Off,pause:!f,section:0,value:0),time:(from:'2017-05-07T14:55:06-0600',mode:absolute,to:'2017-05-07T17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1" s="192" t="str">
        <f t="shared" si="29"/>
        <v>Y</v>
      </c>
      <c r="X101" s="192">
        <f t="shared" si="30"/>
        <v>0</v>
      </c>
      <c r="Y101" s="192">
        <f t="shared" si="31"/>
        <v>8.6353000000000009</v>
      </c>
      <c r="Z101" s="192">
        <f t="shared" si="32"/>
        <v>1.47E-2</v>
      </c>
      <c r="AA101" s="192">
        <f t="shared" si="33"/>
        <v>8.6206000000000014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4"/>
        <v>0188-07</v>
      </c>
      <c r="AE101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01" s="77" t="str">
        <f t="shared" si="36"/>
        <v>"C:\Program Files (x86)\AstroGrep\AstroGrep.exe" /e /r /s /spath="%USERPROFILE%\AppData\Local\Temp\OnboardLogs" /stypes="app*4019*20170507*" /stext=" 22:.+((SYSTEM_STATE.+slice.+state.+changed )|(ment ac)|(multiple cpu faults)|(system.+state.+changed )|(\[timeout)|(PRM\|1\|D)|(kpr)|(kdp)|(train st.+moving)|(\|lc)|(penalty))"</v>
      </c>
      <c r="AG101" s="1" t="str">
        <f t="shared" si="37"/>
        <v>EC</v>
      </c>
      <c r="AH101" s="81" t="str">
        <f t="shared" si="38"/>
        <v>"%USERPROFILE%\Documents\GitHub\eaglep3\Utilities\RefineRTDCRunTimes.py" --tripid 188-07 --locoid 4019 --swversion DE.1.0.9.0 --startMP 204:86353 --initTime 2017-05-07T15:55:06 --startdatetime 2017-05-07T15:56:31 --delay 1 --endMP 204:147 --enddatetime 2017-05-07T16:19:58 --enforcementcount 0 &gt;&gt;C:\Users\stu\Documents\GitHub\eaglep3-reporting\EC\2017-05-07-refined-times.txt</v>
      </c>
      <c r="AI10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{"issue":{"subject":"","project_id":79,"tracker_id":40,"status_id":1,"priority_id":2,"assigned_to_id":23,"start_date":"2017-05-07","description":"","custom_fields":[{"id":1,"name":"Subdivision","value":"EC"},{"id":4,"name":"Milepost","value":"0.0147"},{"id":17,"name":"Train ID","value":"188-07"},{"id":16,"name":"Locomotive ID","value":"4019"},{"id":130,"name":"Impact","value":""},{"id":150,"name":"Time of Event (Mountain Time)","value":"16:19:58"},{"id":151,"name":"Denver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0"/>
        <v>start /low /b %USERPROFILE%\Documents\GitHub\eaglep3\Utilities\DownloadLogsFromS3.py --loco 4019 --day 2017-05-07</v>
      </c>
      <c r="AN10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701</v>
      </c>
      <c r="B102" s="7">
        <v>4044</v>
      </c>
      <c r="C102" s="21" t="s">
        <v>209</v>
      </c>
      <c r="D102" s="21" t="s">
        <v>381</v>
      </c>
      <c r="E102" s="13">
        <v>42862.612881944442</v>
      </c>
      <c r="F102" s="13">
        <v>42862.614861111113</v>
      </c>
      <c r="G102" s="7">
        <v>1</v>
      </c>
      <c r="H102" s="21" t="s">
        <v>449</v>
      </c>
      <c r="I102" s="13">
        <v>42862.641481481478</v>
      </c>
      <c r="J102" s="7">
        <v>0</v>
      </c>
      <c r="K102" s="92" t="str">
        <f t="shared" si="23"/>
        <v>4043/4044</v>
      </c>
      <c r="L102" s="21" t="str">
        <f>VLOOKUP(A102,'Trips&amp;Operators'!$C$1:$G$99999,5,FALSE)</f>
        <v>DAVIS MICHAEL</v>
      </c>
      <c r="M102" s="6">
        <f t="shared" si="24"/>
        <v>2.6620370364980772E-2</v>
      </c>
      <c r="N102" s="7">
        <f t="shared" si="25"/>
        <v>38.333333325572312</v>
      </c>
      <c r="O102" s="7"/>
      <c r="P102" s="7"/>
      <c r="Q102" s="22"/>
      <c r="R102" s="190"/>
      <c r="S102" s="196">
        <f t="shared" si="26"/>
        <v>1</v>
      </c>
      <c r="T102" s="190" t="str">
        <f t="shared" si="27"/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8"/>
        <v>https://d0f6bd738d7f1b3e5a7ca70fe4ff75f0.us-east-1.aws.found.io/app/kibana#/discover/Steve-Slow-Train-Analysis-(2080s-and-2083s)?_g=(refreshInterval:(display:Off,pause:!f,section:0,value:0),time:(from:'2017-05-07T13:42:33-0600',mode:absolute,to:'2017-05-07T16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2" s="192" t="str">
        <f t="shared" si="29"/>
        <v>N</v>
      </c>
      <c r="X102" s="192">
        <f t="shared" si="30"/>
        <v>1</v>
      </c>
      <c r="Y102" s="192">
        <f t="shared" si="31"/>
        <v>4.6399999999999997E-2</v>
      </c>
      <c r="Z102" s="192">
        <f t="shared" si="32"/>
        <v>23.328299999999999</v>
      </c>
      <c r="AA102" s="192">
        <f t="shared" si="33"/>
        <v>23.2819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4"/>
        <v>0189-07</v>
      </c>
      <c r="AE102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02" s="77" t="str">
        <f t="shared" si="36"/>
        <v>"C:\Program Files (x86)\AstroGrep\AstroGrep.exe" /e /r /s /spath="%USERPROFILE%\AppData\Local\Temp\OnboardLogs" /stypes="app*4044*20170507*" /stext=" 21:.+((SYSTEM_STATE.+slice.+state.+changed )|(ment ac)|(multiple cpu faults)|(system.+state.+changed )|(\[timeout)|(PRM\|1\|D)|(kpr)|(kdp)|(train st.+moving)|(\|lc)|(penalty))"</v>
      </c>
      <c r="AG102" s="1" t="str">
        <f t="shared" si="37"/>
        <v>EC</v>
      </c>
      <c r="AH102" s="81" t="str">
        <f t="shared" si="38"/>
        <v>"%USERPROFILE%\Documents\GitHub\eaglep3\Utilities\RefineRTDCRunTimes.py" --tripid 189-07 --locoid 4044 --swversion DE.1.0.9.0 --startMP 204:464 --initTime 2017-05-07T14:42:33 --startdatetime 2017-05-07T14:45:24 --delay 1 --endMP 204:233283 --enddatetime 2017-05-07T15:23:44 --enforcementcount 0 &gt;&gt;C:\Users\stu\Documents\GitHub\eaglep3-reporting\EC\2017-05-07-refined-times.txt</v>
      </c>
      <c r="AI10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{"issue":{"subject":"","project_id":79,"tracker_id":40,"status_id":1,"priority_id":2,"assigned_to_id":23,"start_date":"2017-05-07","description":"","custom_fields":[{"id":1,"name":"Subdivision","value":"EC"},{"id":4,"name":"Milepost","value":"23.3283"},{"id":17,"name":"Train ID","value":"189-07"},{"id":16,"name":"Locomotive ID","value":"4044"},{"id":130,"name":"Impact","value":""},{"id":150,"name":"Time of Event (Mountain Time)","value":"15:23:44"},{"id":151,"name":"Denver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0"/>
        <v>start /low /b %USERPROFILE%\Documents\GitHub\eaglep3\Utilities\DownloadLogsFromS3.py --loco 4044 --day 2017-05-07</v>
      </c>
      <c r="AN102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711</v>
      </c>
      <c r="B103" s="7">
        <v>4043</v>
      </c>
      <c r="C103" s="21" t="s">
        <v>209</v>
      </c>
      <c r="D103" s="21" t="s">
        <v>513</v>
      </c>
      <c r="E103" s="13">
        <v>42862.65047453704</v>
      </c>
      <c r="F103" s="13">
        <v>42862.653796296298</v>
      </c>
      <c r="G103" s="7">
        <v>1</v>
      </c>
      <c r="H103" s="21" t="s">
        <v>374</v>
      </c>
      <c r="I103" s="13">
        <v>42862.691608796296</v>
      </c>
      <c r="J103" s="7">
        <v>0</v>
      </c>
      <c r="K103" s="92" t="str">
        <f t="shared" si="23"/>
        <v>4043/4044</v>
      </c>
      <c r="L103" s="21" t="str">
        <f>VLOOKUP(A103,'Trips&amp;Operators'!$C$1:$G$99999,5,FALSE)</f>
        <v>DAVIS MICHAEL</v>
      </c>
      <c r="M103" s="6">
        <f t="shared" si="24"/>
        <v>3.7812499998835847E-2</v>
      </c>
      <c r="N103" s="7">
        <f t="shared" si="25"/>
        <v>54.449999998323619</v>
      </c>
      <c r="O103" s="7"/>
      <c r="P103" s="7"/>
      <c r="Q103" s="22"/>
      <c r="R103" s="190"/>
      <c r="S103" s="196">
        <f t="shared" si="26"/>
        <v>1</v>
      </c>
      <c r="T103" s="190" t="str">
        <f t="shared" si="27"/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8"/>
        <v>https://d0f6bd738d7f1b3e5a7ca70fe4ff75f0.us-east-1.aws.found.io/app/kibana#/discover/Steve-Slow-Train-Analysis-(2080s-and-2083s)?_g=(refreshInterval:(display:Off,pause:!f,section:0,value:0),time:(from:'2017-05-07T14:36:41-0600',mode:absolute,to:'2017-05-07T17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3" s="192" t="str">
        <f t="shared" si="29"/>
        <v>N</v>
      </c>
      <c r="X103" s="192">
        <f t="shared" si="30"/>
        <v>1</v>
      </c>
      <c r="Y103" s="192">
        <f t="shared" si="31"/>
        <v>23.299600000000002</v>
      </c>
      <c r="Z103" s="192">
        <f t="shared" si="32"/>
        <v>1.43E-2</v>
      </c>
      <c r="AA103" s="192">
        <f t="shared" si="33"/>
        <v>23.285300000000003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4"/>
        <v>0190-07</v>
      </c>
      <c r="AE103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03" s="77" t="str">
        <f t="shared" si="36"/>
        <v>"C:\Program Files (x86)\AstroGrep\AstroGrep.exe" /e /r /s /spath="%USERPROFILE%\AppData\Local\Temp\OnboardLogs" /stypes="app*4043*20170507*" /stext=" 22:.+((SYSTEM_STATE.+slice.+state.+changed )|(ment ac)|(multiple cpu faults)|(system.+state.+changed )|(\[timeout)|(PRM\|1\|D)|(kpr)|(kdp)|(train st.+moving)|(\|lc)|(penalty))"</v>
      </c>
      <c r="AG103" s="1" t="str">
        <f t="shared" si="37"/>
        <v>EC</v>
      </c>
      <c r="AH103" s="81" t="str">
        <f t="shared" si="38"/>
        <v>"%USERPROFILE%\Documents\GitHub\eaglep3\Utilities\RefineRTDCRunTimes.py" --tripid 190-07 --locoid 4043 --swversion DE.1.0.9.0 --startMP 204:232996 --initTime 2017-05-07T15:36:41 --startdatetime 2017-05-07T15:41:28 --delay 1 --endMP 204:143 --enddatetime 2017-05-07T16:35:55 --enforcementcount 0 &gt;&gt;C:\Users\stu\Documents\GitHub\eaglep3-reporting\EC\2017-05-07-refined-times.txt</v>
      </c>
      <c r="AI10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{"issue":{"subject":"","project_id":79,"tracker_id":40,"status_id":1,"priority_id":2,"assigned_to_id":23,"start_date":"2017-05-07","description":"","custom_fields":[{"id":1,"name":"Subdivision","value":"EC"},{"id":4,"name":"Milepost","value":"0.0143"},{"id":17,"name":"Train ID","value":"190-07"},{"id":16,"name":"Locomotive ID","value":"4043"},{"id":130,"name":"Impact","value":""},{"id":150,"name":"Time of Event (Mountain Time)","value":"16:35:55"},{"id":151,"name":"Denver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0"/>
        <v>start /low /b %USERPROFILE%\Documents\GitHub\eaglep3\Utilities\DownloadLogsFromS3.py --loco 4043 --day 2017-05-07</v>
      </c>
      <c r="AN10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702</v>
      </c>
      <c r="B104" s="7">
        <v>4052</v>
      </c>
      <c r="C104" s="21" t="s">
        <v>209</v>
      </c>
      <c r="D104" s="21" t="s">
        <v>203</v>
      </c>
      <c r="E104" s="13">
        <v>42862.621354166666</v>
      </c>
      <c r="F104" s="13">
        <v>42862.625277777777</v>
      </c>
      <c r="G104" s="7">
        <v>1</v>
      </c>
      <c r="H104" s="21" t="s">
        <v>512</v>
      </c>
      <c r="I104" s="13">
        <v>42862.65115740741</v>
      </c>
      <c r="J104" s="7">
        <v>0</v>
      </c>
      <c r="K104" s="92" t="str">
        <f t="shared" si="23"/>
        <v>4051/4052</v>
      </c>
      <c r="L104" s="21" t="str">
        <f>VLOOKUP(A104,'Trips&amp;Operators'!$C$1:$G$99999,5,FALSE)</f>
        <v>LEVIN SCOTT</v>
      </c>
      <c r="M104" s="6">
        <f t="shared" si="24"/>
        <v>2.587962963298196E-2</v>
      </c>
      <c r="N104" s="7">
        <f t="shared" si="25"/>
        <v>37.266666671494022</v>
      </c>
      <c r="O104" s="7"/>
      <c r="P104" s="7"/>
      <c r="Q104" s="22"/>
      <c r="R104" s="190"/>
      <c r="S104" s="196">
        <f t="shared" si="26"/>
        <v>1</v>
      </c>
      <c r="T104" s="190" t="str">
        <f t="shared" si="27"/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8"/>
        <v>https://d0f6bd738d7f1b3e5a7ca70fe4ff75f0.us-east-1.aws.found.io/app/kibana#/discover/Steve-Slow-Train-Analysis-(2080s-and-2083s)?_g=(refreshInterval:(display:Off,pause:!f,section:0,value:0),time:(from:'2017-05-07T13:54:45-0600',mode:absolute,to:'2017-05-07T16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4" s="192" t="str">
        <f t="shared" si="29"/>
        <v>N</v>
      </c>
      <c r="X104" s="192">
        <f t="shared" si="30"/>
        <v>1</v>
      </c>
      <c r="Y104" s="192">
        <f t="shared" si="31"/>
        <v>4.5699999999999998E-2</v>
      </c>
      <c r="Z104" s="192">
        <f t="shared" si="32"/>
        <v>23.331800000000001</v>
      </c>
      <c r="AA104" s="192">
        <f t="shared" si="33"/>
        <v>23.286100000000001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4"/>
        <v>0191-07</v>
      </c>
      <c r="AE104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04" s="77" t="str">
        <f t="shared" si="36"/>
        <v>"C:\Program Files (x86)\AstroGrep\AstroGrep.exe" /e /r /s /spath="%USERPROFILE%\AppData\Local\Temp\OnboardLogs" /stypes="app*4052*20170507*" /stext=" 21:.+((SYSTEM_STATE.+slice.+state.+changed )|(ment ac)|(multiple cpu faults)|(system.+state.+changed )|(\[timeout)|(PRM\|1\|D)|(kpr)|(kdp)|(train st.+moving)|(\|lc)|(penalty))"</v>
      </c>
      <c r="AG104" s="1" t="str">
        <f t="shared" si="37"/>
        <v>EC</v>
      </c>
      <c r="AH104" s="81" t="str">
        <f t="shared" si="38"/>
        <v>"%USERPROFILE%\Documents\GitHub\eaglep3\Utilities\RefineRTDCRunTimes.py" --tripid 191-07 --locoid 4052 --swversion DE.1.0.9.0 --startMP 204:457 --initTime 2017-05-07T14:54:45 --startdatetime 2017-05-07T15:00:24 --delay 1 --endMP 204:233318 --enddatetime 2017-05-07T15:37:40 --enforcementcount 0 &gt;&gt;C:\Users\stu\Documents\GitHub\eaglep3-reporting\EC\2017-05-07-refined-times.txt</v>
      </c>
      <c r="AI10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{"issue":{"subject":"","project_id":79,"tracker_id":40,"status_id":1,"priority_id":2,"assigned_to_id":23,"start_date":"2017-05-07","description":"","custom_fields":[{"id":1,"name":"Subdivision","value":"EC"},{"id":4,"name":"Milepost","value":"23.3318"},{"id":17,"name":"Train ID","value":"191-07"},{"id":16,"name":"Locomotive ID","value":"4052"},{"id":130,"name":"Impact","value":""},{"id":150,"name":"Time of Event (Mountain Time)","value":"15:37:40"},{"id":151,"name":"Denver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0"/>
        <v>start /low /b %USERPROFILE%\Documents\GitHub\eaglep3\Utilities\DownloadLogsFromS3.py --loco 4052 --day 2017-05-07</v>
      </c>
      <c r="AN10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575</v>
      </c>
      <c r="B105" s="7">
        <v>4051</v>
      </c>
      <c r="C105" s="21" t="s">
        <v>209</v>
      </c>
      <c r="D105" s="21" t="s">
        <v>881</v>
      </c>
      <c r="E105" s="13">
        <v>42862.676608796297</v>
      </c>
      <c r="F105" s="13">
        <v>42862.679490740738</v>
      </c>
      <c r="G105" s="7">
        <v>2</v>
      </c>
      <c r="H105" s="21" t="s">
        <v>537</v>
      </c>
      <c r="I105" s="13">
        <v>42862.696863425925</v>
      </c>
      <c r="J105" s="7">
        <v>0</v>
      </c>
      <c r="K105" s="92" t="str">
        <f t="shared" si="23"/>
        <v>4051/4052</v>
      </c>
      <c r="L105" s="21" t="str">
        <f>VLOOKUP(A105,'Trips&amp;Operators'!$C$1:$G$99999,5,FALSE)</f>
        <v>LEVIN SCOTT</v>
      </c>
      <c r="M105" s="6">
        <f t="shared" si="24"/>
        <v>1.7372685186273884E-2</v>
      </c>
      <c r="N105" s="7"/>
      <c r="O105" s="7"/>
      <c r="P105" s="7">
        <f t="shared" si="25"/>
        <v>25.016666668234393</v>
      </c>
      <c r="Q105" s="22"/>
      <c r="R105" s="190" t="s">
        <v>969</v>
      </c>
      <c r="S105" s="196">
        <f t="shared" si="26"/>
        <v>1</v>
      </c>
      <c r="T105" s="190" t="str">
        <f t="shared" si="27"/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8"/>
        <v>https://d0f6bd738d7f1b3e5a7ca70fe4ff75f0.us-east-1.aws.found.io/app/kibana#/discover/Steve-Slow-Train-Analysis-(2080s-and-2083s)?_g=(refreshInterval:(display:Off,pause:!f,section:0,value:0),time:(from:'2017-05-07T15:14:19-0600',mode:absolute,to:'2017-05-07T17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5" s="192" t="str">
        <f t="shared" si="29"/>
        <v>Y</v>
      </c>
      <c r="X105" s="192">
        <f t="shared" si="30"/>
        <v>1</v>
      </c>
      <c r="Y105" s="192">
        <f t="shared" si="31"/>
        <v>12.786099999999999</v>
      </c>
      <c r="Z105" s="192">
        <f t="shared" si="32"/>
        <v>1.23E-2</v>
      </c>
      <c r="AA105" s="192">
        <f t="shared" si="33"/>
        <v>12.7738</v>
      </c>
      <c r="AB105" s="57" t="str">
        <f>VLOOKUP(A105,Enforcements!$C$7:$K$13,8,0)</f>
        <v>Bulletin (2)</v>
      </c>
      <c r="AC105" s="53" t="str">
        <f>VLOOKUP(A105,Enforcements!$C$7:$E$13,3,0)</f>
        <v>GRADE CROSSING</v>
      </c>
      <c r="AD105" s="54" t="str">
        <f t="shared" si="34"/>
        <v>0192-07</v>
      </c>
      <c r="AE105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05" s="77" t="str">
        <f t="shared" si="36"/>
        <v>"C:\Program Files (x86)\AstroGrep\AstroGrep.exe" /e /r /s /spath="%USERPROFILE%\AppData\Local\Temp\OnboardLogs" /stypes="app*4051*20170507*" /stext=" 22:.+((SYSTEM_STATE.+slice.+state.+changed )|(ment ac)|(multiple cpu faults)|(system.+state.+changed )|(\[timeout)|(PRM\|1\|D)|(kpr)|(kdp)|(train st.+moving)|(\|lc)|(penalty))"</v>
      </c>
      <c r="AG105" s="1" t="str">
        <f t="shared" si="37"/>
        <v>EC</v>
      </c>
      <c r="AH105" s="81" t="str">
        <f t="shared" si="38"/>
        <v>"%USERPROFILE%\Documents\GitHub\eaglep3\Utilities\RefineRTDCRunTimes.py" --tripid 192-07 --locoid 4051 --swversion DE.1.0.9.0 --startMP 204:127861 --initTime 2017-05-07T16:14:19 --startdatetime 2017-05-07T16:18:28 --delay 2 --endMP 204:123 --enddatetime 2017-05-07T16:43:29 --enforcementcount 0 &gt;&gt;C:\Users\stu\Documents\GitHub\eaglep3-reporting\EC\2017-05-07-refined-times.txt</v>
      </c>
      <c r="AI105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failure","project_id":79,"tracker_id":40,"status_id":1,"priority_id":2,"assigned_to_id":23,"start_date":"2017-05-07","description":"","custom_fields":[{"id":1,"name":"Subdivision","value":"EC"},{"id":4,"name":"Milepost","value":"0.0123"},{"id":17,"name":"Train ID","value":"192-07"},{"id":16,"name":"Locomotive ID","value":"4051"},{"id":130,"name":"Impact","value":""},{"id":150,"name":"Time of Event (Mountain Time)","value":"16:43:29"},{"id":151,"name":"Denver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0"/>
        <v>start /low /b %USERPROFILE%\Documents\GitHub\eaglep3\Utilities\DownloadLogsFromS3.py --loco 4051 --day 2017-05-07</v>
      </c>
      <c r="AN105" s="154" t="str">
        <f t="shared" si="4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575</v>
      </c>
      <c r="B106" s="7">
        <v>4051</v>
      </c>
      <c r="C106" s="21" t="s">
        <v>209</v>
      </c>
      <c r="D106" s="21" t="s">
        <v>797</v>
      </c>
      <c r="E106" s="13">
        <v>42862.660937499997</v>
      </c>
      <c r="F106" s="13">
        <v>42862.679490740738</v>
      </c>
      <c r="G106" s="7">
        <v>1</v>
      </c>
      <c r="H106" s="21" t="s">
        <v>537</v>
      </c>
      <c r="I106" s="13">
        <v>42862.696863425925</v>
      </c>
      <c r="J106" s="7">
        <v>0</v>
      </c>
      <c r="K106" s="92" t="str">
        <f t="shared" si="23"/>
        <v>4051/4052</v>
      </c>
      <c r="L106" s="21" t="str">
        <f>VLOOKUP(A106,'Trips&amp;Operators'!$C$1:$G$99999,5,FALSE)</f>
        <v>LEVIN SCOTT</v>
      </c>
      <c r="M106" s="6">
        <f t="shared" si="24"/>
        <v>1.7372685186273884E-2</v>
      </c>
      <c r="N106" s="7"/>
      <c r="O106" s="7"/>
      <c r="P106" s="7"/>
      <c r="Q106" s="22"/>
      <c r="R106" s="190"/>
      <c r="S106" s="196"/>
      <c r="T106" s="190" t="str">
        <f t="shared" si="27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8"/>
        <v>https://d0f6bd738d7f1b3e5a7ca70fe4ff75f0.us-east-1.aws.found.io/app/kibana#/discover/Steve-Slow-Train-Analysis-(2080s-and-2083s)?_g=(refreshInterval:(display:Off,pause:!f,section:0,value:0),time:(from:'2017-05-07T14:51:45-0600',mode:absolute,to:'2017-05-07T17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6" s="192" t="str">
        <f t="shared" si="29"/>
        <v>N</v>
      </c>
      <c r="X106" s="192">
        <f t="shared" si="30"/>
        <v>0</v>
      </c>
      <c r="Y106" s="192">
        <f t="shared" si="31"/>
        <v>23.3001</v>
      </c>
      <c r="Z106" s="192">
        <f t="shared" si="32"/>
        <v>1.23E-2</v>
      </c>
      <c r="AA106" s="192">
        <f t="shared" si="33"/>
        <v>23.287800000000001</v>
      </c>
      <c r="AB106" s="57" t="str">
        <f>VLOOKUP(A106,Enforcements!$C$7:$K$13,8,0)</f>
        <v>Bulletin (2)</v>
      </c>
      <c r="AC106" s="53" t="str">
        <f>VLOOKUP(A106,Enforcements!$C$7:$E$13,3,0)</f>
        <v>GRADE CROSSING</v>
      </c>
      <c r="AD106" s="54" t="str">
        <f t="shared" si="34"/>
        <v>0192-07</v>
      </c>
      <c r="AE106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06" s="77" t="str">
        <f t="shared" si="36"/>
        <v>"C:\Program Files (x86)\AstroGrep\AstroGrep.exe" /e /r /s /spath="%USERPROFILE%\AppData\Local\Temp\OnboardLogs" /stypes="app*4051*20170507*" /stext=" 22:.+((SYSTEM_STATE.+slice.+state.+changed )|(ment ac)|(multiple cpu faults)|(system.+state.+changed )|(\[timeout)|(PRM\|1\|D)|(kpr)|(kdp)|(train st.+moving)|(\|lc)|(penalty))"</v>
      </c>
      <c r="AG106" s="1" t="str">
        <f t="shared" si="37"/>
        <v>EC</v>
      </c>
      <c r="AH106" s="81" t="str">
        <f t="shared" si="38"/>
        <v>"%USERPROFILE%\Documents\GitHub\eaglep3\Utilities\RefineRTDCRunTimes.py" --tripid 192-07 --locoid 4051 --swversion DE.1.0.9.0 --startMP 204:233001 --initTime 2017-05-07T15:51:45 --startdatetime 2017-05-07T16:18:28 --delay 1 --endMP 204:123 --enddatetime 2017-05-07T16:43:29 --enforcementcount 0 &gt;&gt;C:\Users\stu\Documents\GitHub\eaglep3-reporting\EC\2017-05-07-refined-times.txt</v>
      </c>
      <c r="AI10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{"issue":{"subject":"","project_id":79,"tracker_id":40,"status_id":1,"priority_id":2,"assigned_to_id":23,"start_date":"2017-05-07","description":"","custom_fields":[{"id":1,"name":"Subdivision","value":"EC"},{"id":4,"name":"Milepost","value":"0.0123"},{"id":17,"name":"Train ID","value":"192-07"},{"id":16,"name":"Locomotive ID","value":"4051"},{"id":130,"name":"Impact","value":""},{"id":150,"name":"Time of Event (Mountain Time)","value":"16:43:29"},{"id":151,"name":"Denver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0"/>
        <v>start /low /b %USERPROFILE%\Documents\GitHub\eaglep3\Utilities\DownloadLogsFromS3.py --loco 4051 --day 2017-05-07</v>
      </c>
      <c r="AN10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704</v>
      </c>
      <c r="B107" s="7">
        <v>4026</v>
      </c>
      <c r="C107" s="21" t="s">
        <v>209</v>
      </c>
      <c r="D107" s="21" t="s">
        <v>452</v>
      </c>
      <c r="E107" s="13">
        <v>42862.631562499999</v>
      </c>
      <c r="F107" s="13">
        <v>42862.63585648148</v>
      </c>
      <c r="G107" s="7">
        <v>1</v>
      </c>
      <c r="H107" s="21" t="s">
        <v>410</v>
      </c>
      <c r="I107" s="13">
        <v>42862.667141203703</v>
      </c>
      <c r="J107" s="7">
        <v>0</v>
      </c>
      <c r="K107" s="92" t="str">
        <f t="shared" si="23"/>
        <v>4025/4026</v>
      </c>
      <c r="L107" s="21" t="str">
        <f>VLOOKUP(A107,'Trips&amp;Operators'!$C$1:$G$99999,5,FALSE)</f>
        <v>SAFIEF AEIMEN</v>
      </c>
      <c r="M107" s="6">
        <f t="shared" si="24"/>
        <v>3.1284722223063E-2</v>
      </c>
      <c r="N107" s="7">
        <f t="shared" si="25"/>
        <v>45.050000001210719</v>
      </c>
      <c r="O107" s="7"/>
      <c r="P107" s="7"/>
      <c r="Q107" s="22"/>
      <c r="R107" s="190"/>
      <c r="S107" s="196">
        <f t="shared" si="26"/>
        <v>1</v>
      </c>
      <c r="T107" s="190" t="str">
        <f t="shared" si="27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8"/>
        <v>https://d0f6bd738d7f1b3e5a7ca70fe4ff75f0.us-east-1.aws.found.io/app/kibana#/discover/Steve-Slow-Train-Analysis-(2080s-and-2083s)?_g=(refreshInterval:(display:Off,pause:!f,section:0,value:0),time:(from:'2017-05-07T14:09:27-0600',mode:absolute,to:'2017-05-07T17:00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92" t="str">
        <f t="shared" si="29"/>
        <v>N</v>
      </c>
      <c r="X107" s="192">
        <f t="shared" si="30"/>
        <v>1</v>
      </c>
      <c r="Y107" s="192">
        <f t="shared" si="31"/>
        <v>4.5499999999999999E-2</v>
      </c>
      <c r="Z107" s="192">
        <f t="shared" si="32"/>
        <v>23.328900000000001</v>
      </c>
      <c r="AA107" s="192">
        <f t="shared" si="33"/>
        <v>23.2834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4"/>
        <v>0193-07</v>
      </c>
      <c r="AE107" s="80" t="str">
        <f t="shared" si="3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107" s="77" t="str">
        <f t="shared" si="36"/>
        <v>"C:\Program Files (x86)\AstroGrep\AstroGrep.exe" /e /r /s /spath="%USERPROFILE%\AppData\Local\Temp\OnboardLogs" /stypes="app*4026*20170507*" /stext=" 22:.+((SYSTEM_STATE.+slice.+state.+changed )|(ment ac)|(multiple cpu faults)|(system.+state.+changed )|(\[timeout)|(PRM\|1\|D)|(kpr)|(kdp)|(train st.+moving)|(\|lc)|(penalty))"</v>
      </c>
      <c r="AG107" s="1" t="str">
        <f t="shared" si="37"/>
        <v>EC</v>
      </c>
      <c r="AH107" s="81" t="str">
        <f t="shared" si="38"/>
        <v>"%USERPROFILE%\Documents\GitHub\eaglep3\Utilities\RefineRTDCRunTimes.py" --tripid 193-07 --locoid 4026 --swversion DE.1.0.9.0 --startMP 204:455 --initTime 2017-05-07T15:09:27 --startdatetime 2017-05-07T15:15:38 --delay 1 --endMP 204:233289 --enddatetime 2017-05-07T16:00:41 --enforcementcount 0 &gt;&gt;C:\Users\stu\Documents\GitHub\eaglep3-reporting\EC\2017-05-07-refined-times.txt</v>
      </c>
      <c r="AI10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{"issue":{"subject":"","project_id":79,"tracker_id":40,"status_id":1,"priority_id":2,"assigned_to_id":23,"start_date":"2017-05-07","description":"","custom_fields":[{"id":1,"name":"Subdivision","value":"EC"},{"id":4,"name":"Milepost","value":"23.3289"},{"id":17,"name":"Train ID","value":"193-07"},{"id":16,"name":"Locomotive ID","value":"4026"},{"id":130,"name":"Impact","value":""},{"id":150,"name":"Time of Event (Mountain Time)","value":"16:00:41"},{"id":151,"name":"Denver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0"/>
        <v>start /low /b %USERPROFILE%\Documents\GitHub\eaglep3\Utilities\DownloadLogsFromS3.py --loco 4026 --day 2017-05-07</v>
      </c>
      <c r="AN10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22:00:41"},{"id":29,"name":"Sharepoint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714</v>
      </c>
      <c r="B108" s="7">
        <v>4025</v>
      </c>
      <c r="C108" s="21" t="s">
        <v>209</v>
      </c>
      <c r="D108" s="21" t="s">
        <v>429</v>
      </c>
      <c r="E108" s="13">
        <v>42862.671215277776</v>
      </c>
      <c r="F108" s="13">
        <v>42862.674502314818</v>
      </c>
      <c r="G108" s="7">
        <v>1</v>
      </c>
      <c r="H108" s="21" t="s">
        <v>357</v>
      </c>
      <c r="I108" s="13">
        <v>42862.702499999999</v>
      </c>
      <c r="J108" s="7">
        <v>0</v>
      </c>
      <c r="K108" s="92" t="str">
        <f t="shared" si="23"/>
        <v>4025/4026</v>
      </c>
      <c r="L108" s="21" t="str">
        <f>VLOOKUP(A108,'Trips&amp;Operators'!$C$1:$G$99999,5,FALSE)</f>
        <v>SAFIEF AEIMEN</v>
      </c>
      <c r="M108" s="6">
        <f t="shared" si="24"/>
        <v>2.7997685181617271E-2</v>
      </c>
      <c r="N108" s="7">
        <f t="shared" si="25"/>
        <v>40.31666666152887</v>
      </c>
      <c r="O108" s="7"/>
      <c r="P108" s="7"/>
      <c r="Q108" s="22"/>
      <c r="R108" s="190"/>
      <c r="S108" s="196">
        <f t="shared" si="26"/>
        <v>1</v>
      </c>
      <c r="T108" s="190" t="str">
        <f t="shared" si="27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8"/>
        <v>https://d0f6bd738d7f1b3e5a7ca70fe4ff75f0.us-east-1.aws.found.io/app/kibana#/discover/Steve-Slow-Train-Analysis-(2080s-and-2083s)?_g=(refreshInterval:(display:Off,pause:!f,section:0,value:0),time:(from:'2017-05-07T15:06:33-0600',mode:absolute,to:'2017-05-07T17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192" t="str">
        <f t="shared" si="29"/>
        <v>N</v>
      </c>
      <c r="X108" s="192">
        <f t="shared" si="30"/>
        <v>1</v>
      </c>
      <c r="Y108" s="192">
        <f t="shared" si="31"/>
        <v>23.2987</v>
      </c>
      <c r="Z108" s="192">
        <f t="shared" si="32"/>
        <v>1.38E-2</v>
      </c>
      <c r="AA108" s="192">
        <f t="shared" si="33"/>
        <v>23.2849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4"/>
        <v>0194-07</v>
      </c>
      <c r="AE108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108" s="77" t="str">
        <f t="shared" si="36"/>
        <v>"C:\Program Files (x86)\AstroGrep\AstroGrep.exe" /e /r /s /spath="%USERPROFILE%\AppData\Local\Temp\OnboardLogs" /stypes="app*4025*20170507*" /stext=" 22:.+((SYSTEM_STATE.+slice.+state.+changed )|(ment ac)|(multiple cpu faults)|(system.+state.+changed )|(\[timeout)|(PRM\|1\|D)|(kpr)|(kdp)|(train st.+moving)|(\|lc)|(penalty))"</v>
      </c>
      <c r="AG108" s="1" t="str">
        <f t="shared" si="37"/>
        <v>EC</v>
      </c>
      <c r="AH108" s="81" t="str">
        <f t="shared" si="38"/>
        <v>"%USERPROFILE%\Documents\GitHub\eaglep3\Utilities\RefineRTDCRunTimes.py" --tripid 194-07 --locoid 4025 --swversion DE.1.0.9.0 --startMP 204:232987 --initTime 2017-05-07T16:06:33 --startdatetime 2017-05-07T16:11:17 --delay 1 --endMP 204:138 --enddatetime 2017-05-07T16:51:36 --enforcementcount 0 &gt;&gt;C:\Users\stu\Documents\GitHub\eaglep3-reporting\EC\2017-05-07-refined-times.txt</v>
      </c>
      <c r="AI10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{"issue":{"subject":"","project_id":79,"tracker_id":40,"status_id":1,"priority_id":2,"assigned_to_id":23,"start_date":"2017-05-07","description":"","custom_fields":[{"id":1,"name":"Subdivision","value":"EC"},{"id":4,"name":"Milepost","value":"0.0138"},{"id":17,"name":"Train ID","value":"194-07"},{"id":16,"name":"Locomotive ID","value":"4025"},{"id":130,"name":"Impact","value":""},{"id":150,"name":"Time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0"/>
        <v>start /low /b %USERPROFILE%\Documents\GitHub\eaglep3\Utilities\DownloadLogsFromS3.py --loco 4025 --day 2017-05-07</v>
      </c>
      <c r="AN108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710</v>
      </c>
      <c r="B109" s="7">
        <v>4028</v>
      </c>
      <c r="C109" s="21" t="s">
        <v>209</v>
      </c>
      <c r="D109" s="21" t="s">
        <v>204</v>
      </c>
      <c r="E109" s="13">
        <v>42862.640324074076</v>
      </c>
      <c r="F109" s="13">
        <v>42862.64603009259</v>
      </c>
      <c r="G109" s="7">
        <v>0</v>
      </c>
      <c r="H109" s="21" t="s">
        <v>443</v>
      </c>
      <c r="I109" s="13">
        <v>42862.687719907408</v>
      </c>
      <c r="J109" s="7">
        <v>0</v>
      </c>
      <c r="K109" s="92" t="str">
        <f t="shared" si="23"/>
        <v>4027/4028</v>
      </c>
      <c r="L109" s="21" t="str">
        <f>VLOOKUP(A109,'Trips&amp;Operators'!$C$1:$G$99999,5,FALSE)</f>
        <v>LALONDE GREGORY</v>
      </c>
      <c r="M109" s="6">
        <f t="shared" si="24"/>
        <v>4.1689814817800652E-2</v>
      </c>
      <c r="N109" s="7">
        <f t="shared" si="25"/>
        <v>60.033333337632939</v>
      </c>
      <c r="O109" s="7"/>
      <c r="P109" s="7"/>
      <c r="Q109" s="22"/>
      <c r="R109" s="190"/>
      <c r="S109" s="196">
        <f t="shared" si="26"/>
        <v>1</v>
      </c>
      <c r="T109" s="190" t="str">
        <f t="shared" si="27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8"/>
        <v>https://d0f6bd738d7f1b3e5a7ca70fe4ff75f0.us-east-1.aws.found.io/app/kibana#/discover/Steve-Slow-Train-Analysis-(2080s-and-2083s)?_g=(refreshInterval:(display:Off,pause:!f,section:0,value:0),time:(from:'2017-05-07T14:22:04-0600',mode:absolute,to:'2017-05-07T17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9" s="192" t="str">
        <f t="shared" si="29"/>
        <v>N</v>
      </c>
      <c r="X109" s="192">
        <f t="shared" si="30"/>
        <v>1</v>
      </c>
      <c r="Y109" s="192">
        <f t="shared" si="31"/>
        <v>4.5999999999999999E-2</v>
      </c>
      <c r="Z109" s="192">
        <f t="shared" si="32"/>
        <v>23.330100000000002</v>
      </c>
      <c r="AA109" s="192">
        <f t="shared" si="33"/>
        <v>23.284100000000002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4"/>
        <v>0195-07</v>
      </c>
      <c r="AE109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109" s="77" t="str">
        <f t="shared" si="36"/>
        <v>"C:\Program Files (x86)\AstroGrep\AstroGrep.exe" /e /r /s /spath="%USERPROFILE%\AppData\Local\Temp\OnboardLogs" /stypes="app*4028*20170507*" /stext=" 22:.+((SYSTEM_STATE.+slice.+state.+changed )|(ment ac)|(multiple cpu faults)|(system.+state.+changed )|(\[timeout)|(PRM\|1\|D)|(kpr)|(kdp)|(train st.+moving)|(\|lc)|(penalty))"</v>
      </c>
      <c r="AG109" s="1" t="str">
        <f t="shared" si="37"/>
        <v>EC</v>
      </c>
      <c r="AH109" s="81" t="str">
        <f t="shared" si="38"/>
        <v>"%USERPROFILE%\Documents\GitHub\eaglep3\Utilities\RefineRTDCRunTimes.py" --tripid 195-07 --locoid 4028 --swversion DE.1.0.9.0 --startMP 204:460 --initTime 2017-05-07T15:22:04 --startdatetime 2017-05-07T15:30:17 --delay 0 --endMP 204:233301 --enddatetime 2017-05-07T16:30:19 --enforcementcount 0 &gt;&gt;C:\Users\stu\Documents\GitHub\eaglep3-reporting\EC\2017-05-07-refined-times.txt</v>
      </c>
      <c r="AI10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{"issue":{"subject":"","project_id":79,"tracker_id":40,"status_id":1,"priority_id":2,"assigned_to_id":23,"start_date":"2017-05-07","description":"","custom_fields":[{"id":1,"name":"Subdivision","value":"EC"},{"id":4,"name":"Milepost","value":"23.3301"},{"id":17,"name":"Train ID","value":"195-07"},{"id":16,"name":"Locomotive ID","value":"4028"},{"id":130,"name":"Impact","value":""},{"id":150,"name":"Time of Event (Mountain Time)","value":"16:30:19"},{"id":151,"name":"Denver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0"/>
        <v>start /low /b %USERPROFILE%\Documents\GitHub\eaglep3\Utilities\DownloadLogsFromS3.py --loco 4028 --day 2017-05-07</v>
      </c>
      <c r="AN10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717</v>
      </c>
      <c r="B110" s="7">
        <v>4027</v>
      </c>
      <c r="C110" s="21" t="s">
        <v>209</v>
      </c>
      <c r="D110" s="21" t="s">
        <v>391</v>
      </c>
      <c r="E110" s="13">
        <v>42862.689375000002</v>
      </c>
      <c r="F110" s="13">
        <v>42862.691643518519</v>
      </c>
      <c r="G110" s="7">
        <v>2</v>
      </c>
      <c r="H110" s="21" t="s">
        <v>365</v>
      </c>
      <c r="I110" s="13">
        <v>42862.720451388886</v>
      </c>
      <c r="J110" s="7">
        <v>0</v>
      </c>
      <c r="K110" s="92" t="str">
        <f t="shared" si="23"/>
        <v>4027/4028</v>
      </c>
      <c r="L110" s="21" t="str">
        <f>VLOOKUP(A110,'Trips&amp;Operators'!$C$1:$G$99999,5,FALSE)</f>
        <v>LALONDE GREGORY</v>
      </c>
      <c r="M110" s="6">
        <f t="shared" si="24"/>
        <v>2.880787036701804E-2</v>
      </c>
      <c r="N110" s="7">
        <f t="shared" si="25"/>
        <v>41.483333328505978</v>
      </c>
      <c r="O110" s="7"/>
      <c r="P110" s="7"/>
      <c r="Q110" s="22"/>
      <c r="R110" s="190"/>
      <c r="S110" s="196">
        <f t="shared" si="26"/>
        <v>1</v>
      </c>
      <c r="T110" s="190" t="str">
        <f t="shared" si="27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8"/>
        <v>https://d0f6bd738d7f1b3e5a7ca70fe4ff75f0.us-east-1.aws.found.io/app/kibana#/discover/Steve-Slow-Train-Analysis-(2080s-and-2083s)?_g=(refreshInterval:(display:Off,pause:!f,section:0,value:0),time:(from:'2017-05-07T15:32:42-0600',mode:absolute,to:'2017-05-07T18:17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0" s="192" t="str">
        <f t="shared" si="29"/>
        <v>N</v>
      </c>
      <c r="X110" s="192">
        <f t="shared" si="30"/>
        <v>1</v>
      </c>
      <c r="Y110" s="192">
        <f t="shared" si="31"/>
        <v>23.298400000000001</v>
      </c>
      <c r="Z110" s="192">
        <f t="shared" si="32"/>
        <v>1.6E-2</v>
      </c>
      <c r="AA110" s="192">
        <f t="shared" si="33"/>
        <v>23.282400000000003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4"/>
        <v>0196-07</v>
      </c>
      <c r="AE110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110" s="77" t="str">
        <f t="shared" si="36"/>
        <v>"C:\Program Files (x86)\AstroGrep\AstroGrep.exe" /e /r /s /spath="%USERPROFILE%\AppData\Local\Temp\OnboardLogs" /stypes="app*4027*20170507*" /stext=" 23:.+((SYSTEM_STATE.+slice.+state.+changed )|(ment ac)|(multiple cpu faults)|(system.+state.+changed )|(\[timeout)|(PRM\|1\|D)|(kpr)|(kdp)|(train st.+moving)|(\|lc)|(penalty))"</v>
      </c>
      <c r="AG110" s="1" t="str">
        <f t="shared" si="37"/>
        <v>EC</v>
      </c>
      <c r="AH110" s="81" t="str">
        <f t="shared" si="38"/>
        <v>"%USERPROFILE%\Documents\GitHub\eaglep3\Utilities\RefineRTDCRunTimes.py" --tripid 196-07 --locoid 4027 --swversion DE.1.0.9.0 --startMP 204:232984 --initTime 2017-05-07T16:32:42 --startdatetime 2017-05-07T16:35:58 --delay 2 --endMP 204:160 --enddatetime 2017-05-07T17:17:27 --enforcementcount 0 &gt;&gt;C:\Users\stu\Documents\GitHub\eaglep3-reporting\EC\2017-05-07-refined-times.txt</v>
      </c>
      <c r="AI11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{"issue":{"subject":"","project_id":79,"tracker_id":40,"status_id":1,"priority_id":2,"assigned_to_id":23,"start_date":"2017-05-07","description":"","custom_fields":[{"id":1,"name":"Subdivision","value":"EC"},{"id":4,"name":"Milepost","value":"0.016"},{"id":17,"name":"Train ID","value":"196-07"},{"id":16,"name":"Locomotive ID","value":"4027"},{"id":130,"name":"Impact","value":""},{"id":150,"name":"Time of Event (Mountain Time)","value":"17:17:27"},{"id":151,"name":"Denver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0"/>
        <v>start /low /b %USERPROFILE%\Documents\GitHub\eaglep3\Utilities\DownloadLogsFromS3.py --loco 4027 --day 2017-05-07</v>
      </c>
      <c r="AN110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23:17:27"},{"id":29,"name":"Sharepoint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712</v>
      </c>
      <c r="B111" s="7">
        <v>4012</v>
      </c>
      <c r="C111" s="21" t="s">
        <v>209</v>
      </c>
      <c r="D111" s="21" t="s">
        <v>882</v>
      </c>
      <c r="E111" s="13">
        <v>42862.651331018518</v>
      </c>
      <c r="F111" s="13">
        <v>42862.656817129631</v>
      </c>
      <c r="G111" s="7">
        <v>2</v>
      </c>
      <c r="H111" s="21" t="s">
        <v>428</v>
      </c>
      <c r="I111" s="13">
        <v>42862.689664351848</v>
      </c>
      <c r="J111" s="7">
        <v>0</v>
      </c>
      <c r="K111" s="92" t="str">
        <f t="shared" si="23"/>
        <v>4011/4012</v>
      </c>
      <c r="L111" s="21" t="str">
        <f>VLOOKUP(A111,'Trips&amp;Operators'!$C$1:$G$99999,5,FALSE)</f>
        <v>ROMERO CHAD</v>
      </c>
      <c r="M111" s="6">
        <f t="shared" si="24"/>
        <v>3.2847222217242233E-2</v>
      </c>
      <c r="N111" s="7">
        <f t="shared" si="25"/>
        <v>47.299999992828816</v>
      </c>
      <c r="O111" s="7"/>
      <c r="P111" s="7"/>
      <c r="Q111" s="22"/>
      <c r="R111" s="190"/>
      <c r="S111" s="196">
        <f t="shared" si="26"/>
        <v>1</v>
      </c>
      <c r="T111" s="190" t="str">
        <f t="shared" si="27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8"/>
        <v>https://d0f6bd738d7f1b3e5a7ca70fe4ff75f0.us-east-1.aws.found.io/app/kibana#/discover/Steve-Slow-Train-Analysis-(2080s-and-2083s)?_g=(refreshInterval:(display:Off,pause:!f,section:0,value:0),time:(from:'2017-05-07T14:37:55-0600',mode:absolute,to:'2017-05-07T17:33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1" s="192" t="str">
        <f t="shared" si="29"/>
        <v>N</v>
      </c>
      <c r="X111" s="192">
        <f t="shared" si="30"/>
        <v>1</v>
      </c>
      <c r="Y111" s="192">
        <f t="shared" si="31"/>
        <v>3.9300000000000002E-2</v>
      </c>
      <c r="Z111" s="192">
        <f t="shared" si="32"/>
        <v>23.329699999999999</v>
      </c>
      <c r="AA111" s="192">
        <f t="shared" si="33"/>
        <v>23.290399999999998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4"/>
        <v>0197-07</v>
      </c>
      <c r="AE111" s="80" t="str">
        <f t="shared" si="35"/>
        <v>aws s3 cp s3://rtdc.mdm.uploadarchive.raw/RTDC4012/ "%USERPROFILE%\AppData\Local\Temp\OnboardLogs"\RTDC4012\2017-05-07 --exclude "*" --recursive --include "*20170507*" &amp; "%USERPROFILE%\Documents\GitHub\mrs-test-scripts\Headless Mode &amp; Sideloading\WalkAndUnGZ.bat" "%USERPROFILE%\AppData\Local\Temp\OnboardLogs"\RTDC4012\2017-05-07 &amp; aws s3 cp s3://rtdc.mdm.uploadarchive.raw/RTDC4012/ "%USERPROFILE%\AppData\Local\Temp\OnboardLogs"\RTDC4012\2017-05-08 --exclude "*" --recursive --include "*20170508*" &amp; "%USERPROFILE%\Documents\GitHub\mrs-test-scripts\Headless Mode &amp; Sideloading\WalkAndUnGZ.bat" "%USERPROFILE%\AppData\Local\Temp\OnboardLogs"\RTDC4012\2017-05-08</v>
      </c>
      <c r="AF111" s="77" t="str">
        <f t="shared" si="36"/>
        <v>"C:\Program Files (x86)\AstroGrep\AstroGrep.exe" /e /r /s /spath="%USERPROFILE%\AppData\Local\Temp\OnboardLogs" /stypes="app*4012*20170507*" /stext=" 22:.+((SYSTEM_STATE.+slice.+state.+changed )|(ment ac)|(multiple cpu faults)|(system.+state.+changed )|(\[timeout)|(PRM\|1\|D)|(kpr)|(kdp)|(train st.+moving)|(\|lc)|(penalty))"</v>
      </c>
      <c r="AG111" s="1" t="str">
        <f t="shared" si="37"/>
        <v>EC</v>
      </c>
      <c r="AH111" s="81" t="str">
        <f t="shared" si="38"/>
        <v>"%USERPROFILE%\Documents\GitHub\eaglep3\Utilities\RefineRTDCRunTimes.py" --tripid 197-07 --locoid 4012 --swversion DE.1.0.9.0 --startMP 204:393 --initTime 2017-05-07T15:37:55 --startdatetime 2017-05-07T15:45:49 --delay 2 --endMP 204:233297 --enddatetime 2017-05-07T16:33:07 --enforcementcount 0 &gt;&gt;C:\Users\stu\Documents\GitHub\eaglep3-reporting\EC\2017-05-07-refined-times.txt</v>
      </c>
      <c r="AI11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{"issue":{"subject":"","project_id":79,"tracker_id":40,"status_id":1,"priority_id":2,"assigned_to_id":23,"start_date":"2017-05-07","description":"","custom_fields":[{"id":1,"name":"Subdivision","value":"EC"},{"id":4,"name":"Milepost","value":"23.3297"},{"id":17,"name":"Train ID","value":"197-07"},{"id":16,"name":"Locomotive ID","value":"4012"},{"id":130,"name":"Impact","value":""},{"id":150,"name":"Time of Event (Mountain Time)","value":"16:33:07"},{"id":151,"name":"Denver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0"/>
        <v>start /low /b %USERPROFILE%\Documents\GitHub\eaglep3\Utilities\DownloadLogsFromS3.py --loco 4012 --day 2017-05-07</v>
      </c>
      <c r="AN11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718</v>
      </c>
      <c r="B112" s="7">
        <v>4011</v>
      </c>
      <c r="C112" s="21" t="s">
        <v>209</v>
      </c>
      <c r="D112" s="21" t="s">
        <v>453</v>
      </c>
      <c r="E112" s="13">
        <v>42862.692280092589</v>
      </c>
      <c r="F112" s="13">
        <v>42862.693437499998</v>
      </c>
      <c r="G112" s="7">
        <v>1</v>
      </c>
      <c r="H112" s="21" t="s">
        <v>357</v>
      </c>
      <c r="I112" s="13">
        <v>42862.694444444445</v>
      </c>
      <c r="J112" s="7">
        <v>0</v>
      </c>
      <c r="K112" s="92" t="str">
        <f t="shared" si="23"/>
        <v>4011/4012</v>
      </c>
      <c r="L112" s="21" t="str">
        <f>VLOOKUP(A112,'Trips&amp;Operators'!$C$1:$G$99999,5,FALSE)</f>
        <v>ROMERO CHAD</v>
      </c>
      <c r="M112" s="6">
        <f t="shared" si="24"/>
        <v>1.006944446999114E-3</v>
      </c>
      <c r="N112" s="7"/>
      <c r="O112" s="7"/>
      <c r="P112" s="7">
        <f t="shared" si="25"/>
        <v>1.4500000036787242</v>
      </c>
      <c r="Q112" s="22"/>
      <c r="R112" s="190" t="s">
        <v>969</v>
      </c>
      <c r="S112" s="196">
        <f t="shared" si="26"/>
        <v>1</v>
      </c>
      <c r="T112" s="190" t="str">
        <f t="shared" si="27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8"/>
        <v>https://d0f6bd738d7f1b3e5a7ca70fe4ff75f0.us-east-1.aws.found.io/app/kibana#/discover/Steve-Slow-Train-Analysis-(2080s-and-2083s)?_g=(refreshInterval:(display:Off,pause:!f,section:0,value:0),time:(from:'2017-05-07T15:36:53-0600',mode:absolute,to:'2017-05-07T17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2" s="192" t="str">
        <f t="shared" si="29"/>
        <v>N</v>
      </c>
      <c r="X112" s="192">
        <f t="shared" si="30"/>
        <v>1</v>
      </c>
      <c r="Y112" s="192">
        <f t="shared" si="31"/>
        <v>23.3004</v>
      </c>
      <c r="Z112" s="192">
        <f t="shared" si="32"/>
        <v>1.38E-2</v>
      </c>
      <c r="AA112" s="192">
        <f t="shared" si="33"/>
        <v>23.2866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4"/>
        <v>0198-07</v>
      </c>
      <c r="AE112" s="80" t="str">
        <f t="shared" si="35"/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AF112" s="77" t="str">
        <f t="shared" si="36"/>
        <v>"C:\Program Files (x86)\AstroGrep\AstroGrep.exe" /e /r /s /spath="%USERPROFILE%\AppData\Local\Temp\OnboardLogs" /stypes="app*4011*20170507*" /stext=" 22:.+((SYSTEM_STATE.+slice.+state.+changed )|(ment ac)|(multiple cpu faults)|(system.+state.+changed )|(\[timeout)|(PRM\|1\|D)|(kpr)|(kdp)|(train st.+moving)|(\|lc)|(penalty))"</v>
      </c>
      <c r="AG112" s="1" t="str">
        <f t="shared" si="37"/>
        <v>EC</v>
      </c>
      <c r="AH112" s="81" t="str">
        <f t="shared" si="38"/>
        <v>"%USERPROFILE%\Documents\GitHub\eaglep3\Utilities\RefineRTDCRunTimes.py" --tripid 198-07 --locoid 4011 --swversion DE.1.0.9.0 --startMP 204:233004 --initTime 2017-05-07T16:36:53 --startdatetime 2017-05-07T16:38:33 --delay 1 --endMP 204:138 --enddatetime 2017-05-07T16:40:00 --enforcementcount 0 &gt;&gt;C:\Users\stu\Documents\GitHub\eaglep3-reporting\EC\2017-05-07-refined-times.txt</v>
      </c>
      <c r="AI112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failure","project_id":79,"tracker_id":40,"status_id":1,"priority_id":2,"assigned_to_id":23,"start_date":"2017-05-07","description":"","custom_fields":[{"id":1,"name":"Subdivision","value":"EC"},{"id":4,"name":"Milepost","value":"0.0138"},{"id":17,"name":"Train ID","value":"198-07"},{"id":16,"name":"Locomotive ID","value":"4011"},{"id":130,"name":"Impact","value":""},{"id":150,"name":"Time of Event (Mountain Time)","value":"16:40:00"},{"id":151,"name":"Denver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0"/>
        <v>start /low /b %USERPROFILE%\Documents\GitHub\eaglep3\Utilities\DownloadLogsFromS3.py --loco 4011 --day 2017-05-07</v>
      </c>
      <c r="AN112" s="154" t="str">
        <f t="shared" si="4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713</v>
      </c>
      <c r="B113" s="7">
        <v>4004</v>
      </c>
      <c r="C113" s="21" t="s">
        <v>209</v>
      </c>
      <c r="D113" s="21" t="s">
        <v>388</v>
      </c>
      <c r="E113" s="13">
        <v>42862.669953703706</v>
      </c>
      <c r="F113" s="13">
        <v>42862.671076388891</v>
      </c>
      <c r="G113" s="7">
        <v>0</v>
      </c>
      <c r="H113" s="21" t="s">
        <v>801</v>
      </c>
      <c r="I113" s="13">
        <v>42862.700555555559</v>
      </c>
      <c r="J113" s="7">
        <v>0</v>
      </c>
      <c r="K113" s="92" t="str">
        <f t="shared" si="23"/>
        <v>4003/4004</v>
      </c>
      <c r="L113" s="21" t="str">
        <f>VLOOKUP(A113,'Trips&amp;Operators'!$C$1:$G$99999,5,FALSE)</f>
        <v>BRANDNER MELINDA</v>
      </c>
      <c r="M113" s="6">
        <f t="shared" si="24"/>
        <v>2.9479166667442769E-2</v>
      </c>
      <c r="N113" s="7">
        <f t="shared" si="25"/>
        <v>42.450000001117587</v>
      </c>
      <c r="O113" s="7"/>
      <c r="P113" s="7"/>
      <c r="Q113" s="22"/>
      <c r="R113" s="190"/>
      <c r="S113" s="196">
        <f t="shared" si="26"/>
        <v>1</v>
      </c>
      <c r="T113" s="190" t="str">
        <f t="shared" si="27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8"/>
        <v>https://d0f6bd738d7f1b3e5a7ca70fe4ff75f0.us-east-1.aws.found.io/app/kibana#/discover/Steve-Slow-Train-Analysis-(2080s-and-2083s)?_g=(refreshInterval:(display:Off,pause:!f,section:0,value:0),time:(from:'2017-05-07T15:04:44-0600',mode:absolute,to:'2017-05-07T17:48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3" s="192" t="str">
        <f t="shared" si="29"/>
        <v>N</v>
      </c>
      <c r="X113" s="192">
        <f t="shared" si="30"/>
        <v>1</v>
      </c>
      <c r="Y113" s="192">
        <f t="shared" si="31"/>
        <v>4.3999999999999997E-2</v>
      </c>
      <c r="Z113" s="192">
        <f t="shared" si="32"/>
        <v>23.333600000000001</v>
      </c>
      <c r="AA113" s="192">
        <f t="shared" si="33"/>
        <v>23.2896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4"/>
        <v>0199-07</v>
      </c>
      <c r="AE113" s="80" t="str">
        <f t="shared" si="3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13" s="77" t="str">
        <f t="shared" si="36"/>
        <v>"C:\Program Files (x86)\AstroGrep\AstroGrep.exe" /e /r /s /spath="%USERPROFILE%\AppData\Local\Temp\OnboardLogs" /stypes="app*4004*20170507*" /stext=" 22:.+((SYSTEM_STATE.+slice.+state.+changed )|(ment ac)|(multiple cpu faults)|(system.+state.+changed )|(\[timeout)|(PRM\|1\|D)|(kpr)|(kdp)|(train st.+moving)|(\|lc)|(penalty))"</v>
      </c>
      <c r="AG113" s="1" t="str">
        <f t="shared" si="37"/>
        <v>EC</v>
      </c>
      <c r="AH113" s="81" t="str">
        <f t="shared" si="38"/>
        <v>"%USERPROFILE%\Documents\GitHub\eaglep3\Utilities\RefineRTDCRunTimes.py" --tripid 199-07 --locoid 4004 --swversion DE.1.0.9.0 --startMP 204:440 --initTime 2017-05-07T16:04:44 --startdatetime 2017-05-07T16:06:21 --delay 0 --endMP 204:233336 --enddatetime 2017-05-07T16:48:48 --enforcementcount 0 &gt;&gt;C:\Users\stu\Documents\GitHub\eaglep3-reporting\EC\2017-05-07-refined-times.txt</v>
      </c>
      <c r="AI11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{"issue":{"subject":"","project_id":79,"tracker_id":40,"status_id":1,"priority_id":2,"assigned_to_id":23,"start_date":"2017-05-07","description":"","custom_fields":[{"id":1,"name":"Subdivision","value":"EC"},{"id":4,"name":"Milepost","value":"23.3336"},{"id":17,"name":"Train ID","value":"199-07"},{"id":16,"name":"Locomotive ID","value":"4004"},{"id":130,"name":"Impact","value":""},{"id":150,"name":"Time of Event (Mountain Time)","value":"16:48:48"},{"id":151,"name":"Denver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0"/>
        <v>start /low /b %USERPROFILE%\Documents\GitHub\eaglep3\Utilities\DownloadLogsFromS3.py --loco 4004 --day 2017-05-07</v>
      </c>
      <c r="AN11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22:48:48"},{"id":29,"name":"Sharepoint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576</v>
      </c>
      <c r="B114" s="7">
        <v>4003</v>
      </c>
      <c r="C114" s="21" t="s">
        <v>209</v>
      </c>
      <c r="D114" s="21" t="s">
        <v>883</v>
      </c>
      <c r="E114" s="13">
        <v>42862.705821759257</v>
      </c>
      <c r="F114" s="13">
        <v>42862.707592592589</v>
      </c>
      <c r="G114" s="7">
        <v>1</v>
      </c>
      <c r="H114" s="21" t="s">
        <v>198</v>
      </c>
      <c r="I114" s="13">
        <v>42862.741770833331</v>
      </c>
      <c r="J114" s="7">
        <v>0</v>
      </c>
      <c r="K114" s="92" t="str">
        <f t="shared" si="23"/>
        <v>4003/4004</v>
      </c>
      <c r="L114" s="21" t="str">
        <f>VLOOKUP(A114,'Trips&amp;Operators'!$C$1:$G$99999,5,FALSE)</f>
        <v>BRANDNER MELINDA</v>
      </c>
      <c r="M114" s="6">
        <f t="shared" si="24"/>
        <v>3.4178240741312038E-2</v>
      </c>
      <c r="N114" s="7">
        <f t="shared" si="25"/>
        <v>49.216666667489335</v>
      </c>
      <c r="O114" s="7"/>
      <c r="P114" s="7"/>
      <c r="Q114" s="22"/>
      <c r="R114" s="190"/>
      <c r="S114" s="196">
        <f t="shared" si="26"/>
        <v>1</v>
      </c>
      <c r="T114" s="190" t="str">
        <f t="shared" si="27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8"/>
        <v>https://d0f6bd738d7f1b3e5a7ca70fe4ff75f0.us-east-1.aws.found.io/app/kibana#/discover/Steve-Slow-Train-Analysis-(2080s-and-2083s)?_g=(refreshInterval:(display:Off,pause:!f,section:0,value:0),time:(from:'2017-05-07T15:56:23-0600',mode:absolute,to:'2017-05-07T18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4" s="192" t="str">
        <f t="shared" si="29"/>
        <v>N</v>
      </c>
      <c r="X114" s="192">
        <f t="shared" si="30"/>
        <v>1</v>
      </c>
      <c r="Y114" s="192">
        <f t="shared" si="31"/>
        <v>23.302600000000002</v>
      </c>
      <c r="Z114" s="192">
        <f t="shared" si="32"/>
        <v>1.5800000000000002E-2</v>
      </c>
      <c r="AA114" s="192">
        <f t="shared" si="33"/>
        <v>23.286800000000003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4"/>
        <v>0200-07</v>
      </c>
      <c r="AE114" s="80" t="str">
        <f t="shared" si="3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14" s="77" t="str">
        <f t="shared" si="36"/>
        <v>"C:\Program Files (x86)\AstroGrep\AstroGrep.exe" /e /r /s /spath="%USERPROFILE%\AppData\Local\Temp\OnboardLogs" /stypes="app*4003*20170507*" /stext=" 23:.+((SYSTEM_STATE.+slice.+state.+changed )|(ment ac)|(multiple cpu faults)|(system.+state.+changed )|(\[timeout)|(PRM\|1\|D)|(kpr)|(kdp)|(train st.+moving)|(\|lc)|(penalty))"</v>
      </c>
      <c r="AG114" s="1" t="str">
        <f t="shared" si="37"/>
        <v>EC</v>
      </c>
      <c r="AH114" s="81" t="str">
        <f t="shared" si="38"/>
        <v>"%USERPROFILE%\Documents\GitHub\eaglep3\Utilities\RefineRTDCRunTimes.py" --tripid 200-07 --locoid 4003 --swversion DE.1.0.9.0 --startMP 204:233026 --initTime 2017-05-07T16:56:23 --startdatetime 2017-05-07T16:58:56 --delay 1 --endMP 204:158 --enddatetime 2017-05-07T17:48:09 --enforcementcount 0 &gt;&gt;C:\Users\stu\Documents\GitHub\eaglep3-reporting\EC\2017-05-07-refined-times.txt</v>
      </c>
      <c r="AI11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{"issue":{"subject":"","project_id":79,"tracker_id":40,"status_id":1,"priority_id":2,"assigned_to_id":23,"start_date":"2017-05-07","description":"","custom_fields":[{"id":1,"name":"Subdivision","value":"EC"},{"id":4,"name":"Milepost","value":"0.0158"},{"id":17,"name":"Train ID","value":"200-07"},{"id":16,"name":"Locomotive ID","value":"4003"},{"id":130,"name":"Impact","value":""},{"id":150,"name":"Time of Event (Mountain Time)","value":"17:48:09"},{"id":151,"name":"Denver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0"/>
        <v>start /low /b %USERPROFILE%\Documents\GitHub\eaglep3\Utilities\DownloadLogsFromS3.py --loco 4003 --day 2017-05-07</v>
      </c>
      <c r="AN114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2" t="s">
        <v>716</v>
      </c>
      <c r="B115" s="7">
        <v>4020</v>
      </c>
      <c r="C115" s="21" t="s">
        <v>209</v>
      </c>
      <c r="D115" s="21" t="s">
        <v>386</v>
      </c>
      <c r="E115" s="13">
        <v>42862.682789351849</v>
      </c>
      <c r="F115" s="13">
        <v>42862.685069444444</v>
      </c>
      <c r="G115" s="7">
        <v>1</v>
      </c>
      <c r="H115" s="21" t="s">
        <v>430</v>
      </c>
      <c r="I115" s="13">
        <v>42862.712222222224</v>
      </c>
      <c r="J115" s="7">
        <v>0</v>
      </c>
      <c r="K115" s="92" t="str">
        <f t="shared" si="23"/>
        <v>4019/4020</v>
      </c>
      <c r="L115" s="21" t="str">
        <f>VLOOKUP(A115,'Trips&amp;Operators'!$C$1:$G$99999,5,FALSE)</f>
        <v>STEWART MICHAEL</v>
      </c>
      <c r="M115" s="6">
        <f t="shared" si="24"/>
        <v>2.715277778042946E-2</v>
      </c>
      <c r="N115" s="7">
        <f t="shared" si="25"/>
        <v>39.100000003818423</v>
      </c>
      <c r="O115" s="7"/>
      <c r="P115" s="7"/>
      <c r="Q115" s="22"/>
      <c r="R115" s="190"/>
      <c r="S115" s="196">
        <f t="shared" si="26"/>
        <v>1</v>
      </c>
      <c r="T115" s="190" t="str">
        <f t="shared" si="27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8"/>
        <v>https://d0f6bd738d7f1b3e5a7ca70fe4ff75f0.us-east-1.aws.found.io/app/kibana#/discover/Steve-Slow-Train-Analysis-(2080s-and-2083s)?_g=(refreshInterval:(display:Off,pause:!f,section:0,value:0),time:(from:'2017-05-07T15:23:13-0600',mode:absolute,to:'2017-05-07T18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2" t="str">
        <f t="shared" si="29"/>
        <v>N</v>
      </c>
      <c r="X115" s="192">
        <f t="shared" si="30"/>
        <v>1</v>
      </c>
      <c r="Y115" s="192">
        <f t="shared" si="31"/>
        <v>4.53E-2</v>
      </c>
      <c r="Z115" s="192">
        <f t="shared" si="32"/>
        <v>23.329799999999999</v>
      </c>
      <c r="AA115" s="192">
        <f t="shared" si="33"/>
        <v>23.284499999999998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4"/>
        <v>0201-07</v>
      </c>
      <c r="AE115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15" s="77" t="str">
        <f t="shared" si="36"/>
        <v>"C:\Program Files (x86)\AstroGrep\AstroGrep.exe" /e /r /s /spath="%USERPROFILE%\AppData\Local\Temp\OnboardLogs" /stypes="app*4020*20170507*" /stext=" 23:.+((SYSTEM_STATE.+slice.+state.+changed )|(ment ac)|(multiple cpu faults)|(system.+state.+changed )|(\[timeout)|(PRM\|1\|D)|(kpr)|(kdp)|(train st.+moving)|(\|lc)|(penalty))"</v>
      </c>
      <c r="AG115" s="1" t="str">
        <f t="shared" si="37"/>
        <v>EC</v>
      </c>
      <c r="AH115" s="81" t="str">
        <f t="shared" si="38"/>
        <v>"%USERPROFILE%\Documents\GitHub\eaglep3\Utilities\RefineRTDCRunTimes.py" --tripid 201-07 --locoid 4020 --swversion DE.1.0.9.0 --startMP 204:453 --initTime 2017-05-07T16:23:13 --startdatetime 2017-05-07T16:26:30 --delay 1 --endMP 204:233298 --enddatetime 2017-05-07T17:05:36 --enforcementcount 0 &gt;&gt;C:\Users\stu\Documents\GitHub\eaglep3-reporting\EC\2017-05-07-refined-times.txt</v>
      </c>
      <c r="AI11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{"issue":{"subject":"","project_id":79,"tracker_id":40,"status_id":1,"priority_id":2,"assigned_to_id":23,"start_date":"2017-05-07","description":"","custom_fields":[{"id":1,"name":"Subdivision","value":"EC"},{"id":4,"name":"Milepost","value":"23.3298"},{"id":17,"name":"Train ID","value":"201-07"},{"id":16,"name":"Locomotive ID","value":"4020"},{"id":130,"name":"Impact","value":""},{"id":150,"name":"Time of Event (Mountain Time)","value":"17:05:36"},{"id":151,"name":"Denver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20"/>
      <c r="AK115" s="47"/>
      <c r="AL115" s="47"/>
      <c r="AM115" s="145" t="str">
        <f t="shared" si="40"/>
        <v>start /low /b %USERPROFILE%\Documents\GitHub\eaglep3\Utilities\DownloadLogsFromS3.py --loco 4020 --day 2017-05-07</v>
      </c>
      <c r="AN115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2" t="s">
        <v>581</v>
      </c>
      <c r="B116" s="7">
        <v>4019</v>
      </c>
      <c r="C116" s="21" t="s">
        <v>209</v>
      </c>
      <c r="D116" s="21" t="s">
        <v>543</v>
      </c>
      <c r="E116" s="13">
        <v>42862.716226851851</v>
      </c>
      <c r="F116" s="13">
        <v>42862.718946759262</v>
      </c>
      <c r="G116" s="7">
        <v>1</v>
      </c>
      <c r="H116" s="21" t="s">
        <v>884</v>
      </c>
      <c r="I116" s="13">
        <v>42862.748067129629</v>
      </c>
      <c r="J116" s="7">
        <v>0</v>
      </c>
      <c r="K116" s="92" t="str">
        <f t="shared" si="23"/>
        <v>4019/4020</v>
      </c>
      <c r="L116" s="21" t="str">
        <f>VLOOKUP(A116,'Trips&amp;Operators'!$C$1:$G$99999,5,FALSE)</f>
        <v>STEWART MICHAEL</v>
      </c>
      <c r="M116" s="6">
        <f t="shared" si="24"/>
        <v>2.9120370367309079E-2</v>
      </c>
      <c r="N116" s="7">
        <f t="shared" si="25"/>
        <v>41.933333328925073</v>
      </c>
      <c r="O116" s="7"/>
      <c r="P116" s="7"/>
      <c r="Q116" s="22"/>
      <c r="R116" s="190"/>
      <c r="S116" s="196">
        <f t="shared" si="26"/>
        <v>1</v>
      </c>
      <c r="T116" s="190" t="str">
        <f t="shared" si="27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8"/>
        <v>https://d0f6bd738d7f1b3e5a7ca70fe4ff75f0.us-east-1.aws.found.io/app/kibana#/discover/Steve-Slow-Train-Analysis-(2080s-and-2083s)?_g=(refreshInterval:(display:Off,pause:!f,section:0,value:0),time:(from:'2017-05-07T16:11:22-0600',mode:absolute,to:'2017-05-07T18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2" t="str">
        <f t="shared" si="29"/>
        <v>N</v>
      </c>
      <c r="X116" s="192">
        <f t="shared" si="30"/>
        <v>1</v>
      </c>
      <c r="Y116" s="192">
        <f t="shared" si="31"/>
        <v>23.297599999999999</v>
      </c>
      <c r="Z116" s="192">
        <f t="shared" si="32"/>
        <v>6.3899999999999998E-2</v>
      </c>
      <c r="AA116" s="192">
        <f t="shared" si="33"/>
        <v>23.233699999999999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4"/>
        <v>0202-07</v>
      </c>
      <c r="AE116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16" s="77" t="str">
        <f t="shared" si="36"/>
        <v>"C:\Program Files (x86)\AstroGrep\AstroGrep.exe" /e /r /s /spath="%USERPROFILE%\AppData\Local\Temp\OnboardLogs" /stypes="app*4019*20170507*" /stext=" 23:.+((SYSTEM_STATE.+slice.+state.+changed )|(ment ac)|(multiple cpu faults)|(system.+state.+changed )|(\[timeout)|(PRM\|1\|D)|(kpr)|(kdp)|(train st.+moving)|(\|lc)|(penalty))"</v>
      </c>
      <c r="AG116" s="1" t="str">
        <f t="shared" si="37"/>
        <v>EC</v>
      </c>
      <c r="AH116" s="81" t="str">
        <f t="shared" si="38"/>
        <v>"%USERPROFILE%\Documents\GitHub\eaglep3\Utilities\RefineRTDCRunTimes.py" --tripid 202-07 --locoid 4019 --swversion DE.1.0.9.0 --startMP 204:232976 --initTime 2017-05-07T17:11:22 --startdatetime 2017-05-07T17:15:17 --delay 1 --endMP 204:639 --enddatetime 2017-05-07T17:57:13 --enforcementcount 0 &gt;&gt;C:\Users\stu\Documents\GitHub\eaglep3-reporting\EC\2017-05-07-refined-times.txt</v>
      </c>
      <c r="AI11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{"issue":{"subject":"","project_id":79,"tracker_id":40,"status_id":1,"priority_id":2,"assigned_to_id":23,"start_date":"2017-05-07","description":"","custom_fields":[{"id":1,"name":"Subdivision","value":"EC"},{"id":4,"name":"Milepost","value":"0.0639"},{"id":17,"name":"Train ID","value":"202-07"},{"id":16,"name":"Locomotive ID","value":"4019"},{"id":130,"name":"Impact","value":""},{"id":150,"name":"Time of Event (Mountain Time)","value":"17:57:13"},{"id":151,"name":"Denver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0"/>
        <v>start /low /b %USERPROFILE%\Documents\GitHub\eaglep3\Utilities\DownloadLogsFromS3.py --loco 4019 --day 2017-05-07</v>
      </c>
      <c r="AN116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720</v>
      </c>
      <c r="B117" s="7">
        <v>4044</v>
      </c>
      <c r="C117" s="21" t="s">
        <v>209</v>
      </c>
      <c r="D117" s="21" t="s">
        <v>377</v>
      </c>
      <c r="E117" s="13">
        <v>42862.695162037038</v>
      </c>
      <c r="F117" s="13">
        <v>42862.696840277778</v>
      </c>
      <c r="G117" s="7">
        <v>1</v>
      </c>
      <c r="H117" s="21" t="s">
        <v>787</v>
      </c>
      <c r="I117" s="13">
        <v>42862.726747685185</v>
      </c>
      <c r="J117" s="7">
        <v>0</v>
      </c>
      <c r="K117" s="92" t="str">
        <f t="shared" si="23"/>
        <v>4043/4044</v>
      </c>
      <c r="L117" s="21" t="str">
        <f>VLOOKUP(A117,'Trips&amp;Operators'!$C$1:$G$99999,5,FALSE)</f>
        <v>DAVIS MICHAEL</v>
      </c>
      <c r="M117" s="6">
        <f t="shared" si="24"/>
        <v>2.9907407406426501E-2</v>
      </c>
      <c r="N117" s="7">
        <f t="shared" si="25"/>
        <v>43.066666665254161</v>
      </c>
      <c r="O117" s="7"/>
      <c r="P117" s="7"/>
      <c r="Q117" s="22"/>
      <c r="R117" s="190"/>
      <c r="S117" s="196">
        <f t="shared" si="26"/>
        <v>1</v>
      </c>
      <c r="T117" s="190" t="str">
        <f t="shared" si="27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8"/>
        <v>https://d0f6bd738d7f1b3e5a7ca70fe4ff75f0.us-east-1.aws.found.io/app/kibana#/discover/Steve-Slow-Train-Analysis-(2080s-and-2083s)?_g=(refreshInterval:(display:Off,pause:!f,section:0,value:0),time:(from:'2017-05-07T15:41:02-0600',mode:absolute,to:'2017-05-07T18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2" t="str">
        <f t="shared" si="29"/>
        <v>N</v>
      </c>
      <c r="X117" s="192">
        <f t="shared" si="30"/>
        <v>1</v>
      </c>
      <c r="Y117" s="192">
        <f t="shared" si="31"/>
        <v>4.5100000000000001E-2</v>
      </c>
      <c r="Z117" s="192">
        <f t="shared" si="32"/>
        <v>23.333400000000001</v>
      </c>
      <c r="AA117" s="192">
        <f t="shared" si="33"/>
        <v>23.2883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4"/>
        <v>0203-07</v>
      </c>
      <c r="AE117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17" s="77" t="str">
        <f t="shared" si="36"/>
        <v>"C:\Program Files (x86)\AstroGrep\AstroGrep.exe" /e /r /s /spath="%USERPROFILE%\AppData\Local\Temp\OnboardLogs" /stypes="app*4044*20170507*" /stext=" 23:.+((SYSTEM_STATE.+slice.+state.+changed )|(ment ac)|(multiple cpu faults)|(system.+state.+changed )|(\[timeout)|(PRM\|1\|D)|(kpr)|(kdp)|(train st.+moving)|(\|lc)|(penalty))"</v>
      </c>
      <c r="AG117" s="1" t="str">
        <f t="shared" si="37"/>
        <v>EC</v>
      </c>
      <c r="AH117" s="81" t="str">
        <f t="shared" si="38"/>
        <v>"%USERPROFILE%\Documents\GitHub\eaglep3\Utilities\RefineRTDCRunTimes.py" --tripid 203-07 --locoid 4044 --swversion DE.1.0.9.0 --startMP 204:451 --initTime 2017-05-07T16:41:02 --startdatetime 2017-05-07T16:43:27 --delay 1 --endMP 204:233334 --enddatetime 2017-05-07T17:26:31 --enforcementcount 0 &gt;&gt;C:\Users\stu\Documents\GitHub\eaglep3-reporting\EC\2017-05-07-refined-times.txt</v>
      </c>
      <c r="AI11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{"issue":{"subject":"","project_id":79,"tracker_id":40,"status_id":1,"priority_id":2,"assigned_to_id":23,"start_date":"2017-05-07","description":"","custom_fields":[{"id":1,"name":"Subdivision","value":"EC"},{"id":4,"name":"Milepost","value":"23.3334"},{"id":17,"name":"Train ID","value":"203-07"},{"id":16,"name":"Locomotive ID","value":"4044"},{"id":130,"name":"Impact","value":""},{"id":150,"name":"Time of Event (Mountain Time)","value":"17:26:31"},{"id":151,"name":"Denver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0"/>
        <v>start /low /b %USERPROFILE%\Documents\GitHub\eaglep3\Utilities\DownloadLogsFromS3.py --loco 4044 --day 2017-05-07</v>
      </c>
      <c r="AN117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582</v>
      </c>
      <c r="B118" s="7">
        <v>4043</v>
      </c>
      <c r="C118" s="21" t="s">
        <v>209</v>
      </c>
      <c r="D118" s="21" t="s">
        <v>441</v>
      </c>
      <c r="E118" s="13">
        <v>42862.72892361111</v>
      </c>
      <c r="F118" s="13">
        <v>42862.730462962965</v>
      </c>
      <c r="G118" s="7">
        <v>1</v>
      </c>
      <c r="H118" s="21" t="s">
        <v>885</v>
      </c>
      <c r="I118" s="13">
        <v>42862.762418981481</v>
      </c>
      <c r="J118" s="7">
        <v>0</v>
      </c>
      <c r="K118" s="92" t="str">
        <f t="shared" si="23"/>
        <v>4043/4044</v>
      </c>
      <c r="L118" s="21" t="str">
        <f>VLOOKUP(A118,'Trips&amp;Operators'!$C$1:$G$99999,5,FALSE)</f>
        <v>DAVIS MICHAEL</v>
      </c>
      <c r="M118" s="6">
        <f t="shared" si="24"/>
        <v>3.195601851621177E-2</v>
      </c>
      <c r="N118" s="7">
        <f t="shared" si="25"/>
        <v>46.016666663344949</v>
      </c>
      <c r="O118" s="7"/>
      <c r="P118" s="7"/>
      <c r="Q118" s="22"/>
      <c r="R118" s="190"/>
      <c r="S118" s="196">
        <f t="shared" si="26"/>
        <v>1</v>
      </c>
      <c r="T118" s="190" t="str">
        <f t="shared" si="27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8"/>
        <v>https://d0f6bd738d7f1b3e5a7ca70fe4ff75f0.us-east-1.aws.found.io/app/kibana#/discover/Steve-Slow-Train-Analysis-(2080s-and-2083s)?_g=(refreshInterval:(display:Off,pause:!f,section:0,value:0),time:(from:'2017-05-07T16:29:39-0600',mode:absolute,to:'2017-05-07T19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2" t="str">
        <f t="shared" si="29"/>
        <v>N</v>
      </c>
      <c r="X118" s="192">
        <f t="shared" si="30"/>
        <v>1</v>
      </c>
      <c r="Y118" s="192">
        <f t="shared" si="31"/>
        <v>23.300599999999999</v>
      </c>
      <c r="Z118" s="192">
        <f t="shared" si="32"/>
        <v>2.1999999999999999E-2</v>
      </c>
      <c r="AA118" s="192">
        <f t="shared" si="33"/>
        <v>23.278600000000001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4"/>
        <v>0204-07</v>
      </c>
      <c r="AE118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18" s="77" t="str">
        <f t="shared" si="36"/>
        <v>"C:\Program Files (x86)\AstroGrep\AstroGrep.exe" /e /r /s /spath="%USERPROFILE%\AppData\Local\Temp\OnboardLogs" /stypes="app*4043*20170508*" /stext=" 00:.+((SYSTEM_STATE.+slice.+state.+changed )|(ment ac)|(multiple cpu faults)|(system.+state.+changed )|(\[timeout)|(PRM\|1\|D)|(kpr)|(kdp)|(train st.+moving)|(\|lc)|(penalty))"</v>
      </c>
      <c r="AG118" s="1" t="str">
        <f t="shared" si="37"/>
        <v>EC</v>
      </c>
      <c r="AH118" s="81" t="str">
        <f t="shared" si="38"/>
        <v>"%USERPROFILE%\Documents\GitHub\eaglep3\Utilities\RefineRTDCRunTimes.py" --tripid 204-07 --locoid 4043 --swversion DE.1.0.9.0 --startMP 204:233006 --initTime 2017-05-07T17:29:39 --startdatetime 2017-05-07T17:31:52 --delay 1 --endMP 204:220 --enddatetime 2017-05-07T18:17:53 --enforcementcount 0 &gt;&gt;C:\Users\stu\Documents\GitHub\eaglep3-reporting\EC\2017-05-07-refined-times.txt</v>
      </c>
      <c r="AI11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{"issue":{"subject":"","project_id":79,"tracker_id":40,"status_id":1,"priority_id":2,"assigned_to_id":23,"start_date":"2017-05-07","description":"","custom_fields":[{"id":1,"name":"Subdivision","value":"EC"},{"id":4,"name":"Milepost","value":"0.022"},{"id":17,"name":"Train ID","value":"204-07"},{"id":16,"name":"Locomotive ID","value":"4043"},{"id":130,"name":"Impact","value":""},{"id":150,"name":"Time of Event (Mountain Time)","value":"18:17:53"},{"id":151,"name":"Denver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0"/>
        <v>start /low /b %USERPROFILE%\Documents\GitHub\eaglep3\Utilities\DownloadLogsFromS3.py --loco 4043 --day 2017-05-07</v>
      </c>
      <c r="AN118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721</v>
      </c>
      <c r="B119" s="7">
        <v>4052</v>
      </c>
      <c r="C119" s="21" t="s">
        <v>209</v>
      </c>
      <c r="D119" s="21" t="s">
        <v>395</v>
      </c>
      <c r="E119" s="13">
        <v>42862.698564814818</v>
      </c>
      <c r="F119" s="13">
        <v>42862.703194444446</v>
      </c>
      <c r="G119" s="7">
        <v>2</v>
      </c>
      <c r="H119" s="21" t="s">
        <v>886</v>
      </c>
      <c r="I119" s="13">
        <v>42862.73337962963</v>
      </c>
      <c r="J119" s="7">
        <v>0</v>
      </c>
      <c r="K119" s="92" t="str">
        <f t="shared" si="23"/>
        <v>4051/4052</v>
      </c>
      <c r="L119" s="21" t="str">
        <f>VLOOKUP(A119,'Trips&amp;Operators'!$C$1:$G$99999,5,FALSE)</f>
        <v>LEVIN SCOTT</v>
      </c>
      <c r="M119" s="6">
        <f t="shared" si="24"/>
        <v>3.0185185183654539E-2</v>
      </c>
      <c r="N119" s="7">
        <f t="shared" si="25"/>
        <v>43.466666664462537</v>
      </c>
      <c r="O119" s="7"/>
      <c r="P119" s="7"/>
      <c r="Q119" s="22"/>
      <c r="R119" s="190"/>
      <c r="S119" s="196">
        <f t="shared" si="26"/>
        <v>1</v>
      </c>
      <c r="T119" s="190" t="str">
        <f t="shared" si="27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8"/>
        <v>https://d0f6bd738d7f1b3e5a7ca70fe4ff75f0.us-east-1.aws.found.io/app/kibana#/discover/Steve-Slow-Train-Analysis-(2080s-and-2083s)?_g=(refreshInterval:(display:Off,pause:!f,section:0,value:0),time:(from:'2017-05-07T15:45:56-0600',mode:absolute,to:'2017-05-07T18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19" s="192" t="str">
        <f t="shared" si="29"/>
        <v>N</v>
      </c>
      <c r="X119" s="192">
        <f t="shared" si="30"/>
        <v>1</v>
      </c>
      <c r="Y119" s="192">
        <f t="shared" si="31"/>
        <v>4.4699999999999997E-2</v>
      </c>
      <c r="Z119" s="192">
        <f t="shared" si="32"/>
        <v>23.336200000000002</v>
      </c>
      <c r="AA119" s="192">
        <f t="shared" si="33"/>
        <v>23.291500000000003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4"/>
        <v>0205-07</v>
      </c>
      <c r="AE119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19" s="77" t="str">
        <f t="shared" si="36"/>
        <v>"C:\Program Files (x86)\AstroGrep\AstroGrep.exe" /e /r /s /spath="%USERPROFILE%\AppData\Local\Temp\OnboardLogs" /stypes="app*4052*20170507*" /stext=" 23:.+((SYSTEM_STATE.+slice.+state.+changed )|(ment ac)|(multiple cpu faults)|(system.+state.+changed )|(\[timeout)|(PRM\|1\|D)|(kpr)|(kdp)|(train st.+moving)|(\|lc)|(penalty))"</v>
      </c>
      <c r="AG119" s="1" t="str">
        <f t="shared" si="37"/>
        <v>EC</v>
      </c>
      <c r="AH119" s="81" t="str">
        <f t="shared" si="38"/>
        <v>"%USERPROFILE%\Documents\GitHub\eaglep3\Utilities\RefineRTDCRunTimes.py" --tripid 205-07 --locoid 4052 --swversion DE.1.0.9.0 --startMP 204:447 --initTime 2017-05-07T16:45:56 --startdatetime 2017-05-07T16:52:36 --delay 2 --endMP 204:233362 --enddatetime 2017-05-07T17:36:04 --enforcementcount 0 &gt;&gt;C:\Users\stu\Documents\GitHub\eaglep3-reporting\EC\2017-05-07-refined-times.txt</v>
      </c>
      <c r="AI11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{"issue":{"subject":"","project_id":79,"tracker_id":40,"status_id":1,"priority_id":2,"assigned_to_id":23,"start_date":"2017-05-07","description":"","custom_fields":[{"id":1,"name":"Subdivision","value":"EC"},{"id":4,"name":"Milepost","value":"23.3362"},{"id":17,"name":"Train ID","value":"205-07"},{"id":16,"name":"Locomotive ID","value":"4052"},{"id":130,"name":"Impact","value":""},{"id":150,"name":"Time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0"/>
        <v>start /low /b %USERPROFILE%\Documents\GitHub\eaglep3\Utilities\DownloadLogsFromS3.py --loco 4052 --day 2017-05-07</v>
      </c>
      <c r="AN119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726</v>
      </c>
      <c r="B120" s="7">
        <v>4051</v>
      </c>
      <c r="C120" s="21" t="s">
        <v>209</v>
      </c>
      <c r="D120" s="21" t="s">
        <v>859</v>
      </c>
      <c r="E120" s="13">
        <v>42862.736493055556</v>
      </c>
      <c r="F120" s="13">
        <v>42862.73778935185</v>
      </c>
      <c r="G120" s="7">
        <v>1</v>
      </c>
      <c r="H120" s="21" t="s">
        <v>537</v>
      </c>
      <c r="I120" s="13">
        <v>42862.768738425926</v>
      </c>
      <c r="J120" s="7">
        <v>0</v>
      </c>
      <c r="K120" s="92" t="str">
        <f t="shared" si="23"/>
        <v>4051/4052</v>
      </c>
      <c r="L120" s="21" t="str">
        <f>VLOOKUP(A120,'Trips&amp;Operators'!$C$1:$G$99999,5,FALSE)</f>
        <v>LEVIN SCOTT</v>
      </c>
      <c r="M120" s="6">
        <f t="shared" si="24"/>
        <v>3.0949074076488614E-2</v>
      </c>
      <c r="N120" s="7">
        <f t="shared" si="25"/>
        <v>44.566666670143604</v>
      </c>
      <c r="O120" s="7"/>
      <c r="P120" s="7"/>
      <c r="Q120" s="22"/>
      <c r="R120" s="190"/>
      <c r="S120" s="196">
        <f t="shared" si="26"/>
        <v>1</v>
      </c>
      <c r="T120" s="190" t="str">
        <f t="shared" si="27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8"/>
        <v>https://d0f6bd738d7f1b3e5a7ca70fe4ff75f0.us-east-1.aws.found.io/app/kibana#/discover/Steve-Slow-Train-Analysis-(2080s-and-2083s)?_g=(refreshInterval:(display:Off,pause:!f,section:0,value:0),time:(from:'2017-05-07T16:40:33-0600',mode:absolute,to:'2017-05-07T19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0" s="192" t="str">
        <f t="shared" si="29"/>
        <v>N</v>
      </c>
      <c r="X120" s="192">
        <f t="shared" si="30"/>
        <v>1</v>
      </c>
      <c r="Y120" s="192">
        <f t="shared" si="31"/>
        <v>23.302099999999999</v>
      </c>
      <c r="Z120" s="192">
        <f t="shared" si="32"/>
        <v>1.23E-2</v>
      </c>
      <c r="AA120" s="192">
        <f t="shared" si="33"/>
        <v>23.2898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4"/>
        <v>0206-07</v>
      </c>
      <c r="AE120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20" s="77" t="str">
        <f t="shared" si="36"/>
        <v>"C:\Program Files (x86)\AstroGrep\AstroGrep.exe" /e /r /s /spath="%USERPROFILE%\AppData\Local\Temp\OnboardLogs" /stypes="app*4051*20170508*" /stext=" 00:.+((SYSTEM_STATE.+slice.+state.+changed )|(ment ac)|(multiple cpu faults)|(system.+state.+changed )|(\[timeout)|(PRM\|1\|D)|(kpr)|(kdp)|(train st.+moving)|(\|lc)|(penalty))"</v>
      </c>
      <c r="AG120" s="1" t="str">
        <f t="shared" si="37"/>
        <v>EC</v>
      </c>
      <c r="AH120" s="81" t="str">
        <f t="shared" si="38"/>
        <v>"%USERPROFILE%\Documents\GitHub\eaglep3\Utilities\RefineRTDCRunTimes.py" --tripid 206-07 --locoid 4051 --swversion DE.1.0.9.0 --startMP 204:233021 --initTime 2017-05-07T17:40:33 --startdatetime 2017-05-07T17:42:25 --delay 1 --endMP 204:123 --enddatetime 2017-05-07T18:26:59 --enforcementcount 0 &gt;&gt;C:\Users\stu\Documents\GitHub\eaglep3-reporting\EC\2017-05-07-refined-times.txt</v>
      </c>
      <c r="AI12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{"issue":{"subject":"","project_id":79,"tracker_id":40,"status_id":1,"priority_id":2,"assigned_to_id":23,"start_date":"2017-05-07","description":"","custom_fields":[{"id":1,"name":"Subdivision","value":"EC"},{"id":4,"name":"Milepost","value":"0.0123"},{"id":17,"name":"Train ID","value":"206-07"},{"id":16,"name":"Locomotive ID","value":"4051"},{"id":130,"name":"Impact","value":""},{"id":150,"name":"Time of Event (Mountain Time)","value":"18:26:59"},{"id":151,"name":"Denver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0"/>
        <v>start /low /b %USERPROFILE%\Documents\GitHub\eaglep3\Utilities\DownloadLogsFromS3.py --loco 4051 --day 2017-05-07</v>
      </c>
      <c r="AN120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722</v>
      </c>
      <c r="B121" s="7">
        <v>4026</v>
      </c>
      <c r="C121" s="21" t="s">
        <v>209</v>
      </c>
      <c r="D121" s="21" t="s">
        <v>393</v>
      </c>
      <c r="E121" s="13">
        <v>42862.705914351849</v>
      </c>
      <c r="F121" s="13">
        <v>42862.709189814814</v>
      </c>
      <c r="G121" s="7">
        <v>2</v>
      </c>
      <c r="H121" s="21" t="s">
        <v>517</v>
      </c>
      <c r="I121" s="13">
        <v>42862.737500000003</v>
      </c>
      <c r="J121" s="7">
        <v>0</v>
      </c>
      <c r="K121" s="92" t="str">
        <f t="shared" si="23"/>
        <v>4025/4026</v>
      </c>
      <c r="L121" s="21" t="str">
        <f>VLOOKUP(A121,'Trips&amp;Operators'!$C$1:$G$99999,5,FALSE)</f>
        <v>SAFIEF AEIMEN</v>
      </c>
      <c r="M121" s="6">
        <f t="shared" si="24"/>
        <v>2.8310185189184267E-2</v>
      </c>
      <c r="N121" s="7">
        <f t="shared" si="25"/>
        <v>40.766666672425345</v>
      </c>
      <c r="O121" s="7"/>
      <c r="P121" s="7"/>
      <c r="Q121" s="22"/>
      <c r="R121" s="190"/>
      <c r="S121" s="196">
        <f t="shared" si="26"/>
        <v>1</v>
      </c>
      <c r="T121" s="190" t="str">
        <f t="shared" si="27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8"/>
        <v>https://d0f6bd738d7f1b3e5a7ca70fe4ff75f0.us-east-1.aws.found.io/app/kibana#/discover/Steve-Slow-Train-Analysis-(2080s-and-2083s)?_g=(refreshInterval:(display:Off,pause:!f,section:0,value:0),time:(from:'2017-05-07T15:56:31-0600',mode:absolute,to:'2017-05-07T18:42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92" t="str">
        <f t="shared" si="29"/>
        <v>N</v>
      </c>
      <c r="X121" s="192">
        <f t="shared" si="30"/>
        <v>1</v>
      </c>
      <c r="Y121" s="192">
        <f t="shared" si="31"/>
        <v>4.4400000000000002E-2</v>
      </c>
      <c r="Z121" s="192">
        <f t="shared" si="32"/>
        <v>23.338000000000001</v>
      </c>
      <c r="AA121" s="192">
        <f t="shared" si="33"/>
        <v>23.293600000000001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4"/>
        <v>0207-07</v>
      </c>
      <c r="AE121" s="80" t="str">
        <f t="shared" si="3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121" s="77" t="str">
        <f t="shared" si="36"/>
        <v>"C:\Program Files (x86)\AstroGrep\AstroGrep.exe" /e /r /s /spath="%USERPROFILE%\AppData\Local\Temp\OnboardLogs" /stypes="app*4026*20170507*" /stext=" 23:.+((SYSTEM_STATE.+slice.+state.+changed )|(ment ac)|(multiple cpu faults)|(system.+state.+changed )|(\[timeout)|(PRM\|1\|D)|(kpr)|(kdp)|(train st.+moving)|(\|lc)|(penalty))"</v>
      </c>
      <c r="AG121" s="1" t="str">
        <f t="shared" si="37"/>
        <v>EC</v>
      </c>
      <c r="AH121" s="81" t="str">
        <f t="shared" si="38"/>
        <v>"%USERPROFILE%\Documents\GitHub\eaglep3\Utilities\RefineRTDCRunTimes.py" --tripid 207-07 --locoid 4026 --swversion DE.1.0.9.0 --startMP 204:444 --initTime 2017-05-07T16:56:31 --startdatetime 2017-05-07T17:01:14 --delay 2 --endMP 204:233380 --enddatetime 2017-05-07T17:42:00 --enforcementcount 0 &gt;&gt;C:\Users\stu\Documents\GitHub\eaglep3-reporting\EC\2017-05-07-refined-times.txt</v>
      </c>
      <c r="AI12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{"issue":{"subject":"","project_id":79,"tracker_id":40,"status_id":1,"priority_id":2,"assigned_to_id":23,"start_date":"2017-05-07","description":"","custom_fields":[{"id":1,"name":"Subdivision","value":"EC"},{"id":4,"name":"Milepost","value":"23.338"},{"id":17,"name":"Train ID","value":"207-07"},{"id":16,"name":"Locomotive ID","value":"4026"},{"id":130,"name":"Impact","value":""},{"id":150,"name":"Time of Event (Mountain Time)","value":"17:42:00"},{"id":151,"name":"Denver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0"/>
        <v>start /low /b %USERPROFILE%\Documents\GitHub\eaglep3\Utilities\DownloadLogsFromS3.py --loco 4026 --day 2017-05-07</v>
      </c>
      <c r="AN121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23:42:00"},{"id":29,"name":"Sharepoint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585</v>
      </c>
      <c r="B122" s="7">
        <v>4025</v>
      </c>
      <c r="C122" s="21" t="s">
        <v>209</v>
      </c>
      <c r="D122" s="21" t="s">
        <v>887</v>
      </c>
      <c r="E122" s="13">
        <v>42862.739756944444</v>
      </c>
      <c r="F122" s="13">
        <v>42862.747557870367</v>
      </c>
      <c r="G122" s="7">
        <v>1</v>
      </c>
      <c r="H122" s="21" t="s">
        <v>888</v>
      </c>
      <c r="I122" s="13">
        <v>42862.777754629627</v>
      </c>
      <c r="J122" s="7">
        <v>0</v>
      </c>
      <c r="K122" s="92" t="str">
        <f t="shared" si="23"/>
        <v>4025/4026</v>
      </c>
      <c r="L122" s="21" t="str">
        <f>VLOOKUP(A122,'Trips&amp;Operators'!$C$1:$G$99999,5,FALSE)</f>
        <v>SAFIEF AEIMEN</v>
      </c>
      <c r="M122" s="6">
        <f t="shared" si="24"/>
        <v>3.0196759260434192E-2</v>
      </c>
      <c r="N122" s="7">
        <f t="shared" si="25"/>
        <v>43.483333335025236</v>
      </c>
      <c r="O122" s="7"/>
      <c r="P122" s="7"/>
      <c r="Q122" s="22"/>
      <c r="R122" s="190"/>
      <c r="S122" s="196">
        <f t="shared" si="26"/>
        <v>1</v>
      </c>
      <c r="T122" s="190" t="str">
        <f t="shared" si="27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8"/>
        <v>https://d0f6bd738d7f1b3e5a7ca70fe4ff75f0.us-east-1.aws.found.io/app/kibana#/discover/Steve-Slow-Train-Analysis-(2080s-and-2083s)?_g=(refreshInterval:(display:Off,pause:!f,section:0,value:0),time:(from:'2017-05-07T16:45:15-0600',mode:absolute,to:'2017-05-07T19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92" t="str">
        <f t="shared" si="29"/>
        <v>N</v>
      </c>
      <c r="X122" s="192">
        <f t="shared" si="30"/>
        <v>1</v>
      </c>
      <c r="Y122" s="192">
        <f t="shared" si="31"/>
        <v>23.304300000000001</v>
      </c>
      <c r="Z122" s="192">
        <f t="shared" si="32"/>
        <v>0.10299999999999999</v>
      </c>
      <c r="AA122" s="192">
        <f t="shared" si="33"/>
        <v>23.2013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4"/>
        <v>0208-07</v>
      </c>
      <c r="AE122" s="80" t="str">
        <f t="shared" si="35"/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122" s="77" t="str">
        <f t="shared" si="36"/>
        <v>"C:\Program Files (x86)\AstroGrep\AstroGrep.exe" /e /r /s /spath="%USERPROFILE%\AppData\Local\Temp\OnboardLogs" /stypes="app*4025*20170508*" /stext=" 00:.+((SYSTEM_STATE.+slice.+state.+changed )|(ment ac)|(multiple cpu faults)|(system.+state.+changed )|(\[timeout)|(PRM\|1\|D)|(kpr)|(kdp)|(train st.+moving)|(\|lc)|(penalty))"</v>
      </c>
      <c r="AG122" s="1" t="str">
        <f t="shared" si="37"/>
        <v>EC</v>
      </c>
      <c r="AH122" s="81" t="str">
        <f t="shared" si="38"/>
        <v>"%USERPROFILE%\Documents\GitHub\eaglep3\Utilities\RefineRTDCRunTimes.py" --tripid 208-07 --locoid 4025 --swversion DE.1.0.9.0 --startMP 204:233043 --initTime 2017-05-07T17:45:15 --startdatetime 2017-05-07T17:56:29 --delay 1 --endMP 204:1030 --enddatetime 2017-05-07T18:39:58 --enforcementcount 0 &gt;&gt;C:\Users\stu\Documents\GitHub\eaglep3-reporting\EC\2017-05-07-refined-times.txt</v>
      </c>
      <c r="AI12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{"issue":{"subject":"","project_id":79,"tracker_id":40,"status_id":1,"priority_id":2,"assigned_to_id":23,"start_date":"2017-05-07","description":"","custom_fields":[{"id":1,"name":"Subdivision","value":"EC"},{"id":4,"name":"Milepost","value":"0.103"},{"id":17,"name":"Train ID","value":"208-07"},{"id":16,"name":"Locomotive ID","value":"4025"},{"id":130,"name":"Impact","value":""},{"id":150,"name":"Time of Event (Mountain Time)","value":"18:39:58"},{"id":151,"name":"Denver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0"/>
        <v>start /low /b %USERPROFILE%\Documents\GitHub\eaglep3\Utilities\DownloadLogsFromS3.py --loco 4025 --day 2017-05-07</v>
      </c>
      <c r="AN122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723</v>
      </c>
      <c r="B123" s="7">
        <v>4006</v>
      </c>
      <c r="C123" s="21" t="s">
        <v>209</v>
      </c>
      <c r="D123" s="21" t="s">
        <v>377</v>
      </c>
      <c r="E123" s="13">
        <v>42862.719178240739</v>
      </c>
      <c r="F123" s="13">
        <v>42862.720451388886</v>
      </c>
      <c r="G123" s="7">
        <v>1</v>
      </c>
      <c r="H123" s="21" t="s">
        <v>447</v>
      </c>
      <c r="I123" s="13">
        <v>42862.749085648145</v>
      </c>
      <c r="J123" s="7">
        <v>0</v>
      </c>
      <c r="K123" s="92" t="str">
        <f t="shared" si="23"/>
        <v>4005/4006</v>
      </c>
      <c r="L123" s="21" t="str">
        <f>VLOOKUP(A123,'Trips&amp;Operators'!$C$1:$G$99999,5,FALSE)</f>
        <v>DUNCAN SHEILA</v>
      </c>
      <c r="M123" s="6">
        <f t="shared" si="24"/>
        <v>2.8634259258979E-2</v>
      </c>
      <c r="N123" s="7">
        <f t="shared" si="25"/>
        <v>41.23333333292976</v>
      </c>
      <c r="O123" s="7"/>
      <c r="P123" s="7"/>
      <c r="Q123" s="22"/>
      <c r="R123" s="190"/>
      <c r="S123" s="196">
        <f t="shared" si="26"/>
        <v>1</v>
      </c>
      <c r="T123" s="190" t="str">
        <f t="shared" si="27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8"/>
        <v>https://d0f6bd738d7f1b3e5a7ca70fe4ff75f0.us-east-1.aws.found.io/app/kibana#/discover/Steve-Slow-Train-Analysis-(2080s-and-2083s)?_g=(refreshInterval:(display:Off,pause:!f,section:0,value:0),time:(from:'2017-05-07T16:15:37-0600',mode:absolute,to:'2017-05-07T18:58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3" s="192" t="str">
        <f t="shared" si="29"/>
        <v>N</v>
      </c>
      <c r="X123" s="192">
        <f t="shared" si="30"/>
        <v>1</v>
      </c>
      <c r="Y123" s="192">
        <f t="shared" si="31"/>
        <v>4.5100000000000001E-2</v>
      </c>
      <c r="Z123" s="192">
        <f t="shared" si="32"/>
        <v>23.329899999999999</v>
      </c>
      <c r="AA123" s="192">
        <f t="shared" si="33"/>
        <v>23.284799999999997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4"/>
        <v>0209-07</v>
      </c>
      <c r="AE123" s="80" t="str">
        <f t="shared" si="3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123" s="77" t="str">
        <f t="shared" si="36"/>
        <v>"C:\Program Files (x86)\AstroGrep\AstroGrep.exe" /e /r /s /spath="%USERPROFILE%\AppData\Local\Temp\OnboardLogs" /stypes="app*4006*20170507*" /stext=" 23:.+((SYSTEM_STATE.+slice.+state.+changed )|(ment ac)|(multiple cpu faults)|(system.+state.+changed )|(\[timeout)|(PRM\|1\|D)|(kpr)|(kdp)|(train st.+moving)|(\|lc)|(penalty))"</v>
      </c>
      <c r="AG123" s="1" t="str">
        <f t="shared" si="37"/>
        <v>EC</v>
      </c>
      <c r="AH123" s="81" t="str">
        <f t="shared" si="38"/>
        <v>"%USERPROFILE%\Documents\GitHub\eaglep3\Utilities\RefineRTDCRunTimes.py" --tripid 209-07 --locoid 4006 --swversion DE.1.0.9.0 --startMP 204:451 --initTime 2017-05-07T17:15:37 --startdatetime 2017-05-07T17:17:27 --delay 1 --endMP 204:233299 --enddatetime 2017-05-07T17:58:41 --enforcementcount 0 &gt;&gt;C:\Users\stu\Documents\GitHub\eaglep3-reporting\EC\2017-05-07-refined-times.txt</v>
      </c>
      <c r="AI123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{"issue":{"subject":"","project_id":79,"tracker_id":40,"status_id":1,"priority_id":2,"assigned_to_id":23,"start_date":"2017-05-07","description":"","custom_fields":[{"id":1,"name":"Subdivision","value":"EC"},{"id":4,"name":"Milepost","value":"23.3299"},{"id":17,"name":"Train ID","value":"209-07"},{"id":16,"name":"Locomotive ID","value":"4006"},{"id":130,"name":"Impact","value":""},{"id":150,"name":"Time of Event (Mountain Time)","value":"17:58:41"},{"id":151,"name":"Denver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0"/>
        <v>start /low /b %USERPROFILE%\Documents\GitHub\eaglep3\Utilities\DownloadLogsFromS3.py --loco 4006 --day 2017-05-07</v>
      </c>
      <c r="AN123" s="154" t="str">
        <f t="shared" si="4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731</v>
      </c>
      <c r="B124" s="7">
        <v>4005</v>
      </c>
      <c r="C124" s="21" t="s">
        <v>209</v>
      </c>
      <c r="D124" s="21" t="s">
        <v>889</v>
      </c>
      <c r="E124" s="13">
        <v>42862.761134259257</v>
      </c>
      <c r="F124" s="13">
        <v>42862.773854166669</v>
      </c>
      <c r="G124" s="7">
        <v>15</v>
      </c>
      <c r="H124" s="21" t="s">
        <v>890</v>
      </c>
      <c r="I124" s="13">
        <v>42862.79855324074</v>
      </c>
      <c r="J124" s="7">
        <v>0</v>
      </c>
      <c r="K124" s="92" t="str">
        <f t="shared" si="23"/>
        <v>4005/4006</v>
      </c>
      <c r="L124" s="21" t="str">
        <f>VLOOKUP(A124,'Trips&amp;Operators'!$C$1:$G$99999,5,FALSE)</f>
        <v>DUNCAN SHEILA</v>
      </c>
      <c r="M124" s="6">
        <f t="shared" si="24"/>
        <v>2.4699074070667848E-2</v>
      </c>
      <c r="N124" s="7"/>
      <c r="O124" s="7"/>
      <c r="P124" s="7">
        <f t="shared" si="25"/>
        <v>35.566666661761701</v>
      </c>
      <c r="Q124" s="22"/>
      <c r="R124" s="190" t="s">
        <v>969</v>
      </c>
      <c r="S124" s="196">
        <f t="shared" ref="S124" si="42">SUM(U124:U124)/IF(AG124="EC",12,1)</f>
        <v>1</v>
      </c>
      <c r="T124" s="190" t="str">
        <f t="shared" si="27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8"/>
        <v>https://d0f6bd738d7f1b3e5a7ca70fe4ff75f0.us-east-1.aws.found.io/app/kibana#/discover/Steve-Slow-Train-Analysis-(2080s-and-2083s)?_g=(refreshInterval:(display:Off,pause:!f,section:0,value:0),time:(from:'2017-05-07T17:16:02-0600',mode:absolute,to:'2017-05-07T20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4" s="192" t="str">
        <f t="shared" si="29"/>
        <v>Y</v>
      </c>
      <c r="X124" s="192">
        <f t="shared" si="30"/>
        <v>1</v>
      </c>
      <c r="Y124" s="192">
        <f t="shared" si="31"/>
        <v>12.786300000000001</v>
      </c>
      <c r="Z124" s="192">
        <f t="shared" si="32"/>
        <v>0.18890000000000001</v>
      </c>
      <c r="AA124" s="192">
        <f t="shared" si="33"/>
        <v>12.5974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4"/>
        <v>0210-07</v>
      </c>
      <c r="AE124" s="80" t="str">
        <f t="shared" si="3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24" s="77" t="str">
        <f t="shared" si="36"/>
        <v>"C:\Program Files (x86)\AstroGrep\AstroGrep.exe" /e /r /s /spath="%USERPROFILE%\AppData\Local\Temp\OnboardLogs" /stypes="app*4005*20170508*" /stext=" 01:.+((SYSTEM_STATE.+slice.+state.+changed )|(ment ac)|(multiple cpu faults)|(system.+state.+changed )|(\[timeout)|(PRM\|1\|D)|(kpr)|(kdp)|(train st.+moving)|(\|lc)|(penalty))"</v>
      </c>
      <c r="AG124" s="1" t="str">
        <f t="shared" si="37"/>
        <v>EC</v>
      </c>
      <c r="AH124" s="81" t="str">
        <f t="shared" si="38"/>
        <v>"%USERPROFILE%\Documents\GitHub\eaglep3\Utilities\RefineRTDCRunTimes.py" --tripid 210-07 --locoid 4005 --swversion DE.1.0.9.0 --startMP 204:127863 --initTime 2017-05-07T18:16:02 --startdatetime 2017-05-07T18:34:21 --delay 15 --endMP 204:1889 --enddatetime 2017-05-07T19:09:55 --enforcementcount 0 &gt;&gt;C:\Users\stu\Documents\GitHub\eaglep3-reporting\EC\2017-05-07-refined-times.txt</v>
      </c>
      <c r="AI124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failure","project_id":79,"tracker_id":40,"status_id":1,"priority_id":2,"assigned_to_id":23,"start_date":"2017-05-07","description":"","custom_fields":[{"id":1,"name":"Subdivision","value":"EC"},{"id":4,"name":"Milepost","value":"0.1889"},{"id":17,"name":"Train ID","value":"210-07"},{"id":16,"name":"Locomotive ID","value":"4005"},{"id":130,"name":"Impact","value":""},{"id":150,"name":"Time of Event (Mountain Time)","value":"19:09:55"},{"id":151,"name":"Denver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0"/>
        <v>start /low /b %USERPROFILE%\Documents\GitHub\eaglep3\Utilities\DownloadLogsFromS3.py --loco 4005 --day 2017-05-07</v>
      </c>
      <c r="AN124" s="154" t="str">
        <f t="shared" si="4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578</v>
      </c>
      <c r="B125" s="7">
        <v>4028</v>
      </c>
      <c r="C125" s="21" t="s">
        <v>209</v>
      </c>
      <c r="D125" s="21" t="s">
        <v>204</v>
      </c>
      <c r="E125" s="13">
        <v>42862.72587962963</v>
      </c>
      <c r="F125" s="13">
        <v>42862.729328703703</v>
      </c>
      <c r="G125" s="7">
        <v>2</v>
      </c>
      <c r="H125" s="21" t="s">
        <v>891</v>
      </c>
      <c r="I125" s="13">
        <v>42862.755300925928</v>
      </c>
      <c r="J125" s="7">
        <v>0</v>
      </c>
      <c r="K125" s="92" t="str">
        <f t="shared" si="23"/>
        <v>4027/4028</v>
      </c>
      <c r="L125" s="21" t="str">
        <f>VLOOKUP(A125,'Trips&amp;Operators'!$C$1:$G$99999,5,FALSE)</f>
        <v>LALONDE GREGORY</v>
      </c>
      <c r="M125" s="6">
        <f t="shared" si="24"/>
        <v>2.5972222225391306E-2</v>
      </c>
      <c r="N125" s="7">
        <f t="shared" si="25"/>
        <v>37.400000004563481</v>
      </c>
      <c r="O125" s="7"/>
      <c r="P125" s="7"/>
      <c r="Q125" s="22"/>
      <c r="R125" s="190"/>
      <c r="S125" s="196">
        <f t="shared" si="26"/>
        <v>1</v>
      </c>
      <c r="T125" s="190" t="str">
        <f t="shared" si="27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8"/>
        <v>https://d0f6bd738d7f1b3e5a7ca70fe4ff75f0.us-east-1.aws.found.io/app/kibana#/discover/Steve-Slow-Train-Analysis-(2080s-and-2083s)?_g=(refreshInterval:(display:Off,pause:!f,section:0,value:0),time:(from:'2017-05-07T16:25:16-0600',mode:absolute,to:'2017-05-07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92" t="str">
        <f t="shared" si="29"/>
        <v>N</v>
      </c>
      <c r="X125" s="192">
        <f t="shared" si="30"/>
        <v>1</v>
      </c>
      <c r="Y125" s="192">
        <f t="shared" si="31"/>
        <v>4.5999999999999999E-2</v>
      </c>
      <c r="Z125" s="192">
        <f t="shared" si="32"/>
        <v>23.337599999999998</v>
      </c>
      <c r="AA125" s="192">
        <f t="shared" si="33"/>
        <v>23.291599999999999</v>
      </c>
      <c r="AB125" s="57" t="str">
        <f>VLOOKUP(A125,Enforcements!$C$7:$K$13,8,0)</f>
        <v>Bulletin (2)</v>
      </c>
      <c r="AC125" s="53" t="str">
        <f>VLOOKUP(A125,Enforcements!$C$7:$E$13,3,0)</f>
        <v>GRADE CROSSING</v>
      </c>
      <c r="AD125" s="54" t="str">
        <f t="shared" si="34"/>
        <v>0211-07</v>
      </c>
      <c r="AE125" s="80" t="str">
        <f t="shared" si="3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125" s="77" t="str">
        <f t="shared" si="36"/>
        <v>"C:\Program Files (x86)\AstroGrep\AstroGrep.exe" /e /r /s /spath="%USERPROFILE%\AppData\Local\Temp\OnboardLogs" /stypes="app*4028*20170508*" /stext=" 00:.+((SYSTEM_STATE.+slice.+state.+changed )|(ment ac)|(multiple cpu faults)|(system.+state.+changed )|(\[timeout)|(PRM\|1\|D)|(kpr)|(kdp)|(train st.+moving)|(\|lc)|(penalty))"</v>
      </c>
      <c r="AG125" s="1" t="str">
        <f t="shared" si="37"/>
        <v>EC</v>
      </c>
      <c r="AH125" s="81" t="str">
        <f t="shared" si="38"/>
        <v>"%USERPROFILE%\Documents\GitHub\eaglep3\Utilities\RefineRTDCRunTimes.py" --tripid 211-07 --locoid 4028 --swversion DE.1.0.9.0 --startMP 204:460 --initTime 2017-05-07T17:25:16 --startdatetime 2017-05-07T17:30:14 --delay 2 --endMP 204:233376 --enddatetime 2017-05-07T18:07:38 --enforcementcount 0 &gt;&gt;C:\Users\stu\Documents\GitHub\eaglep3-reporting\EC\2017-05-07-refined-times.txt</v>
      </c>
      <c r="AI12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{"issue":{"subject":"","project_id":79,"tracker_id":40,"status_id":1,"priority_id":2,"assigned_to_id":23,"start_date":"2017-05-07","description":"","custom_fields":[{"id":1,"name":"Subdivision","value":"EC"},{"id":4,"name":"Milepost","value":"23.3376"},{"id":17,"name":"Train ID","value":"211-07"},{"id":16,"name":"Locomotive ID","value":"4028"},{"id":130,"name":"Impact","value":""},{"id":150,"name":"Time of Event (Mountain Time)","value":"18:07:38"},{"id":151,"name":"Denver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0"/>
        <v>start /low /b %USERPROFILE%\Documents\GitHub\eaglep3\Utilities\DownloadLogsFromS3.py --loco 4028 --day 2017-05-07</v>
      </c>
      <c r="AN125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732</v>
      </c>
      <c r="B126" s="7">
        <v>4027</v>
      </c>
      <c r="C126" s="21" t="s">
        <v>209</v>
      </c>
      <c r="D126" s="21" t="s">
        <v>530</v>
      </c>
      <c r="E126" s="13">
        <v>42862.756712962961</v>
      </c>
      <c r="F126" s="13">
        <v>42862.768368055556</v>
      </c>
      <c r="G126" s="7">
        <v>2</v>
      </c>
      <c r="H126" s="21" t="s">
        <v>202</v>
      </c>
      <c r="I126" s="13">
        <v>42862.796111111114</v>
      </c>
      <c r="J126" s="7">
        <v>0</v>
      </c>
      <c r="K126" s="92" t="str">
        <f t="shared" si="23"/>
        <v>4027/4028</v>
      </c>
      <c r="L126" s="21" t="str">
        <f>VLOOKUP(A126,'Trips&amp;Operators'!$C$1:$G$99999,5,FALSE)</f>
        <v>LALONDE GREGORY</v>
      </c>
      <c r="M126" s="6">
        <f t="shared" si="24"/>
        <v>2.7743055557948537E-2</v>
      </c>
      <c r="N126" s="7"/>
      <c r="O126" s="7"/>
      <c r="P126" s="7">
        <f t="shared" si="25"/>
        <v>39.950000003445894</v>
      </c>
      <c r="Q126" s="22"/>
      <c r="R126" s="190" t="s">
        <v>969</v>
      </c>
      <c r="S126" s="196">
        <f t="shared" si="26"/>
        <v>1</v>
      </c>
      <c r="T126" s="190" t="str">
        <f t="shared" si="27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8"/>
        <v>https://d0f6bd738d7f1b3e5a7ca70fe4ff75f0.us-east-1.aws.found.io/app/kibana#/discover/Steve-Slow-Train-Analysis-(2080s-and-2083s)?_g=(refreshInterval:(display:Off,pause:!f,section:0,value:0),time:(from:'2017-05-07T17:09:40-0600',mode:absolute,to:'2017-05-07T20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92" t="str">
        <f t="shared" si="29"/>
        <v>Y</v>
      </c>
      <c r="X126" s="192">
        <f t="shared" si="30"/>
        <v>1</v>
      </c>
      <c r="Y126" s="192">
        <f t="shared" si="31"/>
        <v>23.304500000000001</v>
      </c>
      <c r="Z126" s="192">
        <v>2.7</v>
      </c>
      <c r="AA126" s="192">
        <f t="shared" si="33"/>
        <v>20.604500000000002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4"/>
        <v>0212-07</v>
      </c>
      <c r="AE126" s="80" t="str">
        <f t="shared" si="35"/>
        <v>aws s3 cp s3://rtdc.mdm.uploadarchive.raw/RTDC4027/ "%USERPROFILE%\AppData\Local\Temp\OnboardLogs"\RTDC4027\2017-05-07 --exclude "*" --recursive --include "*20170507*" &amp; "%USERPROFILE%\Documents\GitHub\mrs-test-scripts\Headless Mode &amp; Sideloading\WalkAndUnGZ.bat" "%USERPROFILE%\AppData\Local\Temp\OnboardLogs"\RTDC4027\2017-05-07 &amp; aws s3 cp s3://rtdc.mdm.uploadarchive.raw/RTDC4027/ "%USERPROFILE%\AppData\Local\Temp\OnboardLogs"\RTDC4027\2017-05-08 --exclude "*" --recursive --include "*20170508*" &amp; "%USERPROFILE%\Documents\GitHub\mrs-test-scripts\Headless Mode &amp; Sideloading\WalkAndUnGZ.bat" "%USERPROFILE%\AppData\Local\Temp\OnboardLogs"\RTDC4027\2017-05-08</v>
      </c>
      <c r="AF126" s="77" t="str">
        <f t="shared" si="36"/>
        <v>"C:\Program Files (x86)\AstroGrep\AstroGrep.exe" /e /r /s /spath="%USERPROFILE%\AppData\Local\Temp\OnboardLogs" /stypes="app*4027*20170508*" /stext=" 01:.+((SYSTEM_STATE.+slice.+state.+changed )|(ment ac)|(multiple cpu faults)|(system.+state.+changed )|(\[timeout)|(PRM\|1\|D)|(kpr)|(kdp)|(train st.+moving)|(\|lc)|(penalty))"</v>
      </c>
      <c r="AG126" s="1" t="str">
        <f t="shared" si="37"/>
        <v>EC</v>
      </c>
      <c r="AH126" s="81" t="str">
        <f t="shared" si="38"/>
        <v>"%USERPROFILE%\Documents\GitHub\eaglep3\Utilities\RefineRTDCRunTimes.py" --tripid 212-07 --locoid 4027 --swversion DE.1.0.9.0 --startMP 204:233045 --initTime 2017-05-07T18:09:40 --startdatetime 2017-05-07T18:26:27 --delay 2 --endMP 204:154 --enddatetime 2017-05-07T19:06:24 --enforcementcount 0 &gt;&gt;C:\Users\stu\Documents\GitHub\eaglep3-reporting\EC\2017-05-07-refined-times.txt</v>
      </c>
      <c r="AI126" s="99" t="str">
        <f t="shared" si="3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failure","project_id":79,"tracker_id":40,"status_id":1,"priority_id":2,"assigned_to_id":23,"start_date":"2017-05-07","description":"","custom_fields":[{"id":1,"name":"Subdivision","value":"EC"},{"id":4,"name":"Milepost","value":"2.7"},{"id":17,"name":"Train ID","value":"212-07"},{"id":16,"name":"Locomotive ID","value":"4027"},{"id":130,"name":"Impact","value":""},{"id":150,"name":"Time of Event (Mountain Time)","value":"19:06:24"},{"id":151,"name":"Denver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0"/>
        <v>start /low /b %USERPROFILE%\Documents\GitHub\eaglep3\Utilities\DownloadLogsFromS3.py --loco 4027 --day 2017-05-07</v>
      </c>
      <c r="AN126" s="154" t="str">
        <f t="shared" si="4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729</v>
      </c>
      <c r="B127" s="7">
        <v>4004</v>
      </c>
      <c r="C127" s="21" t="s">
        <v>209</v>
      </c>
      <c r="D127" s="21" t="s">
        <v>452</v>
      </c>
      <c r="E127" s="13">
        <v>42862.744004629632</v>
      </c>
      <c r="F127" s="13">
        <v>42862.746157407404</v>
      </c>
      <c r="G127" s="7">
        <v>2</v>
      </c>
      <c r="H127" s="21" t="s">
        <v>380</v>
      </c>
      <c r="I127" s="13">
        <v>42862.774282407408</v>
      </c>
      <c r="J127" s="7">
        <v>0</v>
      </c>
      <c r="K127" s="92" t="str">
        <f t="shared" si="23"/>
        <v>4003/4004</v>
      </c>
      <c r="L127" s="21" t="str">
        <f>VLOOKUP(A127,'Trips&amp;Operators'!$C$1:$G$99999,5,FALSE)</f>
        <v>NEWELL JAMES</v>
      </c>
      <c r="M127" s="6">
        <f t="shared" si="24"/>
        <v>2.8125000004365575E-2</v>
      </c>
      <c r="N127" s="7">
        <f t="shared" si="25"/>
        <v>40.500000006286427</v>
      </c>
      <c r="O127" s="7"/>
      <c r="P127" s="7"/>
      <c r="Q127" s="22"/>
      <c r="R127" s="190"/>
      <c r="S127" s="196">
        <f t="shared" si="26"/>
        <v>1</v>
      </c>
      <c r="T127" s="190" t="str">
        <f t="shared" si="27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8"/>
        <v>https://d0f6bd738d7f1b3e5a7ca70fe4ff75f0.us-east-1.aws.found.io/app/kibana#/discover/Steve-Slow-Train-Analysis-(2080s-and-2083s)?_g=(refreshInterval:(display:Off,pause:!f,section:0,value:0),time:(from:'2017-05-07T16:51:22-0600',mode:absolute,to:'2017-05-07T19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7" s="192" t="str">
        <f t="shared" si="29"/>
        <v>N</v>
      </c>
      <c r="X127" s="192">
        <f t="shared" si="30"/>
        <v>1</v>
      </c>
      <c r="Y127" s="192">
        <f t="shared" si="31"/>
        <v>4.5499999999999999E-2</v>
      </c>
      <c r="Z127" s="192">
        <f t="shared" si="32"/>
        <v>23.331399999999999</v>
      </c>
      <c r="AA127" s="192">
        <f t="shared" si="33"/>
        <v>23.285899999999998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4"/>
        <v>0213-07</v>
      </c>
      <c r="AE127" s="80" t="str">
        <f t="shared" si="3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27" s="77" t="str">
        <f t="shared" si="36"/>
        <v>"C:\Program Files (x86)\AstroGrep\AstroGrep.exe" /e /r /s /spath="%USERPROFILE%\AppData\Local\Temp\OnboardLogs" /stypes="app*4004*20170508*" /stext=" 00:.+((SYSTEM_STATE.+slice.+state.+changed )|(ment ac)|(multiple cpu faults)|(system.+state.+changed )|(\[timeout)|(PRM\|1\|D)|(kpr)|(kdp)|(train st.+moving)|(\|lc)|(penalty))"</v>
      </c>
      <c r="AG127" s="1" t="str">
        <f t="shared" si="37"/>
        <v>EC</v>
      </c>
      <c r="AH127" s="81" t="str">
        <f t="shared" si="38"/>
        <v>"%USERPROFILE%\Documents\GitHub\eaglep3\Utilities\RefineRTDCRunTimes.py" --tripid 213-07 --locoid 4004 --swversion DE.1.0.9.0 --startMP 204:455 --initTime 2017-05-07T17:51:22 --startdatetime 2017-05-07T17:54:28 --delay 2 --endMP 204:233314 --enddatetime 2017-05-07T18:34:58 --enforcementcount 0 &gt;&gt;C:\Users\stu\Documents\GitHub\eaglep3-reporting\EC\2017-05-07-refined-times.txt</v>
      </c>
      <c r="AI127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{"issue":{"subject":"","project_id":79,"tracker_id":40,"status_id":1,"priority_id":2,"assigned_to_id":23,"start_date":"2017-05-07","description":"","custom_fields":[{"id":1,"name":"Subdivision","value":"EC"},{"id":4,"name":"Milepost","value":"23.3314"},{"id":17,"name":"Train ID","value":"213-07"},{"id":16,"name":"Locomotive ID","value":"4004"},{"id":130,"name":"Impact","value":""},{"id":150,"name":"Time of Event (Mountain Time)","value":"18:34:58"},{"id":151,"name":"Denver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0"/>
        <v>start /low /b %USERPROFILE%\Documents\GitHub\eaglep3\Utilities\DownloadLogsFromS3.py --loco 4004 --day 2017-05-07</v>
      </c>
      <c r="AN127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587</v>
      </c>
      <c r="B128" s="7">
        <v>4003</v>
      </c>
      <c r="C128" s="21" t="s">
        <v>209</v>
      </c>
      <c r="D128" s="21" t="s">
        <v>789</v>
      </c>
      <c r="E128" s="13">
        <v>42862.779988425929</v>
      </c>
      <c r="F128" s="13">
        <v>42862.781643518516</v>
      </c>
      <c r="G128" s="7">
        <v>2</v>
      </c>
      <c r="H128" s="21" t="s">
        <v>542</v>
      </c>
      <c r="I128" s="13">
        <v>42862.809178240743</v>
      </c>
      <c r="J128" s="7">
        <v>0</v>
      </c>
      <c r="K128" s="92" t="str">
        <f t="shared" si="23"/>
        <v>4003/4004</v>
      </c>
      <c r="L128" s="21" t="str">
        <f>VLOOKUP(A128,'Trips&amp;Operators'!$C$1:$G$99999,5,FALSE)</f>
        <v>NEWELL JAMES</v>
      </c>
      <c r="M128" s="6">
        <f t="shared" si="24"/>
        <v>2.7534722226846498E-2</v>
      </c>
      <c r="N128" s="7">
        <f t="shared" si="25"/>
        <v>39.650000006658956</v>
      </c>
      <c r="O128" s="7"/>
      <c r="P128" s="7"/>
      <c r="Q128" s="22"/>
      <c r="R128" s="190"/>
      <c r="S128" s="196">
        <f t="shared" si="26"/>
        <v>1</v>
      </c>
      <c r="T128" s="190" t="str">
        <f t="shared" si="27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8"/>
        <v>https://d0f6bd738d7f1b3e5a7ca70fe4ff75f0.us-east-1.aws.found.io/app/kibana#/discover/Steve-Slow-Train-Analysis-(2080s-and-2083s)?_g=(refreshInterval:(display:Off,pause:!f,section:0,value:0),time:(from:'2017-05-07T17:43:11-0600',mode:absolute,to:'2017-05-07T20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8" s="192" t="str">
        <f t="shared" si="29"/>
        <v>N</v>
      </c>
      <c r="X128" s="192">
        <f t="shared" si="30"/>
        <v>1</v>
      </c>
      <c r="Y128" s="192">
        <f t="shared" si="31"/>
        <v>23.297499999999999</v>
      </c>
      <c r="Z128" s="192">
        <f t="shared" si="32"/>
        <v>1.32E-2</v>
      </c>
      <c r="AA128" s="192">
        <f t="shared" si="33"/>
        <v>23.284299999999998</v>
      </c>
      <c r="AB128" s="57" t="str">
        <f>VLOOKUP(A128,Enforcements!$C$7:$K$13,8,0)</f>
        <v>Bulletin (2)</v>
      </c>
      <c r="AC128" s="53" t="str">
        <f>VLOOKUP(A128,Enforcements!$C$7:$E$13,3,0)</f>
        <v>GRADE CROSSING</v>
      </c>
      <c r="AD128" s="54" t="str">
        <f t="shared" si="34"/>
        <v>0214-07</v>
      </c>
      <c r="AE128" s="80" t="str">
        <f t="shared" si="3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28" s="77" t="str">
        <f t="shared" si="36"/>
        <v>"C:\Program Files (x86)\AstroGrep\AstroGrep.exe" /e /r /s /spath="%USERPROFILE%\AppData\Local\Temp\OnboardLogs" /stypes="app*4003*20170508*" /stext=" 01:.+((SYSTEM_STATE.+slice.+state.+changed )|(ment ac)|(multiple cpu faults)|(system.+state.+changed )|(\[timeout)|(PRM\|1\|D)|(kpr)|(kdp)|(train st.+moving)|(\|lc)|(penalty))"</v>
      </c>
      <c r="AG128" s="1" t="str">
        <f t="shared" si="37"/>
        <v>EC</v>
      </c>
      <c r="AH128" s="81" t="str">
        <f t="shared" si="38"/>
        <v>"%USERPROFILE%\Documents\GitHub\eaglep3\Utilities\RefineRTDCRunTimes.py" --tripid 214-07 --locoid 4003 --swversion DE.1.0.9.0 --startMP 204:232975 --initTime 2017-05-07T18:43:11 --startdatetime 2017-05-07T18:45:34 --delay 2 --endMP 204:132 --enddatetime 2017-05-07T19:25:13 --enforcementcount 0 &gt;&gt;C:\Users\stu\Documents\GitHub\eaglep3-reporting\EC\2017-05-07-refined-times.txt</v>
      </c>
      <c r="AI12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{"issue":{"subject":"","project_id":79,"tracker_id":40,"status_id":1,"priority_id":2,"assigned_to_id":23,"start_date":"2017-05-07","description":"","custom_fields":[{"id":1,"name":"Subdivision","value":"EC"},{"id":4,"name":"Milepost","value":"0.0132"},{"id":17,"name":"Train ID","value":"214-07"},{"id":16,"name":"Locomotive ID","value":"4003"},{"id":130,"name":"Impact","value":""},{"id":150,"name":"Time of Event (Mountain Time)","value":"19:25:13"},{"id":151,"name":"Denver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0"/>
        <v>start /low /b %USERPROFILE%\Documents\GitHub\eaglep3\Utilities\DownloadLogsFromS3.py --loco 4003 --day 2017-05-07</v>
      </c>
      <c r="AN128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586</v>
      </c>
      <c r="B129" s="7">
        <v>4020</v>
      </c>
      <c r="C129" s="21" t="s">
        <v>209</v>
      </c>
      <c r="D129" s="21" t="s">
        <v>377</v>
      </c>
      <c r="E129" s="13">
        <v>42862.751180555555</v>
      </c>
      <c r="F129" s="13">
        <v>42862.753020833334</v>
      </c>
      <c r="G129" s="7">
        <v>1</v>
      </c>
      <c r="H129" s="21" t="s">
        <v>892</v>
      </c>
      <c r="I129" s="13">
        <v>42862.783668981479</v>
      </c>
      <c r="J129" s="7">
        <v>0</v>
      </c>
      <c r="K129" s="92" t="str">
        <f t="shared" si="23"/>
        <v>4019/4020</v>
      </c>
      <c r="L129" s="21" t="str">
        <f>VLOOKUP(A129,'Trips&amp;Operators'!$C$1:$G$99999,5,FALSE)</f>
        <v>BRANDNER MELINDA</v>
      </c>
      <c r="M129" s="6">
        <f t="shared" si="24"/>
        <v>3.0648148145701271E-2</v>
      </c>
      <c r="N129" s="7">
        <f t="shared" si="25"/>
        <v>44.13333332980983</v>
      </c>
      <c r="O129" s="7"/>
      <c r="P129" s="7"/>
      <c r="Q129" s="22"/>
      <c r="R129" s="190"/>
      <c r="S129" s="196">
        <f t="shared" si="26"/>
        <v>1</v>
      </c>
      <c r="T129" s="190" t="str">
        <f t="shared" si="27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8"/>
        <v>https://d0f6bd738d7f1b3e5a7ca70fe4ff75f0.us-east-1.aws.found.io/app/kibana#/discover/Steve-Slow-Train-Analysis-(2080s-and-2083s)?_g=(refreshInterval:(display:Off,pause:!f,section:0,value:0),time:(from:'2017-05-07T17:01:42-0600',mode:absolute,to:'2017-05-07T19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2" t="str">
        <f t="shared" si="29"/>
        <v>N</v>
      </c>
      <c r="X129" s="192">
        <f t="shared" si="30"/>
        <v>1</v>
      </c>
      <c r="Y129" s="192">
        <f t="shared" si="31"/>
        <v>4.5100000000000001E-2</v>
      </c>
      <c r="Z129" s="192">
        <f t="shared" si="32"/>
        <v>23.322299999999998</v>
      </c>
      <c r="AA129" s="192">
        <f t="shared" si="33"/>
        <v>23.277199999999997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4"/>
        <v>0215-07</v>
      </c>
      <c r="AE129" s="80" t="str">
        <f t="shared" si="3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29" s="77" t="str">
        <f t="shared" si="36"/>
        <v>"C:\Program Files (x86)\AstroGrep\AstroGrep.exe" /e /r /s /spath="%USERPROFILE%\AppData\Local\Temp\OnboardLogs" /stypes="app*4020*20170508*" /stext=" 00:.+((SYSTEM_STATE.+slice.+state.+changed )|(ment ac)|(multiple cpu faults)|(system.+state.+changed )|(\[timeout)|(PRM\|1\|D)|(kpr)|(kdp)|(train st.+moving)|(\|lc)|(penalty))"</v>
      </c>
      <c r="AG129" s="1" t="str">
        <f t="shared" si="37"/>
        <v>EC</v>
      </c>
      <c r="AH129" s="81" t="str">
        <f t="shared" si="38"/>
        <v>"%USERPROFILE%\Documents\GitHub\eaglep3\Utilities\RefineRTDCRunTimes.py" --tripid 215-07 --locoid 4020 --swversion DE.1.0.9.0 --startMP 204:451 --initTime 2017-05-07T18:01:42 --startdatetime 2017-05-07T18:04:21 --delay 1 --endMP 204:233223 --enddatetime 2017-05-07T18:48:29 --enforcementcount 0 &gt;&gt;C:\Users\stu\Documents\GitHub\eaglep3-reporting\EC\2017-05-07-refined-times.txt</v>
      </c>
      <c r="AI12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{"issue":{"subject":"","project_id":79,"tracker_id":40,"status_id":1,"priority_id":2,"assigned_to_id":23,"start_date":"2017-05-07","description":"","custom_fields":[{"id":1,"name":"Subdivision","value":"EC"},{"id":4,"name":"Milepost","value":"23.3223"},{"id":17,"name":"Train ID","value":"215-07"},{"id":16,"name":"Locomotive ID","value":"4020"},{"id":130,"name":"Impact","value":""},{"id":150,"name":"Time of Event (Mountain Time)","value":"18:48:29"},{"id":151,"name":"Denver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0"/>
        <v>start /low /b %USERPROFILE%\Documents\GitHub\eaglep3\Utilities\DownloadLogsFromS3.py --loco 4020 --day 2017-05-07</v>
      </c>
      <c r="AN129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588</v>
      </c>
      <c r="B130" s="7">
        <v>4019</v>
      </c>
      <c r="C130" s="21" t="s">
        <v>209</v>
      </c>
      <c r="D130" s="21" t="s">
        <v>893</v>
      </c>
      <c r="E130" s="13">
        <v>42862.787361111114</v>
      </c>
      <c r="F130" s="13">
        <v>42862.789861111109</v>
      </c>
      <c r="G130" s="7">
        <v>1</v>
      </c>
      <c r="H130" s="21" t="s">
        <v>894</v>
      </c>
      <c r="I130" s="13">
        <v>42862.822291666664</v>
      </c>
      <c r="J130" s="7">
        <v>0</v>
      </c>
      <c r="K130" s="92" t="str">
        <f t="shared" si="23"/>
        <v>4019/4020</v>
      </c>
      <c r="L130" s="21" t="str">
        <f>VLOOKUP(A130,'Trips&amp;Operators'!$C$1:$G$99999,5,FALSE)</f>
        <v>BRANDNER MELINDA</v>
      </c>
      <c r="M130" s="6">
        <f t="shared" si="24"/>
        <v>3.2430555555038154E-2</v>
      </c>
      <c r="N130" s="7">
        <f t="shared" si="25"/>
        <v>46.699999999254942</v>
      </c>
      <c r="O130" s="7"/>
      <c r="P130" s="7"/>
      <c r="Q130" s="22"/>
      <c r="R130" s="190"/>
      <c r="S130" s="196">
        <f t="shared" si="26"/>
        <v>1</v>
      </c>
      <c r="T130" s="190" t="str">
        <f t="shared" si="27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8"/>
        <v>https://d0f6bd738d7f1b3e5a7ca70fe4ff75f0.us-east-1.aws.found.io/app/kibana#/discover/Steve-Slow-Train-Analysis-(2080s-and-2083s)?_g=(refreshInterval:(display:Off,pause:!f,section:0,value:0),time:(from:'2017-05-07T17:53:48-0600',mode:absolute,to:'2017-05-07T20:44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2" t="str">
        <f t="shared" si="29"/>
        <v>N</v>
      </c>
      <c r="X130" s="192">
        <f t="shared" si="30"/>
        <v>1</v>
      </c>
      <c r="Y130" s="192">
        <f t="shared" si="31"/>
        <v>23.292100000000001</v>
      </c>
      <c r="Z130" s="192">
        <f t="shared" si="32"/>
        <v>9.3899999999999997E-2</v>
      </c>
      <c r="AA130" s="192">
        <f t="shared" si="33"/>
        <v>23.1982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4"/>
        <v>0216-07</v>
      </c>
      <c r="AE130" s="80" t="str">
        <f t="shared" si="35"/>
        <v>aws s3 cp s3://rtdc.mdm.uploadarchive.raw/RTDC4019/ "%USERPROFILE%\AppData\Local\Temp\OnboardLogs"\RTDC4019\2017-05-07 --exclude "*" --recursive --include "*20170507*" &amp; "%USERPROFILE%\Documents\GitHub\mrs-test-scripts\Headless Mode &amp; Sideloading\WalkAndUnGZ.bat" "%USERPROFILE%\AppData\Local\Temp\OnboardLogs"\RTDC4019\2017-05-07 &amp; aws s3 cp s3://rtdc.mdm.uploadarchive.raw/RTDC4019/ "%USERPROFILE%\AppData\Local\Temp\OnboardLogs"\RTDC4019\2017-05-08 --exclude "*" --recursive --include "*20170508*" &amp; "%USERPROFILE%\Documents\GitHub\mrs-test-scripts\Headless Mode &amp; Sideloading\WalkAndUnGZ.bat" "%USERPROFILE%\AppData\Local\Temp\OnboardLogs"\RTDC4019\2017-05-08</v>
      </c>
      <c r="AF130" s="77" t="str">
        <f t="shared" si="36"/>
        <v>"C:\Program Files (x86)\AstroGrep\AstroGrep.exe" /e /r /s /spath="%USERPROFILE%\AppData\Local\Temp\OnboardLogs" /stypes="app*4019*20170508*" /stext=" 01:.+((SYSTEM_STATE.+slice.+state.+changed )|(ment ac)|(multiple cpu faults)|(system.+state.+changed )|(\[timeout)|(PRM\|1\|D)|(kpr)|(kdp)|(train st.+moving)|(\|lc)|(penalty))"</v>
      </c>
      <c r="AG130" s="1" t="str">
        <f t="shared" si="37"/>
        <v>EC</v>
      </c>
      <c r="AH130" s="81" t="str">
        <f t="shared" si="38"/>
        <v>"%USERPROFILE%\Documents\GitHub\eaglep3\Utilities\RefineRTDCRunTimes.py" --tripid 216-07 --locoid 4019 --swversion DE.1.0.9.0 --startMP 204:232921 --initTime 2017-05-07T18:53:48 --startdatetime 2017-05-07T18:57:24 --delay 1 --endMP 204:939 --enddatetime 2017-05-07T19:44:06 --enforcementcount 0 &gt;&gt;C:\Users\stu\Documents\GitHub\eaglep3-reporting\EC\2017-05-07-refined-times.txt</v>
      </c>
      <c r="AI130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{"issue":{"subject":"","project_id":79,"tracker_id":40,"status_id":1,"priority_id":2,"assigned_to_id":23,"start_date":"2017-05-07","description":"","custom_fields":[{"id":1,"name":"Subdivision","value":"EC"},{"id":4,"name":"Milepost","value":"0.0939"},{"id":17,"name":"Train ID","value":"216-07"},{"id":16,"name":"Locomotive ID","value":"4019"},{"id":130,"name":"Impact","value":""},{"id":150,"name":"Time of Event (Mountain Time)","value":"19:44:06"},{"id":151,"name":"Denver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0"/>
        <v>start /low /b %USERPROFILE%\Documents\GitHub\eaglep3\Utilities\DownloadLogsFromS3.py --loco 4019 --day 2017-05-07</v>
      </c>
      <c r="AN130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01:44:06"},{"id":29,"name":"Sharepoint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734</v>
      </c>
      <c r="B131" s="7">
        <v>4044</v>
      </c>
      <c r="C131" s="21" t="s">
        <v>209</v>
      </c>
      <c r="D131" s="21" t="s">
        <v>895</v>
      </c>
      <c r="E131" s="13">
        <v>42862.764513888891</v>
      </c>
      <c r="F131" s="13">
        <v>42862.766192129631</v>
      </c>
      <c r="G131" s="7">
        <v>1</v>
      </c>
      <c r="H131" s="21" t="s">
        <v>444</v>
      </c>
      <c r="I131" s="13">
        <v>42862.79446759259</v>
      </c>
      <c r="J131" s="7">
        <v>0</v>
      </c>
      <c r="K131" s="92" t="str">
        <f t="shared" si="23"/>
        <v>4043/4044</v>
      </c>
      <c r="L131" s="21" t="str">
        <f>VLOOKUP(A131,'Trips&amp;Operators'!$C$1:$G$99999,5,FALSE)</f>
        <v>SMITH MICHAEL</v>
      </c>
      <c r="M131" s="6">
        <f t="shared" si="24"/>
        <v>2.827546295884531E-2</v>
      </c>
      <c r="N131" s="7">
        <f t="shared" si="25"/>
        <v>40.716666660737246</v>
      </c>
      <c r="O131" s="7"/>
      <c r="P131" s="7"/>
      <c r="Q131" s="22"/>
      <c r="R131" s="190"/>
      <c r="S131" s="196">
        <f t="shared" si="26"/>
        <v>1</v>
      </c>
      <c r="T131" s="190" t="str">
        <f t="shared" si="27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8"/>
        <v>https://d0f6bd738d7f1b3e5a7ca70fe4ff75f0.us-east-1.aws.found.io/app/kibana#/discover/Steve-Slow-Train-Analysis-(2080s-and-2083s)?_g=(refreshInterval:(display:Off,pause:!f,section:0,value:0),time:(from:'2017-05-07T17:20:54-0600',mode:absolute,to:'2017-05-07T20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192" t="str">
        <f t="shared" si="29"/>
        <v>N</v>
      </c>
      <c r="X131" s="192">
        <f t="shared" si="30"/>
        <v>1</v>
      </c>
      <c r="Y131" s="192">
        <f t="shared" si="31"/>
        <v>5.1499999999999997E-2</v>
      </c>
      <c r="Z131" s="192">
        <f t="shared" si="32"/>
        <v>23.329499999999999</v>
      </c>
      <c r="AA131" s="192">
        <f t="shared" si="33"/>
        <v>23.277999999999999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4"/>
        <v>0217-07</v>
      </c>
      <c r="AE131" s="80" t="str">
        <f t="shared" si="3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31" s="77" t="str">
        <f t="shared" si="36"/>
        <v>"C:\Program Files (x86)\AstroGrep\AstroGrep.exe" /e /r /s /spath="%USERPROFILE%\AppData\Local\Temp\OnboardLogs" /stypes="app*4044*20170508*" /stext=" 01:.+((SYSTEM_STATE.+slice.+state.+changed )|(ment ac)|(multiple cpu faults)|(system.+state.+changed )|(\[timeout)|(PRM\|1\|D)|(kpr)|(kdp)|(train st.+moving)|(\|lc)|(penalty))"</v>
      </c>
      <c r="AG131" s="1" t="str">
        <f t="shared" si="37"/>
        <v>EC</v>
      </c>
      <c r="AH131" s="81" t="str">
        <f t="shared" si="38"/>
        <v>"%USERPROFILE%\Documents\GitHub\eaglep3\Utilities\RefineRTDCRunTimes.py" --tripid 217-07 --locoid 4044 --swversion DE.1.0.9.0 --startMP 204:515 --initTime 2017-05-07T18:20:54 --startdatetime 2017-05-07T18:23:19 --delay 1 --endMP 204:233295 --enddatetime 2017-05-07T19:04:02 --enforcementcount 0 &gt;&gt;C:\Users\stu\Documents\GitHub\eaglep3-reporting\EC\2017-05-07-refined-times.txt</v>
      </c>
      <c r="AI131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{"issue":{"subject":"","project_id":79,"tracker_id":40,"status_id":1,"priority_id":2,"assigned_to_id":23,"start_date":"2017-05-07","description":"","custom_fields":[{"id":1,"name":"Subdivision","value":"EC"},{"id":4,"name":"Milepost","value":"23.3295"},{"id":17,"name":"Train ID","value":"217-07"},{"id":16,"name":"Locomotive ID","value":"4044"},{"id":130,"name":"Impact","value":""},{"id":150,"name":"Time of Event (Mountain Time)","value":"19:04:02"},{"id":151,"name":"Denver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0"/>
        <v>start /low /b %USERPROFILE%\Documents\GitHub\eaglep3\Utilities\DownloadLogsFromS3.py --loco 4044 --day 2017-05-07</v>
      </c>
      <c r="AN131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739</v>
      </c>
      <c r="B132" s="7">
        <v>4043</v>
      </c>
      <c r="C132" s="21" t="s">
        <v>209</v>
      </c>
      <c r="D132" s="21" t="s">
        <v>391</v>
      </c>
      <c r="E132" s="13">
        <v>42862.795787037037</v>
      </c>
      <c r="F132" s="13">
        <v>42862.799722222226</v>
      </c>
      <c r="G132" s="7">
        <v>2</v>
      </c>
      <c r="H132" s="21" t="s">
        <v>783</v>
      </c>
      <c r="I132" s="13">
        <v>42862.828194444446</v>
      </c>
      <c r="J132" s="7">
        <v>0</v>
      </c>
      <c r="K132" s="92" t="str">
        <f t="shared" si="23"/>
        <v>4043/4044</v>
      </c>
      <c r="L132" s="21" t="str">
        <f>VLOOKUP(A132,'Trips&amp;Operators'!$C$1:$G$99999,5,FALSE)</f>
        <v>SMITH MICHAEL</v>
      </c>
      <c r="M132" s="6">
        <f t="shared" si="24"/>
        <v>2.8472222220443655E-2</v>
      </c>
      <c r="N132" s="7">
        <f t="shared" si="25"/>
        <v>40.999999997438863</v>
      </c>
      <c r="O132" s="7"/>
      <c r="P132" s="7"/>
      <c r="Q132" s="22"/>
      <c r="R132" s="190"/>
      <c r="S132" s="196">
        <f t="shared" si="26"/>
        <v>1</v>
      </c>
      <c r="T132" s="190" t="str">
        <f t="shared" si="27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28"/>
        <v>https://d0f6bd738d7f1b3e5a7ca70fe4ff75f0.us-east-1.aws.found.io/app/kibana#/discover/Steve-Slow-Train-Analysis-(2080s-and-2083s)?_g=(refreshInterval:(display:Off,pause:!f,section:0,value:0),time:(from:'2017-05-07T18:05:56-0600',mode:absolute,to:'2017-05-07T20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192" t="str">
        <f t="shared" si="29"/>
        <v>N</v>
      </c>
      <c r="X132" s="192">
        <f t="shared" si="30"/>
        <v>1</v>
      </c>
      <c r="Y132" s="192">
        <f t="shared" si="31"/>
        <v>23.298400000000001</v>
      </c>
      <c r="Z132" s="192">
        <f t="shared" si="32"/>
        <v>1.7000000000000001E-2</v>
      </c>
      <c r="AA132" s="192">
        <f t="shared" si="33"/>
        <v>23.281400000000001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4"/>
        <v>0218-07</v>
      </c>
      <c r="AE132" s="80" t="str">
        <f t="shared" si="3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32" s="77" t="str">
        <f t="shared" si="36"/>
        <v>"C:\Program Files (x86)\AstroGrep\AstroGrep.exe" /e /r /s /spath="%USERPROFILE%\AppData\Local\Temp\OnboardLogs" /stypes="app*4043*20170508*" /stext=" 01:.+((SYSTEM_STATE.+slice.+state.+changed )|(ment ac)|(multiple cpu faults)|(system.+state.+changed )|(\[timeout)|(PRM\|1\|D)|(kpr)|(kdp)|(train st.+moving)|(\|lc)|(penalty))"</v>
      </c>
      <c r="AG132" s="1" t="str">
        <f t="shared" si="37"/>
        <v>EC</v>
      </c>
      <c r="AH132" s="81" t="str">
        <f t="shared" si="38"/>
        <v>"%USERPROFILE%\Documents\GitHub\eaglep3\Utilities\RefineRTDCRunTimes.py" --tripid 218-07 --locoid 4043 --swversion DE.1.0.9.0 --startMP 204:232984 --initTime 2017-05-07T19:05:56 --startdatetime 2017-05-07T19:11:36 --delay 2 --endMP 204:170 --enddatetime 2017-05-07T19:52:36 --enforcementcount 0 &gt;&gt;C:\Users\stu\Documents\GitHub\eaglep3-reporting\EC\2017-05-07-refined-times.txt</v>
      </c>
      <c r="AI132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{"issue":{"subject":"","project_id":79,"tracker_id":40,"status_id":1,"priority_id":2,"assigned_to_id":23,"start_date":"2017-05-07","description":"","custom_fields":[{"id":1,"name":"Subdivision","value":"EC"},{"id":4,"name":"Milepost","value":"0.017"},{"id":17,"name":"Train ID","value":"218-07"},{"id":16,"name":"Locomotive ID","value":"4043"},{"id":130,"name":"Impact","value":""},{"id":150,"name":"Time of Event (Mountain Time)","value":"19:52:36"},{"id":151,"name":"Denver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0"/>
        <v>start /low /b %USERPROFILE%\Documents\GitHub\eaglep3\Utilities\DownloadLogsFromS3.py --loco 4043 --day 2017-05-07</v>
      </c>
      <c r="AN132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583</v>
      </c>
      <c r="B133" s="7">
        <v>4052</v>
      </c>
      <c r="C133" s="21" t="s">
        <v>209</v>
      </c>
      <c r="D133" s="21" t="s">
        <v>896</v>
      </c>
      <c r="E133" s="13">
        <v>42862.775810185187</v>
      </c>
      <c r="F133" s="13">
        <v>42862.777199074073</v>
      </c>
      <c r="G133" s="7">
        <v>0</v>
      </c>
      <c r="H133" s="21" t="s">
        <v>897</v>
      </c>
      <c r="I133" s="13">
        <v>42862.799953703703</v>
      </c>
      <c r="J133" s="7">
        <v>0</v>
      </c>
      <c r="K133" s="92" t="str">
        <f t="shared" si="23"/>
        <v>4051/4052</v>
      </c>
      <c r="L133" s="21" t="str">
        <f>VLOOKUP(A133,'Trips&amp;Operators'!$C$1:$G$99999,5,FALSE)</f>
        <v>STAMBAUGH JAMES</v>
      </c>
      <c r="M133" s="6">
        <f t="shared" si="24"/>
        <v>2.2754629630071577E-2</v>
      </c>
      <c r="N133" s="7"/>
      <c r="O133" s="7"/>
      <c r="P133" s="7">
        <f t="shared" si="25"/>
        <v>32.76666666730307</v>
      </c>
      <c r="Q133" s="22"/>
      <c r="R133" s="190" t="s">
        <v>971</v>
      </c>
      <c r="S133" s="196">
        <f t="shared" si="26"/>
        <v>1</v>
      </c>
      <c r="T133" s="190" t="str">
        <f t="shared" si="27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28"/>
        <v>https://d0f6bd738d7f1b3e5a7ca70fe4ff75f0.us-east-1.aws.found.io/app/kibana#/discover/Steve-Slow-Train-Analysis-(2080s-and-2083s)?_g=(refreshInterval:(display:Off,pause:!f,section:0,value:0),time:(from:'2017-05-07T17:37:10-0600',mode:absolute,to:'2017-05-07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92" t="str">
        <f t="shared" si="29"/>
        <v>Y</v>
      </c>
      <c r="X133" s="192">
        <f t="shared" si="30"/>
        <v>1</v>
      </c>
      <c r="Y133" s="192">
        <f t="shared" si="31"/>
        <v>1.9152</v>
      </c>
      <c r="Z133" s="192">
        <f t="shared" si="32"/>
        <v>23.326799999999999</v>
      </c>
      <c r="AA133" s="192">
        <f t="shared" si="33"/>
        <v>21.4116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4"/>
        <v>0219-07</v>
      </c>
      <c r="AE133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33" s="77" t="str">
        <f t="shared" si="36"/>
        <v>"C:\Program Files (x86)\AstroGrep\AstroGrep.exe" /e /r /s /spath="%USERPROFILE%\AppData\Local\Temp\OnboardLogs" /stypes="app*4052*20170508*" /stext=" 01:.+((SYSTEM_STATE.+slice.+state.+changed )|(ment ac)|(multiple cpu faults)|(system.+state.+changed )|(\[timeout)|(PRM\|1\|D)|(kpr)|(kdp)|(train st.+moving)|(\|lc)|(penalty))"</v>
      </c>
      <c r="AG133" s="1" t="str">
        <f t="shared" si="37"/>
        <v>EC</v>
      </c>
      <c r="AH133" s="81" t="str">
        <f t="shared" si="38"/>
        <v>"%USERPROFILE%\Documents\GitHub\eaglep3\Utilities\RefineRTDCRunTimes.py" --tripid 219-07 --locoid 4052 --swversion DE.1.0.9.0 --startMP 204:19152 --initTime 2017-05-07T18:37:10 --startdatetime 2017-05-07T18:39:10 --delay 0 --endMP 204:233268 --enddatetime 2017-05-07T19:11:56 --enforcementcount 0 &gt;&gt;C:\Users\stu\Documents\GitHub\eaglep3-reporting\EC\2017-05-07-refined-times.txt</v>
      </c>
      <c r="AI133" s="99" t="str">
        <f t="shared" si="39"/>
        <v>echo {"issue":{"subject":"Selected wrong track","project_id":79,"tracker_id":40,"status_id":1,"priority_id":2,"assigned_to_id":23,"start_date":"2017-05-07","description":"","custom_fields":[{"id":1,"name":"Subdivision","value":"EC"},{"id":4,"name":"Milepost","value":"23.3268"},{"id":17,"name":"Train ID","value":"219-07"},{"id":16,"name":"Locomotive ID","value":"4052"},{"id":130,"name":"Impact","value":""},{"id":150,"name":"Time of Event (Mountain Time)","value":"19:11:56"},{"id":151,"name":"Denver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0"/>
        <v>start /low /b %USERPROFILE%\Documents\GitHub\eaglep3\Utilities\DownloadLogsFromS3.py --loco 4052 --day 2017-05-07</v>
      </c>
      <c r="AN133" s="154" t="str">
        <f t="shared" si="41"/>
        <v>echo {"issue":{"subject":"Selected wrong track","project_id":30,"tracker_id":4,"status_id":1,"priority_id":1,"assigned_to_id":10,"start_date":"2017-05-08","description":"","custom_fields":[{"id":30,"name":"Category","value":"Issue"},{"id":3,"name":"Functional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583</v>
      </c>
      <c r="B134" s="7">
        <v>4052</v>
      </c>
      <c r="C134" s="21" t="s">
        <v>209</v>
      </c>
      <c r="D134" s="21" t="s">
        <v>375</v>
      </c>
      <c r="E134" s="13">
        <v>42862.770462962966</v>
      </c>
      <c r="F134" s="13">
        <v>42862.777199074073</v>
      </c>
      <c r="G134" s="7">
        <v>1</v>
      </c>
      <c r="H134" s="21" t="s">
        <v>869</v>
      </c>
      <c r="I134" s="13">
        <v>42862.799953703703</v>
      </c>
      <c r="J134" s="7">
        <v>0</v>
      </c>
      <c r="K134" s="92" t="str">
        <f t="shared" si="23"/>
        <v>4051/4052</v>
      </c>
      <c r="L134" s="21" t="str">
        <f>VLOOKUP(A134,'Trips&amp;Operators'!$C$1:$G$99999,5,FALSE)</f>
        <v>STAMBAUGH JAMES</v>
      </c>
      <c r="M134" s="6">
        <f t="shared" si="24"/>
        <v>2.2754629630071577E-2</v>
      </c>
      <c r="N134" s="7"/>
      <c r="O134" s="7"/>
      <c r="P134" s="7"/>
      <c r="Q134" s="22"/>
      <c r="R134" s="190"/>
      <c r="S134" s="196"/>
      <c r="T134" s="190" t="str">
        <f t="shared" si="27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191" t="str">
        <f t="shared" si="28"/>
        <v>https://d0f6bd738d7f1b3e5a7ca70fe4ff75f0.us-east-1.aws.found.io/app/kibana#/discover/Steve-Slow-Train-Analysis-(2080s-and-2083s)?_g=(refreshInterval:(display:Off,pause:!f,section:0,value:0),time:(from:'2017-05-07T17:29:28-0600',mode:absolute,to:'2017-05-07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4" s="192" t="str">
        <f t="shared" si="29"/>
        <v>Y</v>
      </c>
      <c r="X134" s="192">
        <f t="shared" si="30"/>
        <v>0</v>
      </c>
      <c r="Y134" s="192">
        <f t="shared" si="31"/>
        <v>4.6600000000000003E-2</v>
      </c>
      <c r="Z134" s="192">
        <f t="shared" si="32"/>
        <v>0.1076</v>
      </c>
      <c r="AA134" s="192">
        <f t="shared" si="33"/>
        <v>6.0999999999999999E-2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4"/>
        <v>0219-07</v>
      </c>
      <c r="AE134" s="80" t="str">
        <f t="shared" si="3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34" s="77" t="str">
        <f t="shared" si="36"/>
        <v>"C:\Program Files (x86)\AstroGrep\AstroGrep.exe" /e /r /s /spath="%USERPROFILE%\AppData\Local\Temp\OnboardLogs" /stypes="app*4052*20170508*" /stext=" 01:.+((SYSTEM_STATE.+slice.+state.+changed )|(ment ac)|(multiple cpu faults)|(system.+state.+changed )|(\[timeout)|(PRM\|1\|D)|(kpr)|(kdp)|(train st.+moving)|(\|lc)|(penalty))"</v>
      </c>
      <c r="AG134" s="1" t="str">
        <f t="shared" si="37"/>
        <v>EC</v>
      </c>
      <c r="AH134" s="81" t="str">
        <f t="shared" si="38"/>
        <v>"%USERPROFILE%\Documents\GitHub\eaglep3\Utilities\RefineRTDCRunTimes.py" --tripid 219-07 --locoid 4052 --swversion DE.1.0.9.0 --startMP 204:466 --initTime 2017-05-07T18:29:28 --startdatetime 2017-05-07T18:39:10 --delay 1 --endMP 204:1076 --enddatetime 2017-05-07T19:11:56 --enforcementcount 0 &gt;&gt;C:\Users\stu\Documents\GitHub\eaglep3-reporting\EC\2017-05-07-refined-times.txt</v>
      </c>
      <c r="AI134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{"issue":{"subject":"","project_id":79,"tracker_id":40,"status_id":1,"priority_id":2,"assigned_to_id":23,"start_date":"2017-05-07","description":"","custom_fields":[{"id":1,"name":"Subdivision","value":"EC"},{"id":4,"name":"Milepost","value":"0.1076"},{"id":17,"name":"Train ID","value":"219-07"},{"id":16,"name":"Locomotive ID","value":"4052"},{"id":130,"name":"Impact","value":""},{"id":150,"name":"Time of Event (Mountain Time)","value":"19:11:56"},{"id":151,"name":"Denver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0"/>
        <v>start /low /b %USERPROFILE%\Documents\GitHub\eaglep3\Utilities\DownloadLogsFromS3.py --loco 4052 --day 2017-05-07</v>
      </c>
      <c r="AN134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01:11:56"},{"id":29,"name":"Sharepoint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742</v>
      </c>
      <c r="B135" s="7">
        <v>4051</v>
      </c>
      <c r="C135" s="21" t="s">
        <v>209</v>
      </c>
      <c r="D135" s="21" t="s">
        <v>898</v>
      </c>
      <c r="E135" s="13">
        <v>42862.80773148148</v>
      </c>
      <c r="F135" s="13">
        <v>42862.810543981483</v>
      </c>
      <c r="G135" s="7">
        <v>2</v>
      </c>
      <c r="H135" s="21" t="s">
        <v>197</v>
      </c>
      <c r="I135" s="13">
        <v>42862.838055555556</v>
      </c>
      <c r="J135" s="7">
        <v>0</v>
      </c>
      <c r="K135" s="92" t="str">
        <f t="shared" si="23"/>
        <v>4051/4052</v>
      </c>
      <c r="L135" s="21" t="str">
        <f>VLOOKUP(A135,'Trips&amp;Operators'!$C$1:$G$99999,5,FALSE)</f>
        <v>STAMBAUGH JAMES</v>
      </c>
      <c r="M135" s="6">
        <f t="shared" si="24"/>
        <v>2.7511574073287193E-2</v>
      </c>
      <c r="N135" s="7">
        <f t="shared" si="25"/>
        <v>39.616666665533558</v>
      </c>
      <c r="O135" s="7"/>
      <c r="P135" s="7"/>
      <c r="Q135" s="22"/>
      <c r="R135" s="190"/>
      <c r="S135" s="196">
        <f t="shared" si="26"/>
        <v>1</v>
      </c>
      <c r="T135" s="190" t="str">
        <f t="shared" si="27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28"/>
        <v>https://d0f6bd738d7f1b3e5a7ca70fe4ff75f0.us-east-1.aws.found.io/app/kibana#/discover/Steve-Slow-Train-Analysis-(2080s-and-2083s)?_g=(refreshInterval:(display:Off,pause:!f,section:0,value:0),time:(from:'2017-05-07T18:23:08-0600',mode:absolute,to:'2017-05-07T21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92" t="str">
        <f t="shared" si="29"/>
        <v>N</v>
      </c>
      <c r="X135" s="192">
        <f t="shared" si="30"/>
        <v>1</v>
      </c>
      <c r="Y135" s="192">
        <f t="shared" si="31"/>
        <v>23.294699999999999</v>
      </c>
      <c r="Z135" s="192">
        <f t="shared" si="32"/>
        <v>1.52E-2</v>
      </c>
      <c r="AA135" s="192">
        <f t="shared" si="33"/>
        <v>23.279499999999999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4"/>
        <v>0220-07</v>
      </c>
      <c r="AE135" s="80" t="str">
        <f t="shared" si="3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35" s="77" t="str">
        <f t="shared" si="36"/>
        <v>"C:\Program Files (x86)\AstroGrep\AstroGrep.exe" /e /r /s /spath="%USERPROFILE%\AppData\Local\Temp\OnboardLogs" /stypes="app*4051*20170508*" /stext=" 02:.+((SYSTEM_STATE.+slice.+state.+changed )|(ment ac)|(multiple cpu faults)|(system.+state.+changed )|(\[timeout)|(PRM\|1\|D)|(kpr)|(kdp)|(train st.+moving)|(\|lc)|(penalty))"</v>
      </c>
      <c r="AG135" s="1" t="str">
        <f t="shared" si="37"/>
        <v>EC</v>
      </c>
      <c r="AH135" s="81" t="str">
        <f t="shared" si="38"/>
        <v>"%USERPROFILE%\Documents\GitHub\eaglep3\Utilities\RefineRTDCRunTimes.py" --tripid 220-07 --locoid 4051 --swversion DE.1.0.9.0 --startMP 204:232947 --initTime 2017-05-07T19:23:08 --startdatetime 2017-05-07T19:27:11 --delay 2 --endMP 204:152 --enddatetime 2017-05-07T20:06:48 --enforcementcount 0 &gt;&gt;C:\Users\stu\Documents\GitHub\eaglep3-reporting\EC\2017-05-07-refined-times.txt</v>
      </c>
      <c r="AI135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ID","value":"220-07"},{"id":16,"name":"Locomotive ID","value":"4051"},{"id":130,"name":"Impact","value":""},{"id":150,"name":"Time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0"/>
        <v>start /low /b %USERPROFILE%\Documents\GitHub\eaglep3\Utilities\DownloadLogsFromS3.py --loco 4051 --day 2017-05-07</v>
      </c>
      <c r="AN135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738</v>
      </c>
      <c r="B136" s="7">
        <v>4042</v>
      </c>
      <c r="C136" s="21" t="s">
        <v>209</v>
      </c>
      <c r="D136" s="21" t="s">
        <v>516</v>
      </c>
      <c r="E136" s="13">
        <v>42862.785543981481</v>
      </c>
      <c r="F136" s="13">
        <v>42862.792268518519</v>
      </c>
      <c r="G136" s="7">
        <v>2</v>
      </c>
      <c r="H136" s="21" t="s">
        <v>899</v>
      </c>
      <c r="I136" s="13">
        <v>42862.824861111112</v>
      </c>
      <c r="J136" s="7">
        <v>0</v>
      </c>
      <c r="K136" s="92" t="str">
        <f t="shared" si="23"/>
        <v>4041/4042</v>
      </c>
      <c r="L136" s="21" t="str">
        <f>VLOOKUP(A136,'Trips&amp;Operators'!$C$1:$G$99999,5,FALSE)</f>
        <v>MENGES BRAD</v>
      </c>
      <c r="M136" s="6">
        <f t="shared" si="24"/>
        <v>3.2592592593573499E-2</v>
      </c>
      <c r="N136" s="7">
        <f t="shared" si="25"/>
        <v>46.933333334745839</v>
      </c>
      <c r="O136" s="7"/>
      <c r="P136" s="7"/>
      <c r="Q136" s="22"/>
      <c r="R136" s="190"/>
      <c r="S136" s="196">
        <f t="shared" si="26"/>
        <v>1</v>
      </c>
      <c r="T136" s="190" t="str">
        <f t="shared" si="27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28"/>
        <v>https://d0f6bd738d7f1b3e5a7ca70fe4ff75f0.us-east-1.aws.found.io/app/kibana#/discover/Steve-Slow-Train-Analysis-(2080s-and-2083s)?_g=(refreshInterval:(display:Off,pause:!f,section:0,value:0),time:(from:'2017-05-07T17:51:11-0600',mode:absolute,to:'2017-05-07T20:47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192" t="str">
        <f t="shared" si="29"/>
        <v>N</v>
      </c>
      <c r="X136" s="192">
        <f t="shared" si="30"/>
        <v>1</v>
      </c>
      <c r="Y136" s="192">
        <f t="shared" si="31"/>
        <v>4.6699999999999998E-2</v>
      </c>
      <c r="Z136" s="192">
        <f t="shared" si="32"/>
        <v>23.3264</v>
      </c>
      <c r="AA136" s="192">
        <f t="shared" si="33"/>
        <v>23.279699999999998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4"/>
        <v>0221-07</v>
      </c>
      <c r="AE136" s="80" t="str">
        <f t="shared" si="35"/>
        <v>aws s3 cp s3://rtdc.mdm.uploadarchive.raw/RTDC4042/ "%USERPROFILE%\AppData\Local\Temp\OnboardLogs"\RTDC4042\2017-05-07 --exclude "*" --recursive --include "*20170507*" &amp; "%USERPROFILE%\Documents\GitHub\mrs-test-scripts\Headless Mode &amp; Sideloading\WalkAndUnGZ.bat" "%USERPROFILE%\AppData\Local\Temp\OnboardLogs"\RTDC4042\2017-05-07 &amp; aws s3 cp s3://rtdc.mdm.uploadarchive.raw/RTDC4042/ "%USERPROFILE%\AppData\Local\Temp\OnboardLogs"\RTDC4042\2017-05-08 --exclude "*" --recursive --include "*20170508*" &amp; "%USERPROFILE%\Documents\GitHub\mrs-test-scripts\Headless Mode &amp; Sideloading\WalkAndUnGZ.bat" "%USERPROFILE%\AppData\Local\Temp\OnboardLogs"\RTDC4042\2017-05-08</v>
      </c>
      <c r="AF136" s="77" t="str">
        <f t="shared" si="36"/>
        <v>"C:\Program Files (x86)\AstroGrep\AstroGrep.exe" /e /r /s /spath="%USERPROFILE%\AppData\Local\Temp\OnboardLogs" /stypes="app*4042*20170508*" /stext=" 01:.+((SYSTEM_STATE.+slice.+state.+changed )|(ment ac)|(multiple cpu faults)|(system.+state.+changed )|(\[timeout)|(PRM\|1\|D)|(kpr)|(kdp)|(train st.+moving)|(\|lc)|(penalty))"</v>
      </c>
      <c r="AG136" s="1" t="str">
        <f t="shared" si="37"/>
        <v>EC</v>
      </c>
      <c r="AH136" s="81" t="str">
        <f t="shared" si="38"/>
        <v>"%USERPROFILE%\Documents\GitHub\eaglep3\Utilities\RefineRTDCRunTimes.py" --tripid 221-07 --locoid 4042 --swversion DE.1.0.9.0 --startMP 204:467 --initTime 2017-05-07T18:51:11 --startdatetime 2017-05-07T19:00:52 --delay 2 --endMP 204:233264 --enddatetime 2017-05-07T19:47:48 --enforcementcount 0 &gt;&gt;C:\Users\stu\Documents\GitHub\eaglep3-reporting\EC\2017-05-07-refined-times.txt</v>
      </c>
      <c r="AI136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{"issue":{"subject":"","project_id":79,"tracker_id":40,"status_id":1,"priority_id":2,"assigned_to_id":23,"start_date":"2017-05-07","description":"","custom_fields":[{"id":1,"name":"Subdivision","value":"EC"},{"id":4,"name":"Milepost","value":"23.3264"},{"id":17,"name":"Train ID","value":"221-07"},{"id":16,"name":"Locomotive ID","value":"4042"},{"id":130,"name":"Impact","value":""},{"id":150,"name":"Time of Event (Mountain Time)","value":"19:47:48"},{"id":151,"name":"Denver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0"/>
        <v>start /low /b %USERPROFILE%\Documents\GitHub\eaglep3\Utilities\DownloadLogsFromS3.py --loco 4042 --day 2017-05-07</v>
      </c>
      <c r="AN136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01:47:48"},{"id":29,"name":"Sharepoint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746</v>
      </c>
      <c r="B137" s="7">
        <v>4041</v>
      </c>
      <c r="C137" s="21" t="s">
        <v>209</v>
      </c>
      <c r="D137" s="21" t="s">
        <v>812</v>
      </c>
      <c r="E137" s="13">
        <v>42862.826886574076</v>
      </c>
      <c r="F137" s="13">
        <v>42862.832395833335</v>
      </c>
      <c r="G137" s="7">
        <v>2</v>
      </c>
      <c r="H137" s="21" t="s">
        <v>900</v>
      </c>
      <c r="I137" s="13">
        <v>42862.845625000002</v>
      </c>
      <c r="J137" s="7">
        <v>0</v>
      </c>
      <c r="K137" s="92" t="str">
        <f t="shared" si="23"/>
        <v>4041/4042</v>
      </c>
      <c r="L137" s="21" t="str">
        <f>VLOOKUP(A137,'Trips&amp;Operators'!$C$1:$G$99999,5,FALSE)</f>
        <v>MENGES BRAD</v>
      </c>
      <c r="M137" s="6">
        <f t="shared" si="24"/>
        <v>1.3229166666860692E-2</v>
      </c>
      <c r="N137" s="7"/>
      <c r="O137" s="7"/>
      <c r="P137" s="7">
        <f t="shared" si="25"/>
        <v>19.050000000279397</v>
      </c>
      <c r="Q137" s="22"/>
      <c r="R137" s="190" t="s">
        <v>972</v>
      </c>
      <c r="S137" s="196">
        <f t="shared" si="26"/>
        <v>0</v>
      </c>
      <c r="T137" s="190" t="str">
        <f t="shared" si="27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191" t="str">
        <f t="shared" si="28"/>
        <v>https://d0f6bd738d7f1b3e5a7ca70fe4ff75f0.us-east-1.aws.found.io/app/kibana#/discover/Steve-Slow-Train-Analysis-(2080s-and-2083s)?_g=(refreshInterval:(display:Off,pause:!f,section:0,value:0),time:(from:'2017-05-07T18:50:43-0600',mode:absolute,to:'2017-05-07T21:17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192" t="str">
        <f t="shared" si="29"/>
        <v>Y</v>
      </c>
      <c r="X137" s="192">
        <f t="shared" si="30"/>
        <v>1</v>
      </c>
      <c r="Y137" s="192">
        <f t="shared" si="31"/>
        <v>23.296299999999999</v>
      </c>
      <c r="Z137" s="192">
        <f t="shared" si="32"/>
        <v>12.785399999999999</v>
      </c>
      <c r="AA137" s="192">
        <f t="shared" si="33"/>
        <v>10.510899999999999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4"/>
        <v>0222-07</v>
      </c>
      <c r="AE137" s="80" t="str">
        <f t="shared" si="35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137" s="77" t="str">
        <f t="shared" si="36"/>
        <v>"C:\Program Files (x86)\AstroGrep\AstroGrep.exe" /e /r /s /spath="%USERPROFILE%\AppData\Local\Temp\OnboardLogs" /stypes="app*4041*20170508*" /stext=" 02:.+((SYSTEM_STATE.+slice.+state.+changed )|(ment ac)|(multiple cpu faults)|(system.+state.+changed )|(\[timeout)|(PRM\|1\|D)|(kpr)|(kdp)|(train st.+moving)|(\|lc)|(penalty))"</v>
      </c>
      <c r="AG137" s="1" t="str">
        <f t="shared" si="37"/>
        <v>EC</v>
      </c>
      <c r="AH137" s="81" t="str">
        <f t="shared" si="38"/>
        <v>"%USERPROFILE%\Documents\GitHub\eaglep3\Utilities\RefineRTDCRunTimes.py" --tripid 222-07 --locoid 4041 --swversion DE.1.0.9.0 --startMP 204:232963 --initTime 2017-05-07T19:50:43 --startdatetime 2017-05-07T19:58:39 --delay 2 --endMP 204:127854 --enddatetime 2017-05-07T20:17:42 --enforcementcount 0 &gt;&gt;C:\Users\stu\Documents\GitHub\eaglep3-reporting\EC\2017-05-07-refined-times.txt</v>
      </c>
      <c r="AI137" s="99" t="str">
        <f t="shared" si="39"/>
        <v>echo {"issue":{"subject":"Failed Form C execution","project_id":79,"tracker_id":40,"status_id":1,"priority_id":2,"assigned_to_id":23,"start_date":"2017-05-07","description":"","custom_fields":[{"id":1,"name":"Subdivision","value":"EC"},{"id":4,"name":"Milepost","value":"12.7854"},{"id":17,"name":"Train ID","value":"222-07"},{"id":16,"name":"Locomotive ID","value":"4041"},{"id":130,"name":"Impact","value":""},{"id":150,"name":"Time of Event (Mountain Time)","value":"20:17:42"},{"id":151,"name":"Denver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0"/>
        <v>start /low /b %USERPROFILE%\Documents\GitHub\eaglep3\Utilities\DownloadLogsFromS3.py --loco 4041 --day 2017-05-07</v>
      </c>
      <c r="AN137" s="154" t="str">
        <f t="shared" si="41"/>
        <v>echo {"issue":{"subject":"Failed Form C execution","project_id":30,"tracker_id":4,"status_id":1,"priority_id":1,"assigned_to_id":10,"start_date":"2017-05-08","description":"","custom_fields":[{"id":30,"name":"Category","value":"Issue"},{"id":3,"name":"Functional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02:17:42"},{"id":29,"name":"Sharepoint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743</v>
      </c>
      <c r="B138" s="7">
        <v>4004</v>
      </c>
      <c r="C138" s="21" t="s">
        <v>209</v>
      </c>
      <c r="D138" s="21" t="s">
        <v>901</v>
      </c>
      <c r="E138" s="13">
        <v>42862.812557870369</v>
      </c>
      <c r="F138" s="13">
        <v>42862.814120370371</v>
      </c>
      <c r="G138" s="7">
        <v>1</v>
      </c>
      <c r="H138" s="21" t="s">
        <v>902</v>
      </c>
      <c r="I138" s="13">
        <v>42862.839594907404</v>
      </c>
      <c r="J138" s="7">
        <v>0</v>
      </c>
      <c r="K138" s="92" t="str">
        <f t="shared" si="23"/>
        <v>4003/4004</v>
      </c>
      <c r="L138" s="21" t="str">
        <f>VLOOKUP(A138,'Trips&amp;Operators'!$C$1:$G$99999,5,FALSE)</f>
        <v>NEWELL JAMES</v>
      </c>
      <c r="M138" s="6">
        <f t="shared" si="24"/>
        <v>2.5474537033005618E-2</v>
      </c>
      <c r="N138" s="7">
        <f t="shared" si="25"/>
        <v>36.683333327528089</v>
      </c>
      <c r="O138" s="7"/>
      <c r="P138" s="7"/>
      <c r="Q138" s="22"/>
      <c r="R138" s="190"/>
      <c r="S138" s="196">
        <f t="shared" si="26"/>
        <v>1</v>
      </c>
      <c r="T138" s="190" t="str">
        <f t="shared" si="27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28"/>
        <v>https://d0f6bd738d7f1b3e5a7ca70fe4ff75f0.us-east-1.aws.found.io/app/kibana#/discover/Steve-Slow-Train-Analysis-(2080s-and-2083s)?_g=(refreshInterval:(display:Off,pause:!f,section:0,value:0),time:(from:'2017-05-07T18:30:05-0600',mode:absolute,to:'2017-05-07T21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92" t="str">
        <f t="shared" si="29"/>
        <v>N</v>
      </c>
      <c r="X138" s="192">
        <f t="shared" si="30"/>
        <v>1</v>
      </c>
      <c r="Y138" s="192">
        <f t="shared" si="31"/>
        <v>4.7500000000000001E-2</v>
      </c>
      <c r="Z138" s="192">
        <f t="shared" si="32"/>
        <v>23.336600000000001</v>
      </c>
      <c r="AA138" s="192">
        <f t="shared" si="33"/>
        <v>23.289100000000001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4"/>
        <v>0223-07</v>
      </c>
      <c r="AE138" s="80" t="str">
        <f t="shared" si="3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38" s="77" t="str">
        <f t="shared" si="36"/>
        <v>"C:\Program Files (x86)\AstroGrep\AstroGrep.exe" /e /r /s /spath="%USERPROFILE%\AppData\Local\Temp\OnboardLogs" /stypes="app*4004*20170508*" /stext=" 02:.+((SYSTEM_STATE.+slice.+state.+changed )|(ment ac)|(multiple cpu faults)|(system.+state.+changed )|(\[timeout)|(PRM\|1\|D)|(kpr)|(kdp)|(train st.+moving)|(\|lc)|(penalty))"</v>
      </c>
      <c r="AG138" s="1" t="str">
        <f t="shared" si="37"/>
        <v>EC</v>
      </c>
      <c r="AH138" s="81" t="str">
        <f t="shared" si="38"/>
        <v>"%USERPROFILE%\Documents\GitHub\eaglep3\Utilities\RefineRTDCRunTimes.py" --tripid 223-07 --locoid 4004 --swversion DE.1.0.9.0 --startMP 204:475 --initTime 2017-05-07T19:30:05 --startdatetime 2017-05-07T19:32:20 --delay 1 --endMP 204:233366 --enddatetime 2017-05-07T20:09:01 --enforcementcount 0 &gt;&gt;C:\Users\stu\Documents\GitHub\eaglep3-reporting\EC\2017-05-07-refined-times.txt</v>
      </c>
      <c r="AI138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{"issue":{"subject":"","project_id":79,"tracker_id":40,"status_id":1,"priority_id":2,"assigned_to_id":23,"start_date":"2017-05-07","description":"","custom_fields":[{"id":1,"name":"Subdivision","value":"EC"},{"id":4,"name":"Milepost","value":"23.3366"},{"id":17,"name":"Train ID","value":"223-07"},{"id":16,"name":"Locomotive ID","value":"4004"},{"id":130,"name":"Impact","value":""},{"id":150,"name":"Time of Event (Mountain Time)","value":"20:09:01"},{"id":151,"name":"Denver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0"/>
        <v>start /low /b %USERPROFILE%\Documents\GitHub\eaglep3\Utilities\DownloadLogsFromS3.py --loco 4004 --day 2017-05-07</v>
      </c>
      <c r="AN138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749</v>
      </c>
      <c r="B139" s="7">
        <v>4003</v>
      </c>
      <c r="C139" s="21" t="s">
        <v>209</v>
      </c>
      <c r="D139" s="21" t="s">
        <v>389</v>
      </c>
      <c r="E139" s="13">
        <v>42862.843356481484</v>
      </c>
      <c r="F139" s="13">
        <v>42862.851539351854</v>
      </c>
      <c r="G139" s="7">
        <v>1</v>
      </c>
      <c r="H139" s="21" t="s">
        <v>198</v>
      </c>
      <c r="I139" s="13">
        <v>42862.880254629628</v>
      </c>
      <c r="J139" s="7">
        <v>0</v>
      </c>
      <c r="K139" s="92" t="str">
        <f t="shared" ref="K139:K201" si="43">IF(ISEVEN(B139),(B139-1)&amp;"/"&amp;B139,B139&amp;"/"&amp;(B139+1))</f>
        <v>4003/4004</v>
      </c>
      <c r="L139" s="21" t="str">
        <f>VLOOKUP(A139,'Trips&amp;Operators'!$C$1:$G$99999,5,FALSE)</f>
        <v>NEWELL JAMES</v>
      </c>
      <c r="M139" s="6">
        <f t="shared" ref="M139:M201" si="44">I139-F139</f>
        <v>2.8715277774608694E-2</v>
      </c>
      <c r="N139" s="7">
        <f t="shared" ref="N139:P201" si="45">24*60*SUM($M139:$M139)</f>
        <v>41.349999995436519</v>
      </c>
      <c r="O139" s="7"/>
      <c r="P139" s="7"/>
      <c r="Q139" s="22"/>
      <c r="R139" s="190"/>
      <c r="S139" s="196">
        <f t="shared" ref="S139:S201" si="46">SUM(U139:U139)/IF(AG139="EC",12,1)</f>
        <v>1</v>
      </c>
      <c r="T139" s="190" t="str">
        <f t="shared" ref="T139:T201" si="47">IF(ISEVEN(LEFT(AD139,4)),"Southbound","NorthBound")</f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ref="V139:V201" si="48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-07T19:14:26-0600',mode:absolute,to:'2017-05-07T22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9" s="192" t="str">
        <f t="shared" ref="W139:W201" si="49">IF(AA139&lt;IF(AG139="EC",23,5.65),"Y","N")</f>
        <v>N</v>
      </c>
      <c r="X139" s="192">
        <f t="shared" ref="X139:X201" si="50">VALUE(LEFT(AD139,4))-VALUE(LEFT(AD138,4))</f>
        <v>1</v>
      </c>
      <c r="Y139" s="192">
        <f t="shared" ref="Y139:Y201" si="51">RIGHT(D139,LEN(D139)-4)/10000</f>
        <v>23.298200000000001</v>
      </c>
      <c r="Z139" s="192">
        <f t="shared" ref="Z139:Z201" si="52">RIGHT(H139,LEN(H139)-4)/10000</f>
        <v>1.5800000000000002E-2</v>
      </c>
      <c r="AA139" s="192">
        <f t="shared" ref="AA139:AA201" si="53">ABS(Z139-Y139)</f>
        <v>23.282400000000003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ref="AD139:AD201" si="54">IF(LEN(A139)=6,"0"&amp;A139,A139)</f>
        <v>0224-07</v>
      </c>
      <c r="AE139" s="80" t="str">
        <f t="shared" ref="AE139:AE201" si="55"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39" s="77" t="str">
        <f t="shared" ref="AF139:AF201" si="56"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/stypes="app*4003*20170508*" /stext=" 03:.+((SYSTEM_STATE.+slice.+state.+changed )|(ment ac)|(multiple cpu faults)|(system.+state.+changed )|(\[timeout)|(PRM\|1\|D)|(kpr)|(kdp)|(train st.+moving)|(\|lc)|(penalty))"</v>
      </c>
      <c r="AG139" s="1" t="str">
        <f t="shared" ref="AG139:AG201" si="57">IFERROR(IF(VALUE(LEFT(AD139,2))&lt;=2,"EC",IF(OR(VALUE(LEFT(AD139,2))=8,VALUE(LEFT(AD139,2))=18),"NW","Other")),"Other")</f>
        <v>EC</v>
      </c>
      <c r="AH139" s="81" t="str">
        <f t="shared" si="38"/>
        <v>"%USERPROFILE%\Documents\GitHub\eaglep3\Utilities\RefineRTDCRunTimes.py" --tripid 224-07 --locoid 4003 --swversion DE.1.0.9.0 --startMP 204:232982 --initTime 2017-05-07T20:14:26 --startdatetime 2017-05-07T20:26:13 --delay 1 --endMP 204:158 --enddatetime 2017-05-07T21:07:34 --enforcementcount 0 &gt;&gt;C:\Users\stu\Documents\GitHub\eaglep3-reporting\EC\2017-05-07-refined-times.txt</v>
      </c>
      <c r="AI139" s="99" t="str">
        <f t="shared" si="39"/>
        <v>echo {"issue":{"subject":"","project_id":79,"tracker_id":40,"status_id":1,"priority_id":2,"assigned_to_id":23,"start_date":"2017-05-07","description":"","custom_fields":[{"id":1,"name":"Subdivision","value":"EC"},{"id":4,"name":"Milepost","value":"0.0158"},{"id":17,"name":"Train ID","value":"224-07"},{"id":16,"name":"Locomotive ID","value":"4003"},{"id":130,"name":"Impact","value":""},{"id":150,"name":"Time of Event (Mountain Time)","value":"21:07:34"},{"id":151,"name":"Denver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0"/>
        <v>start /low /b %USERPROFILE%\Documents\GitHub\eaglep3\Utilities\DownloadLogsFromS3.py --loco 4003 --day 2017-05-07</v>
      </c>
      <c r="AN139" s="154" t="str">
        <f t="shared" si="4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747</v>
      </c>
      <c r="B140" s="7">
        <v>4044</v>
      </c>
      <c r="C140" s="21" t="s">
        <v>209</v>
      </c>
      <c r="D140" s="21" t="s">
        <v>411</v>
      </c>
      <c r="E140" s="13">
        <v>42862.829918981479</v>
      </c>
      <c r="F140" s="13">
        <v>42862.833541666667</v>
      </c>
      <c r="G140" s="7">
        <v>2</v>
      </c>
      <c r="H140" s="21" t="s">
        <v>798</v>
      </c>
      <c r="I140" s="13">
        <v>42862.861481481479</v>
      </c>
      <c r="J140" s="7">
        <v>0</v>
      </c>
      <c r="K140" s="92" t="str">
        <f t="shared" si="43"/>
        <v>4043/4044</v>
      </c>
      <c r="L140" s="21" t="str">
        <f>VLOOKUP(A140,'Trips&amp;Operators'!$C$1:$G$99999,5,FALSE)</f>
        <v>SMITH MICHAEL</v>
      </c>
      <c r="M140" s="6">
        <f t="shared" si="44"/>
        <v>2.7939814812270924E-2</v>
      </c>
      <c r="N140" s="7">
        <f t="shared" si="45"/>
        <v>40.233333329670131</v>
      </c>
      <c r="O140" s="7"/>
      <c r="P140" s="7"/>
      <c r="Q140" s="22"/>
      <c r="R140" s="190"/>
      <c r="S140" s="196">
        <f t="shared" si="46"/>
        <v>1</v>
      </c>
      <c r="T140" s="190" t="str">
        <f t="shared" si="47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48"/>
        <v>https://d0f6bd738d7f1b3e5a7ca70fe4ff75f0.us-east-1.aws.found.io/app/kibana#/discover/Steve-Slow-Train-Analysis-(2080s-and-2083s)?_g=(refreshInterval:(display:Off,pause:!f,section:0,value:0),time:(from:'2017-05-07T18:55:05-0600',mode:absolute,to:'2017-05-07T21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192" t="str">
        <f t="shared" si="49"/>
        <v>N</v>
      </c>
      <c r="X140" s="192">
        <f t="shared" si="50"/>
        <v>1</v>
      </c>
      <c r="Y140" s="192">
        <f t="shared" si="51"/>
        <v>4.4200000000000003E-2</v>
      </c>
      <c r="Z140" s="192">
        <f t="shared" si="52"/>
        <v>23.330300000000001</v>
      </c>
      <c r="AA140" s="192">
        <f t="shared" si="53"/>
        <v>23.286100000000001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54"/>
        <v>0225-07</v>
      </c>
      <c r="AE140" s="80" t="str">
        <f t="shared" si="5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40" s="77" t="str">
        <f t="shared" si="56"/>
        <v>"C:\Program Files (x86)\AstroGrep\AstroGrep.exe" /e /r /s /spath="%USERPROFILE%\AppData\Local\Temp\OnboardLogs" /stypes="app*4044*20170508*" /stext=" 02:.+((SYSTEM_STATE.+slice.+state.+changed )|(ment ac)|(multiple cpu faults)|(system.+state.+changed )|(\[timeout)|(PRM\|1\|D)|(kpr)|(kdp)|(train st.+moving)|(\|lc)|(penalty))"</v>
      </c>
      <c r="AG140" s="1" t="str">
        <f t="shared" si="57"/>
        <v>EC</v>
      </c>
      <c r="AH140" s="81" t="str">
        <f t="shared" ref="AH140:AH202" si="5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225-07 --locoid 4044 --swversion DE.1.0.9.0 --startMP 204:442 --initTime 2017-05-07T19:55:05 --startdatetime 2017-05-07T20:00:18 --delay 2 --endMP 204:233303 --enddatetime 2017-05-07T20:40:32 --enforcementcount 0 &gt;&gt;C:\Users\stu\Documents\GitHub\eaglep3-reporting\EC\2017-05-07-refined-times.txt</v>
      </c>
      <c r="AI140" s="99" t="str">
        <f t="shared" ref="AI140:AI202" si="5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{"issue":{"subject":"","project_id":79,"tracker_id":40,"status_id":1,"priority_id":2,"assigned_to_id":23,"start_date":"2017-05-07","description":"","custom_fields":[{"id":1,"name":"Subdivision","value":"EC"},{"id":4,"name":"Milepost","value":"23.3303"},{"id":17,"name":"Train ID","value":"225-07"},{"id":16,"name":"Locomotive ID","value":"4044"},{"id":130,"name":"Impact","value":""},{"id":150,"name":"Time of Event (Mountain Time)","value":"20:40:32"},{"id":151,"name":"Denver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ref="AM140:AM202" si="60">"start /low /b "&amp;dls3logs&amp;" --loco "&amp;B140&amp;" --day "&amp;TEXT(F140,"YYYY-MM-DD")</f>
        <v>start /low /b %USERPROFILE%\Documents\GitHub\eaglep3\Utilities\DownloadLogsFromS3.py --loco 4044 --day 2017-05-07</v>
      </c>
      <c r="AN140" s="154" t="str">
        <f t="shared" ref="AN140:AN202" si="61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753</v>
      </c>
      <c r="B141" s="7">
        <v>4043</v>
      </c>
      <c r="C141" s="21" t="s">
        <v>209</v>
      </c>
      <c r="D141" s="21" t="s">
        <v>812</v>
      </c>
      <c r="E141" s="13">
        <v>42862.865300925929</v>
      </c>
      <c r="F141" s="13">
        <v>42862.872418981482</v>
      </c>
      <c r="G141" s="7">
        <v>1</v>
      </c>
      <c r="H141" s="21" t="s">
        <v>372</v>
      </c>
      <c r="I141" s="13">
        <v>42862.901203703703</v>
      </c>
      <c r="J141" s="7">
        <v>0</v>
      </c>
      <c r="K141" s="92" t="str">
        <f t="shared" si="43"/>
        <v>4043/4044</v>
      </c>
      <c r="L141" s="21" t="str">
        <f>VLOOKUP(A141,'Trips&amp;Operators'!$C$1:$G$99999,5,FALSE)</f>
        <v>SMITH MICHAEL</v>
      </c>
      <c r="M141" s="6">
        <f t="shared" si="44"/>
        <v>2.8784722220734693E-2</v>
      </c>
      <c r="N141" s="7">
        <f t="shared" si="45"/>
        <v>41.449999997857958</v>
      </c>
      <c r="O141" s="7"/>
      <c r="P141" s="7"/>
      <c r="Q141" s="22"/>
      <c r="R141" s="190"/>
      <c r="S141" s="196">
        <f t="shared" si="46"/>
        <v>1</v>
      </c>
      <c r="T141" s="190" t="str">
        <f t="shared" si="47"/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si="48"/>
        <v>https://d0f6bd738d7f1b3e5a7ca70fe4ff75f0.us-east-1.aws.found.io/app/kibana#/discover/Steve-Slow-Train-Analysis-(2080s-and-2083s)?_g=(refreshInterval:(display:Off,pause:!f,section:0,value:0),time:(from:'2017-05-07T19:46:02-0600',mode:absolute,to:'2017-05-07T22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192" t="str">
        <f t="shared" si="49"/>
        <v>N</v>
      </c>
      <c r="X141" s="192">
        <f t="shared" si="50"/>
        <v>1</v>
      </c>
      <c r="Y141" s="192">
        <f t="shared" si="51"/>
        <v>23.296299999999999</v>
      </c>
      <c r="Z141" s="192">
        <f t="shared" si="52"/>
        <v>1.4999999999999999E-2</v>
      </c>
      <c r="AA141" s="192">
        <f t="shared" si="53"/>
        <v>23.281299999999998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si="54"/>
        <v>0226-07</v>
      </c>
      <c r="AE141" s="80" t="str">
        <f t="shared" si="5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41" s="77" t="str">
        <f t="shared" si="56"/>
        <v>"C:\Program Files (x86)\AstroGrep\AstroGrep.exe" /e /r /s /spath="%USERPROFILE%\AppData\Local\Temp\OnboardLogs" /stypes="app*4043*20170508*" /stext=" 03:.+((SYSTEM_STATE.+slice.+state.+changed )|(ment ac)|(multiple cpu faults)|(system.+state.+changed )|(\[timeout)|(PRM\|1\|D)|(kpr)|(kdp)|(train st.+moving)|(\|lc)|(penalty))"</v>
      </c>
      <c r="AG141" s="1" t="str">
        <f t="shared" si="57"/>
        <v>EC</v>
      </c>
      <c r="AH141" s="81" t="str">
        <f t="shared" si="58"/>
        <v>"%USERPROFILE%\Documents\GitHub\eaglep3\Utilities\RefineRTDCRunTimes.py" --tripid 226-07 --locoid 4043 --swversion DE.1.0.9.0 --startMP 204:232963 --initTime 2017-05-07T20:46:02 --startdatetime 2017-05-07T20:56:17 --delay 1 --endMP 204:150 --enddatetime 2017-05-07T21:37:44 --enforcementcount 0 &gt;&gt;C:\Users\stu\Documents\GitHub\eaglep3-reporting\EC\2017-05-07-refined-times.txt</v>
      </c>
      <c r="AI141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{"issue":{"subject":"","project_id":79,"tracker_id":40,"status_id":1,"priority_id":2,"assigned_to_id":23,"start_date":"2017-05-07","description":"","custom_fields":[{"id":1,"name":"Subdivision","value":"EC"},{"id":4,"name":"Milepost","value":"0.015"},{"id":17,"name":"Train ID","value":"226-07"},{"id":16,"name":"Locomotive ID","value":"4043"},{"id":130,"name":"Impact","value":""},{"id":150,"name":"Time of Event (Mountain Time)","value":"21:37:44"},{"id":151,"name":"Denver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60"/>
        <v>start /low /b %USERPROFILE%\Documents\GitHub\eaglep3\Utilities\DownloadLogsFromS3.py --loco 4043 --day 2017-05-07</v>
      </c>
      <c r="AN14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748</v>
      </c>
      <c r="B142" s="7">
        <v>4052</v>
      </c>
      <c r="C142" s="21" t="s">
        <v>209</v>
      </c>
      <c r="D142" s="21" t="s">
        <v>395</v>
      </c>
      <c r="E142" s="13">
        <v>42862.839571759258</v>
      </c>
      <c r="F142" s="13">
        <v>42862.841828703706</v>
      </c>
      <c r="G142" s="7">
        <v>1</v>
      </c>
      <c r="H142" s="21" t="s">
        <v>903</v>
      </c>
      <c r="I142" s="13">
        <v>42862.843055555553</v>
      </c>
      <c r="J142" s="7">
        <v>0</v>
      </c>
      <c r="K142" s="92" t="str">
        <f t="shared" si="43"/>
        <v>4051/4052</v>
      </c>
      <c r="L142" s="21" t="str">
        <f>VLOOKUP(A142,'Trips&amp;Operators'!$C$1:$G$99999,5,FALSE)</f>
        <v>STAMBAUGH JAMES</v>
      </c>
      <c r="M142" s="6">
        <f t="shared" si="44"/>
        <v>1.2268518476048484E-3</v>
      </c>
      <c r="N142" s="7"/>
      <c r="O142" s="7"/>
      <c r="P142" s="7">
        <f t="shared" si="45"/>
        <v>1.7666666605509818</v>
      </c>
      <c r="Q142" s="22"/>
      <c r="R142" s="190" t="s">
        <v>969</v>
      </c>
      <c r="S142" s="196">
        <f t="shared" si="46"/>
        <v>0</v>
      </c>
      <c r="T142" s="190" t="str">
        <f t="shared" si="47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191" t="str">
        <f t="shared" si="48"/>
        <v>https://d0f6bd738d7f1b3e5a7ca70fe4ff75f0.us-east-1.aws.found.io/app/kibana#/discover/Steve-Slow-Train-Analysis-(2080s-and-2083s)?_g=(refreshInterval:(display:Off,pause:!f,section:0,value:0),time:(from:'2017-05-07T19:08:59-0600',mode:absolute,to:'2017-05-07T21:14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192" t="str">
        <f t="shared" si="49"/>
        <v>Y</v>
      </c>
      <c r="X142" s="192">
        <f t="shared" si="50"/>
        <v>1</v>
      </c>
      <c r="Y142" s="192">
        <f t="shared" si="51"/>
        <v>4.4699999999999997E-2</v>
      </c>
      <c r="Z142" s="192">
        <v>4.4699999999999997E-2</v>
      </c>
      <c r="AA142" s="192">
        <f t="shared" si="53"/>
        <v>0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4"/>
        <v>0227-07</v>
      </c>
      <c r="AE142" s="80" t="str">
        <f t="shared" si="5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42" s="77" t="str">
        <f t="shared" si="56"/>
        <v>"C:\Program Files (x86)\AstroGrep\AstroGrep.exe" /e /r /s /spath="%USERPROFILE%\AppData\Local\Temp\OnboardLogs" /stypes="app*4052*20170508*" /stext=" 02:.+((SYSTEM_STATE.+slice.+state.+changed )|(ment ac)|(multiple cpu faults)|(system.+state.+changed )|(\[timeout)|(PRM\|1\|D)|(kpr)|(kdp)|(train st.+moving)|(\|lc)|(penalty))"</v>
      </c>
      <c r="AG142" s="1" t="str">
        <f t="shared" si="57"/>
        <v>EC</v>
      </c>
      <c r="AH142" s="81" t="str">
        <f t="shared" si="58"/>
        <v>"%USERPROFILE%\Documents\GitHub\eaglep3\Utilities\RefineRTDCRunTimes.py" --tripid 227-07 --locoid 4052 --swversion DE.1.0.9.0 --startMP 204:447 --initTime 2017-05-07T20:08:59 --startdatetime 2017-05-07T20:12:14 --delay 1 --endMP 204:233489 --enddatetime 2017-05-07T20:14:00 --enforcementcount 0 &gt;&gt;C:\Users\stu\Documents\GitHub\eaglep3-reporting\EC\2017-05-07-refined-times.txt</v>
      </c>
      <c r="AI142" s="99" t="str">
        <f t="shared" si="5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failure","project_id":79,"tracker_id":40,"status_id":1,"priority_id":2,"assigned_to_id":23,"start_date":"2017-05-07","description":"","custom_fields":[{"id":1,"name":"Subdivision","value":"EC"},{"id":4,"name":"Milepost","value":"0.0447"},{"id":17,"name":"Train ID","value":"227-07"},{"id":16,"name":"Locomotive ID","value":"4052"},{"id":130,"name":"Impact","value":""},{"id":150,"name":"Time of Event (Mountain Time)","value":"20:14:00"},{"id":151,"name":"Denver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0"/>
        <v>start /low /b %USERPROFILE%\Documents\GitHub\eaglep3\Utilities\DownloadLogsFromS3.py --loco 4052 --day 2017-05-07</v>
      </c>
      <c r="AN142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02:14:00"},{"id":29,"name":"Sharepoint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758</v>
      </c>
      <c r="B143" s="7">
        <v>4051</v>
      </c>
      <c r="C143" s="21" t="s">
        <v>209</v>
      </c>
      <c r="D143" s="21" t="s">
        <v>904</v>
      </c>
      <c r="E143" s="13">
        <v>42862.890104166669</v>
      </c>
      <c r="F143" s="13">
        <v>42862.893888888888</v>
      </c>
      <c r="G143" s="7">
        <v>1</v>
      </c>
      <c r="H143" s="21" t="s">
        <v>446</v>
      </c>
      <c r="I143" s="13">
        <v>42862.922650462962</v>
      </c>
      <c r="J143" s="7">
        <v>0</v>
      </c>
      <c r="K143" s="92" t="str">
        <f t="shared" si="43"/>
        <v>4051/4052</v>
      </c>
      <c r="L143" s="21" t="str">
        <f>VLOOKUP(A143,'Trips&amp;Operators'!$C$1:$G$99999,5,FALSE)</f>
        <v>STAMBAUGH JAMES</v>
      </c>
      <c r="M143" s="6">
        <f t="shared" si="44"/>
        <v>2.8761574074451346E-2</v>
      </c>
      <c r="N143" s="7">
        <f t="shared" si="45"/>
        <v>41.416666667209938</v>
      </c>
      <c r="O143" s="7"/>
      <c r="P143" s="7"/>
      <c r="Q143" s="22"/>
      <c r="R143" s="190"/>
      <c r="S143" s="196">
        <f t="shared" si="46"/>
        <v>1</v>
      </c>
      <c r="T143" s="190" t="str">
        <f t="shared" si="47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48"/>
        <v>https://d0f6bd738d7f1b3e5a7ca70fe4ff75f0.us-east-1.aws.found.io/app/kibana#/discover/Steve-Slow-Train-Analysis-(2080s-and-2083s)?_g=(refreshInterval:(display:Off,pause:!f,section:0,value:0),time:(from:'2017-05-07T20:21:45-0600',mode:absolute,to:'2017-05-07T23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92" t="str">
        <f t="shared" si="49"/>
        <v>N</v>
      </c>
      <c r="X143" s="192">
        <f t="shared" si="50"/>
        <v>1</v>
      </c>
      <c r="Y143" s="192">
        <f t="shared" si="51"/>
        <v>23.309899999999999</v>
      </c>
      <c r="Z143" s="192">
        <f t="shared" si="52"/>
        <v>1.34E-2</v>
      </c>
      <c r="AA143" s="192">
        <f t="shared" si="53"/>
        <v>23.296499999999998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4"/>
        <v>0228-07</v>
      </c>
      <c r="AE143" s="80" t="str">
        <f t="shared" si="5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43" s="77" t="str">
        <f t="shared" si="56"/>
        <v>"C:\Program Files (x86)\AstroGrep\AstroGrep.exe" /e /r /s /spath="%USERPROFILE%\AppData\Local\Temp\OnboardLogs" /stypes="app*4051*20170508*" /stext=" 04:.+((SYSTEM_STATE.+slice.+state.+changed )|(ment ac)|(multiple cpu faults)|(system.+state.+changed )|(\[timeout)|(PRM\|1\|D)|(kpr)|(kdp)|(train st.+moving)|(\|lc)|(penalty))"</v>
      </c>
      <c r="AG143" s="1" t="str">
        <f t="shared" si="57"/>
        <v>EC</v>
      </c>
      <c r="AH143" s="81" t="str">
        <f t="shared" si="58"/>
        <v>"%USERPROFILE%\Documents\GitHub\eaglep3\Utilities\RefineRTDCRunTimes.py" --tripid 228-07 --locoid 4051 --swversion DE.1.0.9.0 --startMP 204:233099 --initTime 2017-05-07T21:21:45 --startdatetime 2017-05-07T21:27:12 --delay 1 --endMP 204:134 --enddatetime 2017-05-07T22:08:37 --enforcementcount 0 &gt;&gt;C:\Users\stu\Documents\GitHub\eaglep3-reporting\EC\2017-05-07-refined-times.txt</v>
      </c>
      <c r="AI143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{"issue":{"subject":"","project_id":79,"tracker_id":40,"status_id":1,"priority_id":2,"assigned_to_id":23,"start_date":"2017-05-07","description":"","custom_fields":[{"id":1,"name":"Subdivision","value":"EC"},{"id":4,"name":"Milepost","value":"0.0134"},{"id":17,"name":"Train ID","value":"228-07"},{"id":16,"name":"Locomotive ID","value":"4051"},{"id":130,"name":"Impact","value":""},{"id":150,"name":"Time of Event (Mountain Time)","value":"22:08:37"},{"id":151,"name":"Denver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0"/>
        <v>start /low /b %USERPROFILE%\Documents\GitHub\eaglep3\Utilities\DownloadLogsFromS3.py --loco 4051 --day 2017-05-07</v>
      </c>
      <c r="AN14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754</v>
      </c>
      <c r="B144" s="7">
        <v>4006</v>
      </c>
      <c r="C144" s="21" t="s">
        <v>209</v>
      </c>
      <c r="D144" s="21" t="s">
        <v>904</v>
      </c>
      <c r="E144" s="13">
        <v>42862.890104166669</v>
      </c>
      <c r="F144" s="13">
        <v>42862.866527777776</v>
      </c>
      <c r="G144" s="7">
        <v>1</v>
      </c>
      <c r="H144" s="21" t="s">
        <v>446</v>
      </c>
      <c r="I144" s="13">
        <v>42862.87871527778</v>
      </c>
      <c r="J144" s="7">
        <v>0</v>
      </c>
      <c r="K144" s="92" t="str">
        <f t="shared" ref="K144" si="62">IF(ISEVEN(B144),(B144-1)&amp;"/"&amp;B144,B144&amp;"/"&amp;(B144+1))</f>
        <v>4005/4006</v>
      </c>
      <c r="L144" s="21" t="str">
        <f>VLOOKUP(A144,'Trips&amp;Operators'!$C$1:$G$99999,5,FALSE)</f>
        <v>REED ANDREW</v>
      </c>
      <c r="M144" s="6">
        <f t="shared" ref="M144" si="63">I144-F144</f>
        <v>1.2187500004074536E-2</v>
      </c>
      <c r="N144" s="7"/>
      <c r="O144" s="7"/>
      <c r="P144" s="7">
        <f t="shared" si="45"/>
        <v>17.550000005867332</v>
      </c>
      <c r="Q144" s="22"/>
      <c r="R144" s="190" t="s">
        <v>969</v>
      </c>
      <c r="S144" s="196">
        <f t="shared" ref="S144" si="64">SUM(U144:U144)/IF(AG144="EC",12,1)</f>
        <v>0</v>
      </c>
      <c r="T144" s="190" t="str">
        <f t="shared" ref="T144" si="65">IF(ISEVEN(LEFT(AD144,4)),"Southbound","NorthBound")</f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191" t="str">
        <f t="shared" ref="V144" si="66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-07T20:21:45-0600',mode:absolute,to:'2017-05-07T22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192" t="str">
        <f t="shared" ref="W144" si="67">IF(AA144&lt;IF(AG144="EC",23,5.65),"Y","N")</f>
        <v>Y</v>
      </c>
      <c r="X144" s="192">
        <f t="shared" ref="X144:X145" si="68">VALUE(LEFT(AD144,4))-VALUE(LEFT(AD143,4))</f>
        <v>1</v>
      </c>
      <c r="Y144" s="192">
        <v>0</v>
      </c>
      <c r="Z144" s="192">
        <v>0</v>
      </c>
      <c r="AA144" s="192">
        <f t="shared" ref="AA144" si="69">ABS(Z144-Y144)</f>
        <v>0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ref="AD144" si="70">IF(LEN(A144)=6,"0"&amp;A144,A144)</f>
        <v>0229-07</v>
      </c>
      <c r="AE144" s="80" t="str">
        <f t="shared" ref="AE144" si="71"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144" s="77" t="str">
        <f t="shared" ref="AF144" si="72"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/stypes="app*4006*20170508*" /stext=" 03:.+((SYSTEM_STATE.+slice.+state.+changed )|(ment ac)|(multiple cpu faults)|(system.+state.+changed )|(\[timeout)|(PRM\|1\|D)|(kpr)|(kdp)|(train st.+moving)|(\|lc)|(penalty))"</v>
      </c>
      <c r="AG144" s="1" t="str">
        <f t="shared" ref="AG144" si="73">IFERROR(IF(VALUE(LEFT(AD144,2))&lt;=2,"EC",IF(OR(VALUE(LEFT(AD144,2))=8,VALUE(LEFT(AD144,2))=18),"NW","Other")),"Other")</f>
        <v>EC</v>
      </c>
      <c r="AH144" s="81" t="str">
        <f t="shared" ref="AH144" si="74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229-07 --locoid 4006 --swversion DE.1.0.9.0 --startMP 204:233099 --initTime 2017-05-07T21:21:45 --startdatetime 2017-05-07T20:47:48 --delay 1 --endMP 204:134 --enddatetime 2017-05-07T21:05:21 --enforcementcount 0 &gt;&gt;C:\Users\stu\Documents\GitHub\eaglep3-reporting\EC\2017-05-07-refined-times.txt</v>
      </c>
      <c r="AI144" s="99" t="str">
        <f t="shared" ref="AI144" si="75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failure","project_id":79,"tracker_id":40,"status_id":1,"priority_id":2,"assigned_to_id":23,"start_date":"2017-05-07","description":"","custom_fields":[{"id":1,"name":"Subdivision","value":"EC"},{"id":4,"name":"Milepost","value":"0"},{"id":17,"name":"Train ID","value":"229-07"},{"id":16,"name":"Locomotive ID","value":"4006"},{"id":130,"name":"Impact","value":""},{"id":150,"name":"Time of Event (Mountain Time)","value":"21:05:21"},{"id":151,"name":"Denver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ref="AM144" si="76">"start /low /b "&amp;dls3logs&amp;" --loco "&amp;B144&amp;" --day "&amp;TEXT(F144,"YYYY-MM-DD")</f>
        <v>start /low /b %USERPROFILE%\Documents\GitHub\eaglep3\Utilities\DownloadLogsFromS3.py --loco 4006 --day 2017-05-07</v>
      </c>
      <c r="AN144" s="154" t="str">
        <f t="shared" ref="AN144" si="77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5" spans="1:91" x14ac:dyDescent="0.25">
      <c r="A145" s="32" t="s">
        <v>590</v>
      </c>
      <c r="B145" s="7">
        <v>4005</v>
      </c>
      <c r="C145" s="21" t="s">
        <v>209</v>
      </c>
      <c r="D145" s="21" t="s">
        <v>387</v>
      </c>
      <c r="E145" s="13">
        <v>42862.911678240744</v>
      </c>
      <c r="F145" s="13">
        <v>42862.914421296293</v>
      </c>
      <c r="G145" s="7">
        <v>3</v>
      </c>
      <c r="H145" s="21" t="s">
        <v>197</v>
      </c>
      <c r="I145" s="13">
        <v>42862.945011574076</v>
      </c>
      <c r="J145" s="7">
        <v>0</v>
      </c>
      <c r="K145" s="92" t="str">
        <f t="shared" si="43"/>
        <v>4005/4006</v>
      </c>
      <c r="L145" s="21" t="str">
        <f>VLOOKUP(A145,'Trips&amp;Operators'!$C$1:$G$99999,5,FALSE)</f>
        <v>DUNCAN SHEILA</v>
      </c>
      <c r="M145" s="6">
        <f t="shared" si="44"/>
        <v>3.0590277783630881E-2</v>
      </c>
      <c r="N145" s="7">
        <f t="shared" si="45"/>
        <v>44.050000008428469</v>
      </c>
      <c r="O145" s="7"/>
      <c r="P145" s="7"/>
      <c r="Q145" s="22"/>
      <c r="R145" s="190"/>
      <c r="S145" s="196">
        <f t="shared" si="46"/>
        <v>1</v>
      </c>
      <c r="T145" s="190" t="str">
        <f t="shared" si="47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48"/>
        <v>https://d0f6bd738d7f1b3e5a7ca70fe4ff75f0.us-east-1.aws.found.io/app/kibana#/discover/Steve-Slow-Train-Analysis-(2080s-and-2083s)?_g=(refreshInterval:(display:Off,pause:!f,section:0,value:0),time:(from:'2017-05-07T20:52:49-0600',mode:absolute,to:'2017-05-07T23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192" t="str">
        <f t="shared" si="49"/>
        <v>N</v>
      </c>
      <c r="X145" s="192">
        <f t="shared" si="68"/>
        <v>1</v>
      </c>
      <c r="Y145" s="192">
        <f t="shared" si="51"/>
        <v>23.2973</v>
      </c>
      <c r="Z145" s="192">
        <f t="shared" si="52"/>
        <v>1.52E-2</v>
      </c>
      <c r="AA145" s="192">
        <f t="shared" si="53"/>
        <v>23.2821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4"/>
        <v>0230-07</v>
      </c>
      <c r="AE145" s="80" t="str">
        <f t="shared" si="5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45" s="77" t="str">
        <f t="shared" si="56"/>
        <v>"C:\Program Files (x86)\AstroGrep\AstroGrep.exe" /e /r /s /spath="%USERPROFILE%\AppData\Local\Temp\OnboardLogs" /stypes="app*4005*20170508*" /stext=" 04:.+((SYSTEM_STATE.+slice.+state.+changed )|(ment ac)|(multiple cpu faults)|(system.+state.+changed )|(\[timeout)|(PRM\|1\|D)|(kpr)|(kdp)|(train st.+moving)|(\|lc)|(penalty))"</v>
      </c>
      <c r="AG145" s="1" t="str">
        <f t="shared" si="57"/>
        <v>EC</v>
      </c>
      <c r="AH145" s="81" t="str">
        <f t="shared" si="58"/>
        <v>"%USERPROFILE%\Documents\GitHub\eaglep3\Utilities\RefineRTDCRunTimes.py" --tripid 230-07 --locoid 4005 --swversion DE.1.0.9.0 --startMP 204:232973 --initTime 2017-05-07T21:52:49 --startdatetime 2017-05-07T21:56:46 --delay 3 --endMP 204:152 --enddatetime 2017-05-07T22:40:49 --enforcementcount 0 &gt;&gt;C:\Users\stu\Documents\GitHub\eaglep3-reporting\EC\2017-05-07-refined-times.txt</v>
      </c>
      <c r="AI145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ID","value":"230-07"},{"id":16,"name":"Locomotive ID","value":"4005"},{"id":130,"name":"Impact","value":""},{"id":150,"name":"Time of Event (Mountain Time)","value":"22:40:49"},{"id":151,"name":"Denver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20"/>
      <c r="AK145" s="47"/>
      <c r="AL145" s="47"/>
      <c r="AM145" s="145" t="str">
        <f t="shared" si="60"/>
        <v>start /low /b %USERPROFILE%\Documents\GitHub\eaglep3\Utilities\DownloadLogsFromS3.py --loco 4005 --day 2017-05-07</v>
      </c>
      <c r="AN14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04:40:49"},{"id":29,"name":"Sharepoint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2" t="s">
        <v>759</v>
      </c>
      <c r="B146" s="7">
        <v>4004</v>
      </c>
      <c r="C146" s="21" t="s">
        <v>209</v>
      </c>
      <c r="D146" s="21" t="s">
        <v>905</v>
      </c>
      <c r="E146" s="13">
        <v>42862.890497685185</v>
      </c>
      <c r="F146" s="13">
        <v>42862.901412037034</v>
      </c>
      <c r="G146" s="7">
        <v>14</v>
      </c>
      <c r="H146" s="21" t="s">
        <v>803</v>
      </c>
      <c r="I146" s="13">
        <v>42862.923344907409</v>
      </c>
      <c r="J146" s="7">
        <v>0</v>
      </c>
      <c r="K146" s="92" t="str">
        <f t="shared" si="43"/>
        <v>4003/4004</v>
      </c>
      <c r="L146" s="21" t="str">
        <f>VLOOKUP(A146,'Trips&amp;Operators'!$C$1:$G$99999,5,FALSE)</f>
        <v>NEWELL JAMES</v>
      </c>
      <c r="M146" s="6">
        <f t="shared" si="44"/>
        <v>2.1932870375167113E-2</v>
      </c>
      <c r="N146" s="7"/>
      <c r="O146" s="7"/>
      <c r="P146" s="7">
        <f t="shared" si="45"/>
        <v>31.583333340240642</v>
      </c>
      <c r="Q146" s="22"/>
      <c r="R146" s="190" t="s">
        <v>969</v>
      </c>
      <c r="S146" s="196">
        <f t="shared" si="46"/>
        <v>1</v>
      </c>
      <c r="T146" s="190" t="str">
        <f t="shared" si="47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48"/>
        <v>https://d0f6bd738d7f1b3e5a7ca70fe4ff75f0.us-east-1.aws.found.io/app/kibana#/discover/Steve-Slow-Train-Analysis-(2080s-and-2083s)?_g=(refreshInterval:(display:Off,pause:!f,section:0,value:0),time:(from:'2017-05-07T20:22:19-0600',mode:absolute,to:'2017-05-07T23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192" t="str">
        <f t="shared" si="49"/>
        <v>Y</v>
      </c>
      <c r="X146" s="192">
        <f t="shared" si="50"/>
        <v>1</v>
      </c>
      <c r="Y146" s="192">
        <f t="shared" si="51"/>
        <v>1.9123000000000001</v>
      </c>
      <c r="Z146" s="192">
        <f t="shared" si="52"/>
        <v>23.333100000000002</v>
      </c>
      <c r="AA146" s="192">
        <f t="shared" si="53"/>
        <v>21.4208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4"/>
        <v>0231-07</v>
      </c>
      <c r="AE146" s="80" t="str">
        <f t="shared" si="5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46" s="77" t="str">
        <f t="shared" si="56"/>
        <v>"C:\Program Files (x86)\AstroGrep\AstroGrep.exe" /e /r /s /spath="%USERPROFILE%\AppData\Local\Temp\OnboardLogs" /stypes="app*4004*20170508*" /stext=" 04:.+((SYSTEM_STATE.+slice.+state.+changed )|(ment ac)|(multiple cpu faults)|(system.+state.+changed )|(\[timeout)|(PRM\|1\|D)|(kpr)|(kdp)|(train st.+moving)|(\|lc)|(penalty))"</v>
      </c>
      <c r="AG146" s="1" t="str">
        <f t="shared" si="57"/>
        <v>EC</v>
      </c>
      <c r="AH146" s="81" t="str">
        <f t="shared" si="58"/>
        <v>"%USERPROFILE%\Documents\GitHub\eaglep3\Utilities\RefineRTDCRunTimes.py" --tripid 231-07 --locoid 4004 --swversion DE.1.0.9.0 --startMP 204:19123 --initTime 2017-05-07T21:22:19 --startdatetime 2017-05-07T21:38:02 --delay 14 --endMP 204:233331 --enddatetime 2017-05-07T22:09:37 --enforcementcount 0 &gt;&gt;C:\Users\stu\Documents\GitHub\eaglep3-reporting\EC\2017-05-07-refined-times.txt</v>
      </c>
      <c r="AI146" s="99" t="str">
        <f t="shared" si="59"/>
        <v>echo {"issue":{"subject":"Onboard in-route failure","project_id":79,"tracker_id":40,"status_id":1,"priority_id":2,"assigned_to_id":23,"start_date":"2017-05-07","description":"","custom_fields":[{"id":1,"name":"Subdivision","value":"EC"},{"id":4,"name":"Milepost","value":"23.3331"},{"id":17,"name":"Train ID","value":"231-07"},{"id":16,"name":"Locomotive ID","value":"4004"},{"id":130,"name":"Impact","value":""},{"id":150,"name":"Time of Event (Mountain Time)","value":"22:09:37"},{"id":151,"name":"Denver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0"/>
        <v>start /low /b %USERPROFILE%\Documents\GitHub\eaglep3\Utilities\DownloadLogsFromS3.py --loco 4004 --day 2017-05-07</v>
      </c>
      <c r="AN146" s="154" t="str">
        <f t="shared" si="61"/>
        <v>echo {"issue":{"subject":"Onboard in-route failure","project_id":30,"tracker_id":4,"status_id":1,"priority_id":1,"assigned_to_id":10,"start_date":"2017-05-08","description":"","custom_fields":[{"id":30,"name":"Category","value":"Issue"},{"id":3,"name":"Functional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762</v>
      </c>
      <c r="B147" s="7">
        <v>4003</v>
      </c>
      <c r="C147" s="21" t="s">
        <v>209</v>
      </c>
      <c r="D147" s="21" t="s">
        <v>429</v>
      </c>
      <c r="E147" s="13">
        <v>42862.925833333335</v>
      </c>
      <c r="F147" s="13">
        <v>42862.934953703705</v>
      </c>
      <c r="G147" s="7">
        <v>1</v>
      </c>
      <c r="H147" s="21" t="s">
        <v>197</v>
      </c>
      <c r="I147" s="13">
        <v>42862.961469907408</v>
      </c>
      <c r="J147" s="7">
        <v>0</v>
      </c>
      <c r="K147" s="92" t="str">
        <f t="shared" si="43"/>
        <v>4003/4004</v>
      </c>
      <c r="L147" s="21" t="str">
        <f>VLOOKUP(A147,'Trips&amp;Operators'!$C$1:$G$99999,5,FALSE)</f>
        <v>NEWELL JAMES</v>
      </c>
      <c r="M147" s="6">
        <f t="shared" si="44"/>
        <v>2.6516203703067731E-2</v>
      </c>
      <c r="N147" s="7">
        <f t="shared" si="45"/>
        <v>38.183333332417533</v>
      </c>
      <c r="O147" s="7"/>
      <c r="P147" s="7"/>
      <c r="Q147" s="22"/>
      <c r="R147" s="190"/>
      <c r="S147" s="196">
        <f t="shared" si="46"/>
        <v>1</v>
      </c>
      <c r="T147" s="190" t="str">
        <f t="shared" si="47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48"/>
        <v>https://d0f6bd738d7f1b3e5a7ca70fe4ff75f0.us-east-1.aws.found.io/app/kibana#/discover/Steve-Slow-Train-Analysis-(2080s-and-2083s)?_g=(refreshInterval:(display:Off,pause:!f,section:0,value:0),time:(from:'2017-05-07T21:13:12-0600',mode:absolute,to:'2017-05-08T00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7" s="192" t="str">
        <f t="shared" si="49"/>
        <v>N</v>
      </c>
      <c r="X147" s="192">
        <f t="shared" si="50"/>
        <v>1</v>
      </c>
      <c r="Y147" s="192">
        <f t="shared" si="51"/>
        <v>23.2987</v>
      </c>
      <c r="Z147" s="192">
        <f t="shared" si="52"/>
        <v>1.52E-2</v>
      </c>
      <c r="AA147" s="192">
        <f t="shared" si="53"/>
        <v>23.2835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4"/>
        <v>0232-07</v>
      </c>
      <c r="AE147" s="80" t="str">
        <f t="shared" si="5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47" s="77" t="str">
        <f t="shared" si="56"/>
        <v>"C:\Program Files (x86)\AstroGrep\AstroGrep.exe" /e /r /s /spath="%USERPROFILE%\AppData\Local\Temp\OnboardLogs" /stypes="app*4003*20170508*" /stext=" 05:.+((SYSTEM_STATE.+slice.+state.+changed )|(ment ac)|(multiple cpu faults)|(system.+state.+changed )|(\[timeout)|(PRM\|1\|D)|(kpr)|(kdp)|(train st.+moving)|(\|lc)|(penalty))"</v>
      </c>
      <c r="AG147" s="1" t="str">
        <f t="shared" si="57"/>
        <v>EC</v>
      </c>
      <c r="AH147" s="81" t="str">
        <f t="shared" si="58"/>
        <v>"%USERPROFILE%\Documents\GitHub\eaglep3\Utilities\RefineRTDCRunTimes.py" --tripid 232-07 --locoid 4003 --swversion DE.1.0.9.0 --startMP 204:232987 --initTime 2017-05-07T22:13:12 --startdatetime 2017-05-07T22:26:20 --delay 1 --endMP 204:152 --enddatetime 2017-05-07T23:04:31 --enforcementcount 0 &gt;&gt;C:\Users\stu\Documents\GitHub\eaglep3-reporting\EC\2017-05-07-refined-times.txt</v>
      </c>
      <c r="AI147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ID","value":"232-07"},{"id":16,"name":"Locomotive ID","value":"4003"},{"id":130,"name":"Impact","value":""},{"id":150,"name":"Time of Event (Mountain Time)","value":"23:04:31"},{"id":151,"name":"Denver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60"/>
        <v>start /low /b %USERPROFILE%\Documents\GitHub\eaglep3\Utilities\DownloadLogsFromS3.py --loco 4003 --day 2017-05-07</v>
      </c>
      <c r="AN14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761</v>
      </c>
      <c r="B148" s="7">
        <v>4044</v>
      </c>
      <c r="C148" s="21" t="s">
        <v>209</v>
      </c>
      <c r="D148" s="21" t="s">
        <v>388</v>
      </c>
      <c r="E148" s="13">
        <v>42862.911122685182</v>
      </c>
      <c r="F148" s="13">
        <v>42862.916828703703</v>
      </c>
      <c r="G148" s="7">
        <v>1</v>
      </c>
      <c r="H148" s="21" t="s">
        <v>798</v>
      </c>
      <c r="I148" s="13">
        <v>42862.941932870373</v>
      </c>
      <c r="J148" s="7">
        <v>0</v>
      </c>
      <c r="K148" s="92" t="str">
        <f t="shared" si="43"/>
        <v>4043/4044</v>
      </c>
      <c r="L148" s="21" t="str">
        <f>VLOOKUP(A148,'Trips&amp;Operators'!$C$1:$G$99999,5,FALSE)</f>
        <v>SMITH MICHAEL</v>
      </c>
      <c r="M148" s="6">
        <f t="shared" si="44"/>
        <v>2.510416667064419E-2</v>
      </c>
      <c r="N148" s="7">
        <f t="shared" si="45"/>
        <v>36.150000005727634</v>
      </c>
      <c r="O148" s="7"/>
      <c r="P148" s="7"/>
      <c r="Q148" s="22"/>
      <c r="R148" s="190"/>
      <c r="S148" s="196">
        <f t="shared" si="46"/>
        <v>1</v>
      </c>
      <c r="T148" s="190" t="str">
        <f t="shared" si="47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48"/>
        <v>https://d0f6bd738d7f1b3e5a7ca70fe4ff75f0.us-east-1.aws.found.io/app/kibana#/discover/Steve-Slow-Train-Analysis-(2080s-and-2083s)?_g=(refreshInterval:(display:Off,pause:!f,section:0,value:0),time:(from:'2017-05-07T20:52:01-0600',mode:absolute,to:'2017-05-07T23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192" t="str">
        <f t="shared" si="49"/>
        <v>N</v>
      </c>
      <c r="X148" s="192">
        <f t="shared" si="50"/>
        <v>1</v>
      </c>
      <c r="Y148" s="192">
        <f t="shared" si="51"/>
        <v>4.3999999999999997E-2</v>
      </c>
      <c r="Z148" s="192">
        <f t="shared" si="52"/>
        <v>23.330300000000001</v>
      </c>
      <c r="AA148" s="192">
        <f t="shared" si="53"/>
        <v>23.286300000000001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4"/>
        <v>0233-07</v>
      </c>
      <c r="AE148" s="80" t="str">
        <f t="shared" si="55"/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AF148" s="77" t="str">
        <f t="shared" si="56"/>
        <v>"C:\Program Files (x86)\AstroGrep\AstroGrep.exe" /e /r /s /spath="%USERPROFILE%\AppData\Local\Temp\OnboardLogs" /stypes="app*4044*20170508*" /stext=" 04:.+((SYSTEM_STATE.+slice.+state.+changed )|(ment ac)|(multiple cpu faults)|(system.+state.+changed )|(\[timeout)|(PRM\|1\|D)|(kpr)|(kdp)|(train st.+moving)|(\|lc)|(penalty))"</v>
      </c>
      <c r="AG148" s="1" t="str">
        <f t="shared" si="57"/>
        <v>EC</v>
      </c>
      <c r="AH148" s="81" t="str">
        <f t="shared" si="58"/>
        <v>"%USERPROFILE%\Documents\GitHub\eaglep3\Utilities\RefineRTDCRunTimes.py" --tripid 233-07 --locoid 4044 --swversion DE.1.0.9.0 --startMP 204:440 --initTime 2017-05-07T21:52:01 --startdatetime 2017-05-07T22:00:14 --delay 1 --endMP 204:233303 --enddatetime 2017-05-07T22:36:23 --enforcementcount 0 &gt;&gt;C:\Users\stu\Documents\GitHub\eaglep3-reporting\EC\2017-05-07-refined-times.txt</v>
      </c>
      <c r="AI148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{"issue":{"subject":"","project_id":79,"tracker_id":40,"status_id":1,"priority_id":2,"assigned_to_id":23,"start_date":"2017-05-07","description":"","custom_fields":[{"id":1,"name":"Subdivision","value":"EC"},{"id":4,"name":"Milepost","value":"23.3303"},{"id":17,"name":"Train ID","value":"233-07"},{"id":16,"name":"Locomotive ID","value":"4044"},{"id":130,"name":"Impact","value":""},{"id":150,"name":"Time of Event (Mountain Time)","value":"22:36:23"},{"id":151,"name":"Denver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0"/>
        <v>start /low /b %USERPROFILE%\Documents\GitHub\eaglep3\Utilities\DownloadLogsFromS3.py --loco 4044 --day 2017-05-07</v>
      </c>
      <c r="AN14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765</v>
      </c>
      <c r="B149" s="7">
        <v>4043</v>
      </c>
      <c r="C149" s="21" t="s">
        <v>209</v>
      </c>
      <c r="D149" s="21" t="s">
        <v>789</v>
      </c>
      <c r="E149" s="13">
        <v>42862.949861111112</v>
      </c>
      <c r="F149" s="13">
        <v>42862.955752314818</v>
      </c>
      <c r="G149" s="7">
        <v>1</v>
      </c>
      <c r="H149" s="21" t="s">
        <v>197</v>
      </c>
      <c r="I149" s="13">
        <v>42862.983449074076</v>
      </c>
      <c r="J149" s="7">
        <v>0</v>
      </c>
      <c r="K149" s="92" t="str">
        <f t="shared" si="43"/>
        <v>4043/4044</v>
      </c>
      <c r="L149" s="21" t="str">
        <f>VLOOKUP(A149,'Trips&amp;Operators'!$C$1:$G$99999,5,FALSE)</f>
        <v>SMITH MICHAEL</v>
      </c>
      <c r="M149" s="6">
        <f t="shared" si="44"/>
        <v>2.7696759258105885E-2</v>
      </c>
      <c r="N149" s="7">
        <f t="shared" si="45"/>
        <v>39.883333331672475</v>
      </c>
      <c r="O149" s="7"/>
      <c r="P149" s="7"/>
      <c r="Q149" s="22"/>
      <c r="R149" s="190"/>
      <c r="S149" s="196">
        <f t="shared" si="46"/>
        <v>1</v>
      </c>
      <c r="T149" s="190" t="str">
        <f t="shared" si="47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48"/>
        <v>https://d0f6bd738d7f1b3e5a7ca70fe4ff75f0.us-east-1.aws.found.io/app/kibana#/discover/Steve-Slow-Train-Analysis-(2080s-and-2083s)?_g=(refreshInterval:(display:Off,pause:!f,section:0,value:0),time:(from:'2017-05-07T21:47:48-0600',mode:absolute,to:'2017-05-08T00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192" t="str">
        <f t="shared" si="49"/>
        <v>N</v>
      </c>
      <c r="X149" s="192">
        <f t="shared" si="50"/>
        <v>1</v>
      </c>
      <c r="Y149" s="192">
        <f t="shared" si="51"/>
        <v>23.297499999999999</v>
      </c>
      <c r="Z149" s="192">
        <f t="shared" si="52"/>
        <v>1.52E-2</v>
      </c>
      <c r="AA149" s="192">
        <f t="shared" si="53"/>
        <v>23.282299999999999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4"/>
        <v>0234-07</v>
      </c>
      <c r="AE149" s="80" t="str">
        <f t="shared" si="55"/>
        <v>aws s3 cp s3://rtdc.mdm.uploadarchive.raw/RTDC4043/ "%USERPROFILE%\AppData\Local\Temp\OnboardLogs"\RTDC4043\2017-05-07 --exclude "*" --recursive --include "*20170507*" &amp; "%USERPROFILE%\Documents\GitHub\mrs-test-scripts\Headless Mode &amp; Sideloading\WalkAndUnGZ.bat" "%USERPROFILE%\AppData\Local\Temp\OnboardLogs"\RTDC4043\2017-05-07 &amp; 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</v>
      </c>
      <c r="AF149" s="77" t="str">
        <f t="shared" si="56"/>
        <v>"C:\Program Files (x86)\AstroGrep\AstroGrep.exe" /e /r /s /spath="%USERPROFILE%\AppData\Local\Temp\OnboardLogs" /stypes="app*4043*20170508*" /stext=" 05:.+((SYSTEM_STATE.+slice.+state.+changed )|(ment ac)|(multiple cpu faults)|(system.+state.+changed )|(\[timeout)|(PRM\|1\|D)|(kpr)|(kdp)|(train st.+moving)|(\|lc)|(penalty))"</v>
      </c>
      <c r="AG149" s="1" t="str">
        <f t="shared" si="57"/>
        <v>EC</v>
      </c>
      <c r="AH149" s="81" t="str">
        <f t="shared" si="58"/>
        <v>"%USERPROFILE%\Documents\GitHub\eaglep3\Utilities\RefineRTDCRunTimes.py" --tripid 234-07 --locoid 4043 --swversion DE.1.0.9.0 --startMP 204:232975 --initTime 2017-05-07T22:47:48 --startdatetime 2017-05-07T22:56:17 --delay 1 --endMP 204:152 --enddatetime 2017-05-07T23:36:10 --enforcementcount 0 &gt;&gt;C:\Users\stu\Documents\GitHub\eaglep3-reporting\EC\2017-05-07-refined-times.txt</v>
      </c>
      <c r="AI149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{"issue":{"subject":"","project_id":79,"tracker_id":40,"status_id":1,"priority_id":2,"assigned_to_id":23,"start_date":"2017-05-07","description":"","custom_fields":[{"id":1,"name":"Subdivision","value":"EC"},{"id":4,"name":"Milepost","value":"0.0152"},{"id":17,"name":"Train ID","value":"234-07"},{"id":16,"name":"Locomotive ID","value":"4043"},{"id":130,"name":"Impact","value":""},{"id":150,"name":"Time of Event (Mountain Time)","value":"23:36:10"},{"id":151,"name":"Denver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60"/>
        <v>start /low /b %USERPROFILE%\Documents\GitHub\eaglep3\Utilities\DownloadLogsFromS3.py --loco 4043 --day 2017-05-07</v>
      </c>
      <c r="AN14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591</v>
      </c>
      <c r="B150" s="7">
        <v>4052</v>
      </c>
      <c r="C150" s="21" t="s">
        <v>209</v>
      </c>
      <c r="D150" s="21" t="s">
        <v>203</v>
      </c>
      <c r="E150" s="13">
        <v>42862.924525462964</v>
      </c>
      <c r="F150" s="13">
        <v>42862.937777777777</v>
      </c>
      <c r="G150" s="7">
        <v>15</v>
      </c>
      <c r="H150" s="21" t="s">
        <v>903</v>
      </c>
      <c r="I150" s="13">
        <v>42862.962789351855</v>
      </c>
      <c r="J150" s="7">
        <v>0</v>
      </c>
      <c r="K150" s="92" t="str">
        <f t="shared" si="43"/>
        <v>4051/4052</v>
      </c>
      <c r="L150" s="21" t="str">
        <f>VLOOKUP(A150,'Trips&amp;Operators'!$C$1:$G$99999,5,FALSE)</f>
        <v>STAMBAUGH JAMES</v>
      </c>
      <c r="M150" s="6">
        <f t="shared" si="44"/>
        <v>2.5011574078234844E-2</v>
      </c>
      <c r="N150" s="7">
        <f t="shared" si="45"/>
        <v>36.016666672658175</v>
      </c>
      <c r="O150" s="7"/>
      <c r="P150" s="7"/>
      <c r="Q150" s="22"/>
      <c r="R150" s="190"/>
      <c r="S150" s="196">
        <f t="shared" si="46"/>
        <v>1</v>
      </c>
      <c r="T150" s="190" t="str">
        <f t="shared" si="47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48"/>
        <v>https://d0f6bd738d7f1b3e5a7ca70fe4ff75f0.us-east-1.aws.found.io/app/kibana#/discover/Steve-Slow-Train-Analysis-(2080s-and-2083s)?_g=(refreshInterval:(display:Off,pause:!f,section:0,value:0),time:(from:'2017-05-07T21:11:19-0600',mode:absolute,to:'2017-05-08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0" s="192" t="str">
        <f t="shared" si="49"/>
        <v>N</v>
      </c>
      <c r="X150" s="192">
        <f t="shared" si="50"/>
        <v>1</v>
      </c>
      <c r="Y150" s="192">
        <f t="shared" si="51"/>
        <v>4.5699999999999998E-2</v>
      </c>
      <c r="Z150" s="192">
        <f t="shared" si="52"/>
        <v>23.3489</v>
      </c>
      <c r="AA150" s="192">
        <f t="shared" si="53"/>
        <v>23.3032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4"/>
        <v>0235-07</v>
      </c>
      <c r="AE150" s="80" t="str">
        <f t="shared" si="55"/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AF150" s="77" t="str">
        <f t="shared" si="56"/>
        <v>"C:\Program Files (x86)\AstroGrep\AstroGrep.exe" /e /r /s /spath="%USERPROFILE%\AppData\Local\Temp\OnboardLogs" /stypes="app*4052*20170508*" /stext=" 05:.+((SYSTEM_STATE.+slice.+state.+changed )|(ment ac)|(multiple cpu faults)|(system.+state.+changed )|(\[timeout)|(PRM\|1\|D)|(kpr)|(kdp)|(train st.+moving)|(\|lc)|(penalty))"</v>
      </c>
      <c r="AG150" s="1" t="str">
        <f t="shared" si="57"/>
        <v>EC</v>
      </c>
      <c r="AH150" s="81" t="str">
        <f t="shared" si="58"/>
        <v>"%USERPROFILE%\Documents\GitHub\eaglep3\Utilities\RefineRTDCRunTimes.py" --tripid 235-07 --locoid 4052 --swversion DE.1.0.9.0 --startMP 204:457 --initTime 2017-05-07T22:11:19 --startdatetime 2017-05-07T22:30:24 --delay 15 --endMP 204:233489 --enddatetime 2017-05-07T23:06:25 --enforcementcount 0 &gt;&gt;C:\Users\stu\Documents\GitHub\eaglep3-reporting\EC\2017-05-07-refined-times.txt</v>
      </c>
      <c r="AI150" s="99" t="str">
        <f t="shared" si="59"/>
        <v>echo {"issue":{"subject":"","project_id":79,"tracker_id":40,"status_id":1,"priority_id":2,"assigned_to_id":23,"start_date":"2017-05-07","description":"","custom_fields":[{"id":1,"name":"Subdivision","value":"EC"},{"id":4,"name":"Milepost","value":"23.3489"},{"id":17,"name":"Train ID","value":"235-07"},{"id":16,"name":"Locomotive ID","value":"4052"},{"id":130,"name":"Impact","value":""},{"id":150,"name":"Time of Event (Mountain Time)","value":"23:06:25"},{"id":151,"name":"Denver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60"/>
        <v>start /low /b %USERPROFILE%\Documents\GitHub\eaglep3\Utilities\DownloadLogsFromS3.py --loco 4052 --day 2017-05-07</v>
      </c>
      <c r="AN15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593</v>
      </c>
      <c r="B151" s="7">
        <v>4051</v>
      </c>
      <c r="C151" s="21" t="s">
        <v>209</v>
      </c>
      <c r="D151" s="21" t="s">
        <v>906</v>
      </c>
      <c r="E151" s="13">
        <v>42862.972175925926</v>
      </c>
      <c r="F151" s="13">
        <v>42862.976979166669</v>
      </c>
      <c r="G151" s="7">
        <v>1</v>
      </c>
      <c r="H151" s="21" t="s">
        <v>515</v>
      </c>
      <c r="I151" s="13">
        <v>42863.006180555552</v>
      </c>
      <c r="J151" s="7">
        <v>0</v>
      </c>
      <c r="K151" s="92" t="str">
        <f t="shared" si="43"/>
        <v>4051/4052</v>
      </c>
      <c r="L151" s="21" t="str">
        <f>VLOOKUP(A151,'Trips&amp;Operators'!$C$1:$G$99999,5,FALSE)</f>
        <v>STAMBAUGH JAMES</v>
      </c>
      <c r="M151" s="6">
        <f t="shared" si="44"/>
        <v>2.9201388882938772E-2</v>
      </c>
      <c r="N151" s="7">
        <f t="shared" si="45"/>
        <v>42.049999991431832</v>
      </c>
      <c r="O151" s="7"/>
      <c r="P151" s="7"/>
      <c r="Q151" s="22"/>
      <c r="R151" s="190"/>
      <c r="S151" s="196">
        <f t="shared" si="46"/>
        <v>1</v>
      </c>
      <c r="T151" s="190" t="str">
        <f t="shared" si="47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48"/>
        <v>https://d0f6bd738d7f1b3e5a7ca70fe4ff75f0.us-east-1.aws.found.io/app/kibana#/discover/Steve-Slow-Train-Analysis-(2080s-and-2083s)?_g=(refreshInterval:(display:Off,pause:!f,section:0,value:0),time:(from:'2017-05-07T22:19:56-0600',mode:absolute,to:'2017-05-08T01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92" t="str">
        <f t="shared" si="49"/>
        <v>N</v>
      </c>
      <c r="X151" s="192">
        <f t="shared" si="50"/>
        <v>1</v>
      </c>
      <c r="Y151" s="192">
        <f t="shared" si="51"/>
        <v>23.313400000000001</v>
      </c>
      <c r="Z151" s="192">
        <f t="shared" si="52"/>
        <v>1.2999999999999999E-2</v>
      </c>
      <c r="AA151" s="192">
        <f t="shared" si="53"/>
        <v>23.3004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4"/>
        <v>0236-07</v>
      </c>
      <c r="AE151" s="80" t="str">
        <f t="shared" si="5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151" s="77" t="str">
        <f t="shared" si="56"/>
        <v>"C:\Program Files (x86)\AstroGrep\AstroGrep.exe" /e /r /s /spath="%USERPROFILE%\AppData\Local\Temp\OnboardLogs" /stypes="app*4051*20170508*" /stext=" 06:.+((SYSTEM_STATE.+slice.+state.+changed )|(ment ac)|(multiple cpu faults)|(system.+state.+changed )|(\[timeout)|(PRM\|1\|D)|(kpr)|(kdp)|(train st.+moving)|(\|lc)|(penalty))"</v>
      </c>
      <c r="AG151" s="1" t="str">
        <f t="shared" si="57"/>
        <v>EC</v>
      </c>
      <c r="AH151" s="81" t="str">
        <f t="shared" si="58"/>
        <v>"%USERPROFILE%\Documents\GitHub\eaglep3\Utilities\RefineRTDCRunTimes.py" --tripid 236-07 --locoid 4051 --swversion DE.1.0.9.0 --startMP 204:233134 --initTime 2017-05-07T23:19:56 --startdatetime 2017-05-07T23:26:51 --delay 1 --endMP 204:130 --enddatetime 2017-05-08T00:08:54 --enforcementcount 0 &gt;&gt;C:\Users\stu\Documents\GitHub\eaglep3-reporting\EC\2017-05-07-refined-times.txt</v>
      </c>
      <c r="AI151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{"issue":{"subject":"","project_id":79,"tracker_id":40,"status_id":1,"priority_id":2,"assigned_to_id":23,"start_date":"2017-05-08","description":"","custom_fields":[{"id":1,"name":"Subdivision","value":"EC"},{"id":4,"name":"Milepost","value":"0.013"},{"id":17,"name":"Train ID","value":"236-07"},{"id":16,"name":"Locomotive ID","value":"4051"},{"id":130,"name":"Impact","value":""},{"id":150,"name":"Time of Event (Mountain Time)","value":"00:08:54"},{"id":151,"name":"Denver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0"/>
        <v>start /low /b %USERPROFILE%\Documents\GitHub\eaglep3\Utilities\DownloadLogsFromS3.py --loco 4051 --day 2017-05-07</v>
      </c>
      <c r="AN15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592</v>
      </c>
      <c r="B152" s="7">
        <v>4006</v>
      </c>
      <c r="C152" s="21" t="s">
        <v>209</v>
      </c>
      <c r="D152" s="21" t="s">
        <v>907</v>
      </c>
      <c r="E152" s="13">
        <v>42862.963078703702</v>
      </c>
      <c r="F152" s="13">
        <v>42862.964131944442</v>
      </c>
      <c r="G152" s="7">
        <v>0</v>
      </c>
      <c r="H152" s="21" t="s">
        <v>403</v>
      </c>
      <c r="I152" s="13">
        <v>42862.987025462964</v>
      </c>
      <c r="J152" s="7">
        <v>0</v>
      </c>
      <c r="K152" s="92" t="str">
        <f t="shared" si="43"/>
        <v>4005/4006</v>
      </c>
      <c r="L152" s="21" t="str">
        <f>VLOOKUP(A152,'Trips&amp;Operators'!$C$1:$G$99999,5,FALSE)</f>
        <v>DUNCAN SHEILA</v>
      </c>
      <c r="M152" s="6">
        <f t="shared" si="44"/>
        <v>2.2893518522323575E-2</v>
      </c>
      <c r="N152" s="7"/>
      <c r="O152" s="7"/>
      <c r="P152" s="7">
        <f t="shared" si="45"/>
        <v>32.966666672145948</v>
      </c>
      <c r="Q152" s="22"/>
      <c r="R152" s="190" t="s">
        <v>973</v>
      </c>
      <c r="S152" s="196">
        <f t="shared" si="46"/>
        <v>1</v>
      </c>
      <c r="T152" s="190" t="str">
        <f t="shared" si="47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48"/>
        <v>https://d0f6bd738d7f1b3e5a7ca70fe4ff75f0.us-east-1.aws.found.io/app/kibana#/discover/Steve-Slow-Train-Analysis-(2080s-and-2083s)?_g=(refreshInterval:(display:Off,pause:!f,section:0,value:0),time:(from:'2017-05-07T22:06:50-0600',mode:absolute,to:'2017-05-08T00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192" t="str">
        <f t="shared" si="49"/>
        <v>Y</v>
      </c>
      <c r="X152" s="192">
        <f t="shared" si="50"/>
        <v>1</v>
      </c>
      <c r="Y152" s="192">
        <f t="shared" si="51"/>
        <v>1.9137999999999999</v>
      </c>
      <c r="Z152" s="192">
        <f t="shared" si="52"/>
        <v>23.328199999999999</v>
      </c>
      <c r="AA152" s="192">
        <f t="shared" si="53"/>
        <v>21.414400000000001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4"/>
        <v>0237-07</v>
      </c>
      <c r="AE152" s="80" t="str">
        <f t="shared" si="55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152" s="77" t="str">
        <f t="shared" si="56"/>
        <v>"C:\Program Files (x86)\AstroGrep\AstroGrep.exe" /e /r /s /spath="%USERPROFILE%\AppData\Local\Temp\OnboardLogs" /stypes="app*4006*20170508*" /stext=" 05:.+((SYSTEM_STATE.+slice.+state.+changed )|(ment ac)|(multiple cpu faults)|(system.+state.+changed )|(\[timeout)|(PRM\|1\|D)|(kpr)|(kdp)|(train st.+moving)|(\|lc)|(penalty))"</v>
      </c>
      <c r="AG152" s="1" t="str">
        <f t="shared" si="57"/>
        <v>EC</v>
      </c>
      <c r="AH152" s="81" t="str">
        <f t="shared" si="58"/>
        <v>"%USERPROFILE%\Documents\GitHub\eaglep3\Utilities\RefineRTDCRunTimes.py" --tripid 237-07 --locoid 4006 --swversion DE.1.0.9.0 --startMP 204:19138 --initTime 2017-05-07T23:06:50 --startdatetime 2017-05-07T23:08:21 --delay 0 --endMP 204:233282 --enddatetime 2017-05-07T23:41:19 --enforcementcount 0 &gt;&gt;C:\Users\stu\Documents\GitHub\eaglep3-reporting\EC\2017-05-07-refined-times.txt</v>
      </c>
      <c r="AI152" s="99" t="str">
        <f t="shared" si="59"/>
        <v>echo {"issue":{"subject":"CCROC/crew/equipment mismatch","project_id":79,"tracker_id":40,"status_id":1,"priority_id":2,"assigned_to_id":23,"start_date":"2017-05-07","description":"","custom_fields":[{"id":1,"name":"Subdivision","value":"EC"},{"id":4,"name":"Milepost","value":"23.3282"},{"id":17,"name":"Train ID","value":"237-07"},{"id":16,"name":"Locomotive ID","value":"4006"},{"id":130,"name":"Impact","value":""},{"id":150,"name":"Time of Event (Mountain Time)","value":"23:41:19"},{"id":151,"name":"Denver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0"/>
        <v>start /low /b %USERPROFILE%\Documents\GitHub\eaglep3\Utilities\DownloadLogsFromS3.py --loco 4006 --day 2017-05-07</v>
      </c>
      <c r="AN152" s="154" t="str">
        <f t="shared" si="61"/>
        <v>echo {"issue":{"subject":"CCROC/crew/equipment mismatch","project_id":30,"tracker_id":4,"status_id":1,"priority_id":1,"assigned_to_id":10,"start_date":"2017-05-08","description":"","custom_fields":[{"id":30,"name":"Category","value":"Issue"},{"id":3,"name":"Functional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767</v>
      </c>
      <c r="B153" s="7">
        <v>4005</v>
      </c>
      <c r="C153" s="21" t="s">
        <v>209</v>
      </c>
      <c r="D153" s="21" t="s">
        <v>908</v>
      </c>
      <c r="E153" s="13">
        <v>42862.995312500003</v>
      </c>
      <c r="F153" s="13">
        <v>42862.997361111113</v>
      </c>
      <c r="G153" s="7">
        <v>1</v>
      </c>
      <c r="H153" s="21" t="s">
        <v>373</v>
      </c>
      <c r="I153" s="13">
        <v>42863.026354166665</v>
      </c>
      <c r="J153" s="7">
        <v>0</v>
      </c>
      <c r="K153" s="92" t="str">
        <f t="shared" si="43"/>
        <v>4005/4006</v>
      </c>
      <c r="L153" s="21" t="str">
        <f>VLOOKUP(A153,'Trips&amp;Operators'!$C$1:$G$99999,5,FALSE)</f>
        <v>DUNCAN SHEILA</v>
      </c>
      <c r="M153" s="6">
        <f t="shared" si="44"/>
        <v>2.8993055551836733E-2</v>
      </c>
      <c r="N153" s="7">
        <f t="shared" si="45"/>
        <v>41.749999994644895</v>
      </c>
      <c r="O153" s="7"/>
      <c r="P153" s="7"/>
      <c r="Q153" s="22"/>
      <c r="R153" s="190"/>
      <c r="S153" s="196">
        <f t="shared" si="46"/>
        <v>1</v>
      </c>
      <c r="T153" s="190" t="str">
        <f t="shared" si="47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48"/>
        <v>https://d0f6bd738d7f1b3e5a7ca70fe4ff75f0.us-east-1.aws.found.io/app/kibana#/discover/Steve-Slow-Train-Analysis-(2080s-and-2083s)?_g=(refreshInterval:(display:Off,pause:!f,section:0,value:0),time:(from:'2017-05-07T22:53:15-0600',mode:absolute,to:'2017-05-08T01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192" t="str">
        <f t="shared" si="49"/>
        <v>N</v>
      </c>
      <c r="X153" s="192">
        <f t="shared" si="50"/>
        <v>1</v>
      </c>
      <c r="Y153" s="192">
        <f t="shared" si="51"/>
        <v>23.2971</v>
      </c>
      <c r="Z153" s="192">
        <f t="shared" si="52"/>
        <v>1.49E-2</v>
      </c>
      <c r="AA153" s="192">
        <f t="shared" si="53"/>
        <v>23.2822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4"/>
        <v>0238-07</v>
      </c>
      <c r="AE153" s="80" t="str">
        <f t="shared" si="5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53" s="77" t="str">
        <f t="shared" si="56"/>
        <v>"C:\Program Files (x86)\AstroGrep\AstroGrep.exe" /e /r /s /spath="%USERPROFILE%\AppData\Local\Temp\OnboardLogs" /stypes="app*4005*20170508*" /stext=" 06:.+((SYSTEM_STATE.+slice.+state.+changed )|(ment ac)|(multiple cpu faults)|(system.+state.+changed )|(\[timeout)|(PRM\|1\|D)|(kpr)|(kdp)|(train st.+moving)|(\|lc)|(penalty))"</v>
      </c>
      <c r="AG153" s="1" t="str">
        <f t="shared" si="57"/>
        <v>EC</v>
      </c>
      <c r="AH153" s="81" t="str">
        <f t="shared" si="58"/>
        <v>"%USERPROFILE%\Documents\GitHub\eaglep3\Utilities\RefineRTDCRunTimes.py" --tripid 238-07 --locoid 4005 --swversion DE.1.0.9.0 --startMP 204:232971 --initTime 2017-05-07T23:53:15 --startdatetime 2017-05-07T23:56:12 --delay 1 --endMP 204:149 --enddatetime 2017-05-08T00:37:57 --enforcementcount 0 &gt;&gt;C:\Users\stu\Documents\GitHub\eaglep3-reporting\EC\2017-05-07-refined-times.txt</v>
      </c>
      <c r="AI153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{"issue":{"subject":"","project_id":79,"tracker_id":40,"status_id":1,"priority_id":2,"assigned_to_id":23,"start_date":"2017-05-08","description":"","custom_fields":[{"id":1,"name":"Subdivision","value":"EC"},{"id":4,"name":"Milepost","value":"0.0149"},{"id":17,"name":"Train ID","value":"238-07"},{"id":16,"name":"Locomotive ID","value":"4005"},{"id":130,"name":"Impact","value":""},{"id":150,"name":"Time of Event (Mountain Time)","value":"00:37:57"},{"id":151,"name":"Denver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0"/>
        <v>start /low /b %USERPROFILE%\Documents\GitHub\eaglep3\Utilities\DownloadLogsFromS3.py --loco 4005 --day 2017-05-07</v>
      </c>
      <c r="AN15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766</v>
      </c>
      <c r="B154" s="7">
        <v>4004</v>
      </c>
      <c r="C154" s="21" t="s">
        <v>209</v>
      </c>
      <c r="D154" s="21" t="s">
        <v>395</v>
      </c>
      <c r="E154" s="13">
        <v>42862.963460648149</v>
      </c>
      <c r="F154" s="13">
        <v>42862.979317129626</v>
      </c>
      <c r="G154" s="7">
        <v>0</v>
      </c>
      <c r="H154" s="21" t="s">
        <v>545</v>
      </c>
      <c r="I154" s="13">
        <v>42863.003831018519</v>
      </c>
      <c r="J154" s="7">
        <v>0</v>
      </c>
      <c r="K154" s="92" t="str">
        <f t="shared" si="43"/>
        <v>4003/4004</v>
      </c>
      <c r="L154" s="21" t="str">
        <f>VLOOKUP(A154,'Trips&amp;Operators'!$C$1:$G$99999,5,FALSE)</f>
        <v>NEWELL JAMES</v>
      </c>
      <c r="M154" s="6">
        <f t="shared" si="44"/>
        <v>2.4513888893125113E-2</v>
      </c>
      <c r="N154" s="7">
        <f t="shared" si="45"/>
        <v>35.300000006100163</v>
      </c>
      <c r="O154" s="7"/>
      <c r="P154" s="7"/>
      <c r="Q154" s="22"/>
      <c r="R154" s="190"/>
      <c r="S154" s="196">
        <f t="shared" si="46"/>
        <v>1</v>
      </c>
      <c r="T154" s="190" t="str">
        <f t="shared" si="47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48"/>
        <v>https://d0f6bd738d7f1b3e5a7ca70fe4ff75f0.us-east-1.aws.found.io/app/kibana#/discover/Steve-Slow-Train-Analysis-(2080s-and-2083s)?_g=(refreshInterval:(display:Off,pause:!f,section:0,value:0),time:(from:'2017-05-07T22:07:23-0600',mode:absolute,to:'2017-05-08T01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192" t="str">
        <f t="shared" si="49"/>
        <v>N</v>
      </c>
      <c r="X154" s="192">
        <f t="shared" si="50"/>
        <v>1</v>
      </c>
      <c r="Y154" s="192">
        <f t="shared" si="51"/>
        <v>4.4699999999999997E-2</v>
      </c>
      <c r="Z154" s="192">
        <f t="shared" si="52"/>
        <v>23.331700000000001</v>
      </c>
      <c r="AA154" s="192">
        <f t="shared" si="53"/>
        <v>23.287000000000003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4"/>
        <v>0239-07</v>
      </c>
      <c r="AE154" s="80" t="str">
        <f t="shared" si="55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154" s="77" t="str">
        <f t="shared" si="56"/>
        <v>"C:\Program Files (x86)\AstroGrep\AstroGrep.exe" /e /r /s /spath="%USERPROFILE%\AppData\Local\Temp\OnboardLogs" /stypes="app*4004*20170508*" /stext=" 06:.+((SYSTEM_STATE.+slice.+state.+changed )|(ment ac)|(multiple cpu faults)|(system.+state.+changed )|(\[timeout)|(PRM\|1\|D)|(kpr)|(kdp)|(train st.+moving)|(\|lc)|(penalty))"</v>
      </c>
      <c r="AG154" s="1" t="str">
        <f t="shared" si="57"/>
        <v>EC</v>
      </c>
      <c r="AH154" s="81" t="str">
        <f t="shared" si="58"/>
        <v>"%USERPROFILE%\Documents\GitHub\eaglep3\Utilities\RefineRTDCRunTimes.py" --tripid 239-07 --locoid 4004 --swversion DE.1.0.9.0 --startMP 204:447 --initTime 2017-05-07T23:07:23 --startdatetime 2017-05-07T23:30:13 --delay 0 --endMP 204:233317 --enddatetime 2017-05-08T00:05:31 --enforcementcount 0 &gt;&gt;C:\Users\stu\Documents\GitHub\eaglep3-reporting\EC\2017-05-07-refined-times.txt</v>
      </c>
      <c r="AI154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{"issue":{"subject":"","project_id":79,"tracker_id":40,"status_id":1,"priority_id":2,"assigned_to_id":23,"start_date":"2017-05-08","description":"","custom_fields":[{"id":1,"name":"Subdivision","value":"EC"},{"id":4,"name":"Milepost","value":"23.3317"},{"id":17,"name":"Train ID","value":"239-07"},{"id":16,"name":"Locomotive ID","value":"4004"},{"id":130,"name":"Impact","value":""},{"id":150,"name":"Time of Event (Mountain Time)","value":"00:05:31"},{"id":151,"name":"Denver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0"/>
        <v>start /low /b %USERPROFILE%\Documents\GitHub\eaglep3\Utilities\DownloadLogsFromS3.py --loco 4004 --day 2017-05-07</v>
      </c>
      <c r="AN154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2" t="s">
        <v>769</v>
      </c>
      <c r="B155" s="7">
        <v>4003</v>
      </c>
      <c r="C155" s="21" t="s">
        <v>209</v>
      </c>
      <c r="D155" s="21" t="s">
        <v>390</v>
      </c>
      <c r="E155" s="13">
        <v>42863.014988425923</v>
      </c>
      <c r="F155" s="13">
        <v>42863.018194444441</v>
      </c>
      <c r="G155" s="7">
        <v>1</v>
      </c>
      <c r="H155" s="21" t="s">
        <v>531</v>
      </c>
      <c r="I155" s="13">
        <v>42863.044687499998</v>
      </c>
      <c r="J155" s="7">
        <v>0</v>
      </c>
      <c r="K155" s="92" t="str">
        <f t="shared" si="43"/>
        <v>4003/4004</v>
      </c>
      <c r="L155" s="21" t="str">
        <f>VLOOKUP(A155,'Trips&amp;Operators'!$C$1:$G$99999,5,FALSE)</f>
        <v>NEWELL JAMES</v>
      </c>
      <c r="M155" s="6">
        <f t="shared" si="44"/>
        <v>2.6493055556784384E-2</v>
      </c>
      <c r="N155" s="7">
        <f t="shared" si="45"/>
        <v>38.150000001769513</v>
      </c>
      <c r="O155" s="7"/>
      <c r="P155" s="7"/>
      <c r="Q155" s="22"/>
      <c r="R155" s="190"/>
      <c r="S155" s="196">
        <f t="shared" si="46"/>
        <v>1</v>
      </c>
      <c r="T155" s="190" t="str">
        <f t="shared" si="47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48"/>
        <v>https://d0f6bd738d7f1b3e5a7ca70fe4ff75f0.us-east-1.aws.found.io/app/kibana#/discover/Steve-Slow-Train-Analysis-(2080s-and-2083s)?_g=(refreshInterval:(display:Off,pause:!f,section:0,value:0),time:(from:'2017-05-07T23:21:35-0600',mode:absolute,to:'2017-05-08T02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5" s="192" t="str">
        <f t="shared" si="49"/>
        <v>N</v>
      </c>
      <c r="X155" s="192">
        <f t="shared" si="50"/>
        <v>1</v>
      </c>
      <c r="Y155" s="192">
        <f t="shared" si="51"/>
        <v>23.299299999999999</v>
      </c>
      <c r="Z155" s="192">
        <f t="shared" si="52"/>
        <v>1.6899999999999998E-2</v>
      </c>
      <c r="AA155" s="192">
        <f t="shared" si="53"/>
        <v>23.282399999999999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4"/>
        <v>0240-07</v>
      </c>
      <c r="AE155" s="80" t="str">
        <f t="shared" si="55"/>
        <v>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 &amp; aws s3 cp s3://rtdc.mdm.uploadarchive.raw/RTDC4003/ "%USERPROFILE%\AppData\Local\Temp\OnboardLogs"\RTDC4003\2017-05-09 --exclude "*" --recursive --include "*20170509*" &amp; "%USERPROFILE%\Documents\GitHub\mrs-test-scripts\Headless Mode &amp; Sideloading\WalkAndUnGZ.bat" "%USERPROFILE%\AppData\Local\Temp\OnboardLogs"\RTDC4003\2017-05-09</v>
      </c>
      <c r="AF155" s="77" t="str">
        <f t="shared" si="56"/>
        <v>"C:\Program Files (x86)\AstroGrep\AstroGrep.exe" /e /r /s /spath="%USERPROFILE%\AppData\Local\Temp\OnboardLogs" /stypes="app*4003*20170508*" /stext=" 07:.+((SYSTEM_STATE.+slice.+state.+changed )|(ment ac)|(multiple cpu faults)|(system.+state.+changed )|(\[timeout)|(PRM\|1\|D)|(kpr)|(kdp)|(train st.+moving)|(\|lc)|(penalty))"</v>
      </c>
      <c r="AG155" s="1" t="str">
        <f t="shared" si="57"/>
        <v>EC</v>
      </c>
      <c r="AH155" s="81" t="str">
        <f t="shared" si="58"/>
        <v>"%USERPROFILE%\Documents\GitHub\eaglep3\Utilities\RefineRTDCRunTimes.py" --tripid 240-07 --locoid 4003 --swversion DE.1.0.9.0 --startMP 204:232993 --initTime 2017-05-08T00:21:35 --startdatetime 2017-05-08T00:26:12 --delay 1 --endMP 204:169 --enddatetime 2017-05-08T01:04:21 --enforcementcount 0 &gt;&gt;C:\Users\stu\Documents\GitHub\eaglep3-reporting\EC\2017-05-07-refined-times.txt</v>
      </c>
      <c r="AI155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{"issue":{"subject":"","project_id":79,"tracker_id":40,"status_id":1,"priority_id":2,"assigned_to_id":23,"start_date":"2017-05-08","description":"","custom_fields":[{"id":1,"name":"Subdivision","value":"EC"},{"id":4,"name":"Milepost","value":"0.0169"},{"id":17,"name":"Train ID","value":"240-07"},{"id":16,"name":"Locomotive ID","value":"4003"},{"id":130,"name":"Impact","value":""},{"id":150,"name":"Time of Event (Mountain Time)","value":"01:04:21"},{"id":151,"name":"Denver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60"/>
        <v>start /low /b %USERPROFILE%\Documents\GitHub\eaglep3\Utilities\DownloadLogsFromS3.py --loco 4003 --day 2017-05-08</v>
      </c>
      <c r="AN15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594</v>
      </c>
      <c r="B156" s="7">
        <v>4044</v>
      </c>
      <c r="C156" s="21" t="s">
        <v>209</v>
      </c>
      <c r="D156" s="21" t="s">
        <v>377</v>
      </c>
      <c r="E156" s="13">
        <v>42862.985520833332</v>
      </c>
      <c r="F156" s="13">
        <v>42863.000185185185</v>
      </c>
      <c r="G156" s="7">
        <v>1</v>
      </c>
      <c r="H156" s="21" t="s">
        <v>909</v>
      </c>
      <c r="I156" s="13">
        <v>42863.025046296294</v>
      </c>
      <c r="J156" s="7">
        <v>0</v>
      </c>
      <c r="K156" s="92" t="str">
        <f t="shared" si="43"/>
        <v>4043/4044</v>
      </c>
      <c r="L156" s="21" t="str">
        <f>VLOOKUP(A156,'Trips&amp;Operators'!$C$1:$G$99999,5,FALSE)</f>
        <v>SMITH MICHAEL</v>
      </c>
      <c r="M156" s="6">
        <f t="shared" si="44"/>
        <v>2.4861111109203193E-2</v>
      </c>
      <c r="N156" s="7">
        <f t="shared" si="45"/>
        <v>35.799999997252598</v>
      </c>
      <c r="O156" s="7"/>
      <c r="P156" s="7"/>
      <c r="Q156" s="22"/>
      <c r="R156" s="190"/>
      <c r="S156" s="196">
        <f t="shared" si="46"/>
        <v>1</v>
      </c>
      <c r="T156" s="190" t="str">
        <f t="shared" si="47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48"/>
        <v>https://d0f6bd738d7f1b3e5a7ca70fe4ff75f0.us-east-1.aws.found.io/app/kibana#/discover/Steve-Slow-Train-Analysis-(2080s-and-2083s)?_g=(refreshInterval:(display:Off,pause:!f,section:0,value:0),time:(from:'2017-05-07T22:39:09-0600',mode:absolute,to:'2017-05-08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192" t="str">
        <f t="shared" si="49"/>
        <v>N</v>
      </c>
      <c r="X156" s="192">
        <f t="shared" si="50"/>
        <v>1</v>
      </c>
      <c r="Y156" s="192">
        <f t="shared" si="51"/>
        <v>4.5100000000000001E-2</v>
      </c>
      <c r="Z156" s="192">
        <f t="shared" si="52"/>
        <v>23.3201</v>
      </c>
      <c r="AA156" s="192">
        <f t="shared" si="53"/>
        <v>23.274999999999999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4"/>
        <v>0241-07</v>
      </c>
      <c r="AE156" s="80" t="str">
        <f t="shared" si="55"/>
        <v>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 &amp; aws s3 cp s3://rtdc.mdm.uploadarchive.raw/RTDC4044/ "%USERPROFILE%\AppData\Local\Temp\OnboardLogs"\RTDC4044\2017-05-09 --exclude "*" --recursive --include "*20170509*" &amp; "%USERPROFILE%\Documents\GitHub\mrs-test-scripts\Headless Mode &amp; Sideloading\WalkAndUnGZ.bat" "%USERPROFILE%\AppData\Local\Temp\OnboardLogs"\RTDC4044\2017-05-09</v>
      </c>
      <c r="AF156" s="77" t="str">
        <f t="shared" si="56"/>
        <v>"C:\Program Files (x86)\AstroGrep\AstroGrep.exe" /e /r /s /spath="%USERPROFILE%\AppData\Local\Temp\OnboardLogs" /stypes="app*4044*20170508*" /stext=" 06:.+((SYSTEM_STATE.+slice.+state.+changed )|(ment ac)|(multiple cpu faults)|(system.+state.+changed )|(\[timeout)|(PRM\|1\|D)|(kpr)|(kdp)|(train st.+moving)|(\|lc)|(penalty))"</v>
      </c>
      <c r="AG156" s="1" t="str">
        <f t="shared" si="57"/>
        <v>EC</v>
      </c>
      <c r="AH156" s="81" t="str">
        <f t="shared" si="58"/>
        <v>"%USERPROFILE%\Documents\GitHub\eaglep3\Utilities\RefineRTDCRunTimes.py" --tripid 241-07 --locoid 4044 --swversion DE.1.0.9.0 --startMP 204:451 --initTime 2017-05-07T23:39:09 --startdatetime 2017-05-08T00:00:16 --delay 1 --endMP 204:233201 --enddatetime 2017-05-08T00:36:04 --enforcementcount 0 &gt;&gt;C:\Users\stu\Documents\GitHub\eaglep3-reporting\EC\2017-05-07-refined-times.txt</v>
      </c>
      <c r="AI156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{"issue":{"subject":"","project_id":79,"tracker_id":40,"status_id":1,"priority_id":2,"assigned_to_id":23,"start_date":"2017-05-08","description":"","custom_fields":[{"id":1,"name":"Subdivision","value":"EC"},{"id":4,"name":"Milepost","value":"23.3201"},{"id":17,"name":"Train ID","value":"241-07"},{"id":16,"name":"Locomotive ID","value":"4044"},{"id":130,"name":"Impact","value":""},{"id":150,"name":"Time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60"/>
        <v>start /low /b %USERPROFILE%\Documents\GitHub\eaglep3\Utilities\DownloadLogsFromS3.py --loco 4044 --day 2017-05-08</v>
      </c>
      <c r="AN15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771</v>
      </c>
      <c r="B157" s="7">
        <v>4043</v>
      </c>
      <c r="C157" s="21" t="s">
        <v>209</v>
      </c>
      <c r="D157" s="21" t="s">
        <v>910</v>
      </c>
      <c r="E157" s="13">
        <v>42863.029976851853</v>
      </c>
      <c r="F157" s="13">
        <v>42863.039456018516</v>
      </c>
      <c r="G157" s="7">
        <v>2</v>
      </c>
      <c r="H157" s="21" t="s">
        <v>399</v>
      </c>
      <c r="I157" s="13">
        <v>42863.066655092596</v>
      </c>
      <c r="J157" s="7">
        <v>0</v>
      </c>
      <c r="K157" s="92" t="str">
        <f t="shared" si="43"/>
        <v>4043/4044</v>
      </c>
      <c r="L157" s="21" t="str">
        <f>VLOOKUP(A157,'Trips&amp;Operators'!$C$1:$G$99999,5,FALSE)</f>
        <v>SMITH MICHAEL</v>
      </c>
      <c r="M157" s="6">
        <f t="shared" si="44"/>
        <v>2.7199074080272112E-2</v>
      </c>
      <c r="N157" s="7">
        <f t="shared" si="45"/>
        <v>39.166666675591841</v>
      </c>
      <c r="O157" s="7"/>
      <c r="P157" s="7"/>
      <c r="Q157" s="22"/>
      <c r="R157" s="190"/>
      <c r="S157" s="196">
        <f t="shared" si="46"/>
        <v>1</v>
      </c>
      <c r="T157" s="190" t="str">
        <f t="shared" si="47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48"/>
        <v>https://d0f6bd738d7f1b3e5a7ca70fe4ff75f0.us-east-1.aws.found.io/app/kibana#/discover/Steve-Slow-Train-Analysis-(2080s-and-2083s)?_g=(refreshInterval:(display:Off,pause:!f,section:0,value:0),time:(from:'2017-05-07T23:43:10-0600',mode:absolute,to:'2017-05-08T02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192" t="str">
        <f t="shared" si="49"/>
        <v>N</v>
      </c>
      <c r="X157" s="192">
        <f t="shared" si="50"/>
        <v>1</v>
      </c>
      <c r="Y157" s="192">
        <f t="shared" si="51"/>
        <v>23.290199999999999</v>
      </c>
      <c r="Z157" s="192">
        <f t="shared" si="52"/>
        <v>1.6500000000000001E-2</v>
      </c>
      <c r="AA157" s="192">
        <f t="shared" si="53"/>
        <v>23.273699999999998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4"/>
        <v>0242-07</v>
      </c>
      <c r="AE157" s="80" t="str">
        <f t="shared" si="55"/>
        <v>aws s3 cp s3://rtdc.mdm.uploadarchive.raw/RTDC4043/ "%USERPROFILE%\AppData\Local\Temp\OnboardLogs"\RTDC4043\2017-05-08 --exclude "*" --recursive --include "*20170508*" &amp; "%USERPROFILE%\Documents\GitHub\mrs-test-scripts\Headless Mode &amp; Sideloading\WalkAndUnGZ.bat" "%USERPROFILE%\AppData\Local\Temp\OnboardLogs"\RTDC4043\2017-05-08 &amp; aws s3 cp s3://rtdc.mdm.uploadarchive.raw/RTDC4043/ "%USERPROFILE%\AppData\Local\Temp\OnboardLogs"\RTDC4043\2017-05-09 --exclude "*" --recursive --include "*20170509*" &amp; "%USERPROFILE%\Documents\GitHub\mrs-test-scripts\Headless Mode &amp; Sideloading\WalkAndUnGZ.bat" "%USERPROFILE%\AppData\Local\Temp\OnboardLogs"\RTDC4043\2017-05-09</v>
      </c>
      <c r="AF157" s="77" t="str">
        <f t="shared" si="56"/>
        <v>"C:\Program Files (x86)\AstroGrep\AstroGrep.exe" /e /r /s /spath="%USERPROFILE%\AppData\Local\Temp\OnboardLogs" /stypes="app*4043*20170508*" /stext=" 07:.+((SYSTEM_STATE.+slice.+state.+changed )|(ment ac)|(multiple cpu faults)|(system.+state.+changed )|(\[timeout)|(PRM\|1\|D)|(kpr)|(kdp)|(train st.+moving)|(\|lc)|(penalty))"</v>
      </c>
      <c r="AG157" s="1" t="str">
        <f t="shared" si="57"/>
        <v>EC</v>
      </c>
      <c r="AH157" s="81" t="str">
        <f t="shared" si="58"/>
        <v>"%USERPROFILE%\Documents\GitHub\eaglep3\Utilities\RefineRTDCRunTimes.py" --tripid 242-07 --locoid 4043 --swversion DE.1.0.9.0 --startMP 204:232902 --initTime 2017-05-08T00:43:10 --startdatetime 2017-05-08T00:56:49 --delay 2 --endMP 204:165 --enddatetime 2017-05-08T01:35:59 --enforcementcount 0 &gt;&gt;C:\Users\stu\Documents\GitHub\eaglep3-reporting\EC\2017-05-07-refined-times.txt</v>
      </c>
      <c r="AI157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{"issue":{"subject":"","project_id":79,"tracker_id":40,"status_id":1,"priority_id":2,"assigned_to_id":23,"start_date":"2017-05-08","description":"","custom_fields":[{"id":1,"name":"Subdivision","value":"EC"},{"id":4,"name":"Milepost","value":"0.0165"},{"id":17,"name":"Train ID","value":"242-07"},{"id":16,"name":"Locomotive ID","value":"4043"},{"id":130,"name":"Impact","value":""},{"id":150,"name":"Time of Event (Mountain Time)","value":"01:35:59"},{"id":151,"name":"Denver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60"/>
        <v>start /low /b %USERPROFILE%\Documents\GitHub\eaglep3\Utilities\DownloadLogsFromS3.py --loco 4043 --day 2017-05-08</v>
      </c>
      <c r="AN15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768</v>
      </c>
      <c r="B158" s="7">
        <v>4052</v>
      </c>
      <c r="C158" s="21" t="s">
        <v>209</v>
      </c>
      <c r="D158" s="21" t="s">
        <v>413</v>
      </c>
      <c r="E158" s="13">
        <v>42863.007905092592</v>
      </c>
      <c r="F158" s="13">
        <v>42863.021192129629</v>
      </c>
      <c r="G158" s="7">
        <v>2</v>
      </c>
      <c r="H158" s="21" t="s">
        <v>911</v>
      </c>
      <c r="I158" s="13">
        <v>42863.046087962961</v>
      </c>
      <c r="J158" s="7">
        <v>0</v>
      </c>
      <c r="K158" s="92" t="str">
        <f t="shared" si="43"/>
        <v>4051/4052</v>
      </c>
      <c r="L158" s="21" t="str">
        <f>VLOOKUP(A158,'Trips&amp;Operators'!$C$1:$G$99999,5,FALSE)</f>
        <v>STAMBAUGH JAMES</v>
      </c>
      <c r="M158" s="6">
        <f t="shared" si="44"/>
        <v>2.4895833332266193E-2</v>
      </c>
      <c r="N158" s="7">
        <f t="shared" si="45"/>
        <v>35.849999998463318</v>
      </c>
      <c r="O158" s="7"/>
      <c r="P158" s="7"/>
      <c r="Q158" s="22"/>
      <c r="R158" s="190"/>
      <c r="S158" s="196">
        <f t="shared" si="46"/>
        <v>1</v>
      </c>
      <c r="T158" s="190" t="str">
        <f t="shared" si="47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48"/>
        <v>https://d0f6bd738d7f1b3e5a7ca70fe4ff75f0.us-east-1.aws.found.io/app/kibana#/discover/Steve-Slow-Train-Analysis-(2080s-and-2083s)?_g=(refreshInterval:(display:Off,pause:!f,section:0,value:0),time:(from:'2017-05-07T23:11:23-0600',mode:absolute,to:'2017-05-08T02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192" t="str">
        <f t="shared" si="49"/>
        <v>N</v>
      </c>
      <c r="X158" s="192">
        <f t="shared" si="50"/>
        <v>1</v>
      </c>
      <c r="Y158" s="192">
        <f t="shared" si="51"/>
        <v>4.3700000000000003E-2</v>
      </c>
      <c r="Z158" s="192">
        <f t="shared" si="52"/>
        <v>23.345099999999999</v>
      </c>
      <c r="AA158" s="192">
        <f t="shared" si="53"/>
        <v>23.301399999999997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4"/>
        <v>0243-07</v>
      </c>
      <c r="AE158" s="80" t="str">
        <f t="shared" si="55"/>
        <v>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 &amp; 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</v>
      </c>
      <c r="AF158" s="77" t="str">
        <f t="shared" si="56"/>
        <v>"C:\Program Files (x86)\AstroGrep\AstroGrep.exe" /e /r /s /spath="%USERPROFILE%\AppData\Local\Temp\OnboardLogs" /stypes="app*4052*20170508*" /stext=" 07:.+((SYSTEM_STATE.+slice.+state.+changed )|(ment ac)|(multiple cpu faults)|(system.+state.+changed )|(\[timeout)|(PRM\|1\|D)|(kpr)|(kdp)|(train st.+moving)|(\|lc)|(penalty))"</v>
      </c>
      <c r="AG158" s="1" t="str">
        <f t="shared" si="57"/>
        <v>EC</v>
      </c>
      <c r="AH158" s="81" t="str">
        <f t="shared" si="58"/>
        <v>"%USERPROFILE%\Documents\GitHub\eaglep3\Utilities\RefineRTDCRunTimes.py" --tripid 243-07 --locoid 4052 --swversion DE.1.0.9.0 --startMP 204:437 --initTime 2017-05-08T00:11:23 --startdatetime 2017-05-08T00:30:31 --delay 2 --endMP 204:233451 --enddatetime 2017-05-08T01:06:22 --enforcementcount 0 &gt;&gt;C:\Users\stu\Documents\GitHub\eaglep3-reporting\EC\2017-05-07-refined-times.txt</v>
      </c>
      <c r="AI158" s="99" t="str">
        <f t="shared" si="59"/>
        <v>echo {"issue":{"subject":"","project_id":79,"tracker_id":40,"status_id":1,"priority_id":2,"assigned_to_id":23,"start_date":"2017-05-08","description":"","custom_fields":[{"id":1,"name":"Subdivision","value":"EC"},{"id":4,"name":"Milepost","value":"23.3451"},{"id":17,"name":"Train ID","value":"243-07"},{"id":16,"name":"Locomotive ID","value":"4052"},{"id":130,"name":"Impact","value":""},{"id":150,"name":"Time of Event (Mountain Time)","value":"01:06:22"},{"id":151,"name":"Denver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60"/>
        <v>start /low /b %USERPROFILE%\Documents\GitHub\eaglep3\Utilities\DownloadLogsFromS3.py --loco 4052 --day 2017-05-08</v>
      </c>
      <c r="AN15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773</v>
      </c>
      <c r="B159" s="7">
        <v>4051</v>
      </c>
      <c r="C159" s="21" t="s">
        <v>209</v>
      </c>
      <c r="D159" s="21" t="s">
        <v>413</v>
      </c>
      <c r="E159" s="13">
        <v>42863.007905092592</v>
      </c>
      <c r="F159" s="13">
        <v>42863.060150462959</v>
      </c>
      <c r="G159" s="7">
        <v>2</v>
      </c>
      <c r="H159" s="21" t="s">
        <v>911</v>
      </c>
      <c r="I159" s="13">
        <v>42863.08666666667</v>
      </c>
      <c r="J159" s="7">
        <v>0</v>
      </c>
      <c r="K159" s="92" t="str">
        <f t="shared" ref="K159" si="78">IF(ISEVEN(B159),(B159-1)&amp;"/"&amp;B159,B159&amp;"/"&amp;(B159+1))</f>
        <v>4051/4052</v>
      </c>
      <c r="L159" s="21" t="str">
        <f>VLOOKUP(A159,'Trips&amp;Operators'!$C$1:$G$99999,5,FALSE)</f>
        <v>STAMBAUGH JAMES</v>
      </c>
      <c r="M159" s="6">
        <f t="shared" ref="M159" si="79">I159-F159</f>
        <v>2.6516203710343689E-2</v>
      </c>
      <c r="N159" s="7">
        <f t="shared" si="45"/>
        <v>38.183333342894912</v>
      </c>
      <c r="O159" s="7"/>
      <c r="P159" s="7"/>
      <c r="Q159" s="22"/>
      <c r="R159" s="190"/>
      <c r="S159" s="196">
        <f t="shared" ref="S159" si="80">SUM(U159:U159)/IF(AG159="EC",12,1)</f>
        <v>1</v>
      </c>
      <c r="T159" s="190" t="str">
        <f t="shared" ref="T159" si="81"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ref="V159" si="82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-07T23:11:23-0600',mode:absolute,to:'2017-05-08T03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92" t="str">
        <f t="shared" ref="W159" si="83">IF(AA159&lt;IF(AG159="EC",23,5.65),"Y","N")</f>
        <v>N</v>
      </c>
      <c r="X159" s="192">
        <f t="shared" ref="X159:X160" si="84">VALUE(LEFT(AD159,4))-VALUE(LEFT(AD158,4))</f>
        <v>1</v>
      </c>
      <c r="Y159" s="192">
        <v>23.290199999999999</v>
      </c>
      <c r="Z159" s="192">
        <v>1.6500000000000001E-2</v>
      </c>
      <c r="AA159" s="192">
        <f t="shared" ref="AA159" si="85">ABS(Z159-Y159)</f>
        <v>23.273699999999998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ref="AD159" si="86">IF(LEN(A159)=6,"0"&amp;A159,A159)</f>
        <v>0244-07</v>
      </c>
      <c r="AE159" s="80" t="str">
        <f t="shared" ref="AE159" si="87"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 &amp; aws s3 cp s3://rtdc.mdm.uploadarchive.raw/RTDC4051/ "%USERPROFILE%\AppData\Local\Temp\OnboardLogs"\RTDC4051\2017-05-09 --exclude "*" --recursive --include "*20170509*" &amp; "%USERPROFILE%\Documents\GitHub\mrs-test-scripts\Headless Mode &amp; Sideloading\WalkAndUnGZ.bat" "%USERPROFILE%\AppData\Local\Temp\OnboardLogs"\RTDC4051\2017-05-09</v>
      </c>
      <c r="AF159" s="77" t="str">
        <f t="shared" ref="AF159" si="88"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/stypes="app*4051*20170508*" /stext=" 08:.+((SYSTEM_STATE.+slice.+state.+changed )|(ment ac)|(multiple cpu faults)|(system.+state.+changed )|(\[timeout)|(PRM\|1\|D)|(kpr)|(kdp)|(train st.+moving)|(\|lc)|(penalty))"</v>
      </c>
      <c r="AG159" s="1" t="str">
        <f t="shared" ref="AG159" si="89">IFERROR(IF(VALUE(LEFT(AD159,2))&lt;=2,"EC",IF(OR(VALUE(LEFT(AD159,2))=8,VALUE(LEFT(AD159,2))=18),"NW","Other")),"Other")</f>
        <v>EC</v>
      </c>
      <c r="AH159" s="81" t="str">
        <f t="shared" ref="AH159" si="90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244-07 --locoid 4051 --swversion DE.1.0.9.0 --startMP 204:437 --initTime 2017-05-08T00:11:23 --startdatetime 2017-05-08T01:26:37 --delay 2 --endMP 204:233451 --enddatetime 2017-05-08T02:04:48 --enforcementcount 0 &gt;&gt;C:\Users\stu\Documents\GitHub\eaglep3-reporting\EC\2017-05-07-refined-times.txt</v>
      </c>
      <c r="AI159" s="99" t="str">
        <f t="shared" ref="AI159" si="91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{"issue":{"subject":"","project_id":79,"tracker_id":40,"status_id":1,"priority_id":2,"assigned_to_id":23,"start_date":"2017-05-08","description":"","custom_fields":[{"id":1,"name":"Subdivision","value":"EC"},{"id":4,"name":"Milepost","value":"0.0165"},{"id":17,"name":"Train ID","value":"244-07"},{"id":16,"name":"Locomotive ID","value":"4051"},{"id":130,"name":"Impact","value":""},{"id":150,"name":"Time of Event (Mountain Time)","value":"02:04:48"},{"id":151,"name":"Denver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ref="AM159" si="92">"start /low /b "&amp;dls3logs&amp;" --loco "&amp;B159&amp;" --day "&amp;TEXT(F159,"YYYY-MM-DD")</f>
        <v>start /low /b %USERPROFILE%\Documents\GitHub\eaglep3\Utilities\DownloadLogsFromS3.py --loco 4051 --day 2017-05-08</v>
      </c>
      <c r="AN159" s="154" t="str">
        <f t="shared" ref="AN159" si="93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08:04:48"},{"id":29,"name":"Sharepoint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625</v>
      </c>
      <c r="B160" s="7">
        <v>4007</v>
      </c>
      <c r="C160" s="21" t="s">
        <v>209</v>
      </c>
      <c r="D160" s="21" t="s">
        <v>831</v>
      </c>
      <c r="E160" s="13">
        <v>42862.240925925929</v>
      </c>
      <c r="F160" s="13">
        <v>42862.242534722223</v>
      </c>
      <c r="G160" s="7">
        <v>1</v>
      </c>
      <c r="H160" s="21" t="s">
        <v>832</v>
      </c>
      <c r="I160" s="13">
        <v>42862.252303240741</v>
      </c>
      <c r="J160" s="7">
        <v>0</v>
      </c>
      <c r="K160" s="92" t="str">
        <f t="shared" si="43"/>
        <v>4007/4008</v>
      </c>
      <c r="L160" s="21" t="str">
        <f>VLOOKUP(A160,'Trips&amp;Operators'!$C$1:$G$99999,5,FALSE)</f>
        <v>NELSON ARIANE</v>
      </c>
      <c r="M160" s="6">
        <f t="shared" si="44"/>
        <v>9.7685185173759237E-3</v>
      </c>
      <c r="N160" s="7">
        <f t="shared" si="45"/>
        <v>14.06666666502133</v>
      </c>
      <c r="O160" s="7"/>
      <c r="P160" s="7"/>
      <c r="Q160" s="22"/>
      <c r="R160" s="190"/>
      <c r="S160" s="196">
        <f t="shared" si="46"/>
        <v>1</v>
      </c>
      <c r="T160" s="190" t="str">
        <f t="shared" si="47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48"/>
        <v>https://d0f6bd738d7f1b3e5a7ca70fe4ff75f0.us-east-1.aws.found.io/app/kibana#/discover/Steve-Slow-Train-Analysis-(2080s-and-2083s)?_g=(refreshInterval:(display:Off,pause:!f,section:0,value:0),time:(from:'2017-05-07T04:46:56-0600',mode:absolute,to:'2017-05-07T07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92" t="str">
        <f t="shared" si="49"/>
        <v>N</v>
      </c>
      <c r="X160" s="192">
        <f t="shared" si="84"/>
        <v>1556</v>
      </c>
      <c r="Y160" s="192">
        <f t="shared" si="51"/>
        <v>5.8630000000000004</v>
      </c>
      <c r="Z160" s="192">
        <f t="shared" si="52"/>
        <v>6.5699999999999995E-2</v>
      </c>
      <c r="AA160" s="192">
        <f t="shared" si="53"/>
        <v>5.7973000000000008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4"/>
        <v>1800-07</v>
      </c>
      <c r="AE16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0" s="77" t="str">
        <f t="shared" si="56"/>
        <v>"C:\Program Files (x86)\AstroGrep\AstroGrep.exe" /e /r /s /spath="%USERPROFILE%\AppData\Local\Temp\OnboardLogs" /stypes="app*4007*20170507*" /stext=" 12:.+((SYSTEM_STATE.+slice.+state.+changed )|(ment ac)|(multiple cpu faults)|(system.+state.+changed )|(\[timeout)|(PRM\|1\|D)|(kpr)|(kdp)|(train st.+moving)|(\|lc)|(penalty))"</v>
      </c>
      <c r="AG160" s="1" t="str">
        <f t="shared" si="57"/>
        <v>NW</v>
      </c>
      <c r="AH160" s="81" t="str">
        <f t="shared" si="58"/>
        <v>"%USERPROFILE%\Documents\GitHub\eaglep3\Utilities\RefineRTDCRunTimes.py" --tripid 1800-07 --locoid 4007 --swversion DE.1.0.9.0 --startMP 300:58630 --initTime 2017-05-07T05:46:56 --startdatetime 2017-05-07T05:49:15 --delay 1 --endMP 204:657 --enddatetime 2017-05-07T06:03:19 --enforcementcount 0 &gt;&gt;C:\Users\stu\Documents\GitHub\eaglep3-reporting\EC\2017-05-07-refined-times.txt</v>
      </c>
      <c r="AI16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{"issue":{"subject":"","project_id":79,"tracker_id":40,"status_id":1,"priority_id":2,"assigned_to_id":23,"start_date":"2017-05-07","description":"","custom_fields":[{"id":1,"name":"Subdivision","value":"NW"},{"id":4,"name":"Milepost","value":"0.0657"},{"id":17,"name":"Train ID","value":"1800-07"},{"id":16,"name":"Locomotive ID","value":"4007"},{"id":130,"name":"Impact","value":""},{"id":150,"name":"Time of Event (Mountain Time)","value":"06:03:19"},{"id":151,"name":"Denver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60"/>
        <v>start /low /b %USERPROFILE%\Documents\GitHub\eaglep3\Utilities\DownloadLogsFromS3.py --loco 4007 --day 2017-05-07</v>
      </c>
      <c r="AN16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629</v>
      </c>
      <c r="B161" s="7">
        <v>4008</v>
      </c>
      <c r="C161" s="21" t="s">
        <v>209</v>
      </c>
      <c r="D161" s="21" t="s">
        <v>521</v>
      </c>
      <c r="E161" s="13">
        <v>42862.26284722222</v>
      </c>
      <c r="F161" s="13">
        <v>42862.264861111114</v>
      </c>
      <c r="G161" s="7">
        <v>1</v>
      </c>
      <c r="H161" s="21" t="s">
        <v>833</v>
      </c>
      <c r="I161" s="13">
        <v>42862.274988425925</v>
      </c>
      <c r="J161" s="7">
        <v>0</v>
      </c>
      <c r="K161" s="92" t="str">
        <f t="shared" si="43"/>
        <v>4007/4008</v>
      </c>
      <c r="L161" s="21" t="str">
        <f>VLOOKUP(A161,'Trips&amp;Operators'!$C$1:$G$99999,5,FALSE)</f>
        <v>NELSON ARIANE</v>
      </c>
      <c r="M161" s="6">
        <f t="shared" si="44"/>
        <v>1.0127314810233656E-2</v>
      </c>
      <c r="N161" s="7">
        <f t="shared" si="45"/>
        <v>14.583333326736465</v>
      </c>
      <c r="O161" s="7"/>
      <c r="P161" s="7"/>
      <c r="Q161" s="22"/>
      <c r="R161" s="190"/>
      <c r="S161" s="196">
        <f t="shared" si="46"/>
        <v>1</v>
      </c>
      <c r="T161" s="190" t="str">
        <f t="shared" si="47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48"/>
        <v>https://d0f6bd738d7f1b3e5a7ca70fe4ff75f0.us-east-1.aws.found.io/app/kibana#/discover/Steve-Slow-Train-Analysis-(2080s-and-2083s)?_g=(refreshInterval:(display:Off,pause:!f,section:0,value:0),time:(from:'2017-05-07T05:18:30-0600',mode:absolute,to:'2017-05-07T07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192" t="str">
        <f t="shared" si="49"/>
        <v>N</v>
      </c>
      <c r="X161" s="192">
        <f t="shared" si="50"/>
        <v>1</v>
      </c>
      <c r="Y161" s="192">
        <f t="shared" si="51"/>
        <v>9.64E-2</v>
      </c>
      <c r="Z161" s="192">
        <f t="shared" si="52"/>
        <v>5.8963000000000001</v>
      </c>
      <c r="AA161" s="192">
        <f t="shared" si="53"/>
        <v>5.7999000000000001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4"/>
        <v>1801-07</v>
      </c>
      <c r="AE16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1" s="77" t="str">
        <f t="shared" si="56"/>
        <v>"C:\Program Files (x86)\AstroGrep\AstroGrep.exe" /e /r /s /spath="%USERPROFILE%\AppData\Local\Temp\OnboardLogs" /stypes="app*4008*20170507*" /stext=" 12:.+((SYSTEM_STATE.+slice.+state.+changed )|(ment ac)|(multiple cpu faults)|(system.+state.+changed )|(\[timeout)|(PRM\|1\|D)|(kpr)|(kdp)|(train st.+moving)|(\|lc)|(penalty))"</v>
      </c>
      <c r="AG161" s="1" t="str">
        <f t="shared" si="57"/>
        <v>NW</v>
      </c>
      <c r="AH161" s="81" t="str">
        <f t="shared" si="58"/>
        <v>"%USERPROFILE%\Documents\GitHub\eaglep3\Utilities\RefineRTDCRunTimes.py" --tripid 1801-07 --locoid 4008 --swversion DE.1.0.9.0 --startMP 204:964 --initTime 2017-05-07T06:18:30 --startdatetime 2017-05-07T06:21:24 --delay 1 --endMP 300:58963 --enddatetime 2017-05-07T06:35:59 --enforcementcount 0 &gt;&gt;C:\Users\stu\Documents\GitHub\eaglep3-reporting\EC\2017-05-07-refined-times.txt</v>
      </c>
      <c r="AI16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{"issue":{"subject":"","project_id":79,"tracker_id":40,"status_id":1,"priority_id":2,"assigned_to_id":23,"start_date":"2017-05-07","description":"","custom_fields":[{"id":1,"name":"Subdivision","value":"NW"},{"id":4,"name":"Milepost","value":"5.8963"},{"id":17,"name":"Train ID","value":"1801-07"},{"id":16,"name":"Locomotive ID","value":"4008"},{"id":130,"name":"Impact","value":""},{"id":150,"name":"Time of Event (Mountain Time)","value":"06:35:59"},{"id":151,"name":"Denver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0"/>
        <v>start /low /b %USERPROFILE%\Documents\GitHub\eaglep3\Utilities\DownloadLogsFromS3.py --loco 4008 --day 2017-05-07</v>
      </c>
      <c r="AN161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551</v>
      </c>
      <c r="B162" s="7">
        <v>4007</v>
      </c>
      <c r="C162" s="21" t="s">
        <v>209</v>
      </c>
      <c r="D162" s="21" t="s">
        <v>834</v>
      </c>
      <c r="E162" s="13">
        <v>42862.281875000001</v>
      </c>
      <c r="F162" s="13">
        <v>42862.282638888886</v>
      </c>
      <c r="G162" s="7">
        <v>0</v>
      </c>
      <c r="H162" s="21" t="s">
        <v>835</v>
      </c>
      <c r="I162" s="13">
        <v>42862.292268518519</v>
      </c>
      <c r="J162" s="7">
        <v>0</v>
      </c>
      <c r="K162" s="92" t="str">
        <f t="shared" si="43"/>
        <v>4007/4008</v>
      </c>
      <c r="L162" s="21" t="str">
        <f>VLOOKUP(A162,'Trips&amp;Operators'!$C$1:$G$99999,5,FALSE)</f>
        <v>NELSON ARIANE</v>
      </c>
      <c r="M162" s="6">
        <f t="shared" si="44"/>
        <v>9.6296296323998831E-3</v>
      </c>
      <c r="N162" s="7">
        <f t="shared" si="45"/>
        <v>13.866666670655832</v>
      </c>
      <c r="O162" s="7"/>
      <c r="P162" s="7"/>
      <c r="Q162" s="22"/>
      <c r="R162" s="190"/>
      <c r="S162" s="196">
        <f t="shared" si="46"/>
        <v>1</v>
      </c>
      <c r="T162" s="190" t="str">
        <f t="shared" si="47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48"/>
        <v>https://d0f6bd738d7f1b3e5a7ca70fe4ff75f0.us-east-1.aws.found.io/app/kibana#/discover/Steve-Slow-Train-Analysis-(2080s-and-2083s)?_g=(refreshInterval:(display:Off,pause:!f,section:0,value:0),time:(from:'2017-05-07T05:45:54-0600',mode:absolute,to:'2017-05-07T08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92" t="str">
        <f t="shared" si="49"/>
        <v>N</v>
      </c>
      <c r="X162" s="192">
        <f t="shared" si="50"/>
        <v>1</v>
      </c>
      <c r="Y162" s="192">
        <f t="shared" si="51"/>
        <v>5.7316000000000003</v>
      </c>
      <c r="Z162" s="192">
        <f t="shared" si="52"/>
        <v>6.7699999999999996E-2</v>
      </c>
      <c r="AA162" s="192">
        <f t="shared" si="53"/>
        <v>5.6638999999999999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4"/>
        <v>1802-07</v>
      </c>
      <c r="AE16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2" s="77" t="str">
        <f t="shared" si="56"/>
        <v>"C:\Program Files (x86)\AstroGrep\AstroGrep.exe" /e /r /s /spath="%USERPROFILE%\AppData\Local\Temp\OnboardLogs" /stypes="app*4007*20170507*" /stext=" 13:.+((SYSTEM_STATE.+slice.+state.+changed )|(ment ac)|(multiple cpu faults)|(system.+state.+changed )|(\[timeout)|(PRM\|1\|D)|(kpr)|(kdp)|(train st.+moving)|(\|lc)|(penalty))"</v>
      </c>
      <c r="AG162" s="1" t="str">
        <f t="shared" si="57"/>
        <v>NW</v>
      </c>
      <c r="AH162" s="81" t="str">
        <f t="shared" si="58"/>
        <v>"%USERPROFILE%\Documents\GitHub\eaglep3\Utilities\RefineRTDCRunTimes.py" --tripid 1802-07 --locoid 4007 --swversion DE.1.0.9.0 --startMP 300:57316 --initTime 2017-05-07T06:45:54 --startdatetime 2017-05-07T06:47:00 --delay 0 --endMP 204:677 --enddatetime 2017-05-07T07:00:52 --enforcementcount 0 &gt;&gt;C:\Users\stu\Documents\GitHub\eaglep3-reporting\EC\2017-05-07-refined-times.txt</v>
      </c>
      <c r="AI16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{"issue":{"subject":"","project_id":79,"tracker_id":40,"status_id":1,"priority_id":2,"assigned_to_id":23,"start_date":"2017-05-07","description":"","custom_fields":[{"id":1,"name":"Subdivision","value":"NW"},{"id":4,"name":"Milepost","value":"0.0677"},{"id":17,"name":"Train ID","value":"1802-07"},{"id":16,"name":"Locomotive ID","value":"4007"},{"id":130,"name":"Impact","value":""},{"id":150,"name":"Time of Event (Mountain Time)","value":"07:00:52"},{"id":151,"name":"Denver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60"/>
        <v>start /low /b %USERPROFILE%\Documents\GitHub\eaglep3\Utilities\DownloadLogsFromS3.py --loco 4007 --day 2017-05-07</v>
      </c>
      <c r="AN16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13:00:52"},{"id":29,"name":"Sharepoint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637</v>
      </c>
      <c r="B163" s="7">
        <v>4008</v>
      </c>
      <c r="C163" s="21" t="s">
        <v>209</v>
      </c>
      <c r="D163" s="21" t="s">
        <v>458</v>
      </c>
      <c r="E163" s="13">
        <v>42862.3044212963</v>
      </c>
      <c r="F163" s="13">
        <v>42862.306516203702</v>
      </c>
      <c r="G163" s="7">
        <v>1</v>
      </c>
      <c r="H163" s="21" t="s">
        <v>836</v>
      </c>
      <c r="I163" s="13">
        <v>42862.316782407404</v>
      </c>
      <c r="J163" s="7">
        <v>0</v>
      </c>
      <c r="K163" s="92" t="str">
        <f t="shared" si="43"/>
        <v>4007/4008</v>
      </c>
      <c r="L163" s="21" t="str">
        <f>VLOOKUP(A163,'Trips&amp;Operators'!$C$1:$G$99999,5,FALSE)</f>
        <v>NELSON ARIANE</v>
      </c>
      <c r="M163" s="6">
        <f t="shared" si="44"/>
        <v>1.0266203702485655E-2</v>
      </c>
      <c r="N163" s="7">
        <f t="shared" si="45"/>
        <v>14.783333331579342</v>
      </c>
      <c r="O163" s="7"/>
      <c r="P163" s="7"/>
      <c r="Q163" s="22"/>
      <c r="R163" s="190"/>
      <c r="S163" s="196">
        <f t="shared" si="46"/>
        <v>1</v>
      </c>
      <c r="T163" s="190" t="str">
        <f t="shared" si="47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48"/>
        <v>https://d0f6bd738d7f1b3e5a7ca70fe4ff75f0.us-east-1.aws.found.io/app/kibana#/discover/Steve-Slow-Train-Analysis-(2080s-and-2083s)?_g=(refreshInterval:(display:Off,pause:!f,section:0,value:0),time:(from:'2017-05-07T06:18:22-0600',mode:absolute,to:'2017-05-07T08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92" t="str">
        <f t="shared" si="49"/>
        <v>N</v>
      </c>
      <c r="X163" s="192">
        <f t="shared" si="50"/>
        <v>1</v>
      </c>
      <c r="Y163" s="192">
        <f t="shared" si="51"/>
        <v>9.6500000000000002E-2</v>
      </c>
      <c r="Z163" s="192">
        <f t="shared" si="52"/>
        <v>5.8945999999999996</v>
      </c>
      <c r="AA163" s="192">
        <f t="shared" si="53"/>
        <v>5.7980999999999998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4"/>
        <v>1803-07</v>
      </c>
      <c r="AE16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3" s="77" t="str">
        <f t="shared" si="56"/>
        <v>"C:\Program Files (x86)\AstroGrep\AstroGrep.exe" /e /r /s /spath="%USERPROFILE%\AppData\Local\Temp\OnboardLogs" /stypes="app*4008*20170507*" /stext=" 13:.+((SYSTEM_STATE.+slice.+state.+changed )|(ment ac)|(multiple cpu faults)|(system.+state.+changed )|(\[timeout)|(PRM\|1\|D)|(kpr)|(kdp)|(train st.+moving)|(\|lc)|(penalty))"</v>
      </c>
      <c r="AG163" s="1" t="str">
        <f t="shared" si="57"/>
        <v>NW</v>
      </c>
      <c r="AH163" s="81" t="str">
        <f t="shared" si="58"/>
        <v>"%USERPROFILE%\Documents\GitHub\eaglep3\Utilities\RefineRTDCRunTimes.py" --tripid 1803-07 --locoid 4008 --swversion DE.1.0.9.0 --startMP 204:965 --initTime 2017-05-07T07:18:22 --startdatetime 2017-05-07T07:21:23 --delay 1 --endMP 300:58946 --enddatetime 2017-05-07T07:36:10 --enforcementcount 0 &gt;&gt;C:\Users\stu\Documents\GitHub\eaglep3-reporting\EC\2017-05-07-refined-times.txt</v>
      </c>
      <c r="AI16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{"issue":{"subject":"","project_id":79,"tracker_id":40,"status_id":1,"priority_id":2,"assigned_to_id":23,"start_date":"2017-05-07","description":"","custom_fields":[{"id":1,"name":"Subdivision","value":"NW"},{"id":4,"name":"Milepost","value":"5.8946"},{"id":17,"name":"Train ID","value":"1803-07"},{"id":16,"name":"Locomotive ID","value":"4008"},{"id":130,"name":"Impact","value":""},{"id":150,"name":"Time of Event (Mountain Time)","value":"07:36:10"},{"id":151,"name":"Denver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60"/>
        <v>start /low /b %USERPROFILE%\Documents\GitHub\eaglep3\Utilities\DownloadLogsFromS3.py --loco 4008 --day 2017-05-07</v>
      </c>
      <c r="AN163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x14ac:dyDescent="0.25">
      <c r="A164" s="32" t="s">
        <v>553</v>
      </c>
      <c r="B164" s="7">
        <v>4007</v>
      </c>
      <c r="C164" s="21" t="s">
        <v>209</v>
      </c>
      <c r="D164" s="21" t="s">
        <v>402</v>
      </c>
      <c r="E164" s="13">
        <v>42862.317731481482</v>
      </c>
      <c r="F164" s="13">
        <v>42862.319456018522</v>
      </c>
      <c r="G164" s="7">
        <v>2</v>
      </c>
      <c r="H164" s="21" t="s">
        <v>837</v>
      </c>
      <c r="I164" s="13">
        <v>42862.330543981479</v>
      </c>
      <c r="J164" s="7">
        <v>0</v>
      </c>
      <c r="K164" s="92" t="str">
        <f t="shared" si="43"/>
        <v>4007/4008</v>
      </c>
      <c r="L164" s="21" t="str">
        <f>VLOOKUP(A164,'Trips&amp;Operators'!$C$1:$G$99999,5,FALSE)</f>
        <v>NELSON ARIANE</v>
      </c>
      <c r="M164" s="6">
        <f t="shared" si="44"/>
        <v>1.1087962957390118E-2</v>
      </c>
      <c r="N164" s="7">
        <f t="shared" si="45"/>
        <v>15.96666665864177</v>
      </c>
      <c r="O164" s="7"/>
      <c r="P164" s="7"/>
      <c r="Q164" s="22"/>
      <c r="R164" s="190"/>
      <c r="S164" s="196">
        <f t="shared" si="46"/>
        <v>1</v>
      </c>
      <c r="T164" s="190" t="str">
        <f t="shared" si="47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48"/>
        <v>https://d0f6bd738d7f1b3e5a7ca70fe4ff75f0.us-east-1.aws.found.io/app/kibana#/discover/Steve-Slow-Train-Analysis-(2080s-and-2083s)?_g=(refreshInterval:(display:Off,pause:!f,section:0,value:0),time:(from:'2017-05-07T06:37:32-0600',mode:absolute,to:'2017-05-07T08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192" t="str">
        <f t="shared" si="49"/>
        <v>N</v>
      </c>
      <c r="X164" s="192">
        <f t="shared" si="50"/>
        <v>1</v>
      </c>
      <c r="Y164" s="192">
        <f t="shared" si="51"/>
        <v>5.8628</v>
      </c>
      <c r="Z164" s="192">
        <f t="shared" si="52"/>
        <v>7.1999999999999995E-2</v>
      </c>
      <c r="AA164" s="192">
        <f t="shared" si="53"/>
        <v>5.7907999999999999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4"/>
        <v>1804-07</v>
      </c>
      <c r="AE164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4" s="77" t="str">
        <f t="shared" si="56"/>
        <v>"C:\Program Files (x86)\AstroGrep\AstroGrep.exe" /e /r /s /spath="%USERPROFILE%\AppData\Local\Temp\OnboardLogs" /stypes="app*4007*20170507*" /stext=" 13:.+((SYSTEM_STATE.+slice.+state.+changed )|(ment ac)|(multiple cpu faults)|(system.+state.+changed )|(\[timeout)|(PRM\|1\|D)|(kpr)|(kdp)|(train st.+moving)|(\|lc)|(penalty))"</v>
      </c>
      <c r="AG164" s="1" t="str">
        <f t="shared" si="57"/>
        <v>NW</v>
      </c>
      <c r="AH164" s="81" t="str">
        <f t="shared" si="58"/>
        <v>"%USERPROFILE%\Documents\GitHub\eaglep3\Utilities\RefineRTDCRunTimes.py" --tripid 1804-07 --locoid 4007 --swversion DE.1.0.9.0 --startMP 300:58628 --initTime 2017-05-07T07:37:32 --startdatetime 2017-05-07T07:40:01 --delay 2 --endMP 204:720 --enddatetime 2017-05-07T07:55:59 --enforcementcount 0 &gt;&gt;C:\Users\stu\Documents\GitHub\eaglep3-reporting\EC\2017-05-07-refined-times.txt</v>
      </c>
      <c r="AI164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{"issue":{"subject":"","project_id":79,"tracker_id":40,"status_id":1,"priority_id":2,"assigned_to_id":23,"start_date":"2017-05-07","description":"","custom_fields":[{"id":1,"name":"Subdivision","value":"NW"},{"id":4,"name":"Milepost","value":"0.072"},{"id":17,"name":"Train ID","value":"1804-07"},{"id":16,"name":"Locomotive ID","value":"4007"},{"id":130,"name":"Impact","value":""},{"id":150,"name":"Time of Event (Mountain Time)","value":"07:55:59"},{"id":151,"name":"Denver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0"/>
        <v>start /low /b %USERPROFILE%\Documents\GitHub\eaglep3\Utilities\DownloadLogsFromS3.py --loco 4007 --day 2017-05-07</v>
      </c>
      <c r="AN16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646</v>
      </c>
      <c r="B165" s="7">
        <v>4008</v>
      </c>
      <c r="C165" s="21" t="s">
        <v>209</v>
      </c>
      <c r="D165" s="21" t="s">
        <v>838</v>
      </c>
      <c r="E165" s="13">
        <v>42862.346631944441</v>
      </c>
      <c r="F165" s="13">
        <v>42862.348587962966</v>
      </c>
      <c r="G165" s="7">
        <v>2</v>
      </c>
      <c r="H165" s="21" t="s">
        <v>839</v>
      </c>
      <c r="I165" s="13">
        <v>42862.358495370368</v>
      </c>
      <c r="J165" s="7">
        <v>0</v>
      </c>
      <c r="K165" s="92" t="str">
        <f t="shared" si="43"/>
        <v>4007/4008</v>
      </c>
      <c r="L165" s="21" t="str">
        <f>VLOOKUP(A165,'Trips&amp;Operators'!$C$1:$G$99999,5,FALSE)</f>
        <v>NELSON ARIANE</v>
      </c>
      <c r="M165" s="6">
        <f t="shared" si="44"/>
        <v>9.9074074023519643E-3</v>
      </c>
      <c r="N165" s="7">
        <f t="shared" si="45"/>
        <v>14.266666659386829</v>
      </c>
      <c r="O165" s="7"/>
      <c r="P165" s="7"/>
      <c r="Q165" s="22"/>
      <c r="R165" s="190"/>
      <c r="S165" s="196">
        <f t="shared" si="46"/>
        <v>1</v>
      </c>
      <c r="T165" s="190" t="str">
        <f t="shared" si="47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48"/>
        <v>https://d0f6bd738d7f1b3e5a7ca70fe4ff75f0.us-east-1.aws.found.io/app/kibana#/discover/Steve-Slow-Train-Analysis-(2080s-and-2083s)?_g=(refreshInterval:(display:Off,pause:!f,section:0,value:0),time:(from:'2017-05-07T07:19:09-0600',mode:absolute,to:'2017-05-07T09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192" t="str">
        <f t="shared" si="49"/>
        <v>N</v>
      </c>
      <c r="X165" s="192">
        <f t="shared" si="50"/>
        <v>1</v>
      </c>
      <c r="Y165" s="192">
        <f t="shared" si="51"/>
        <v>0.10059999999999999</v>
      </c>
      <c r="Z165" s="192">
        <f t="shared" si="52"/>
        <v>5.8948</v>
      </c>
      <c r="AA165" s="192">
        <f t="shared" si="53"/>
        <v>5.7942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4"/>
        <v>1805-07</v>
      </c>
      <c r="AE165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5" s="77" t="str">
        <f t="shared" si="56"/>
        <v>"C:\Program Files (x86)\AstroGrep\AstroGrep.exe" /e /r /s /spath="%USERPROFILE%\AppData\Local\Temp\OnboardLogs" /stypes="app*4008*20170507*" /stext=" 14:.+((SYSTEM_STATE.+slice.+state.+changed )|(ment ac)|(multiple cpu faults)|(system.+state.+changed )|(\[timeout)|(PRM\|1\|D)|(kpr)|(kdp)|(train st.+moving)|(\|lc)|(penalty))"</v>
      </c>
      <c r="AG165" s="1" t="str">
        <f t="shared" si="57"/>
        <v>NW</v>
      </c>
      <c r="AH165" s="81" t="str">
        <f t="shared" si="58"/>
        <v>"%USERPROFILE%\Documents\GitHub\eaglep3\Utilities\RefineRTDCRunTimes.py" --tripid 1805-07 --locoid 4008 --swversion DE.1.0.9.0 --startMP 204:1006 --initTime 2017-05-07T08:19:09 --startdatetime 2017-05-07T08:21:58 --delay 2 --endMP 300:58948 --enddatetime 2017-05-07T08:36:14 --enforcementcount 0 &gt;&gt;C:\Users\stu\Documents\GitHub\eaglep3-reporting\EC\2017-05-07-refined-times.txt</v>
      </c>
      <c r="AI165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{"issue":{"subject":"","project_id":79,"tracker_id":40,"status_id":1,"priority_id":2,"assigned_to_id":23,"start_date":"2017-05-07","description":"","custom_fields":[{"id":1,"name":"Subdivision","value":"NW"},{"id":4,"name":"Milepost","value":"5.8948"},{"id":17,"name":"Train ID","value":"1805-07"},{"id":16,"name":"Locomotive ID","value":"4008"},{"id":130,"name":"Impact","value":""},{"id":150,"name":"Time of Event (Mountain Time)","value":"08:36:14"},{"id":151,"name":"Denver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0"/>
        <v>start /low /b %USERPROFILE%\Documents\GitHub\eaglep3\Utilities\DownloadLogsFromS3.py --loco 4008 --day 2017-05-07</v>
      </c>
      <c r="AN165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650</v>
      </c>
      <c r="B166" s="7">
        <v>4007</v>
      </c>
      <c r="C166" s="21" t="s">
        <v>209</v>
      </c>
      <c r="D166" s="21" t="s">
        <v>840</v>
      </c>
      <c r="E166" s="13">
        <v>42862.359664351854</v>
      </c>
      <c r="F166" s="13">
        <v>42862.362071759257</v>
      </c>
      <c r="G166" s="7">
        <v>2</v>
      </c>
      <c r="H166" s="21" t="s">
        <v>835</v>
      </c>
      <c r="I166" s="13">
        <v>42862.372002314813</v>
      </c>
      <c r="J166" s="7">
        <v>0</v>
      </c>
      <c r="K166" s="92" t="str">
        <f t="shared" si="43"/>
        <v>4007/4008</v>
      </c>
      <c r="L166" s="21" t="str">
        <f>VLOOKUP(A166,'Trips&amp;Operators'!$C$1:$G$99999,5,FALSE)</f>
        <v>NELSON ARIANE</v>
      </c>
      <c r="M166" s="6">
        <f t="shared" si="44"/>
        <v>9.930555555911269E-3</v>
      </c>
      <c r="N166" s="7">
        <f t="shared" si="45"/>
        <v>14.300000000512227</v>
      </c>
      <c r="O166" s="7"/>
      <c r="P166" s="7"/>
      <c r="Q166" s="22"/>
      <c r="R166" s="190"/>
      <c r="S166" s="196">
        <f t="shared" si="46"/>
        <v>1</v>
      </c>
      <c r="T166" s="190" t="str">
        <f t="shared" si="47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48"/>
        <v>https://d0f6bd738d7f1b3e5a7ca70fe4ff75f0.us-east-1.aws.found.io/app/kibana#/discover/Steve-Slow-Train-Analysis-(2080s-and-2083s)?_g=(refreshInterval:(display:Off,pause:!f,section:0,value:0),time:(from:'2017-05-07T07:37:55-0600',mode:absolute,to:'2017-05-07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92" t="str">
        <f t="shared" si="49"/>
        <v>N</v>
      </c>
      <c r="X166" s="192">
        <f t="shared" si="50"/>
        <v>1</v>
      </c>
      <c r="Y166" s="192">
        <f t="shared" si="51"/>
        <v>5.8593999999999999</v>
      </c>
      <c r="Z166" s="192">
        <f t="shared" si="52"/>
        <v>6.7699999999999996E-2</v>
      </c>
      <c r="AA166" s="192">
        <f t="shared" si="53"/>
        <v>5.7916999999999996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4"/>
        <v>1806-07</v>
      </c>
      <c r="AE166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6" s="77" t="str">
        <f t="shared" si="56"/>
        <v>"C:\Program Files (x86)\AstroGrep\AstroGrep.exe" /e /r /s /spath="%USERPROFILE%\AppData\Local\Temp\OnboardLogs" /stypes="app*4007*20170507*" /stext=" 14:.+((SYSTEM_STATE.+slice.+state.+changed )|(ment ac)|(multiple cpu faults)|(system.+state.+changed )|(\[timeout)|(PRM\|1\|D)|(kpr)|(kdp)|(train st.+moving)|(\|lc)|(penalty))"</v>
      </c>
      <c r="AG166" s="1" t="str">
        <f t="shared" si="57"/>
        <v>NW</v>
      </c>
      <c r="AH166" s="81" t="str">
        <f t="shared" si="58"/>
        <v>"%USERPROFILE%\Documents\GitHub\eaglep3\Utilities\RefineRTDCRunTimes.py" --tripid 1806-07 --locoid 4007 --swversion DE.1.0.9.0 --startMP 300:58594 --initTime 2017-05-07T08:37:55 --startdatetime 2017-05-07T08:41:23 --delay 2 --endMP 204:677 --enddatetime 2017-05-07T08:55:41 --enforcementcount 0 &gt;&gt;C:\Users\stu\Documents\GitHub\eaglep3-reporting\EC\2017-05-07-refined-times.txt</v>
      </c>
      <c r="AI166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{"issue":{"subject":"","project_id":79,"tracker_id":40,"status_id":1,"priority_id":2,"assigned_to_id":23,"start_date":"2017-05-07","description":"","custom_fields":[{"id":1,"name":"Subdivision","value":"NW"},{"id":4,"name":"Milepost","value":"0.0677"},{"id":17,"name":"Train ID","value":"1806-07"},{"id":16,"name":"Locomotive ID","value":"4007"},{"id":130,"name":"Impact","value":""},{"id":150,"name":"Time of Event (Mountain Time)","value":"08:55:41"},{"id":151,"name":"Denver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60"/>
        <v>start /low /b %USERPROFILE%\Documents\GitHub\eaglep3\Utilities\DownloadLogsFromS3.py --loco 4007 --day 2017-05-07</v>
      </c>
      <c r="AN166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655</v>
      </c>
      <c r="B167" s="7">
        <v>4008</v>
      </c>
      <c r="C167" s="21" t="s">
        <v>209</v>
      </c>
      <c r="D167" s="21" t="s">
        <v>841</v>
      </c>
      <c r="E167" s="13">
        <v>42862.387523148151</v>
      </c>
      <c r="F167" s="13">
        <v>42862.389930555553</v>
      </c>
      <c r="G167" s="7">
        <v>3</v>
      </c>
      <c r="H167" s="21" t="s">
        <v>842</v>
      </c>
      <c r="I167" s="13">
        <v>42862.399918981479</v>
      </c>
      <c r="J167" s="7">
        <v>0</v>
      </c>
      <c r="K167" s="92" t="str">
        <f t="shared" si="43"/>
        <v>4007/4008</v>
      </c>
      <c r="L167" s="21" t="str">
        <f>VLOOKUP(A167,'Trips&amp;Operators'!$C$1:$G$99999,5,FALSE)</f>
        <v>NELSON ARIANE</v>
      </c>
      <c r="M167" s="6">
        <f t="shared" si="44"/>
        <v>9.9884259252576157E-3</v>
      </c>
      <c r="N167" s="7">
        <f t="shared" si="45"/>
        <v>14.383333332370967</v>
      </c>
      <c r="O167" s="7"/>
      <c r="P167" s="7"/>
      <c r="Q167" s="22"/>
      <c r="R167" s="190"/>
      <c r="S167" s="196">
        <f t="shared" si="46"/>
        <v>1</v>
      </c>
      <c r="T167" s="190" t="str">
        <f t="shared" si="47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48"/>
        <v>https://d0f6bd738d7f1b3e5a7ca70fe4ff75f0.us-east-1.aws.found.io/app/kibana#/discover/Steve-Slow-Train-Analysis-(2080s-and-2083s)?_g=(refreshInterval:(display:Off,pause:!f,section:0,value:0),time:(from:'2017-05-07T08:18:02-0600',mode:absolute,to:'2017-05-07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92" t="str">
        <f t="shared" si="49"/>
        <v>N</v>
      </c>
      <c r="X167" s="192">
        <f t="shared" si="50"/>
        <v>1</v>
      </c>
      <c r="Y167" s="192">
        <f t="shared" si="51"/>
        <v>0.11459999999999999</v>
      </c>
      <c r="Z167" s="192">
        <f t="shared" si="52"/>
        <v>5.8944000000000001</v>
      </c>
      <c r="AA167" s="192">
        <f t="shared" si="53"/>
        <v>5.7797999999999998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4"/>
        <v>1807-07</v>
      </c>
      <c r="AE167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7" s="77" t="str">
        <f t="shared" si="56"/>
        <v>"C:\Program Files (x86)\AstroGrep\AstroGrep.exe" /e /r /s /spath="%USERPROFILE%\AppData\Local\Temp\OnboardLogs" /stypes="app*4008*20170507*" /stext=" 15:.+((SYSTEM_STATE.+slice.+state.+changed )|(ment ac)|(multiple cpu faults)|(system.+state.+changed )|(\[timeout)|(PRM\|1\|D)|(kpr)|(kdp)|(train st.+moving)|(\|lc)|(penalty))"</v>
      </c>
      <c r="AG167" s="1" t="str">
        <f t="shared" si="57"/>
        <v>NW</v>
      </c>
      <c r="AH167" s="81" t="str">
        <f t="shared" si="58"/>
        <v>"%USERPROFILE%\Documents\GitHub\eaglep3\Utilities\RefineRTDCRunTimes.py" --tripid 1807-07 --locoid 4008 --swversion DE.1.0.9.0 --startMP 204:1146 --initTime 2017-05-07T09:18:02 --startdatetime 2017-05-07T09:21:30 --delay 3 --endMP 300:58944 --enddatetime 2017-05-07T09:35:53 --enforcementcount 0 &gt;&gt;C:\Users\stu\Documents\GitHub\eaglep3-reporting\EC\2017-05-07-refined-times.txt</v>
      </c>
      <c r="AI167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{"issue":{"subject":"","project_id":79,"tracker_id":40,"status_id":1,"priority_id":2,"assigned_to_id":23,"start_date":"2017-05-07","description":"","custom_fields":[{"id":1,"name":"Subdivision","value":"NW"},{"id":4,"name":"Milepost","value":"5.8944"},{"id":17,"name":"Train ID","value":"1807-07"},{"id":16,"name":"Locomotive ID","value":"4008"},{"id":130,"name":"Impact","value":""},{"id":150,"name":"Time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60"/>
        <v>start /low /b %USERPROFILE%\Documents\GitHub\eaglep3\Utilities\DownloadLogsFromS3.py --loco 4008 --day 2017-05-07</v>
      </c>
      <c r="AN167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659</v>
      </c>
      <c r="B168" s="7">
        <v>4007</v>
      </c>
      <c r="C168" s="21" t="s">
        <v>209</v>
      </c>
      <c r="D168" s="21" t="s">
        <v>843</v>
      </c>
      <c r="E168" s="13">
        <v>42862.401388888888</v>
      </c>
      <c r="F168" s="13">
        <v>42862.40320601852</v>
      </c>
      <c r="G168" s="7">
        <v>2</v>
      </c>
      <c r="H168" s="21" t="s">
        <v>844</v>
      </c>
      <c r="I168" s="13">
        <v>42862.413738425923</v>
      </c>
      <c r="J168" s="7">
        <v>0</v>
      </c>
      <c r="K168" s="92" t="str">
        <f t="shared" si="43"/>
        <v>4007/4008</v>
      </c>
      <c r="L168" s="21" t="str">
        <f>VLOOKUP(A168,'Trips&amp;Operators'!$C$1:$G$99999,5,FALSE)</f>
        <v>NELSON ARIANE</v>
      </c>
      <c r="M168" s="6">
        <f t="shared" si="44"/>
        <v>1.0532407402934041E-2</v>
      </c>
      <c r="N168" s="7">
        <f t="shared" si="45"/>
        <v>15.166666660225019</v>
      </c>
      <c r="O168" s="7"/>
      <c r="P168" s="7"/>
      <c r="Q168" s="22"/>
      <c r="R168" s="190"/>
      <c r="S168" s="196">
        <f t="shared" si="46"/>
        <v>1</v>
      </c>
      <c r="T168" s="190" t="str">
        <f t="shared" si="47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48"/>
        <v>https://d0f6bd738d7f1b3e5a7ca70fe4ff75f0.us-east-1.aws.found.io/app/kibana#/discover/Steve-Slow-Train-Analysis-(2080s-and-2083s)?_g=(refreshInterval:(display:Off,pause:!f,section:0,value:0),time:(from:'2017-05-07T08:38:00-0600',mode:absolute,to:'2017-05-07T10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192" t="str">
        <f t="shared" si="49"/>
        <v>N</v>
      </c>
      <c r="X168" s="192">
        <f t="shared" si="50"/>
        <v>1</v>
      </c>
      <c r="Y168" s="192">
        <f t="shared" si="51"/>
        <v>5.8639999999999999</v>
      </c>
      <c r="Z168" s="192">
        <f t="shared" si="52"/>
        <v>6.8699999999999997E-2</v>
      </c>
      <c r="AA168" s="192">
        <f t="shared" si="53"/>
        <v>5.7953000000000001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4"/>
        <v>1808-07</v>
      </c>
      <c r="AE168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68" s="77" t="str">
        <f t="shared" si="56"/>
        <v>"C:\Program Files (x86)\AstroGrep\AstroGrep.exe" /e /r /s /spath="%USERPROFILE%\AppData\Local\Temp\OnboardLogs" /stypes="app*4007*20170507*" /stext=" 15:.+((SYSTEM_STATE.+slice.+state.+changed )|(ment ac)|(multiple cpu faults)|(system.+state.+changed )|(\[timeout)|(PRM\|1\|D)|(kpr)|(kdp)|(train st.+moving)|(\|lc)|(penalty))"</v>
      </c>
      <c r="AG168" s="1" t="str">
        <f t="shared" si="57"/>
        <v>NW</v>
      </c>
      <c r="AH168" s="81" t="str">
        <f t="shared" si="58"/>
        <v>"%USERPROFILE%\Documents\GitHub\eaglep3\Utilities\RefineRTDCRunTimes.py" --tripid 1808-07 --locoid 4007 --swversion DE.1.0.9.0 --startMP 300:58640 --initTime 2017-05-07T09:38:00 --startdatetime 2017-05-07T09:40:37 --delay 2 --endMP 204:687 --enddatetime 2017-05-07T09:55:47 --enforcementcount 0 &gt;&gt;C:\Users\stu\Documents\GitHub\eaglep3-reporting\EC\2017-05-07-refined-times.txt</v>
      </c>
      <c r="AI168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{"issue":{"subject":"","project_id":79,"tracker_id":40,"status_id":1,"priority_id":2,"assigned_to_id":23,"start_date":"2017-05-07","description":"","custom_fields":[{"id":1,"name":"Subdivision","value":"NW"},{"id":4,"name":"Milepost","value":"0.0687"},{"id":17,"name":"Train ID","value":"1808-07"},{"id":16,"name":"Locomotive ID","value":"4007"},{"id":130,"name":"Impact","value":""},{"id":150,"name":"Time of Event (Mountain Time)","value":"09:55:47"},{"id":151,"name":"Denver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60"/>
        <v>start /low /b %USERPROFILE%\Documents\GitHub\eaglep3\Utilities\DownloadLogsFromS3.py --loco 4007 --day 2017-05-07</v>
      </c>
      <c r="AN168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15:55:47"},{"id":29,"name":"Sharepoint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663</v>
      </c>
      <c r="B169" s="7">
        <v>4008</v>
      </c>
      <c r="C169" s="21" t="s">
        <v>209</v>
      </c>
      <c r="D169" s="21" t="s">
        <v>521</v>
      </c>
      <c r="E169" s="13">
        <v>42862.429722222223</v>
      </c>
      <c r="F169" s="13">
        <v>42862.431458333333</v>
      </c>
      <c r="G169" s="7">
        <v>1</v>
      </c>
      <c r="H169" s="21" t="s">
        <v>845</v>
      </c>
      <c r="I169" s="13">
        <v>42862.441423611112</v>
      </c>
      <c r="J169" s="7">
        <v>0</v>
      </c>
      <c r="K169" s="92" t="str">
        <f t="shared" si="43"/>
        <v>4007/4008</v>
      </c>
      <c r="L169" s="21" t="str">
        <f>VLOOKUP(A169,'Trips&amp;Operators'!$C$1:$G$99999,5,FALSE)</f>
        <v>NELSON ARIANE</v>
      </c>
      <c r="M169" s="6">
        <f t="shared" si="44"/>
        <v>9.9652777789742686E-3</v>
      </c>
      <c r="N169" s="7">
        <f t="shared" si="45"/>
        <v>14.350000001722947</v>
      </c>
      <c r="O169" s="7"/>
      <c r="P169" s="7"/>
      <c r="Q169" s="22"/>
      <c r="R169" s="190"/>
      <c r="S169" s="196">
        <f t="shared" si="46"/>
        <v>1</v>
      </c>
      <c r="T169" s="190" t="str">
        <f t="shared" si="47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48"/>
        <v>https://d0f6bd738d7f1b3e5a7ca70fe4ff75f0.us-east-1.aws.found.io/app/kibana#/discover/Steve-Slow-Train-Analysis-(2080s-and-2083s)?_g=(refreshInterval:(display:Off,pause:!f,section:0,value:0),time:(from:'2017-05-07T09:18:48-0600',mode:absolute,to:'2017-05-07T11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192" t="str">
        <f t="shared" si="49"/>
        <v>N</v>
      </c>
      <c r="X169" s="192">
        <f t="shared" si="50"/>
        <v>1</v>
      </c>
      <c r="Y169" s="192">
        <f t="shared" si="51"/>
        <v>9.64E-2</v>
      </c>
      <c r="Z169" s="192">
        <f t="shared" si="52"/>
        <v>5.8959999999999999</v>
      </c>
      <c r="AA169" s="192">
        <f t="shared" si="53"/>
        <v>5.7995999999999999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4"/>
        <v>1809-07</v>
      </c>
      <c r="AE169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69" s="77" t="str">
        <f t="shared" si="56"/>
        <v>"C:\Program Files (x86)\AstroGrep\AstroGrep.exe" /e /r /s /spath="%USERPROFILE%\AppData\Local\Temp\OnboardLogs" /stypes="app*4008*20170507*" /stext=" 16:.+((SYSTEM_STATE.+slice.+state.+changed )|(ment ac)|(multiple cpu faults)|(system.+state.+changed )|(\[timeout)|(PRM\|1\|D)|(kpr)|(kdp)|(train st.+moving)|(\|lc)|(penalty))"</v>
      </c>
      <c r="AG169" s="1" t="str">
        <f t="shared" si="57"/>
        <v>NW</v>
      </c>
      <c r="AH169" s="81" t="str">
        <f t="shared" si="58"/>
        <v>"%USERPROFILE%\Documents\GitHub\eaglep3\Utilities\RefineRTDCRunTimes.py" --tripid 1809-07 --locoid 4008 --swversion DE.1.0.9.0 --startMP 204:964 --initTime 2017-05-07T10:18:48 --startdatetime 2017-05-07T10:21:18 --delay 1 --endMP 300:58960 --enddatetime 2017-05-07T10:35:39 --enforcementcount 0 &gt;&gt;C:\Users\stu\Documents\GitHub\eaglep3-reporting\EC\2017-05-07-refined-times.txt</v>
      </c>
      <c r="AI169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{"issue":{"subject":"","project_id":79,"tracker_id":40,"status_id":1,"priority_id":2,"assigned_to_id":23,"start_date":"2017-05-07","description":"","custom_fields":[{"id":1,"name":"Subdivision","value":"NW"},{"id":4,"name":"Milepost","value":"5.896"},{"id":17,"name":"Train ID","value":"1809-07"},{"id":16,"name":"Locomotive ID","value":"4008"},{"id":130,"name":"Impact","value":""},{"id":150,"name":"Time of Event (Mountain Time)","value":"10:35:39"},{"id":151,"name":"Denver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60"/>
        <v>start /low /b %USERPROFILE%\Documents\GitHub\eaglep3\Utilities\DownloadLogsFromS3.py --loco 4008 --day 2017-05-07</v>
      </c>
      <c r="AN169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558</v>
      </c>
      <c r="B170" s="7">
        <v>4007</v>
      </c>
      <c r="C170" s="21" t="s">
        <v>209</v>
      </c>
      <c r="D170" s="21" t="s">
        <v>847</v>
      </c>
      <c r="E170" s="13">
        <v>42862.442650462966</v>
      </c>
      <c r="F170" s="13">
        <v>42862.444479166668</v>
      </c>
      <c r="G170" s="7">
        <v>2</v>
      </c>
      <c r="H170" s="21" t="s">
        <v>848</v>
      </c>
      <c r="I170" s="13">
        <v>42862.455289351848</v>
      </c>
      <c r="J170" s="7">
        <v>0</v>
      </c>
      <c r="K170" s="92" t="str">
        <f t="shared" si="43"/>
        <v>4007/4008</v>
      </c>
      <c r="L170" s="21" t="str">
        <f>VLOOKUP(A170,'Trips&amp;Operators'!$C$1:$G$99999,5,FALSE)</f>
        <v>NELSON ARIANE</v>
      </c>
      <c r="M170" s="6">
        <f t="shared" si="44"/>
        <v>1.081018518016208E-2</v>
      </c>
      <c r="N170" s="7">
        <f t="shared" si="45"/>
        <v>15.566666659433395</v>
      </c>
      <c r="O170" s="7"/>
      <c r="P170" s="7"/>
      <c r="Q170" s="22"/>
      <c r="R170" s="190"/>
      <c r="S170" s="196">
        <f t="shared" si="46"/>
        <v>1</v>
      </c>
      <c r="T170" s="190" t="str">
        <f t="shared" si="47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48"/>
        <v>https://d0f6bd738d7f1b3e5a7ca70fe4ff75f0.us-east-1.aws.found.io/app/kibana#/discover/Steve-Slow-Train-Analysis-(2080s-and-2083s)?_g=(refreshInterval:(display:Off,pause:!f,section:0,value:0),time:(from:'2017-05-07T09:37:25-0600',mode:absolute,to:'2017-05-07T11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192" t="str">
        <f t="shared" si="49"/>
        <v>N</v>
      </c>
      <c r="X170" s="192">
        <f t="shared" si="50"/>
        <v>1</v>
      </c>
      <c r="Y170" s="192">
        <f t="shared" si="51"/>
        <v>5.8643000000000001</v>
      </c>
      <c r="Z170" s="192">
        <f t="shared" si="52"/>
        <v>6.8500000000000005E-2</v>
      </c>
      <c r="AA170" s="192">
        <f t="shared" si="53"/>
        <v>5.7957999999999998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4"/>
        <v>1810-07</v>
      </c>
      <c r="AE17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0" s="77" t="str">
        <f t="shared" si="56"/>
        <v>"C:\Program Files (x86)\AstroGrep\AstroGrep.exe" /e /r /s /spath="%USERPROFILE%\AppData\Local\Temp\OnboardLogs" /stypes="app*4007*20170507*" /stext=" 16:.+((SYSTEM_STATE.+slice.+state.+changed )|(ment ac)|(multiple cpu faults)|(system.+state.+changed )|(\[timeout)|(PRM\|1\|D)|(kpr)|(kdp)|(train st.+moving)|(\|lc)|(penalty))"</v>
      </c>
      <c r="AG170" s="1" t="str">
        <f t="shared" si="57"/>
        <v>NW</v>
      </c>
      <c r="AH170" s="81" t="str">
        <f t="shared" si="58"/>
        <v>"%USERPROFILE%\Documents\GitHub\eaglep3\Utilities\RefineRTDCRunTimes.py" --tripid 1810-07 --locoid 4007 --swversion DE.1.0.9.0 --startMP 300:58643 --initTime 2017-05-07T10:37:25 --startdatetime 2017-05-07T10:40:03 --delay 2 --endMP 204:685 --enddatetime 2017-05-07T10:55:37 --enforcementcount 0 &gt;&gt;C:\Users\stu\Documents\GitHub\eaglep3-reporting\EC\2017-05-07-refined-times.txt</v>
      </c>
      <c r="AI17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{"issue":{"subject":"","project_id":79,"tracker_id":40,"status_id":1,"priority_id":2,"assigned_to_id":23,"start_date":"2017-05-07","description":"","custom_fields":[{"id":1,"name":"Subdivision","value":"NW"},{"id":4,"name":"Milepost","value":"0.0685"},{"id":17,"name":"Train ID","value":"1810-07"},{"id":16,"name":"Locomotive ID","value":"4007"},{"id":130,"name":"Impact","value":""},{"id":150,"name":"Time of Event (Mountain Time)","value":"10:55:37"},{"id":151,"name":"Denver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60"/>
        <v>start /low /b %USERPROFILE%\Documents\GitHub\eaglep3\Utilities\DownloadLogsFromS3.py --loco 4007 --day 2017-05-07</v>
      </c>
      <c r="AN17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16:55:37"},{"id":29,"name":"Sharepoint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561</v>
      </c>
      <c r="B171" s="7">
        <v>4008</v>
      </c>
      <c r="C171" s="21" t="s">
        <v>209</v>
      </c>
      <c r="D171" s="21" t="s">
        <v>849</v>
      </c>
      <c r="E171" s="13">
        <v>42862.471180555556</v>
      </c>
      <c r="F171" s="13">
        <v>42862.473217592589</v>
      </c>
      <c r="G171" s="7">
        <v>2</v>
      </c>
      <c r="H171" s="21" t="s">
        <v>522</v>
      </c>
      <c r="I171" s="13">
        <v>42862.484583333331</v>
      </c>
      <c r="J171" s="7">
        <v>0</v>
      </c>
      <c r="K171" s="92" t="str">
        <f t="shared" si="43"/>
        <v>4007/4008</v>
      </c>
      <c r="L171" s="21" t="str">
        <f>VLOOKUP(A171,'Trips&amp;Operators'!$C$1:$G$99999,5,FALSE)</f>
        <v>NELSON ARIANE</v>
      </c>
      <c r="M171" s="6">
        <f t="shared" si="44"/>
        <v>1.1365740741894115E-2</v>
      </c>
      <c r="N171" s="7">
        <f t="shared" si="45"/>
        <v>16.366666668327525</v>
      </c>
      <c r="O171" s="7"/>
      <c r="P171" s="7"/>
      <c r="Q171" s="22"/>
      <c r="R171" s="190"/>
      <c r="S171" s="196">
        <f t="shared" si="46"/>
        <v>1</v>
      </c>
      <c r="T171" s="190" t="str">
        <f t="shared" si="47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48"/>
        <v>https://d0f6bd738d7f1b3e5a7ca70fe4ff75f0.us-east-1.aws.found.io/app/kibana#/discover/Steve-Slow-Train-Analysis-(2080s-and-2083s)?_g=(refreshInterval:(display:Off,pause:!f,section:0,value:0),time:(from:'2017-05-07T10:18:30-0600',mode:absolute,to:'2017-05-07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192" t="str">
        <f t="shared" si="49"/>
        <v>N</v>
      </c>
      <c r="X171" s="192">
        <f t="shared" si="50"/>
        <v>1</v>
      </c>
      <c r="Y171" s="192">
        <f t="shared" si="51"/>
        <v>9.74E-2</v>
      </c>
      <c r="Z171" s="192">
        <f t="shared" si="52"/>
        <v>5.8967000000000001</v>
      </c>
      <c r="AA171" s="192">
        <f t="shared" si="53"/>
        <v>5.7992999999999997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4"/>
        <v>1811-07</v>
      </c>
      <c r="AE17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1" s="77" t="str">
        <f t="shared" si="56"/>
        <v>"C:\Program Files (x86)\AstroGrep\AstroGrep.exe" /e /r /s /spath="%USERPROFILE%\AppData\Local\Temp\OnboardLogs" /stypes="app*4008*20170507*" /stext=" 17:.+((SYSTEM_STATE.+slice.+state.+changed )|(ment ac)|(multiple cpu faults)|(system.+state.+changed )|(\[timeout)|(PRM\|1\|D)|(kpr)|(kdp)|(train st.+moving)|(\|lc)|(penalty))"</v>
      </c>
      <c r="AG171" s="1" t="str">
        <f t="shared" si="57"/>
        <v>NW</v>
      </c>
      <c r="AH171" s="81" t="str">
        <f t="shared" si="58"/>
        <v>"%USERPROFILE%\Documents\GitHub\eaglep3\Utilities\RefineRTDCRunTimes.py" --tripid 1811-07 --locoid 4008 --swversion DE.1.0.9.0 --startMP 204:974 --initTime 2017-05-07T11:18:30 --startdatetime 2017-05-07T11:21:26 --delay 2 --endMP 300:58967 --enddatetime 2017-05-07T11:37:48 --enforcementcount 0 &gt;&gt;C:\Users\stu\Documents\GitHub\eaglep3-reporting\EC\2017-05-07-refined-times.txt</v>
      </c>
      <c r="AI17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{"issue":{"subject":"","project_id":79,"tracker_id":40,"status_id":1,"priority_id":2,"assigned_to_id":23,"start_date":"2017-05-07","description":"","custom_fields":[{"id":1,"name":"Subdivision","value":"NW"},{"id":4,"name":"Milepost","value":"5.8967"},{"id":17,"name":"Train ID","value":"1811-07"},{"id":16,"name":"Locomotive ID","value":"4008"},{"id":130,"name":"Impact","value":""},{"id":150,"name":"Time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60"/>
        <v>start /low /b %USERPROFILE%\Documents\GitHub\eaglep3\Utilities\DownloadLogsFromS3.py --loco 4008 --day 2017-05-07</v>
      </c>
      <c r="AN171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675</v>
      </c>
      <c r="B172" s="7">
        <v>4007</v>
      </c>
      <c r="C172" s="21" t="s">
        <v>209</v>
      </c>
      <c r="D172" s="21" t="s">
        <v>850</v>
      </c>
      <c r="E172" s="13">
        <v>42862.485844907409</v>
      </c>
      <c r="F172" s="13">
        <v>42862.487187500003</v>
      </c>
      <c r="G172" s="7">
        <v>1</v>
      </c>
      <c r="H172" s="21" t="s">
        <v>851</v>
      </c>
      <c r="I172" s="13">
        <v>42862.498819444445</v>
      </c>
      <c r="J172" s="7">
        <v>0</v>
      </c>
      <c r="K172" s="92" t="str">
        <f t="shared" si="43"/>
        <v>4007/4008</v>
      </c>
      <c r="L172" s="21" t="str">
        <f>VLOOKUP(A172,'Trips&amp;Operators'!$C$1:$G$99999,5,FALSE)</f>
        <v>NELSON ARIANE</v>
      </c>
      <c r="M172" s="6">
        <f t="shared" si="44"/>
        <v>1.1631944442342501E-2</v>
      </c>
      <c r="N172" s="7">
        <f t="shared" si="45"/>
        <v>16.749999996973202</v>
      </c>
      <c r="O172" s="7"/>
      <c r="P172" s="7"/>
      <c r="Q172" s="22"/>
      <c r="R172" s="190"/>
      <c r="S172" s="196">
        <f t="shared" si="46"/>
        <v>1</v>
      </c>
      <c r="T172" s="190" t="str">
        <f t="shared" si="47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48"/>
        <v>https://d0f6bd738d7f1b3e5a7ca70fe4ff75f0.us-east-1.aws.found.io/app/kibana#/discover/Steve-Slow-Train-Analysis-(2080s-and-2083s)?_g=(refreshInterval:(display:Off,pause:!f,section:0,value:0),time:(from:'2017-05-07T10:39:37-0600',mode:absolute,to:'2017-05-07T12:58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2" s="192" t="str">
        <f t="shared" si="49"/>
        <v>N</v>
      </c>
      <c r="X172" s="192">
        <f t="shared" si="50"/>
        <v>1</v>
      </c>
      <c r="Y172" s="192">
        <f t="shared" si="51"/>
        <v>5.8648999999999996</v>
      </c>
      <c r="Z172" s="192">
        <f t="shared" si="52"/>
        <v>6.6100000000000006E-2</v>
      </c>
      <c r="AA172" s="192">
        <f t="shared" si="53"/>
        <v>5.7988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4"/>
        <v>1812-07</v>
      </c>
      <c r="AE17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2" s="77" t="str">
        <f t="shared" si="56"/>
        <v>"C:\Program Files (x86)\AstroGrep\AstroGrep.exe" /e /r /s /spath="%USERPROFILE%\AppData\Local\Temp\OnboardLogs" /stypes="app*4007*20170507*" /stext=" 17:.+((SYSTEM_STATE.+slice.+state.+changed )|(ment ac)|(multiple cpu faults)|(system.+state.+changed )|(\[timeout)|(PRM\|1\|D)|(kpr)|(kdp)|(train st.+moving)|(\|lc)|(penalty))"</v>
      </c>
      <c r="AG172" s="1" t="str">
        <f t="shared" si="57"/>
        <v>NW</v>
      </c>
      <c r="AH172" s="81" t="str">
        <f t="shared" si="58"/>
        <v>"%USERPROFILE%\Documents\GitHub\eaglep3\Utilities\RefineRTDCRunTimes.py" --tripid 1812-07 --locoid 4007 --swversion DE.1.0.9.0 --startMP 300:58649 --initTime 2017-05-07T11:39:37 --startdatetime 2017-05-07T11:41:33 --delay 1 --endMP 204:661 --enddatetime 2017-05-07T11:58:18 --enforcementcount 0 &gt;&gt;C:\Users\stu\Documents\GitHub\eaglep3-reporting\EC\2017-05-07-refined-times.txt</v>
      </c>
      <c r="AI17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{"issue":{"subject":"","project_id":79,"tracker_id":40,"status_id":1,"priority_id":2,"assigned_to_id":23,"start_date":"2017-05-07","description":"","custom_fields":[{"id":1,"name":"Subdivision","value":"NW"},{"id":4,"name":"Milepost","value":"0.0661"},{"id":17,"name":"Train ID","value":"1812-07"},{"id":16,"name":"Locomotive ID","value":"4007"},{"id":130,"name":"Impact","value":""},{"id":150,"name":"Time of Event (Mountain Time)","value":"11:58:18"},{"id":151,"name":"Denver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60"/>
        <v>start /low /b %USERPROFILE%\Documents\GitHub\eaglep3\Utilities\DownloadLogsFromS3.py --loco 4007 --day 2017-05-07</v>
      </c>
      <c r="AN17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683</v>
      </c>
      <c r="B173" s="7">
        <v>4008</v>
      </c>
      <c r="C173" s="21" t="s">
        <v>209</v>
      </c>
      <c r="D173" s="21" t="s">
        <v>852</v>
      </c>
      <c r="E173" s="13">
        <v>42862.513009259259</v>
      </c>
      <c r="F173" s="13">
        <v>42862.514918981484</v>
      </c>
      <c r="G173" s="7">
        <v>2</v>
      </c>
      <c r="H173" s="21" t="s">
        <v>853</v>
      </c>
      <c r="I173" s="13">
        <v>42862.525601851848</v>
      </c>
      <c r="J173" s="7">
        <v>0</v>
      </c>
      <c r="K173" s="92" t="str">
        <f t="shared" si="43"/>
        <v>4007/4008</v>
      </c>
      <c r="L173" s="21" t="str">
        <f>VLOOKUP(A173,'Trips&amp;Operators'!$C$1:$G$99999,5,FALSE)</f>
        <v>NELSON ARIANE</v>
      </c>
      <c r="M173" s="6">
        <f t="shared" si="44"/>
        <v>1.0682870364689734E-2</v>
      </c>
      <c r="N173" s="7">
        <f t="shared" si="45"/>
        <v>15.383333325153217</v>
      </c>
      <c r="O173" s="7"/>
      <c r="P173" s="7"/>
      <c r="Q173" s="22"/>
      <c r="R173" s="190"/>
      <c r="S173" s="196">
        <f t="shared" si="46"/>
        <v>1</v>
      </c>
      <c r="T173" s="190" t="str">
        <f t="shared" si="47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48"/>
        <v>https://d0f6bd738d7f1b3e5a7ca70fe4ff75f0.us-east-1.aws.found.io/app/kibana#/discover/Steve-Slow-Train-Analysis-(2080s-and-2083s)?_g=(refreshInterval:(display:Off,pause:!f,section:0,value:0),time:(from:'2017-05-07T11:18:44-0600',mode:absolute,to:'2017-05-07T13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3" s="192" t="str">
        <f t="shared" si="49"/>
        <v>N</v>
      </c>
      <c r="X173" s="192">
        <f t="shared" si="50"/>
        <v>1</v>
      </c>
      <c r="Y173" s="192">
        <f t="shared" si="51"/>
        <v>9.7199999999999995E-2</v>
      </c>
      <c r="Z173" s="192">
        <f t="shared" si="52"/>
        <v>5.8949999999999996</v>
      </c>
      <c r="AA173" s="192">
        <f t="shared" si="53"/>
        <v>5.7977999999999996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4"/>
        <v>1813-07</v>
      </c>
      <c r="AE17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3" s="77" t="str">
        <f t="shared" si="56"/>
        <v>"C:\Program Files (x86)\AstroGrep\AstroGrep.exe" /e /r /s /spath="%USERPROFILE%\AppData\Local\Temp\OnboardLogs" /stypes="app*4008*20170507*" /stext=" 18:.+((SYSTEM_STATE.+slice.+state.+changed )|(ment ac)|(multiple cpu faults)|(system.+state.+changed )|(\[timeout)|(PRM\|1\|D)|(kpr)|(kdp)|(train st.+moving)|(\|lc)|(penalty))"</v>
      </c>
      <c r="AG173" s="1" t="str">
        <f t="shared" si="57"/>
        <v>NW</v>
      </c>
      <c r="AH173" s="81" t="str">
        <f t="shared" si="58"/>
        <v>"%USERPROFILE%\Documents\GitHub\eaglep3\Utilities\RefineRTDCRunTimes.py" --tripid 1813-07 --locoid 4008 --swversion DE.1.0.9.0 --startMP 204:972 --initTime 2017-05-07T12:18:44 --startdatetime 2017-05-07T12:21:29 --delay 2 --endMP 300:58950 --enddatetime 2017-05-07T12:36:52 --enforcementcount 0 &gt;&gt;C:\Users\stu\Documents\GitHub\eaglep3-reporting\EC\2017-05-07-refined-times.txt</v>
      </c>
      <c r="AI17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{"issue":{"subject":"","project_id":79,"tracker_id":40,"status_id":1,"priority_id":2,"assigned_to_id":23,"start_date":"2017-05-07","description":"","custom_fields":[{"id":1,"name":"Subdivision","value":"NW"},{"id":4,"name":"Milepost","value":"5.895"},{"id":17,"name":"Train ID","value":"1813-07"},{"id":16,"name":"Locomotive ID","value":"4008"},{"id":130,"name":"Impact","value":""},{"id":150,"name":"Time of Event (Mountain Time)","value":"12:36:52"},{"id":151,"name":"Denver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0"/>
        <v>start /low /b %USERPROFILE%\Documents\GitHub\eaglep3\Utilities\DownloadLogsFromS3.py --loco 4008 --day 2017-05-07</v>
      </c>
      <c r="AN173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18:36:52"},{"id":29,"name":"Sharepoint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565</v>
      </c>
      <c r="B174" s="7">
        <v>4007</v>
      </c>
      <c r="C174" s="21" t="s">
        <v>209</v>
      </c>
      <c r="D174" s="21" t="s">
        <v>854</v>
      </c>
      <c r="E174" s="13">
        <v>42862.527662037035</v>
      </c>
      <c r="F174" s="13">
        <v>42862.529641203706</v>
      </c>
      <c r="G174" s="7">
        <v>1</v>
      </c>
      <c r="H174" s="21" t="s">
        <v>844</v>
      </c>
      <c r="I174" s="13">
        <v>42862.542557870373</v>
      </c>
      <c r="J174" s="7">
        <v>0</v>
      </c>
      <c r="K174" s="92" t="str">
        <f t="shared" si="43"/>
        <v>4007/4008</v>
      </c>
      <c r="L174" s="21" t="str">
        <f>VLOOKUP(A174,'Trips&amp;Operators'!$C$1:$G$99999,5,FALSE)</f>
        <v>NELSON ARIANE</v>
      </c>
      <c r="M174" s="6">
        <f t="shared" si="44"/>
        <v>1.2916666666569654E-2</v>
      </c>
      <c r="N174" s="7">
        <f t="shared" si="45"/>
        <v>18.599999999860302</v>
      </c>
      <c r="O174" s="7"/>
      <c r="P174" s="7"/>
      <c r="Q174" s="22"/>
      <c r="R174" s="190"/>
      <c r="S174" s="196">
        <f t="shared" si="46"/>
        <v>1</v>
      </c>
      <c r="T174" s="190" t="str">
        <f t="shared" si="47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48"/>
        <v>https://d0f6bd738d7f1b3e5a7ca70fe4ff75f0.us-east-1.aws.found.io/app/kibana#/discover/Steve-Slow-Train-Analysis-(2080s-and-2083s)?_g=(refreshInterval:(display:Off,pause:!f,section:0,value:0),time:(from:'2017-05-07T11:39:50-0600',mode:absolute,to:'2017-05-07T14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4" s="192" t="str">
        <f t="shared" si="49"/>
        <v>N</v>
      </c>
      <c r="X174" s="192">
        <f t="shared" si="50"/>
        <v>1</v>
      </c>
      <c r="Y174" s="192">
        <f t="shared" si="51"/>
        <v>5.8635999999999999</v>
      </c>
      <c r="Z174" s="192">
        <f t="shared" si="52"/>
        <v>6.8699999999999997E-2</v>
      </c>
      <c r="AA174" s="192">
        <f t="shared" si="53"/>
        <v>5.7949000000000002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4"/>
        <v>1814-07</v>
      </c>
      <c r="AE174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4" s="77" t="str">
        <f t="shared" si="56"/>
        <v>"C:\Program Files (x86)\AstroGrep\AstroGrep.exe" /e /r /s /spath="%USERPROFILE%\AppData\Local\Temp\OnboardLogs" /stypes="app*4007*20170507*" /stext=" 19:.+((SYSTEM_STATE.+slice.+state.+changed )|(ment ac)|(multiple cpu faults)|(system.+state.+changed )|(\[timeout)|(PRM\|1\|D)|(kpr)|(kdp)|(train st.+moving)|(\|lc)|(penalty))"</v>
      </c>
      <c r="AG174" s="1" t="str">
        <f t="shared" si="57"/>
        <v>NW</v>
      </c>
      <c r="AH174" s="81" t="str">
        <f t="shared" si="58"/>
        <v>"%USERPROFILE%\Documents\GitHub\eaglep3\Utilities\RefineRTDCRunTimes.py" --tripid 1814-07 --locoid 4007 --swversion DE.1.0.9.0 --startMP 300:58636 --initTime 2017-05-07T12:39:50 --startdatetime 2017-05-07T12:42:41 --delay 1 --endMP 204:687 --enddatetime 2017-05-07T13:01:17 --enforcementcount 0 &gt;&gt;C:\Users\stu\Documents\GitHub\eaglep3-reporting\EC\2017-05-07-refined-times.txt</v>
      </c>
      <c r="AI174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{"issue":{"subject":"","project_id":79,"tracker_id":40,"status_id":1,"priority_id":2,"assigned_to_id":23,"start_date":"2017-05-07","description":"","custom_fields":[{"id":1,"name":"Subdivision","value":"NW"},{"id":4,"name":"Milepost","value":"0.0687"},{"id":17,"name":"Train ID","value":"1814-07"},{"id":16,"name":"Locomotive ID","value":"4007"},{"id":130,"name":"Impact","value":""},{"id":150,"name":"Time of Event (Mountain Time)","value":"13:01:17"},{"id":151,"name":"Denver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0"/>
        <v>start /low /b %USERPROFILE%\Documents\GitHub\eaglep3\Utilities\DownloadLogsFromS3.py --loco 4007 --day 2017-05-07</v>
      </c>
      <c r="AN17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568</v>
      </c>
      <c r="B175" s="7">
        <v>4008</v>
      </c>
      <c r="C175" s="21" t="s">
        <v>209</v>
      </c>
      <c r="D175" s="21" t="s">
        <v>855</v>
      </c>
      <c r="E175" s="13">
        <v>42862.554629629631</v>
      </c>
      <c r="F175" s="13">
        <v>42862.556423611109</v>
      </c>
      <c r="G175" s="7">
        <v>2</v>
      </c>
      <c r="H175" s="21" t="s">
        <v>853</v>
      </c>
      <c r="I175" s="13">
        <v>42862.56753472222</v>
      </c>
      <c r="J175" s="7">
        <v>0</v>
      </c>
      <c r="K175" s="92" t="str">
        <f t="shared" si="43"/>
        <v>4007/4008</v>
      </c>
      <c r="L175" s="21" t="str">
        <f>VLOOKUP(A175,'Trips&amp;Operators'!$C$1:$G$99999,5,FALSE)</f>
        <v>NELSON ARIANE</v>
      </c>
      <c r="M175" s="6">
        <f t="shared" si="44"/>
        <v>1.1111111110949423E-2</v>
      </c>
      <c r="N175" s="7">
        <f t="shared" si="45"/>
        <v>15.999999999767169</v>
      </c>
      <c r="O175" s="7"/>
      <c r="P175" s="7"/>
      <c r="Q175" s="22"/>
      <c r="R175" s="190"/>
      <c r="S175" s="196">
        <f t="shared" si="46"/>
        <v>1</v>
      </c>
      <c r="T175" s="190" t="str">
        <f t="shared" si="47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48"/>
        <v>https://d0f6bd738d7f1b3e5a7ca70fe4ff75f0.us-east-1.aws.found.io/app/kibana#/discover/Steve-Slow-Train-Analysis-(2080s-and-2083s)?_g=(refreshInterval:(display:Off,pause:!f,section:0,value:0),time:(from:'2017-05-07T12:18:40-0600',mode:absolute,to:'2017-05-07T14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5" s="192" t="str">
        <f t="shared" si="49"/>
        <v>N</v>
      </c>
      <c r="X175" s="192">
        <f t="shared" si="50"/>
        <v>1</v>
      </c>
      <c r="Y175" s="192">
        <f t="shared" si="51"/>
        <v>9.7600000000000006E-2</v>
      </c>
      <c r="Z175" s="192">
        <f t="shared" si="52"/>
        <v>5.8949999999999996</v>
      </c>
      <c r="AA175" s="192">
        <f t="shared" si="53"/>
        <v>5.7973999999999997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4"/>
        <v>1815-07</v>
      </c>
      <c r="AE175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5" s="77" t="str">
        <f t="shared" si="56"/>
        <v>"C:\Program Files (x86)\AstroGrep\AstroGrep.exe" /e /r /s /spath="%USERPROFILE%\AppData\Local\Temp\OnboardLogs" /stypes="app*4008*20170507*" /stext=" 19:.+((SYSTEM_STATE.+slice.+state.+changed )|(ment ac)|(multiple cpu faults)|(system.+state.+changed )|(\[timeout)|(PRM\|1\|D)|(kpr)|(kdp)|(train st.+moving)|(\|lc)|(penalty))"</v>
      </c>
      <c r="AG175" s="1" t="str">
        <f t="shared" si="57"/>
        <v>NW</v>
      </c>
      <c r="AH175" s="81" t="str">
        <f t="shared" si="58"/>
        <v>"%USERPROFILE%\Documents\GitHub\eaglep3\Utilities\RefineRTDCRunTimes.py" --tripid 1815-07 --locoid 4008 --swversion DE.1.0.9.0 --startMP 204:976 --initTime 2017-05-07T13:18:40 --startdatetime 2017-05-07T13:21:15 --delay 2 --endMP 300:58950 --enddatetime 2017-05-07T13:37:15 --enforcementcount 0 &gt;&gt;C:\Users\stu\Documents\GitHub\eaglep3-reporting\EC\2017-05-07-refined-times.txt</v>
      </c>
      <c r="AI175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{"issue":{"subject":"","project_id":79,"tracker_id":40,"status_id":1,"priority_id":2,"assigned_to_id":23,"start_date":"2017-05-07","description":"","custom_fields":[{"id":1,"name":"Subdivision","value":"NW"},{"id":4,"name":"Milepost","value":"5.895"},{"id":17,"name":"Train ID","value":"1815-07"},{"id":16,"name":"Locomotive ID","value":"4008"},{"id":130,"name":"Impact","value":""},{"id":150,"name":"Time of Event (Mountain Time)","value":"13:37:15"},{"id":151,"name":"Denver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60"/>
        <v>start /low /b %USERPROFILE%\Documents\GitHub\eaglep3\Utilities\DownloadLogsFromS3.py --loco 4008 --day 2017-05-07</v>
      </c>
      <c r="AN175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569</v>
      </c>
      <c r="B176" s="7">
        <v>4007</v>
      </c>
      <c r="C176" s="21" t="s">
        <v>209</v>
      </c>
      <c r="D176" s="21" t="s">
        <v>854</v>
      </c>
      <c r="E176" s="13">
        <v>42862.569016203706</v>
      </c>
      <c r="F176" s="13">
        <v>42862.570428240739</v>
      </c>
      <c r="G176" s="7">
        <v>0</v>
      </c>
      <c r="H176" s="21" t="s">
        <v>856</v>
      </c>
      <c r="I176" s="13">
        <v>42862.582974537036</v>
      </c>
      <c r="J176" s="7">
        <v>0</v>
      </c>
      <c r="K176" s="92" t="str">
        <f t="shared" si="43"/>
        <v>4007/4008</v>
      </c>
      <c r="L176" s="21" t="str">
        <f>VLOOKUP(A176,'Trips&amp;Operators'!$C$1:$G$99999,5,FALSE)</f>
        <v>NELSON ARIANE</v>
      </c>
      <c r="M176" s="6">
        <f t="shared" si="44"/>
        <v>1.2546296296932269E-2</v>
      </c>
      <c r="N176" s="7">
        <f t="shared" si="45"/>
        <v>18.066666667582467</v>
      </c>
      <c r="O176" s="7"/>
      <c r="P176" s="7"/>
      <c r="Q176" s="22"/>
      <c r="R176" s="190"/>
      <c r="S176" s="196">
        <f t="shared" si="46"/>
        <v>1</v>
      </c>
      <c r="T176" s="190" t="str">
        <f t="shared" si="47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48"/>
        <v>https://d0f6bd738d7f1b3e5a7ca70fe4ff75f0.us-east-1.aws.found.io/app/kibana#/discover/Steve-Slow-Train-Analysis-(2080s-and-2083s)?_g=(refreshInterval:(display:Off,pause:!f,section:0,value:0),time:(from:'2017-05-07T12:39:23-0600',mode:absolute,to:'2017-05-07T14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6" s="192" t="str">
        <f t="shared" si="49"/>
        <v>N</v>
      </c>
      <c r="X176" s="192">
        <f t="shared" si="50"/>
        <v>1</v>
      </c>
      <c r="Y176" s="192">
        <f t="shared" si="51"/>
        <v>5.8635999999999999</v>
      </c>
      <c r="Z176" s="192">
        <f t="shared" si="52"/>
        <v>6.9900000000000004E-2</v>
      </c>
      <c r="AA176" s="192">
        <f t="shared" si="53"/>
        <v>5.7937000000000003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4"/>
        <v>1816-07</v>
      </c>
      <c r="AE176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6" s="77" t="str">
        <f t="shared" si="56"/>
        <v>"C:\Program Files (x86)\AstroGrep\AstroGrep.exe" /e /r /s /spath="%USERPROFILE%\AppData\Local\Temp\OnboardLogs" /stypes="app*4007*20170507*" /stext=" 19:.+((SYSTEM_STATE.+slice.+state.+changed )|(ment ac)|(multiple cpu faults)|(system.+state.+changed )|(\[timeout)|(PRM\|1\|D)|(kpr)|(kdp)|(train st.+moving)|(\|lc)|(penalty))"</v>
      </c>
      <c r="AG176" s="1" t="str">
        <f t="shared" si="57"/>
        <v>NW</v>
      </c>
      <c r="AH176" s="81" t="str">
        <f t="shared" si="58"/>
        <v>"%USERPROFILE%\Documents\GitHub\eaglep3\Utilities\RefineRTDCRunTimes.py" --tripid 1816-07 --locoid 4007 --swversion DE.1.0.9.0 --startMP 300:58636 --initTime 2017-05-07T13:39:23 --startdatetime 2017-05-07T13:41:25 --delay 0 --endMP 204:699 --enddatetime 2017-05-07T13:59:29 --enforcementcount 0 &gt;&gt;C:\Users\stu\Documents\GitHub\eaglep3-reporting\EC\2017-05-07-refined-times.txt</v>
      </c>
      <c r="AI176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{"issue":{"subject":"","project_id":79,"tracker_id":40,"status_id":1,"priority_id":2,"assigned_to_id":23,"start_date":"2017-05-07","description":"","custom_fields":[{"id":1,"name":"Subdivision","value":"NW"},{"id":4,"name":"Milepost","value":"0.0699"},{"id":17,"name":"Train ID","value":"1816-07"},{"id":16,"name":"Locomotive ID","value":"4007"},{"id":130,"name":"Impact","value":""},{"id":150,"name":"Time of Event (Mountain Time)","value":"13:59:29"},{"id":151,"name":"Denver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60"/>
        <v>start /low /b %USERPROFILE%\Documents\GitHub\eaglep3\Utilities\DownloadLogsFromS3.py --loco 4007 --day 2017-05-07</v>
      </c>
      <c r="AN176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19:59:29"},{"id":29,"name":"Sharepoint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2" t="s">
        <v>696</v>
      </c>
      <c r="B177" s="7">
        <v>4008</v>
      </c>
      <c r="C177" s="21" t="s">
        <v>209</v>
      </c>
      <c r="D177" s="21" t="s">
        <v>857</v>
      </c>
      <c r="E177" s="13">
        <v>42862.596770833334</v>
      </c>
      <c r="F177" s="13">
        <v>42862.598217592589</v>
      </c>
      <c r="G177" s="7">
        <v>1</v>
      </c>
      <c r="H177" s="21" t="s">
        <v>842</v>
      </c>
      <c r="I177" s="13">
        <v>42862.607106481482</v>
      </c>
      <c r="J177" s="7">
        <v>0</v>
      </c>
      <c r="K177" s="92" t="str">
        <f t="shared" si="43"/>
        <v>4007/4008</v>
      </c>
      <c r="L177" s="21" t="str">
        <f>VLOOKUP(A177,'Trips&amp;Operators'!$C$1:$G$99999,5,FALSE)</f>
        <v>HELVIE ADAM</v>
      </c>
      <c r="M177" s="6">
        <f t="shared" si="44"/>
        <v>8.8888888931251131E-3</v>
      </c>
      <c r="N177" s="7">
        <f t="shared" si="45"/>
        <v>12.800000006100163</v>
      </c>
      <c r="O177" s="7"/>
      <c r="P177" s="7"/>
      <c r="Q177" s="22"/>
      <c r="R177" s="190"/>
      <c r="S177" s="196">
        <f t="shared" si="46"/>
        <v>1</v>
      </c>
      <c r="T177" s="190" t="str">
        <f t="shared" si="47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48"/>
        <v>https://d0f6bd738d7f1b3e5a7ca70fe4ff75f0.us-east-1.aws.found.io/app/kibana#/discover/Steve-Slow-Train-Analysis-(2080s-and-2083s)?_g=(refreshInterval:(display:Off,pause:!f,section:0,value:0),time:(from:'2017-05-07T13:19:21-0600',mode:absolute,to:'2017-05-07T15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7" s="192" t="str">
        <f t="shared" si="49"/>
        <v>N</v>
      </c>
      <c r="X177" s="192">
        <f t="shared" si="50"/>
        <v>1</v>
      </c>
      <c r="Y177" s="192">
        <f t="shared" si="51"/>
        <v>9.7799999999999998E-2</v>
      </c>
      <c r="Z177" s="192">
        <f t="shared" si="52"/>
        <v>5.8944000000000001</v>
      </c>
      <c r="AA177" s="192">
        <f t="shared" si="53"/>
        <v>5.7965999999999998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4"/>
        <v>1817-07</v>
      </c>
      <c r="AE177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7" s="77" t="str">
        <f t="shared" si="56"/>
        <v>"C:\Program Files (x86)\AstroGrep\AstroGrep.exe" /e /r /s /spath="%USERPROFILE%\AppData\Local\Temp\OnboardLogs" /stypes="app*4008*20170507*" /stext=" 20:.+((SYSTEM_STATE.+slice.+state.+changed )|(ment ac)|(multiple cpu faults)|(system.+state.+changed )|(\[timeout)|(PRM\|1\|D)|(kpr)|(kdp)|(train st.+moving)|(\|lc)|(penalty))"</v>
      </c>
      <c r="AG177" s="1" t="str">
        <f t="shared" si="57"/>
        <v>NW</v>
      </c>
      <c r="AH177" s="81" t="str">
        <f t="shared" si="58"/>
        <v>"%USERPROFILE%\Documents\GitHub\eaglep3\Utilities\RefineRTDCRunTimes.py" --tripid 1817-07 --locoid 4008 --swversion DE.1.0.9.0 --startMP 204:978 --initTime 2017-05-07T14:19:21 --startdatetime 2017-05-07T14:21:26 --delay 1 --endMP 300:58944 --enddatetime 2017-05-07T14:34:14 --enforcementcount 0 &gt;&gt;C:\Users\stu\Documents\GitHub\eaglep3-reporting\EC\2017-05-07-refined-times.txt</v>
      </c>
      <c r="AI177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{"issue":{"subject":"","project_id":79,"tracker_id":40,"status_id":1,"priority_id":2,"assigned_to_id":23,"start_date":"2017-05-07","description":"","custom_fields":[{"id":1,"name":"Subdivision","value":"NW"},{"id":4,"name":"Milepost","value":"5.8944"},{"id":17,"name":"Train ID","value":"1817-07"},{"id":16,"name":"Locomotive ID","value":"4008"},{"id":130,"name":"Impact","value":""},{"id":150,"name":"Time of Event (Mountain Time)","value":"14:34:14"},{"id":151,"name":"Denver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60"/>
        <v>start /low /b %USERPROFILE%\Documents\GitHub\eaglep3\Utilities\DownloadLogsFromS3.py --loco 4008 --day 2017-05-07</v>
      </c>
      <c r="AN177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699</v>
      </c>
      <c r="B178" s="7">
        <v>4007</v>
      </c>
      <c r="C178" s="21" t="s">
        <v>209</v>
      </c>
      <c r="D178" s="21" t="s">
        <v>407</v>
      </c>
      <c r="E178" s="13">
        <v>42862.609907407408</v>
      </c>
      <c r="F178" s="13">
        <v>42862.611400462964</v>
      </c>
      <c r="G178" s="7">
        <v>1</v>
      </c>
      <c r="H178" s="21" t="s">
        <v>527</v>
      </c>
      <c r="I178" s="13">
        <v>42862.620740740742</v>
      </c>
      <c r="J178" s="7">
        <v>0</v>
      </c>
      <c r="K178" s="92" t="str">
        <f t="shared" si="43"/>
        <v>4007/4008</v>
      </c>
      <c r="L178" s="21" t="str">
        <f>VLOOKUP(A178,'Trips&amp;Operators'!$C$1:$G$99999,5,FALSE)</f>
        <v>HELVIE ADAM</v>
      </c>
      <c r="M178" s="6">
        <f t="shared" si="44"/>
        <v>9.340277778392192E-3</v>
      </c>
      <c r="N178" s="7">
        <f t="shared" si="45"/>
        <v>13.450000000884756</v>
      </c>
      <c r="O178" s="7"/>
      <c r="P178" s="7"/>
      <c r="Q178" s="22"/>
      <c r="R178" s="190"/>
      <c r="S178" s="196">
        <f t="shared" si="46"/>
        <v>1</v>
      </c>
      <c r="T178" s="190" t="str">
        <f t="shared" si="47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48"/>
        <v>https://d0f6bd738d7f1b3e5a7ca70fe4ff75f0.us-east-1.aws.found.io/app/kibana#/discover/Steve-Slow-Train-Analysis-(2080s-and-2083s)?_g=(refreshInterval:(display:Off,pause:!f,section:0,value:0),time:(from:'2017-05-07T13:38:16-0600',mode:absolute,to:'2017-05-07T15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8" s="192" t="str">
        <f t="shared" si="49"/>
        <v>N</v>
      </c>
      <c r="X178" s="192">
        <f t="shared" si="50"/>
        <v>1</v>
      </c>
      <c r="Y178" s="192">
        <f t="shared" si="51"/>
        <v>5.8619000000000003</v>
      </c>
      <c r="Z178" s="192">
        <f t="shared" si="52"/>
        <v>7.4700000000000003E-2</v>
      </c>
      <c r="AA178" s="192">
        <f t="shared" si="53"/>
        <v>5.7872000000000003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4"/>
        <v>1818-07</v>
      </c>
      <c r="AE178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78" s="77" t="str">
        <f t="shared" si="56"/>
        <v>"C:\Program Files (x86)\AstroGrep\AstroGrep.exe" /e /r /s /spath="%USERPROFILE%\AppData\Local\Temp\OnboardLogs" /stypes="app*4007*20170507*" /stext=" 20:.+((SYSTEM_STATE.+slice.+state.+changed )|(ment ac)|(multiple cpu faults)|(system.+state.+changed )|(\[timeout)|(PRM\|1\|D)|(kpr)|(kdp)|(train st.+moving)|(\|lc)|(penalty))"</v>
      </c>
      <c r="AG178" s="1" t="str">
        <f t="shared" si="57"/>
        <v>NW</v>
      </c>
      <c r="AH178" s="81" t="str">
        <f t="shared" si="58"/>
        <v>"%USERPROFILE%\Documents\GitHub\eaglep3\Utilities\RefineRTDCRunTimes.py" --tripid 1818-07 --locoid 4007 --swversion DE.1.0.9.0 --startMP 300:58619 --initTime 2017-05-07T14:38:16 --startdatetime 2017-05-07T14:40:25 --delay 1 --endMP 204:747 --enddatetime 2017-05-07T14:53:52 --enforcementcount 0 &gt;&gt;C:\Users\stu\Documents\GitHub\eaglep3-reporting\EC\2017-05-07-refined-times.txt</v>
      </c>
      <c r="AI178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{"issue":{"subject":"","project_id":79,"tracker_id":40,"status_id":1,"priority_id":2,"assigned_to_id":23,"start_date":"2017-05-07","description":"","custom_fields":[{"id":1,"name":"Subdivision","value":"NW"},{"id":4,"name":"Milepost","value":"0.0747"},{"id":17,"name":"Train ID","value":"1818-07"},{"id":16,"name":"Locomotive ID","value":"4007"},{"id":130,"name":"Impact","value":""},{"id":150,"name":"Time of Event (Mountain Time)","value":"14:53:52"},{"id":151,"name":"Denver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0"/>
        <v>start /low /b %USERPROFILE%\Documents\GitHub\eaglep3\Utilities\DownloadLogsFromS3.py --loco 4007 --day 2017-05-07</v>
      </c>
      <c r="AN178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20:53:52"},{"id":29,"name":"Sharepoint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708</v>
      </c>
      <c r="B179" s="7">
        <v>4008</v>
      </c>
      <c r="C179" s="21" t="s">
        <v>209</v>
      </c>
      <c r="D179" s="21" t="s">
        <v>858</v>
      </c>
      <c r="E179" s="13">
        <v>42862.637662037036</v>
      </c>
      <c r="F179" s="13">
        <v>42862.681504629632</v>
      </c>
      <c r="G179" s="7">
        <v>1</v>
      </c>
      <c r="H179" s="21" t="s">
        <v>524</v>
      </c>
      <c r="I179" s="13">
        <v>42862.69259259259</v>
      </c>
      <c r="J179" s="7">
        <v>0</v>
      </c>
      <c r="K179" s="92" t="str">
        <f t="shared" si="43"/>
        <v>4007/4008</v>
      </c>
      <c r="L179" s="21" t="str">
        <f>VLOOKUP(A179,'Trips&amp;Operators'!$C$1:$G$99999,5,FALSE)</f>
        <v>HELVIE ADAM</v>
      </c>
      <c r="M179" s="6">
        <f t="shared" si="44"/>
        <v>1.1087962957390118E-2</v>
      </c>
      <c r="N179" s="7"/>
      <c r="O179" s="7"/>
      <c r="P179" s="7">
        <f t="shared" si="45"/>
        <v>15.96666665864177</v>
      </c>
      <c r="Q179" s="22"/>
      <c r="R179" s="190" t="s">
        <v>969</v>
      </c>
      <c r="S179" s="196">
        <f t="shared" si="46"/>
        <v>1</v>
      </c>
      <c r="T179" s="190" t="str">
        <f t="shared" si="47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48"/>
        <v>https://d0f6bd738d7f1b3e5a7ca70fe4ff75f0.us-east-1.aws.found.io/app/kibana#/discover/Steve-Slow-Train-Analysis-(2080s-and-2083s)?_g=(refreshInterval:(display:Off,pause:!f,section:0,value:0),time:(from:'2017-05-07T14:18:14-0600',mode:absolute,to:'2017-05-07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9" s="192" t="str">
        <f t="shared" si="49"/>
        <v>N</v>
      </c>
      <c r="X179" s="192">
        <f t="shared" si="50"/>
        <v>1</v>
      </c>
      <c r="Y179" s="192">
        <f t="shared" si="51"/>
        <v>0.1021</v>
      </c>
      <c r="Z179" s="192">
        <f t="shared" si="52"/>
        <v>5.8929</v>
      </c>
      <c r="AA179" s="192">
        <f t="shared" si="53"/>
        <v>5.7907999999999999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4"/>
        <v>1819-07</v>
      </c>
      <c r="AE179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79" s="77" t="str">
        <f t="shared" si="56"/>
        <v>"C:\Program Files (x86)\AstroGrep\AstroGrep.exe" /e /r /s /spath="%USERPROFILE%\AppData\Local\Temp\OnboardLogs" /stypes="app*4008*20170507*" /stext=" 22:.+((SYSTEM_STATE.+slice.+state.+changed )|(ment ac)|(multiple cpu faults)|(system.+state.+changed )|(\[timeout)|(PRM\|1\|D)|(kpr)|(kdp)|(train st.+moving)|(\|lc)|(penalty))"</v>
      </c>
      <c r="AG179" s="1" t="str">
        <f t="shared" si="57"/>
        <v>NW</v>
      </c>
      <c r="AH179" s="81" t="str">
        <f t="shared" si="58"/>
        <v>"%USERPROFILE%\Documents\GitHub\eaglep3\Utilities\RefineRTDCRunTimes.py" --tripid 1819-07 --locoid 4008 --swversion DE.1.0.9.0 --startMP 204:1021 --initTime 2017-05-07T15:18:14 --startdatetime 2017-05-07T16:21:22 --delay 1 --endMP 300:58929 --enddatetime 2017-05-07T16:37:20 --enforcementcount 0 &gt;&gt;C:\Users\stu\Documents\GitHub\eaglep3-reporting\EC\2017-05-07-refined-times.txt</v>
      </c>
      <c r="AI179" s="99" t="str">
        <f t="shared" si="59"/>
        <v>echo {"issue":{"subject":"Onboard in-route failure","project_id":79,"tracker_id":40,"status_id":1,"priority_id":2,"assigned_to_id":23,"start_date":"2017-05-07","description":"","custom_fields":[{"id":1,"name":"Subdivision","value":"NW"},{"id":4,"name":"Milepost","value":"5.8929"},{"id":17,"name":"Train ID","value":"1819-07"},{"id":16,"name":"Locomotive ID","value":"4008"},{"id":130,"name":"Impact","value":""},{"id":150,"name":"Time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0"/>
        <v>start /low /b %USERPROFILE%\Documents\GitHub\eaglep3\Utilities\DownloadLogsFromS3.py --loco 4008 --day 2017-05-07</v>
      </c>
      <c r="AN179" s="154" t="str">
        <f t="shared" si="61"/>
        <v>echo {"issue":{"subject":"Onboard in-route failure","project_id":30,"tracker_id":4,"status_id":1,"priority_id":1,"assigned_to_id":10,"start_date":"2017-05-07","description":"","custom_fields":[{"id":30,"name":"Category","value":"Issue"},{"id":3,"name":"Functional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574</v>
      </c>
      <c r="B180" s="7">
        <v>4007</v>
      </c>
      <c r="C180" s="21" t="s">
        <v>209</v>
      </c>
      <c r="D180" s="21" t="s">
        <v>843</v>
      </c>
      <c r="E180" s="13">
        <v>42862.651886574073</v>
      </c>
      <c r="F180" s="13">
        <v>42862.653078703705</v>
      </c>
      <c r="G180" s="7">
        <v>0</v>
      </c>
      <c r="H180" s="21" t="s">
        <v>860</v>
      </c>
      <c r="I180" s="13">
        <v>42862.66615740741</v>
      </c>
      <c r="J180" s="7">
        <v>0</v>
      </c>
      <c r="K180" s="92" t="str">
        <f t="shared" si="43"/>
        <v>4007/4008</v>
      </c>
      <c r="L180" s="21" t="str">
        <f>VLOOKUP(A180,'Trips&amp;Operators'!$C$1:$G$99999,5,FALSE)</f>
        <v>HELVIE ADAM</v>
      </c>
      <c r="M180" s="6">
        <f t="shared" si="44"/>
        <v>1.3078703705104999E-2</v>
      </c>
      <c r="N180" s="7">
        <f t="shared" si="45"/>
        <v>18.833333335351199</v>
      </c>
      <c r="O180" s="7"/>
      <c r="P180" s="7"/>
      <c r="Q180" s="22"/>
      <c r="R180" s="190"/>
      <c r="S180" s="196">
        <f t="shared" si="46"/>
        <v>1</v>
      </c>
      <c r="T180" s="190" t="str">
        <f t="shared" si="47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48"/>
        <v>https://d0f6bd738d7f1b3e5a7ca70fe4ff75f0.us-east-1.aws.found.io/app/kibana#/discover/Steve-Slow-Train-Analysis-(2080s-and-2083s)?_g=(refreshInterval:(display:Off,pause:!f,section:0,value:0),time:(from:'2017-05-07T14:38:43-0600',mode:absolute,to:'2017-05-07T16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0" s="192" t="str">
        <f t="shared" si="49"/>
        <v>N</v>
      </c>
      <c r="X180" s="192">
        <f t="shared" si="50"/>
        <v>1</v>
      </c>
      <c r="Y180" s="192">
        <f t="shared" si="51"/>
        <v>5.8639999999999999</v>
      </c>
      <c r="Z180" s="192">
        <f t="shared" si="52"/>
        <v>7.8299999999999995E-2</v>
      </c>
      <c r="AA180" s="192">
        <f t="shared" si="53"/>
        <v>5.7857000000000003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4"/>
        <v>1820-07</v>
      </c>
      <c r="AE18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0" s="77" t="str">
        <f t="shared" si="56"/>
        <v>"C:\Program Files (x86)\AstroGrep\AstroGrep.exe" /e /r /s /spath="%USERPROFILE%\AppData\Local\Temp\OnboardLogs" /stypes="app*4007*20170507*" /stext=" 21:.+((SYSTEM_STATE.+slice.+state.+changed )|(ment ac)|(multiple cpu faults)|(system.+state.+changed )|(\[timeout)|(PRM\|1\|D)|(kpr)|(kdp)|(train st.+moving)|(\|lc)|(penalty))"</v>
      </c>
      <c r="AG180" s="1" t="str">
        <f t="shared" si="57"/>
        <v>NW</v>
      </c>
      <c r="AH180" s="81" t="str">
        <f t="shared" si="58"/>
        <v>"%USERPROFILE%\Documents\GitHub\eaglep3\Utilities\RefineRTDCRunTimes.py" --tripid 1820-07 --locoid 4007 --swversion DE.1.0.9.0 --startMP 300:58640 --initTime 2017-05-07T15:38:43 --startdatetime 2017-05-07T15:40:26 --delay 0 --endMP 204:783 --enddatetime 2017-05-07T15:59:16 --enforcementcount 0 &gt;&gt;C:\Users\stu\Documents\GitHub\eaglep3-reporting\EC\2017-05-07-refined-times.txt</v>
      </c>
      <c r="AI18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{"issue":{"subject":"","project_id":79,"tracker_id":40,"status_id":1,"priority_id":2,"assigned_to_id":23,"start_date":"2017-05-07","description":"","custom_fields":[{"id":1,"name":"Subdivision","value":"NW"},{"id":4,"name":"Milepost","value":"0.0783"},{"id":17,"name":"Train ID","value":"1820-07"},{"id":16,"name":"Locomotive ID","value":"4007"},{"id":130,"name":"Impact","value":""},{"id":150,"name":"Time of Event (Mountain Time)","value":"15:59:16"},{"id":151,"name":"Denver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0"/>
        <v>start /low /b %USERPROFILE%\Documents\GitHub\eaglep3\Utilities\DownloadLogsFromS3.py --loco 4007 --day 2017-05-07</v>
      </c>
      <c r="AN18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21:59:16"},{"id":29,"name":"Sharepoint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715</v>
      </c>
      <c r="B181" s="7">
        <v>4008</v>
      </c>
      <c r="C181" s="21" t="s">
        <v>209</v>
      </c>
      <c r="D181" s="21" t="s">
        <v>861</v>
      </c>
      <c r="E181" s="13">
        <v>42862.679502314815</v>
      </c>
      <c r="F181" s="13">
        <v>42862.681504629632</v>
      </c>
      <c r="G181" s="7">
        <v>1</v>
      </c>
      <c r="H181" s="21" t="s">
        <v>524</v>
      </c>
      <c r="I181" s="13">
        <v>42862.69259259259</v>
      </c>
      <c r="J181" s="7">
        <v>0</v>
      </c>
      <c r="K181" s="92" t="str">
        <f t="shared" si="43"/>
        <v>4007/4008</v>
      </c>
      <c r="L181" s="21" t="str">
        <f>VLOOKUP(A181,'Trips&amp;Operators'!$C$1:$G$99999,5,FALSE)</f>
        <v>HELVIE ADAM</v>
      </c>
      <c r="M181" s="6">
        <f t="shared" si="44"/>
        <v>1.1087962957390118E-2</v>
      </c>
      <c r="N181" s="7">
        <f t="shared" si="45"/>
        <v>15.96666665864177</v>
      </c>
      <c r="O181" s="7"/>
      <c r="P181" s="7"/>
      <c r="Q181" s="22"/>
      <c r="R181" s="190"/>
      <c r="S181" s="196">
        <f t="shared" si="46"/>
        <v>1</v>
      </c>
      <c r="T181" s="190" t="str">
        <f t="shared" si="47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48"/>
        <v>https://d0f6bd738d7f1b3e5a7ca70fe4ff75f0.us-east-1.aws.found.io/app/kibana#/discover/Steve-Slow-Train-Analysis-(2080s-and-2083s)?_g=(refreshInterval:(display:Off,pause:!f,section:0,value:0),time:(from:'2017-05-07T15:18:29-0600',mode:absolute,to:'2017-05-07T17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1" s="192" t="str">
        <f t="shared" si="49"/>
        <v>N</v>
      </c>
      <c r="X181" s="192">
        <f t="shared" si="50"/>
        <v>1</v>
      </c>
      <c r="Y181" s="192">
        <f t="shared" si="51"/>
        <v>0.1084</v>
      </c>
      <c r="Z181" s="192">
        <f t="shared" si="52"/>
        <v>5.8929</v>
      </c>
      <c r="AA181" s="192">
        <f t="shared" si="53"/>
        <v>5.7845000000000004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4"/>
        <v>1821-07</v>
      </c>
      <c r="AE18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1" s="77" t="str">
        <f t="shared" si="56"/>
        <v>"C:\Program Files (x86)\AstroGrep\AstroGrep.exe" /e /r /s /spath="%USERPROFILE%\AppData\Local\Temp\OnboardLogs" /stypes="app*4008*20170507*" /stext=" 22:.+((SYSTEM_STATE.+slice.+state.+changed )|(ment ac)|(multiple cpu faults)|(system.+state.+changed )|(\[timeout)|(PRM\|1\|D)|(kpr)|(kdp)|(train st.+moving)|(\|lc)|(penalty))"</v>
      </c>
      <c r="AG181" s="1" t="str">
        <f t="shared" si="57"/>
        <v>NW</v>
      </c>
      <c r="AH181" s="81" t="str">
        <f t="shared" si="58"/>
        <v>"%USERPROFILE%\Documents\GitHub\eaglep3\Utilities\RefineRTDCRunTimes.py" --tripid 1821-07 --locoid 4008 --swversion DE.1.0.9.0 --startMP 204:1084 --initTime 2017-05-07T16:18:29 --startdatetime 2017-05-07T16:21:22 --delay 1 --endMP 300:58929 --enddatetime 2017-05-07T16:37:20 --enforcementcount 0 &gt;&gt;C:\Users\stu\Documents\GitHub\eaglep3-reporting\EC\2017-05-07-refined-times.txt</v>
      </c>
      <c r="AI18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{"issue":{"subject":"","project_id":79,"tracker_id":40,"status_id":1,"priority_id":2,"assigned_to_id":23,"start_date":"2017-05-07","description":"","custom_fields":[{"id":1,"name":"Subdivision","value":"NW"},{"id":4,"name":"Milepost","value":"5.8929"},{"id":17,"name":"Train ID","value":"1821-07"},{"id":16,"name":"Locomotive ID","value":"4008"},{"id":130,"name":"Impact","value":""},{"id":150,"name":"Time of Event (Mountain Time)","value":"16:37:20"},{"id":151,"name":"Denver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0"/>
        <v>start /low /b %USERPROFILE%\Documents\GitHub\eaglep3\Utilities\DownloadLogsFromS3.py --loco 4008 --day 2017-05-07</v>
      </c>
      <c r="AN181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719</v>
      </c>
      <c r="B182" s="7">
        <v>4007</v>
      </c>
      <c r="C182" s="21" t="s">
        <v>209</v>
      </c>
      <c r="D182" s="21" t="s">
        <v>528</v>
      </c>
      <c r="E182" s="13">
        <v>42862.696099537039</v>
      </c>
      <c r="F182" s="13">
        <v>42862.697835648149</v>
      </c>
      <c r="G182" s="7">
        <v>1</v>
      </c>
      <c r="H182" s="21" t="s">
        <v>862</v>
      </c>
      <c r="I182" s="13">
        <v>42862.706435185188</v>
      </c>
      <c r="J182" s="7">
        <v>0</v>
      </c>
      <c r="K182" s="92" t="str">
        <f t="shared" si="43"/>
        <v>4007/4008</v>
      </c>
      <c r="L182" s="21" t="str">
        <f>VLOOKUP(A182,'Trips&amp;Operators'!$C$1:$G$99999,5,FALSE)</f>
        <v>HELVIE ADAM</v>
      </c>
      <c r="M182" s="6">
        <f t="shared" si="44"/>
        <v>8.599537039117422E-3</v>
      </c>
      <c r="N182" s="7">
        <f t="shared" si="45"/>
        <v>12.383333336329088</v>
      </c>
      <c r="O182" s="7"/>
      <c r="P182" s="7"/>
      <c r="Q182" s="22"/>
      <c r="R182" s="190"/>
      <c r="S182" s="196">
        <f t="shared" si="46"/>
        <v>1</v>
      </c>
      <c r="T182" s="190" t="str">
        <f t="shared" si="47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48"/>
        <v>https://d0f6bd738d7f1b3e5a7ca70fe4ff75f0.us-east-1.aws.found.io/app/kibana#/discover/Steve-Slow-Train-Analysis-(2080s-and-2083s)?_g=(refreshInterval:(display:Off,pause:!f,section:0,value:0),time:(from:'2017-05-07T15:42:23-0600',mode:absolute,to:'2017-05-07T17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2" s="192" t="str">
        <f t="shared" si="49"/>
        <v>N</v>
      </c>
      <c r="X182" s="192">
        <f t="shared" si="50"/>
        <v>1</v>
      </c>
      <c r="Y182" s="192">
        <f t="shared" si="51"/>
        <v>5.8620999999999999</v>
      </c>
      <c r="Z182" s="192">
        <f t="shared" si="52"/>
        <v>8.2000000000000003E-2</v>
      </c>
      <c r="AA182" s="192">
        <f t="shared" si="53"/>
        <v>5.7801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4"/>
        <v>1822-07</v>
      </c>
      <c r="AE18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2" s="77" t="str">
        <f t="shared" si="56"/>
        <v>"C:\Program Files (x86)\AstroGrep\AstroGrep.exe" /e /r /s /spath="%USERPROFILE%\AppData\Local\Temp\OnboardLogs" /stypes="app*4007*20170507*" /stext=" 22:.+((SYSTEM_STATE.+slice.+state.+changed )|(ment ac)|(multiple cpu faults)|(system.+state.+changed )|(\[timeout)|(PRM\|1\|D)|(kpr)|(kdp)|(train st.+moving)|(\|lc)|(penalty))"</v>
      </c>
      <c r="AG182" s="1" t="str">
        <f t="shared" si="57"/>
        <v>NW</v>
      </c>
      <c r="AH182" s="81" t="str">
        <f t="shared" si="58"/>
        <v>"%USERPROFILE%\Documents\GitHub\eaglep3\Utilities\RefineRTDCRunTimes.py" --tripid 1822-07 --locoid 4007 --swversion DE.1.0.9.0 --startMP 300:58621 --initTime 2017-05-07T16:42:23 --startdatetime 2017-05-07T16:44:53 --delay 1 --endMP 204:820 --enddatetime 2017-05-07T16:57:16 --enforcementcount 0 &gt;&gt;C:\Users\stu\Documents\GitHub\eaglep3-reporting\EC\2017-05-07-refined-times.txt</v>
      </c>
      <c r="AI18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{"issue":{"subject":"","project_id":79,"tracker_id":40,"status_id":1,"priority_id":2,"assigned_to_id":23,"start_date":"2017-05-07","description":"","custom_fields":[{"id":1,"name":"Subdivision","value":"NW"},{"id":4,"name":"Milepost","value":"0.082"},{"id":17,"name":"Train ID","value":"1822-07"},{"id":16,"name":"Locomotive ID","value":"4007"},{"id":130,"name":"Impact","value":""},{"id":150,"name":"Time of Event (Mountain Time)","value":"16:57:16"},{"id":151,"name":"Denver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0"/>
        <v>start /low /b %USERPROFILE%\Documents\GitHub\eaglep3\Utilities\DownloadLogsFromS3.py --loco 4007 --day 2017-05-07</v>
      </c>
      <c r="AN18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22:57:16"},{"id":29,"name":"Sharepoint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724</v>
      </c>
      <c r="B183" s="7">
        <v>4008</v>
      </c>
      <c r="C183" s="21" t="s">
        <v>209</v>
      </c>
      <c r="D183" s="21" t="s">
        <v>863</v>
      </c>
      <c r="E183" s="13">
        <v>42862.721886574072</v>
      </c>
      <c r="F183" s="13">
        <v>42862.723530092589</v>
      </c>
      <c r="G183" s="7">
        <v>1</v>
      </c>
      <c r="H183" s="21" t="s">
        <v>416</v>
      </c>
      <c r="I183" s="13">
        <v>42862.733912037038</v>
      </c>
      <c r="J183" s="7">
        <v>0</v>
      </c>
      <c r="K183" s="92" t="str">
        <f t="shared" si="43"/>
        <v>4007/4008</v>
      </c>
      <c r="L183" s="21" t="str">
        <f>VLOOKUP(A183,'Trips&amp;Operators'!$C$1:$G$99999,5,FALSE)</f>
        <v>HELVIE ADAM</v>
      </c>
      <c r="M183" s="6">
        <f t="shared" si="44"/>
        <v>1.0381944448454306E-2</v>
      </c>
      <c r="N183" s="7">
        <f t="shared" si="45"/>
        <v>14.9500000057742</v>
      </c>
      <c r="O183" s="7"/>
      <c r="P183" s="7"/>
      <c r="Q183" s="22"/>
      <c r="R183" s="190"/>
      <c r="S183" s="196">
        <f t="shared" si="46"/>
        <v>1</v>
      </c>
      <c r="T183" s="190" t="str">
        <f t="shared" si="47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48"/>
        <v>https://d0f6bd738d7f1b3e5a7ca70fe4ff75f0.us-east-1.aws.found.io/app/kibana#/discover/Steve-Slow-Train-Analysis-(2080s-and-2083s)?_g=(refreshInterval:(display:Off,pause:!f,section:0,value:0),time:(from:'2017-05-07T16:19:31-0600',mode:absolute,to:'2017-05-07T18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3" s="192" t="str">
        <f t="shared" si="49"/>
        <v>N</v>
      </c>
      <c r="X183" s="192">
        <f t="shared" si="50"/>
        <v>1</v>
      </c>
      <c r="Y183" s="192">
        <f t="shared" si="51"/>
        <v>0.1119</v>
      </c>
      <c r="Z183" s="192">
        <f t="shared" si="52"/>
        <v>5.8939000000000004</v>
      </c>
      <c r="AA183" s="192">
        <f t="shared" si="53"/>
        <v>5.782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4"/>
        <v>1823-07</v>
      </c>
      <c r="AE18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3" s="77" t="str">
        <f t="shared" si="56"/>
        <v>"C:\Program Files (x86)\AstroGrep\AstroGrep.exe" /e /r /s /spath="%USERPROFILE%\AppData\Local\Temp\OnboardLogs" /stypes="app*4008*20170507*" /stext=" 23:.+((SYSTEM_STATE.+slice.+state.+changed )|(ment ac)|(multiple cpu faults)|(system.+state.+changed )|(\[timeout)|(PRM\|1\|D)|(kpr)|(kdp)|(train st.+moving)|(\|lc)|(penalty))"</v>
      </c>
      <c r="AG183" s="1" t="str">
        <f t="shared" si="57"/>
        <v>NW</v>
      </c>
      <c r="AH183" s="81" t="str">
        <f t="shared" si="58"/>
        <v>"%USERPROFILE%\Documents\GitHub\eaglep3\Utilities\RefineRTDCRunTimes.py" --tripid 1823-07 --locoid 4008 --swversion DE.1.0.9.0 --startMP 204:1119 --initTime 2017-05-07T17:19:31 --startdatetime 2017-05-07T17:21:53 --delay 1 --endMP 300:58939 --enddatetime 2017-05-07T17:36:50 --enforcementcount 0 &gt;&gt;C:\Users\stu\Documents\GitHub\eaglep3-reporting\EC\2017-05-07-refined-times.txt</v>
      </c>
      <c r="AI18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{"issue":{"subject":"","project_id":79,"tracker_id":40,"status_id":1,"priority_id":2,"assigned_to_id":23,"start_date":"2017-05-07","description":"","custom_fields":[{"id":1,"name":"Subdivision","value":"NW"},{"id":4,"name":"Milepost","value":"5.8939"},{"id":17,"name":"Train ID","value":"1823-07"},{"id":16,"name":"Locomotive ID","value":"4008"},{"id":130,"name":"Impact","value":""},{"id":150,"name":"Time of Event (Mountain Time)","value":"17:36:50"},{"id":151,"name":"Denver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0"/>
        <v>start /low /b %USERPROFILE%\Documents\GitHub\eaglep3\Utilities\DownloadLogsFromS3.py --loco 4008 --day 2017-05-07</v>
      </c>
      <c r="AN183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725</v>
      </c>
      <c r="B184" s="7">
        <v>4007</v>
      </c>
      <c r="C184" s="21" t="s">
        <v>209</v>
      </c>
      <c r="D184" s="21" t="s">
        <v>407</v>
      </c>
      <c r="E184" s="13">
        <v>42862.735671296294</v>
      </c>
      <c r="F184" s="13">
        <v>42862.737013888887</v>
      </c>
      <c r="G184" s="7">
        <v>1</v>
      </c>
      <c r="H184" s="21" t="s">
        <v>862</v>
      </c>
      <c r="I184" s="13">
        <v>42862.748877314814</v>
      </c>
      <c r="J184" s="7">
        <v>0</v>
      </c>
      <c r="K184" s="92" t="str">
        <f t="shared" si="43"/>
        <v>4007/4008</v>
      </c>
      <c r="L184" s="21" t="str">
        <f>VLOOKUP(A184,'Trips&amp;Operators'!$C$1:$G$99999,5,FALSE)</f>
        <v>HELVIE ADAM</v>
      </c>
      <c r="M184" s="6">
        <f t="shared" si="44"/>
        <v>1.1863425927003846E-2</v>
      </c>
      <c r="N184" s="7">
        <f t="shared" si="45"/>
        <v>17.083333334885538</v>
      </c>
      <c r="O184" s="7"/>
      <c r="P184" s="7"/>
      <c r="Q184" s="22"/>
      <c r="R184" s="190"/>
      <c r="S184" s="196">
        <f t="shared" si="46"/>
        <v>1</v>
      </c>
      <c r="T184" s="190" t="str">
        <f t="shared" si="47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48"/>
        <v>https://d0f6bd738d7f1b3e5a7ca70fe4ff75f0.us-east-1.aws.found.io/app/kibana#/discover/Steve-Slow-Train-Analysis-(2080s-and-2083s)?_g=(refreshInterval:(display:Off,pause:!f,section:0,value:0),time:(from:'2017-05-07T16:39:22-0600',mode:absolute,to:'2017-05-07T18:58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92" t="str">
        <f t="shared" si="49"/>
        <v>N</v>
      </c>
      <c r="X184" s="192">
        <f t="shared" si="50"/>
        <v>1</v>
      </c>
      <c r="Y184" s="192">
        <f t="shared" si="51"/>
        <v>5.8619000000000003</v>
      </c>
      <c r="Z184" s="192">
        <f t="shared" si="52"/>
        <v>8.2000000000000003E-2</v>
      </c>
      <c r="AA184" s="192">
        <f t="shared" si="53"/>
        <v>5.7799000000000005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4"/>
        <v>1824-07</v>
      </c>
      <c r="AE184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4" s="77" t="str">
        <f t="shared" si="56"/>
        <v>"C:\Program Files (x86)\AstroGrep\AstroGrep.exe" /e /r /s /spath="%USERPROFILE%\AppData\Local\Temp\OnboardLogs" /stypes="app*4007*20170507*" /stext=" 23:.+((SYSTEM_STATE.+slice.+state.+changed )|(ment ac)|(multiple cpu faults)|(system.+state.+changed )|(\[timeout)|(PRM\|1\|D)|(kpr)|(kdp)|(train st.+moving)|(\|lc)|(penalty))"</v>
      </c>
      <c r="AG184" s="1" t="str">
        <f t="shared" si="57"/>
        <v>NW</v>
      </c>
      <c r="AH184" s="81" t="str">
        <f t="shared" si="58"/>
        <v>"%USERPROFILE%\Documents\GitHub\eaglep3\Utilities\RefineRTDCRunTimes.py" --tripid 1824-07 --locoid 4007 --swversion DE.1.0.9.0 --startMP 300:58619 --initTime 2017-05-07T17:39:22 --startdatetime 2017-05-07T17:41:18 --delay 1 --endMP 204:820 --enddatetime 2017-05-07T17:58:23 --enforcementcount 0 &gt;&gt;C:\Users\stu\Documents\GitHub\eaglep3-reporting\EC\2017-05-07-refined-times.txt</v>
      </c>
      <c r="AI184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{"issue":{"subject":"","project_id":79,"tracker_id":40,"status_id":1,"priority_id":2,"assigned_to_id":23,"start_date":"2017-05-07","description":"","custom_fields":[{"id":1,"name":"Subdivision","value":"NW"},{"id":4,"name":"Milepost","value":"0.082"},{"id":17,"name":"Train ID","value":"1824-07"},{"id":16,"name":"Locomotive ID","value":"4007"},{"id":130,"name":"Impact","value":""},{"id":150,"name":"Time of Event (Mountain Time)","value":"17:58:23"},{"id":151,"name":"Denver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0"/>
        <v>start /low /b %USERPROFILE%\Documents\GitHub\eaglep3\Utilities\DownloadLogsFromS3.py --loco 4007 --day 2017-05-07</v>
      </c>
      <c r="AN18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733</v>
      </c>
      <c r="B185" s="7">
        <v>4008</v>
      </c>
      <c r="C185" s="21" t="s">
        <v>209</v>
      </c>
      <c r="D185" s="21" t="s">
        <v>864</v>
      </c>
      <c r="E185" s="13">
        <v>42862.762997685182</v>
      </c>
      <c r="F185" s="13">
        <v>42862.764849537038</v>
      </c>
      <c r="G185" s="7">
        <v>1</v>
      </c>
      <c r="H185" s="21" t="s">
        <v>524</v>
      </c>
      <c r="I185" s="13">
        <v>42862.775243055556</v>
      </c>
      <c r="J185" s="7">
        <v>0</v>
      </c>
      <c r="K185" s="92" t="str">
        <f t="shared" si="43"/>
        <v>4007/4008</v>
      </c>
      <c r="L185" s="21" t="str">
        <f>VLOOKUP(A185,'Trips&amp;Operators'!$C$1:$G$99999,5,FALSE)</f>
        <v>HELVIE ADAM</v>
      </c>
      <c r="M185" s="6">
        <f t="shared" si="44"/>
        <v>1.0393518517958E-2</v>
      </c>
      <c r="N185" s="7">
        <f t="shared" si="45"/>
        <v>14.96666666585952</v>
      </c>
      <c r="O185" s="7"/>
      <c r="P185" s="7"/>
      <c r="Q185" s="22"/>
      <c r="R185" s="190"/>
      <c r="S185" s="196">
        <f t="shared" si="46"/>
        <v>1</v>
      </c>
      <c r="T185" s="190" t="str">
        <f t="shared" si="47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48"/>
        <v>https://d0f6bd738d7f1b3e5a7ca70fe4ff75f0.us-east-1.aws.found.io/app/kibana#/discover/Steve-Slow-Train-Analysis-(2080s-and-2083s)?_g=(refreshInterval:(display:Off,pause:!f,section:0,value:0),time:(from:'2017-05-07T17:18:43-0600',mode:absolute,to:'2017-05-07T19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92" t="str">
        <f t="shared" si="49"/>
        <v>N</v>
      </c>
      <c r="X185" s="192">
        <f t="shared" si="50"/>
        <v>1</v>
      </c>
      <c r="Y185" s="192">
        <f t="shared" si="51"/>
        <v>0.1116</v>
      </c>
      <c r="Z185" s="192">
        <f t="shared" si="52"/>
        <v>5.8929</v>
      </c>
      <c r="AA185" s="192">
        <f t="shared" si="53"/>
        <v>5.7812999999999999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4"/>
        <v>1825-07</v>
      </c>
      <c r="AE185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5" s="77" t="str">
        <f t="shared" si="56"/>
        <v>"C:\Program Files (x86)\AstroGrep\AstroGrep.exe" /e /r /s /spath="%USERPROFILE%\AppData\Local\Temp\OnboardLogs" /stypes="app*4008*20170508*" /stext=" 00:.+((SYSTEM_STATE.+slice.+state.+changed )|(ment ac)|(multiple cpu faults)|(system.+state.+changed )|(\[timeout)|(PRM\|1\|D)|(kpr)|(kdp)|(train st.+moving)|(\|lc)|(penalty))"</v>
      </c>
      <c r="AG185" s="1" t="str">
        <f t="shared" si="57"/>
        <v>NW</v>
      </c>
      <c r="AH185" s="81" t="str">
        <f t="shared" si="58"/>
        <v>"%USERPROFILE%\Documents\GitHub\eaglep3\Utilities\RefineRTDCRunTimes.py" --tripid 1825-07 --locoid 4008 --swversion DE.1.0.9.0 --startMP 204:1116 --initTime 2017-05-07T18:18:43 --startdatetime 2017-05-07T18:21:23 --delay 1 --endMP 300:58929 --enddatetime 2017-05-07T18:36:21 --enforcementcount 0 &gt;&gt;C:\Users\stu\Documents\GitHub\eaglep3-reporting\EC\2017-05-07-refined-times.txt</v>
      </c>
      <c r="AI185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{"issue":{"subject":"","project_id":79,"tracker_id":40,"status_id":1,"priority_id":2,"assigned_to_id":23,"start_date":"2017-05-07","description":"","custom_fields":[{"id":1,"name":"Subdivision","value":"NW"},{"id":4,"name":"Milepost","value":"5.8929"},{"id":17,"name":"Train ID","value":"1825-07"},{"id":16,"name":"Locomotive ID","value":"4008"},{"id":130,"name":"Impact","value":""},{"id":150,"name":"Time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60"/>
        <v>start /low /b %USERPROFILE%\Documents\GitHub\eaglep3\Utilities\DownloadLogsFromS3.py --loco 4008 --day 2017-05-07</v>
      </c>
      <c r="AN18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2" t="s">
        <v>736</v>
      </c>
      <c r="B186" s="7">
        <v>4007</v>
      </c>
      <c r="C186" s="21" t="s">
        <v>209</v>
      </c>
      <c r="D186" s="21" t="s">
        <v>865</v>
      </c>
      <c r="E186" s="13">
        <v>42862.77615740741</v>
      </c>
      <c r="F186" s="13">
        <v>42862.778553240743</v>
      </c>
      <c r="G186" s="7">
        <v>1</v>
      </c>
      <c r="H186" s="21" t="s">
        <v>866</v>
      </c>
      <c r="I186" s="13">
        <v>42862.789270833331</v>
      </c>
      <c r="J186" s="7">
        <v>0</v>
      </c>
      <c r="K186" s="92" t="str">
        <f t="shared" si="43"/>
        <v>4007/4008</v>
      </c>
      <c r="L186" s="21" t="str">
        <f>VLOOKUP(A186,'Trips&amp;Operators'!$C$1:$G$99999,5,FALSE)</f>
        <v>HELVIE ADAM</v>
      </c>
      <c r="M186" s="6">
        <f t="shared" si="44"/>
        <v>1.0717592587752733E-2</v>
      </c>
      <c r="N186" s="7">
        <f t="shared" si="45"/>
        <v>15.433333326363936</v>
      </c>
      <c r="O186" s="7"/>
      <c r="P186" s="7"/>
      <c r="Q186" s="22"/>
      <c r="R186" s="190"/>
      <c r="S186" s="196">
        <f t="shared" si="46"/>
        <v>1</v>
      </c>
      <c r="T186" s="190" t="str">
        <f t="shared" si="47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48"/>
        <v>https://d0f6bd738d7f1b3e5a7ca70fe4ff75f0.us-east-1.aws.found.io/app/kibana#/discover/Steve-Slow-Train-Analysis-(2080s-and-2083s)?_g=(refreshInterval:(display:Off,pause:!f,section:0,value:0),time:(from:'2017-05-07T17:37:40-0600',mode:absolute,to:'2017-05-07T19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6" s="192" t="str">
        <f t="shared" si="49"/>
        <v>N</v>
      </c>
      <c r="X186" s="192">
        <f t="shared" si="50"/>
        <v>1</v>
      </c>
      <c r="Y186" s="192">
        <f t="shared" si="51"/>
        <v>5.8625999999999996</v>
      </c>
      <c r="Z186" s="192">
        <f t="shared" si="52"/>
        <v>7.6899999999999996E-2</v>
      </c>
      <c r="AA186" s="192">
        <f t="shared" si="53"/>
        <v>5.7856999999999994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4"/>
        <v>1826-07</v>
      </c>
      <c r="AE186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6" s="77" t="str">
        <f t="shared" si="56"/>
        <v>"C:\Program Files (x86)\AstroGrep\AstroGrep.exe" /e /r /s /spath="%USERPROFILE%\AppData\Local\Temp\OnboardLogs" /stypes="app*4007*20170508*" /stext=" 00:.+((SYSTEM_STATE.+slice.+state.+changed )|(ment ac)|(multiple cpu faults)|(system.+state.+changed )|(\[timeout)|(PRM\|1\|D)|(kpr)|(kdp)|(train st.+moving)|(\|lc)|(penalty))"</v>
      </c>
      <c r="AG186" s="1" t="str">
        <f t="shared" si="57"/>
        <v>NW</v>
      </c>
      <c r="AH186" s="81" t="str">
        <f t="shared" si="58"/>
        <v>"%USERPROFILE%\Documents\GitHub\eaglep3\Utilities\RefineRTDCRunTimes.py" --tripid 1826-07 --locoid 4007 --swversion DE.1.0.9.0 --startMP 300:58626 --initTime 2017-05-07T18:37:40 --startdatetime 2017-05-07T18:41:07 --delay 1 --endMP 204:769 --enddatetime 2017-05-07T18:56:33 --enforcementcount 0 &gt;&gt;C:\Users\stu\Documents\GitHub\eaglep3-reporting\EC\2017-05-07-refined-times.txt</v>
      </c>
      <c r="AI186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{"issue":{"subject":"","project_id":79,"tracker_id":40,"status_id":1,"priority_id":2,"assigned_to_id":23,"start_date":"2017-05-07","description":"","custom_fields":[{"id":1,"name":"Subdivision","value":"NW"},{"id":4,"name":"Milepost","value":"0.0769"},{"id":17,"name":"Train ID","value":"1826-07"},{"id":16,"name":"Locomotive ID","value":"4007"},{"id":130,"name":"Impact","value":""},{"id":150,"name":"Time of Event (Mountain Time)","value":"18:56:33"},{"id":151,"name":"Denver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5" t="str">
        <f t="shared" si="60"/>
        <v>start /low /b %USERPROFILE%\Documents\GitHub\eaglep3\Utilities\DownloadLogsFromS3.py --loco 4007 --day 2017-05-07</v>
      </c>
      <c r="AN186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740</v>
      </c>
      <c r="B187" s="7">
        <v>4008</v>
      </c>
      <c r="C187" s="21" t="s">
        <v>209</v>
      </c>
      <c r="D187" s="21" t="s">
        <v>867</v>
      </c>
      <c r="E187" s="13">
        <v>42862.804409722223</v>
      </c>
      <c r="F187" s="13">
        <v>42862.806550925925</v>
      </c>
      <c r="G187" s="7">
        <v>1</v>
      </c>
      <c r="H187" s="21" t="s">
        <v>431</v>
      </c>
      <c r="I187" s="13">
        <v>42862.816979166666</v>
      </c>
      <c r="J187" s="7">
        <v>0</v>
      </c>
      <c r="K187" s="92" t="str">
        <f t="shared" si="43"/>
        <v>4007/4008</v>
      </c>
      <c r="L187" s="21" t="str">
        <f>VLOOKUP(A187,'Trips&amp;Operators'!$C$1:$G$99999,5,FALSE)</f>
        <v>HELVIE ADAM</v>
      </c>
      <c r="M187" s="6">
        <f t="shared" si="44"/>
        <v>1.0428240741021E-2</v>
      </c>
      <c r="N187" s="7">
        <f t="shared" si="45"/>
        <v>15.01666666707024</v>
      </c>
      <c r="O187" s="7"/>
      <c r="P187" s="7"/>
      <c r="Q187" s="22"/>
      <c r="R187" s="190"/>
      <c r="S187" s="196">
        <f t="shared" si="46"/>
        <v>1</v>
      </c>
      <c r="T187" s="190" t="str">
        <f t="shared" si="47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48"/>
        <v>https://d0f6bd738d7f1b3e5a7ca70fe4ff75f0.us-east-1.aws.found.io/app/kibana#/discover/Steve-Slow-Train-Analysis-(2080s-and-2083s)?_g=(refreshInterval:(display:Off,pause:!f,section:0,value:0),time:(from:'2017-05-07T18:18:21-0600',mode:absolute,to:'2017-05-07T20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7" s="192" t="str">
        <f t="shared" si="49"/>
        <v>N</v>
      </c>
      <c r="X187" s="192">
        <f t="shared" si="50"/>
        <v>1</v>
      </c>
      <c r="Y187" s="192">
        <f t="shared" si="51"/>
        <v>0.106</v>
      </c>
      <c r="Z187" s="192">
        <f t="shared" si="52"/>
        <v>5.8930999999999996</v>
      </c>
      <c r="AA187" s="192">
        <f t="shared" si="53"/>
        <v>5.7870999999999997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4"/>
        <v>1827-07</v>
      </c>
      <c r="AE187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7" s="77" t="str">
        <f t="shared" si="56"/>
        <v>"C:\Program Files (x86)\AstroGrep\AstroGrep.exe" /e /r /s /spath="%USERPROFILE%\AppData\Local\Temp\OnboardLogs" /stypes="app*4008*20170508*" /stext=" 01:.+((SYSTEM_STATE.+slice.+state.+changed )|(ment ac)|(multiple cpu faults)|(system.+state.+changed )|(\[timeout)|(PRM\|1\|D)|(kpr)|(kdp)|(train st.+moving)|(\|lc)|(penalty))"</v>
      </c>
      <c r="AG187" s="1" t="str">
        <f t="shared" si="57"/>
        <v>NW</v>
      </c>
      <c r="AH187" s="81" t="str">
        <f t="shared" si="58"/>
        <v>"%USERPROFILE%\Documents\GitHub\eaglep3\Utilities\RefineRTDCRunTimes.py" --tripid 1827-07 --locoid 4008 --swversion DE.1.0.9.0 --startMP 204:1060 --initTime 2017-05-07T19:18:21 --startdatetime 2017-05-07T19:21:26 --delay 1 --endMP 300:58931 --enddatetime 2017-05-07T19:36:27 --enforcementcount 0 &gt;&gt;C:\Users\stu\Documents\GitHub\eaglep3-reporting\EC\2017-05-07-refined-times.txt</v>
      </c>
      <c r="AI187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{"issue":{"subject":"","project_id":79,"tracker_id":40,"status_id":1,"priority_id":2,"assigned_to_id":23,"start_date":"2017-05-07","description":"","custom_fields":[{"id":1,"name":"Subdivision","value":"NW"},{"id":4,"name":"Milepost","value":"5.8931"},{"id":17,"name":"Train ID","value":"1827-07"},{"id":16,"name":"Locomotive ID","value":"4008"},{"id":130,"name":"Impact","value":""},{"id":150,"name":"Time of Event (Mountain Time)","value":"19:36:27"},{"id":151,"name":"Denver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5" t="str">
        <f t="shared" si="60"/>
        <v>start /low /b %USERPROFILE%\Documents\GitHub\eaglep3\Utilities\DownloadLogsFromS3.py --loco 4008 --day 2017-05-07</v>
      </c>
      <c r="AN18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744</v>
      </c>
      <c r="B188" s="7">
        <v>4007</v>
      </c>
      <c r="C188" s="21" t="s">
        <v>209</v>
      </c>
      <c r="D188" s="21" t="s">
        <v>868</v>
      </c>
      <c r="E188" s="13">
        <v>42862.818182870367</v>
      </c>
      <c r="F188" s="13">
        <v>42862.820289351854</v>
      </c>
      <c r="G188" s="7">
        <v>0</v>
      </c>
      <c r="H188" s="21" t="s">
        <v>504</v>
      </c>
      <c r="I188" s="13">
        <v>42862.829583333332</v>
      </c>
      <c r="J188" s="7">
        <v>0</v>
      </c>
      <c r="K188" s="92" t="str">
        <f t="shared" si="43"/>
        <v>4007/4008</v>
      </c>
      <c r="L188" s="21" t="str">
        <f>VLOOKUP(A188,'Trips&amp;Operators'!$C$1:$G$99999,5,FALSE)</f>
        <v>HELVIE ADAM</v>
      </c>
      <c r="M188" s="6">
        <f t="shared" si="44"/>
        <v>9.29398147854954E-3</v>
      </c>
      <c r="N188" s="7">
        <f t="shared" si="45"/>
        <v>13.383333329111338</v>
      </c>
      <c r="O188" s="7"/>
      <c r="P188" s="7"/>
      <c r="Q188" s="22"/>
      <c r="R188" s="190"/>
      <c r="S188" s="196">
        <f t="shared" si="46"/>
        <v>1</v>
      </c>
      <c r="T188" s="190" t="str">
        <f t="shared" si="47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48"/>
        <v>https://d0f6bd738d7f1b3e5a7ca70fe4ff75f0.us-east-1.aws.found.io/app/kibana#/discover/Steve-Slow-Train-Analysis-(2080s-and-2083s)?_g=(refreshInterval:(display:Off,pause:!f,section:0,value:0),time:(from:'2017-05-07T18:38:11-0600',mode:absolute,to:'2017-05-07T20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92" t="str">
        <f t="shared" si="49"/>
        <v>N</v>
      </c>
      <c r="X188" s="192">
        <f t="shared" si="50"/>
        <v>1</v>
      </c>
      <c r="Y188" s="192">
        <f t="shared" si="51"/>
        <v>5.8609</v>
      </c>
      <c r="Z188" s="192">
        <f t="shared" si="52"/>
        <v>7.7499999999999999E-2</v>
      </c>
      <c r="AA188" s="192">
        <f t="shared" si="53"/>
        <v>5.7834000000000003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4"/>
        <v>1828-07</v>
      </c>
      <c r="AE188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88" s="77" t="str">
        <f t="shared" si="56"/>
        <v>"C:\Program Files (x86)\AstroGrep\AstroGrep.exe" /e /r /s /spath="%USERPROFILE%\AppData\Local\Temp\OnboardLogs" /stypes="app*4007*20170508*" /stext=" 01:.+((SYSTEM_STATE.+slice.+state.+changed )|(ment ac)|(multiple cpu faults)|(system.+state.+changed )|(\[timeout)|(PRM\|1\|D)|(kpr)|(kdp)|(train st.+moving)|(\|lc)|(penalty))"</v>
      </c>
      <c r="AG188" s="1" t="str">
        <f t="shared" si="57"/>
        <v>NW</v>
      </c>
      <c r="AH188" s="81" t="str">
        <f t="shared" si="58"/>
        <v>"%USERPROFILE%\Documents\GitHub\eaglep3\Utilities\RefineRTDCRunTimes.py" --tripid 1828-07 --locoid 4007 --swversion DE.1.0.9.0 --startMP 300:58609 --initTime 2017-05-07T19:38:11 --startdatetime 2017-05-07T19:41:13 --delay 0 --endMP 204:775 --enddatetime 2017-05-07T19:54:36 --enforcementcount 0 &gt;&gt;C:\Users\stu\Documents\GitHub\eaglep3-reporting\EC\2017-05-07-refined-times.txt</v>
      </c>
      <c r="AI188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{"issue":{"subject":"","project_id":79,"tracker_id":40,"status_id":1,"priority_id":2,"assigned_to_id":23,"start_date":"2017-05-07","description":"","custom_fields":[{"id":1,"name":"Subdivision","value":"NW"},{"id":4,"name":"Milepost","value":"0.0775"},{"id":17,"name":"Train ID","value":"1828-07"},{"id":16,"name":"Locomotive ID","value":"4007"},{"id":130,"name":"Impact","value":""},{"id":150,"name":"Time of Event (Mountain Time)","value":"19:54:36"},{"id":151,"name":"Denver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5" t="str">
        <f t="shared" si="60"/>
        <v>start /low /b %USERPROFILE%\Documents\GitHub\eaglep3\Utilities\DownloadLogsFromS3.py --loco 4007 --day 2017-05-07</v>
      </c>
      <c r="AN188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750</v>
      </c>
      <c r="B189" s="7">
        <v>4008</v>
      </c>
      <c r="C189" s="21" t="s">
        <v>209</v>
      </c>
      <c r="D189" s="21" t="s">
        <v>869</v>
      </c>
      <c r="E189" s="13">
        <v>42862.847025462965</v>
      </c>
      <c r="F189" s="13">
        <v>42862.848344907405</v>
      </c>
      <c r="G189" s="7">
        <v>1</v>
      </c>
      <c r="H189" s="21" t="s">
        <v>431</v>
      </c>
      <c r="I189" s="13">
        <v>42862.85796296296</v>
      </c>
      <c r="J189" s="7">
        <v>0</v>
      </c>
      <c r="K189" s="92" t="str">
        <f t="shared" si="43"/>
        <v>4007/4008</v>
      </c>
      <c r="L189" s="21" t="str">
        <f>VLOOKUP(A189,'Trips&amp;Operators'!$C$1:$G$99999,5,FALSE)</f>
        <v>HELVIE ADAM</v>
      </c>
      <c r="M189" s="6">
        <f t="shared" si="44"/>
        <v>9.6180555556202307E-3</v>
      </c>
      <c r="N189" s="7">
        <f t="shared" si="45"/>
        <v>13.850000000093132</v>
      </c>
      <c r="O189" s="7"/>
      <c r="P189" s="7"/>
      <c r="Q189" s="22"/>
      <c r="R189" s="190"/>
      <c r="S189" s="196">
        <f t="shared" si="46"/>
        <v>1</v>
      </c>
      <c r="T189" s="190" t="str">
        <f t="shared" si="47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48"/>
        <v>https://d0f6bd738d7f1b3e5a7ca70fe4ff75f0.us-east-1.aws.found.io/app/kibana#/discover/Steve-Slow-Train-Analysis-(2080s-and-2083s)?_g=(refreshInterval:(display:Off,pause:!f,section:0,value:0),time:(from:'2017-05-07T19:19:43-0600',mode:absolute,to:'2017-05-07T21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92" t="str">
        <f t="shared" si="49"/>
        <v>N</v>
      </c>
      <c r="X189" s="192">
        <f t="shared" si="50"/>
        <v>1</v>
      </c>
      <c r="Y189" s="192">
        <f t="shared" si="51"/>
        <v>0.1076</v>
      </c>
      <c r="Z189" s="192">
        <f t="shared" si="52"/>
        <v>5.8930999999999996</v>
      </c>
      <c r="AA189" s="192">
        <f t="shared" si="53"/>
        <v>5.7854999999999999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4"/>
        <v>1829-07</v>
      </c>
      <c r="AE189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89" s="77" t="str">
        <f t="shared" si="56"/>
        <v>"C:\Program Files (x86)\AstroGrep\AstroGrep.exe" /e /r /s /spath="%USERPROFILE%\AppData\Local\Temp\OnboardLogs" /stypes="app*4008*20170508*" /stext=" 02:.+((SYSTEM_STATE.+slice.+state.+changed )|(ment ac)|(multiple cpu faults)|(system.+state.+changed )|(\[timeout)|(PRM\|1\|D)|(kpr)|(kdp)|(train st.+moving)|(\|lc)|(penalty))"</v>
      </c>
      <c r="AG189" s="1" t="str">
        <f t="shared" si="57"/>
        <v>NW</v>
      </c>
      <c r="AH189" s="81" t="str">
        <f t="shared" si="58"/>
        <v>"%USERPROFILE%\Documents\GitHub\eaglep3\Utilities\RefineRTDCRunTimes.py" --tripid 1829-07 --locoid 4008 --swversion DE.1.0.9.0 --startMP 204:1076 --initTime 2017-05-07T20:19:43 --startdatetime 2017-05-07T20:21:37 --delay 1 --endMP 300:58931 --enddatetime 2017-05-07T20:35:28 --enforcementcount 0 &gt;&gt;C:\Users\stu\Documents\GitHub\eaglep3-reporting\EC\2017-05-07-refined-times.txt</v>
      </c>
      <c r="AI189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{"issue":{"subject":"","project_id":79,"tracker_id":40,"status_id":1,"priority_id":2,"assigned_to_id":23,"start_date":"2017-05-07","description":"","custom_fields":[{"id":1,"name":"Subdivision","value":"NW"},{"id":4,"name":"Milepost","value":"5.8931"},{"id":17,"name":"Train ID","value":"1829-07"},{"id":16,"name":"Locomotive ID","value":"4008"},{"id":130,"name":"Impact","value":""},{"id":150,"name":"Time of Event (Mountain Time)","value":"20:35:28"},{"id":151,"name":"Denver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0"/>
        <v>start /low /b %USERPROFILE%\Documents\GitHub\eaglep3\Utilities\DownloadLogsFromS3.py --loco 4008 --day 2017-05-07</v>
      </c>
      <c r="AN18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752</v>
      </c>
      <c r="B190" s="7">
        <v>4007</v>
      </c>
      <c r="C190" s="21" t="s">
        <v>209</v>
      </c>
      <c r="D190" s="21" t="s">
        <v>528</v>
      </c>
      <c r="E190" s="13">
        <v>42862.858796296299</v>
      </c>
      <c r="F190" s="13">
        <v>42862.861898148149</v>
      </c>
      <c r="G190" s="7">
        <v>0</v>
      </c>
      <c r="H190" s="21" t="s">
        <v>870</v>
      </c>
      <c r="I190" s="13">
        <v>42862.871180555558</v>
      </c>
      <c r="J190" s="7">
        <v>0</v>
      </c>
      <c r="K190" s="92" t="str">
        <f t="shared" si="43"/>
        <v>4007/4008</v>
      </c>
      <c r="L190" s="21" t="str">
        <f>VLOOKUP(A190,'Trips&amp;Operators'!$C$1:$G$99999,5,FALSE)</f>
        <v>HELVIE ADAM</v>
      </c>
      <c r="M190" s="6">
        <f t="shared" si="44"/>
        <v>9.2824074090458453E-3</v>
      </c>
      <c r="N190" s="7">
        <f t="shared" si="45"/>
        <v>13.366666669026017</v>
      </c>
      <c r="O190" s="7"/>
      <c r="P190" s="7"/>
      <c r="Q190" s="22"/>
      <c r="R190" s="190"/>
      <c r="S190" s="196">
        <f t="shared" si="46"/>
        <v>1</v>
      </c>
      <c r="T190" s="190" t="str">
        <f t="shared" si="47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48"/>
        <v>https://d0f6bd738d7f1b3e5a7ca70fe4ff75f0.us-east-1.aws.found.io/app/kibana#/discover/Steve-Slow-Train-Analysis-(2080s-and-2083s)?_g=(refreshInterval:(display:Off,pause:!f,section:0,value:0),time:(from:'2017-05-07T19:36:40-0600',mode:absolute,to:'2017-05-07T21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0" s="192" t="str">
        <f t="shared" si="49"/>
        <v>N</v>
      </c>
      <c r="X190" s="192">
        <f t="shared" si="50"/>
        <v>1</v>
      </c>
      <c r="Y190" s="192">
        <f t="shared" si="51"/>
        <v>5.8620999999999999</v>
      </c>
      <c r="Z190" s="192">
        <f t="shared" si="52"/>
        <v>7.9699999999999993E-2</v>
      </c>
      <c r="AA190" s="192">
        <f t="shared" si="53"/>
        <v>5.7824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4"/>
        <v>1830-07</v>
      </c>
      <c r="AE190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90" s="77" t="str">
        <f t="shared" si="56"/>
        <v>"C:\Program Files (x86)\AstroGrep\AstroGrep.exe" /e /r /s /spath="%USERPROFILE%\AppData\Local\Temp\OnboardLogs" /stypes="app*4007*20170508*" /stext=" 02:.+((SYSTEM_STATE.+slice.+state.+changed )|(ment ac)|(multiple cpu faults)|(system.+state.+changed )|(\[timeout)|(PRM\|1\|D)|(kpr)|(kdp)|(train st.+moving)|(\|lc)|(penalty))"</v>
      </c>
      <c r="AG190" s="1" t="str">
        <f t="shared" si="57"/>
        <v>NW</v>
      </c>
      <c r="AH190" s="81" t="str">
        <f t="shared" si="58"/>
        <v>"%USERPROFILE%\Documents\GitHub\eaglep3\Utilities\RefineRTDCRunTimes.py" --tripid 1830-07 --locoid 4007 --swversion DE.1.0.9.0 --startMP 300:58621 --initTime 2017-05-07T20:36:40 --startdatetime 2017-05-07T20:41:08 --delay 0 --endMP 204:797 --enddatetime 2017-05-07T20:54:30 --enforcementcount 0 &gt;&gt;C:\Users\stu\Documents\GitHub\eaglep3-reporting\EC\2017-05-07-refined-times.txt</v>
      </c>
      <c r="AI190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{"issue":{"subject":"","project_id":79,"tracker_id":40,"status_id":1,"priority_id":2,"assigned_to_id":23,"start_date":"2017-05-07","description":"","custom_fields":[{"id":1,"name":"Subdivision","value":"NW"},{"id":4,"name":"Milepost","value":"0.0797"},{"id":17,"name":"Train ID","value":"1830-07"},{"id":16,"name":"Locomotive ID","value":"4007"},{"id":130,"name":"Impact","value":""},{"id":150,"name":"Time of Event (Mountain Time)","value":"20:54:30"},{"id":151,"name":"Denver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0"/>
        <v>start /low /b %USERPROFILE%\Documents\GitHub\eaglep3\Utilities\DownloadLogsFromS3.py --loco 4007 --day 2017-05-07</v>
      </c>
      <c r="AN190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757</v>
      </c>
      <c r="B191" s="7">
        <v>4008</v>
      </c>
      <c r="C191" s="21" t="s">
        <v>209</v>
      </c>
      <c r="D191" s="21" t="s">
        <v>871</v>
      </c>
      <c r="E191" s="13">
        <v>42862.889363425929</v>
      </c>
      <c r="F191" s="13">
        <v>42862.890706018516</v>
      </c>
      <c r="G191" s="7">
        <v>1</v>
      </c>
      <c r="H191" s="21" t="s">
        <v>416</v>
      </c>
      <c r="I191" s="13">
        <v>42862.901446759257</v>
      </c>
      <c r="J191" s="7">
        <v>0</v>
      </c>
      <c r="K191" s="92" t="str">
        <f t="shared" si="43"/>
        <v>4007/4008</v>
      </c>
      <c r="L191" s="21" t="str">
        <f>VLOOKUP(A191,'Trips&amp;Operators'!$C$1:$G$99999,5,FALSE)</f>
        <v>HELVIE ADAM</v>
      </c>
      <c r="M191" s="6">
        <f t="shared" si="44"/>
        <v>1.0740740741312038E-2</v>
      </c>
      <c r="N191" s="7">
        <f t="shared" si="45"/>
        <v>15.466666667489335</v>
      </c>
      <c r="O191" s="7"/>
      <c r="P191" s="7"/>
      <c r="Q191" s="22"/>
      <c r="R191" s="190"/>
      <c r="S191" s="196">
        <f t="shared" si="46"/>
        <v>1</v>
      </c>
      <c r="T191" s="190" t="str">
        <f t="shared" si="47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48"/>
        <v>https://d0f6bd738d7f1b3e5a7ca70fe4ff75f0.us-east-1.aws.found.io/app/kibana#/discover/Steve-Slow-Train-Analysis-(2080s-and-2083s)?_g=(refreshInterval:(display:Off,pause:!f,section:0,value:0),time:(from:'2017-05-07T20:20:41-0600',mode:absolute,to:'2017-05-07T22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1" s="192" t="str">
        <f t="shared" si="49"/>
        <v>N</v>
      </c>
      <c r="X191" s="192">
        <f t="shared" si="50"/>
        <v>1</v>
      </c>
      <c r="Y191" s="192">
        <f t="shared" si="51"/>
        <v>0.10829999999999999</v>
      </c>
      <c r="Z191" s="192">
        <f t="shared" si="52"/>
        <v>5.8939000000000004</v>
      </c>
      <c r="AA191" s="192">
        <f t="shared" si="53"/>
        <v>5.7856000000000005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4"/>
        <v>1831-07</v>
      </c>
      <c r="AE191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91" s="77" t="str">
        <f t="shared" si="56"/>
        <v>"C:\Program Files (x86)\AstroGrep\AstroGrep.exe" /e /r /s /spath="%USERPROFILE%\AppData\Local\Temp\OnboardLogs" /stypes="app*4008*20170508*" /stext=" 03:.+((SYSTEM_STATE.+slice.+state.+changed )|(ment ac)|(multiple cpu faults)|(system.+state.+changed )|(\[timeout)|(PRM\|1\|D)|(kpr)|(kdp)|(train st.+moving)|(\|lc)|(penalty))"</v>
      </c>
      <c r="AG191" s="1" t="str">
        <f t="shared" si="57"/>
        <v>NW</v>
      </c>
      <c r="AH191" s="81" t="str">
        <f t="shared" si="58"/>
        <v>"%USERPROFILE%\Documents\GitHub\eaglep3\Utilities\RefineRTDCRunTimes.py" --tripid 1831-07 --locoid 4008 --swversion DE.1.0.9.0 --startMP 204:1083 --initTime 2017-05-07T21:20:41 --startdatetime 2017-05-07T21:22:37 --delay 1 --endMP 300:58939 --enddatetime 2017-05-07T21:38:05 --enforcementcount 0 &gt;&gt;C:\Users\stu\Documents\GitHub\eaglep3-reporting\EC\2017-05-07-refined-times.txt</v>
      </c>
      <c r="AI191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{"issue":{"subject":"","project_id":79,"tracker_id":40,"status_id":1,"priority_id":2,"assigned_to_id":23,"start_date":"2017-05-07","description":"","custom_fields":[{"id":1,"name":"Subdivision","value":"NW"},{"id":4,"name":"Milepost","value":"5.8939"},{"id":17,"name":"Train ID","value":"1831-07"},{"id":16,"name":"Locomotive ID","value":"4008"},{"id":130,"name":"Impact","value":""},{"id":150,"name":"Time of Event (Mountain Time)","value":"21:38:05"},{"id":151,"name":"Denver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0"/>
        <v>start /low /b %USERPROFILE%\Documents\GitHub\eaglep3\Utilities\DownloadLogsFromS3.py --loco 4008 --day 2017-05-07</v>
      </c>
      <c r="AN19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760</v>
      </c>
      <c r="B192" s="7">
        <v>4007</v>
      </c>
      <c r="C192" s="21" t="s">
        <v>209</v>
      </c>
      <c r="D192" s="21" t="s">
        <v>528</v>
      </c>
      <c r="E192" s="13">
        <v>42862.902372685188</v>
      </c>
      <c r="F192" s="13">
        <v>42862.904351851852</v>
      </c>
      <c r="G192" s="7">
        <v>1</v>
      </c>
      <c r="H192" s="21" t="s">
        <v>872</v>
      </c>
      <c r="I192" s="13">
        <v>42862.913298611114</v>
      </c>
      <c r="J192" s="7">
        <v>0</v>
      </c>
      <c r="K192" s="92" t="str">
        <f t="shared" si="43"/>
        <v>4007/4008</v>
      </c>
      <c r="L192" s="21" t="str">
        <f>VLOOKUP(A192,'Trips&amp;Operators'!$C$1:$G$99999,5,FALSE)</f>
        <v>HELVIE ADAM</v>
      </c>
      <c r="M192" s="6">
        <f t="shared" si="44"/>
        <v>8.9467592624714598E-3</v>
      </c>
      <c r="N192" s="7">
        <f t="shared" si="45"/>
        <v>12.883333337958902</v>
      </c>
      <c r="O192" s="7"/>
      <c r="P192" s="7"/>
      <c r="Q192" s="22"/>
      <c r="R192" s="190"/>
      <c r="S192" s="196">
        <f t="shared" si="46"/>
        <v>1</v>
      </c>
      <c r="T192" s="190" t="str">
        <f t="shared" si="47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48"/>
        <v>https://d0f6bd738d7f1b3e5a7ca70fe4ff75f0.us-east-1.aws.found.io/app/kibana#/discover/Steve-Slow-Train-Analysis-(2080s-and-2083s)?_g=(refreshInterval:(display:Off,pause:!f,section:0,value:0),time:(from:'2017-05-07T20:39:25-0600',mode:absolute,to:'2017-05-07T22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92" t="str">
        <f t="shared" si="49"/>
        <v>N</v>
      </c>
      <c r="X192" s="192">
        <f t="shared" si="50"/>
        <v>1</v>
      </c>
      <c r="Y192" s="192">
        <f t="shared" si="51"/>
        <v>5.8620999999999999</v>
      </c>
      <c r="Z192" s="192">
        <f t="shared" si="52"/>
        <v>7.6600000000000001E-2</v>
      </c>
      <c r="AA192" s="192">
        <f t="shared" si="53"/>
        <v>5.7854999999999999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4"/>
        <v>1832-07</v>
      </c>
      <c r="AE192" s="80" t="str">
        <f t="shared" si="55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192" s="77" t="str">
        <f t="shared" si="56"/>
        <v>"C:\Program Files (x86)\AstroGrep\AstroGrep.exe" /e /r /s /spath="%USERPROFILE%\AppData\Local\Temp\OnboardLogs" /stypes="app*4007*20170508*" /stext=" 03:.+((SYSTEM_STATE.+slice.+state.+changed )|(ment ac)|(multiple cpu faults)|(system.+state.+changed )|(\[timeout)|(PRM\|1\|D)|(kpr)|(kdp)|(train st.+moving)|(\|lc)|(penalty))"</v>
      </c>
      <c r="AG192" s="1" t="str">
        <f t="shared" si="57"/>
        <v>NW</v>
      </c>
      <c r="AH192" s="81" t="str">
        <f t="shared" si="58"/>
        <v>"%USERPROFILE%\Documents\GitHub\eaglep3\Utilities\RefineRTDCRunTimes.py" --tripid 1832-07 --locoid 4007 --swversion DE.1.0.9.0 --startMP 300:58621 --initTime 2017-05-07T21:39:25 --startdatetime 2017-05-07T21:42:16 --delay 1 --endMP 204:766 --enddatetime 2017-05-07T21:55:09 --enforcementcount 0 &gt;&gt;C:\Users\stu\Documents\GitHub\eaglep3-reporting\EC\2017-05-07-refined-times.txt</v>
      </c>
      <c r="AI192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{"issue":{"subject":"","project_id":79,"tracker_id":40,"status_id":1,"priority_id":2,"assigned_to_id":23,"start_date":"2017-05-07","description":"","custom_fields":[{"id":1,"name":"Subdivision","value":"NW"},{"id":4,"name":"Milepost","value":"0.0766"},{"id":17,"name":"Train ID","value":"1832-07"},{"id":16,"name":"Locomotive ID","value":"4007"},{"id":130,"name":"Impact","value":""},{"id":150,"name":"Time of Event (Mountain Time)","value":"21:55:09"},{"id":151,"name":"Denver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60"/>
        <v>start /low /b %USERPROFILE%\Documents\GitHub\eaglep3\Utilities\DownloadLogsFromS3.py --loco 4007 --day 2017-05-07</v>
      </c>
      <c r="AN192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03:55:09"},{"id":29,"name":"Sharepoint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763</v>
      </c>
      <c r="B193" s="7">
        <v>4008</v>
      </c>
      <c r="C193" s="21" t="s">
        <v>209</v>
      </c>
      <c r="D193" s="21" t="s">
        <v>873</v>
      </c>
      <c r="E193" s="13">
        <v>42862.929236111115</v>
      </c>
      <c r="F193" s="13">
        <v>42862.931469907409</v>
      </c>
      <c r="G193" s="7">
        <v>1</v>
      </c>
      <c r="H193" s="21" t="s">
        <v>525</v>
      </c>
      <c r="I193" s="13">
        <v>42862.94127314815</v>
      </c>
      <c r="J193" s="7">
        <v>0</v>
      </c>
      <c r="K193" s="92" t="str">
        <f t="shared" si="43"/>
        <v>4007/4008</v>
      </c>
      <c r="L193" s="21" t="str">
        <f>VLOOKUP(A193,'Trips&amp;Operators'!$C$1:$G$99999,5,FALSE)</f>
        <v>HELVIE ADAM</v>
      </c>
      <c r="M193" s="6">
        <f t="shared" si="44"/>
        <v>9.8032407404389232E-3</v>
      </c>
      <c r="N193" s="7">
        <f t="shared" si="45"/>
        <v>14.116666666232049</v>
      </c>
      <c r="O193" s="7"/>
      <c r="P193" s="7"/>
      <c r="Q193" s="22"/>
      <c r="R193" s="190"/>
      <c r="S193" s="196">
        <f t="shared" si="46"/>
        <v>1</v>
      </c>
      <c r="T193" s="190" t="str">
        <f t="shared" si="47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48"/>
        <v>https://d0f6bd738d7f1b3e5a7ca70fe4ff75f0.us-east-1.aws.found.io/app/kibana#/discover/Steve-Slow-Train-Analysis-(2080s-and-2083s)?_g=(refreshInterval:(display:Off,pause:!f,section:0,value:0),time:(from:'2017-05-07T21:18:06-0600',mode:absolute,to:'2017-05-07T23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92" t="str">
        <f t="shared" si="49"/>
        <v>N</v>
      </c>
      <c r="X193" s="192">
        <f t="shared" si="50"/>
        <v>1</v>
      </c>
      <c r="Y193" s="192">
        <f t="shared" si="51"/>
        <v>0.1055</v>
      </c>
      <c r="Z193" s="192">
        <f t="shared" si="52"/>
        <v>5.8935000000000004</v>
      </c>
      <c r="AA193" s="192">
        <f t="shared" si="53"/>
        <v>5.7880000000000003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4"/>
        <v>1833-07</v>
      </c>
      <c r="AE193" s="80" t="str">
        <f t="shared" si="55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193" s="77" t="str">
        <f t="shared" si="56"/>
        <v>"C:\Program Files (x86)\AstroGrep\AstroGrep.exe" /e /r /s /spath="%USERPROFILE%\AppData\Local\Temp\OnboardLogs" /stypes="app*4008*20170508*" /stext=" 04:.+((SYSTEM_STATE.+slice.+state.+changed )|(ment ac)|(multiple cpu faults)|(system.+state.+changed )|(\[timeout)|(PRM\|1\|D)|(kpr)|(kdp)|(train st.+moving)|(\|lc)|(penalty))"</v>
      </c>
      <c r="AG193" s="1" t="str">
        <f t="shared" si="57"/>
        <v>NW</v>
      </c>
      <c r="AH193" s="81" t="str">
        <f t="shared" si="58"/>
        <v>"%USERPROFILE%\Documents\GitHub\eaglep3\Utilities\RefineRTDCRunTimes.py" --tripid 1833-07 --locoid 4008 --swversion DE.1.0.9.0 --startMP 204:1055 --initTime 2017-05-07T22:18:06 --startdatetime 2017-05-07T22:21:19 --delay 1 --endMP 300:58935 --enddatetime 2017-05-07T22:35:26 --enforcementcount 0 &gt;&gt;C:\Users\stu\Documents\GitHub\eaglep3-reporting\EC\2017-05-07-refined-times.txt</v>
      </c>
      <c r="AI193" s="99" t="str">
        <f t="shared" si="59"/>
        <v>echo {"issue":{"subject":"","project_id":79,"tracker_id":40,"status_id":1,"priority_id":2,"assigned_to_id":23,"start_date":"2017-05-07","description":"","custom_fields":[{"id":1,"name":"Subdivision","value":"NW"},{"id":4,"name":"Milepost","value":"5.8935"},{"id":17,"name":"Train ID","value":"1833-07"},{"id":16,"name":"Locomotive ID","value":"4008"},{"id":130,"name":"Impact","value":""},{"id":150,"name":"Time of Event (Mountain Time)","value":"22:35:26"},{"id":151,"name":"Denver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0"/>
        <v>start /low /b %USERPROFILE%\Documents\GitHub\eaglep3\Utilities\DownloadLogsFromS3.py --loco 4008 --day 2017-05-07</v>
      </c>
      <c r="AN193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04:35:26"},{"id":29,"name":"Sharepoint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598</v>
      </c>
      <c r="B194" s="7">
        <v>4005</v>
      </c>
      <c r="C194" s="21" t="s">
        <v>209</v>
      </c>
      <c r="D194" s="21" t="s">
        <v>912</v>
      </c>
      <c r="E194" s="13">
        <v>42862.123252314814</v>
      </c>
      <c r="F194" s="13">
        <v>42862.126539351855</v>
      </c>
      <c r="G194" s="7">
        <v>4</v>
      </c>
      <c r="H194" s="21" t="s">
        <v>394</v>
      </c>
      <c r="I194" s="13">
        <v>42862.13175925926</v>
      </c>
      <c r="J194" s="7">
        <v>0</v>
      </c>
      <c r="K194" s="92" t="str">
        <f t="shared" si="43"/>
        <v>4005/4006</v>
      </c>
      <c r="L194" s="21" t="str">
        <f>VLOOKUP(A194,'Trips&amp;Operators'!$C$1:$G$99999,5,FALSE)</f>
        <v>SANTIZO D. EDY</v>
      </c>
      <c r="M194" s="6">
        <f t="shared" si="44"/>
        <v>5.2199074052623473E-3</v>
      </c>
      <c r="N194" s="7">
        <f t="shared" si="45"/>
        <v>7.5166666635777801</v>
      </c>
      <c r="O194" s="7"/>
      <c r="P194" s="7"/>
      <c r="Q194" s="22"/>
      <c r="R194" s="190"/>
      <c r="S194" s="196">
        <f t="shared" si="46"/>
        <v>1</v>
      </c>
      <c r="T194" s="190" t="str">
        <f t="shared" si="47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48"/>
        <v>https://d0f6bd738d7f1b3e5a7ca70fe4ff75f0.us-east-1.aws.found.io/app/kibana#/discover/Steve-Slow-Train-Analysis-(2080s-and-2083s)?_g=(refreshInterval:(display:Off,pause:!f,section:0,value:0),time:(from:'2017-05-07T01:57:29-0600',mode:absolute,to:'2017-05-07T04:09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2" t="str">
        <f t="shared" si="49"/>
        <v>Y</v>
      </c>
      <c r="X194" s="192">
        <f t="shared" si="50"/>
        <v>-1531</v>
      </c>
      <c r="Y194" s="192">
        <f t="shared" si="51"/>
        <v>2.0070000000000001</v>
      </c>
      <c r="Z194" s="192">
        <f t="shared" si="52"/>
        <v>1.61E-2</v>
      </c>
      <c r="AA194" s="192">
        <f t="shared" si="53"/>
        <v>1.9909000000000001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4"/>
        <v>0302-07</v>
      </c>
      <c r="AE194" s="80" t="str">
        <f t="shared" si="55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194" s="77" t="str">
        <f t="shared" si="56"/>
        <v>"C:\Program Files (x86)\AstroGrep\AstroGrep.exe" /e /r /s /spath="%USERPROFILE%\AppData\Local\Temp\OnboardLogs" /stypes="app*4005*20170507*" /stext=" 09:.+((SYSTEM_STATE.+slice.+state.+changed )|(ment ac)|(multiple cpu faults)|(system.+state.+changed )|(\[timeout)|(PRM\|1\|D)|(kpr)|(kdp)|(train st.+moving)|(\|lc)|(penalty))"</v>
      </c>
      <c r="AG194" s="1" t="str">
        <f t="shared" si="57"/>
        <v>Other</v>
      </c>
      <c r="AH194" s="81" t="str">
        <f t="shared" si="58"/>
        <v>"%USERPROFILE%\Documents\GitHub\eaglep3\Utilities\RefineRTDCRunTimes.py" --tripid 302-07 --locoid 4005 --swversion DE.1.0.9.0 --startMP 300:20070 --initTime 2017-05-07T02:57:29 --startdatetime 2017-05-07T03:02:13 --delay 4 --endMP 204:161 --enddatetime 2017-05-07T03:09:44 --enforcementcount 0 &gt;&gt;C:\Users\stu\Documents\GitHub\eaglep3-reporting\EC\2017-05-07-refined-times.txt</v>
      </c>
      <c r="AI194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{"issue":{"subject":"","project_id":79,"tracker_id":40,"status_id":1,"priority_id":2,"assigned_to_id":23,"start_date":"2017-05-07","description":"","custom_fields":[{"id":1,"name":"Subdivision","value":"Other"},{"id":4,"name":"Milepost","value":"0.0161"},{"id":17,"name":"Train ID","value":"302-07"},{"id":16,"name":"Locomotive ID","value":"4005"},{"id":130,"name":"Impact","value":""},{"id":150,"name":"Time of Event (Mountain Time)","value":"03:09:44"},{"id":151,"name":"Denver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60"/>
        <v>start /low /b %USERPROFILE%\Documents\GitHub\eaglep3\Utilities\DownloadLogsFromS3.py --loco 4005 --day 2017-05-07</v>
      </c>
      <c r="AN194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09:09:44"},{"id":29,"name":"Sharepoint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737</v>
      </c>
      <c r="B195" s="7">
        <v>4026</v>
      </c>
      <c r="C195" s="21" t="s">
        <v>209</v>
      </c>
      <c r="D195" s="21" t="s">
        <v>913</v>
      </c>
      <c r="E195" s="13">
        <v>42862.781493055554</v>
      </c>
      <c r="F195" s="13">
        <v>42862.789594907408</v>
      </c>
      <c r="G195" s="7">
        <v>1</v>
      </c>
      <c r="H195" s="21" t="s">
        <v>914</v>
      </c>
      <c r="I195" s="13">
        <v>42862.797569444447</v>
      </c>
      <c r="J195" s="7">
        <v>0</v>
      </c>
      <c r="K195" s="92" t="str">
        <f t="shared" si="43"/>
        <v>4025/4026</v>
      </c>
      <c r="L195" s="21" t="str">
        <f>VLOOKUP(A195,'Trips&amp;Operators'!$C$1:$G$99999,5,FALSE)</f>
        <v>SAFIEF AEIMEN</v>
      </c>
      <c r="M195" s="6">
        <f t="shared" si="44"/>
        <v>7.9745370385353453E-3</v>
      </c>
      <c r="N195" s="7">
        <f t="shared" si="45"/>
        <v>11.483333335490897</v>
      </c>
      <c r="O195" s="7"/>
      <c r="P195" s="7"/>
      <c r="Q195" s="22"/>
      <c r="R195" s="190"/>
      <c r="S195" s="196">
        <f t="shared" si="46"/>
        <v>1</v>
      </c>
      <c r="T195" s="190" t="str">
        <f t="shared" si="47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48"/>
        <v>https://d0f6bd738d7f1b3e5a7ca70fe4ff75f0.us-east-1.aws.found.io/app/kibana#/discover/Steve-Slow-Train-Analysis-(2080s-and-2083s)?_g=(refreshInterval:(display:Off,pause:!f,section:0,value:0),time:(from:'2017-05-07T17:45:21-0600',mode:absolute,to:'2017-05-07T20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192" t="str">
        <f t="shared" si="49"/>
        <v>Y</v>
      </c>
      <c r="X195" s="192">
        <f t="shared" si="50"/>
        <v>1</v>
      </c>
      <c r="Y195" s="192">
        <f t="shared" si="51"/>
        <v>0.1348</v>
      </c>
      <c r="Z195" s="192">
        <f t="shared" si="52"/>
        <v>2.3304</v>
      </c>
      <c r="AA195" s="192">
        <f t="shared" si="53"/>
        <v>2.1956000000000002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4"/>
        <v>0303-07</v>
      </c>
      <c r="AE195" s="80" t="str">
        <f t="shared" si="55"/>
        <v>aws s3 cp s3://rtdc.mdm.uploadarchive.raw/RTDC4026/ "%USERPROFILE%\AppData\Local\Temp\OnboardLogs"\RTDC4026\2017-05-07 --exclude "*" --recursive --include "*20170507*" &amp; "%USERPROFILE%\Documents\GitHub\mrs-test-scripts\Headless Mode &amp; Sideloading\WalkAndUnGZ.bat" "%USERPROFILE%\AppData\Local\Temp\OnboardLogs"\RTDC4026\2017-05-07 &amp; aws s3 cp s3://rtdc.mdm.uploadarchive.raw/RTDC4026/ "%USERPROFILE%\AppData\Local\Temp\OnboardLogs"\RTDC4026\2017-05-08 --exclude "*" --recursive --include "*20170508*" &amp; "%USERPROFILE%\Documents\GitHub\mrs-test-scripts\Headless Mode &amp; Sideloading\WalkAndUnGZ.bat" "%USERPROFILE%\AppData\Local\Temp\OnboardLogs"\RTDC4026\2017-05-08</v>
      </c>
      <c r="AF195" s="77" t="str">
        <f t="shared" si="56"/>
        <v>"C:\Program Files (x86)\AstroGrep\AstroGrep.exe" /e /r /s /spath="%USERPROFILE%\AppData\Local\Temp\OnboardLogs" /stypes="app*4026*20170508*" /stext=" 01:.+((SYSTEM_STATE.+slice.+state.+changed )|(ment ac)|(multiple cpu faults)|(system.+state.+changed )|(\[timeout)|(PRM\|1\|D)|(kpr)|(kdp)|(train st.+moving)|(\|lc)|(penalty))"</v>
      </c>
      <c r="AG195" s="1" t="str">
        <f t="shared" si="57"/>
        <v>Other</v>
      </c>
      <c r="AH195" s="81" t="str">
        <f t="shared" si="58"/>
        <v>"%USERPROFILE%\Documents\GitHub\eaglep3\Utilities\RefineRTDCRunTimes.py" --tripid 303-07 --locoid 4026 --swversion DE.1.0.9.0 --startMP 204:1348 --initTime 2017-05-07T18:45:21 --startdatetime 2017-05-07T18:57:01 --delay 1 --endMP 300:23304 --enddatetime 2017-05-07T19:08:30 --enforcementcount 0 &gt;&gt;C:\Users\stu\Documents\GitHub\eaglep3-reporting\EC\2017-05-07-refined-times.txt</v>
      </c>
      <c r="AI195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{"issue":{"subject":"","project_id":79,"tracker_id":40,"status_id":1,"priority_id":2,"assigned_to_id":23,"start_date":"2017-05-07","description":"","custom_fields":[{"id":1,"name":"Subdivision","value":"Other"},{"id":4,"name":"Milepost","value":"2.3304"},{"id":17,"name":"Train ID","value":"303-07"},{"id":16,"name":"Locomotive ID","value":"4026"},{"id":130,"name":"Impact","value":""},{"id":150,"name":"Time of Event (Mountain Time)","value":"19:08:30"},{"id":151,"name":"Denver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0"/>
        <v>start /low /b %USERPROFILE%\Documents\GitHub\eaglep3\Utilities\DownloadLogsFromS3.py --loco 4026 --day 2017-05-07</v>
      </c>
      <c r="AN195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600</v>
      </c>
      <c r="B196" s="7">
        <v>4001</v>
      </c>
      <c r="C196" s="21" t="s">
        <v>209</v>
      </c>
      <c r="D196" s="21" t="s">
        <v>915</v>
      </c>
      <c r="E196" s="13">
        <v>42862.153391203705</v>
      </c>
      <c r="F196" s="13">
        <v>42862.156435185185</v>
      </c>
      <c r="G196" s="7">
        <v>4</v>
      </c>
      <c r="H196" s="21" t="s">
        <v>916</v>
      </c>
      <c r="I196" s="13">
        <v>42862.161932870367</v>
      </c>
      <c r="J196" s="7">
        <v>0</v>
      </c>
      <c r="K196" s="92" t="str">
        <f t="shared" si="43"/>
        <v>4001/4002</v>
      </c>
      <c r="L196" s="21" t="str">
        <f>VLOOKUP(A196,'Trips&amp;Operators'!$C$1:$G$99999,5,FALSE)</f>
        <v>MAELZER KURT</v>
      </c>
      <c r="M196" s="6">
        <f t="shared" si="44"/>
        <v>5.4976851824903861E-3</v>
      </c>
      <c r="N196" s="7">
        <f t="shared" si="45"/>
        <v>7.9166666627861559</v>
      </c>
      <c r="O196" s="7"/>
      <c r="P196" s="7"/>
      <c r="Q196" s="22"/>
      <c r="R196" s="190"/>
      <c r="S196" s="196">
        <f t="shared" si="46"/>
        <v>1</v>
      </c>
      <c r="T196" s="190" t="str">
        <f t="shared" si="47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48"/>
        <v>https://d0f6bd738d7f1b3e5a7ca70fe4ff75f0.us-east-1.aws.found.io/app/kibana#/discover/Steve-Slow-Train-Analysis-(2080s-and-2083s)?_g=(refreshInterval:(display:Off,pause:!f,section:0,value:0),time:(from:'2017-05-07T02:40:53-0600',mode:absolute,to:'2017-05-07T04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92" t="str">
        <f t="shared" si="49"/>
        <v>Y</v>
      </c>
      <c r="X196" s="192">
        <f t="shared" si="50"/>
        <v>1</v>
      </c>
      <c r="Y196" s="192">
        <f t="shared" si="51"/>
        <v>2.2147000000000001</v>
      </c>
      <c r="Z196" s="192">
        <f t="shared" si="52"/>
        <v>0.2102</v>
      </c>
      <c r="AA196" s="192">
        <f t="shared" si="53"/>
        <v>2.0045000000000002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4"/>
        <v>0304-07</v>
      </c>
      <c r="AE196" s="80" t="str">
        <f t="shared" si="55"/>
        <v>aws s3 cp s3://rtdc.mdm.uploadarchive.raw/RTDC4001/ "%USERPROFILE%\AppData\Local\Temp\OnboardLogs"\RTDC4001\2017-05-07 --exclude "*" --recursive --include "*20170507*" &amp; "%USERPROFILE%\Documents\GitHub\mrs-test-scripts\Headless Mode &amp; Sideloading\WalkAndUnGZ.bat" "%USERPROFILE%\AppData\Local\Temp\OnboardLogs"\RTDC4001\2017-05-07 &amp; aws s3 cp s3://rtdc.mdm.uploadarchive.raw/RTDC4001/ "%USERPROFILE%\AppData\Local\Temp\OnboardLogs"\RTDC4001\2017-05-08 --exclude "*" --recursive --include "*20170508*" &amp; "%USERPROFILE%\Documents\GitHub\mrs-test-scripts\Headless Mode &amp; Sideloading\WalkAndUnGZ.bat" "%USERPROFILE%\AppData\Local\Temp\OnboardLogs"\RTDC4001\2017-05-08</v>
      </c>
      <c r="AF196" s="77" t="str">
        <f t="shared" si="56"/>
        <v>"C:\Program Files (x86)\AstroGrep\AstroGrep.exe" /e /r /s /spath="%USERPROFILE%\AppData\Local\Temp\OnboardLogs" /stypes="app*4001*20170507*" /stext=" 09:.+((SYSTEM_STATE.+slice.+state.+changed )|(ment ac)|(multiple cpu faults)|(system.+state.+changed )|(\[timeout)|(PRM\|1\|D)|(kpr)|(kdp)|(train st.+moving)|(\|lc)|(penalty))"</v>
      </c>
      <c r="AG196" s="1" t="str">
        <f t="shared" si="57"/>
        <v>Other</v>
      </c>
      <c r="AH196" s="81" t="str">
        <f t="shared" si="58"/>
        <v>"%USERPROFILE%\Documents\GitHub\eaglep3\Utilities\RefineRTDCRunTimes.py" --tripid 304-07 --locoid 4001 --swversion DE.1.0.9.0 --startMP 300:22147 --initTime 2017-05-07T03:40:53 --startdatetime 2017-05-07T03:45:16 --delay 4 --endMP 204:2102 --enddatetime 2017-05-07T03:53:11 --enforcementcount 0 &gt;&gt;C:\Users\stu\Documents\GitHub\eaglep3-reporting\EC\2017-05-07-refined-times.txt</v>
      </c>
      <c r="AI196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{"issue":{"subject":"","project_id":79,"tracker_id":40,"status_id":1,"priority_id":2,"assigned_to_id":23,"start_date":"2017-05-07","description":"","custom_fields":[{"id":1,"name":"Subdivision","value":"Other"},{"id":4,"name":"Milepost","value":"0.2102"},{"id":17,"name":"Train ID","value":"304-07"},{"id":16,"name":"Locomotive ID","value":"4001"},{"id":130,"name":"Impact","value":""},{"id":150,"name":"Time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0"/>
        <v>start /low /b %USERPROFILE%\Documents\GitHub\eaglep3\Utilities\DownloadLogsFromS3.py --loco 4001 --day 2017-05-07</v>
      </c>
      <c r="AN196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741</v>
      </c>
      <c r="B197" s="7">
        <v>4028</v>
      </c>
      <c r="C197" s="21" t="s">
        <v>209</v>
      </c>
      <c r="D197" s="21" t="s">
        <v>917</v>
      </c>
      <c r="E197" s="13">
        <v>42862.807511574072</v>
      </c>
      <c r="F197" s="13">
        <v>42862.811122685183</v>
      </c>
      <c r="G197" s="7">
        <v>1</v>
      </c>
      <c r="H197" s="21" t="s">
        <v>918</v>
      </c>
      <c r="I197" s="13">
        <v>42862.817453703705</v>
      </c>
      <c r="J197" s="7">
        <v>0</v>
      </c>
      <c r="K197" s="92" t="str">
        <f t="shared" si="43"/>
        <v>4027/4028</v>
      </c>
      <c r="L197" s="21" t="str">
        <f>VLOOKUP(A197,'Trips&amp;Operators'!$C$1:$G$99999,5,FALSE)</f>
        <v>LALONDE GREGORY</v>
      </c>
      <c r="M197" s="6">
        <f t="shared" si="44"/>
        <v>6.33101852145046E-3</v>
      </c>
      <c r="N197" s="7">
        <f t="shared" si="45"/>
        <v>9.1166666708886623</v>
      </c>
      <c r="O197" s="7"/>
      <c r="P197" s="7"/>
      <c r="Q197" s="22"/>
      <c r="R197" s="190"/>
      <c r="S197" s="196">
        <f t="shared" si="46"/>
        <v>1</v>
      </c>
      <c r="T197" s="190" t="str">
        <f t="shared" si="47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48"/>
        <v>https://d0f6bd738d7f1b3e5a7ca70fe4ff75f0.us-east-1.aws.found.io/app/kibana#/discover/Steve-Slow-Train-Analysis-(2080s-and-2083s)?_g=(refreshInterval:(display:Off,pause:!f,section:0,value:0),time:(from:'2017-05-07T18:22:49-0600',mode:absolute,to:'2017-05-07T20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192" t="str">
        <f t="shared" si="49"/>
        <v>Y</v>
      </c>
      <c r="X197" s="192">
        <f t="shared" si="50"/>
        <v>1</v>
      </c>
      <c r="Y197" s="192">
        <f t="shared" si="51"/>
        <v>0.1166</v>
      </c>
      <c r="Z197" s="192">
        <f t="shared" si="52"/>
        <v>2.3306</v>
      </c>
      <c r="AA197" s="192">
        <f t="shared" si="53"/>
        <v>2.214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4"/>
        <v>0305-07</v>
      </c>
      <c r="AE197" s="80" t="str">
        <f t="shared" si="55"/>
        <v>aws s3 cp s3://rtdc.mdm.uploadarchive.raw/RTDC4028/ "%USERPROFILE%\AppData\Local\Temp\OnboardLogs"\RTDC4028\2017-05-07 --exclude "*" --recursive --include "*20170507*" &amp; "%USERPROFILE%\Documents\GitHub\mrs-test-scripts\Headless Mode &amp; Sideloading\WalkAndUnGZ.bat" "%USERPROFILE%\AppData\Local\Temp\OnboardLogs"\RTDC4028\2017-05-07 &amp; aws s3 cp s3://rtdc.mdm.uploadarchive.raw/RTDC4028/ "%USERPROFILE%\AppData\Local\Temp\OnboardLogs"\RTDC4028\2017-05-08 --exclude "*" --recursive --include "*20170508*" &amp; "%USERPROFILE%\Documents\GitHub\mrs-test-scripts\Headless Mode &amp; Sideloading\WalkAndUnGZ.bat" "%USERPROFILE%\AppData\Local\Temp\OnboardLogs"\RTDC4028\2017-05-08</v>
      </c>
      <c r="AF197" s="77" t="str">
        <f t="shared" si="56"/>
        <v>"C:\Program Files (x86)\AstroGrep\AstroGrep.exe" /e /r /s /spath="%USERPROFILE%\AppData\Local\Temp\OnboardLogs" /stypes="app*4028*20170508*" /stext=" 01:.+((SYSTEM_STATE.+slice.+state.+changed )|(ment ac)|(multiple cpu faults)|(system.+state.+changed )|(\[timeout)|(PRM\|1\|D)|(kpr)|(kdp)|(train st.+moving)|(\|lc)|(penalty))"</v>
      </c>
      <c r="AG197" s="1" t="str">
        <f t="shared" si="57"/>
        <v>Other</v>
      </c>
      <c r="AH197" s="81" t="str">
        <f t="shared" si="58"/>
        <v>"%USERPROFILE%\Documents\GitHub\eaglep3\Utilities\RefineRTDCRunTimes.py" --tripid 305-07 --locoid 4028 --swversion DE.1.0.9.0 --startMP 204:1166 --initTime 2017-05-07T19:22:49 --startdatetime 2017-05-07T19:28:01 --delay 1 --endMP 300:23306 --enddatetime 2017-05-07T19:37:08 --enforcementcount 0 &gt;&gt;C:\Users\stu\Documents\GitHub\eaglep3-reporting\EC\2017-05-07-refined-times.txt</v>
      </c>
      <c r="AI197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{"issue":{"subject":"","project_id":79,"tracker_id":40,"status_id":1,"priority_id":2,"assigned_to_id":23,"start_date":"2017-05-07","description":"","custom_fields":[{"id":1,"name":"Subdivision","value":"Other"},{"id":4,"name":"Milepost","value":"2.3306"},{"id":17,"name":"Train ID","value":"305-07"},{"id":16,"name":"Locomotive ID","value":"4028"},{"id":130,"name":"Impact","value":""},{"id":150,"name":"Time of Event (Mountain Time)","value":"19:37:08"},{"id":151,"name":"Denver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0"/>
        <v>start /low /b %USERPROFILE%\Documents\GitHub\eaglep3\Utilities\DownloadLogsFromS3.py --loco 4028 --day 2017-05-07</v>
      </c>
      <c r="AN197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01:37:08"},{"id":29,"name":"Sharepoint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604</v>
      </c>
      <c r="B198" s="7">
        <v>4003</v>
      </c>
      <c r="C198" s="21" t="s">
        <v>209</v>
      </c>
      <c r="D198" s="21" t="s">
        <v>919</v>
      </c>
      <c r="E198" s="13">
        <v>42862.162048611113</v>
      </c>
      <c r="F198" s="13">
        <v>42862.166006944448</v>
      </c>
      <c r="G198" s="7">
        <v>5</v>
      </c>
      <c r="H198" s="21" t="s">
        <v>198</v>
      </c>
      <c r="I198" s="13">
        <v>42862.171597222223</v>
      </c>
      <c r="J198" s="7">
        <v>0</v>
      </c>
      <c r="K198" s="92" t="str">
        <f t="shared" si="43"/>
        <v>4003/4004</v>
      </c>
      <c r="L198" s="21" t="str">
        <f>VLOOKUP(A198,'Trips&amp;Operators'!$C$1:$G$99999,5,FALSE)</f>
        <v>BADERTSCHER DIANE</v>
      </c>
      <c r="M198" s="6">
        <f t="shared" si="44"/>
        <v>5.5902777748997323E-3</v>
      </c>
      <c r="N198" s="7">
        <f t="shared" si="45"/>
        <v>8.0499999958556145</v>
      </c>
      <c r="O198" s="7"/>
      <c r="P198" s="7"/>
      <c r="Q198" s="22"/>
      <c r="R198" s="190"/>
      <c r="S198" s="196">
        <f t="shared" si="46"/>
        <v>1</v>
      </c>
      <c r="T198" s="190" t="str">
        <f t="shared" si="47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48"/>
        <v>https://d0f6bd738d7f1b3e5a7ca70fe4ff75f0.us-east-1.aws.found.io/app/kibana#/discover/Steve-Slow-Train-Analysis-(2080s-and-2083s)?_g=(refreshInterval:(display:Off,pause:!f,section:0,value:0),time:(from:'2017-05-07T02:53:21-0600',mode:absolute,to:'2017-05-07T05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98" s="192" t="str">
        <f t="shared" si="49"/>
        <v>Y</v>
      </c>
      <c r="X198" s="192">
        <f t="shared" si="50"/>
        <v>1</v>
      </c>
      <c r="Y198" s="192">
        <f t="shared" si="51"/>
        <v>2.2987000000000002</v>
      </c>
      <c r="Z198" s="192">
        <f t="shared" si="52"/>
        <v>1.5800000000000002E-2</v>
      </c>
      <c r="AA198" s="192">
        <f t="shared" si="53"/>
        <v>2.2829000000000002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4"/>
        <v>0306-07</v>
      </c>
      <c r="AE198" s="80" t="str">
        <f t="shared" si="55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198" s="77" t="str">
        <f t="shared" si="56"/>
        <v>"C:\Program Files (x86)\AstroGrep\AstroGrep.exe" /e /r /s /spath="%USERPROFILE%\AppData\Local\Temp\OnboardLogs" /stypes="app*4003*20170507*" /stext=" 10:.+((SYSTEM_STATE.+slice.+state.+changed )|(ment ac)|(multiple cpu faults)|(system.+state.+changed )|(\[timeout)|(PRM\|1\|D)|(kpr)|(kdp)|(train st.+moving)|(\|lc)|(penalty))"</v>
      </c>
      <c r="AG198" s="1" t="str">
        <f t="shared" si="57"/>
        <v>Other</v>
      </c>
      <c r="AH198" s="81" t="str">
        <f t="shared" si="58"/>
        <v>"%USERPROFILE%\Documents\GitHub\eaglep3\Utilities\RefineRTDCRunTimes.py" --tripid 306-07 --locoid 4003 --swversion DE.1.0.9.0 --startMP 300:22987 --initTime 2017-05-07T03:53:21 --startdatetime 2017-05-07T03:59:03 --delay 5 --endMP 204:158 --enddatetime 2017-05-07T04:07:06 --enforcementcount 0 &gt;&gt;C:\Users\stu\Documents\GitHub\eaglep3-reporting\EC\2017-05-07-refined-times.txt</v>
      </c>
      <c r="AI198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{"issue":{"subject":"","project_id":79,"tracker_id":40,"status_id":1,"priority_id":2,"assigned_to_id":23,"start_date":"2017-05-07","description":"","custom_fields":[{"id":1,"name":"Subdivision","value":"Other"},{"id":4,"name":"Milepost","value":"0.0158"},{"id":17,"name":"Train ID","value":"306-07"},{"id":16,"name":"Locomotive ID","value":"4003"},{"id":130,"name":"Impact","value":""},{"id":150,"name":"Time of Event (Mountain Time)","value":"04:07:06"},{"id":151,"name":"Denver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0"/>
        <v>start /low /b %USERPROFILE%\Documents\GitHub\eaglep3\Utilities\DownloadLogsFromS3.py --loco 4003 --day 2017-05-07</v>
      </c>
      <c r="AN198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745</v>
      </c>
      <c r="B199" s="7">
        <v>4020</v>
      </c>
      <c r="C199" s="21" t="s">
        <v>209</v>
      </c>
      <c r="D199" s="21" t="s">
        <v>920</v>
      </c>
      <c r="E199" s="13">
        <v>42862.82534722222</v>
      </c>
      <c r="F199" s="13">
        <v>42862.829895833333</v>
      </c>
      <c r="G199" s="7">
        <v>2</v>
      </c>
      <c r="H199" s="21" t="s">
        <v>921</v>
      </c>
      <c r="I199" s="13">
        <v>42862.83699074074</v>
      </c>
      <c r="J199" s="7">
        <v>0</v>
      </c>
      <c r="K199" s="92" t="str">
        <f t="shared" si="43"/>
        <v>4019/4020</v>
      </c>
      <c r="L199" s="21" t="str">
        <f>VLOOKUP(A199,'Trips&amp;Operators'!$C$1:$G$99999,5,FALSE)</f>
        <v>BRANDNER MELINDA</v>
      </c>
      <c r="M199" s="6">
        <f t="shared" si="44"/>
        <v>7.0949074070085771E-3</v>
      </c>
      <c r="N199" s="7">
        <f t="shared" si="45"/>
        <v>10.216666666092351</v>
      </c>
      <c r="O199" s="7"/>
      <c r="P199" s="7"/>
      <c r="Q199" s="22"/>
      <c r="R199" s="190"/>
      <c r="S199" s="196">
        <f t="shared" si="46"/>
        <v>1</v>
      </c>
      <c r="T199" s="190" t="str">
        <f t="shared" si="47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48"/>
        <v>https://d0f6bd738d7f1b3e5a7ca70fe4ff75f0.us-east-1.aws.found.io/app/kibana#/discover/Steve-Slow-Train-Analysis-(2080s-and-2083s)?_g=(refreshInterval:(display:Off,pause:!f,section:0,value:0),time:(from:'2017-05-07T18:48:30-0600',mode:absolute,to:'2017-05-07T21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192" t="str">
        <f t="shared" si="49"/>
        <v>Y</v>
      </c>
      <c r="X199" s="192">
        <f t="shared" si="50"/>
        <v>1</v>
      </c>
      <c r="Y199" s="192">
        <f t="shared" si="51"/>
        <v>0.1242</v>
      </c>
      <c r="Z199" s="192">
        <f t="shared" si="52"/>
        <v>2.2997999999999998</v>
      </c>
      <c r="AA199" s="192">
        <f t="shared" si="53"/>
        <v>2.1755999999999998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4"/>
        <v>0307-07</v>
      </c>
      <c r="AE199" s="80" t="str">
        <f t="shared" si="55"/>
        <v>aws s3 cp s3://rtdc.mdm.uploadarchive.raw/RTDC4020/ "%USERPROFILE%\AppData\Local\Temp\OnboardLogs"\RTDC4020\2017-05-07 --exclude "*" --recursive --include "*20170507*" &amp; "%USERPROFILE%\Documents\GitHub\mrs-test-scripts\Headless Mode &amp; Sideloading\WalkAndUnGZ.bat" "%USERPROFILE%\AppData\Local\Temp\OnboardLogs"\RTDC4020\2017-05-07 &amp; aws s3 cp s3://rtdc.mdm.uploadarchive.raw/RTDC4020/ "%USERPROFILE%\AppData\Local\Temp\OnboardLogs"\RTDC4020\2017-05-08 --exclude "*" --recursive --include "*20170508*" &amp; "%USERPROFILE%\Documents\GitHub\mrs-test-scripts\Headless Mode &amp; Sideloading\WalkAndUnGZ.bat" "%USERPROFILE%\AppData\Local\Temp\OnboardLogs"\RTDC4020\2017-05-08</v>
      </c>
      <c r="AF199" s="77" t="str">
        <f t="shared" si="56"/>
        <v>"C:\Program Files (x86)\AstroGrep\AstroGrep.exe" /e /r /s /spath="%USERPROFILE%\AppData\Local\Temp\OnboardLogs" /stypes="app*4020*20170508*" /stext=" 02:.+((SYSTEM_STATE.+slice.+state.+changed )|(ment ac)|(multiple cpu faults)|(system.+state.+changed )|(\[timeout)|(PRM\|1\|D)|(kpr)|(kdp)|(train st.+moving)|(\|lc)|(penalty))"</v>
      </c>
      <c r="AG199" s="1" t="str">
        <f t="shared" si="57"/>
        <v>Other</v>
      </c>
      <c r="AH199" s="81" t="str">
        <f t="shared" si="58"/>
        <v>"%USERPROFILE%\Documents\GitHub\eaglep3\Utilities\RefineRTDCRunTimes.py" --tripid 307-07 --locoid 4020 --swversion DE.1.0.9.0 --startMP 204:1242 --initTime 2017-05-07T19:48:30 --startdatetime 2017-05-07T19:55:03 --delay 2 --endMP 300:22998 --enddatetime 2017-05-07T20:05:16 --enforcementcount 0 &gt;&gt;C:\Users\stu\Documents\GitHub\eaglep3-reporting\EC\2017-05-07-refined-times.txt</v>
      </c>
      <c r="AI199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{"issue":{"subject":"","project_id":79,"tracker_id":40,"status_id":1,"priority_id":2,"assigned_to_id":23,"start_date":"2017-05-07","description":"","custom_fields":[{"id":1,"name":"Subdivision","value":"Other"},{"id":4,"name":"Milepost","value":"2.2998"},{"id":17,"name":"Train ID","value":"307-07"},{"id":16,"name":"Locomotive ID","value":"4020"},{"id":130,"name":"Impact","value":""},{"id":150,"name":"Time of Event (Mountain Time)","value":"20:05:16"},{"id":151,"name":"Denver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60"/>
        <v>start /low /b %USERPROFILE%\Documents\GitHub\eaglep3\Utilities\DownloadLogsFromS3.py --loco 4020 --day 2017-05-07</v>
      </c>
      <c r="AN199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607</v>
      </c>
      <c r="B200" s="7">
        <v>4051</v>
      </c>
      <c r="C200" s="21" t="s">
        <v>209</v>
      </c>
      <c r="D200" s="21" t="s">
        <v>922</v>
      </c>
      <c r="E200" s="13">
        <v>42862.175995370373</v>
      </c>
      <c r="F200" s="13">
        <v>42862.17864583333</v>
      </c>
      <c r="G200" s="7">
        <v>3</v>
      </c>
      <c r="H200" s="21" t="s">
        <v>373</v>
      </c>
      <c r="I200" s="13">
        <v>42862.18346064815</v>
      </c>
      <c r="J200" s="7">
        <v>0</v>
      </c>
      <c r="K200" s="92" t="str">
        <f t="shared" si="43"/>
        <v>4051/4052</v>
      </c>
      <c r="L200" s="21" t="str">
        <f>VLOOKUP(A200,'Trips&amp;Operators'!$C$1:$G$99999,5,FALSE)</f>
        <v>DAVIS WENDY</v>
      </c>
      <c r="M200" s="6">
        <f t="shared" si="44"/>
        <v>4.8148148198379204E-3</v>
      </c>
      <c r="N200" s="7">
        <f t="shared" si="45"/>
        <v>6.9333333405666053</v>
      </c>
      <c r="O200" s="7"/>
      <c r="P200" s="7"/>
      <c r="Q200" s="22"/>
      <c r="R200" s="190"/>
      <c r="S200" s="196">
        <f t="shared" si="46"/>
        <v>1</v>
      </c>
      <c r="T200" s="190" t="str">
        <f t="shared" si="47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48"/>
        <v>https://d0f6bd738d7f1b3e5a7ca70fe4ff75f0.us-east-1.aws.found.io/app/kibana#/discover/Steve-Slow-Train-Analysis-(2080s-and-2083s)?_g=(refreshInterval:(display:Off,pause:!f,section:0,value:0),time:(from:'2017-05-07T03:13:26-0600',mode:absolute,to:'2017-05-07T05:24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192" t="str">
        <f t="shared" si="49"/>
        <v>Y</v>
      </c>
      <c r="X200" s="192">
        <f t="shared" si="50"/>
        <v>1</v>
      </c>
      <c r="Y200" s="192">
        <f t="shared" si="51"/>
        <v>2.1856</v>
      </c>
      <c r="Z200" s="192">
        <f t="shared" si="52"/>
        <v>1.49E-2</v>
      </c>
      <c r="AA200" s="192">
        <f t="shared" si="53"/>
        <v>2.1707000000000001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4"/>
        <v>0308-07</v>
      </c>
      <c r="AE200" s="80" t="str">
        <f t="shared" si="55"/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AF200" s="77" t="str">
        <f t="shared" si="56"/>
        <v>"C:\Program Files (x86)\AstroGrep\AstroGrep.exe" /e /r /s /spath="%USERPROFILE%\AppData\Local\Temp\OnboardLogs" /stypes="app*4051*20170507*" /stext=" 10:.+((SYSTEM_STATE.+slice.+state.+changed )|(ment ac)|(multiple cpu faults)|(system.+state.+changed )|(\[timeout)|(PRM\|1\|D)|(kpr)|(kdp)|(train st.+moving)|(\|lc)|(penalty))"</v>
      </c>
      <c r="AG200" s="1" t="str">
        <f t="shared" si="57"/>
        <v>Other</v>
      </c>
      <c r="AH200" s="81" t="str">
        <f t="shared" si="58"/>
        <v>"%USERPROFILE%\Documents\GitHub\eaglep3\Utilities\RefineRTDCRunTimes.py" --tripid 308-07 --locoid 4051 --swversion DE.1.0.9.0 --startMP 300:21856 --initTime 2017-05-07T04:13:26 --startdatetime 2017-05-07T04:17:15 --delay 3 --endMP 204:149 --enddatetime 2017-05-07T04:24:11 --enforcementcount 0 &gt;&gt;C:\Users\stu\Documents\GitHub\eaglep3-reporting\EC\2017-05-07-refined-times.txt</v>
      </c>
      <c r="AI200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{"issue":{"subject":"","project_id":79,"tracker_id":40,"status_id":1,"priority_id":2,"assigned_to_id":23,"start_date":"2017-05-07","description":"","custom_fields":[{"id":1,"name":"Subdivision","value":"Other"},{"id":4,"name":"Milepost","value":"0.0149"},{"id":17,"name":"Train ID","value":"308-07"},{"id":16,"name":"Locomotive ID","value":"4051"},{"id":130,"name":"Impact","value":""},{"id":150,"name":"Time of Event (Mountain Time)","value":"04:24:11"},{"id":151,"name":"Denver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0"/>
        <v>start /low /b %USERPROFILE%\Documents\GitHub\eaglep3\Utilities\DownloadLogsFromS3.py --loco 4051 --day 2017-05-07</v>
      </c>
      <c r="AN200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10:24:11"},{"id":29,"name":"Sharepoint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772</v>
      </c>
      <c r="B201" s="7">
        <v>4004</v>
      </c>
      <c r="C201" s="21" t="s">
        <v>209</v>
      </c>
      <c r="D201" s="21" t="s">
        <v>923</v>
      </c>
      <c r="E201" s="13">
        <v>42863.048020833332</v>
      </c>
      <c r="F201" s="13">
        <v>42863.049479166664</v>
      </c>
      <c r="G201" s="7">
        <v>1</v>
      </c>
      <c r="H201" s="21" t="s">
        <v>914</v>
      </c>
      <c r="I201" s="13">
        <v>42863.057534722226</v>
      </c>
      <c r="J201" s="7">
        <v>0</v>
      </c>
      <c r="K201" s="92" t="str">
        <f t="shared" si="43"/>
        <v>4003/4004</v>
      </c>
      <c r="L201" s="21" t="str">
        <f>VLOOKUP(A201,'Trips&amp;Operators'!$C$1:$G$99999,5,FALSE)</f>
        <v>NEWELL JAMES</v>
      </c>
      <c r="M201" s="6">
        <f t="shared" si="44"/>
        <v>8.0555555614409968E-3</v>
      </c>
      <c r="N201" s="7">
        <f t="shared" si="45"/>
        <v>11.600000008475035</v>
      </c>
      <c r="O201" s="7"/>
      <c r="P201" s="7"/>
      <c r="Q201" s="22"/>
      <c r="R201" s="190"/>
      <c r="S201" s="196">
        <f t="shared" si="46"/>
        <v>1</v>
      </c>
      <c r="T201" s="190" t="str">
        <f t="shared" si="47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48"/>
        <v>https://d0f6bd738d7f1b3e5a7ca70fe4ff75f0.us-east-1.aws.found.io/app/kibana#/discover/Steve-Slow-Train-Analysis-(2080s-and-2083s)?_g=(refreshInterval:(display:Off,pause:!f,section:0,value:0),time:(from:'2017-05-08T00:09:09-0600',mode:absolute,to:'2017-05-08T02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1" s="192" t="str">
        <f t="shared" si="49"/>
        <v>Y</v>
      </c>
      <c r="X201" s="192">
        <f t="shared" si="50"/>
        <v>1</v>
      </c>
      <c r="Y201" s="192">
        <f t="shared" si="51"/>
        <v>4.8599999999999997E-2</v>
      </c>
      <c r="Z201" s="192">
        <f t="shared" si="52"/>
        <v>2.3304</v>
      </c>
      <c r="AA201" s="192">
        <f t="shared" si="53"/>
        <v>2.2818000000000001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4"/>
        <v>0309-07</v>
      </c>
      <c r="AE201" s="80" t="str">
        <f t="shared" si="55"/>
        <v>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 &amp; aws s3 cp s3://rtdc.mdm.uploadarchive.raw/RTDC4004/ "%USERPROFILE%\AppData\Local\Temp\OnboardLogs"\RTDC4004\2017-05-09 --exclude "*" --recursive --include "*20170509*" &amp; "%USERPROFILE%\Documents\GitHub\mrs-test-scripts\Headless Mode &amp; Sideloading\WalkAndUnGZ.bat" "%USERPROFILE%\AppData\Local\Temp\OnboardLogs"\RTDC4004\2017-05-09</v>
      </c>
      <c r="AF201" s="77" t="str">
        <f t="shared" si="56"/>
        <v>"C:\Program Files (x86)\AstroGrep\AstroGrep.exe" /e /r /s /spath="%USERPROFILE%\AppData\Local\Temp\OnboardLogs" /stypes="app*4004*20170508*" /stext=" 07:.+((SYSTEM_STATE.+slice.+state.+changed )|(ment ac)|(multiple cpu faults)|(system.+state.+changed )|(\[timeout)|(PRM\|1\|D)|(kpr)|(kdp)|(train st.+moving)|(\|lc)|(penalty))"</v>
      </c>
      <c r="AG201" s="1" t="str">
        <f t="shared" si="57"/>
        <v>Other</v>
      </c>
      <c r="AH201" s="81" t="str">
        <f t="shared" si="58"/>
        <v>"%USERPROFILE%\Documents\GitHub\eaglep3\Utilities\RefineRTDCRunTimes.py" --tripid 309-07 --locoid 4004 --swversion DE.1.0.9.0 --startMP 204:486 --initTime 2017-05-08T01:09:09 --startdatetime 2017-05-08T01:11:15 --delay 1 --endMP 300:23304 --enddatetime 2017-05-08T01:22:51 --enforcementcount 0 &gt;&gt;C:\Users\stu\Documents\GitHub\eaglep3-reporting\EC\2017-05-07-refined-times.txt</v>
      </c>
      <c r="AI201" s="99" t="str">
        <f t="shared" si="59"/>
        <v>echo {"issue":{"subject":"","project_id":79,"tracker_id":40,"status_id":1,"priority_id":2,"assigned_to_id":23,"start_date":"2017-05-08","description":"","custom_fields":[{"id":1,"name":"Subdivision","value":"Other"},{"id":4,"name":"Milepost","value":"2.3304"},{"id":17,"name":"Train ID","value":"309-07"},{"id":16,"name":"Locomotive ID","value":"4004"},{"id":130,"name":"Impact","value":""},{"id":150,"name":"Time of Event (Mountain Time)","value":"01:22:51"},{"id":151,"name":"Denver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0"/>
        <v>start /low /b %USERPROFILE%\Documents\GitHub\eaglep3\Utilities\DownloadLogsFromS3.py --loco 4004 --day 2017-05-08</v>
      </c>
      <c r="AN201" s="154" t="str">
        <f t="shared" si="61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608</v>
      </c>
      <c r="B202" s="7">
        <v>4025</v>
      </c>
      <c r="C202" s="21" t="s">
        <v>209</v>
      </c>
      <c r="D202" s="21" t="s">
        <v>924</v>
      </c>
      <c r="E202" s="13">
        <v>42862.181307870371</v>
      </c>
      <c r="F202" s="13">
        <v>42862.184328703705</v>
      </c>
      <c r="G202" s="7">
        <v>4</v>
      </c>
      <c r="H202" s="21" t="s">
        <v>365</v>
      </c>
      <c r="I202" s="13">
        <v>42862.191041666665</v>
      </c>
      <c r="J202" s="7">
        <v>0</v>
      </c>
      <c r="K202" s="92" t="str">
        <f t="shared" ref="K202:K226" si="94">IF(ISEVEN(B202),(B202-1)&amp;"/"&amp;B202,B202&amp;"/"&amp;(B202+1))</f>
        <v>4025/4026</v>
      </c>
      <c r="L202" s="21" t="str">
        <f>VLOOKUP(A202,'Trips&amp;Operators'!$C$1:$G$99999,5,FALSE)</f>
        <v>ROBINSON KADDIBA</v>
      </c>
      <c r="M202" s="6">
        <f t="shared" ref="M202:M226" si="95">I202-F202</f>
        <v>6.7129629605915397E-3</v>
      </c>
      <c r="N202" s="7">
        <f t="shared" ref="N202:N226" si="96">24*60*SUM($M202:$M202)</f>
        <v>9.6666666632518172</v>
      </c>
      <c r="O202" s="7"/>
      <c r="P202" s="7"/>
      <c r="Q202" s="22"/>
      <c r="R202" s="190"/>
      <c r="S202" s="196">
        <f t="shared" ref="S202:S226" si="97">SUM(U202:U202)/IF(AG202="EC",12,1)</f>
        <v>1</v>
      </c>
      <c r="T202" s="190" t="str">
        <f t="shared" ref="T202:T226" si="98">IF(ISEVEN(LEFT(AD202,4)),"Southbound","NorthBound")</f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ref="V202:V226" si="99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-07T03:21:05-0600',mode:absolute,to:'2017-05-07T05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92" t="str">
        <f t="shared" ref="W202:W226" si="100">IF(AA202&lt;IF(AG202="EC",23,5.65),"Y","N")</f>
        <v>Y</v>
      </c>
      <c r="X202" s="192">
        <f t="shared" ref="X202:X226" si="101">VALUE(LEFT(AD202,4))-VALUE(LEFT(AD201,4))</f>
        <v>1</v>
      </c>
      <c r="Y202" s="192">
        <f t="shared" ref="Y202:Y226" si="102">RIGHT(D202,LEN(D202)-4)/10000</f>
        <v>2.3129</v>
      </c>
      <c r="Z202" s="192">
        <f t="shared" ref="Z202:Z226" si="103">RIGHT(H202,LEN(H202)-4)/10000</f>
        <v>1.6E-2</v>
      </c>
      <c r="AA202" s="192">
        <f t="shared" ref="AA202:AA226" si="104">ABS(Z202-Y202)</f>
        <v>2.2968999999999999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ref="AD202:AD226" si="105">IF(LEN(A202)=6,"0"&amp;A202,A202)</f>
        <v>0310-07</v>
      </c>
      <c r="AE202" s="80" t="str">
        <f t="shared" ref="AE202:AE226" si="106"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s3://rtdc.mdm.uploadarchive.raw/RTDC4025/ "%USERPROFILE%\AppData\Local\Temp\OnboardLogs"\RTDC4025\2017-05-07 --exclude "*" --recursive --include "*20170507*" &amp; "%USERPROFILE%\Documents\GitHub\mrs-test-scripts\Headless Mode &amp; Sideloading\WalkAndUnGZ.bat" "%USERPROFILE%\AppData\Local\Temp\OnboardLogs"\RTDC4025\2017-05-07 &amp; aws s3 cp s3://rtdc.mdm.uploadarchive.raw/RTDC4025/ "%USERPROFILE%\AppData\Local\Temp\OnboardLogs"\RTDC4025\2017-05-08 --exclude "*" --recursive --include "*20170508*" &amp; "%USERPROFILE%\Documents\GitHub\mrs-test-scripts\Headless Mode &amp; Sideloading\WalkAndUnGZ.bat" "%USERPROFILE%\AppData\Local\Temp\OnboardLogs"\RTDC4025\2017-05-08</v>
      </c>
      <c r="AF202" s="77" t="str">
        <f t="shared" ref="AF202:AF226" si="107"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/stypes="app*4025*20170507*" /stext=" 10:.+((SYSTEM_STATE.+slice.+state.+changed )|(ment ac)|(multiple cpu faults)|(system.+state.+changed )|(\[timeout)|(PRM\|1\|D)|(kpr)|(kdp)|(train st.+moving)|(\|lc)|(penalty))"</v>
      </c>
      <c r="AG202" s="1" t="str">
        <f t="shared" ref="AG202:AG226" si="108">IFERROR(IF(VALUE(LEFT(AD202,2))&lt;=2,"EC",IF(OR(VALUE(LEFT(AD202,2))=8,VALUE(LEFT(AD202,2))=18),"NW","Other")),"Other")</f>
        <v>Other</v>
      </c>
      <c r="AH202" s="81" t="str">
        <f t="shared" si="58"/>
        <v>"%USERPROFILE%\Documents\GitHub\eaglep3\Utilities\RefineRTDCRunTimes.py" --tripid 310-07 --locoid 4025 --swversion DE.1.0.9.0 --startMP 300:23129 --initTime 2017-05-07T04:21:05 --startdatetime 2017-05-07T04:25:26 --delay 4 --endMP 204:160 --enddatetime 2017-05-07T04:35:06 --enforcementcount 0 &gt;&gt;C:\Users\stu\Documents\GitHub\eaglep3-reporting\EC\2017-05-07-refined-times.txt</v>
      </c>
      <c r="AI202" s="99" t="str">
        <f t="shared" si="59"/>
        <v>echo {"issue":{"subject":"","project_id":79,"tracker_id":40,"status_id":1,"priority_id":2,"assigned_to_id":23,"start_date":"2017-05-07","description":"","custom_fields":[{"id":1,"name":"Subdivision","value":"Other"},{"id":4,"name":"Milepost","value":"0.016"},{"id":17,"name":"Train ID","value":"310-07"},{"id":16,"name":"Locomotive ID","value":"4025"},{"id":130,"name":"Impact","value":""},{"id":150,"name":"Time of Event (Mountain Time)","value":"04:35:06"},{"id":151,"name":"Denver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0"/>
        <v>start /low /b %USERPROFILE%\Documents\GitHub\eaglep3\Utilities\DownloadLogsFromS3.py --loco 4025 --day 2017-05-07</v>
      </c>
      <c r="AN202" s="154" t="str">
        <f t="shared" si="61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10:35:06"},{"id":29,"name":"Sharepoint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774</v>
      </c>
      <c r="B203" s="7">
        <v>4044</v>
      </c>
      <c r="C203" s="21" t="s">
        <v>209</v>
      </c>
      <c r="D203" s="21" t="s">
        <v>377</v>
      </c>
      <c r="E203" s="13">
        <v>42863.069016203706</v>
      </c>
      <c r="F203" s="13">
        <v>42863.070532407408</v>
      </c>
      <c r="G203" s="7">
        <v>1</v>
      </c>
      <c r="H203" s="21" t="s">
        <v>914</v>
      </c>
      <c r="I203" s="13">
        <v>42863.079988425925</v>
      </c>
      <c r="J203" s="7">
        <v>0</v>
      </c>
      <c r="K203" s="92" t="str">
        <f t="shared" si="94"/>
        <v>4043/4044</v>
      </c>
      <c r="L203" s="21" t="str">
        <f>VLOOKUP(A203,'Trips&amp;Operators'!$C$1:$G$99999,5,FALSE)</f>
        <v>SMITH MICHAEL</v>
      </c>
      <c r="M203" s="6">
        <f t="shared" si="95"/>
        <v>9.4560185170848854E-3</v>
      </c>
      <c r="N203" s="7">
        <f t="shared" si="96"/>
        <v>13.616666664602235</v>
      </c>
      <c r="O203" s="7"/>
      <c r="P203" s="7"/>
      <c r="Q203" s="22"/>
      <c r="R203" s="190"/>
      <c r="S203" s="196">
        <f t="shared" si="97"/>
        <v>1</v>
      </c>
      <c r="T203" s="190" t="str">
        <f t="shared" si="98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99"/>
        <v>https://d0f6bd738d7f1b3e5a7ca70fe4ff75f0.us-east-1.aws.found.io/app/kibana#/discover/Steve-Slow-Train-Analysis-(2080s-and-2083s)?_g=(refreshInterval:(display:Off,pause:!f,section:0,value:0),time:(from:'2017-05-08T00:39:23-0600',mode:absolute,to:'2017-05-08T02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3" s="192" t="str">
        <f t="shared" si="100"/>
        <v>Y</v>
      </c>
      <c r="X203" s="192">
        <f t="shared" si="101"/>
        <v>1</v>
      </c>
      <c r="Y203" s="192">
        <f t="shared" si="102"/>
        <v>4.5100000000000001E-2</v>
      </c>
      <c r="Z203" s="192">
        <f t="shared" si="103"/>
        <v>2.3304</v>
      </c>
      <c r="AA203" s="192">
        <f t="shared" si="104"/>
        <v>2.2852999999999999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105"/>
        <v>0311-07</v>
      </c>
      <c r="AE203" s="80" t="str">
        <f t="shared" si="106"/>
        <v>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 &amp; aws s3 cp s3://rtdc.mdm.uploadarchive.raw/RTDC4044/ "%USERPROFILE%\AppData\Local\Temp\OnboardLogs"\RTDC4044\2017-05-09 --exclude "*" --recursive --include "*20170509*" &amp; "%USERPROFILE%\Documents\GitHub\mrs-test-scripts\Headless Mode &amp; Sideloading\WalkAndUnGZ.bat" "%USERPROFILE%\AppData\Local\Temp\OnboardLogs"\RTDC4044\2017-05-09</v>
      </c>
      <c r="AF203" s="77" t="str">
        <f t="shared" si="107"/>
        <v>"C:\Program Files (x86)\AstroGrep\AstroGrep.exe" /e /r /s /spath="%USERPROFILE%\AppData\Local\Temp\OnboardLogs" /stypes="app*4044*20170508*" /stext=" 07:.+((SYSTEM_STATE.+slice.+state.+changed )|(ment ac)|(multiple cpu faults)|(system.+state.+changed )|(\[timeout)|(PRM\|1\|D)|(kpr)|(kdp)|(train st.+moving)|(\|lc)|(penalty))"</v>
      </c>
      <c r="AG203" s="1" t="str">
        <f t="shared" si="108"/>
        <v>Other</v>
      </c>
      <c r="AH203" s="81" t="str">
        <f t="shared" ref="AH203:AH226" si="109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311-07 --locoid 4044 --swversion DE.1.0.9.0 --startMP 204:451 --initTime 2017-05-08T01:39:23 --startdatetime 2017-05-08T01:41:34 --delay 1 --endMP 300:23304 --enddatetime 2017-05-08T01:55:11 --enforcementcount 0 &gt;&gt;C:\Users\stu\Documents\GitHub\eaglep3-reporting\EC\2017-05-07-refined-times.txt</v>
      </c>
      <c r="AI203" s="99" t="str">
        <f t="shared" ref="AI203:AI226" si="110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{"issue":{"subject":"","project_id":79,"tracker_id":40,"status_id":1,"priority_id":2,"assigned_to_id":23,"start_date":"2017-05-08","description":"","custom_fields":[{"id":1,"name":"Subdivision","value":"Other"},{"id":4,"name":"Milepost","value":"2.3304"},{"id":17,"name":"Train ID","value":"311-07"},{"id":16,"name":"Locomotive ID","value":"4044"},{"id":130,"name":"Impact","value":""},{"id":150,"name":"Time of Event (Mountain Time)","value":"01:55:11"},{"id":151,"name":"Denver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ref="AM203:AM226" si="111">"start /low /b "&amp;dls3logs&amp;" --loco "&amp;B203&amp;" --day "&amp;TEXT(F203,"YYYY-MM-DD")</f>
        <v>start /low /b %USERPROFILE%\Documents\GitHub\eaglep3\Utilities\DownloadLogsFromS3.py --loco 4044 --day 2017-05-08</v>
      </c>
      <c r="AN203" s="154" t="str">
        <f t="shared" ref="AN203:AN226" si="112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07:55:11"},{"id":29,"name":"Sharepoint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499</v>
      </c>
      <c r="B204" s="7">
        <v>4024</v>
      </c>
      <c r="C204" s="21" t="s">
        <v>209</v>
      </c>
      <c r="D204" s="21" t="s">
        <v>523</v>
      </c>
      <c r="E204" s="13">
        <v>42862.08902777778</v>
      </c>
      <c r="F204" s="13">
        <v>42862.090497685182</v>
      </c>
      <c r="G204" s="7">
        <v>1</v>
      </c>
      <c r="H204" s="21" t="s">
        <v>539</v>
      </c>
      <c r="I204" s="13">
        <v>42862.099421296298</v>
      </c>
      <c r="J204" s="7">
        <v>0</v>
      </c>
      <c r="K204" s="92" t="str">
        <f t="shared" si="94"/>
        <v>4023/4024</v>
      </c>
      <c r="L204" s="21" t="str">
        <f>VLOOKUP(A204,'Trips&amp;Operators'!$C$1:$G$99999,5,FALSE)</f>
        <v>SWANSON BRYCE</v>
      </c>
      <c r="M204" s="6">
        <f t="shared" si="95"/>
        <v>8.9236111161881126E-3</v>
      </c>
      <c r="N204" s="7">
        <f t="shared" si="96"/>
        <v>12.850000007310882</v>
      </c>
      <c r="O204" s="7"/>
      <c r="P204" s="7"/>
      <c r="Q204" s="22"/>
      <c r="R204" s="190"/>
      <c r="S204" s="196">
        <f t="shared" si="97"/>
        <v>1</v>
      </c>
      <c r="T204" s="190" t="str">
        <f t="shared" si="98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99"/>
        <v>https://d0f6bd738d7f1b3e5a7ca70fe4ff75f0.us-east-1.aws.found.io/app/kibana#/discover/Steve-Slow-Train-Analysis-(2080s-and-2083s)?_g=(refreshInterval:(display:Off,pause:!f,section:0,value:0),time:(from:'2017-05-07T01:08:12-0600',mode:absolute,to:'2017-05-07T03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4" s="192" t="str">
        <f t="shared" si="100"/>
        <v>Y</v>
      </c>
      <c r="X204" s="192">
        <f t="shared" si="101"/>
        <v>2</v>
      </c>
      <c r="Y204" s="192">
        <f t="shared" si="102"/>
        <v>4.7800000000000002E-2</v>
      </c>
      <c r="Z204" s="192">
        <f t="shared" si="103"/>
        <v>2.3302</v>
      </c>
      <c r="AA204" s="192">
        <f t="shared" si="104"/>
        <v>2.2824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105"/>
        <v>0313-06</v>
      </c>
      <c r="AE204" s="80" t="str">
        <f t="shared" si="106"/>
        <v>aws s3 cp s3://rtdc.mdm.uploadarchive.raw/RTDC4024/ "%USERPROFILE%\AppData\Local\Temp\OnboardLogs"\RTDC4024\2017-05-07 --exclude "*" --recursive --include "*20170507*" &amp; "%USERPROFILE%\Documents\GitHub\mrs-test-scripts\Headless Mode &amp; Sideloading\WalkAndUnGZ.bat" "%USERPROFILE%\AppData\Local\Temp\OnboardLogs"\RTDC4024\2017-05-07 &amp; aws s3 cp s3://rtdc.mdm.uploadarchive.raw/RTDC4024/ "%USERPROFILE%\AppData\Local\Temp\OnboardLogs"\RTDC4024\2017-05-08 --exclude "*" --recursive --include "*20170508*" &amp; "%USERPROFILE%\Documents\GitHub\mrs-test-scripts\Headless Mode &amp; Sideloading\WalkAndUnGZ.bat" "%USERPROFILE%\AppData\Local\Temp\OnboardLogs"\RTDC4024\2017-05-08</v>
      </c>
      <c r="AF204" s="77" t="str">
        <f t="shared" si="107"/>
        <v>"C:\Program Files (x86)\AstroGrep\AstroGrep.exe" /e /r /s /spath="%USERPROFILE%\AppData\Local\Temp\OnboardLogs" /stypes="app*4024*20170507*" /stext=" 08:.+((SYSTEM_STATE.+slice.+state.+changed )|(ment ac)|(multiple cpu faults)|(system.+state.+changed )|(\[timeout)|(PRM\|1\|D)|(kpr)|(kdp)|(train st.+moving)|(\|lc)|(penalty))"</v>
      </c>
      <c r="AG204" s="1" t="str">
        <f t="shared" si="108"/>
        <v>Other</v>
      </c>
      <c r="AH204" s="81" t="str">
        <f t="shared" si="109"/>
        <v>"%USERPROFILE%\Documents\GitHub\eaglep3\Utilities\RefineRTDCRunTimes.py" --tripid 313-06 --locoid 4024 --swversion DE.1.0.9.0 --startMP 204:478 --initTime 2017-05-07T02:08:12 --startdatetime 2017-05-07T02:10:19 --delay 1 --endMP 300:23302 --enddatetime 2017-05-07T02:23:10 --enforcementcount 0 &gt;&gt;C:\Users\stu\Documents\GitHub\eaglep3-reporting\EC\2017-05-07-refined-times.txt</v>
      </c>
      <c r="AI204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{"issue":{"subject":"","project_id":79,"tracker_id":40,"status_id":1,"priority_id":2,"assigned_to_id":23,"start_date":"2017-05-07","description":"","custom_fields":[{"id":1,"name":"Subdivision","value":"Other"},{"id":4,"name":"Milepost","value":"2.3302"},{"id":17,"name":"Train ID","value":"313-06"},{"id":16,"name":"Locomotive ID","value":"4024"},{"id":130,"name":"Impact","value":""},{"id":150,"name":"Time of Event (Mountain Time)","value":"02:23:10"},{"id":151,"name":"Denver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11"/>
        <v>start /low /b %USERPROFILE%\Documents\GitHub\eaglep3\Utilities\DownloadLogsFromS3.py --loco 4024 --day 2017-05-07</v>
      </c>
      <c r="AN204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08:23:10"},{"id":29,"name":"Sharepoint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775</v>
      </c>
      <c r="B205" s="7">
        <v>4052</v>
      </c>
      <c r="C205" s="21" t="s">
        <v>209</v>
      </c>
      <c r="D205" s="21" t="s">
        <v>395</v>
      </c>
      <c r="E205" s="13">
        <v>42863.088518518518</v>
      </c>
      <c r="F205" s="13">
        <v>42863.090567129628</v>
      </c>
      <c r="G205" s="7">
        <v>2</v>
      </c>
      <c r="H205" s="21" t="s">
        <v>378</v>
      </c>
      <c r="I205" s="13">
        <v>42863.098865740743</v>
      </c>
      <c r="J205" s="7">
        <v>0</v>
      </c>
      <c r="K205" s="92" t="str">
        <f t="shared" si="94"/>
        <v>4051/4052</v>
      </c>
      <c r="L205" s="21" t="str">
        <f>VLOOKUP(A205,'Trips&amp;Operators'!$C$1:$G$99999,5,FALSE)</f>
        <v>STAMBAUGH JAMES</v>
      </c>
      <c r="M205" s="6">
        <f t="shared" si="95"/>
        <v>8.298611115606036E-3</v>
      </c>
      <c r="N205" s="7">
        <f t="shared" si="96"/>
        <v>11.950000006472692</v>
      </c>
      <c r="O205" s="7"/>
      <c r="P205" s="7"/>
      <c r="Q205" s="22"/>
      <c r="R205" s="190"/>
      <c r="S205" s="196">
        <f t="shared" si="97"/>
        <v>1</v>
      </c>
      <c r="T205" s="190" t="str">
        <f t="shared" si="98"/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si="99"/>
        <v>https://d0f6bd738d7f1b3e5a7ca70fe4ff75f0.us-east-1.aws.found.io/app/kibana#/discover/Steve-Slow-Train-Analysis-(2080s-and-2083s)?_g=(refreshInterval:(display:Off,pause:!f,section:0,value:0),time:(from:'2017-05-08T01:07:28-0600',mode:absolute,to:'2017-05-08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192" t="str">
        <f t="shared" si="100"/>
        <v>Y</v>
      </c>
      <c r="X205" s="192">
        <f t="shared" si="101"/>
        <v>0</v>
      </c>
      <c r="Y205" s="192">
        <f t="shared" si="102"/>
        <v>4.4699999999999997E-2</v>
      </c>
      <c r="Z205" s="192">
        <f t="shared" si="103"/>
        <v>2.3346</v>
      </c>
      <c r="AA205" s="192">
        <f t="shared" si="104"/>
        <v>2.2898999999999998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si="105"/>
        <v>0313-07</v>
      </c>
      <c r="AE205" s="80" t="str">
        <f t="shared" si="106"/>
        <v>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 &amp; aws s3 cp s3://rtdc.mdm.uploadarchive.raw/RTDC4052/ "%USERPROFILE%\AppData\Local\Temp\OnboardLogs"\RTDC4052\2017-05-09 --exclude "*" --recursive --include "*20170509*" &amp; "%USERPROFILE%\Documents\GitHub\mrs-test-scripts\Headless Mode &amp; Sideloading\WalkAndUnGZ.bat" "%USERPROFILE%\AppData\Local\Temp\OnboardLogs"\RTDC4052\2017-05-09</v>
      </c>
      <c r="AF205" s="77" t="str">
        <f t="shared" si="107"/>
        <v>"C:\Program Files (x86)\AstroGrep\AstroGrep.exe" /e /r /s /spath="%USERPROFILE%\AppData\Local\Temp\OnboardLogs" /stypes="app*4052*20170508*" /stext=" 08:.+((SYSTEM_STATE.+slice.+state.+changed )|(ment ac)|(multiple cpu faults)|(system.+state.+changed )|(\[timeout)|(PRM\|1\|D)|(kpr)|(kdp)|(train st.+moving)|(\|lc)|(penalty))"</v>
      </c>
      <c r="AG205" s="1" t="str">
        <f t="shared" si="108"/>
        <v>Other</v>
      </c>
      <c r="AH205" s="81" t="str">
        <f t="shared" si="109"/>
        <v>"%USERPROFILE%\Documents\GitHub\eaglep3\Utilities\RefineRTDCRunTimes.py" --tripid 313-07 --locoid 4052 --swversion DE.1.0.9.0 --startMP 204:447 --initTime 2017-05-08T02:07:28 --startdatetime 2017-05-08T02:10:25 --delay 2 --endMP 300:23346 --enddatetime 2017-05-08T02:22:22 --enforcementcount 0 &gt;&gt;C:\Users\stu\Documents\GitHub\eaglep3-reporting\EC\2017-05-07-refined-times.txt</v>
      </c>
      <c r="AI205" s="99" t="str">
        <f t="shared" si="110"/>
        <v>echo {"issue":{"subject":"","project_id":79,"tracker_id":40,"status_id":1,"priority_id":2,"assigned_to_id":23,"start_date":"2017-05-08","description":"","custom_fields":[{"id":1,"name":"Subdivision","value":"Other"},{"id":4,"name":"Milepost","value":"2.3346"},{"id":17,"name":"Train ID","value":"313-07"},{"id":16,"name":"Locomotive ID","value":"4052"},{"id":130,"name":"Impact","value":""},{"id":150,"name":"Time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111"/>
        <v>start /low /b %USERPROFILE%\Documents\GitHub\eaglep3\Utilities\DownloadLogsFromS3.py --loco 4052 --day 2017-05-08</v>
      </c>
      <c r="AN205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s="20" customFormat="1" x14ac:dyDescent="0.25">
      <c r="A206" s="32" t="s">
        <v>770</v>
      </c>
      <c r="B206" s="7">
        <v>4006</v>
      </c>
      <c r="C206" s="21" t="s">
        <v>209</v>
      </c>
      <c r="D206" s="21" t="s">
        <v>925</v>
      </c>
      <c r="E206" s="13">
        <v>42863.028749999998</v>
      </c>
      <c r="F206" s="13">
        <v>42863.030532407407</v>
      </c>
      <c r="G206" s="7">
        <v>2</v>
      </c>
      <c r="H206" s="21" t="s">
        <v>914</v>
      </c>
      <c r="I206" s="13">
        <v>42863.038726851853</v>
      </c>
      <c r="J206" s="7">
        <v>0</v>
      </c>
      <c r="K206" s="92" t="str">
        <f t="shared" si="94"/>
        <v>4005/4006</v>
      </c>
      <c r="L206" s="21" t="str">
        <f>VLOOKUP(A206,'Trips&amp;Operators'!$C$1:$G$99999,5,FALSE)</f>
        <v>DUNCAN SHEILA</v>
      </c>
      <c r="M206" s="6">
        <f t="shared" si="95"/>
        <v>8.1944444464170374E-3</v>
      </c>
      <c r="N206" s="7">
        <f t="shared" si="96"/>
        <v>11.800000002840534</v>
      </c>
      <c r="O206" s="7"/>
      <c r="P206" s="7"/>
      <c r="Q206" s="22"/>
      <c r="R206" s="190"/>
      <c r="S206" s="196">
        <f t="shared" si="97"/>
        <v>1</v>
      </c>
      <c r="T206" s="190" t="str">
        <f t="shared" si="98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99"/>
        <v>https://d0f6bd738d7f1b3e5a7ca70fe4ff75f0.us-east-1.aws.found.io/app/kibana#/discover/Steve-Slow-Train-Analysis-(2080s-and-2083s)?_g=(refreshInterval:(display:Off,pause:!f,section:0,value:0),time:(from:'2017-05-07T23:41:24-0600',mode:absolute,to:'2017-05-08T01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192" t="str">
        <f t="shared" si="100"/>
        <v>Y</v>
      </c>
      <c r="X206" s="192">
        <f t="shared" si="101"/>
        <v>2</v>
      </c>
      <c r="Y206" s="192">
        <f t="shared" si="102"/>
        <v>0.12180000000000001</v>
      </c>
      <c r="Z206" s="192">
        <f t="shared" si="103"/>
        <v>2.3304</v>
      </c>
      <c r="AA206" s="192">
        <f t="shared" si="104"/>
        <v>2.2086000000000001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105"/>
        <v>0315-07</v>
      </c>
      <c r="AE206" s="80" t="str">
        <f t="shared" si="106"/>
        <v>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 &amp; aws s3 cp s3://rtdc.mdm.uploadarchive.raw/RTDC4006/ "%USERPROFILE%\AppData\Local\Temp\OnboardLogs"\RTDC4006\2017-05-09 --exclude "*" --recursive --include "*20170509*" &amp; "%USERPROFILE%\Documents\GitHub\mrs-test-scripts\Headless Mode &amp; Sideloading\WalkAndUnGZ.bat" "%USERPROFILE%\AppData\Local\Temp\OnboardLogs"\RTDC4006\2017-05-09</v>
      </c>
      <c r="AF206" s="77" t="str">
        <f t="shared" si="107"/>
        <v>"C:\Program Files (x86)\AstroGrep\AstroGrep.exe" /e /r /s /spath="%USERPROFILE%\AppData\Local\Temp\OnboardLogs" /stypes="app*4006*20170508*" /stext=" 06:.+((SYSTEM_STATE.+slice.+state.+changed )|(ment ac)|(multiple cpu faults)|(system.+state.+changed )|(\[timeout)|(PRM\|1\|D)|(kpr)|(kdp)|(train st.+moving)|(\|lc)|(penalty))"</v>
      </c>
      <c r="AG206" s="1" t="str">
        <f t="shared" si="108"/>
        <v>Other</v>
      </c>
      <c r="AH206" s="81" t="str">
        <f t="shared" si="109"/>
        <v>"%USERPROFILE%\Documents\GitHub\eaglep3\Utilities\RefineRTDCRunTimes.py" --tripid 315-07 --locoid 4006 --swversion DE.1.0.9.0 --startMP 204:1218 --initTime 2017-05-08T00:41:24 --startdatetime 2017-05-08T00:43:58 --delay 2 --endMP 300:23304 --enddatetime 2017-05-08T00:55:46 --enforcementcount 0 &gt;&gt;C:\Users\stu\Documents\GitHub\eaglep3-reporting\EC\2017-05-07-refined-times.txt</v>
      </c>
      <c r="AI206" s="99" t="str">
        <f t="shared" si="110"/>
        <v>echo {"issue":{"subject":"","project_id":79,"tracker_id":40,"status_id":1,"priority_id":2,"assigned_to_id":23,"start_date":"2017-05-08","description":"","custom_fields":[{"id":1,"name":"Subdivision","value":"Other"},{"id":4,"name":"Milepost","value":"2.3304"},{"id":17,"name":"Train ID","value":"315-07"},{"id":16,"name":"Locomotive ID","value":"4006"},{"id":130,"name":"Impact","value":""},{"id":150,"name":"Time of Event (Mountain Time)","value":"00:55:46"},{"id":151,"name":"Denver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5" t="str">
        <f t="shared" si="111"/>
        <v>start /low /b %USERPROFILE%\Documents\GitHub\eaglep3\Utilities\DownloadLogsFromS3.py --loco 4006 --day 2017-05-08</v>
      </c>
      <c r="AN206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619</v>
      </c>
      <c r="B207" s="7">
        <v>4008</v>
      </c>
      <c r="C207" s="21" t="s">
        <v>209</v>
      </c>
      <c r="D207" s="21" t="s">
        <v>878</v>
      </c>
      <c r="E207" s="13">
        <v>42862.228634259256</v>
      </c>
      <c r="F207" s="13">
        <v>42862.233530092592</v>
      </c>
      <c r="G207" s="7">
        <v>6</v>
      </c>
      <c r="H207" s="21" t="s">
        <v>836</v>
      </c>
      <c r="I207" s="13">
        <v>42862.237743055557</v>
      </c>
      <c r="J207" s="7">
        <v>0</v>
      </c>
      <c r="K207" s="92" t="str">
        <f t="shared" si="94"/>
        <v>4007/4008</v>
      </c>
      <c r="L207" s="21" t="str">
        <f>VLOOKUP(A207,'Trips&amp;Operators'!$C$1:$G$99999,5,FALSE)</f>
        <v>NELSON ARIANE</v>
      </c>
      <c r="M207" s="6">
        <f t="shared" si="95"/>
        <v>4.2129629655391909E-3</v>
      </c>
      <c r="N207" s="7">
        <f t="shared" si="96"/>
        <v>6.0666666703764349</v>
      </c>
      <c r="O207" s="7"/>
      <c r="P207" s="7"/>
      <c r="Q207" s="22"/>
      <c r="R207" s="190"/>
      <c r="S207" s="196">
        <f t="shared" si="97"/>
        <v>0</v>
      </c>
      <c r="T207" s="190" t="str">
        <f t="shared" si="98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91" t="str">
        <f t="shared" si="99"/>
        <v>https://d0f6bd738d7f1b3e5a7ca70fe4ff75f0.us-east-1.aws.found.io/app/kibana#/discover/Steve-Slow-Train-Analysis-(2080s-and-2083s)?_g=(refreshInterval:(display:Off,pause:!f,section:0,value:0),time:(from:'2017-05-07T04:29:14-0600',mode:absolute,to:'2017-05-07T06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7" s="192" t="str">
        <f t="shared" si="100"/>
        <v>Y</v>
      </c>
      <c r="X207" s="192">
        <f t="shared" si="101"/>
        <v>1586</v>
      </c>
      <c r="Y207" s="192">
        <f t="shared" si="102"/>
        <v>2.9580000000000002</v>
      </c>
      <c r="Z207" s="192">
        <f t="shared" si="103"/>
        <v>5.8945999999999996</v>
      </c>
      <c r="AA207" s="192">
        <f t="shared" si="104"/>
        <v>2.9365999999999994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105"/>
        <v>1901-07</v>
      </c>
      <c r="AE207" s="80" t="str">
        <f t="shared" si="106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207" s="77" t="str">
        <f t="shared" si="107"/>
        <v>"C:\Program Files (x86)\AstroGrep\AstroGrep.exe" /e /r /s /spath="%USERPROFILE%\AppData\Local\Temp\OnboardLogs" /stypes="app*4008*20170507*" /stext=" 11:.+((SYSTEM_STATE.+slice.+state.+changed )|(ment ac)|(multiple cpu faults)|(system.+state.+changed )|(\[timeout)|(PRM\|1\|D)|(kpr)|(kdp)|(train st.+moving)|(\|lc)|(penalty))"</v>
      </c>
      <c r="AG207" s="1" t="str">
        <f t="shared" si="108"/>
        <v>Other</v>
      </c>
      <c r="AH207" s="81" t="str">
        <f t="shared" si="109"/>
        <v>"%USERPROFILE%\Documents\GitHub\eaglep3\Utilities\RefineRTDCRunTimes.py" --tripid 1901-07 --locoid 4008 --swversion DE.1.0.9.0 --startMP 300:29580 --initTime 2017-05-07T05:29:14 --startdatetime 2017-05-07T05:36:17 --delay 6 --endMP 300:58946 --enddatetime 2017-05-07T05:42:21 --enforcementcount 0 &gt;&gt;C:\Users\stu\Documents\GitHub\eaglep3-reporting\EC\2017-05-07-refined-times.txt</v>
      </c>
      <c r="AI207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{"issue":{"subject":"","project_id":79,"tracker_id":40,"status_id":1,"priority_id":2,"assigned_to_id":23,"start_date":"2017-05-07","description":"","custom_fields":[{"id":1,"name":"Subdivision","value":"Other"},{"id":4,"name":"Milepost","value":"5.8946"},{"id":17,"name":"Train ID","value":"1901-07"},{"id":16,"name":"Locomotive ID","value":"4008"},{"id":130,"name":"Impact","value":""},{"id":150,"name":"Time of Event (Mountain Time)","value":"05:42:21"},{"id":151,"name":"Denver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11"/>
        <v>start /low /b %USERPROFILE%\Documents\GitHub\eaglep3\Utilities\DownloadLogsFromS3.py --loco 4008 --day 2017-05-07</v>
      </c>
      <c r="AN207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619</v>
      </c>
      <c r="B208" s="7">
        <v>4008</v>
      </c>
      <c r="C208" s="21" t="s">
        <v>209</v>
      </c>
      <c r="D208" s="21" t="s">
        <v>879</v>
      </c>
      <c r="E208" s="13">
        <v>42862.228634259256</v>
      </c>
      <c r="F208" s="13">
        <v>42862.233530092592</v>
      </c>
      <c r="G208" s="7">
        <v>7</v>
      </c>
      <c r="H208" s="21" t="s">
        <v>836</v>
      </c>
      <c r="I208" s="13">
        <v>42862.237743055557</v>
      </c>
      <c r="J208" s="7">
        <v>0</v>
      </c>
      <c r="K208" s="92" t="str">
        <f t="shared" si="94"/>
        <v>4007/4008</v>
      </c>
      <c r="L208" s="21" t="str">
        <f>VLOOKUP(A208,'Trips&amp;Operators'!$C$1:$G$99999,5,FALSE)</f>
        <v>NELSON ARIANE</v>
      </c>
      <c r="M208" s="6">
        <f t="shared" si="95"/>
        <v>4.2129629655391909E-3</v>
      </c>
      <c r="N208" s="7">
        <f t="shared" si="96"/>
        <v>6.0666666703764349</v>
      </c>
      <c r="O208" s="7"/>
      <c r="P208" s="7"/>
      <c r="Q208" s="22"/>
      <c r="R208" s="190"/>
      <c r="S208" s="196">
        <f t="shared" si="97"/>
        <v>0</v>
      </c>
      <c r="T208" s="190" t="str">
        <f t="shared" si="98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91" t="str">
        <f t="shared" si="99"/>
        <v>https://d0f6bd738d7f1b3e5a7ca70fe4ff75f0.us-east-1.aws.found.io/app/kibana#/discover/Steve-Slow-Train-Analysis-(2080s-and-2083s)?_g=(refreshInterval:(display:Off,pause:!f,section:0,value:0),time:(from:'2017-05-07T04:29:14-0600',mode:absolute,to:'2017-05-07T06:42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8" s="192" t="str">
        <f t="shared" si="100"/>
        <v>Y</v>
      </c>
      <c r="X208" s="192">
        <f t="shared" si="101"/>
        <v>0</v>
      </c>
      <c r="Y208" s="192">
        <f t="shared" si="102"/>
        <v>3.0956999999999999</v>
      </c>
      <c r="Z208" s="192">
        <f t="shared" si="103"/>
        <v>5.8945999999999996</v>
      </c>
      <c r="AA208" s="192">
        <f t="shared" si="104"/>
        <v>2.7988999999999997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105"/>
        <v>1901-07</v>
      </c>
      <c r="AE208" s="80" t="str">
        <f t="shared" si="106"/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AF208" s="77" t="str">
        <f t="shared" si="107"/>
        <v>"C:\Program Files (x86)\AstroGrep\AstroGrep.exe" /e /r /s /spath="%USERPROFILE%\AppData\Local\Temp\OnboardLogs" /stypes="app*4008*20170507*" /stext=" 11:.+((SYSTEM_STATE.+slice.+state.+changed )|(ment ac)|(multiple cpu faults)|(system.+state.+changed )|(\[timeout)|(PRM\|1\|D)|(kpr)|(kdp)|(train st.+moving)|(\|lc)|(penalty))"</v>
      </c>
      <c r="AG208" s="1" t="str">
        <f t="shared" si="108"/>
        <v>Other</v>
      </c>
      <c r="AH208" s="81" t="str">
        <f t="shared" si="109"/>
        <v>"%USERPROFILE%\Documents\GitHub\eaglep3\Utilities\RefineRTDCRunTimes.py" --tripid 1901-07 --locoid 4008 --swversion DE.1.0.9.0 --startMP 300:30957 --initTime 2017-05-07T05:29:14 --startdatetime 2017-05-07T05:36:17 --delay 7 --endMP 300:58946 --enddatetime 2017-05-07T05:42:21 --enforcementcount 0 &gt;&gt;C:\Users\stu\Documents\GitHub\eaglep3-reporting\EC\2017-05-07-refined-times.txt</v>
      </c>
      <c r="AI208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{"issue":{"subject":"","project_id":79,"tracker_id":40,"status_id":1,"priority_id":2,"assigned_to_id":23,"start_date":"2017-05-07","description":"","custom_fields":[{"id":1,"name":"Subdivision","value":"Other"},{"id":4,"name":"Milepost","value":"5.8946"},{"id":17,"name":"Train ID","value":"1901-07"},{"id":16,"name":"Locomotive ID","value":"4008"},{"id":130,"name":"Impact","value":""},{"id":150,"name":"Time of Event (Mountain Time)","value":"05:42:21"},{"id":151,"name":"Denver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11"/>
        <v>start /low /b %USERPROFILE%\Documents\GitHub\eaglep3\Utilities\DownloadLogsFromS3.py --loco 4008 --day 2017-05-07</v>
      </c>
      <c r="AN208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11:42:21"},{"id":29,"name":"Sharepoint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764</v>
      </c>
      <c r="B209" s="7">
        <v>4007</v>
      </c>
      <c r="C209" s="21" t="s">
        <v>209</v>
      </c>
      <c r="D209" s="21" t="s">
        <v>520</v>
      </c>
      <c r="E209" s="13">
        <v>42862.942025462966</v>
      </c>
      <c r="F209" s="13">
        <v>42862.950219907405</v>
      </c>
      <c r="G209" s="7">
        <v>1</v>
      </c>
      <c r="H209" s="21" t="s">
        <v>880</v>
      </c>
      <c r="I209" s="13">
        <v>42863.009976851848</v>
      </c>
      <c r="J209" s="7">
        <v>0</v>
      </c>
      <c r="K209" s="92" t="str">
        <f t="shared" si="94"/>
        <v>4007/4008</v>
      </c>
      <c r="L209" s="21" t="str">
        <f>VLOOKUP(A209,'Trips&amp;Operators'!$C$1:$G$99999,5,FALSE)</f>
        <v>HELVIE ADAM</v>
      </c>
      <c r="M209" s="6">
        <f t="shared" si="95"/>
        <v>5.9756944443506654E-2</v>
      </c>
      <c r="N209" s="7">
        <f t="shared" si="96"/>
        <v>86.049999998649582</v>
      </c>
      <c r="O209" s="7"/>
      <c r="P209" s="7"/>
      <c r="Q209" s="22"/>
      <c r="R209" s="190"/>
      <c r="S209" s="196">
        <f t="shared" si="97"/>
        <v>0</v>
      </c>
      <c r="T209" s="190" t="str">
        <f t="shared" si="98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91" t="str">
        <f t="shared" si="99"/>
        <v>https://d0f6bd738d7f1b3e5a7ca70fe4ff75f0.us-east-1.aws.found.io/app/kibana#/discover/Steve-Slow-Train-Analysis-(2080s-and-2083s)?_g=(refreshInterval:(display:Off,pause:!f,section:0,value:0),time:(from:'2017-05-07T21:36:31-0600',mode:absolute,to:'2017-05-08T01:14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9" s="192" t="str">
        <f t="shared" si="100"/>
        <v>Y</v>
      </c>
      <c r="X209" s="192">
        <f t="shared" si="101"/>
        <v>1</v>
      </c>
      <c r="Y209" s="192">
        <f t="shared" si="102"/>
        <v>5.8615000000000004</v>
      </c>
      <c r="Z209" s="192">
        <f t="shared" si="103"/>
        <v>2.1728999999999998</v>
      </c>
      <c r="AA209" s="192">
        <f t="shared" si="104"/>
        <v>3.6886000000000005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105"/>
        <v>1902-07</v>
      </c>
      <c r="AE209" s="80" t="str">
        <f t="shared" si="106"/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AF209" s="77" t="str">
        <f t="shared" si="107"/>
        <v>"C:\Program Files (x86)\AstroGrep\AstroGrep.exe" /e /r /s /spath="%USERPROFILE%\AppData\Local\Temp\OnboardLogs" /stypes="app*4007*20170508*" /stext=" 06:.+((SYSTEM_STATE.+slice.+state.+changed )|(ment ac)|(multiple cpu faults)|(system.+state.+changed )|(\[timeout)|(PRM\|1\|D)|(kpr)|(kdp)|(train st.+moving)|(\|lc)|(penalty))"</v>
      </c>
      <c r="AG209" s="1" t="str">
        <f t="shared" si="108"/>
        <v>Other</v>
      </c>
      <c r="AH209" s="81" t="str">
        <f t="shared" si="109"/>
        <v>"%USERPROFILE%\Documents\GitHub\eaglep3\Utilities\RefineRTDCRunTimes.py" --tripid 1902-07 --locoid 4007 --swversion DE.1.0.9.0 --startMP 300:58615 --initTime 2017-05-07T22:36:31 --startdatetime 2017-05-07T22:48:19 --delay 1 --endMP 300:21729 --enddatetime 2017-05-08T00:14:22 --enforcementcount 0 &gt;&gt;C:\Users\stu\Documents\GitHub\eaglep3-reporting\EC\2017-05-07-refined-times.txt</v>
      </c>
      <c r="AI209" s="99" t="str">
        <f t="shared" si="110"/>
        <v>echo {"issue":{"subject":"","project_id":79,"tracker_id":40,"status_id":1,"priority_id":2,"assigned_to_id":23,"start_date":"2017-05-08","description":"","custom_fields":[{"id":1,"name":"Subdivision","value":"Other"},{"id":4,"name":"Milepost","value":"2.1729"},{"id":17,"name":"Train ID","value":"1902-07"},{"id":16,"name":"Locomotive ID","value":"4007"},{"id":130,"name":"Impact","value":""},{"id":150,"name":"Time of Event (Mountain Time)","value":"00:14:22"},{"id":151,"name":"Denver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11"/>
        <v>start /low /b %USERPROFILE%\Documents\GitHub\eaglep3\Utilities\DownloadLogsFromS3.py --loco 4007 --day 2017-05-07</v>
      </c>
      <c r="AN209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06:14:22"},{"id":29,"name":"Sharepoint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595</v>
      </c>
      <c r="B210" s="7">
        <v>4018</v>
      </c>
      <c r="C210" s="21" t="s">
        <v>209</v>
      </c>
      <c r="D210" s="21" t="s">
        <v>926</v>
      </c>
      <c r="E210" s="13">
        <v>42862.120092592595</v>
      </c>
      <c r="F210" s="13">
        <v>42862.121770833335</v>
      </c>
      <c r="G210" s="7">
        <v>1</v>
      </c>
      <c r="H210" s="21" t="s">
        <v>378</v>
      </c>
      <c r="I210" s="13">
        <v>42862.133055555554</v>
      </c>
      <c r="J210" s="7">
        <v>0</v>
      </c>
      <c r="K210" s="92" t="str">
        <f t="shared" si="94"/>
        <v>4017/4018</v>
      </c>
      <c r="L210" s="21" t="str">
        <f>VLOOKUP(A210,'Trips&amp;Operators'!$C$1:$G$99999,5,FALSE)</f>
        <v>GOLIGHTLY KENNETH</v>
      </c>
      <c r="M210" s="6">
        <f t="shared" si="95"/>
        <v>1.1284722218988463E-2</v>
      </c>
      <c r="N210" s="7">
        <f t="shared" si="96"/>
        <v>16.249999995343387</v>
      </c>
      <c r="O210" s="7"/>
      <c r="P210" s="7"/>
      <c r="Q210" s="22"/>
      <c r="R210" s="190"/>
      <c r="S210" s="196">
        <f t="shared" si="97"/>
        <v>0</v>
      </c>
      <c r="T210" s="190" t="e">
        <f t="shared" si="98"/>
        <v>#VALUE!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91" t="str">
        <f t="shared" si="99"/>
        <v>https://d0f6bd738d7f1b3e5a7ca70fe4ff75f0.us-east-1.aws.found.io/app/kibana#/discover/Steve-Slow-Train-Analysis-(2080s-and-2083s)?_g=(refreshInterval:(display:Off,pause:!f,section:0,value:0),time:(from:'2017-05-07T01:52:56-0600',mode:absolute,to:'2017-05-07T04:11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0" s="192" t="str">
        <f t="shared" si="100"/>
        <v>Y</v>
      </c>
      <c r="X210" s="192" t="e">
        <f t="shared" si="101"/>
        <v>#VALUE!</v>
      </c>
      <c r="Y210" s="192">
        <f t="shared" si="102"/>
        <v>5.4199999999999998E-2</v>
      </c>
      <c r="Z210" s="192">
        <f t="shared" si="103"/>
        <v>2.3346</v>
      </c>
      <c r="AA210" s="192">
        <f t="shared" si="104"/>
        <v>2.2804000000000002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105"/>
        <v>50-07</v>
      </c>
      <c r="AE210" s="80" t="str">
        <f t="shared" si="106"/>
        <v>aws s3 cp s3://rtdc.mdm.uploadarchive.raw/RTDC4018/ "%USERPROFILE%\AppData\Local\Temp\OnboardLogs"\RTDC4018\2017-05-07 --exclude "*" --recursive --include "*20170507*" &amp; "%USERPROFILE%\Documents\GitHub\mrs-test-scripts\Headless Mode &amp; Sideloading\WalkAndUnGZ.bat" "%USERPROFILE%\AppData\Local\Temp\OnboardLogs"\RTDC4018\2017-05-07 &amp; aws s3 cp s3://rtdc.mdm.uploadarchive.raw/RTDC4018/ "%USERPROFILE%\AppData\Local\Temp\OnboardLogs"\RTDC4018\2017-05-08 --exclude "*" --recursive --include "*20170508*" &amp; "%USERPROFILE%\Documents\GitHub\mrs-test-scripts\Headless Mode &amp; Sideloading\WalkAndUnGZ.bat" "%USERPROFILE%\AppData\Local\Temp\OnboardLogs"\RTDC4018\2017-05-08</v>
      </c>
      <c r="AF210" s="77" t="str">
        <f t="shared" si="107"/>
        <v>"C:\Program Files (x86)\AstroGrep\AstroGrep.exe" /e /r /s /spath="%USERPROFILE%\AppData\Local\Temp\OnboardLogs" /stypes="app*4018*20170507*" /stext=" 09:.+((SYSTEM_STATE.+slice.+state.+changed )|(ment ac)|(multiple cpu faults)|(system.+state.+changed )|(\[timeout)|(PRM\|1\|D)|(kpr)|(kdp)|(train st.+moving)|(\|lc)|(penalty))"</v>
      </c>
      <c r="AG210" s="1" t="str">
        <f t="shared" si="108"/>
        <v>Other</v>
      </c>
      <c r="AH210" s="81" t="str">
        <f t="shared" si="109"/>
        <v>"%USERPROFILE%\Documents\GitHub\eaglep3\Utilities\RefineRTDCRunTimes.py" --tripid 50-07 --locoid 4018 --swversion DE.1.0.9.0 --startMP 204:542 --initTime 2017-05-07T02:52:56 --startdatetime 2017-05-07T02:55:21 --delay 1 --endMP 300:23346 --enddatetime 2017-05-07T03:11:36 --enforcementcount 0 &gt;&gt;C:\Users\stu\Documents\GitHub\eaglep3-reporting\EC\2017-05-07-refined-times.txt</v>
      </c>
      <c r="AI210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{"issue":{"subject":"","project_id":79,"tracker_id":40,"status_id":1,"priority_id":2,"assigned_to_id":23,"start_date":"2017-05-07","description":"","custom_fields":[{"id":1,"name":"Subdivision","value":"Other"},{"id":4,"name":"Milepost","value":"2.3346"},{"id":17,"name":"Train ID","value":"50-07"},{"id":16,"name":"Locomotive ID","value":"4018"},{"id":130,"name":"Impact","value":""},{"id":150,"name":"Time of Event (Mountain Time)","value":"03:11:36"},{"id":151,"name":"Denver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11"/>
        <v>start /low /b %USERPROFILE%\Documents\GitHub\eaglep3\Utilities\DownloadLogsFromS3.py --loco 4018 --day 2017-05-07</v>
      </c>
      <c r="AN210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09:11:36"},{"id":29,"name":"Sharepoint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589</v>
      </c>
      <c r="B211" s="7">
        <v>4041</v>
      </c>
      <c r="C211" s="21" t="s">
        <v>209</v>
      </c>
      <c r="D211" s="21" t="s">
        <v>927</v>
      </c>
      <c r="E211" s="13">
        <v>42862.852013888885</v>
      </c>
      <c r="F211" s="13">
        <v>42862.855034722219</v>
      </c>
      <c r="G211" s="7">
        <v>2</v>
      </c>
      <c r="H211" s="21" t="s">
        <v>928</v>
      </c>
      <c r="I211" s="13">
        <v>42862.873981481483</v>
      </c>
      <c r="J211" s="7">
        <v>0</v>
      </c>
      <c r="K211" s="92" t="str">
        <f t="shared" si="94"/>
        <v>4041/4042</v>
      </c>
      <c r="L211" s="21" t="str">
        <f>VLOOKUP(A211,'Trips&amp;Operators'!$C$1:$G$99999,5,FALSE)</f>
        <v>ARNOLD PAUL</v>
      </c>
      <c r="M211" s="6">
        <f t="shared" si="95"/>
        <v>1.8946759264508728E-2</v>
      </c>
      <c r="N211" s="7">
        <f t="shared" si="96"/>
        <v>27.283333340892568</v>
      </c>
      <c r="O211" s="7"/>
      <c r="P211" s="7"/>
      <c r="Q211" s="22"/>
      <c r="R211" s="190"/>
      <c r="S211" s="196">
        <f t="shared" si="97"/>
        <v>0</v>
      </c>
      <c r="T211" s="190" t="e">
        <f t="shared" si="98"/>
        <v>#VALUE!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1" t="str">
        <f t="shared" si="99"/>
        <v>https://d0f6bd738d7f1b3e5a7ca70fe4ff75f0.us-east-1.aws.found.io/app/kibana#/discover/Steve-Slow-Train-Analysis-(2080s-and-2083s)?_g=(refreshInterval:(display:Off,pause:!f,section:0,value:0),time:(from:'2017-05-07T19:26:54-0600',mode:absolute,to:'2017-05-07T21:58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2" t="str">
        <f t="shared" si="100"/>
        <v>N</v>
      </c>
      <c r="X211" s="192" t="e">
        <f t="shared" si="101"/>
        <v>#VALUE!</v>
      </c>
      <c r="Y211" s="192">
        <f t="shared" si="102"/>
        <v>12.7851</v>
      </c>
      <c r="Z211" s="192">
        <f t="shared" si="103"/>
        <v>0.10539999999999999</v>
      </c>
      <c r="AA211" s="192">
        <f t="shared" si="104"/>
        <v>12.6797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105"/>
        <v>52-07</v>
      </c>
      <c r="AE211" s="80" t="str">
        <f t="shared" si="106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211" s="77" t="str">
        <f t="shared" si="107"/>
        <v>"C:\Program Files (x86)\AstroGrep\AstroGrep.exe" /e /r /s /spath="%USERPROFILE%\AppData\Local\Temp\OnboardLogs" /stypes="app*4041*20170508*" /stext=" 02:.+((SYSTEM_STATE.+slice.+state.+changed )|(ment ac)|(multiple cpu faults)|(system.+state.+changed )|(\[timeout)|(PRM\|1\|D)|(kpr)|(kdp)|(train st.+moving)|(\|lc)|(penalty))"</v>
      </c>
      <c r="AG211" s="1" t="str">
        <f t="shared" si="108"/>
        <v>Other</v>
      </c>
      <c r="AH211" s="81" t="str">
        <f t="shared" si="109"/>
        <v>"%USERPROFILE%\Documents\GitHub\eaglep3\Utilities\RefineRTDCRunTimes.py" --tripid 52-07 --locoid 4041 --swversion DE.1.0.9.0 --startMP 204:127851 --initTime 2017-05-07T20:26:54 --startdatetime 2017-05-07T20:31:15 --delay 2 --endMP 204:1054 --enddatetime 2017-05-07T20:58:32 --enforcementcount 0 &gt;&gt;C:\Users\stu\Documents\GitHub\eaglep3-reporting\EC\2017-05-07-refined-times.txt</v>
      </c>
      <c r="AI211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{"issue":{"subject":"","project_id":79,"tracker_id":40,"status_id":1,"priority_id":2,"assigned_to_id":23,"start_date":"2017-05-07","description":"","custom_fields":[{"id":1,"name":"Subdivision","value":"Other"},{"id":4,"name":"Milepost","value":"0.1054"},{"id":17,"name":"Train ID","value":"52-07"},{"id":16,"name":"Locomotive ID","value":"4041"},{"id":130,"name":"Impact","value":""},{"id":150,"name":"Time of Event (Mountain Time)","value":"20:58:32"},{"id":151,"name":"Denver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11"/>
        <v>start /low /b %USERPROFILE%\Documents\GitHub\eaglep3\Utilities\DownloadLogsFromS3.py --loco 4041 --day 2017-05-07</v>
      </c>
      <c r="AN211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02:58:32"},{"id":29,"name":"Sharepoint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627</v>
      </c>
      <c r="B212" s="7">
        <v>4003</v>
      </c>
      <c r="C212" s="21" t="s">
        <v>209</v>
      </c>
      <c r="D212" s="21" t="s">
        <v>540</v>
      </c>
      <c r="E212" s="13">
        <v>42862.258275462962</v>
      </c>
      <c r="F212" s="13">
        <v>42862.259953703702</v>
      </c>
      <c r="G212" s="7">
        <v>1</v>
      </c>
      <c r="H212" s="21" t="s">
        <v>929</v>
      </c>
      <c r="I212" s="13">
        <v>42862.26116898148</v>
      </c>
      <c r="J212" s="7">
        <v>0</v>
      </c>
      <c r="K212" s="92" t="str">
        <f t="shared" si="94"/>
        <v>4003/4004</v>
      </c>
      <c r="L212" s="21" t="str">
        <f>VLOOKUP(A212,'Trips&amp;Operators'!$C$1:$G$99999,5,FALSE)</f>
        <v>DELGADO DIANAH</v>
      </c>
      <c r="M212" s="6">
        <f t="shared" si="95"/>
        <v>1.2152777781011537E-3</v>
      </c>
      <c r="N212" s="7">
        <f t="shared" si="96"/>
        <v>1.7500000004656613</v>
      </c>
      <c r="O212" s="7"/>
      <c r="P212" s="7"/>
      <c r="Q212" s="22"/>
      <c r="R212" s="190"/>
      <c r="S212" s="196">
        <f t="shared" si="97"/>
        <v>0</v>
      </c>
      <c r="T212" s="190" t="e">
        <f t="shared" si="98"/>
        <v>#VALUE!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 t="shared" si="99"/>
        <v>https://d0f6bd738d7f1b3e5a7ca70fe4ff75f0.us-east-1.aws.found.io/app/kibana#/discover/Steve-Slow-Train-Analysis-(2080s-and-2083s)?_g=(refreshInterval:(display:Off,pause:!f,section:0,value:0),time:(from:'2017-05-07T05:11:55-0600',mode:absolute,to:'2017-05-07T07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2" s="192" t="str">
        <f t="shared" si="100"/>
        <v>Y</v>
      </c>
      <c r="X212" s="192" t="e">
        <f t="shared" si="101"/>
        <v>#VALUE!</v>
      </c>
      <c r="Y212" s="192">
        <f t="shared" si="102"/>
        <v>0.33389999999999997</v>
      </c>
      <c r="Z212" s="192">
        <f t="shared" si="103"/>
        <v>0.11899999999999999</v>
      </c>
      <c r="AA212" s="192">
        <f t="shared" si="104"/>
        <v>0.21489999999999998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105"/>
        <v>53-07</v>
      </c>
      <c r="AE212" s="80" t="str">
        <f t="shared" si="106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212" s="77" t="str">
        <f t="shared" si="107"/>
        <v>"C:\Program Files (x86)\AstroGrep\AstroGrep.exe" /e /r /s /spath="%USERPROFILE%\AppData\Local\Temp\OnboardLogs" /stypes="app*4003*20170507*" /stext=" 12:.+((SYSTEM_STATE.+slice.+state.+changed )|(ment ac)|(multiple cpu faults)|(system.+state.+changed )|(\[timeout)|(PRM\|1\|D)|(kpr)|(kdp)|(train st.+moving)|(\|lc)|(penalty))"</v>
      </c>
      <c r="AG212" s="1" t="str">
        <f t="shared" si="108"/>
        <v>Other</v>
      </c>
      <c r="AH212" s="81" t="str">
        <f t="shared" si="109"/>
        <v>"%USERPROFILE%\Documents\GitHub\eaglep3\Utilities\RefineRTDCRunTimes.py" --tripid 53-07 --locoid 4003 --swversion DE.1.0.9.0 --startMP 204:3339 --initTime 2017-05-07T06:11:55 --startdatetime 2017-05-07T06:14:20 --delay 1 --endMP 204:1190 --enddatetime 2017-05-07T06:16:05 --enforcementcount 0 &gt;&gt;C:\Users\stu\Documents\GitHub\eaglep3-reporting\EC\2017-05-07-refined-times.txt</v>
      </c>
      <c r="AI212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{"issue":{"subject":"","project_id":79,"tracker_id":40,"status_id":1,"priority_id":2,"assigned_to_id":23,"start_date":"2017-05-07","description":"","custom_fields":[{"id":1,"name":"Subdivision","value":"Other"},{"id":4,"name":"Milepost","value":"0.119"},{"id":17,"name":"Train ID","value":"53-07"},{"id":16,"name":"Locomotive ID","value":"4003"},{"id":130,"name":"Impact","value":""},{"id":150,"name":"Time of Event (Mountain Time)","value":"06:16:05"},{"id":151,"name":"Denver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11"/>
        <v>start /low /b %USERPROFILE%\Documents\GitHub\eaglep3\Utilities\DownloadLogsFromS3.py --loco 4003 --day 2017-05-07</v>
      </c>
      <c r="AN212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12:16:05"},{"id":29,"name":"Sharepoint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627</v>
      </c>
      <c r="B213" s="7">
        <v>4004</v>
      </c>
      <c r="C213" s="21" t="s">
        <v>209</v>
      </c>
      <c r="D213" s="21" t="s">
        <v>411</v>
      </c>
      <c r="E213" s="13">
        <v>42862.248356481483</v>
      </c>
      <c r="F213" s="13">
        <v>42862.259953703702</v>
      </c>
      <c r="G213" s="7">
        <v>2</v>
      </c>
      <c r="H213" s="21" t="s">
        <v>930</v>
      </c>
      <c r="I213" s="13">
        <v>42862.26116898148</v>
      </c>
      <c r="J213" s="7">
        <v>0</v>
      </c>
      <c r="K213" s="92" t="str">
        <f t="shared" si="94"/>
        <v>4003/4004</v>
      </c>
      <c r="L213" s="21" t="str">
        <f>VLOOKUP(A213,'Trips&amp;Operators'!$C$1:$G$99999,5,FALSE)</f>
        <v>DELGADO DIANAH</v>
      </c>
      <c r="M213" s="6">
        <f t="shared" si="95"/>
        <v>1.2152777781011537E-3</v>
      </c>
      <c r="N213" s="7">
        <f t="shared" si="96"/>
        <v>1.7500000004656613</v>
      </c>
      <c r="O213" s="7"/>
      <c r="P213" s="7"/>
      <c r="Q213" s="22"/>
      <c r="R213" s="190"/>
      <c r="S213" s="196">
        <f t="shared" si="97"/>
        <v>0</v>
      </c>
      <c r="T213" s="190" t="e">
        <f t="shared" si="98"/>
        <v>#VALUE!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1" t="str">
        <f t="shared" si="99"/>
        <v>https://d0f6bd738d7f1b3e5a7ca70fe4ff75f0.us-east-1.aws.found.io/app/kibana#/discover/Steve-Slow-Train-Analysis-(2080s-and-2083s)?_g=(refreshInterval:(display:Off,pause:!f,section:0,value:0),time:(from:'2017-05-07T04:57:38-0600',mode:absolute,to:'2017-05-07T07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3" s="192" t="str">
        <f t="shared" si="100"/>
        <v>Y</v>
      </c>
      <c r="X213" s="192" t="e">
        <f t="shared" si="101"/>
        <v>#VALUE!</v>
      </c>
      <c r="Y213" s="192">
        <f t="shared" si="102"/>
        <v>4.4200000000000003E-2</v>
      </c>
      <c r="Z213" s="192">
        <f t="shared" si="103"/>
        <v>0.36580000000000001</v>
      </c>
      <c r="AA213" s="192">
        <f t="shared" si="104"/>
        <v>0.3216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105"/>
        <v>53-07</v>
      </c>
      <c r="AE213" s="80" t="str">
        <f t="shared" si="106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213" s="77" t="str">
        <f t="shared" si="107"/>
        <v>"C:\Program Files (x86)\AstroGrep\AstroGrep.exe" /e /r /s /spath="%USERPROFILE%\AppData\Local\Temp\OnboardLogs" /stypes="app*4004*20170507*" /stext=" 12:.+((SYSTEM_STATE.+slice.+state.+changed )|(ment ac)|(multiple cpu faults)|(system.+state.+changed )|(\[timeout)|(PRM\|1\|D)|(kpr)|(kdp)|(train st.+moving)|(\|lc)|(penalty))"</v>
      </c>
      <c r="AG213" s="1" t="str">
        <f t="shared" si="108"/>
        <v>Other</v>
      </c>
      <c r="AH213" s="81" t="str">
        <f t="shared" si="109"/>
        <v>"%USERPROFILE%\Documents\GitHub\eaglep3\Utilities\RefineRTDCRunTimes.py" --tripid 53-07 --locoid 4004 --swversion DE.1.0.9.0 --startMP 204:442 --initTime 2017-05-07T05:57:38 --startdatetime 2017-05-07T06:14:20 --delay 2 --endMP 204:3658 --enddatetime 2017-05-07T06:16:05 --enforcementcount 0 &gt;&gt;C:\Users\stu\Documents\GitHub\eaglep3-reporting\EC\2017-05-07-refined-times.txt</v>
      </c>
      <c r="AI213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{"issue":{"subject":"","project_id":79,"tracker_id":40,"status_id":1,"priority_id":2,"assigned_to_id":23,"start_date":"2017-05-07","description":"","custom_fields":[{"id":1,"name":"Subdivision","value":"Other"},{"id":4,"name":"Milepost","value":"0.3658"},{"id":17,"name":"Train ID","value":"53-07"},{"id":16,"name":"Locomotive ID","value":"4004"},{"id":130,"name":"Impact","value":""},{"id":150,"name":"Time of Event (Mountain Time)","value":"06:16:05"},{"id":151,"name":"Denver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11"/>
        <v>start /low /b %USERPROFILE%\Documents\GitHub\eaglep3\Utilities\DownloadLogsFromS3.py --loco 4004 --day 2017-05-07</v>
      </c>
      <c r="AN213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12:16:05"},{"id":29,"name":"Sharepoint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560</v>
      </c>
      <c r="B214" s="7">
        <v>4021</v>
      </c>
      <c r="C214" s="21" t="s">
        <v>209</v>
      </c>
      <c r="D214" s="21" t="s">
        <v>931</v>
      </c>
      <c r="E214" s="13">
        <v>42862.457569444443</v>
      </c>
      <c r="F214" s="13">
        <v>42862.460833333331</v>
      </c>
      <c r="G214" s="7">
        <v>4</v>
      </c>
      <c r="H214" s="21" t="s">
        <v>932</v>
      </c>
      <c r="I214" s="13">
        <v>42862.466365740744</v>
      </c>
      <c r="J214" s="7">
        <v>0</v>
      </c>
      <c r="K214" s="92" t="str">
        <f t="shared" si="94"/>
        <v>4021/4022</v>
      </c>
      <c r="L214" s="21" t="str">
        <f>VLOOKUP(A214,'Trips&amp;Operators'!$C$1:$G$99999,5,FALSE)</f>
        <v>SAFIEF AEIMEN</v>
      </c>
      <c r="M214" s="6">
        <f t="shared" si="95"/>
        <v>5.5324074128293432E-3</v>
      </c>
      <c r="N214" s="7">
        <f t="shared" si="96"/>
        <v>7.9666666744742543</v>
      </c>
      <c r="O214" s="7"/>
      <c r="P214" s="7"/>
      <c r="Q214" s="22"/>
      <c r="R214" s="190"/>
      <c r="S214" s="196">
        <f t="shared" si="97"/>
        <v>0</v>
      </c>
      <c r="T214" s="190" t="e">
        <f t="shared" si="98"/>
        <v>#VALUE!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1" t="str">
        <f t="shared" si="99"/>
        <v>https://d0f6bd738d7f1b3e5a7ca70fe4ff75f0.us-east-1.aws.found.io/app/kibana#/discover/Steve-Slow-Train-Analysis-(2080s-and-2083s)?_g=(refreshInterval:(display:Off,pause:!f,section:0,value:0),time:(from:'2017-05-07T09:58:54-0600',mode:absolute,to:'2017-05-07T12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92" t="str">
        <f t="shared" si="100"/>
        <v>Y</v>
      </c>
      <c r="X214" s="192" t="e">
        <f t="shared" si="101"/>
        <v>#VALUE!</v>
      </c>
      <c r="Y214" s="192">
        <f t="shared" si="102"/>
        <v>2.3475999999999999</v>
      </c>
      <c r="Z214" s="192">
        <f t="shared" si="103"/>
        <v>8.9800000000000005E-2</v>
      </c>
      <c r="AA214" s="192">
        <f t="shared" si="104"/>
        <v>2.2578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105"/>
        <v>56-07</v>
      </c>
      <c r="AE214" s="80" t="str">
        <f t="shared" si="106"/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AF214" s="77" t="str">
        <f t="shared" si="107"/>
        <v>"C:\Program Files (x86)\AstroGrep\AstroGrep.exe" /e /r /s /spath="%USERPROFILE%\AppData\Local\Temp\OnboardLogs" /stypes="app*4021*20170507*" /stext=" 17:.+((SYSTEM_STATE.+slice.+state.+changed )|(ment ac)|(multiple cpu faults)|(system.+state.+changed )|(\[timeout)|(PRM\|1\|D)|(kpr)|(kdp)|(train st.+moving)|(\|lc)|(penalty))"</v>
      </c>
      <c r="AG214" s="1" t="str">
        <f t="shared" si="108"/>
        <v>Other</v>
      </c>
      <c r="AH214" s="81" t="str">
        <f t="shared" si="109"/>
        <v>"%USERPROFILE%\Documents\GitHub\eaglep3\Utilities\RefineRTDCRunTimes.py" --tripid 56-07 --locoid 4021 --swversion DE.1.0.9.0 --startMP 300:23476 --initTime 2017-05-07T10:58:54 --startdatetime 2017-05-07T11:03:36 --delay 4 --endMP 204:898 --enddatetime 2017-05-07T11:11:34 --enforcementcount 0 &gt;&gt;C:\Users\stu\Documents\GitHub\eaglep3-reporting\EC\2017-05-07-refined-times.txt</v>
      </c>
      <c r="AI214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{"issue":{"subject":"","project_id":79,"tracker_id":40,"status_id":1,"priority_id":2,"assigned_to_id":23,"start_date":"2017-05-07","description":"","custom_fields":[{"id":1,"name":"Subdivision","value":"Other"},{"id":4,"name":"Milepost","value":"0.0898"},{"id":17,"name":"Train ID","value":"56-07"},{"id":16,"name":"Locomotive ID","value":"4021"},{"id":130,"name":"Impact","value":""},{"id":150,"name":"Time of Event (Mountain Time)","value":"11:11:34"},{"id":151,"name":"Denver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11"/>
        <v>start /low /b %USERPROFILE%\Documents\GitHub\eaglep3\Utilities\DownloadLogsFromS3.py --loco 4021 --day 2017-05-07</v>
      </c>
      <c r="AN214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17:11:34"},{"id":29,"name":"Sharepoint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562</v>
      </c>
      <c r="B215" s="7">
        <v>4022</v>
      </c>
      <c r="C215" s="21" t="s">
        <v>209</v>
      </c>
      <c r="D215" s="21" t="s">
        <v>544</v>
      </c>
      <c r="E215" s="13">
        <v>42862.485520833332</v>
      </c>
      <c r="F215" s="13">
        <v>42862.490474537037</v>
      </c>
      <c r="G215" s="7">
        <v>2</v>
      </c>
      <c r="H215" s="21" t="s">
        <v>933</v>
      </c>
      <c r="I215" s="13">
        <v>42862.497245370374</v>
      </c>
      <c r="J215" s="7">
        <v>0</v>
      </c>
      <c r="K215" s="92" t="str">
        <f t="shared" si="94"/>
        <v>4021/4022</v>
      </c>
      <c r="L215" s="21" t="str">
        <f>VLOOKUP(A215,'Trips&amp;Operators'!$C$1:$G$99999,5,FALSE)</f>
        <v>DAVIS WENDY</v>
      </c>
      <c r="M215" s="6">
        <f t="shared" si="95"/>
        <v>6.7708333372138441E-3</v>
      </c>
      <c r="N215" s="7">
        <f t="shared" si="96"/>
        <v>9.7500000055879354</v>
      </c>
      <c r="O215" s="7"/>
      <c r="P215" s="7"/>
      <c r="Q215" s="22"/>
      <c r="R215" s="190"/>
      <c r="S215" s="196">
        <f t="shared" si="97"/>
        <v>0</v>
      </c>
      <c r="T215" s="190" t="e">
        <f t="shared" si="98"/>
        <v>#VALUE!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1" t="str">
        <f t="shared" si="99"/>
        <v>https://d0f6bd738d7f1b3e5a7ca70fe4ff75f0.us-east-1.aws.found.io/app/kibana#/discover/Steve-Slow-Train-Analysis-(2080s-and-2083s)?_g=(refreshInterval:(display:Off,pause:!f,section:0,value:0),time:(from:'2017-05-07T10:39:09-0600',mode:absolute,to:'2017-05-07T12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 t="shared" si="100"/>
        <v>Y</v>
      </c>
      <c r="X215" s="192" t="e">
        <f t="shared" si="101"/>
        <v>#VALUE!</v>
      </c>
      <c r="Y215" s="192">
        <f t="shared" si="102"/>
        <v>0.12230000000000001</v>
      </c>
      <c r="Z215" s="192">
        <f t="shared" si="103"/>
        <v>2.5436999999999999</v>
      </c>
      <c r="AA215" s="192">
        <f t="shared" si="104"/>
        <v>2.4213999999999998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105"/>
        <v>57-07</v>
      </c>
      <c r="AE215" s="80" t="str">
        <f t="shared" si="106"/>
        <v>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 &amp; 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</v>
      </c>
      <c r="AF215" s="77" t="str">
        <f t="shared" si="107"/>
        <v>"C:\Program Files (x86)\AstroGrep\AstroGrep.exe" /e /r /s /spath="%USERPROFILE%\AppData\Local\Temp\OnboardLogs" /stypes="app*4022*20170507*" /stext=" 17:.+((SYSTEM_STATE.+slice.+state.+changed )|(ment ac)|(multiple cpu faults)|(system.+state.+changed )|(\[timeout)|(PRM\|1\|D)|(kpr)|(kdp)|(train st.+moving)|(\|lc)|(penalty))"</v>
      </c>
      <c r="AG215" s="1" t="str">
        <f t="shared" si="108"/>
        <v>Other</v>
      </c>
      <c r="AH215" s="81" t="str">
        <f t="shared" si="109"/>
        <v>"%USERPROFILE%\Documents\GitHub\eaglep3\Utilities\RefineRTDCRunTimes.py" --tripid 57-07 --locoid 4022 --swversion DE.1.0.9.0 --startMP 204:1223 --initTime 2017-05-07T11:39:09 --startdatetime 2017-05-07T11:46:17 --delay 2 --endMP 300:25437 --enddatetime 2017-05-07T11:56:02 --enforcementcount 0 &gt;&gt;C:\Users\stu\Documents\GitHub\eaglep3-reporting\EC\2017-05-07-refined-times.txt</v>
      </c>
      <c r="AI215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{"issue":{"subject":"","project_id":79,"tracker_id":40,"status_id":1,"priority_id":2,"assigned_to_id":23,"start_date":"2017-05-07","description":"","custom_fields":[{"id":1,"name":"Subdivision","value":"Other"},{"id":4,"name":"Milepost","value":"2.5437"},{"id":17,"name":"Train ID","value":"57-07"},{"id":16,"name":"Locomotive ID","value":"4022"},{"id":130,"name":"Impact","value":""},{"id":150,"name":"Time of Event (Mountain Time)","value":"11:56:02"},{"id":151,"name":"Denver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11"/>
        <v>start /low /b %USERPROFILE%\Documents\GitHub\eaglep3\Utilities\DownloadLogsFromS3.py --loco 4022 --day 2017-05-07</v>
      </c>
      <c r="AN215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17:56:02"},{"id":29,"name":"Sharepoint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705</v>
      </c>
      <c r="B216" s="7">
        <v>4003</v>
      </c>
      <c r="C216" s="21" t="s">
        <v>209</v>
      </c>
      <c r="D216" s="21" t="s">
        <v>934</v>
      </c>
      <c r="E216" s="13">
        <v>42862.650370370371</v>
      </c>
      <c r="F216" s="13">
        <v>42862.652581018519</v>
      </c>
      <c r="G216" s="7">
        <v>1</v>
      </c>
      <c r="H216" s="21" t="s">
        <v>357</v>
      </c>
      <c r="I216" s="13">
        <v>42862.654305555552</v>
      </c>
      <c r="J216" s="7">
        <v>0</v>
      </c>
      <c r="K216" s="92" t="str">
        <f t="shared" si="94"/>
        <v>4003/4004</v>
      </c>
      <c r="L216" s="21" t="str">
        <f>VLOOKUP(A216,'Trips&amp;Operators'!$C$1:$G$99999,5,FALSE)</f>
        <v>DAVIDSON DAVID</v>
      </c>
      <c r="M216" s="6">
        <f t="shared" si="95"/>
        <v>1.7245370327145793E-3</v>
      </c>
      <c r="N216" s="7">
        <f t="shared" si="96"/>
        <v>2.4833333271089941</v>
      </c>
      <c r="O216" s="7"/>
      <c r="P216" s="7"/>
      <c r="Q216" s="22"/>
      <c r="R216" s="190"/>
      <c r="S216" s="196">
        <f t="shared" si="97"/>
        <v>0</v>
      </c>
      <c r="T216" s="190" t="e">
        <f t="shared" si="98"/>
        <v>#VALUE!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 t="shared" si="99"/>
        <v>https://d0f6bd738d7f1b3e5a7ca70fe4ff75f0.us-east-1.aws.found.io/app/kibana#/discover/Steve-Slow-Train-Analysis-(2080s-and-2083s)?_g=(refreshInterval:(display:Off,pause:!f,section:0,value:0),time:(from:'2017-05-07T14:36:32-0600',mode:absolute,to:'2017-05-07T16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6" s="192" t="str">
        <f t="shared" si="100"/>
        <v>Y</v>
      </c>
      <c r="X216" s="192" t="e">
        <f t="shared" si="101"/>
        <v>#VALUE!</v>
      </c>
      <c r="Y216" s="192">
        <f t="shared" si="102"/>
        <v>0.3175</v>
      </c>
      <c r="Z216" s="192">
        <f t="shared" si="103"/>
        <v>1.38E-2</v>
      </c>
      <c r="AA216" s="192">
        <f t="shared" si="104"/>
        <v>0.30370000000000003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105"/>
        <v>67-07</v>
      </c>
      <c r="AE216" s="80" t="str">
        <f t="shared" si="106"/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AF216" s="77" t="str">
        <f t="shared" si="107"/>
        <v>"C:\Program Files (x86)\AstroGrep\AstroGrep.exe" /e /r /s /spath="%USERPROFILE%\AppData\Local\Temp\OnboardLogs" /stypes="app*4003*20170507*" /stext=" 21:.+((SYSTEM_STATE.+slice.+state.+changed )|(ment ac)|(multiple cpu faults)|(system.+state.+changed )|(\[timeout)|(PRM\|1\|D)|(kpr)|(kdp)|(train st.+moving)|(\|lc)|(penalty))"</v>
      </c>
      <c r="AG216" s="1" t="str">
        <f t="shared" si="108"/>
        <v>Other</v>
      </c>
      <c r="AH216" s="81" t="str">
        <f t="shared" si="109"/>
        <v>"%USERPROFILE%\Documents\GitHub\eaglep3\Utilities\RefineRTDCRunTimes.py" --tripid 67-07 --locoid 4003 --swversion DE.1.0.9.0 --startMP 204:3175 --initTime 2017-05-07T15:36:32 --startdatetime 2017-05-07T15:39:43 --delay 1 --endMP 204:138 --enddatetime 2017-05-07T15:42:12 --enforcementcount 0 &gt;&gt;C:\Users\stu\Documents\GitHub\eaglep3-reporting\EC\2017-05-07-refined-times.txt</v>
      </c>
      <c r="AI216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{"issue":{"subject":"","project_id":79,"tracker_id":40,"status_id":1,"priority_id":2,"assigned_to_id":23,"start_date":"2017-05-07","description":"","custom_fields":[{"id":1,"name":"Subdivision","value":"Other"},{"id":4,"name":"Milepost","value":"0.0138"},{"id":17,"name":"Train ID","value":"67-07"},{"id":16,"name":"Locomotive ID","value":"4003"},{"id":130,"name":"Impact","value":""},{"id":150,"name":"Time of Event (Mountain Time)","value":"15:42:12"},{"id":151,"name":"Denver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11"/>
        <v>start /low /b %USERPROFILE%\Documents\GitHub\eaglep3\Utilities\DownloadLogsFromS3.py --loco 4003 --day 2017-05-07</v>
      </c>
      <c r="AN216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705</v>
      </c>
      <c r="B217" s="7">
        <v>4004</v>
      </c>
      <c r="C217" s="21" t="s">
        <v>209</v>
      </c>
      <c r="D217" s="21" t="s">
        <v>788</v>
      </c>
      <c r="E217" s="13">
        <v>42862.637175925927</v>
      </c>
      <c r="F217" s="13">
        <v>42862.652581018519</v>
      </c>
      <c r="G217" s="7">
        <v>1</v>
      </c>
      <c r="H217" s="21" t="s">
        <v>935</v>
      </c>
      <c r="I217" s="13">
        <v>42862.654305555552</v>
      </c>
      <c r="J217" s="7">
        <v>0</v>
      </c>
      <c r="K217" s="92" t="str">
        <f t="shared" si="94"/>
        <v>4003/4004</v>
      </c>
      <c r="L217" s="21" t="str">
        <f>VLOOKUP(A217,'Trips&amp;Operators'!$C$1:$G$99999,5,FALSE)</f>
        <v>DAVIDSON DAVID</v>
      </c>
      <c r="M217" s="6">
        <f t="shared" si="95"/>
        <v>1.7245370327145793E-3</v>
      </c>
      <c r="N217" s="7">
        <f t="shared" si="96"/>
        <v>2.4833333271089941</v>
      </c>
      <c r="O217" s="7"/>
      <c r="P217" s="7"/>
      <c r="Q217" s="22"/>
      <c r="R217" s="190"/>
      <c r="S217" s="196">
        <f t="shared" si="97"/>
        <v>0</v>
      </c>
      <c r="T217" s="190" t="e">
        <f t="shared" si="98"/>
        <v>#VALUE!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99"/>
        <v>https://d0f6bd738d7f1b3e5a7ca70fe4ff75f0.us-east-1.aws.found.io/app/kibana#/discover/Steve-Slow-Train-Analysis-(2080s-and-2083s)?_g=(refreshInterval:(display:Off,pause:!f,section:0,value:0),time:(from:'2017-05-07T14:17:32-0600',mode:absolute,to:'2017-05-07T16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7" s="192" t="str">
        <f t="shared" si="100"/>
        <v>Y</v>
      </c>
      <c r="X217" s="192" t="e">
        <f t="shared" si="101"/>
        <v>#VALUE!</v>
      </c>
      <c r="Y217" s="192">
        <f t="shared" si="102"/>
        <v>0.14960000000000001</v>
      </c>
      <c r="Z217" s="192">
        <f t="shared" si="103"/>
        <v>0.34599999999999997</v>
      </c>
      <c r="AA217" s="192">
        <f t="shared" si="104"/>
        <v>0.19639999999999996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105"/>
        <v>67-07</v>
      </c>
      <c r="AE217" s="80" t="str">
        <f t="shared" si="106"/>
        <v>aws s3 cp s3://rtdc.mdm.uploadarchive.raw/RTDC4004/ "%USERPROFILE%\AppData\Local\Temp\OnboardLogs"\RTDC4004\2017-05-07 --exclude "*" --recursive --include "*20170507*" &amp; "%USERPROFILE%\Documents\GitHub\mrs-test-scripts\Headless Mode &amp; Sideloading\WalkAndUnGZ.bat" "%USERPROFILE%\AppData\Local\Temp\OnboardLogs"\RTDC4004\2017-05-07 &amp; aws s3 cp s3://rtdc.mdm.uploadarchive.raw/RTDC4004/ "%USERPROFILE%\AppData\Local\Temp\OnboardLogs"\RTDC4004\2017-05-08 --exclude "*" --recursive --include "*20170508*" &amp; "%USERPROFILE%\Documents\GitHub\mrs-test-scripts\Headless Mode &amp; Sideloading\WalkAndUnGZ.bat" "%USERPROFILE%\AppData\Local\Temp\OnboardLogs"\RTDC4004\2017-05-08</v>
      </c>
      <c r="AF217" s="77" t="str">
        <f t="shared" si="107"/>
        <v>"C:\Program Files (x86)\AstroGrep\AstroGrep.exe" /e /r /s /spath="%USERPROFILE%\AppData\Local\Temp\OnboardLogs" /stypes="app*4004*20170507*" /stext=" 21:.+((SYSTEM_STATE.+slice.+state.+changed )|(ment ac)|(multiple cpu faults)|(system.+state.+changed )|(\[timeout)|(PRM\|1\|D)|(kpr)|(kdp)|(train st.+moving)|(\|lc)|(penalty))"</v>
      </c>
      <c r="AG217" s="1" t="str">
        <f t="shared" si="108"/>
        <v>Other</v>
      </c>
      <c r="AH217" s="81" t="str">
        <f t="shared" si="109"/>
        <v>"%USERPROFILE%\Documents\GitHub\eaglep3\Utilities\RefineRTDCRunTimes.py" --tripid 67-07 --locoid 4004 --swversion DE.1.0.9.0 --startMP 204:1496 --initTime 2017-05-07T15:17:32 --startdatetime 2017-05-07T15:39:43 --delay 1 --endMP 204:3460 --enddatetime 2017-05-07T15:42:12 --enforcementcount 0 &gt;&gt;C:\Users\stu\Documents\GitHub\eaglep3-reporting\EC\2017-05-07-refined-times.txt</v>
      </c>
      <c r="AI217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{"issue":{"subject":"","project_id":79,"tracker_id":40,"status_id":1,"priority_id":2,"assigned_to_id":23,"start_date":"2017-05-07","description":"","custom_fields":[{"id":1,"name":"Subdivision","value":"Other"},{"id":4,"name":"Milepost","value":"0.346"},{"id":17,"name":"Train ID","value":"67-07"},{"id":16,"name":"Locomotive ID","value":"4004"},{"id":130,"name":"Impact","value":""},{"id":150,"name":"Time of Event (Mountain Time)","value":"15:42:12"},{"id":151,"name":"Denver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11"/>
        <v>start /low /b %USERPROFILE%\Documents\GitHub\eaglep3\Utilities\DownloadLogsFromS3.py --loco 4004 --day 2017-05-07</v>
      </c>
      <c r="AN217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21:42:12"},{"id":29,"name":"Sharepoint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577</v>
      </c>
      <c r="B218" s="7">
        <v>4005</v>
      </c>
      <c r="C218" s="21" t="s">
        <v>209</v>
      </c>
      <c r="D218" s="21" t="s">
        <v>936</v>
      </c>
      <c r="E218" s="13">
        <v>42862.712557870371</v>
      </c>
      <c r="F218" s="13">
        <v>42862.71429398148</v>
      </c>
      <c r="G218" s="7">
        <v>1</v>
      </c>
      <c r="H218" s="21" t="s">
        <v>198</v>
      </c>
      <c r="I218" s="13">
        <v>42862.715740740743</v>
      </c>
      <c r="J218" s="7">
        <v>0</v>
      </c>
      <c r="K218" s="92" t="str">
        <f t="shared" si="94"/>
        <v>4005/4006</v>
      </c>
      <c r="L218" s="21" t="str">
        <f>VLOOKUP(A218,'Trips&amp;Operators'!$C$1:$G$99999,5,FALSE)</f>
        <v>DAVIDSON DAVID</v>
      </c>
      <c r="M218" s="6">
        <f t="shared" si="95"/>
        <v>1.4467592627624981E-3</v>
      </c>
      <c r="N218" s="7">
        <f t="shared" si="96"/>
        <v>2.0833333383779973</v>
      </c>
      <c r="O218" s="7"/>
      <c r="P218" s="7"/>
      <c r="Q218" s="22"/>
      <c r="R218" s="190"/>
      <c r="S218" s="196">
        <f t="shared" si="97"/>
        <v>0</v>
      </c>
      <c r="T218" s="190" t="e">
        <f t="shared" si="98"/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 t="shared" si="99"/>
        <v>https://d0f6bd738d7f1b3e5a7ca70fe4ff75f0.us-east-1.aws.found.io/app/kibana#/discover/Steve-Slow-Train-Analysis-(2080s-and-2083s)?_g=(refreshInterval:(display:Off,pause:!f,section:0,value:0),time:(from:'2017-05-07T16:06:05-0600',mode:absolute,to:'2017-05-07T18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8" s="192" t="str">
        <f t="shared" si="100"/>
        <v>Y</v>
      </c>
      <c r="X218" s="192" t="e">
        <f t="shared" si="101"/>
        <v>#VALUE!</v>
      </c>
      <c r="Y218" s="192">
        <f t="shared" si="102"/>
        <v>0.31209999999999999</v>
      </c>
      <c r="Z218" s="192">
        <f t="shared" si="103"/>
        <v>1.5800000000000002E-2</v>
      </c>
      <c r="AA218" s="192">
        <f t="shared" si="104"/>
        <v>0.29630000000000001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105"/>
        <v>69-07</v>
      </c>
      <c r="AE218" s="80" t="str">
        <f t="shared" si="106"/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AF218" s="77" t="str">
        <f t="shared" si="107"/>
        <v>"C:\Program Files (x86)\AstroGrep\AstroGrep.exe" /e /r /s /spath="%USERPROFILE%\AppData\Local\Temp\OnboardLogs" /stypes="app*4005*20170507*" /stext=" 23:.+((SYSTEM_STATE.+slice.+state.+changed )|(ment ac)|(multiple cpu faults)|(system.+state.+changed )|(\[timeout)|(PRM\|1\|D)|(kpr)|(kdp)|(train st.+moving)|(\|lc)|(penalty))"</v>
      </c>
      <c r="AG218" s="1" t="str">
        <f t="shared" si="108"/>
        <v>Other</v>
      </c>
      <c r="AH218" s="81" t="str">
        <f t="shared" si="109"/>
        <v>"%USERPROFILE%\Documents\GitHub\eaglep3\Utilities\RefineRTDCRunTimes.py" --tripid 69-07 --locoid 4005 --swversion DE.1.0.9.0 --startMP 204:3121 --initTime 2017-05-07T17:06:05 --startdatetime 2017-05-07T17:08:35 --delay 1 --endMP 204:158 --enddatetime 2017-05-07T17:10:40 --enforcementcount 0 &gt;&gt;C:\Users\stu\Documents\GitHub\eaglep3-reporting\EC\2017-05-07-refined-times.txt</v>
      </c>
      <c r="AI218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{"issue":{"subject":"","project_id":79,"tracker_id":40,"status_id":1,"priority_id":2,"assigned_to_id":23,"start_date":"2017-05-07","description":"","custom_fields":[{"id":1,"name":"Subdivision","value":"Other"},{"id":4,"name":"Milepost","value":"0.0158"},{"id":17,"name":"Train ID","value":"69-07"},{"id":16,"name":"Locomotive ID","value":"4005"},{"id":130,"name":"Impact","value":""},{"id":150,"name":"Time of Event (Mountain Time)","value":"17:10:40"},{"id":151,"name":"Denver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11"/>
        <v>start /low /b %USERPROFILE%\Documents\GitHub\eaglep3\Utilities\DownloadLogsFromS3.py --loco 4005 --day 2017-05-07</v>
      </c>
      <c r="AN218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577</v>
      </c>
      <c r="B219" s="7">
        <v>4006</v>
      </c>
      <c r="C219" s="21" t="s">
        <v>209</v>
      </c>
      <c r="D219" s="21" t="s">
        <v>937</v>
      </c>
      <c r="E219" s="13">
        <v>42862.706226851849</v>
      </c>
      <c r="F219" s="13">
        <v>42862.71429398148</v>
      </c>
      <c r="G219" s="7">
        <v>1</v>
      </c>
      <c r="H219" s="21" t="s">
        <v>938</v>
      </c>
      <c r="I219" s="13">
        <v>42862.715740740743</v>
      </c>
      <c r="J219" s="7">
        <v>0</v>
      </c>
      <c r="K219" s="92" t="str">
        <f t="shared" si="94"/>
        <v>4005/4006</v>
      </c>
      <c r="L219" s="21" t="str">
        <f>VLOOKUP(A219,'Trips&amp;Operators'!$C$1:$G$99999,5,FALSE)</f>
        <v>DAVIDSON DAVID</v>
      </c>
      <c r="M219" s="6">
        <f t="shared" si="95"/>
        <v>1.4467592627624981E-3</v>
      </c>
      <c r="N219" s="7">
        <f t="shared" si="96"/>
        <v>2.0833333383779973</v>
      </c>
      <c r="O219" s="7"/>
      <c r="P219" s="7"/>
      <c r="Q219" s="22"/>
      <c r="R219" s="190"/>
      <c r="S219" s="196">
        <f t="shared" si="97"/>
        <v>0</v>
      </c>
      <c r="T219" s="190" t="e">
        <f t="shared" si="98"/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99"/>
        <v>https://d0f6bd738d7f1b3e5a7ca70fe4ff75f0.us-east-1.aws.found.io/app/kibana#/discover/Steve-Slow-Train-Analysis-(2080s-and-2083s)?_g=(refreshInterval:(display:Off,pause:!f,section:0,value:0),time:(from:'2017-05-07T15:56:58-0600',mode:absolute,to:'2017-05-07T18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192" t="str">
        <f t="shared" si="100"/>
        <v>Y</v>
      </c>
      <c r="X219" s="192" t="e">
        <f t="shared" si="101"/>
        <v>#VALUE!</v>
      </c>
      <c r="Y219" s="192">
        <f t="shared" si="102"/>
        <v>0.15049999999999999</v>
      </c>
      <c r="Z219" s="192">
        <f t="shared" si="103"/>
        <v>0.17549999999999999</v>
      </c>
      <c r="AA219" s="192">
        <f t="shared" si="104"/>
        <v>2.4999999999999994E-2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105"/>
        <v>69-07</v>
      </c>
      <c r="AE219" s="80" t="str">
        <f t="shared" si="106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19" s="77" t="str">
        <f t="shared" si="107"/>
        <v>"C:\Program Files (x86)\AstroGrep\AstroGrep.exe" /e /r /s /spath="%USERPROFILE%\AppData\Local\Temp\OnboardLogs" /stypes="app*4006*20170507*" /stext=" 23:.+((SYSTEM_STATE.+slice.+state.+changed )|(ment ac)|(multiple cpu faults)|(system.+state.+changed )|(\[timeout)|(PRM\|1\|D)|(kpr)|(kdp)|(train st.+moving)|(\|lc)|(penalty))"</v>
      </c>
      <c r="AG219" s="1" t="str">
        <f t="shared" si="108"/>
        <v>Other</v>
      </c>
      <c r="AH219" s="81" t="str">
        <f t="shared" si="109"/>
        <v>"%USERPROFILE%\Documents\GitHub\eaglep3\Utilities\RefineRTDCRunTimes.py" --tripid 69-07 --locoid 4006 --swversion DE.1.0.9.0 --startMP 204:1505 --initTime 2017-05-07T16:56:58 --startdatetime 2017-05-07T17:08:35 --delay 1 --endMP 204:1755 --enddatetime 2017-05-07T17:10:40 --enforcementcount 0 &gt;&gt;C:\Users\stu\Documents\GitHub\eaglep3-reporting\EC\2017-05-07-refined-times.txt</v>
      </c>
      <c r="AI219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{"issue":{"subject":"","project_id":79,"tracker_id":40,"status_id":1,"priority_id":2,"assigned_to_id":23,"start_date":"2017-05-07","description":"","custom_fields":[{"id":1,"name":"Subdivision","value":"Other"},{"id":4,"name":"Milepost","value":"0.1755"},{"id":17,"name":"Train ID","value":"69-07"},{"id":16,"name":"Locomotive ID","value":"4006"},{"id":130,"name":"Impact","value":""},{"id":150,"name":"Time of Event (Mountain Time)","value":"17:10:40"},{"id":151,"name":"Denver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11"/>
        <v>start /low /b %USERPROFILE%\Documents\GitHub\eaglep3\Utilities\DownloadLogsFromS3.py --loco 4006 --day 2017-05-07</v>
      </c>
      <c r="AN219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579</v>
      </c>
      <c r="B220" s="7">
        <v>4041</v>
      </c>
      <c r="C220" s="21" t="s">
        <v>209</v>
      </c>
      <c r="D220" s="21" t="s">
        <v>939</v>
      </c>
      <c r="E220" s="13">
        <v>42862.751689814817</v>
      </c>
      <c r="F220" s="13">
        <v>42862.753425925926</v>
      </c>
      <c r="G220" s="7">
        <v>1</v>
      </c>
      <c r="H220" s="21" t="s">
        <v>202</v>
      </c>
      <c r="I220" s="13">
        <v>42862.771944444445</v>
      </c>
      <c r="J220" s="7">
        <v>0</v>
      </c>
      <c r="K220" s="92" t="str">
        <f t="shared" si="94"/>
        <v>4041/4042</v>
      </c>
      <c r="L220" s="21" t="str">
        <f>VLOOKUP(A220,'Trips&amp;Operators'!$C$1:$G$99999,5,FALSE)</f>
        <v>MENGES BRAD</v>
      </c>
      <c r="M220" s="6">
        <f t="shared" si="95"/>
        <v>1.8518518518249039E-2</v>
      </c>
      <c r="N220" s="7">
        <f t="shared" si="96"/>
        <v>26.666666666278616</v>
      </c>
      <c r="O220" s="7"/>
      <c r="P220" s="7"/>
      <c r="Q220" s="22"/>
      <c r="R220" s="190"/>
      <c r="S220" s="196">
        <f t="shared" si="97"/>
        <v>0</v>
      </c>
      <c r="T220" s="190" t="e">
        <f t="shared" si="98"/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99"/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0" s="192" t="str">
        <f t="shared" si="100"/>
        <v>Y</v>
      </c>
      <c r="X220" s="192" t="e">
        <f t="shared" si="101"/>
        <v>#VALUE!</v>
      </c>
      <c r="Y220" s="192">
        <f t="shared" si="102"/>
        <v>2.3186</v>
      </c>
      <c r="Z220" s="192">
        <f t="shared" si="103"/>
        <v>1.54E-2</v>
      </c>
      <c r="AA220" s="192">
        <f t="shared" si="104"/>
        <v>2.3031999999999999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105"/>
        <v>70-07</v>
      </c>
      <c r="AE220" s="80" t="str">
        <f t="shared" si="106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220" s="77" t="str">
        <f t="shared" si="107"/>
        <v>"C:\Program Files (x86)\AstroGrep\AstroGrep.exe" /e /r /s /spath="%USERPROFILE%\AppData\Local\Temp\OnboardLogs" /stypes="app*4041*20170508*" /stext=" 00:.+((SYSTEM_STATE.+slice.+state.+changed )|(ment ac)|(multiple cpu faults)|(system.+state.+changed )|(\[timeout)|(PRM\|1\|D)|(kpr)|(kdp)|(train st.+moving)|(\|lc)|(penalty))"</v>
      </c>
      <c r="AG220" s="1" t="str">
        <f t="shared" si="108"/>
        <v>Other</v>
      </c>
      <c r="AH220" s="81" t="str">
        <f t="shared" si="109"/>
        <v>"%USERPROFILE%\Documents\GitHub\eaglep3\Utilities\RefineRTDCRunTimes.py" --tripid 70-07 --locoid 4041 --swversion DE.1.0.9.0 --startMP 300:23186 --initTime 2017-05-07T18:02:26 --startdatetime 2017-05-07T18:04:56 --delay 1 --endMP 204:154 --enddatetime 2017-05-07T18:31:36 --enforcementcount 0 &gt;&gt;C:\Users\stu\Documents\GitHub\eaglep3-reporting\EC\2017-05-07-refined-times.txt</v>
      </c>
      <c r="AI220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{"issue":{"subject":"","project_id":79,"tracker_id":40,"status_id":1,"priority_id":2,"assigned_to_id":23,"start_date":"2017-05-07","description":"","custom_fields":[{"id":1,"name":"Subdivision","value":"Other"},{"id":4,"name":"Milepost","value":"0.0154"},{"id":17,"name":"Train ID","value":"70-07"},{"id":16,"name":"Locomotive ID","value":"4041"},{"id":130,"name":"Impact","value":""},{"id":150,"name":"Time of Event (Mountain Time)","value":"18:31:36"},{"id":151,"name":"Denver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11"/>
        <v>start /low /b %USERPROFILE%\Documents\GitHub\eaglep3\Utilities\DownloadLogsFromS3.py --loco 4041 --day 2017-05-07</v>
      </c>
      <c r="AN220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579</v>
      </c>
      <c r="B221" s="7">
        <v>4041</v>
      </c>
      <c r="C221" s="21" t="s">
        <v>209</v>
      </c>
      <c r="D221" s="21" t="s">
        <v>940</v>
      </c>
      <c r="E221" s="13">
        <v>42862.742291666669</v>
      </c>
      <c r="F221" s="13">
        <v>42862.753425925926</v>
      </c>
      <c r="G221" s="7">
        <v>2</v>
      </c>
      <c r="H221" s="21" t="s">
        <v>941</v>
      </c>
      <c r="I221" s="13">
        <v>42862.771944444445</v>
      </c>
      <c r="J221" s="7">
        <v>0</v>
      </c>
      <c r="K221" s="92" t="str">
        <f t="shared" si="94"/>
        <v>4041/4042</v>
      </c>
      <c r="L221" s="21" t="str">
        <f>VLOOKUP(A221,'Trips&amp;Operators'!$C$1:$G$99999,5,FALSE)</f>
        <v>MENGES BRAD</v>
      </c>
      <c r="M221" s="6">
        <f t="shared" si="95"/>
        <v>1.8518518518249039E-2</v>
      </c>
      <c r="N221" s="7">
        <f t="shared" si="96"/>
        <v>26.666666666278616</v>
      </c>
      <c r="O221" s="7"/>
      <c r="P221" s="7"/>
      <c r="Q221" s="22"/>
      <c r="R221" s="190"/>
      <c r="S221" s="196">
        <f t="shared" si="97"/>
        <v>0</v>
      </c>
      <c r="T221" s="190" t="e">
        <f t="shared" si="98"/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 t="shared" si="99"/>
        <v>https://d0f6bd738d7f1b3e5a7ca70fe4ff75f0.us-east-1.aws.found.io/app/kibana#/discover/Steve-Slow-Train-Analysis-(2080s-and-2083s)?_g=(refreshInterval:(display:Off,pause:!f,section:0,value:0),time:(from:'2017-05-07T16:48:54-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192" t="str">
        <f t="shared" si="100"/>
        <v>Y</v>
      </c>
      <c r="X221" s="192" t="e">
        <f t="shared" si="101"/>
        <v>#VALUE!</v>
      </c>
      <c r="Y221" s="192">
        <f t="shared" si="102"/>
        <v>2.512</v>
      </c>
      <c r="Z221" s="192">
        <f t="shared" si="103"/>
        <v>2.4260000000000002</v>
      </c>
      <c r="AA221" s="192">
        <f t="shared" si="104"/>
        <v>8.5999999999999854E-2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105"/>
        <v>70-07</v>
      </c>
      <c r="AE221" s="80" t="str">
        <f t="shared" si="106"/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AF221" s="77" t="str">
        <f t="shared" si="107"/>
        <v>"C:\Program Files (x86)\AstroGrep\AstroGrep.exe" /e /r /s /spath="%USERPROFILE%\AppData\Local\Temp\OnboardLogs" /stypes="app*4041*20170508*" /stext=" 00:.+((SYSTEM_STATE.+slice.+state.+changed )|(ment ac)|(multiple cpu faults)|(system.+state.+changed )|(\[timeout)|(PRM\|1\|D)|(kpr)|(kdp)|(train st.+moving)|(\|lc)|(penalty))"</v>
      </c>
      <c r="AG221" s="1" t="str">
        <f t="shared" si="108"/>
        <v>Other</v>
      </c>
      <c r="AH221" s="81" t="str">
        <f t="shared" si="109"/>
        <v>"%USERPROFILE%\Documents\GitHub\eaglep3\Utilities\RefineRTDCRunTimes.py" --tripid 70-07 --locoid 4041 --swversion DE.1.0.9.0 --startMP 300:25120 --initTime 2017-05-07T17:48:54 --startdatetime 2017-05-07T18:04:56 --delay 2 --endMP 300:24260 --enddatetime 2017-05-07T18:31:36 --enforcementcount 0 &gt;&gt;C:\Users\stu\Documents\GitHub\eaglep3-reporting\EC\2017-05-07-refined-times.txt</v>
      </c>
      <c r="AI221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{"issue":{"subject":"","project_id":79,"tracker_id":40,"status_id":1,"priority_id":2,"assigned_to_id":23,"start_date":"2017-05-07","description":"","custom_fields":[{"id":1,"name":"Subdivision","value":"Other"},{"id":4,"name":"Milepost","value":"2.426"},{"id":17,"name":"Train ID","value":"70-07"},{"id":16,"name":"Locomotive ID","value":"4041"},{"id":130,"name":"Impact","value":""},{"id":150,"name":"Time of Event (Mountain Time)","value":"18:31:36"},{"id":151,"name":"Denver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111"/>
        <v>start /low /b %USERPROFILE%\Documents\GitHub\eaglep3\Utilities\DownloadLogsFromS3.py --loco 4041 --day 2017-05-07</v>
      </c>
      <c r="AN221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580</v>
      </c>
      <c r="B222" s="7">
        <v>4021</v>
      </c>
      <c r="C222" s="21" t="s">
        <v>209</v>
      </c>
      <c r="D222" s="21" t="s">
        <v>942</v>
      </c>
      <c r="E222" s="13">
        <v>42862.737222222226</v>
      </c>
      <c r="F222" s="13">
        <v>42862.739988425928</v>
      </c>
      <c r="G222" s="7">
        <v>3</v>
      </c>
      <c r="H222" s="21" t="s">
        <v>943</v>
      </c>
      <c r="I222" s="13">
        <v>42862.747569444444</v>
      </c>
      <c r="J222" s="7">
        <v>0</v>
      </c>
      <c r="K222" s="92" t="str">
        <f t="shared" si="94"/>
        <v>4021/4022</v>
      </c>
      <c r="L222" s="21" t="str">
        <f>VLOOKUP(A222,'Trips&amp;Operators'!$C$1:$G$99999,5,FALSE)</f>
        <v>SMITH MICHAEL</v>
      </c>
      <c r="M222" s="6">
        <f t="shared" si="95"/>
        <v>7.5810185153386556E-3</v>
      </c>
      <c r="N222" s="7">
        <f t="shared" si="96"/>
        <v>10.916666662087664</v>
      </c>
      <c r="O222" s="7"/>
      <c r="P222" s="7"/>
      <c r="Q222" s="22"/>
      <c r="R222" s="190"/>
      <c r="S222" s="196">
        <f t="shared" si="97"/>
        <v>0</v>
      </c>
      <c r="T222" s="190" t="e">
        <f t="shared" si="98"/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 t="shared" si="99"/>
        <v>https://d0f6bd738d7f1b3e5a7ca70fe4ff75f0.us-east-1.aws.found.io/app/kibana#/discover/Steve-Slow-Train-Analysis-(2080s-and-2083s)?_g=(refreshInterval:(display:Off,pause:!f,section:0,value:0),time:(from:'2017-05-07T16:41:36-0600',mode:absolute,to:'2017-05-07T18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192" t="str">
        <f t="shared" si="100"/>
        <v>Y</v>
      </c>
      <c r="X222" s="192" t="e">
        <f t="shared" si="101"/>
        <v>#VALUE!</v>
      </c>
      <c r="Y222" s="192">
        <f t="shared" si="102"/>
        <v>2.3420999999999998</v>
      </c>
      <c r="Z222" s="192">
        <f t="shared" si="103"/>
        <v>1.3299999999999999E-2</v>
      </c>
      <c r="AA222" s="192">
        <f t="shared" si="104"/>
        <v>2.3287999999999998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105"/>
        <v>72-07</v>
      </c>
      <c r="AE222" s="80" t="str">
        <f t="shared" si="106"/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AF222" s="77" t="str">
        <f t="shared" si="107"/>
        <v>"C:\Program Files (x86)\AstroGrep\AstroGrep.exe" /e /r /s /spath="%USERPROFILE%\AppData\Local\Temp\OnboardLogs" /stypes="app*4021*20170507*" /stext=" 23:.+((SYSTEM_STATE.+slice.+state.+changed )|(ment ac)|(multiple cpu faults)|(system.+state.+changed )|(\[timeout)|(PRM\|1\|D)|(kpr)|(kdp)|(train st.+moving)|(\|lc)|(penalty))"</v>
      </c>
      <c r="AG222" s="1" t="str">
        <f t="shared" si="108"/>
        <v>Other</v>
      </c>
      <c r="AH222" s="81" t="str">
        <f t="shared" si="109"/>
        <v>"%USERPROFILE%\Documents\GitHub\eaglep3\Utilities\RefineRTDCRunTimes.py" --tripid 72-07 --locoid 4021 --swversion DE.1.0.9.0 --startMP 300:23421 --initTime 2017-05-07T17:41:36 --startdatetime 2017-05-07T17:45:35 --delay 3 --endMP 204:133 --enddatetime 2017-05-07T17:56:30 --enforcementcount 0 &gt;&gt;C:\Users\stu\Documents\GitHub\eaglep3-reporting\EC\2017-05-07-refined-times.txt</v>
      </c>
      <c r="AI222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{"issue":{"subject":"","project_id":79,"tracker_id":40,"status_id":1,"priority_id":2,"assigned_to_id":23,"start_date":"2017-05-07","description":"","custom_fields":[{"id":1,"name":"Subdivision","value":"Other"},{"id":4,"name":"Milepost","value":"0.0133"},{"id":17,"name":"Train ID","value":"72-07"},{"id":16,"name":"Locomotive ID","value":"4021"},{"id":130,"name":"Impact","value":""},{"id":150,"name":"Time of Event (Mountain Time)","value":"17:56:30"},{"id":151,"name":"Denver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11"/>
        <v>start /low /b %USERPROFILE%\Documents\GitHub\eaglep3\Utilities\DownloadLogsFromS3.py --loco 4021 --day 2017-05-07</v>
      </c>
      <c r="AN222" s="154" t="str">
        <f t="shared" si="112"/>
        <v>echo {"issue":{"subject":"","project_id":30,"tracker_id":4,"status_id":1,"priority_id":1,"assigned_to_id":10,"start_date":"2017-05-07","description":"","custom_fields":[{"id":30,"name":"Category","value":"Issue"},{"id":3,"name":"Functional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UTC","value":"2017-05-07 23:56:30"},{"id":29,"name":"Sharepoint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735</v>
      </c>
      <c r="B223" s="7">
        <v>4022</v>
      </c>
      <c r="C223" s="21" t="s">
        <v>209</v>
      </c>
      <c r="D223" s="21" t="s">
        <v>796</v>
      </c>
      <c r="E223" s="13">
        <v>42862.76871527778</v>
      </c>
      <c r="F223" s="13">
        <v>42862.778819444444</v>
      </c>
      <c r="G223" s="7">
        <v>1</v>
      </c>
      <c r="H223" s="21" t="s">
        <v>378</v>
      </c>
      <c r="I223" s="13">
        <v>42862.786157407405</v>
      </c>
      <c r="J223" s="7">
        <v>0</v>
      </c>
      <c r="K223" s="92" t="str">
        <f t="shared" si="94"/>
        <v>4021/4022</v>
      </c>
      <c r="L223" s="21" t="str">
        <f>VLOOKUP(A223,'Trips&amp;Operators'!$C$1:$G$99999,5,FALSE)</f>
        <v>DAVIS MICHAEL</v>
      </c>
      <c r="M223" s="6">
        <f t="shared" si="95"/>
        <v>7.3379629611736163E-3</v>
      </c>
      <c r="N223" s="7">
        <f t="shared" si="96"/>
        <v>10.566666664090008</v>
      </c>
      <c r="O223" s="7"/>
      <c r="P223" s="7"/>
      <c r="Q223" s="22"/>
      <c r="R223" s="190"/>
      <c r="S223" s="196">
        <f t="shared" si="97"/>
        <v>0</v>
      </c>
      <c r="T223" s="190" t="e">
        <f t="shared" si="98"/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99"/>
        <v>https://d0f6bd738d7f1b3e5a7ca70fe4ff75f0.us-east-1.aws.found.io/app/kibana#/discover/Steve-Slow-Train-Analysis-(2080s-and-2083s)?_g=(refreshInterval:(display:Off,pause:!f,section:0,value:0),time:(from:'2017-05-07T17:26:57-0600',mode:absolute,to:'2017-05-07T19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3" s="192" t="str">
        <f t="shared" si="100"/>
        <v>Y</v>
      </c>
      <c r="X223" s="192" t="e">
        <f t="shared" si="101"/>
        <v>#VALUE!</v>
      </c>
      <c r="Y223" s="192">
        <f t="shared" si="102"/>
        <v>4.3499999999999997E-2</v>
      </c>
      <c r="Z223" s="192">
        <f t="shared" si="103"/>
        <v>2.3346</v>
      </c>
      <c r="AA223" s="192">
        <f t="shared" si="104"/>
        <v>2.2911000000000001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105"/>
        <v>73-07</v>
      </c>
      <c r="AE223" s="80" t="str">
        <f t="shared" si="106"/>
        <v>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 &amp; 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</v>
      </c>
      <c r="AF223" s="77" t="str">
        <f t="shared" si="107"/>
        <v>"C:\Program Files (x86)\AstroGrep\AstroGrep.exe" /e /r /s /spath="%USERPROFILE%\AppData\Local\Temp\OnboardLogs" /stypes="app*4022*20170508*" /stext=" 00:.+((SYSTEM_STATE.+slice.+state.+changed )|(ment ac)|(multiple cpu faults)|(system.+state.+changed )|(\[timeout)|(PRM\|1\|D)|(kpr)|(kdp)|(train st.+moving)|(\|lc)|(penalty))"</v>
      </c>
      <c r="AG223" s="1" t="str">
        <f t="shared" si="108"/>
        <v>Other</v>
      </c>
      <c r="AH223" s="81" t="str">
        <f t="shared" si="109"/>
        <v>"%USERPROFILE%\Documents\GitHub\eaglep3\Utilities\RefineRTDCRunTimes.py" --tripid 73-07 --locoid 4022 --swversion DE.1.0.9.0 --startMP 204:435 --initTime 2017-05-07T18:26:57 --startdatetime 2017-05-07T18:41:30 --delay 1 --endMP 300:23346 --enddatetime 2017-05-07T18:52:04 --enforcementcount 0 &gt;&gt;C:\Users\stu\Documents\GitHub\eaglep3-reporting\EC\2017-05-07-refined-times.txt</v>
      </c>
      <c r="AI223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{"issue":{"subject":"","project_id":79,"tracker_id":40,"status_id":1,"priority_id":2,"assigned_to_id":23,"start_date":"2017-05-07","description":"","custom_fields":[{"id":1,"name":"Subdivision","value":"Other"},{"id":4,"name":"Milepost","value":"2.3346"},{"id":17,"name":"Train ID","value":"73-07"},{"id":16,"name":"Locomotive ID","value":"4022"},{"id":130,"name":"Impact","value":""},{"id":150,"name":"Time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11"/>
        <v>start /low /b %USERPROFILE%\Documents\GitHub\eaglep3\Utilities\DownloadLogsFromS3.py --loco 4022 --day 2017-05-07</v>
      </c>
      <c r="AN223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751</v>
      </c>
      <c r="B224" s="7">
        <v>4006</v>
      </c>
      <c r="C224" s="21" t="s">
        <v>209</v>
      </c>
      <c r="D224" s="21" t="s">
        <v>944</v>
      </c>
      <c r="E224" s="13">
        <v>42862.85665509259</v>
      </c>
      <c r="F224" s="13">
        <v>42862.859293981484</v>
      </c>
      <c r="G224" s="7">
        <v>3</v>
      </c>
      <c r="H224" s="21" t="s">
        <v>945</v>
      </c>
      <c r="I224" s="13">
        <v>42862.963599537034</v>
      </c>
      <c r="J224" s="7">
        <v>0</v>
      </c>
      <c r="K224" s="92" t="str">
        <f t="shared" si="94"/>
        <v>4005/4006</v>
      </c>
      <c r="L224" s="21" t="str">
        <f>VLOOKUP(A224,'Trips&amp;Operators'!$C$1:$G$99999,5,FALSE)</f>
        <v>DUNCAN SHEILA</v>
      </c>
      <c r="M224" s="6">
        <f t="shared" si="95"/>
        <v>0.10430555554921739</v>
      </c>
      <c r="N224" s="7">
        <f t="shared" si="96"/>
        <v>150.19999999087304</v>
      </c>
      <c r="O224" s="7"/>
      <c r="P224" s="7"/>
      <c r="Q224" s="22"/>
      <c r="R224" s="190"/>
      <c r="S224" s="196">
        <f t="shared" si="97"/>
        <v>0</v>
      </c>
      <c r="T224" s="190" t="e">
        <f t="shared" si="98"/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99"/>
        <v>https://d0f6bd738d7f1b3e5a7ca70fe4ff75f0.us-east-1.aws.found.io/app/kibana#/discover/Steve-Slow-Train-Analysis-(2080s-and-2083s)?_g=(refreshInterval:(display:Off,pause:!f,section:0,value:0),time:(from:'2017-05-07T19:33:35-0600',mode:absolute,to:'2017-05-08T00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4" s="192" t="str">
        <f t="shared" si="100"/>
        <v>Y</v>
      </c>
      <c r="X224" s="192" t="e">
        <f t="shared" si="101"/>
        <v>#VALUE!</v>
      </c>
      <c r="Y224" s="192">
        <f t="shared" si="102"/>
        <v>0.115</v>
      </c>
      <c r="Z224" s="192">
        <f t="shared" si="103"/>
        <v>0.2399</v>
      </c>
      <c r="AA224" s="192">
        <f t="shared" si="104"/>
        <v>0.1249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105"/>
        <v>77-07</v>
      </c>
      <c r="AE224" s="80" t="str">
        <f t="shared" si="106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24" s="77" t="str">
        <f t="shared" si="107"/>
        <v>"C:\Program Files (x86)\AstroGrep\AstroGrep.exe" /e /r /s /spath="%USERPROFILE%\AppData\Local\Temp\OnboardLogs" /stypes="app*4006*20170508*" /stext=" 05:.+((SYSTEM_STATE.+slice.+state.+changed )|(ment ac)|(multiple cpu faults)|(system.+state.+changed )|(\[timeout)|(PRM\|1\|D)|(kpr)|(kdp)|(train st.+moving)|(\|lc)|(penalty))"</v>
      </c>
      <c r="AG224" s="1" t="str">
        <f t="shared" si="108"/>
        <v>Other</v>
      </c>
      <c r="AH224" s="81" t="str">
        <f t="shared" si="109"/>
        <v>"%USERPROFILE%\Documents\GitHub\eaglep3\Utilities\RefineRTDCRunTimes.py" --tripid 77-07 --locoid 4006 --swversion DE.1.0.9.0 --startMP 204:1150 --initTime 2017-05-07T20:33:35 --startdatetime 2017-05-07T20:37:23 --delay 3 --endMP 204:2399 --enddatetime 2017-05-07T23:07:35 --enforcementcount 0 &gt;&gt;C:\Users\stu\Documents\GitHub\eaglep3-reporting\EC\2017-05-07-refined-times.txt</v>
      </c>
      <c r="AI224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{"issue":{"subject":"","project_id":79,"tracker_id":40,"status_id":1,"priority_id":2,"assigned_to_id":23,"start_date":"2017-05-07","description":"","custom_fields":[{"id":1,"name":"Subdivision","value":"Other"},{"id":4,"name":"Milepost","value":"0.2399"},{"id":17,"name":"Train ID","value":"77-07"},{"id":16,"name":"Locomotive ID","value":"4006"},{"id":130,"name":"Impact","value":""},{"id":150,"name":"Time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11"/>
        <v>start /low /b %USERPROFILE%\Documents\GitHub\eaglep3\Utilities\DownloadLogsFromS3.py --loco 4006 --day 2017-05-07</v>
      </c>
      <c r="AN224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751</v>
      </c>
      <c r="B225" s="7">
        <v>4006</v>
      </c>
      <c r="C225" s="21" t="s">
        <v>209</v>
      </c>
      <c r="D225" s="21" t="s">
        <v>457</v>
      </c>
      <c r="E225" s="13">
        <v>42862.85665509259</v>
      </c>
      <c r="F225" s="13">
        <v>42862.859293981484</v>
      </c>
      <c r="G225" s="7">
        <v>3</v>
      </c>
      <c r="H225" s="21" t="s">
        <v>945</v>
      </c>
      <c r="I225" s="13">
        <v>42862.963599537034</v>
      </c>
      <c r="J225" s="7">
        <v>0</v>
      </c>
      <c r="K225" s="92" t="str">
        <f t="shared" si="94"/>
        <v>4005/4006</v>
      </c>
      <c r="L225" s="21" t="str">
        <f>VLOOKUP(A225,'Trips&amp;Operators'!$C$1:$G$99999,5,FALSE)</f>
        <v>DUNCAN SHEILA</v>
      </c>
      <c r="M225" s="6">
        <f t="shared" si="95"/>
        <v>0.10430555554921739</v>
      </c>
      <c r="N225" s="7">
        <f t="shared" si="96"/>
        <v>150.19999999087304</v>
      </c>
      <c r="O225" s="7"/>
      <c r="P225" s="7"/>
      <c r="Q225" s="22"/>
      <c r="R225" s="190"/>
      <c r="S225" s="196">
        <f t="shared" si="97"/>
        <v>0</v>
      </c>
      <c r="T225" s="190" t="e">
        <f t="shared" si="98"/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99"/>
        <v>https://d0f6bd738d7f1b3e5a7ca70fe4ff75f0.us-east-1.aws.found.io/app/kibana#/discover/Steve-Slow-Train-Analysis-(2080s-and-2083s)?_g=(refreshInterval:(display:Off,pause:!f,section:0,value:0),time:(from:'2017-05-07T19:33:35-0600',mode:absolute,to:'2017-05-08T00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192" t="str">
        <f t="shared" si="100"/>
        <v>Y</v>
      </c>
      <c r="X225" s="192" t="e">
        <f t="shared" si="101"/>
        <v>#VALUE!</v>
      </c>
      <c r="Y225" s="192">
        <f t="shared" si="102"/>
        <v>0.1152</v>
      </c>
      <c r="Z225" s="192">
        <f t="shared" si="103"/>
        <v>0.2399</v>
      </c>
      <c r="AA225" s="192">
        <f t="shared" si="104"/>
        <v>0.12470000000000001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105"/>
        <v>77-07</v>
      </c>
      <c r="AE225" s="80" t="str">
        <f t="shared" si="106"/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AF225" s="77" t="str">
        <f t="shared" si="107"/>
        <v>"C:\Program Files (x86)\AstroGrep\AstroGrep.exe" /e /r /s /spath="%USERPROFILE%\AppData\Local\Temp\OnboardLogs" /stypes="app*4006*20170508*" /stext=" 05:.+((SYSTEM_STATE.+slice.+state.+changed )|(ment ac)|(multiple cpu faults)|(system.+state.+changed )|(\[timeout)|(PRM\|1\|D)|(kpr)|(kdp)|(train st.+moving)|(\|lc)|(penalty))"</v>
      </c>
      <c r="AG225" s="1" t="str">
        <f t="shared" si="108"/>
        <v>Other</v>
      </c>
      <c r="AH225" s="81" t="str">
        <f t="shared" si="109"/>
        <v>"%USERPROFILE%\Documents\GitHub\eaglep3\Utilities\RefineRTDCRunTimes.py" --tripid 77-07 --locoid 4006 --swversion DE.1.0.9.0 --startMP 204:1152 --initTime 2017-05-07T20:33:35 --startdatetime 2017-05-07T20:37:23 --delay 3 --endMP 204:2399 --enddatetime 2017-05-07T23:07:35 --enforcementcount 0 &gt;&gt;C:\Users\stu\Documents\GitHub\eaglep3-reporting\EC\2017-05-07-refined-times.txt</v>
      </c>
      <c r="AI225" s="99" t="str">
        <f t="shared" si="110"/>
        <v>echo {"issue":{"subject":"","project_id":79,"tracker_id":40,"status_id":1,"priority_id":2,"assigned_to_id":23,"start_date":"2017-05-07","description":"","custom_fields":[{"id":1,"name":"Subdivision","value":"Other"},{"id":4,"name":"Milepost","value":"0.2399"},{"id":17,"name":"Train ID","value":"77-07"},{"id":16,"name":"Locomotive ID","value":"4006"},{"id":130,"name":"Impact","value":""},{"id":150,"name":"Time of Event (Mountain Time)","value":"23:07:35"},{"id":151,"name":"Denver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11"/>
        <v>start /low /b %USERPROFILE%\Documents\GitHub\eaglep3\Utilities\DownloadLogsFromS3.py --loco 4006 --day 2017-05-07</v>
      </c>
      <c r="AN225" s="154" t="str">
        <f t="shared" si="112"/>
        <v>echo {"issue":{"subject":"","project_id":30,"tracker_id":4,"status_id":1,"priority_id":1,"assigned_to_id":10,"start_date":"2017-05-08","description":"","custom_fields":[{"id":30,"name":"Category","value":"Issue"},{"id":3,"name":"Functional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UTC","value":"2017-05-08 05:07:35"},{"id":29,"name":"Sharepoint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465</v>
      </c>
      <c r="B226" s="7">
        <v>4034</v>
      </c>
      <c r="C226" s="21" t="s">
        <v>209</v>
      </c>
      <c r="D226" s="21" t="s">
        <v>546</v>
      </c>
      <c r="E226" s="13">
        <v>42862.10324074074</v>
      </c>
      <c r="F226" s="13">
        <v>42862.104629629626</v>
      </c>
      <c r="G226" s="7">
        <v>1</v>
      </c>
      <c r="H226" s="21" t="s">
        <v>547</v>
      </c>
      <c r="I226" s="13">
        <v>25568.708333333332</v>
      </c>
      <c r="J226" s="7">
        <v>0</v>
      </c>
      <c r="K226" s="92" t="str">
        <f t="shared" si="94"/>
        <v>4033/4034</v>
      </c>
      <c r="L226" s="21" t="str">
        <f>VLOOKUP(A226,'Trips&amp;Operators'!$C$1:$G$99999,5,FALSE)</f>
        <v>DUNCAN SHEILA</v>
      </c>
      <c r="M226" s="6">
        <f t="shared" si="95"/>
        <v>-17293.396296296294</v>
      </c>
      <c r="N226" s="7">
        <f t="shared" si="96"/>
        <v>-24902490.666666664</v>
      </c>
      <c r="O226" s="7"/>
      <c r="P226" s="7"/>
      <c r="Q226" s="22"/>
      <c r="R226" s="190"/>
      <c r="S226" s="196">
        <f t="shared" si="97"/>
        <v>0</v>
      </c>
      <c r="T226" s="190" t="e">
        <f t="shared" si="98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99"/>
        <v>https://d0f6bd738d7f1b3e5a7ca70fe4ff75f0.us-east-1.aws.found.io/app/kibana#/discover/Steve-Slow-Train-Analysis-(2080s-and-2083s)?_g=(refreshInterval:(display:Off,pause:!f,section:0,value:0),time:(from:'2017-05-07T01:28:40-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6" s="192" t="str">
        <f t="shared" si="100"/>
        <v>Y</v>
      </c>
      <c r="X226" s="192" t="e">
        <f t="shared" si="101"/>
        <v>#VALUE!</v>
      </c>
      <c r="Y226" s="192">
        <f t="shared" si="102"/>
        <v>5.2400000000000002E-2</v>
      </c>
      <c r="Z226" s="192">
        <f t="shared" si="103"/>
        <v>2.3311999999999999</v>
      </c>
      <c r="AA226" s="192">
        <f t="shared" si="104"/>
        <v>2.2787999999999999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105"/>
        <v>79-06</v>
      </c>
      <c r="AE226" s="80" t="str">
        <f t="shared" si="106"/>
        <v>aws s3 cp s3://rtdc.mdm.uploadarchive.raw/RTDC4034/ "%USERPROFILE%\AppData\Local\Temp\OnboardLogs"\RTDC4034\2017-05-07 --exclude "*" --recursive --include "*20170507*" &amp; "%USERPROFILE%\Documents\GitHub\mrs-test-scripts\Headless Mode &amp; Sideloading\WalkAndUnGZ.bat" "%USERPROFILE%\AppData\Local\Temp\OnboardLogs"\RTDC4034\2017-05-07 &amp; aws s3 cp s3://rtdc.mdm.uploadarchive.raw/RTDC4034/ "%USERPROFILE%\AppData\Local\Temp\OnboardLogs"\RTDC4034\2017-05-08 --exclude "*" --recursive --include "*20170508*" &amp; "%USERPROFILE%\Documents\GitHub\mrs-test-scripts\Headless Mode &amp; Sideloading\WalkAndUnGZ.bat" "%USERPROFILE%\AppData\Local\Temp\OnboardLogs"\RTDC4034\2017-05-08</v>
      </c>
      <c r="AF226" s="77" t="str">
        <f t="shared" si="107"/>
        <v>"C:\Program Files (x86)\AstroGrep\AstroGrep.exe" /e /r /s /spath="%USERPROFILE%\AppData\Local\Temp\OnboardLogs" /stypes="app*4034*19691231*" /stext=" 23:.+((SYSTEM_STATE.+slice.+state.+changed )|(ment ac)|(multiple cpu faults)|(system.+state.+changed )|(\[timeout)|(PRM\|1\|D)|(kpr)|(kdp)|(train st.+moving)|(\|lc)|(penalty))"</v>
      </c>
      <c r="AG226" s="1" t="str">
        <f t="shared" si="108"/>
        <v>Other</v>
      </c>
      <c r="AH226" s="81" t="str">
        <f t="shared" si="109"/>
        <v>"%USERPROFILE%\Documents\GitHub\eaglep3\Utilities\RefineRTDCRunTimes.py" --tripid 79-06 --locoid 4034 --swversion DE.1.0.9.0 --startMP 204:524 --initTime 2017-05-07T02:28:40 --startdatetime 2017-05-07T02:30:40 --delay 1 --endMP 300:23312 --enddatetime 1969-12-31T17:00:00 --enforcementcount 0 &gt;&gt;C:\Users\stu\Documents\GitHub\eaglep3-reporting\EC\2017-05-07-refined-times.txt</v>
      </c>
      <c r="AI226" s="99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ID","value":"79-06"},{"id":16,"name":"Locomotive ID","value":"4034"},{"id":130,"name":"Impact","value":""},{"id":150,"name":"Time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11"/>
        <v>start /low /b %USERPROFILE%\Documents\GitHub\eaglep3\Utilities\DownloadLogsFromS3.py --loco 4034 --day 2017-05-07</v>
      </c>
      <c r="AN226" s="154" t="str">
        <f t="shared" si="112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9:X1048576 W13:X226">
    <cfRule type="cellIs" dxfId="10" priority="401" operator="equal">
      <formula>"Y"</formula>
    </cfRule>
  </conditionalFormatting>
  <conditionalFormatting sqref="X269:X1048576 X13:X226">
    <cfRule type="cellIs" dxfId="9" priority="384" operator="greaterThan">
      <formula>1</formula>
    </cfRule>
  </conditionalFormatting>
  <conditionalFormatting sqref="X269:X1048576 X12:X226">
    <cfRule type="cellIs" dxfId="8" priority="381" operator="equal">
      <formula>0</formula>
    </cfRule>
  </conditionalFormatting>
  <conditionalFormatting sqref="A13:S226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AK13:AK226</xm:sqref>
        </x14:dataValidation>
        <x14:dataValidation type="list" allowBlank="1" showInputMessage="1" showErrorMessage="1">
          <x14:formula1>
            <xm:f>'Redmine List Values'!$C$2:$C$15</xm:f>
          </x14:formula1>
          <xm:sqref>AL13:AL226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COUNTIF($O$7:$O$292,"=Y")</f>
        <v>0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COUNTA($O$7:$O$292)-O2</f>
        <v>46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- 2017-05-07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42862.613356481481</v>
      </c>
      <c r="B7" s="30" t="s">
        <v>420</v>
      </c>
      <c r="C7" s="30" t="s">
        <v>573</v>
      </c>
      <c r="D7" s="30" t="s">
        <v>49</v>
      </c>
      <c r="E7" s="30" t="s">
        <v>191</v>
      </c>
      <c r="F7" s="42">
        <v>0</v>
      </c>
      <c r="G7" s="42">
        <v>195</v>
      </c>
      <c r="H7" s="42">
        <v>31072</v>
      </c>
      <c r="I7" s="42">
        <v>30772</v>
      </c>
      <c r="J7" s="30" t="s">
        <v>192</v>
      </c>
      <c r="K7" s="42">
        <v>30970</v>
      </c>
      <c r="L7" s="134" t="s">
        <v>51</v>
      </c>
      <c r="M7" s="135">
        <f t="shared" ref="M7:M52" si="0">CONVERT((I7-K7)/10000,"mi","ft")*IF(L7="Increasing Mileposts (1)",-1,1)</f>
        <v>-104.544</v>
      </c>
      <c r="N7" s="136" t="str">
        <f>VLOOKUP(C7,'Trips&amp;Operators'!$C$1:$G$99999,5,FALSE)</f>
        <v>LEVIN SCOTT</v>
      </c>
      <c r="O7" s="207" t="s">
        <v>184</v>
      </c>
      <c r="P7" s="137" t="s">
        <v>975</v>
      </c>
      <c r="Q7" s="30"/>
      <c r="R7" s="84" t="str">
        <f>IF(VLOOKUP(C7,'Train Runs'!$A$13:$AE$9938,1,1)=C7,VLOOKUP(C7,'Train Runs'!$A$13:$AE$9938,31,1),NA())</f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S7" s="87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-05-07T13:07:51-0600',mode:absolute,to:'2017-05-07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89" t="str">
        <f t="shared" ref="T7:T5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/stypes="*4051*201705072*" /stext=" 20:.+((SYSTEM_STATE.+slice.+state.+changed )|(ment ac)|(multiple cpu faults)|(system.+state.+changed )|(\[timeout)|(PRM\|1\|D)|(kpr)|(kdp)|(train st.+moving)|(\|lc)|(penalty))"</v>
      </c>
      <c r="U7" s="9" t="str">
        <f t="shared" ref="U7:U52" si="2">MID(B7,13,4)</f>
        <v>4051</v>
      </c>
      <c r="V7" s="31">
        <f t="shared" ref="V7:V52" si="3">A7-utc_offset/24</f>
        <v>42862.863356481481</v>
      </c>
      <c r="W7" s="45" t="str">
        <f t="shared" ref="W7:W52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2" si="5">IF(AND(E7="TRACK WARRANT AUTHORITY",G7&lt;10),"OMIT","KEEP")</f>
        <v>KEEP</v>
      </c>
      <c r="Y7" s="99" t="str">
        <f t="shared" ref="Y7:Y5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arrival","project_id":79,"tracker_id":40,"status_id":1,"priority_id":2,"assigned_to_id":23,"start_date":"2017-05-07","description":"","custom_fields":[{"id":1,"name":"Subdivision","value":"EC"},{"id":4,"name":"Milepost","value":"3.097"},{"id":17,"name":"Train ID","value":"178-07"},{"id":16,"name":"Locomotive ID","value":"4051"},{"id":130,"name":"Impact","value":""},{"id":150,"name":"Time of Event (Mountain Time)","value":"14:43:14"},{"id":151,"name":"Denver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2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/cygdrive/c/Users/stu/AppData/Local/Temp/OnboardLogs/RTDC4051 --include="*4051*201705072*"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"%USERPROFILE%\AppData\Local\Temp\OnboardLogs"\RTDC4051\*4051*201705072* &gt;&gt; 2017-05-07-SliceDisagreementCheck.txt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4051 --day 2017-05-07</v>
      </c>
    </row>
    <row r="8" spans="1:32" s="1" customFormat="1" x14ac:dyDescent="0.25">
      <c r="A8" s="31">
        <v>42862.690937500003</v>
      </c>
      <c r="B8" s="30" t="s">
        <v>420</v>
      </c>
      <c r="C8" s="30" t="s">
        <v>575</v>
      </c>
      <c r="D8" s="30" t="s">
        <v>98</v>
      </c>
      <c r="E8" s="30" t="s">
        <v>191</v>
      </c>
      <c r="F8" s="42">
        <v>0</v>
      </c>
      <c r="G8" s="42">
        <v>133</v>
      </c>
      <c r="H8" s="42">
        <v>30965</v>
      </c>
      <c r="I8" s="42">
        <v>30883</v>
      </c>
      <c r="J8" s="30" t="s">
        <v>192</v>
      </c>
      <c r="K8" s="42">
        <v>30970</v>
      </c>
      <c r="L8" s="134" t="s">
        <v>51</v>
      </c>
      <c r="M8" s="135">
        <f t="shared" si="0"/>
        <v>-45.936</v>
      </c>
      <c r="N8" s="136" t="str">
        <f>VLOOKUP(C8,'Trips&amp;Operators'!$C$1:$G$99999,5,FALSE)</f>
        <v>LEVIN SCOTT</v>
      </c>
      <c r="O8" s="207" t="s">
        <v>184</v>
      </c>
      <c r="P8" s="137" t="s">
        <v>975</v>
      </c>
      <c r="Q8" s="30"/>
      <c r="R8" s="84" t="e">
        <f>IF(VLOOKUP(C8,'Train Runs'!$A$13:$AE$9938,1,1)=C8,VLOOKUP(C8,'Train Runs'!$A$13:$AE$9938,31,1),NA())</f>
        <v>#N/A</v>
      </c>
      <c r="S8" s="87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-05-07T15:14:19-0600',mode:absolute,to:'2017-05-07T17:43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89" t="str">
        <f t="shared" si="1"/>
        <v>"C:\Program Files (x86)\AstroGrep\AstroGrep.exe" /e /r /s /spath="%USERPROFILE%\AppData\Local\Temp\OnboardLogs" /stypes="*4051*201705072*" /stext=" 22:.+((SYSTEM_STATE.+slice.+state.+changed )|(ment ac)|(multiple cpu faults)|(system.+state.+changed )|(\[timeout)|(PRM\|1\|D)|(kpr)|(kdp)|(train st.+moving)|(\|lc)|(penalty))"</v>
      </c>
      <c r="U8" s="9" t="str">
        <f t="shared" si="2"/>
        <v>4051</v>
      </c>
      <c r="V8" s="31">
        <f t="shared" si="3"/>
        <v>42862.940937500003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arrival","project_id":79,"tracker_id":40,"status_id":1,"priority_id":2,"assigned_to_id":23,"start_date":"2017-05-07","description":"","custom_fields":[{"id":1,"name":"Subdivision","value":"EC"},{"id":4,"name":"Milepost","value":"3.097"},{"id":17,"name":"Train ID","value":"192-07"},{"id":16,"name":"Locomotive ID","value":"4051"},{"id":130,"name":"Impact","value":""},{"id":150,"name":"Time of Event (Mountain Time)","value":"16:34:57"},{"id":151,"name":"Denver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/cygdrive/c/Users/stu/AppData/Local/Temp/OnboardLogs/RTDC4051 --include="*4051*201705072*"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"%USERPROFILE%\AppData\Local\Temp\OnboardLogs"\RTDC4051\*4051*201705072* &gt;&gt; 2017-05-07-SliceDisagreementCheck.txt</v>
      </c>
      <c r="AE8" s="148" t="str">
        <f t="shared" ref="AE8:AE52" si="9">"start /low /b "&amp;dls3logs&amp;" --loco "&amp;U8&amp;" --day "&amp;TEXT(V8,"YYYY-MM-DD")</f>
        <v>start /low /b %USERPROFILE%\Documents\GitHub\eaglep3\Utilities\DownloadLogsFromS3.py --loco 4051 --day 2017-05-07</v>
      </c>
    </row>
    <row r="9" spans="1:32" s="1" customFormat="1" x14ac:dyDescent="0.25">
      <c r="A9" s="31">
        <v>42862.802673611113</v>
      </c>
      <c r="B9" s="30" t="s">
        <v>370</v>
      </c>
      <c r="C9" s="30" t="s">
        <v>587</v>
      </c>
      <c r="D9" s="30" t="s">
        <v>49</v>
      </c>
      <c r="E9" s="30" t="s">
        <v>191</v>
      </c>
      <c r="F9" s="42">
        <v>0</v>
      </c>
      <c r="G9" s="42">
        <v>122</v>
      </c>
      <c r="H9" s="42">
        <v>31359</v>
      </c>
      <c r="I9" s="42">
        <v>31226</v>
      </c>
      <c r="J9" s="30" t="s">
        <v>192</v>
      </c>
      <c r="K9" s="42">
        <v>30970</v>
      </c>
      <c r="L9" s="134" t="s">
        <v>51</v>
      </c>
      <c r="M9" s="135">
        <f t="shared" si="0"/>
        <v>135.16800000000001</v>
      </c>
      <c r="N9" s="136" t="str">
        <f>VLOOKUP(C9,'Trips&amp;Operators'!$C$1:$G$99999,5,FALSE)</f>
        <v>NEWELL JAMES</v>
      </c>
      <c r="O9" s="207" t="s">
        <v>184</v>
      </c>
      <c r="P9" s="137" t="s">
        <v>976</v>
      </c>
      <c r="Q9" s="30"/>
      <c r="R9" s="84" t="e">
        <f>IF(VLOOKUP(C9,'Train Runs'!$A$13:$AE$9938,1,1)=C9,VLOOKUP(C9,'Train Runs'!$A$13:$AE$9938,31,1),NA())</f>
        <v>#N/A</v>
      </c>
      <c r="S9" s="87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-05-07T17:43:11-0600',mode:absolute,to:'2017-05-07T20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9" s="89" t="str">
        <f t="shared" si="1"/>
        <v>"C:\Program Files (x86)\AstroGrep\AstroGrep.exe" /e /r /s /spath="%USERPROFILE%\AppData\Local\Temp\OnboardLogs" /stypes="*4003*201705080*"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4003</v>
      </c>
      <c r="V9" s="31">
        <f t="shared" si="3"/>
        <v>42863.052673611113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C","project_id":79,"tracker_id":40,"status_id":1,"priority_id":2,"assigned_to_id":23,"start_date":"2017-05-07","description":"","custom_fields":[{"id":1,"name":"Subdivision","value":"EC"},{"id":4,"name":"Milepost","value":"3.097"},{"id":17,"name":"Train ID","value":"214-07"},{"id":16,"name":"Locomotive ID","value":"4003"},{"id":130,"name":"Impact","value":""},{"id":150,"name":"Time of Event (Mountain Time)","value":"19:15:51"},{"id":151,"name":"Denver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/cygdrive/c/Users/stu/AppData/Local/Temp/OnboardLogs/RTDC4003 --include="*4003*201705080*"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"%USERPROFILE%\AppData\Local\Temp\OnboardLogs"\RTDC4003\*4003*201705080* &gt;&gt; 2017-05-07-SliceDisagreementCheck.txt</v>
      </c>
      <c r="AE9" s="148" t="str">
        <f t="shared" si="9"/>
        <v>start /low /b %USERPROFILE%\Documents\GitHub\eaglep3\Utilities\DownloadLogsFromS3.py --loco 4003 --day 2017-05-08</v>
      </c>
    </row>
    <row r="10" spans="1:32" s="1" customFormat="1" x14ac:dyDescent="0.25">
      <c r="A10" s="31">
        <v>42862.735162037039</v>
      </c>
      <c r="B10" s="30" t="s">
        <v>348</v>
      </c>
      <c r="C10" s="30" t="s">
        <v>578</v>
      </c>
      <c r="D10" s="30" t="s">
        <v>49</v>
      </c>
      <c r="E10" s="30" t="s">
        <v>191</v>
      </c>
      <c r="F10" s="42">
        <v>350</v>
      </c>
      <c r="G10" s="42">
        <v>402</v>
      </c>
      <c r="H10" s="42">
        <v>32635</v>
      </c>
      <c r="I10" s="42">
        <v>33601</v>
      </c>
      <c r="J10" s="30" t="s">
        <v>192</v>
      </c>
      <c r="K10" s="42">
        <v>33137</v>
      </c>
      <c r="L10" s="134" t="s">
        <v>50</v>
      </c>
      <c r="M10" s="135">
        <f t="shared" si="0"/>
        <v>-244.99199999999999</v>
      </c>
      <c r="N10" s="136" t="str">
        <f>VLOOKUP(C10,'Trips&amp;Operators'!$C$1:$G$99999,5,FALSE)</f>
        <v>LALONDE GREGORY</v>
      </c>
      <c r="O10" s="207" t="s">
        <v>184</v>
      </c>
      <c r="P10" s="137" t="s">
        <v>975</v>
      </c>
      <c r="Q10" s="30"/>
      <c r="R10" s="84" t="e">
        <f>IF(VLOOKUP(C10,'Train Runs'!$A$13:$AE$9938,1,1)=C10,VLOOKUP(C10,'Train Runs'!$A$13:$AE$9938,31,1),NA())</f>
        <v>#N/A</v>
      </c>
      <c r="S10" s="87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-05-07T16:25:16-0600',mode:absolute,to:'2017-05-07T19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0" s="89" t="str">
        <f t="shared" si="1"/>
        <v>"C:\Program Files (x86)\AstroGrep\AstroGrep.exe" /e /r /s /spath="%USERPROFILE%\AppData\Local\Temp\OnboardLogs" /stypes="*4028*201705072*" /stext=" 23:.+((SYSTEM_STATE.+slice.+state.+changed )|(ment ac)|(multiple cpu faults)|(system.+state.+changed )|(\[timeout)|(PRM\|1\|D)|(kpr)|(kdp)|(train st.+moving)|(\|lc)|(penalty))"</v>
      </c>
      <c r="U10" s="9" t="str">
        <f t="shared" si="2"/>
        <v>4028</v>
      </c>
      <c r="V10" s="31">
        <f t="shared" si="3"/>
        <v>42862.985162037039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arrival","project_id":79,"tracker_id":40,"status_id":1,"priority_id":2,"assigned_to_id":23,"start_date":"2017-05-07","description":"","custom_fields":[{"id":1,"name":"Subdivision","value":"EC"},{"id":4,"name":"Milepost","value":"3.3137"},{"id":17,"name":"Train ID","value":"211-07"},{"id":16,"name":"Locomotive ID","value":"4028"},{"id":130,"name":"Impact","value":""},{"id":150,"name":"Time of Event (Mountain Time)","value":"17:38:38"},{"id":151,"name":"Denver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/cygdrive/c/Users/stu/AppData/Local/Temp/OnboardLogs/RTDC4028 --include="*4028*201705072*"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"%USERPROFILE%\AppData\Local\Temp\OnboardLogs"\RTDC4028\*4028*201705072* &gt;&gt; 2017-05-07-SliceDisagreementCheck.txt</v>
      </c>
      <c r="AE10" s="148" t="str">
        <f t="shared" si="9"/>
        <v>start /low /b %USERPROFILE%\Documents\GitHub\eaglep3\Utilities\DownloadLogsFromS3.py --loco 4028 --day 2017-05-07</v>
      </c>
    </row>
    <row r="11" spans="1:32" s="1" customFormat="1" x14ac:dyDescent="0.25">
      <c r="A11" s="31">
        <v>42862.259872685187</v>
      </c>
      <c r="B11" s="30" t="s">
        <v>438</v>
      </c>
      <c r="C11" s="30" t="s">
        <v>550</v>
      </c>
      <c r="D11" s="30" t="s">
        <v>49</v>
      </c>
      <c r="E11" s="30" t="s">
        <v>191</v>
      </c>
      <c r="F11" s="42">
        <v>0</v>
      </c>
      <c r="G11" s="42">
        <v>225</v>
      </c>
      <c r="H11" s="42">
        <v>52293</v>
      </c>
      <c r="I11" s="42">
        <v>52603</v>
      </c>
      <c r="J11" s="30" t="s">
        <v>192</v>
      </c>
      <c r="K11" s="42">
        <v>53155</v>
      </c>
      <c r="L11" s="134" t="s">
        <v>50</v>
      </c>
      <c r="M11" s="135">
        <f t="shared" si="0"/>
        <v>291.45600000000002</v>
      </c>
      <c r="N11" s="136" t="str">
        <f>VLOOKUP(C11,'Trips&amp;Operators'!$C$1:$G$99999,5,FALSE)</f>
        <v>BADERTSCHER DIANE</v>
      </c>
      <c r="O11" s="207" t="s">
        <v>184</v>
      </c>
      <c r="P11" s="137" t="s">
        <v>976</v>
      </c>
      <c r="Q11" s="30"/>
      <c r="R11" s="84" t="str">
        <f>IF(VLOOKUP(C11,'Train Runs'!$A$13:$AE$9938,1,1)=C11,VLOOKUP(C11,'Train Runs'!$A$13:$AE$9938,31,1),NA())</f>
        <v>aws s3 cp s3://rtdc.mdm.uploadarchive.raw/RTDC4044/ "%USERPROFILE%\AppData\Local\Temp\OnboardLogs"\RTDC4044\2017-05-07 --exclude "*" --recursive --include "*20170507*" &amp; "%USERPROFILE%\Documents\GitHub\mrs-test-scripts\Headless Mode &amp; Sideloading\WalkAndUnGZ.bat" "%USERPROFILE%\AppData\Local\Temp\OnboardLogs"\RTDC4044\2017-05-07 &amp; aws s3 cp s3://rtdc.mdm.uploadarchive.raw/RTDC4044/ "%USERPROFILE%\AppData\Local\Temp\OnboardLogs"\RTDC4044\2017-05-08 --exclude "*" --recursive --include "*20170508*" &amp; "%USERPROFILE%\Documents\GitHub\mrs-test-scripts\Headless Mode &amp; Sideloading\WalkAndUnGZ.bat" "%USERPROFILE%\AppData\Local\Temp\OnboardLogs"\RTDC4044\2017-05-08</v>
      </c>
      <c r="S11" s="87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-05-07T04:56:57-0600',mode:absolute,to:'2017-05-07T07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1" s="89" t="str">
        <f t="shared" si="1"/>
        <v>"C:\Program Files (x86)\AstroGrep\AstroGrep.exe" /e /r /s /spath="%USERPROFILE%\AppData\Local\Temp\OnboardLogs" /stypes="*4044*201705071*"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4044</v>
      </c>
      <c r="V11" s="31">
        <f t="shared" si="3"/>
        <v>42862.509872685187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C","project_id":79,"tracker_id":40,"status_id":1,"priority_id":2,"assigned_to_id":23,"start_date":"2017-05-07","description":"","custom_fields":[{"id":1,"name":"Subdivision","value":"EC"},{"id":4,"name":"Milepost","value":"5.3155"},{"id":17,"name":"Train ID","value":"119-07"},{"id":16,"name":"Locomotive ID","value":"4044"},{"id":130,"name":"Impact","value":""},{"id":150,"name":"Time of Event (Mountain Time)","value":"06:14:13"},{"id":151,"name":"Denver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/cygdrive/c/Users/stu/AppData/Local/Temp/OnboardLogs/RTDC4044 --include="*4044*201705071*"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"%USERPROFILE%\AppData\Local\Temp\OnboardLogs"\RTDC4044\*4044*201705071* &gt;&gt; 2017-05-07-SliceDisagreementCheck.txt</v>
      </c>
      <c r="AE11" s="148" t="str">
        <f t="shared" si="9"/>
        <v>start /low /b %USERPROFILE%\Documents\GitHub\eaglep3\Utilities\DownloadLogsFromS3.py --loco 4044 --day 2017-05-07</v>
      </c>
    </row>
    <row r="12" spans="1:32" s="1" customFormat="1" x14ac:dyDescent="0.25">
      <c r="A12" s="31">
        <v>42862.234710648147</v>
      </c>
      <c r="B12" s="30" t="s">
        <v>370</v>
      </c>
      <c r="C12" s="30" t="s">
        <v>549</v>
      </c>
      <c r="D12" s="30" t="s">
        <v>49</v>
      </c>
      <c r="E12" s="30" t="s">
        <v>191</v>
      </c>
      <c r="F12" s="42">
        <v>0</v>
      </c>
      <c r="G12" s="42">
        <v>212</v>
      </c>
      <c r="H12" s="42">
        <v>54008</v>
      </c>
      <c r="I12" s="42">
        <v>53694</v>
      </c>
      <c r="J12" s="30" t="s">
        <v>192</v>
      </c>
      <c r="K12" s="42">
        <v>53277</v>
      </c>
      <c r="L12" s="134" t="s">
        <v>51</v>
      </c>
      <c r="M12" s="135">
        <f t="shared" si="0"/>
        <v>220.17599999999999</v>
      </c>
      <c r="N12" s="136" t="str">
        <f>VLOOKUP(C12,'Trips&amp;Operators'!$C$1:$G$99999,5,FALSE)</f>
        <v>BADERTSCHER DIANE</v>
      </c>
      <c r="O12" s="207" t="s">
        <v>184</v>
      </c>
      <c r="P12" s="137" t="s">
        <v>976</v>
      </c>
      <c r="Q12" s="30"/>
      <c r="R12" s="84" t="str">
        <f>IF(VLOOKUP(C12,'Train Runs'!$A$13:$AE$9938,1,1)=C12,VLOOKUP(C12,'Train Runs'!$A$13:$AE$9938,31,1),NA())</f>
        <v>aws s3 cp s3://rtdc.mdm.uploadarchive.raw/RTDC4003/ "%USERPROFILE%\AppData\Local\Temp\OnboardLogs"\RTDC4003\2017-05-07 --exclude "*" --recursive --include "*20170507*" &amp; "%USERPROFILE%\Documents\GitHub\mrs-test-scripts\Headless Mode &amp; Sideloading\WalkAndUnGZ.bat" "%USERPROFILE%\AppData\Local\Temp\OnboardLogs"\RTDC4003\2017-05-07 &amp; aws s3 cp s3://rtdc.mdm.uploadarchive.raw/RTDC4003/ "%USERPROFILE%\AppData\Local\Temp\OnboardLogs"\RTDC4003\2017-05-08 --exclude "*" --recursive --include "*20170508*" &amp; "%USERPROFILE%\Documents\GitHub\mrs-test-scripts\Headless Mode &amp; Sideloading\WalkAndUnGZ.bat" "%USERPROFILE%\AppData\Local\Temp\OnboardLogs"\RTDC4003\2017-05-08</v>
      </c>
      <c r="S12" s="87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-05-07T04:05:31-0600',mode:absolute,to:'2017-05-07T06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89" t="str">
        <f t="shared" si="1"/>
        <v>"C:\Program Files (x86)\AstroGrep\AstroGrep.exe" /e /r /s /spath="%USERPROFILE%\AppData\Local\Temp\OnboardLogs" /stypes="*4003*201705071*" /stext=" 11:.+((SYSTEM_STATE.+slice.+state.+changed )|(ment ac)|(multiple cpu faults)|(system.+state.+changed )|(\[timeout)|(PRM\|1\|D)|(kpr)|(kdp)|(train st.+moving)|(\|lc)|(penalty))"</v>
      </c>
      <c r="U12" s="9" t="str">
        <f t="shared" si="2"/>
        <v>4003</v>
      </c>
      <c r="V12" s="31">
        <f t="shared" si="3"/>
        <v>42862.484710648147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ID","value":"106-07"},{"id":16,"name":"Locomotive ID","value":"4003"},{"id":130,"name":"Impact","value":""},{"id":150,"name":"Time of Event (Mountain Time)","value":"05:37:59"},{"id":151,"name":"Denver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/cygdrive/c/Users/stu/AppData/Local/Temp/OnboardLogs/RTDC4003 --include="*4003*201705071*"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"%USERPROFILE%\AppData\Local\Temp\OnboardLogs"\RTDC4003\*4003*201705071* &gt;&gt; 2017-05-07-SliceDisagreementCheck.txt</v>
      </c>
      <c r="AE12" s="148" t="str">
        <f t="shared" si="9"/>
        <v>start /low /b %USERPROFILE%\Documents\GitHub\eaglep3\Utilities\DownloadLogsFromS3.py --loco 4003 --day 2017-05-07</v>
      </c>
    </row>
    <row r="13" spans="1:32" s="1" customFormat="1" x14ac:dyDescent="0.25">
      <c r="A13" s="31">
        <v>42862.349004629628</v>
      </c>
      <c r="B13" s="30" t="s">
        <v>554</v>
      </c>
      <c r="C13" s="30" t="s">
        <v>555</v>
      </c>
      <c r="D13" s="30" t="s">
        <v>49</v>
      </c>
      <c r="E13" s="30" t="s">
        <v>191</v>
      </c>
      <c r="F13" s="42">
        <v>0</v>
      </c>
      <c r="G13" s="42">
        <v>195</v>
      </c>
      <c r="H13" s="42">
        <v>53938</v>
      </c>
      <c r="I13" s="42">
        <v>53637</v>
      </c>
      <c r="J13" s="30" t="s">
        <v>192</v>
      </c>
      <c r="K13" s="42">
        <v>53277</v>
      </c>
      <c r="L13" s="134" t="s">
        <v>51</v>
      </c>
      <c r="M13" s="135">
        <f t="shared" si="0"/>
        <v>190.08</v>
      </c>
      <c r="N13" s="136" t="str">
        <f>VLOOKUP(C13,'Trips&amp;Operators'!$C$1:$G$99999,5,FALSE)</f>
        <v>SANTIZO D. EDY</v>
      </c>
      <c r="O13" s="207" t="s">
        <v>184</v>
      </c>
      <c r="P13" s="137" t="s">
        <v>976</v>
      </c>
      <c r="Q13" s="30"/>
      <c r="R13" s="84" t="str">
        <f>IF(VLOOKUP(C13,'Train Runs'!$A$13:$AE$9938,1,1)=C13,VLOOKUP(C13,'Train Runs'!$A$13:$AE$9938,31,1),NA())</f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S13" s="87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-05-07T06:37:45-0600',mode:absolute,to:'2017-05-07T09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3" s="89" t="str">
        <f t="shared" si="1"/>
        <v>"C:\Program Files (x86)\AstroGrep\AstroGrep.exe" /e /r /s /spath="%USERPROFILE%\AppData\Local\Temp\OnboardLogs" /stypes="*4011*201705071*"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4011</v>
      </c>
      <c r="V13" s="31">
        <f t="shared" si="3"/>
        <v>42862.599004629628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ID","value":"128-07"},{"id":16,"name":"Locomotive ID","value":"4011"},{"id":130,"name":"Impact","value":""},{"id":150,"name":"Time of Event (Mountain Time)","value":"08:22:34"},{"id":151,"name":"Denver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/cygdrive/c/Users/stu/AppData/Local/Temp/OnboardLogs/RTDC4011 --include="*4011*201705071*"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"%USERPROFILE%\AppData\Local\Temp\OnboardLogs"\RTDC4011\*4011*201705071* &gt;&gt; 2017-05-07-SliceDisagreementCheck.txt</v>
      </c>
      <c r="AE13" s="148" t="str">
        <f t="shared" si="9"/>
        <v>start /low /b %USERPROFILE%\Documents\GitHub\eaglep3\Utilities\DownloadLogsFromS3.py --loco 4011 --day 2017-05-07</v>
      </c>
    </row>
    <row r="14" spans="1:32" x14ac:dyDescent="0.25">
      <c r="A14" s="31">
        <v>42862.934571759259</v>
      </c>
      <c r="B14" s="30" t="s">
        <v>459</v>
      </c>
      <c r="C14" s="30" t="s">
        <v>590</v>
      </c>
      <c r="D14" s="30" t="s">
        <v>49</v>
      </c>
      <c r="E14" s="30" t="s">
        <v>191</v>
      </c>
      <c r="F14" s="42">
        <v>0</v>
      </c>
      <c r="G14" s="42">
        <v>280</v>
      </c>
      <c r="H14" s="42">
        <v>54378</v>
      </c>
      <c r="I14" s="42">
        <v>53854</v>
      </c>
      <c r="J14" s="30" t="s">
        <v>192</v>
      </c>
      <c r="K14" s="42">
        <v>53277</v>
      </c>
      <c r="L14" s="134" t="s">
        <v>51</v>
      </c>
      <c r="M14" s="135">
        <f t="shared" si="0"/>
        <v>304.65600000000001</v>
      </c>
      <c r="N14" s="136" t="str">
        <f>VLOOKUP(C14,'Trips&amp;Operators'!$C$1:$G$99999,5,FALSE)</f>
        <v>DUNCAN SHEILA</v>
      </c>
      <c r="O14" s="207" t="s">
        <v>184</v>
      </c>
      <c r="P14" s="137" t="s">
        <v>976</v>
      </c>
      <c r="Q14" s="30"/>
      <c r="R14" s="84" t="e">
        <f>IF(VLOOKUP(C14,'Train Runs'!$A$13:$AE$9938,1,1)=C14,VLOOKUP(C14,'Train Runs'!$A$13:$AE$9938,31,1),NA())</f>
        <v>#N/A</v>
      </c>
      <c r="S14" s="87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-05-07T20:52:49-0600',mode:absolute,to:'2017-05-07T23:40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4" s="89" t="str">
        <f t="shared" si="1"/>
        <v>"C:\Program Files (x86)\AstroGrep\AstroGrep.exe" /e /r /s /spath="%USERPROFILE%\AppData\Local\Temp\OnboardLogs" /stypes="*4005*201705080*" /stext=" 04:.+((SYSTEM_STATE.+slice.+state.+changed )|(ment ac)|(multiple cpu faults)|(system.+state.+changed )|(\[timeout)|(PRM\|1\|D)|(kpr)|(kdp)|(train st.+moving)|(\|lc)|(penalty))"</v>
      </c>
      <c r="U14" s="9" t="str">
        <f t="shared" si="2"/>
        <v>4005</v>
      </c>
      <c r="V14" s="31">
        <f t="shared" si="3"/>
        <v>42863.184571759259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ID","value":"230-07"},{"id":16,"name":"Locomotive ID","value":"4005"},{"id":130,"name":"Impact","value":""},{"id":150,"name":"Time of Event (Mountain Time)","value":"22:25:47"},{"id":151,"name":"Denver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/cygdrive/c/Users/stu/AppData/Local/Temp/OnboardLogs/RTDC4005 --include="*4005*201705080*"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"%USERPROFILE%\AppData\Local\Temp\OnboardLogs"\RTDC4005\*4005*201705080* &gt;&gt; 2017-05-07-SliceDisagreementCheck.txt</v>
      </c>
      <c r="AE14" s="148" t="str">
        <f t="shared" si="9"/>
        <v>start /low /b %USERPROFILE%\Documents\GitHub\eaglep3\Utilities\DownloadLogsFromS3.py --loco 4005 --day 2017-05-08</v>
      </c>
      <c r="AF14" s="1"/>
    </row>
    <row r="15" spans="1:32" x14ac:dyDescent="0.25">
      <c r="A15" s="31">
        <v>42862.997118055559</v>
      </c>
      <c r="B15" s="30" t="s">
        <v>420</v>
      </c>
      <c r="C15" s="30" t="s">
        <v>593</v>
      </c>
      <c r="D15" s="30" t="s">
        <v>49</v>
      </c>
      <c r="E15" s="30" t="s">
        <v>191</v>
      </c>
      <c r="F15" s="42">
        <v>0</v>
      </c>
      <c r="G15" s="42">
        <v>272</v>
      </c>
      <c r="H15" s="42">
        <v>54416</v>
      </c>
      <c r="I15" s="42">
        <v>53927</v>
      </c>
      <c r="J15" s="30" t="s">
        <v>192</v>
      </c>
      <c r="K15" s="42">
        <v>53277</v>
      </c>
      <c r="L15" s="134" t="s">
        <v>51</v>
      </c>
      <c r="M15" s="135">
        <f t="shared" si="0"/>
        <v>343.2</v>
      </c>
      <c r="N15" s="136" t="str">
        <f>VLOOKUP(C15,'Trips&amp;Operators'!$C$1:$G$99999,5,FALSE)</f>
        <v>STAMBAUGH JAMES</v>
      </c>
      <c r="O15" s="207" t="s">
        <v>184</v>
      </c>
      <c r="P15" s="137" t="s">
        <v>976</v>
      </c>
      <c r="Q15" s="30"/>
      <c r="R15" s="84" t="e">
        <f>IF(VLOOKUP(C15,'Train Runs'!$A$13:$AE$9938,1,1)=C15,VLOOKUP(C15,'Train Runs'!$A$13:$AE$9938,31,1),NA())</f>
        <v>#N/A</v>
      </c>
      <c r="S15" s="87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-05-07T22:19:56-0600',mode:absolute,to:'2017-05-08T01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5" s="89" t="str">
        <f t="shared" si="1"/>
        <v>"C:\Program Files (x86)\AstroGrep\AstroGrep.exe" /e /r /s /spath="%USERPROFILE%\AppData\Local\Temp\OnboardLogs" /stypes="*4051*201705080*" /stext=" 05:.+((SYSTEM_STATE.+slice.+state.+changed )|(ment ac)|(multiple cpu faults)|(system.+state.+changed )|(\[timeout)|(PRM\|1\|D)|(kpr)|(kdp)|(train st.+moving)|(\|lc)|(penalty))"</v>
      </c>
      <c r="U15" s="9" t="str">
        <f t="shared" si="2"/>
        <v>4051</v>
      </c>
      <c r="V15" s="31">
        <f t="shared" si="3"/>
        <v>42863.247118055559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{"issue":{"subject":"Form C","project_id":79,"tracker_id":40,"status_id":1,"priority_id":2,"assigned_to_id":23,"start_date":"2017-05-07","description":"","custom_fields":[{"id":1,"name":"Subdivision","value":"EC"},{"id":4,"name":"Milepost","value":"5.3277"},{"id":17,"name":"Train ID","value":"236-07"},{"id":16,"name":"Locomotive ID","value":"4051"},{"id":130,"name":"Impact","value":""},{"id":150,"name":"Time of Event (Mountain Time)","value":"23:55:51"},{"id":151,"name":"Denver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/cygdrive/c/Users/stu/AppData/Local/Temp/OnboardLogs/RTDC4051 --include="*4051*201705080*"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"%USERPROFILE%\AppData\Local\Temp\OnboardLogs"\RTDC4051\*4051*201705080* &gt;&gt; 2017-05-07-SliceDisagreementCheck.txt</v>
      </c>
      <c r="AE15" s="148" t="str">
        <f t="shared" si="9"/>
        <v>start /low /b %USERPROFILE%\Documents\GitHub\eaglep3\Utilities\DownloadLogsFromS3.py --loco 4051 --day 2017-05-08</v>
      </c>
      <c r="AF15" s="1"/>
    </row>
    <row r="16" spans="1:32" x14ac:dyDescent="0.25">
      <c r="A16" s="31">
        <v>42862.433645833335</v>
      </c>
      <c r="B16" s="30" t="s">
        <v>459</v>
      </c>
      <c r="C16" s="30" t="s">
        <v>557</v>
      </c>
      <c r="D16" s="30" t="s">
        <v>98</v>
      </c>
      <c r="E16" s="30" t="s">
        <v>191</v>
      </c>
      <c r="F16" s="42">
        <v>140</v>
      </c>
      <c r="G16" s="42">
        <v>195</v>
      </c>
      <c r="H16" s="42">
        <v>63115</v>
      </c>
      <c r="I16" s="42">
        <v>62643</v>
      </c>
      <c r="J16" s="30" t="s">
        <v>192</v>
      </c>
      <c r="K16" s="42">
        <v>63309</v>
      </c>
      <c r="L16" s="134" t="s">
        <v>51</v>
      </c>
      <c r="M16" s="135">
        <f t="shared" si="0"/>
        <v>-351.64800000000002</v>
      </c>
      <c r="N16" s="136" t="str">
        <f>VLOOKUP(C16,'Trips&amp;Operators'!$C$1:$G$99999,5,FALSE)</f>
        <v>MACDONALD THOMAS</v>
      </c>
      <c r="O16" s="207" t="s">
        <v>184</v>
      </c>
      <c r="P16" s="137" t="s">
        <v>975</v>
      </c>
      <c r="Q16" s="30"/>
      <c r="R16" s="84" t="str">
        <f>IF(VLOOKUP(C16,'Train Runs'!$A$13:$AE$9938,1,1)=C16,VLOOKUP(C16,'Train Runs'!$A$13:$AE$9938,31,1),NA())</f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S16" s="87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-05-07T08:51:33-0600',mode:absolute,to:'2017-05-07T11:40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89" t="str">
        <f t="shared" si="1"/>
        <v>"C:\Program Files (x86)\AstroGrep\AstroGrep.exe" /e /r /s /spath="%USERPROFILE%\AppData\Local\Temp\OnboardLogs" /stypes="*4005*201705071*"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4005</v>
      </c>
      <c r="V16" s="31">
        <f t="shared" si="3"/>
        <v>42862.683645833335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arrival","project_id":79,"tracker_id":40,"status_id":1,"priority_id":2,"assigned_to_id":23,"start_date":"2017-05-07","description":"","custom_fields":[{"id":1,"name":"Subdivision","value":"EC"},{"id":4,"name":"Milepost","value":"6.3309"},{"id":17,"name":"Train ID","value":"144-07"},{"id":16,"name":"Locomotive ID","value":"4005"},{"id":130,"name":"Impact","value":""},{"id":150,"name":"Time of Event (Mountain Time)","value":"10:24:27"},{"id":151,"name":"Denver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/cygdrive/c/Users/stu/AppData/Local/Temp/OnboardLogs/RTDC4005 --include="*4005*201705071*"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"%USERPROFILE%\AppData\Local\Temp\OnboardLogs"\RTDC4005\*4005*201705071* &gt;&gt; 2017-05-07-SliceDisagreementCheck.txt</v>
      </c>
      <c r="AE16" s="148" t="str">
        <f t="shared" si="9"/>
        <v>start /low /b %USERPROFILE%\Documents\GitHub\eaglep3\Utilities\DownloadLogsFromS3.py --loco 4005 --day 2017-05-07</v>
      </c>
      <c r="AF16" s="1"/>
    </row>
    <row r="17" spans="1:32" x14ac:dyDescent="0.25">
      <c r="A17" s="31">
        <v>42862.603368055556</v>
      </c>
      <c r="B17" s="30" t="s">
        <v>420</v>
      </c>
      <c r="C17" s="30" t="s">
        <v>573</v>
      </c>
      <c r="D17" s="30" t="s">
        <v>49</v>
      </c>
      <c r="E17" s="30" t="s">
        <v>191</v>
      </c>
      <c r="F17" s="42">
        <v>410</v>
      </c>
      <c r="G17" s="42">
        <v>467</v>
      </c>
      <c r="H17" s="42">
        <v>110316</v>
      </c>
      <c r="I17" s="42">
        <v>108813</v>
      </c>
      <c r="J17" s="30" t="s">
        <v>192</v>
      </c>
      <c r="K17" s="42">
        <v>109135</v>
      </c>
      <c r="L17" s="134" t="s">
        <v>51</v>
      </c>
      <c r="M17" s="135">
        <f t="shared" si="0"/>
        <v>-170.01599999999999</v>
      </c>
      <c r="N17" s="136" t="str">
        <f>VLOOKUP(C17,'Trips&amp;Operators'!$C$1:$G$99999,5,FALSE)</f>
        <v>LEVIN SCOTT</v>
      </c>
      <c r="O17" s="207" t="s">
        <v>184</v>
      </c>
      <c r="P17" s="137" t="s">
        <v>975</v>
      </c>
      <c r="Q17" s="30"/>
      <c r="R17" s="84" t="str">
        <f>IF(VLOOKUP(C17,'Train Runs'!$A$13:$AE$9938,1,1)=C17,VLOOKUP(C17,'Train Runs'!$A$13:$AE$9938,31,1),NA())</f>
        <v>aws s3 cp s3://rtdc.mdm.uploadarchive.raw/RTDC4051/ "%USERPROFILE%\AppData\Local\Temp\OnboardLogs"\RTDC4051\2017-05-07 --exclude "*" --recursive --include "*20170507*" &amp; "%USERPROFILE%\Documents\GitHub\mrs-test-scripts\Headless Mode &amp; Sideloading\WalkAndUnGZ.bat" "%USERPROFILE%\AppData\Local\Temp\OnboardLogs"\RTDC4051\2017-05-07 &amp; aws s3 cp s3://rtdc.mdm.uploadarchive.raw/RTDC4051/ "%USERPROFILE%\AppData\Local\Temp\OnboardLogs"\RTDC4051\2017-05-08 --exclude "*" --recursive --include "*20170508*" &amp; "%USERPROFILE%\Documents\GitHub\mrs-test-scripts\Headless Mode &amp; Sideloading\WalkAndUnGZ.bat" "%USERPROFILE%\AppData\Local\Temp\OnboardLogs"\RTDC4051\2017-05-08</v>
      </c>
      <c r="S17" s="87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-05-07T13:07:51-0600',mode:absolute,to:'2017-05-07T15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7" s="89" t="str">
        <f t="shared" si="1"/>
        <v>"C:\Program Files (x86)\AstroGrep\AstroGrep.exe" /e /r /s /spath="%USERPROFILE%\AppData\Local\Temp\OnboardLogs" /stypes="*4051*201705072*"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4051</v>
      </c>
      <c r="V17" s="31">
        <f t="shared" si="3"/>
        <v>42862.853368055556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arrival","project_id":79,"tracker_id":40,"status_id":1,"priority_id":2,"assigned_to_id":23,"start_date":"2017-05-07","description":"","custom_fields":[{"id":1,"name":"Subdivision","value":"EC"},{"id":4,"name":"Milepost","value":"10.9135"},{"id":17,"name":"Train ID","value":"178-07"},{"id":16,"name":"Locomotive ID","value":"4051"},{"id":130,"name":"Impact","value":""},{"id":150,"name":"Time of Event (Mountain Time)","value":"14:28:51"},{"id":151,"name":"Denver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/cygdrive/c/Users/stu/AppData/Local/Temp/OnboardLogs/RTDC4051 --include="*4051*201705072*"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"%USERPROFILE%\AppData\Local\Temp\OnboardLogs"\RTDC4051\*4051*201705072* &gt;&gt; 2017-05-07-SliceDisagreementCheck.txt</v>
      </c>
      <c r="AE17" s="148" t="str">
        <f t="shared" si="9"/>
        <v>start /low /b %USERPROFILE%\Documents\GitHub\eaglep3\Utilities\DownloadLogsFromS3.py --loco 4051 --day 2017-05-07</v>
      </c>
      <c r="AF17" s="1"/>
    </row>
    <row r="18" spans="1:32" x14ac:dyDescent="0.25">
      <c r="A18" s="31">
        <v>42862.597916666666</v>
      </c>
      <c r="B18" s="30" t="s">
        <v>571</v>
      </c>
      <c r="C18" s="30" t="s">
        <v>572</v>
      </c>
      <c r="D18" s="30" t="s">
        <v>49</v>
      </c>
      <c r="E18" s="30" t="s">
        <v>207</v>
      </c>
      <c r="F18" s="42">
        <v>400</v>
      </c>
      <c r="G18" s="42">
        <v>458</v>
      </c>
      <c r="H18" s="42">
        <v>116677</v>
      </c>
      <c r="I18" s="42">
        <v>117813</v>
      </c>
      <c r="J18" s="30" t="s">
        <v>208</v>
      </c>
      <c r="K18" s="42">
        <v>116838</v>
      </c>
      <c r="L18" s="134" t="s">
        <v>50</v>
      </c>
      <c r="M18" s="135">
        <f t="shared" si="0"/>
        <v>-514.79999999999995</v>
      </c>
      <c r="N18" s="136" t="str">
        <f>VLOOKUP(C18,'Trips&amp;Operators'!$C$1:$G$99999,5,FALSE)</f>
        <v>ROMERO CHAD</v>
      </c>
      <c r="O18" s="207" t="s">
        <v>184</v>
      </c>
      <c r="P18" s="137"/>
      <c r="Q18" s="30"/>
      <c r="R18" s="84" t="e">
        <f>IF(VLOOKUP(C18,'Train Runs'!$A$13:$AE$9938,1,1)=C18,VLOOKUP(C18,'Train Runs'!$A$13:$AE$9938,31,1),NA())</f>
        <v>#N/A</v>
      </c>
      <c r="S18" s="87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-05-07T12:54:16-0600',mode:absolute,to:'2017-05-07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89" t="str">
        <f t="shared" si="1"/>
        <v>"C:\Program Files (x86)\AstroGrep\AstroGrep.exe" /e /r /s /spath="%USERPROFILE%\AppData\Local\Temp\OnboardLogs" /stypes="*4012*201705072*" /stext=" 20:.+((SYSTEM_STATE.+slice.+state.+changed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42862.847916666666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{"issue":{"subject":"","project_id":79,"tracker_id":40,"status_id":1,"priority_id":2,"assigned_to_id":23,"start_date":"2017-05-07","description":"","custom_fields":[{"id":1,"name":"Subdivision","value":"EC"},{"id":4,"name":"Milepost","value":"11.6838"},{"id":17,"name":"Train ID","value":"183-07"},{"id":16,"name":"Locomotive ID","value":"4012"},{"id":130,"name":"Impact","value":""},{"id":150,"name":"Time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/cygdrive/c/Users/stu/AppData/Local/Temp/OnboardLogs/RTDC4012 --include="*4012*201705072*"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"%USERPROFILE%\AppData\Local\Temp\OnboardLogs"\RTDC4012\*4012*201705072* &gt;&gt; 2017-05-07-SliceDisagreementCheck.txt</v>
      </c>
      <c r="AE18" s="148" t="str">
        <f t="shared" si="9"/>
        <v>start /low /b %USERPROFILE%\Documents\GitHub\eaglep3\Utilities\DownloadLogsFromS3.py --loco 4012 --day 2017-05-07</v>
      </c>
      <c r="AF18" s="1"/>
    </row>
    <row r="19" spans="1:32" x14ac:dyDescent="0.25">
      <c r="A19" s="31">
        <v>42862.32271990741</v>
      </c>
      <c r="B19" s="30" t="s">
        <v>477</v>
      </c>
      <c r="C19" s="30" t="s">
        <v>552</v>
      </c>
      <c r="D19" s="30" t="s">
        <v>98</v>
      </c>
      <c r="E19" s="30" t="s">
        <v>207</v>
      </c>
      <c r="F19" s="42">
        <v>600</v>
      </c>
      <c r="G19" s="42">
        <v>652</v>
      </c>
      <c r="H19" s="42">
        <v>186411</v>
      </c>
      <c r="I19" s="42">
        <v>189234</v>
      </c>
      <c r="J19" s="30" t="s">
        <v>208</v>
      </c>
      <c r="K19" s="42">
        <v>183829</v>
      </c>
      <c r="L19" s="134" t="s">
        <v>50</v>
      </c>
      <c r="M19" s="135">
        <f t="shared" si="0"/>
        <v>-2853.84</v>
      </c>
      <c r="N19" s="136" t="str">
        <f>VLOOKUP(C19,'Trips&amp;Operators'!$C$1:$G$99999,5,FALSE)</f>
        <v>MACDONALD THOMAS</v>
      </c>
      <c r="O19" s="207" t="s">
        <v>184</v>
      </c>
      <c r="P19" s="137"/>
      <c r="Q19" s="30"/>
      <c r="R19" s="84" t="str">
        <f>IF(VLOOKUP(C19,'Train Runs'!$A$13:$AE$9938,1,1)=C19,VLOOKUP(C19,'Train Runs'!$A$13:$AE$9938,31,1),NA())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S19" s="87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-05-07T06:09:07-0600',mode:absolute,to:'2017-05-07T08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89" t="str">
        <f t="shared" si="1"/>
        <v>"C:\Program Files (x86)\AstroGrep\AstroGrep.exe" /e /r /s /spath="%USERPROFILE%\AppData\Local\Temp\OnboardLogs" /stypes="*4006*201705071*" /stext=" 13:.+((SYSTEM_STATE.+slice.+state.+changed )|(ment ac)|(multiple cpu faults)|(system.+state.+changed )|(\[timeout)|(PRM\|1\|D)|(kpr)|(kdp)|(train st.+moving)|(\|lc)|(penalty))"</v>
      </c>
      <c r="U19" s="9" t="str">
        <f t="shared" si="2"/>
        <v>4006</v>
      </c>
      <c r="V19" s="31">
        <f t="shared" si="3"/>
        <v>42862.57271990741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{"issue":{"subject":"","project_id":79,"tracker_id":40,"status_id":1,"priority_id":2,"assigned_to_id":23,"start_date":"2017-05-07","description":"","custom_fields":[{"id":1,"name":"Subdivision","value":"EC"},{"id":4,"name":"Milepost","value":"18.3829"},{"id":17,"name":"Train ID","value":"129-07"},{"id":16,"name":"Locomotive ID","value":"4006"},{"id":130,"name":"Impact","value":""},{"id":150,"name":"Time of Event (Mountain Time)","value":"07:44:43"},{"id":151,"name":"Denver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/cygdrive/c/Users/stu/AppData/Local/Temp/OnboardLogs/RTDC4006 --include="*4006*201705071*"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"%USERPROFILE%\AppData\Local\Temp\OnboardLogs"\RTDC4006\*4006*201705071* &gt;&gt; 2017-05-07-SliceDisagreementCheck.txt</v>
      </c>
      <c r="AE19" s="148" t="str">
        <f t="shared" si="9"/>
        <v>start /low /b %USERPROFILE%\Documents\GitHub\eaglep3\Utilities\DownloadLogsFromS3.py --loco 4006 --day 2017-05-07</v>
      </c>
      <c r="AF19" s="1"/>
    </row>
    <row r="20" spans="1:32" x14ac:dyDescent="0.25">
      <c r="A20" s="31">
        <v>42862.607916666668</v>
      </c>
      <c r="B20" s="30" t="s">
        <v>571</v>
      </c>
      <c r="C20" s="30" t="s">
        <v>572</v>
      </c>
      <c r="D20" s="30" t="s">
        <v>98</v>
      </c>
      <c r="E20" s="30" t="s">
        <v>207</v>
      </c>
      <c r="F20" s="42">
        <v>350</v>
      </c>
      <c r="G20" s="42">
        <v>402</v>
      </c>
      <c r="H20" s="42">
        <v>229306</v>
      </c>
      <c r="I20" s="42">
        <v>230533</v>
      </c>
      <c r="J20" s="30" t="s">
        <v>208</v>
      </c>
      <c r="K20" s="42">
        <v>224578</v>
      </c>
      <c r="L20" s="134" t="s">
        <v>50</v>
      </c>
      <c r="M20" s="135">
        <f t="shared" si="0"/>
        <v>-3144.24</v>
      </c>
      <c r="N20" s="136" t="str">
        <f>VLOOKUP(C20,'Trips&amp;Operators'!$C$1:$G$99999,5,FALSE)</f>
        <v>ROMERO CHAD</v>
      </c>
      <c r="O20" s="207" t="s">
        <v>184</v>
      </c>
      <c r="P20" s="137"/>
      <c r="Q20" s="30"/>
      <c r="R20" s="84" t="e">
        <f>IF(VLOOKUP(C20,'Train Runs'!$A$13:$AE$9938,1,1)=C20,VLOOKUP(C20,'Train Runs'!$A$13:$AE$9938,31,1),NA())</f>
        <v>#N/A</v>
      </c>
      <c r="S20" s="87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-05-07T12:54:16-0600',mode:absolute,to:'2017-05-07T15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9" t="str">
        <f t="shared" si="1"/>
        <v>"C:\Program Files (x86)\AstroGrep\AstroGrep.exe" /e /r /s /spath="%USERPROFILE%\AppData\Local\Temp\OnboardLogs" /stypes="*4012*201705072*"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4012</v>
      </c>
      <c r="V20" s="31">
        <f t="shared" si="3"/>
        <v>42862.857916666668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{"issue":{"subject":"","project_id":79,"tracker_id":40,"status_id":1,"priority_id":2,"assigned_to_id":23,"start_date":"2017-05-07","description":"","custom_fields":[{"id":1,"name":"Subdivision","value":"EC"},{"id":4,"name":"Milepost","value":"22.4578"},{"id":17,"name":"Train ID","value":"183-07"},{"id":16,"name":"Locomotive ID","value":"4012"},{"id":130,"name":"Impact","value":""},{"id":150,"name":"Time of Event (Mountain Time)","value":"14:35:24"},{"id":151,"name":"Denver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/cygdrive/c/Users/stu/AppData/Local/Temp/OnboardLogs/RTDC4012 --include="*4012*201705072*"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"%USERPROFILE%\AppData\Local\Temp\OnboardLogs"\RTDC4012\*4012*201705072* &gt;&gt; 2017-05-07-SliceDisagreementCheck.txt</v>
      </c>
      <c r="AE20" s="148" t="str">
        <f t="shared" si="9"/>
        <v>start /low /b %USERPROFILE%\Documents\GitHub\eaglep3\Utilities\DownloadLogsFromS3.py --loco 4012 --day 2017-05-07</v>
      </c>
      <c r="AF20" s="1"/>
    </row>
    <row r="21" spans="1:32" x14ac:dyDescent="0.25">
      <c r="A21" s="31">
        <v>42862.709236111114</v>
      </c>
      <c r="B21" s="30" t="s">
        <v>370</v>
      </c>
      <c r="C21" s="30" t="s">
        <v>576</v>
      </c>
      <c r="D21" s="30" t="s">
        <v>98</v>
      </c>
      <c r="E21" s="30" t="s">
        <v>207</v>
      </c>
      <c r="F21" s="42">
        <v>350</v>
      </c>
      <c r="G21" s="42">
        <v>400</v>
      </c>
      <c r="H21" s="42">
        <v>224703</v>
      </c>
      <c r="I21" s="42">
        <v>223597</v>
      </c>
      <c r="J21" s="30" t="s">
        <v>208</v>
      </c>
      <c r="K21" s="42">
        <v>232080</v>
      </c>
      <c r="L21" s="134" t="s">
        <v>51</v>
      </c>
      <c r="M21" s="135">
        <f t="shared" si="0"/>
        <v>-4479.0240000000003</v>
      </c>
      <c r="N21" s="136" t="str">
        <f>VLOOKUP(C21,'Trips&amp;Operators'!$C$1:$G$99999,5,FALSE)</f>
        <v>BRANDNER MELINDA</v>
      </c>
      <c r="O21" s="207" t="s">
        <v>184</v>
      </c>
      <c r="P21" s="137"/>
      <c r="Q21" s="30"/>
      <c r="R21" s="84" t="e">
        <f>IF(VLOOKUP(C21,'Train Runs'!$A$13:$AE$9938,1,1)=C21,VLOOKUP(C21,'Train Runs'!$A$13:$AE$9938,31,1),NA())</f>
        <v>#N/A</v>
      </c>
      <c r="S21" s="87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-05-07T15:56:23-0600',mode:absolute,to:'2017-05-07T18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9" t="str">
        <f t="shared" si="1"/>
        <v>"C:\Program Files (x86)\AstroGrep\AstroGrep.exe" /e /r /s /spath="%USERPROFILE%\AppData\Local\Temp\OnboardLogs" /stypes="*4003*201705072*" /stext=" 23:.+((SYSTEM_STATE.+slice.+state.+changed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42862.959236111114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{"issue":{"subject":"","project_id":79,"tracker_id":40,"status_id":1,"priority_id":2,"assigned_to_id":23,"start_date":"2017-05-07","description":"","custom_fields":[{"id":1,"name":"Subdivision","value":"EC"},{"id":4,"name":"Milepost","value":"23.208"},{"id":17,"name":"Train ID","value":"200-07"},{"id":16,"name":"Locomotive ID","value":"4003"},{"id":130,"name":"Impact","value":""},{"id":150,"name":"Time of Event (Mountain Time)","value":"17:01:18"},{"id":151,"name":"Denver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/cygdrive/c/Users/stu/AppData/Local/Temp/OnboardLogs/RTDC4003 --include="*4003*201705072*"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"%USERPROFILE%\AppData\Local\Temp\OnboardLogs"\RTDC4003\*4003*201705072* &gt;&gt; 2017-05-07-SliceDisagreementCheck.txt</v>
      </c>
      <c r="AE21" s="148" t="str">
        <f t="shared" si="9"/>
        <v>start /low /b %USERPROFILE%\Documents\GitHub\eaglep3\Utilities\DownloadLogsFromS3.py --loco 4003 --day 2017-05-07</v>
      </c>
      <c r="AF21" s="1"/>
    </row>
    <row r="22" spans="1:32" x14ac:dyDescent="0.25">
      <c r="A22" s="31">
        <v>42862.550520833334</v>
      </c>
      <c r="B22" s="30" t="s">
        <v>554</v>
      </c>
      <c r="C22" s="30" t="s">
        <v>567</v>
      </c>
      <c r="D22" s="30" t="s">
        <v>98</v>
      </c>
      <c r="E22" s="30" t="s">
        <v>207</v>
      </c>
      <c r="F22" s="42">
        <v>350</v>
      </c>
      <c r="G22" s="42">
        <v>403</v>
      </c>
      <c r="H22" s="42">
        <v>229249</v>
      </c>
      <c r="I22" s="42">
        <v>228392</v>
      </c>
      <c r="J22" s="30" t="s">
        <v>208</v>
      </c>
      <c r="K22" s="42">
        <v>232107</v>
      </c>
      <c r="L22" s="134" t="s">
        <v>51</v>
      </c>
      <c r="M22" s="135">
        <f t="shared" si="0"/>
        <v>-1961.52</v>
      </c>
      <c r="N22" s="136" t="str">
        <f>VLOOKUP(C22,'Trips&amp;Operators'!$C$1:$G$99999,5,FALSE)</f>
        <v>ROMERO CHAD</v>
      </c>
      <c r="O22" s="207" t="s">
        <v>184</v>
      </c>
      <c r="P22" s="137"/>
      <c r="Q22" s="30"/>
      <c r="R22" s="84" t="str">
        <f>IF(VLOOKUP(C22,'Train Runs'!$A$13:$AE$9938,1,1)=C22,VLOOKUP(C22,'Train Runs'!$A$13:$AE$9938,31,1),NA())</f>
        <v>aws s3 cp s3://rtdc.mdm.uploadarchive.raw/RTDC4011/ "%USERPROFILE%\AppData\Local\Temp\OnboardLogs"\RTDC4011\2017-05-07 --exclude "*" --recursive --include "*20170507*" &amp; "%USERPROFILE%\Documents\GitHub\mrs-test-scripts\Headless Mode &amp; Sideloading\WalkAndUnGZ.bat" "%USERPROFILE%\AppData\Local\Temp\OnboardLogs"\RTDC4011\2017-05-07 &amp; aws s3 cp s3://rtdc.mdm.uploadarchive.raw/RTDC4011/ "%USERPROFILE%\AppData\Local\Temp\OnboardLogs"\RTDC4011\2017-05-08 --exclude "*" --recursive --include "*20170508*" &amp; "%USERPROFILE%\Documents\GitHub\mrs-test-scripts\Headless Mode &amp; Sideloading\WalkAndUnGZ.bat" "%USERPROFILE%\AppData\Local\Temp\OnboardLogs"\RTDC4011\2017-05-08</v>
      </c>
      <c r="S22" s="87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-05-07T11:52:21-0600',mode:absolute,to:'2017-05-07T14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9" t="str">
        <f t="shared" si="1"/>
        <v>"C:\Program Files (x86)\AstroGrep\AstroGrep.exe" /e /r /s /spath="%USERPROFILE%\AppData\Local\Temp\OnboardLogs" /stypes="*4011*201705071*"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4011</v>
      </c>
      <c r="V22" s="31">
        <f t="shared" si="3"/>
        <v>42862.800520833334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{"issue":{"subject":"","project_id":79,"tracker_id":40,"status_id":1,"priority_id":2,"assigned_to_id":23,"start_date":"2017-05-07","description":"","custom_fields":[{"id":1,"name":"Subdivision","value":"EC"},{"id":4,"name":"Milepost","value":"23.2107"},{"id":17,"name":"Train ID","value":"170-07"},{"id":16,"name":"Locomotive ID","value":"4011"},{"id":130,"name":"Impact","value":""},{"id":150,"name":"Time of Event (Mountain Time)","value":"13:12:45"},{"id":151,"name":"Denver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/cygdrive/c/Users/stu/AppData/Local/Temp/OnboardLogs/RTDC4011 --include="*4011*201705071*"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"%USERPROFILE%\AppData\Local\Temp\OnboardLogs"\RTDC4011\*4011*201705071* &gt;&gt; 2017-05-07-SliceDisagreementCheck.txt</v>
      </c>
      <c r="AE22" s="148" t="str">
        <f t="shared" si="9"/>
        <v>start /low /b %USERPROFILE%\Documents\GitHub\eaglep3\Utilities\DownloadLogsFromS3.py --loco 4011 --day 2017-05-07</v>
      </c>
      <c r="AF22" s="1"/>
    </row>
    <row r="23" spans="1:32" x14ac:dyDescent="0.25">
      <c r="A23" s="31">
        <v>42862.412465277775</v>
      </c>
      <c r="B23" s="30" t="s">
        <v>426</v>
      </c>
      <c r="C23" s="30" t="s">
        <v>556</v>
      </c>
      <c r="D23" s="30" t="s">
        <v>98</v>
      </c>
      <c r="E23" s="30" t="s">
        <v>418</v>
      </c>
      <c r="F23" s="42">
        <v>200</v>
      </c>
      <c r="G23" s="42">
        <v>251</v>
      </c>
      <c r="H23" s="42">
        <v>20531</v>
      </c>
      <c r="I23" s="42">
        <v>21123</v>
      </c>
      <c r="J23" s="30" t="s">
        <v>419</v>
      </c>
      <c r="K23" s="42">
        <v>10800</v>
      </c>
      <c r="L23" s="134" t="s">
        <v>50</v>
      </c>
      <c r="M23" s="135">
        <f t="shared" si="0"/>
        <v>-5450.5439999999999</v>
      </c>
      <c r="N23" s="136" t="str">
        <f>VLOOKUP(C23,'Trips&amp;Operators'!$C$1:$G$99999,5,FALSE)</f>
        <v>DAVIS WENDY</v>
      </c>
      <c r="O23" s="207" t="s">
        <v>184</v>
      </c>
      <c r="P23" s="137" t="s">
        <v>977</v>
      </c>
      <c r="Q23" s="30"/>
      <c r="R23" s="84" t="str">
        <f>IF(VLOOKUP(C23,'Train Runs'!$A$13:$AE$9938,1,1)=C23,VLOOKUP(C23,'Train Runs'!$A$13:$AE$9938,31,1),NA())</f>
        <v>aws s3 cp s3://rtdc.mdm.uploadarchive.raw/RTDC4052/ "%USERPROFILE%\AppData\Local\Temp\OnboardLogs"\RTDC4052\2017-05-07 --exclude "*" --recursive --include "*20170507*" &amp; "%USERPROFILE%\Documents\GitHub\mrs-test-scripts\Headless Mode &amp; Sideloading\WalkAndUnGZ.bat" "%USERPROFILE%\AppData\Local\Temp\OnboardLogs"\RTDC4052\2017-05-07 &amp; aws s3 cp s3://rtdc.mdm.uploadarchive.raw/RTDC4052/ "%USERPROFILE%\AppData\Local\Temp\OnboardLogs"\RTDC4052\2017-05-08 --exclude "*" --recursive --include "*20170508*" &amp; "%USERPROFILE%\Documents\GitHub\mrs-test-scripts\Headless Mode &amp; Sideloading\WalkAndUnGZ.bat" "%USERPROFILE%\AppData\Local\Temp\OnboardLogs"\RTDC4052\2017-05-08</v>
      </c>
      <c r="S23" s="87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-05-07T08:40:47-0600',mode:absolute,to:'2017-05-07T11:32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3" s="89" t="str">
        <f t="shared" si="1"/>
        <v>"C:\Program Files (x86)\AstroGrep\AstroGrep.exe" /e /r /s /spath="%USERPROFILE%\AppData\Local\Temp\OnboardLogs" /stypes="*4052*201705071*" /stext=" 15:.+((SYSTEM_STATE.+slice.+state.+changed )|(ment ac)|(multiple cpu faults)|(system.+state.+changed )|(\[timeout)|(PRM\|1\|D)|(kpr)|(kdp)|(train st.+moving)|(\|lc)|(penalty))"</v>
      </c>
      <c r="U23" s="9" t="str">
        <f t="shared" si="2"/>
        <v>4052</v>
      </c>
      <c r="V23" s="31">
        <f t="shared" si="3"/>
        <v>42862.662465277775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Overspeed","project_id":79,"tracker_id":40,"status_id":1,"priority_id":2,"assigned_to_id":23,"start_date":"2017-05-07","description":"","custom_fields":[{"id":1,"name":"Subdivision","value":"EC"},{"id":4,"name":"Milepost","value":"1.08"},{"id":17,"name":"Train ID","value":"149-07"},{"id":16,"name":"Locomotive ID","value":"4052"},{"id":130,"name":"Impact","value":""},{"id":150,"name":"Time of Event (Mountain Time)","value":"09:53:57"},{"id":151,"name":"Denver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/cygdrive/c/Users/stu/AppData/Local/Temp/OnboardLogs/RTDC4052 --include="*4052*201705071*"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"%USERPROFILE%\AppData\Local\Temp\OnboardLogs"\RTDC4052\*4052*201705071* &gt;&gt; 2017-05-07-SliceDisagreementCheck.txt</v>
      </c>
      <c r="AE23" s="148" t="str">
        <f t="shared" si="9"/>
        <v>start /low /b %USERPROFILE%\Documents\GitHub\eaglep3\Utilities\DownloadLogsFromS3.py --loco 4052 --day 2017-05-07</v>
      </c>
      <c r="AF23" s="1"/>
    </row>
    <row r="24" spans="1:32" x14ac:dyDescent="0.25">
      <c r="A24" s="31">
        <v>42862.777418981481</v>
      </c>
      <c r="B24" s="30" t="s">
        <v>426</v>
      </c>
      <c r="C24" s="30" t="s">
        <v>583</v>
      </c>
      <c r="D24" s="30" t="s">
        <v>98</v>
      </c>
      <c r="E24" s="30" t="s">
        <v>418</v>
      </c>
      <c r="F24" s="42">
        <v>200</v>
      </c>
      <c r="G24" s="42">
        <v>253</v>
      </c>
      <c r="H24" s="42">
        <v>19775</v>
      </c>
      <c r="I24" s="42">
        <v>20336</v>
      </c>
      <c r="J24" s="30" t="s">
        <v>419</v>
      </c>
      <c r="K24" s="42">
        <v>10800</v>
      </c>
      <c r="L24" s="134" t="s">
        <v>50</v>
      </c>
      <c r="M24" s="135">
        <f t="shared" si="0"/>
        <v>-5035.0079999999998</v>
      </c>
      <c r="N24" s="136" t="str">
        <f>VLOOKUP(C24,'Trips&amp;Operators'!$C$1:$G$99999,5,FALSE)</f>
        <v>STAMBAUGH JAMES</v>
      </c>
      <c r="O24" s="207" t="s">
        <v>184</v>
      </c>
      <c r="P24" s="137" t="s">
        <v>977</v>
      </c>
      <c r="Q24" s="30"/>
      <c r="R24" s="84" t="e">
        <f>IF(VLOOKUP(C24,'Train Runs'!$A$13:$AE$9938,1,1)=C24,VLOOKUP(C24,'Train Runs'!$A$13:$AE$9938,31,1),NA())</f>
        <v>#N/A</v>
      </c>
      <c r="S24" s="87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-05-07T17:37:10-0600',mode:absolute,to:'2017-05-07T20:11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89" t="str">
        <f t="shared" si="1"/>
        <v>"C:\Program Files (x86)\AstroGrep\AstroGrep.exe" /e /r /s /spath="%USERPROFILE%\AppData\Local\Temp\OnboardLogs" /stypes="*4052*201705080*"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4052</v>
      </c>
      <c r="V24" s="31">
        <f t="shared" si="3"/>
        <v>42863.027418981481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Overspeed","project_id":79,"tracker_id":40,"status_id":1,"priority_id":2,"assigned_to_id":23,"start_date":"2017-05-07","description":"","custom_fields":[{"id":1,"name":"Subdivision","value":"EC"},{"id":4,"name":"Milepost","value":"1.08"},{"id":17,"name":"Train ID","value":"219-07"},{"id":16,"name":"Locomotive ID","value":"4052"},{"id":130,"name":"Impact","value":""},{"id":150,"name":"Time of Event (Mountain Time)","value":"18:39:29"},{"id":151,"name":"Denver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/cygdrive/c/Users/stu/AppData/Local/Temp/OnboardLogs/RTDC4052 --include="*4052*201705080*"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"%USERPROFILE%\AppData\Local\Temp\OnboardLogs"\RTDC4052\*4052*201705080* &gt;&gt; 2017-05-07-SliceDisagreementCheck.txt</v>
      </c>
      <c r="AE24" s="148" t="str">
        <f t="shared" si="9"/>
        <v>start /low /b %USERPROFILE%\Documents\GitHub\eaglep3\Utilities\DownloadLogsFromS3.py --loco 4052 --day 2017-05-08</v>
      </c>
      <c r="AF24" s="1"/>
    </row>
    <row r="25" spans="1:32" x14ac:dyDescent="0.25">
      <c r="A25" s="31">
        <v>42862.964444444442</v>
      </c>
      <c r="B25" s="30" t="s">
        <v>477</v>
      </c>
      <c r="C25" s="30" t="s">
        <v>592</v>
      </c>
      <c r="D25" s="30" t="s">
        <v>98</v>
      </c>
      <c r="E25" s="30" t="s">
        <v>418</v>
      </c>
      <c r="F25" s="42">
        <v>200</v>
      </c>
      <c r="G25" s="42">
        <v>264</v>
      </c>
      <c r="H25" s="42">
        <v>20666</v>
      </c>
      <c r="I25" s="42">
        <v>21406</v>
      </c>
      <c r="J25" s="30" t="s">
        <v>419</v>
      </c>
      <c r="K25" s="42">
        <v>10800</v>
      </c>
      <c r="L25" s="134" t="s">
        <v>50</v>
      </c>
      <c r="M25" s="135">
        <f t="shared" si="0"/>
        <v>-5599.9679999999998</v>
      </c>
      <c r="N25" s="136" t="str">
        <f>VLOOKUP(C25,'Trips&amp;Operators'!$C$1:$G$99999,5,FALSE)</f>
        <v>DUNCAN SHEILA</v>
      </c>
      <c r="O25" s="207" t="s">
        <v>184</v>
      </c>
      <c r="P25" s="137" t="s">
        <v>977</v>
      </c>
      <c r="Q25" s="30"/>
      <c r="R25" s="84" t="e">
        <f>IF(VLOOKUP(C25,'Train Runs'!$A$13:$AE$9938,1,1)=C25,VLOOKUP(C25,'Train Runs'!$A$13:$AE$9938,31,1),NA())</f>
        <v>#N/A</v>
      </c>
      <c r="S25" s="87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-05-07T22:06:50-0600',mode:absolute,to:'2017-05-08T00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5" s="89" t="str">
        <f t="shared" si="1"/>
        <v>"C:\Program Files (x86)\AstroGrep\AstroGrep.exe" /e /r /s /spath="%USERPROFILE%\AppData\Local\Temp\OnboardLogs" /stypes="*4006*201705080*" /stext=" 05:.+((SYSTEM_STATE.+slice.+state.+changed )|(ment ac)|(multiple cpu faults)|(system.+state.+changed )|(\[timeout)|(PRM\|1\|D)|(kpr)|(kdp)|(train st.+moving)|(\|lc)|(penalty))"</v>
      </c>
      <c r="U25" s="9" t="str">
        <f t="shared" si="2"/>
        <v>4006</v>
      </c>
      <c r="V25" s="31">
        <f t="shared" si="3"/>
        <v>42863.214444444442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Overspeed","project_id":79,"tracker_id":40,"status_id":1,"priority_id":2,"assigned_to_id":23,"start_date":"2017-05-07","description":"","custom_fields":[{"id":1,"name":"Subdivision","value":"EC"},{"id":4,"name":"Milepost","value":"1.08"},{"id":17,"name":"Train ID","value":"237-07"},{"id":16,"name":"Locomotive ID","value":"4006"},{"id":130,"name":"Impact","value":""},{"id":150,"name":"Time of Event (Mountain Time)","value":"23:08:48"},{"id":151,"name":"Denver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/cygdrive/c/Users/stu/AppData/Local/Temp/OnboardLogs/RTDC4006 --include="*4006*201705080*"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"%USERPROFILE%\AppData\Local\Temp\OnboardLogs"\RTDC4006\*4006*201705080* &gt;&gt; 2017-05-07-SliceDisagreementCheck.txt</v>
      </c>
      <c r="AE25" s="148" t="str">
        <f t="shared" si="9"/>
        <v>start /low /b %USERPROFILE%\Documents\GitHub\eaglep3\Utilities\DownloadLogsFromS3.py --loco 4006 --day 2017-05-08</v>
      </c>
      <c r="AF25" s="1"/>
    </row>
    <row r="26" spans="1:32" x14ac:dyDescent="0.25">
      <c r="A26" s="31">
        <v>42862.589479166665</v>
      </c>
      <c r="B26" s="30" t="s">
        <v>459</v>
      </c>
      <c r="C26" s="30" t="s">
        <v>570</v>
      </c>
      <c r="D26" s="30" t="s">
        <v>49</v>
      </c>
      <c r="E26" s="30" t="s">
        <v>185</v>
      </c>
      <c r="F26" s="42">
        <v>0</v>
      </c>
      <c r="G26" s="42">
        <v>37</v>
      </c>
      <c r="H26" s="42">
        <v>114</v>
      </c>
      <c r="I26" s="42">
        <v>101</v>
      </c>
      <c r="J26" s="30" t="s">
        <v>186</v>
      </c>
      <c r="K26" s="42">
        <v>1</v>
      </c>
      <c r="L26" s="134" t="s">
        <v>51</v>
      </c>
      <c r="M26" s="135">
        <f t="shared" si="0"/>
        <v>52.8</v>
      </c>
      <c r="N26" s="136" t="str">
        <f>VLOOKUP(C26,'Trips&amp;Operators'!$C$1:$G$99999,5,FALSE)</f>
        <v>BRANDNER MELINDA</v>
      </c>
      <c r="O26" s="207" t="s">
        <v>184</v>
      </c>
      <c r="P26" s="137"/>
      <c r="Q26" s="30"/>
      <c r="R26" s="84" t="str">
        <f>IF(VLOOKUP(C26,'Train Runs'!$A$13:$AE$9938,1,1)=C26,VLOOKUP(C26,'Train Runs'!$A$13:$AE$9938,31,1),NA())</f>
        <v>aws s3 cp s3://rtdc.mdm.uploadarchive.raw/RTDC4005/ "%USERPROFILE%\AppData\Local\Temp\OnboardLogs"\RTDC4005\2017-05-07 --exclude "*" --recursive --include "*20170507*" &amp; "%USERPROFILE%\Documents\GitHub\mrs-test-scripts\Headless Mode &amp; Sideloading\WalkAndUnGZ.bat" "%USERPROFILE%\AppData\Local\Temp\OnboardLogs"\RTDC4005\2017-05-07 &amp; aws s3 cp s3://rtdc.mdm.uploadarchive.raw/RTDC4005/ "%USERPROFILE%\AppData\Local\Temp\OnboardLogs"\RTDC4005\2017-05-08 --exclude "*" --recursive --include "*20170508*" &amp; "%USERPROFILE%\Documents\GitHub\mrs-test-scripts\Headless Mode &amp; Sideloading\WalkAndUnGZ.bat" "%USERPROFILE%\AppData\Local\Temp\OnboardLogs"\RTDC4005\2017-05-08</v>
      </c>
      <c r="S26" s="87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-05-07T12:19:12-0600',mode:absolute,to:'2017-05-07T15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9" t="str">
        <f t="shared" si="1"/>
        <v>"C:\Program Files (x86)\AstroGrep\AstroGrep.exe" /e /r /s /spath="%USERPROFILE%\AppData\Local\Temp\OnboardLogs" /stypes="*4005*201705072*" /stext=" 20:.+((SYSTEM_STATE.+slice.+state.+changed )|(ment ac)|(multiple cpu faults)|(system.+state.+changed )|(\[timeout)|(PRM\|1\|D)|(kpr)|(kdp)|(train st.+moving)|(\|lc)|(penalty))"</v>
      </c>
      <c r="U26" s="9" t="str">
        <f t="shared" si="2"/>
        <v>4005</v>
      </c>
      <c r="V26" s="31">
        <f t="shared" si="3"/>
        <v>42862.839479166665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{"issue":{"subject":"","project_id":79,"tracker_id":40,"status_id":1,"priority_id":2,"assigned_to_id":23,"start_date":"2017-05-07","description":"","custom_fields":[{"id":1,"name":"Subdivision","value":"EC"},{"id":4,"name":"Milepost","value":"0.0001"},{"id":17,"name":"Train ID","value":"172-07"},{"id":16,"name":"Locomotive ID","value":"4005"},{"id":130,"name":"Impact","value":""},{"id":150,"name":"Time of Event (Mountain Time)","value":"14:08:51"},{"id":151,"name":"Denver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/cygdrive/c/Users/stu/AppData/Local/Temp/OnboardLogs/RTDC4005 --include="*4005*201705072*"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"%USERPROFILE%\AppData\Local\Temp\OnboardLogs"\RTDC4005\*4005*201705072* &gt;&gt; 2017-05-07-SliceDisagreementCheck.txt</v>
      </c>
      <c r="AE26" s="148" t="str">
        <f t="shared" si="9"/>
        <v>start /low /b %USERPROFILE%\Documents\GitHub\eaglep3\Utilities\DownloadLogsFromS3.py --loco 4005 --day 2017-05-07</v>
      </c>
      <c r="AF26" s="1"/>
    </row>
    <row r="27" spans="1:32" x14ac:dyDescent="0.25">
      <c r="A27" s="31">
        <v>42862.748055555552</v>
      </c>
      <c r="B27" s="30" t="s">
        <v>437</v>
      </c>
      <c r="C27" s="30" t="s">
        <v>581</v>
      </c>
      <c r="D27" s="30" t="s">
        <v>49</v>
      </c>
      <c r="E27" s="30" t="s">
        <v>185</v>
      </c>
      <c r="F27" s="42">
        <v>0</v>
      </c>
      <c r="G27" s="42">
        <v>152</v>
      </c>
      <c r="H27" s="42">
        <v>786</v>
      </c>
      <c r="I27" s="42">
        <v>613</v>
      </c>
      <c r="J27" s="30" t="s">
        <v>186</v>
      </c>
      <c r="K27" s="42">
        <v>1</v>
      </c>
      <c r="L27" s="134" t="s">
        <v>51</v>
      </c>
      <c r="M27" s="135">
        <f t="shared" si="0"/>
        <v>323.13600000000002</v>
      </c>
      <c r="N27" s="136" t="str">
        <f>VLOOKUP(C27,'Trips&amp;Operators'!$C$1:$G$99999,5,FALSE)</f>
        <v>STEWART MICHAEL</v>
      </c>
      <c r="O27" s="207" t="s">
        <v>184</v>
      </c>
      <c r="P27" s="137"/>
      <c r="Q27" s="30"/>
      <c r="R27" s="84" t="e">
        <f>IF(VLOOKUP(C27,'Train Runs'!$A$13:$AE$9938,1,1)=C27,VLOOKUP(C27,'Train Runs'!$A$13:$AE$9938,31,1),NA())</f>
        <v>#N/A</v>
      </c>
      <c r="S27" s="87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-05-07T16:11:22-0600',mode:absolute,to:'2017-05-07T18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89" t="str">
        <f t="shared" si="1"/>
        <v>"C:\Program Files (x86)\AstroGrep\AstroGrep.exe" /e /r /s /spath="%USERPROFILE%\AppData\Local\Temp\OnboardLogs" /stypes="*4019*201705072*" /stext=" 23:.+((SYSTEM_STATE.+slice.+state.+changed )|(ment ac)|(multiple cpu faults)|(system.+state.+changed )|(\[timeout)|(PRM\|1\|D)|(kpr)|(kdp)|(train st.+moving)|(\|lc)|(penalty))"</v>
      </c>
      <c r="U27" s="9" t="str">
        <f t="shared" si="2"/>
        <v>4019</v>
      </c>
      <c r="V27" s="31">
        <f t="shared" si="3"/>
        <v>42862.998055555552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{"issue":{"subject":"","project_id":79,"tracker_id":40,"status_id":1,"priority_id":2,"assigned_to_id":23,"start_date":"2017-05-07","description":"","custom_fields":[{"id":1,"name":"Subdivision","value":"EC"},{"id":4,"name":"Milepost","value":"0.0001"},{"id":17,"name":"Train ID","value":"202-07"},{"id":16,"name":"Locomotive ID","value":"4019"},{"id":130,"name":"Impact","value":""},{"id":150,"name":"Time of Event (Mountain Time)","value":"17:57:12"},{"id":151,"name":"Denver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/cygdrive/c/Users/stu/AppData/Local/Temp/OnboardLogs/RTDC4019 --include="*4019*201705072*"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"%USERPROFILE%\AppData\Local\Temp\OnboardLogs"\RTDC4019\*4019*201705072* &gt;&gt; 2017-05-07-SliceDisagreementCheck.txt</v>
      </c>
      <c r="AE27" s="148" t="str">
        <f t="shared" si="9"/>
        <v>start /low /b %USERPROFILE%\Documents\GitHub\eaglep3\Utilities\DownloadLogsFromS3.py --loco 4019 --day 2017-05-07</v>
      </c>
      <c r="AF27" s="1"/>
    </row>
    <row r="28" spans="1:32" x14ac:dyDescent="0.25">
      <c r="A28" s="31">
        <v>42862.762418981481</v>
      </c>
      <c r="B28" s="30" t="s">
        <v>434</v>
      </c>
      <c r="C28" s="30" t="s">
        <v>582</v>
      </c>
      <c r="D28" s="30" t="s">
        <v>49</v>
      </c>
      <c r="E28" s="30" t="s">
        <v>185</v>
      </c>
      <c r="F28" s="42">
        <v>0</v>
      </c>
      <c r="G28" s="42">
        <v>72</v>
      </c>
      <c r="H28" s="42">
        <v>262</v>
      </c>
      <c r="I28" s="42">
        <v>189</v>
      </c>
      <c r="J28" s="30" t="s">
        <v>186</v>
      </c>
      <c r="K28" s="42">
        <v>1</v>
      </c>
      <c r="L28" s="134" t="s">
        <v>51</v>
      </c>
      <c r="M28" s="135">
        <f t="shared" si="0"/>
        <v>99.263999999999996</v>
      </c>
      <c r="N28" s="136" t="str">
        <f>VLOOKUP(C28,'Trips&amp;Operators'!$C$1:$G$99999,5,FALSE)</f>
        <v>DAVIS MICHAEL</v>
      </c>
      <c r="O28" s="207" t="s">
        <v>184</v>
      </c>
      <c r="P28" s="137"/>
      <c r="Q28" s="30"/>
      <c r="R28" s="84" t="e">
        <f>IF(VLOOKUP(C28,'Train Runs'!$A$13:$AE$9938,1,1)=C28,VLOOKUP(C28,'Train Runs'!$A$13:$AE$9938,31,1),NA())</f>
        <v>#N/A</v>
      </c>
      <c r="S28" s="87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-05-07T16:29:39-0600',mode:absolute,to:'2017-05-07T19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8" s="89" t="str">
        <f t="shared" si="1"/>
        <v>"C:\Program Files (x86)\AstroGrep\AstroGrep.exe" /e /r /s /spath="%USERPROFILE%\AppData\Local\Temp\OnboardLogs" /stypes="*4043*201705080*"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4043</v>
      </c>
      <c r="V28" s="31">
        <f t="shared" si="3"/>
        <v>42863.012418981481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{"issue":{"subject":"","project_id":79,"tracker_id":40,"status_id":1,"priority_id":2,"assigned_to_id":23,"start_date":"2017-05-07","description":"","custom_fields":[{"id":1,"name":"Subdivision","value":"EC"},{"id":4,"name":"Milepost","value":"0.0001"},{"id":17,"name":"Train ID","value":"204-07"},{"id":16,"name":"Locomotive ID","value":"4043"},{"id":130,"name":"Impact","value":""},{"id":150,"name":"Time of Event (Mountain Time)","value":"18:17:53"},{"id":151,"name":"Denver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/cygdrive/c/Users/stu/AppData/Local/Temp/OnboardLogs/RTDC4043 --include="*4043*201705080*"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"%USERPROFILE%\AppData\Local\Temp\OnboardLogs"\RTDC4043\*4043*201705080* &gt;&gt; 2017-05-07-SliceDisagreementCheck.txt</v>
      </c>
      <c r="AE28" s="148" t="str">
        <f t="shared" si="9"/>
        <v>start /low /b %USERPROFILE%\Documents\GitHub\eaglep3\Utilities\DownloadLogsFromS3.py --loco 4043 --day 2017-05-08</v>
      </c>
      <c r="AF28" s="1"/>
    </row>
    <row r="29" spans="1:32" x14ac:dyDescent="0.25">
      <c r="A29" s="31">
        <v>42862.778182870374</v>
      </c>
      <c r="B29" s="30" t="s">
        <v>584</v>
      </c>
      <c r="C29" s="30" t="s">
        <v>585</v>
      </c>
      <c r="D29" s="30" t="s">
        <v>49</v>
      </c>
      <c r="E29" s="30" t="s">
        <v>185</v>
      </c>
      <c r="F29" s="42">
        <v>0</v>
      </c>
      <c r="G29" s="42">
        <v>58</v>
      </c>
      <c r="H29" s="42">
        <v>1060</v>
      </c>
      <c r="I29" s="42">
        <v>1001</v>
      </c>
      <c r="J29" s="30" t="s">
        <v>186</v>
      </c>
      <c r="K29" s="42">
        <v>826</v>
      </c>
      <c r="L29" s="134" t="s">
        <v>51</v>
      </c>
      <c r="M29" s="135">
        <f t="shared" si="0"/>
        <v>92.4</v>
      </c>
      <c r="N29" s="136" t="str">
        <f>VLOOKUP(C29,'Trips&amp;Operators'!$C$1:$G$99999,5,FALSE)</f>
        <v>SAFIEF AEIMEN</v>
      </c>
      <c r="O29" s="207" t="s">
        <v>184</v>
      </c>
      <c r="P29" s="137"/>
      <c r="Q29" s="30"/>
      <c r="R29" s="84" t="e">
        <f>IF(VLOOKUP(C29,'Train Runs'!$A$13:$AE$9938,1,1)=C29,VLOOKUP(C29,'Train Runs'!$A$13:$AE$9938,31,1),NA())</f>
        <v>#N/A</v>
      </c>
      <c r="S29" s="87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-05-07T16:45:15-0600',mode:absolute,to:'2017-05-07T19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9" s="89" t="str">
        <f t="shared" si="1"/>
        <v>"C:\Program Files (x86)\AstroGrep\AstroGrep.exe" /e /r /s /spath="%USERPROFILE%\AppData\Local\Temp\OnboardLogs" /stypes="*4025*201705080*"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4025</v>
      </c>
      <c r="V29" s="31">
        <f t="shared" si="3"/>
        <v>42863.028182870374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{"issue":{"subject":"","project_id":79,"tracker_id":40,"status_id":1,"priority_id":2,"assigned_to_id":23,"start_date":"2017-05-07","description":"","custom_fields":[{"id":1,"name":"Subdivision","value":"EC"},{"id":4,"name":"Milepost","value":"0.0826"},{"id":17,"name":"Train ID","value":"208-07"},{"id":16,"name":"Locomotive ID","value":"4025"},{"id":130,"name":"Impact","value":""},{"id":150,"name":"Time of Event (Mountain Time)","value":"18:40:35"},{"id":151,"name":"Denver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/cygdrive/c/Users/stu/AppData/Local/Temp/OnboardLogs/RTDC4025 --include="*4025*201705080*"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"%USERPROFILE%\AppData\Local\Temp\OnboardLogs"\RTDC4025\*4025*201705080* &gt;&gt; 2017-05-07-SliceDisagreementCheck.txt</v>
      </c>
      <c r="AE29" s="148" t="str">
        <f t="shared" si="9"/>
        <v>start /low /b %USERPROFILE%\Documents\GitHub\eaglep3\Utilities\DownloadLogsFromS3.py --loco 4025 --day 2017-05-08</v>
      </c>
      <c r="AF29" s="1"/>
    </row>
    <row r="30" spans="1:32" x14ac:dyDescent="0.25">
      <c r="A30" s="31">
        <v>42862.822997685187</v>
      </c>
      <c r="B30" s="30" t="s">
        <v>437</v>
      </c>
      <c r="C30" s="30" t="s">
        <v>588</v>
      </c>
      <c r="D30" s="30" t="s">
        <v>49</v>
      </c>
      <c r="E30" s="30" t="s">
        <v>185</v>
      </c>
      <c r="F30" s="42">
        <v>0</v>
      </c>
      <c r="G30" s="42">
        <v>43</v>
      </c>
      <c r="H30" s="42">
        <v>941</v>
      </c>
      <c r="I30" s="42">
        <v>906</v>
      </c>
      <c r="J30" s="30" t="s">
        <v>186</v>
      </c>
      <c r="K30" s="42">
        <v>826</v>
      </c>
      <c r="L30" s="134" t="s">
        <v>51</v>
      </c>
      <c r="M30" s="135">
        <f t="shared" si="0"/>
        <v>42.24</v>
      </c>
      <c r="N30" s="136" t="str">
        <f>VLOOKUP(C30,'Trips&amp;Operators'!$C$1:$G$99999,5,FALSE)</f>
        <v>BRANDNER MELINDA</v>
      </c>
      <c r="O30" s="207" t="s">
        <v>184</v>
      </c>
      <c r="P30" s="137"/>
      <c r="Q30" s="30"/>
      <c r="R30" s="84" t="e">
        <f>IF(VLOOKUP(C30,'Train Runs'!$A$13:$AE$9938,1,1)=C30,VLOOKUP(C30,'Train Runs'!$A$13:$AE$9938,31,1),NA())</f>
        <v>#N/A</v>
      </c>
      <c r="S30" s="87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-05-07T17:53:48-0600',mode:absolute,to:'2017-05-07T20:44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9" t="str">
        <f t="shared" si="1"/>
        <v>"C:\Program Files (x86)\AstroGrep\AstroGrep.exe" /e /r /s /spath="%USERPROFILE%\AppData\Local\Temp\OnboardLogs" /stypes="*4019*201705080*"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42863.072997685187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{"issue":{"subject":"","project_id":79,"tracker_id":40,"status_id":1,"priority_id":2,"assigned_to_id":23,"start_date":"2017-05-07","description":"","custom_fields":[{"id":1,"name":"Subdivision","value":"EC"},{"id":4,"name":"Milepost","value":"0.0826"},{"id":17,"name":"Train ID","value":"216-07"},{"id":16,"name":"Locomotive ID","value":"4019"},{"id":130,"name":"Impact","value":""},{"id":150,"name":"Time of Event (Mountain Time)","value":"19:45:07"},{"id":151,"name":"Denver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/cygdrive/c/Users/stu/AppData/Local/Temp/OnboardLogs/RTDC4019 --include="*4019*201705080*"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"%USERPROFILE%\AppData\Local\Temp\OnboardLogs"\RTDC4019\*4019*201705080* &gt;&gt; 2017-05-07-SliceDisagreementCheck.txt</v>
      </c>
      <c r="AE30" s="148" t="str">
        <f t="shared" si="9"/>
        <v>start /low /b %USERPROFILE%\Documents\GitHub\eaglep3\Utilities\DownloadLogsFromS3.py --loco 4019 --day 2017-05-08</v>
      </c>
      <c r="AF30" s="1"/>
    </row>
    <row r="31" spans="1:32" x14ac:dyDescent="0.25">
      <c r="A31" s="31">
        <v>42862.548449074071</v>
      </c>
      <c r="B31" s="30" t="s">
        <v>477</v>
      </c>
      <c r="C31" s="30" t="s">
        <v>566</v>
      </c>
      <c r="D31" s="30" t="s">
        <v>49</v>
      </c>
      <c r="E31" s="30" t="s">
        <v>185</v>
      </c>
      <c r="F31" s="42">
        <v>0</v>
      </c>
      <c r="G31" s="42">
        <v>27</v>
      </c>
      <c r="H31" s="42">
        <v>233422</v>
      </c>
      <c r="I31" s="42">
        <v>233430</v>
      </c>
      <c r="J31" s="30" t="s">
        <v>186</v>
      </c>
      <c r="K31" s="42">
        <v>233491</v>
      </c>
      <c r="L31" s="134" t="s">
        <v>50</v>
      </c>
      <c r="M31" s="135">
        <f t="shared" si="0"/>
        <v>32.207999999999998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str">
        <f>IF(VLOOKUP(C31,'Train Runs'!$A$13:$AE$9938,1,1)=C31,VLOOKUP(C31,'Train Runs'!$A$13:$AE$9938,31,1),NA())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S31" s="87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-05-07T11:25:37-0600',mode:absolute,to:'2017-05-07T14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9" t="str">
        <f t="shared" si="1"/>
        <v>"C:\Program Files (x86)\AstroGrep\AstroGrep.exe" /e /r /s /spath="%USERPROFILE%\AppData\Local\Temp\OnboardLogs" /stypes="*4006*201705071*"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4006</v>
      </c>
      <c r="V31" s="31">
        <f t="shared" si="3"/>
        <v>42862.798449074071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ID","value":"171-07"},{"id":16,"name":"Locomotive ID","value":"4006"},{"id":130,"name":"Impact","value":""},{"id":150,"name":"Time of Event (Mountain Time)","value":"13:09:46"},{"id":151,"name":"Denver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/cygdrive/c/Users/stu/AppData/Local/Temp/OnboardLogs/RTDC4006 --include="*4006*201705071*"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"%USERPROFILE%\AppData\Local\Temp\OnboardLogs"\RTDC4006\*4006*201705071* &gt;&gt; 2017-05-07-SliceDisagreementCheck.txt</v>
      </c>
      <c r="AE31" s="148" t="str">
        <f t="shared" si="9"/>
        <v>start /low /b %USERPROFILE%\Documents\GitHub\eaglep3\Utilities\DownloadLogsFromS3.py --loco 4006 --day 2017-05-07</v>
      </c>
      <c r="AF31" s="1"/>
    </row>
    <row r="32" spans="1:32" x14ac:dyDescent="0.25">
      <c r="A32" s="31">
        <v>42862.78365740741</v>
      </c>
      <c r="B32" s="30" t="s">
        <v>433</v>
      </c>
      <c r="C32" s="30" t="s">
        <v>586</v>
      </c>
      <c r="D32" s="30" t="s">
        <v>49</v>
      </c>
      <c r="E32" s="30" t="s">
        <v>185</v>
      </c>
      <c r="F32" s="42">
        <v>0</v>
      </c>
      <c r="G32" s="42">
        <v>81</v>
      </c>
      <c r="H32" s="42">
        <v>233185</v>
      </c>
      <c r="I32" s="42">
        <v>233264</v>
      </c>
      <c r="J32" s="30" t="s">
        <v>186</v>
      </c>
      <c r="K32" s="42">
        <v>233491</v>
      </c>
      <c r="L32" s="134" t="s">
        <v>50</v>
      </c>
      <c r="M32" s="135">
        <f t="shared" si="0"/>
        <v>119.85599999999999</v>
      </c>
      <c r="N32" s="136" t="str">
        <f>VLOOKUP(C32,'Trips&amp;Operators'!$C$1:$G$99999,5,FALSE)</f>
        <v>BRANDNER MELINDA</v>
      </c>
      <c r="O32" s="207" t="s">
        <v>184</v>
      </c>
      <c r="P32" s="137"/>
      <c r="Q32" s="30"/>
      <c r="R32" s="84" t="e">
        <f>IF(VLOOKUP(C32,'Train Runs'!$A$13:$AE$9938,1,1)=C32,VLOOKUP(C32,'Train Runs'!$A$13:$AE$9938,31,1),NA())</f>
        <v>#N/A</v>
      </c>
      <c r="S32" s="87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-05-07T17:01:42-0600',mode:absolute,to:'2017-05-07T19:48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2" s="89" t="str">
        <f t="shared" si="1"/>
        <v>"C:\Program Files (x86)\AstroGrep\AstroGrep.exe" /e /r /s /spath="%USERPROFILE%\AppData\Local\Temp\OnboardLogs" /stypes="*4020*201705080*"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4020</v>
      </c>
      <c r="V32" s="31">
        <f t="shared" si="3"/>
        <v>42863.03365740741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ID","value":"215-07"},{"id":16,"name":"Locomotive ID","value":"4020"},{"id":130,"name":"Impact","value":""},{"id":150,"name":"Time of Event (Mountain Time)","value":"18:48:28"},{"id":151,"name":"Denver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/cygdrive/c/Users/stu/AppData/Local/Temp/OnboardLogs/RTDC4020 --include="*4020*201705080*"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"%USERPROFILE%\AppData\Local\Temp\OnboardLogs"\RTDC4020\*4020*201705080* &gt;&gt; 2017-05-07-SliceDisagreementCheck.txt</v>
      </c>
      <c r="AE32" s="148" t="str">
        <f t="shared" si="9"/>
        <v>start /low /b %USERPROFILE%\Documents\GitHub\eaglep3\Utilities\DownloadLogsFromS3.py --loco 4020 --day 2017-05-08</v>
      </c>
      <c r="AF32" s="1"/>
    </row>
    <row r="33" spans="1:32" x14ac:dyDescent="0.25">
      <c r="A33" s="31">
        <v>42862.962800925925</v>
      </c>
      <c r="B33" s="30" t="s">
        <v>426</v>
      </c>
      <c r="C33" s="30" t="s">
        <v>591</v>
      </c>
      <c r="D33" s="30" t="s">
        <v>49</v>
      </c>
      <c r="E33" s="30" t="s">
        <v>185</v>
      </c>
      <c r="F33" s="42">
        <v>0</v>
      </c>
      <c r="G33" s="42">
        <v>11</v>
      </c>
      <c r="H33" s="42">
        <v>233474</v>
      </c>
      <c r="I33" s="42">
        <v>233482</v>
      </c>
      <c r="J33" s="30" t="s">
        <v>186</v>
      </c>
      <c r="K33" s="42">
        <v>233491</v>
      </c>
      <c r="L33" s="134" t="s">
        <v>50</v>
      </c>
      <c r="M33" s="135">
        <f t="shared" si="0"/>
        <v>4.7519999999999998</v>
      </c>
      <c r="N33" s="136" t="str">
        <f>VLOOKUP(C33,'Trips&amp;Operators'!$C$1:$G$99999,5,FALSE)</f>
        <v>STAMBAUGH JAMES</v>
      </c>
      <c r="O33" s="207" t="s">
        <v>184</v>
      </c>
      <c r="P33" s="137"/>
      <c r="Q33" s="30"/>
      <c r="R33" s="84" t="e">
        <f>IF(VLOOKUP(C33,'Train Runs'!$A$13:$AE$9938,1,1)=C33,VLOOKUP(C33,'Train Runs'!$A$13:$AE$9938,31,1),NA())</f>
        <v>#N/A</v>
      </c>
      <c r="S33" s="87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-05-07T21:11:19-0600',mode:absolute,to:'2017-05-08T00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3" s="89" t="str">
        <f t="shared" si="1"/>
        <v>"C:\Program Files (x86)\AstroGrep\AstroGrep.exe" /e /r /s /spath="%USERPROFILE%\AppData\Local\Temp\OnboardLogs" /stypes="*4052*201705080*" /stext=" 05:.+((SYSTEM_STATE.+slice.+state.+changed )|(ment ac)|(multiple cpu faults)|(system.+state.+changed )|(\[timeout)|(PRM\|1\|D)|(kpr)|(kdp)|(train st.+moving)|(\|lc)|(penalty))"</v>
      </c>
      <c r="U33" s="9" t="str">
        <f t="shared" si="2"/>
        <v>4052</v>
      </c>
      <c r="V33" s="31">
        <f t="shared" si="3"/>
        <v>42863.212800925925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{"issue":{"subject":"","project_id":79,"tracker_id":40,"status_id":1,"priority_id":2,"assigned_to_id":23,"start_date":"2017-05-07","description":"","custom_fields":[{"id":1,"name":"Subdivision","value":"EC"},{"id":4,"name":"Milepost","value":"23.3491"},{"id":17,"name":"Train ID","value":"235-07"},{"id":16,"name":"Locomotive ID","value":"4052"},{"id":130,"name":"Impact","value":""},{"id":150,"name":"Time of Event (Mountain Time)","value":"23:06:26"},{"id":151,"name":"Denver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/cygdrive/c/Users/stu/AppData/Local/Temp/OnboardLogs/RTDC4052 --include="*4052*201705080*"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"%USERPROFILE%\AppData\Local\Temp\OnboardLogs"\RTDC4052\*4052*201705080* &gt;&gt; 2017-05-07-SliceDisagreementCheck.txt</v>
      </c>
      <c r="AE33" s="148" t="str">
        <f t="shared" si="9"/>
        <v>start /low /b %USERPROFILE%\Documents\GitHub\eaglep3\Utilities\DownloadLogsFromS3.py --loco 4052 --day 2017-05-08</v>
      </c>
      <c r="AF33" s="1"/>
    </row>
    <row r="34" spans="1:32" x14ac:dyDescent="0.25">
      <c r="A34" s="31">
        <v>42863.025046296294</v>
      </c>
      <c r="B34" s="30" t="s">
        <v>438</v>
      </c>
      <c r="C34" s="30" t="s">
        <v>594</v>
      </c>
      <c r="D34" s="30" t="s">
        <v>49</v>
      </c>
      <c r="E34" s="30" t="s">
        <v>185</v>
      </c>
      <c r="F34" s="42">
        <v>0</v>
      </c>
      <c r="G34" s="42">
        <v>87</v>
      </c>
      <c r="H34" s="42">
        <v>233163</v>
      </c>
      <c r="I34" s="42">
        <v>233251</v>
      </c>
      <c r="J34" s="30" t="s">
        <v>186</v>
      </c>
      <c r="K34" s="42">
        <v>233491</v>
      </c>
      <c r="L34" s="134" t="s">
        <v>50</v>
      </c>
      <c r="M34" s="135">
        <f t="shared" si="0"/>
        <v>126.72</v>
      </c>
      <c r="N34" s="136" t="str">
        <f>VLOOKUP(C34,'Trips&amp;Operators'!$C$1:$G$99999,5,FALSE)</f>
        <v>SMITH MICHAEL</v>
      </c>
      <c r="O34" s="207" t="s">
        <v>184</v>
      </c>
      <c r="P34" s="137"/>
      <c r="Q34" s="30"/>
      <c r="R34" s="84" t="e">
        <f>IF(VLOOKUP(C34,'Train Runs'!$A$13:$AE$9938,1,1)=C34,VLOOKUP(C34,'Train Runs'!$A$13:$AE$9938,31,1),NA())</f>
        <v>#N/A</v>
      </c>
      <c r="S34" s="87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-05-07T22:39:09-0600',mode:absolute,to:'2017-05-08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4" s="89" t="str">
        <f t="shared" si="1"/>
        <v>"C:\Program Files (x86)\AstroGrep\AstroGrep.exe" /e /r /s /spath="%USERPROFILE%\AppData\Local\Temp\OnboardLogs" /stypes="*4044*201705080*" /stext=" 06:.+((SYSTEM_STATE.+slice.+state.+changed )|(ment ac)|(multiple cpu faults)|(system.+state.+changed )|(\[timeout)|(PRM\|1\|D)|(kpr)|(kdp)|(train st.+moving)|(\|lc)|(penalty))"</v>
      </c>
      <c r="U34" s="9" t="str">
        <f t="shared" si="2"/>
        <v>4044</v>
      </c>
      <c r="V34" s="31">
        <f t="shared" si="3"/>
        <v>42863.275046296294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{"issue":{"subject":"","project_id":79,"tracker_id":40,"status_id":1,"priority_id":2,"assigned_to_id":23,"start_date":"2017-05-08","description":"","custom_fields":[{"id":1,"name":"Subdivision","value":"EC"},{"id":4,"name":"Milepost","value":"23.3491"},{"id":17,"name":"Train ID","value":"241-07"},{"id":16,"name":"Locomotive ID","value":"4044"},{"id":130,"name":"Impact","value":""},{"id":150,"name":"Time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/cygdrive/c/Users/stu/AppData/Local/Temp/OnboardLogs/RTDC4044 --include="*4044*201705080*"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"%USERPROFILE%\AppData\Local\Temp\OnboardLogs"\RTDC4044\*4044*201705080* &gt;&gt; 2017-05-07-SliceDisagreementCheck.txt</v>
      </c>
      <c r="AE34" s="148" t="str">
        <f t="shared" si="9"/>
        <v>start /low /b %USERPROFILE%\Documents\GitHub\eaglep3\Utilities\DownloadLogsFromS3.py --loco 4044 --day 2017-05-08</v>
      </c>
      <c r="AF34" s="1"/>
    </row>
    <row r="35" spans="1:32" x14ac:dyDescent="0.25">
      <c r="A35" s="31">
        <v>42862.476481481484</v>
      </c>
      <c r="B35" s="30" t="s">
        <v>468</v>
      </c>
      <c r="C35" s="30" t="s">
        <v>561</v>
      </c>
      <c r="D35" s="30" t="s">
        <v>49</v>
      </c>
      <c r="E35" s="30" t="s">
        <v>207</v>
      </c>
      <c r="F35" s="42">
        <v>300</v>
      </c>
      <c r="G35" s="42">
        <v>484</v>
      </c>
      <c r="H35" s="42">
        <v>18703</v>
      </c>
      <c r="I35" s="42">
        <v>20570</v>
      </c>
      <c r="J35" s="30" t="s">
        <v>208</v>
      </c>
      <c r="K35" s="42">
        <v>21299</v>
      </c>
      <c r="L35" s="134" t="s">
        <v>50</v>
      </c>
      <c r="M35" s="135">
        <f t="shared" si="0"/>
        <v>384.91199999999998</v>
      </c>
      <c r="N35" s="136" t="str">
        <f>VLOOKUP(C35,'Trips&amp;Operators'!$C$1:$G$99999,5,FALSE)</f>
        <v>NELSON ARIANE</v>
      </c>
      <c r="O35" s="207" t="s">
        <v>184</v>
      </c>
      <c r="P35" s="137"/>
      <c r="Q35" s="30"/>
      <c r="R35" s="84" t="str">
        <f>IF(VLOOKUP(C35,'Train Runs'!$A$13:$AE$9938,1,1)=C35,VLOOKUP(C35,'Train Runs'!$A$13:$AE$9938,31,1),NA())</f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S35" s="87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-05-07T10:18:30-0600',mode:absolute,to:'2017-05-07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9" t="str">
        <f t="shared" si="1"/>
        <v>"C:\Program Files (x86)\AstroGrep\AstroGrep.exe" /e /r /s /spath="%USERPROFILE%\AppData\Local\Temp\OnboardLogs" /stypes="*4008*201705071*"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42862.726481481484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{"issue":{"subject":"","project_id":79,"tracker_id":40,"status_id":1,"priority_id":2,"assigned_to_id":23,"start_date":"2017-05-07","description":"","custom_fields":[{"id":1,"name":"Subdivision","value":"NW"},{"id":4,"name":"Milepost","value":"2.1299"},{"id":17,"name":"Train ID","value":"1811-07"},{"id":16,"name":"Locomotive ID","value":"4008"},{"id":130,"name":"Impact","value":""},{"id":150,"name":"Time of Event (Mountain Time)","value":"11:26:08"},{"id":151,"name":"Denver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/cygdrive/c/Users/stu/AppData/Local/Temp/OnboardLogs/RTDC4008 --include="*4008*201705071*"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"%USERPROFILE%\AppData\Local\Temp\OnboardLogs"\RTDC4008\*4008*201705071* &gt;&gt; 2017-05-07-SliceDisagreementCheck.txt</v>
      </c>
      <c r="AE35" s="148" t="str">
        <f t="shared" si="9"/>
        <v>start /low /b %USERPROFILE%\Documents\GitHub\eaglep3\Utilities\DownloadLogsFromS3.py --loco 4008 --day 2017-05-07</v>
      </c>
      <c r="AF35" s="1"/>
    </row>
    <row r="36" spans="1:32" x14ac:dyDescent="0.25">
      <c r="A36" s="31">
        <v>42862.536435185182</v>
      </c>
      <c r="B36" s="30" t="s">
        <v>466</v>
      </c>
      <c r="C36" s="30" t="s">
        <v>565</v>
      </c>
      <c r="D36" s="30" t="s">
        <v>49</v>
      </c>
      <c r="E36" s="30" t="s">
        <v>207</v>
      </c>
      <c r="F36" s="42">
        <v>300</v>
      </c>
      <c r="G36" s="42">
        <v>387</v>
      </c>
      <c r="H36" s="42">
        <v>24803</v>
      </c>
      <c r="I36" s="42">
        <v>23762</v>
      </c>
      <c r="J36" s="30" t="s">
        <v>208</v>
      </c>
      <c r="K36" s="42">
        <v>23561</v>
      </c>
      <c r="L36" s="134" t="s">
        <v>51</v>
      </c>
      <c r="M36" s="135">
        <f t="shared" si="0"/>
        <v>106.128</v>
      </c>
      <c r="N36" s="136" t="str">
        <f>VLOOKUP(C36,'Trips&amp;Operators'!$C$1:$G$99999,5,FALSE)</f>
        <v>NELSON ARIANE</v>
      </c>
      <c r="O36" s="207" t="s">
        <v>184</v>
      </c>
      <c r="P36" s="137"/>
      <c r="Q36" s="30"/>
      <c r="R36" s="84" t="str">
        <f>IF(VLOOKUP(C36,'Train Runs'!$A$13:$AE$9938,1,1)=C36,VLOOKUP(C36,'Train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36" s="87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-05-07T11:39:50-0600',mode:absolute,to:'2017-05-07T14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6" s="89" t="str">
        <f t="shared" si="1"/>
        <v>"C:\Program Files (x86)\AstroGrep\AstroGrep.exe" /e /r /s /spath="%USERPROFILE%\AppData\Local\Temp\OnboardLogs" /stypes="*4007*201705071*" /stext=" 18:.+((SYSTEM_STATE.+slice.+state.+changed )|(ment ac)|(multiple cpu faults)|(system.+state.+changed )|(\[timeout)|(PRM\|1\|D)|(kpr)|(kdp)|(train st.+moving)|(\|lc)|(penalty))"</v>
      </c>
      <c r="U36" s="9" t="str">
        <f t="shared" si="2"/>
        <v>4007</v>
      </c>
      <c r="V36" s="31">
        <f t="shared" si="3"/>
        <v>42862.786435185182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{"issue":{"subject":"","project_id":79,"tracker_id":40,"status_id":1,"priority_id":2,"assigned_to_id":23,"start_date":"2017-05-07","description":"","custom_fields":[{"id":1,"name":"Subdivision","value":"NW"},{"id":4,"name":"Milepost","value":"2.3561"},{"id":17,"name":"Train ID","value":"1814-07"},{"id":16,"name":"Locomotive ID","value":"4007"},{"id":130,"name":"Impact","value":""},{"id":150,"name":"Time of Event (Mountain Time)","value":"12:52:28"},{"id":151,"name":"Denver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/cygdrive/c/Users/stu/AppData/Local/Temp/OnboardLogs/RTDC4007 --include="*4007*201705071*"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36" s="148" t="str">
        <f t="shared" si="9"/>
        <v>start /low /b %USERPROFILE%\Documents\GitHub\eaglep3\Utilities\DownloadLogsFromS3.py --loco 4007 --day 2017-05-07</v>
      </c>
      <c r="AF36" s="1"/>
    </row>
    <row r="37" spans="1:32" x14ac:dyDescent="0.25">
      <c r="A37" s="31">
        <v>42862.65929398148</v>
      </c>
      <c r="B37" s="30" t="s">
        <v>466</v>
      </c>
      <c r="C37" s="30" t="s">
        <v>574</v>
      </c>
      <c r="D37" s="30" t="s">
        <v>49</v>
      </c>
      <c r="E37" s="30" t="s">
        <v>207</v>
      </c>
      <c r="F37" s="42">
        <v>300</v>
      </c>
      <c r="G37" s="42">
        <v>404</v>
      </c>
      <c r="H37" s="42">
        <v>24328</v>
      </c>
      <c r="I37" s="42">
        <v>23271</v>
      </c>
      <c r="J37" s="30" t="s">
        <v>208</v>
      </c>
      <c r="K37" s="42">
        <v>23561</v>
      </c>
      <c r="L37" s="134" t="s">
        <v>51</v>
      </c>
      <c r="M37" s="135">
        <f t="shared" si="0"/>
        <v>-153.12</v>
      </c>
      <c r="N37" s="136" t="str">
        <f>VLOOKUP(C37,'Trips&amp;Operators'!$C$1:$G$99999,5,FALSE)</f>
        <v>HELVIE ADAM</v>
      </c>
      <c r="O37" s="207" t="s">
        <v>184</v>
      </c>
      <c r="P37" s="137"/>
      <c r="Q37" s="30"/>
      <c r="R37" s="84" t="str">
        <f>IF(VLOOKUP(C37,'Train Runs'!$A$13:$AE$9938,1,1)=C37,VLOOKUP(C37,'Train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37" s="87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-05-07T14:38:43-0600',mode:absolute,to:'2017-05-07T16:59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9" t="str">
        <f t="shared" si="1"/>
        <v>"C:\Program Files (x86)\AstroGrep\AstroGrep.exe" /e /r /s /spath="%USERPROFILE%\AppData\Local\Temp\OnboardLogs" /stypes="*4007*201705072*" /stext=" 21:.+((SYSTEM_STATE.+slice.+state.+changed )|(ment ac)|(multiple cpu faults)|(system.+state.+changed )|(\[timeout)|(PRM\|1\|D)|(kpr)|(kdp)|(train st.+moving)|(\|lc)|(penalty))"</v>
      </c>
      <c r="U37" s="9" t="str">
        <f t="shared" si="2"/>
        <v>4007</v>
      </c>
      <c r="V37" s="31">
        <f t="shared" si="3"/>
        <v>42862.90929398148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{"issue":{"subject":"","project_id":79,"tracker_id":40,"status_id":1,"priority_id":2,"assigned_to_id":23,"start_date":"2017-05-07","description":"","custom_fields":[{"id":1,"name":"Subdivision","value":"NW"},{"id":4,"name":"Milepost","value":"2.3561"},{"id":17,"name":"Train ID","value":"1820-07"},{"id":16,"name":"Locomotive ID","value":"4007"},{"id":130,"name":"Impact","value":""},{"id":150,"name":"Time of Event (Mountain Time)","value":"15:49:23"},{"id":151,"name":"Denver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/cygdrive/c/Users/stu/AppData/Local/Temp/OnboardLogs/RTDC4007 --include="*4007*201705072*"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"%USERPROFILE%\AppData\Local\Temp\OnboardLogs"\RTDC4007\*4007*201705072* &gt;&gt; 2017-05-07-SliceDisagreementCheck.txt</v>
      </c>
      <c r="AE37" s="148" t="str">
        <f t="shared" si="9"/>
        <v>start /low /b %USERPROFILE%\Documents\GitHub\eaglep3\Utilities\DownloadLogsFromS3.py --loco 4007 --day 2017-05-07</v>
      </c>
      <c r="AF37" s="1"/>
    </row>
    <row r="38" spans="1:32" x14ac:dyDescent="0.25">
      <c r="A38" s="31">
        <v>42862.572129629632</v>
      </c>
      <c r="B38" s="30" t="s">
        <v>466</v>
      </c>
      <c r="C38" s="30" t="s">
        <v>569</v>
      </c>
      <c r="D38" s="30" t="s">
        <v>98</v>
      </c>
      <c r="E38" s="30" t="s">
        <v>207</v>
      </c>
      <c r="F38" s="42">
        <v>150</v>
      </c>
      <c r="G38" s="42">
        <v>203</v>
      </c>
      <c r="H38" s="42">
        <v>56784</v>
      </c>
      <c r="I38" s="42">
        <v>56477</v>
      </c>
      <c r="J38" s="30" t="s">
        <v>208</v>
      </c>
      <c r="K38" s="42">
        <v>59050</v>
      </c>
      <c r="L38" s="134" t="s">
        <v>51</v>
      </c>
      <c r="M38" s="135">
        <f t="shared" si="0"/>
        <v>-1358.5439999999999</v>
      </c>
      <c r="N38" s="136" t="str">
        <f>VLOOKUP(C38,'Trips&amp;Operators'!$C$1:$G$99999,5,FALSE)</f>
        <v>NELSON ARIANE</v>
      </c>
      <c r="O38" s="207" t="s">
        <v>184</v>
      </c>
      <c r="P38" s="137"/>
      <c r="Q38" s="30"/>
      <c r="R38" s="84" t="str">
        <f>IF(VLOOKUP(C38,'Train Runs'!$A$13:$AE$9938,1,1)=C38,VLOOKUP(C38,'Train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38" s="87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-05-07T12:39:23-0600',mode:absolute,to:'2017-05-07T14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8" s="89" t="str">
        <f t="shared" si="1"/>
        <v>"C:\Program Files (x86)\AstroGrep\AstroGrep.exe" /e /r /s /spath="%USERPROFILE%\AppData\Local\Temp\OnboardLogs" /stypes="*4007*201705071*" /stext=" 19:.+((SYSTEM_STATE.+slice.+state.+changed )|(ment ac)|(multiple cpu faults)|(system.+state.+changed )|(\[timeout)|(PRM\|1\|D)|(kpr)|(kdp)|(train st.+moving)|(\|lc)|(penalty))"</v>
      </c>
      <c r="U38" s="9" t="str">
        <f t="shared" si="2"/>
        <v>4007</v>
      </c>
      <c r="V38" s="31">
        <f t="shared" si="3"/>
        <v>42862.822129629632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{"issue":{"subject":"","project_id":79,"tracker_id":40,"status_id":1,"priority_id":2,"assigned_to_id":23,"start_date":"2017-05-07","description":"","custom_fields":[{"id":1,"name":"Subdivision","value":"NW"},{"id":4,"name":"Milepost","value":"5.905"},{"id":17,"name":"Train ID","value":"1816-07"},{"id":16,"name":"Locomotive ID","value":"4007"},{"id":130,"name":"Impact","value":""},{"id":150,"name":"Time of Event (Mountain Time)","value":"13:43:52"},{"id":151,"name":"Denver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/cygdrive/c/Users/stu/AppData/Local/Temp/OnboardLogs/RTDC4007 --include="*4007*201705071*"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38" s="148" t="str">
        <f t="shared" si="9"/>
        <v>start /low /b %USERPROFILE%\Documents\GitHub\eaglep3\Utilities\DownloadLogsFromS3.py --loco 4007 --day 2017-05-07</v>
      </c>
      <c r="AF38" s="1"/>
    </row>
    <row r="39" spans="1:32" x14ac:dyDescent="0.25">
      <c r="A39" s="31">
        <v>42862.279039351852</v>
      </c>
      <c r="B39" s="30" t="s">
        <v>466</v>
      </c>
      <c r="C39" s="30" t="s">
        <v>551</v>
      </c>
      <c r="D39" s="30" t="s">
        <v>49</v>
      </c>
      <c r="E39" s="30" t="s">
        <v>418</v>
      </c>
      <c r="F39" s="42">
        <v>0</v>
      </c>
      <c r="G39" s="42">
        <v>10</v>
      </c>
      <c r="H39" s="42">
        <v>58490</v>
      </c>
      <c r="I39" s="42">
        <v>58481</v>
      </c>
      <c r="J39" s="30" t="s">
        <v>419</v>
      </c>
      <c r="K39" s="42">
        <v>58475</v>
      </c>
      <c r="L39" s="134" t="s">
        <v>51</v>
      </c>
      <c r="M39" s="135">
        <f t="shared" si="0"/>
        <v>3.1680000000000001</v>
      </c>
      <c r="N39" s="136" t="str">
        <f>VLOOKUP(C39,'Trips&amp;Operators'!$C$1:$G$99999,5,FALSE)</f>
        <v>NELSON ARIANE</v>
      </c>
      <c r="O39" s="207" t="s">
        <v>184</v>
      </c>
      <c r="P39" s="137" t="s">
        <v>974</v>
      </c>
      <c r="Q39" s="30"/>
      <c r="R39" s="84" t="e">
        <f>IF(VLOOKUP(C39,'Train Runs'!$A$13:$AE$9938,1,1)=C39,VLOOKUP(C39,'Train Runs'!$A$13:$AE$9938,31,1),NA())</f>
        <v>#N/A</v>
      </c>
      <c r="S39" s="87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-05-07T05:45:54-0600',mode:absolute,to:'2017-05-07T08:00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9" s="89" t="str">
        <f t="shared" si="1"/>
        <v>"C:\Program Files (x86)\AstroGrep\AstroGrep.exe" /e /r /s /spath="%USERPROFILE%\AppData\Local\Temp\OnboardLogs" /stypes="*4007*201705071*" /stext=" 12:.+((SYSTEM_STATE.+slice.+state.+changed )|(ment ac)|(multiple cpu faults)|(system.+state.+changed )|(\[timeout)|(PRM\|1\|D)|(kpr)|(kdp)|(train st.+moving)|(\|lc)|(penalty))"</v>
      </c>
      <c r="U39" s="9" t="str">
        <f t="shared" si="2"/>
        <v>4007</v>
      </c>
      <c r="V39" s="31">
        <f t="shared" si="3"/>
        <v>42862.529039351852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{"issue":{"subject":"Went active too close to signal","project_id":79,"tracker_id":40,"status_id":1,"priority_id":2,"assigned_to_id":23,"start_date":"2017-05-07","description":"","custom_fields":[{"id":1,"name":"Subdivision","value":"NW"},{"id":4,"name":"Milepost","value":"5.8475"},{"id":17,"name":"Train ID","value":"1802-07"},{"id":16,"name":"Locomotive ID","value":"4007"},{"id":130,"name":"Impact","value":""},{"id":150,"name":"Time of Event (Mountain Time)","value":"06:41:49"},{"id":151,"name":"Denver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/cygdrive/c/Users/stu/AppData/Local/Temp/OnboardLogs/RTDC4007 --include="*4007*201705071*"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39" s="148" t="str">
        <f t="shared" si="9"/>
        <v>start /low /b %USERPROFILE%\Documents\GitHub\eaglep3\Utilities\DownloadLogsFromS3.py --loco 4007 --day 2017-05-07</v>
      </c>
      <c r="AF39" s="1"/>
    </row>
    <row r="40" spans="1:32" x14ac:dyDescent="0.25">
      <c r="A40" s="31">
        <v>42862.330543981479</v>
      </c>
      <c r="B40" s="30" t="s">
        <v>466</v>
      </c>
      <c r="C40" s="30" t="s">
        <v>553</v>
      </c>
      <c r="D40" s="30" t="s">
        <v>49</v>
      </c>
      <c r="E40" s="30" t="s">
        <v>185</v>
      </c>
      <c r="F40" s="42">
        <v>0</v>
      </c>
      <c r="G40" s="42">
        <v>24</v>
      </c>
      <c r="H40" s="42">
        <v>708</v>
      </c>
      <c r="I40" s="42">
        <v>691</v>
      </c>
      <c r="J40" s="30" t="s">
        <v>186</v>
      </c>
      <c r="K40" s="42">
        <v>575</v>
      </c>
      <c r="L40" s="134" t="s">
        <v>51</v>
      </c>
      <c r="M40" s="135">
        <f t="shared" si="0"/>
        <v>61.247999999999998</v>
      </c>
      <c r="N40" s="136" t="str">
        <f>VLOOKUP(C40,'Trips&amp;Operators'!$C$1:$G$99999,5,FALSE)</f>
        <v>NELSON ARIANE</v>
      </c>
      <c r="O40" s="207" t="s">
        <v>184</v>
      </c>
      <c r="P40" s="137"/>
      <c r="Q40" s="30"/>
      <c r="R40" s="84" t="e">
        <f>IF(VLOOKUP(C40,'Train Runs'!$A$13:$AE$9938,1,1)=C40,VLOOKUP(C40,'Train Runs'!$A$13:$AE$9938,31,1),NA())</f>
        <v>#N/A</v>
      </c>
      <c r="S40" s="87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-05-07T06:37:32-0600',mode:absolute,to:'2017-05-07T08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89" t="str">
        <f t="shared" si="1"/>
        <v>"C:\Program Files (x86)\AstroGrep\AstroGrep.exe" /e /r /s /spath="%USERPROFILE%\AppData\Local\Temp\OnboardLogs" /stypes="*4007*201705071*" /stext=" 13:.+((SYSTEM_STATE.+slice.+state.+changed )|(ment ac)|(multiple cpu faults)|(system.+state.+changed )|(\[timeout)|(PRM\|1\|D)|(kpr)|(kdp)|(train st.+moving)|(\|lc)|(penalty))"</v>
      </c>
      <c r="U40" s="9" t="str">
        <f t="shared" si="2"/>
        <v>4007</v>
      </c>
      <c r="V40" s="31">
        <f t="shared" si="3"/>
        <v>42862.580543981479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{"issue":{"subject":"","project_id":79,"tracker_id":40,"status_id":1,"priority_id":2,"assigned_to_id":23,"start_date":"2017-05-07","description":"","custom_fields":[{"id":1,"name":"Subdivision","value":"NW"},{"id":4,"name":"Milepost","value":"0.0575"},{"id":17,"name":"Train ID","value":"1804-07"},{"id":16,"name":"Locomotive ID","value":"4007"},{"id":130,"name":"Impact","value":""},{"id":150,"name":"Time of Event (Mountain Time)","value":"07:55:59"},{"id":151,"name":"Denver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/cygdrive/c/Users/stu/AppData/Local/Temp/OnboardLogs/RTDC4007 --include="*4007*201705071*"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40" s="148" t="str">
        <f t="shared" si="9"/>
        <v>start /low /b %USERPROFILE%\Documents\GitHub\eaglep3\Utilities\DownloadLogsFromS3.py --loco 4007 --day 2017-05-07</v>
      </c>
      <c r="AF40" s="1"/>
    </row>
    <row r="41" spans="1:32" x14ac:dyDescent="0.25">
      <c r="A41" s="31">
        <v>42862.455289351848</v>
      </c>
      <c r="B41" s="30" t="s">
        <v>466</v>
      </c>
      <c r="C41" s="30" t="s">
        <v>558</v>
      </c>
      <c r="D41" s="30" t="s">
        <v>49</v>
      </c>
      <c r="E41" s="30" t="s">
        <v>185</v>
      </c>
      <c r="F41" s="42">
        <v>0</v>
      </c>
      <c r="G41" s="42">
        <v>21</v>
      </c>
      <c r="H41" s="42">
        <v>654</v>
      </c>
      <c r="I41" s="42">
        <v>654</v>
      </c>
      <c r="J41" s="30" t="s">
        <v>186</v>
      </c>
      <c r="K41" s="42">
        <v>575</v>
      </c>
      <c r="L41" s="134" t="s">
        <v>51</v>
      </c>
      <c r="M41" s="135">
        <f t="shared" si="0"/>
        <v>41.712000000000003</v>
      </c>
      <c r="N41" s="136" t="str">
        <f>VLOOKUP(C41,'Trips&amp;Operators'!$C$1:$G$99999,5,FALSE)</f>
        <v>NELSON ARIANE</v>
      </c>
      <c r="O41" s="207" t="s">
        <v>184</v>
      </c>
      <c r="P41" s="137"/>
      <c r="Q41" s="30"/>
      <c r="R41" s="84" t="str">
        <f>IF(VLOOKUP(C41,'Train Runs'!$A$13:$AE$9938,1,1)=C41,VLOOKUP(C41,'Train Runs'!$A$13:$AE$9938,31,1),NA())</f>
        <v>aws s3 cp s3://rtdc.mdm.uploadarchive.raw/RTDC4007/ "%USERPROFILE%\AppData\Local\Temp\OnboardLogs"\RTDC4007\2017-05-07 --exclude "*" --recursive --include "*20170507*" &amp; "%USERPROFILE%\Documents\GitHub\mrs-test-scripts\Headless Mode &amp; Sideloading\WalkAndUnGZ.bat" "%USERPROFILE%\AppData\Local\Temp\OnboardLogs"\RTDC4007\2017-05-07 &amp; aws s3 cp s3://rtdc.mdm.uploadarchive.raw/RTDC4007/ "%USERPROFILE%\AppData\Local\Temp\OnboardLogs"\RTDC4007\2017-05-08 --exclude "*" --recursive --include "*20170508*" &amp; "%USERPROFILE%\Documents\GitHub\mrs-test-scripts\Headless Mode &amp; Sideloading\WalkAndUnGZ.bat" "%USERPROFILE%\AppData\Local\Temp\OnboardLogs"\RTDC4007\2017-05-08</v>
      </c>
      <c r="S41" s="87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-05-07T09:37:25-0600',mode:absolute,to:'2017-05-07T11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1" s="89" t="str">
        <f t="shared" si="1"/>
        <v>"C:\Program Files (x86)\AstroGrep\AstroGrep.exe" /e /r /s /spath="%USERPROFILE%\AppData\Local\Temp\OnboardLogs" /stypes="*4007*201705071*" /stext=" 16:.+((SYSTEM_STATE.+slice.+state.+changed )|(ment ac)|(multiple cpu faults)|(system.+state.+changed )|(\[timeout)|(PRM\|1\|D)|(kpr)|(kdp)|(train st.+moving)|(\|lc)|(penalty))"</v>
      </c>
      <c r="U41" s="9" t="str">
        <f t="shared" si="2"/>
        <v>4007</v>
      </c>
      <c r="V41" s="31">
        <f t="shared" si="3"/>
        <v>42862.705289351848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{"issue":{"subject":"","project_id":79,"tracker_id":40,"status_id":1,"priority_id":2,"assigned_to_id":23,"start_date":"2017-05-07","description":"","custom_fields":[{"id":1,"name":"Subdivision","value":"NW"},{"id":4,"name":"Milepost","value":"0.0575"},{"id":17,"name":"Train ID","value":"1810-07"},{"id":16,"name":"Locomotive ID","value":"4007"},{"id":130,"name":"Impact","value":""},{"id":150,"name":"Time of Event (Mountain Time)","value":"10:55:37"},{"id":151,"name":"Denver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/cygdrive/c/Users/stu/AppData/Local/Temp/OnboardLogs/RTDC4007 --include="*4007*201705071*"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"%USERPROFILE%\AppData\Local\Temp\OnboardLogs"\RTDC4007\*4007*201705071* &gt;&gt; 2017-05-07-SliceDisagreementCheck.txt</v>
      </c>
      <c r="AE41" s="148" t="str">
        <f t="shared" si="9"/>
        <v>start /low /b %USERPROFILE%\Documents\GitHub\eaglep3\Utilities\DownloadLogsFromS3.py --loco 4007 --day 2017-05-07</v>
      </c>
      <c r="AF41" s="1"/>
    </row>
    <row r="42" spans="1:32" x14ac:dyDescent="0.25">
      <c r="A42" s="31">
        <v>42862.484583333331</v>
      </c>
      <c r="B42" s="30" t="s">
        <v>468</v>
      </c>
      <c r="C42" s="30" t="s">
        <v>561</v>
      </c>
      <c r="D42" s="30" t="s">
        <v>49</v>
      </c>
      <c r="E42" s="30" t="s">
        <v>185</v>
      </c>
      <c r="F42" s="42">
        <v>0</v>
      </c>
      <c r="G42" s="42">
        <v>20</v>
      </c>
      <c r="H42" s="42">
        <v>58992</v>
      </c>
      <c r="I42" s="42">
        <v>58999</v>
      </c>
      <c r="J42" s="30" t="s">
        <v>186</v>
      </c>
      <c r="K42" s="42">
        <v>59048</v>
      </c>
      <c r="L42" s="134" t="s">
        <v>50</v>
      </c>
      <c r="M42" s="135">
        <f t="shared" si="0"/>
        <v>25.872</v>
      </c>
      <c r="N42" s="136" t="str">
        <f>VLOOKUP(C42,'Trips&amp;Operators'!$C$1:$G$99999,5,FALSE)</f>
        <v>NELSON ARIANE</v>
      </c>
      <c r="O42" s="207" t="s">
        <v>184</v>
      </c>
      <c r="P42" s="137"/>
      <c r="Q42" s="30"/>
      <c r="R42" s="84" t="str">
        <f>IF(VLOOKUP(C42,'Train Runs'!$A$13:$AE$9938,1,1)=C42,VLOOKUP(C42,'Train Runs'!$A$13:$AE$9938,31,1),NA())</f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S42" s="87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-05-07T10:18:30-0600',mode:absolute,to:'2017-05-07T12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2" s="89" t="str">
        <f t="shared" si="1"/>
        <v>"C:\Program Files (x86)\AstroGrep\AstroGrep.exe" /e /r /s /spath="%USERPROFILE%\AppData\Local\Temp\OnboardLogs" /stypes="*4008*201705071*" /stext=" 17:.+((SYSTEM_STATE.+slice.+state.+changed )|(ment ac)|(multiple cpu faults)|(system.+state.+changed )|(\[timeout)|(PRM\|1\|D)|(kpr)|(kdp)|(train st.+moving)|(\|lc)|(penalty))"</v>
      </c>
      <c r="U42" s="9" t="str">
        <f t="shared" si="2"/>
        <v>4008</v>
      </c>
      <c r="V42" s="31">
        <f t="shared" si="3"/>
        <v>42862.734583333331</v>
      </c>
      <c r="W42" s="45" t="str">
        <f t="shared" si="4"/>
        <v>NW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{"issue":{"subject":"","project_id":79,"tracker_id":40,"status_id":1,"priority_id":2,"assigned_to_id":23,"start_date":"2017-05-07","description":"","custom_fields":[{"id":1,"name":"Subdivision","value":"NW"},{"id":4,"name":"Milepost","value":"5.9048"},{"id":17,"name":"Train ID","value":"1811-07"},{"id":16,"name":"Locomotive ID","value":"4008"},{"id":130,"name":"Impact","value":""},{"id":150,"name":"Time of Event (Mountain Time)","value":"11:37:48"},{"id":151,"name":"Denver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/cygdrive/c/Users/stu/AppData/Local/Temp/OnboardLogs/RTDC4008 --include="*4008*201705071*"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"%USERPROFILE%\AppData\Local\Temp\OnboardLogs"\RTDC4008\*4008*201705071* &gt;&gt; 2017-05-07-SliceDisagreementCheck.txt</v>
      </c>
      <c r="AE42" s="148" t="str">
        <f t="shared" si="9"/>
        <v>start /low /b %USERPROFILE%\Documents\GitHub\eaglep3\Utilities\DownloadLogsFromS3.py --loco 4008 --day 2017-05-07</v>
      </c>
      <c r="AF42" s="1"/>
    </row>
    <row r="43" spans="1:32" x14ac:dyDescent="0.25">
      <c r="A43" s="31">
        <v>42862.56753472222</v>
      </c>
      <c r="B43" s="30" t="s">
        <v>468</v>
      </c>
      <c r="C43" s="30" t="s">
        <v>568</v>
      </c>
      <c r="D43" s="30" t="s">
        <v>49</v>
      </c>
      <c r="E43" s="30" t="s">
        <v>185</v>
      </c>
      <c r="F43" s="42">
        <v>0</v>
      </c>
      <c r="G43" s="42">
        <v>24</v>
      </c>
      <c r="H43" s="42">
        <v>58978</v>
      </c>
      <c r="I43" s="42">
        <v>58984</v>
      </c>
      <c r="J43" s="30" t="s">
        <v>186</v>
      </c>
      <c r="K43" s="42">
        <v>59048</v>
      </c>
      <c r="L43" s="134" t="s">
        <v>50</v>
      </c>
      <c r="M43" s="135">
        <f t="shared" si="0"/>
        <v>33.792000000000002</v>
      </c>
      <c r="N43" s="136" t="str">
        <f>VLOOKUP(C43,'Trips&amp;Operators'!$C$1:$G$99999,5,FALSE)</f>
        <v>NELSON ARIANE</v>
      </c>
      <c r="O43" s="207" t="s">
        <v>184</v>
      </c>
      <c r="P43" s="137"/>
      <c r="Q43" s="30"/>
      <c r="R43" s="84" t="str">
        <f>IF(VLOOKUP(C43,'Train Runs'!$A$13:$AE$9938,1,1)=C43,VLOOKUP(C43,'Train Runs'!$A$13:$AE$9938,31,1),NA())</f>
        <v>aws s3 cp s3://rtdc.mdm.uploadarchive.raw/RTDC4008/ "%USERPROFILE%\AppData\Local\Temp\OnboardLogs"\RTDC4008\2017-05-07 --exclude "*" --recursive --include "*20170507*" &amp; "%USERPROFILE%\Documents\GitHub\mrs-test-scripts\Headless Mode &amp; Sideloading\WalkAndUnGZ.bat" "%USERPROFILE%\AppData\Local\Temp\OnboardLogs"\RTDC4008\2017-05-07 &amp; aws s3 cp s3://rtdc.mdm.uploadarchive.raw/RTDC4008/ "%USERPROFILE%\AppData\Local\Temp\OnboardLogs"\RTDC4008\2017-05-08 --exclude "*" --recursive --include "*20170508*" &amp; "%USERPROFILE%\Documents\GitHub\mrs-test-scripts\Headless Mode &amp; Sideloading\WalkAndUnGZ.bat" "%USERPROFILE%\AppData\Local\Temp\OnboardLogs"\RTDC4008\2017-05-08</v>
      </c>
      <c r="S43" s="87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-05-07T12:18:40-0600',mode:absolute,to:'2017-05-07T14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3" s="89" t="str">
        <f t="shared" si="1"/>
        <v>"C:\Program Files (x86)\AstroGrep\AstroGrep.exe" /e /r /s /spath="%USERPROFILE%\AppData\Local\Temp\OnboardLogs" /stypes="*4008*201705071*" /stext=" 19:.+((SYSTEM_STATE.+slice.+state.+changed )|(ment ac)|(multiple cpu faults)|(system.+state.+changed )|(\[timeout)|(PRM\|1\|D)|(kpr)|(kdp)|(train st.+moving)|(\|lc)|(penalty))"</v>
      </c>
      <c r="U43" s="9" t="str">
        <f t="shared" si="2"/>
        <v>4008</v>
      </c>
      <c r="V43" s="31">
        <f t="shared" si="3"/>
        <v>42862.81753472222</v>
      </c>
      <c r="W43" s="45" t="str">
        <f t="shared" si="4"/>
        <v>NW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{"issue":{"subject":"","project_id":79,"tracker_id":40,"status_id":1,"priority_id":2,"assigned_to_id":23,"start_date":"2017-05-07","description":"","custom_fields":[{"id":1,"name":"Subdivision","value":"NW"},{"id":4,"name":"Milepost","value":"5.9048"},{"id":17,"name":"Train ID","value":"1815-07"},{"id":16,"name":"Locomotive ID","value":"4008"},{"id":130,"name":"Impact","value":""},{"id":150,"name":"Time of Event (Mountain Time)","value":"13:37:15"},{"id":151,"name":"Denver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/cygdrive/c/Users/stu/AppData/Local/Temp/OnboardLogs/RTDC4008 --include="*4008*201705071*"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"%USERPROFILE%\AppData\Local\Temp\OnboardLogs"\RTDC4008\*4008*201705071* &gt;&gt; 2017-05-07-SliceDisagreementCheck.txt</v>
      </c>
      <c r="AE43" s="148" t="str">
        <f t="shared" si="9"/>
        <v>start /low /b %USERPROFILE%\Documents\GitHub\eaglep3\Utilities\DownloadLogsFromS3.py --loco 4008 --day 2017-05-07</v>
      </c>
      <c r="AF43" s="1"/>
    </row>
    <row r="44" spans="1:32" x14ac:dyDescent="0.25">
      <c r="A44" s="31">
        <v>42862.710347222222</v>
      </c>
      <c r="B44" s="30" t="s">
        <v>477</v>
      </c>
      <c r="C44" s="30" t="s">
        <v>577</v>
      </c>
      <c r="D44" s="30" t="s">
        <v>98</v>
      </c>
      <c r="E44" s="30" t="s">
        <v>418</v>
      </c>
      <c r="F44" s="42">
        <v>0</v>
      </c>
      <c r="G44" s="42">
        <v>29</v>
      </c>
      <c r="H44" s="42">
        <v>1736</v>
      </c>
      <c r="I44" s="42">
        <v>1784</v>
      </c>
      <c r="J44" s="30" t="s">
        <v>419</v>
      </c>
      <c r="K44" s="42">
        <v>1692</v>
      </c>
      <c r="L44" s="134" t="s">
        <v>50</v>
      </c>
      <c r="M44" s="135">
        <f t="shared" si="0"/>
        <v>-48.576000000000001</v>
      </c>
      <c r="N44" s="136" t="str">
        <f>VLOOKUP(C44,'Trips&amp;Operators'!$C$1:$G$99999,5,FALSE)</f>
        <v>DAVIDSON DAVID</v>
      </c>
      <c r="O44" s="207" t="s">
        <v>184</v>
      </c>
      <c r="P44" s="137"/>
      <c r="Q44" s="30"/>
      <c r="R44" s="84" t="str">
        <f>IF(VLOOKUP(C44,'Train Runs'!$A$13:$AE$9938,1,1)=C44,VLOOKUP(C44,'Train Runs'!$A$13:$AE$9938,31,1),NA())</f>
        <v>aws s3 cp s3://rtdc.mdm.uploadarchive.raw/RTDC4006/ "%USERPROFILE%\AppData\Local\Temp\OnboardLogs"\RTDC4006\2017-05-07 --exclude "*" --recursive --include "*20170507*" &amp; "%USERPROFILE%\Documents\GitHub\mrs-test-scripts\Headless Mode &amp; Sideloading\WalkAndUnGZ.bat" "%USERPROFILE%\AppData\Local\Temp\OnboardLogs"\RTDC4006\2017-05-07 &amp; aws s3 cp s3://rtdc.mdm.uploadarchive.raw/RTDC4006/ "%USERPROFILE%\AppData\Local\Temp\OnboardLogs"\RTDC4006\2017-05-08 --exclude "*" --recursive --include "*20170508*" &amp; "%USERPROFILE%\Documents\GitHub\mrs-test-scripts\Headless Mode &amp; Sideloading\WalkAndUnGZ.bat" "%USERPROFILE%\AppData\Local\Temp\OnboardLogs"\RTDC4006\2017-05-08</v>
      </c>
      <c r="S44" s="87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-05-07T16:06:05-0600',mode:absolute,to:'2017-05-07T18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4" s="89" t="str">
        <f t="shared" si="1"/>
        <v>"C:\Program Files (x86)\AstroGrep\AstroGrep.exe" /e /r /s /spath="%USERPROFILE%\AppData\Local\Temp\OnboardLogs" /stypes="*4006*201705072*"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4006</v>
      </c>
      <c r="V44" s="31">
        <f t="shared" si="3"/>
        <v>42862.960347222222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{"issue":{"subject":"","project_id":79,"tracker_id":40,"status_id":1,"priority_id":2,"assigned_to_id":23,"start_date":"2017-05-07","description":"","custom_fields":[{"id":1,"name":"Subdivision","value":"Other"},{"id":4,"name":"Milepost","value":"0.1692"},{"id":17,"name":"Train ID","value":"69-07"},{"id":16,"name":"Locomotive ID","value":"4006"},{"id":130,"name":"Impact","value":""},{"id":150,"name":"Time of Event (Mountain Time)","value":"17:02:54"},{"id":151,"name":"Denver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/cygdrive/c/Users/stu/AppData/Local/Temp/OnboardLogs/RTDC4006 --include="*4006*201705072*"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"%USERPROFILE%\AppData\Local\Temp\OnboardLogs"\RTDC4006\*4006*201705072* &gt;&gt; 2017-05-07-SliceDisagreementCheck.txt</v>
      </c>
      <c r="AE44" s="148" t="str">
        <f t="shared" si="9"/>
        <v>start /low /b %USERPROFILE%\Documents\GitHub\eaglep3\Utilities\DownloadLogsFromS3.py --loco 4006 --day 2017-05-07</v>
      </c>
      <c r="AF44" s="1"/>
    </row>
    <row r="45" spans="1:32" x14ac:dyDescent="0.25">
      <c r="A45" s="31">
        <v>42862.758125</v>
      </c>
      <c r="B45" s="30" t="s">
        <v>432</v>
      </c>
      <c r="C45" s="30" t="s">
        <v>579</v>
      </c>
      <c r="D45" s="30" t="s">
        <v>49</v>
      </c>
      <c r="E45" s="30" t="s">
        <v>418</v>
      </c>
      <c r="F45" s="42">
        <v>0</v>
      </c>
      <c r="G45" s="42">
        <v>127</v>
      </c>
      <c r="H45" s="42">
        <v>11032</v>
      </c>
      <c r="I45" s="42">
        <v>10572</v>
      </c>
      <c r="J45" s="30" t="s">
        <v>419</v>
      </c>
      <c r="K45" s="42">
        <v>11016</v>
      </c>
      <c r="L45" s="134" t="s">
        <v>51</v>
      </c>
      <c r="M45" s="135">
        <f t="shared" si="0"/>
        <v>-234.43199999999999</v>
      </c>
      <c r="N45" s="136" t="str">
        <f>VLOOKUP(C45,'Trips&amp;Operators'!$C$1:$G$99999,5,FALSE)</f>
        <v>MENGES BRAD</v>
      </c>
      <c r="O45" s="207" t="s">
        <v>184</v>
      </c>
      <c r="P45" s="137"/>
      <c r="Q45" s="30"/>
      <c r="R45" s="84" t="str">
        <f>IF(VLOOKUP(C45,'Train Runs'!$A$13:$AE$9938,1,1)=C45,VLOOKUP(C45,'Train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5" s="87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89" t="str">
        <f t="shared" si="1"/>
        <v>"C:\Program Files (x86)\AstroGrep\AstroGrep.exe" /e /r /s /spath="%USERPROFILE%\AppData\Local\Temp\OnboardLogs" /stypes="*4041*201705080*" /stext=" 00:.+((SYSTEM_STATE.+slice.+state.+changed )|(ment ac)|(multiple cpu faults)|(system.+state.+changed )|(\[timeout)|(PRM\|1\|D)|(kpr)|(kdp)|(train st.+moving)|(\|lc)|(penalty))"</v>
      </c>
      <c r="U45" s="9" t="str">
        <f t="shared" si="2"/>
        <v>4041</v>
      </c>
      <c r="V45" s="31">
        <f t="shared" si="3"/>
        <v>42863.008125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{"issue":{"subject":"","project_id":79,"tracker_id":40,"status_id":1,"priority_id":2,"assigned_to_id":23,"start_date":"2017-05-07","description":"","custom_fields":[{"id":1,"name":"Subdivision","value":"Other"},{"id":4,"name":"Milepost","value":"1.1016"},{"id":17,"name":"Train ID","value":"70-07"},{"id":16,"name":"Locomotive ID","value":"4041"},{"id":130,"name":"Impact","value":""},{"id":150,"name":"Time of Event (Mountain Time)","value":"18:11:42"},{"id":151,"name":"Denver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/cygdrive/c/Users/stu/AppData/Local/Temp/OnboardLogs/RTDC4041 --include="*4041*201705080*"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"%USERPROFILE%\AppData\Local\Temp\OnboardLogs"\RTDC4041\*4041*201705080* &gt;&gt; 2017-05-07-SliceDisagreementCheck.txt</v>
      </c>
      <c r="AE45" s="148" t="str">
        <f t="shared" si="9"/>
        <v>start /low /b %USERPROFILE%\Documents\GitHub\eaglep3\Utilities\DownloadLogsFromS3.py --loco 4041 --day 2017-05-08</v>
      </c>
      <c r="AF45" s="1"/>
    </row>
    <row r="46" spans="1:32" x14ac:dyDescent="0.25">
      <c r="A46" s="31">
        <v>42862.747465277775</v>
      </c>
      <c r="B46" s="30" t="s">
        <v>432</v>
      </c>
      <c r="C46" s="30" t="s">
        <v>579</v>
      </c>
      <c r="D46" s="30" t="s">
        <v>49</v>
      </c>
      <c r="E46" s="30" t="s">
        <v>418</v>
      </c>
      <c r="F46" s="42">
        <v>0</v>
      </c>
      <c r="G46" s="42">
        <v>34</v>
      </c>
      <c r="H46" s="42">
        <v>24379</v>
      </c>
      <c r="I46" s="42">
        <v>24343</v>
      </c>
      <c r="J46" s="30" t="s">
        <v>419</v>
      </c>
      <c r="K46" s="42">
        <v>24235</v>
      </c>
      <c r="L46" s="134" t="s">
        <v>51</v>
      </c>
      <c r="M46" s="135">
        <f t="shared" si="0"/>
        <v>57.024000000000001</v>
      </c>
      <c r="N46" s="136" t="str">
        <f>VLOOKUP(C46,'Trips&amp;Operators'!$C$1:$G$99999,5,FALSE)</f>
        <v>MENGES BRAD</v>
      </c>
      <c r="O46" s="207" t="s">
        <v>184</v>
      </c>
      <c r="P46" s="137"/>
      <c r="Q46" s="30"/>
      <c r="R46" s="84" t="str">
        <f>IF(VLOOKUP(C46,'Train Runs'!$A$13:$AE$9938,1,1)=C46,VLOOKUP(C46,'Train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6" s="87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6" s="89" t="str">
        <f t="shared" si="1"/>
        <v>"C:\Program Files (x86)\AstroGrep\AstroGrep.exe" /e /r /s /spath="%USERPROFILE%\AppData\Local\Temp\OnboardLogs" /stypes="*4041*201705072*" /stext=" 23:.+((SYSTEM_STATE.+slice.+state.+changed )|(ment ac)|(multiple cpu faults)|(system.+state.+changed )|(\[timeout)|(PRM\|1\|D)|(kpr)|(kdp)|(train st.+moving)|(\|lc)|(penalty))"</v>
      </c>
      <c r="U46" s="9" t="str">
        <f t="shared" si="2"/>
        <v>4041</v>
      </c>
      <c r="V46" s="31">
        <f t="shared" si="3"/>
        <v>42862.997465277775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{"issue":{"subject":"","project_id":79,"tracker_id":40,"status_id":1,"priority_id":2,"assigned_to_id":23,"start_date":"2017-05-07","description":"","custom_fields":[{"id":1,"name":"Subdivision","value":"Other"},{"id":4,"name":"Milepost","value":"2.4235"},{"id":17,"name":"Train ID","value":"70-07"},{"id":16,"name":"Locomotive ID","value":"4041"},{"id":130,"name":"Impact","value":""},{"id":150,"name":"Time of Event (Mountain Time)","value":"17:56:21"},{"id":151,"name":"Denver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/cygdrive/c/Users/stu/AppData/Local/Temp/OnboardLogs/RTDC4041 --include="*4041*201705072*"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"%USERPROFILE%\AppData\Local\Temp\OnboardLogs"\RTDC4041\*4041*201705072* &gt;&gt; 2017-05-07-SliceDisagreementCheck.txt</v>
      </c>
      <c r="AE46" s="148" t="str">
        <f t="shared" si="9"/>
        <v>start /low /b %USERPROFILE%\Documents\GitHub\eaglep3\Utilities\DownloadLogsFromS3.py --loco 4041 --day 2017-05-07</v>
      </c>
      <c r="AF46" s="1"/>
    </row>
    <row r="47" spans="1:32" x14ac:dyDescent="0.25">
      <c r="A47" s="31">
        <v>42862.747881944444</v>
      </c>
      <c r="B47" s="30" t="s">
        <v>432</v>
      </c>
      <c r="C47" s="30" t="s">
        <v>579</v>
      </c>
      <c r="D47" s="30" t="s">
        <v>49</v>
      </c>
      <c r="E47" s="30" t="s">
        <v>418</v>
      </c>
      <c r="F47" s="42">
        <v>0</v>
      </c>
      <c r="G47" s="42">
        <v>20</v>
      </c>
      <c r="H47" s="42">
        <v>24337</v>
      </c>
      <c r="I47" s="42">
        <v>24292</v>
      </c>
      <c r="J47" s="30" t="s">
        <v>419</v>
      </c>
      <c r="K47" s="42">
        <v>24235</v>
      </c>
      <c r="L47" s="134" t="s">
        <v>51</v>
      </c>
      <c r="M47" s="135">
        <f t="shared" si="0"/>
        <v>30.096</v>
      </c>
      <c r="N47" s="136" t="str">
        <f>VLOOKUP(C47,'Trips&amp;Operators'!$C$1:$G$99999,5,FALSE)</f>
        <v>MENGES BRAD</v>
      </c>
      <c r="O47" s="207" t="s">
        <v>184</v>
      </c>
      <c r="P47" s="137"/>
      <c r="Q47" s="30"/>
      <c r="R47" s="84" t="str">
        <f>IF(VLOOKUP(C47,'Train Runs'!$A$13:$AE$9938,1,1)=C47,VLOOKUP(C47,'Train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7" s="87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7" s="89" t="str">
        <f t="shared" si="1"/>
        <v>"C:\Program Files (x86)\AstroGrep\AstroGrep.exe" /e /r /s /spath="%USERPROFILE%\AppData\Local\Temp\OnboardLogs" /stypes="*4041*201705072*" /stext=" 23:.+((SYSTEM_STATE.+slice.+state.+changed )|(ment ac)|(multiple cpu faults)|(system.+state.+changed )|(\[timeout)|(PRM\|1\|D)|(kpr)|(kdp)|(train st.+moving)|(\|lc)|(penalty))"</v>
      </c>
      <c r="U47" s="9" t="str">
        <f t="shared" si="2"/>
        <v>4041</v>
      </c>
      <c r="V47" s="31">
        <f t="shared" si="3"/>
        <v>42862.997881944444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{"issue":{"subject":"","project_id":79,"tracker_id":40,"status_id":1,"priority_id":2,"assigned_to_id":23,"start_date":"2017-05-07","description":"","custom_fields":[{"id":1,"name":"Subdivision","value":"Other"},{"id":4,"name":"Milepost","value":"2.4235"},{"id":17,"name":"Train ID","value":"70-07"},{"id":16,"name":"Locomotive ID","value":"4041"},{"id":130,"name":"Impact","value":""},{"id":150,"name":"Time of Event (Mountain Time)","value":"17:56:57"},{"id":151,"name":"Denver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/cygdrive/c/Users/stu/AppData/Local/Temp/OnboardLogs/RTDC4041 --include="*4041*201705072*"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"%USERPROFILE%\AppData\Local\Temp\OnboardLogs"\RTDC4041\*4041*201705072* &gt;&gt; 2017-05-07-SliceDisagreementCheck.txt</v>
      </c>
      <c r="AE47" s="148" t="str">
        <f t="shared" si="9"/>
        <v>start /low /b %USERPROFILE%\Documents\GitHub\eaglep3\Utilities\DownloadLogsFromS3.py --loco 4041 --day 2017-05-07</v>
      </c>
      <c r="AF47" s="1"/>
    </row>
    <row r="48" spans="1:32" x14ac:dyDescent="0.25">
      <c r="A48" s="31">
        <v>42862.748564814814</v>
      </c>
      <c r="B48" s="30" t="s">
        <v>432</v>
      </c>
      <c r="C48" s="30" t="s">
        <v>579</v>
      </c>
      <c r="D48" s="30" t="s">
        <v>49</v>
      </c>
      <c r="E48" s="30" t="s">
        <v>418</v>
      </c>
      <c r="F48" s="42">
        <v>0</v>
      </c>
      <c r="G48" s="42">
        <v>10</v>
      </c>
      <c r="H48" s="42">
        <v>24280</v>
      </c>
      <c r="I48" s="42">
        <v>24229</v>
      </c>
      <c r="J48" s="30" t="s">
        <v>419</v>
      </c>
      <c r="K48" s="42">
        <v>24235</v>
      </c>
      <c r="L48" s="134" t="s">
        <v>51</v>
      </c>
      <c r="M48" s="135">
        <f t="shared" si="0"/>
        <v>-3.1680000000000001</v>
      </c>
      <c r="N48" s="136" t="str">
        <f>VLOOKUP(C48,'Trips&amp;Operators'!$C$1:$G$99999,5,FALSE)</f>
        <v>MENGES BRAD</v>
      </c>
      <c r="O48" s="207" t="s">
        <v>184</v>
      </c>
      <c r="P48" s="137"/>
      <c r="Q48" s="30"/>
      <c r="R48" s="84" t="str">
        <f>IF(VLOOKUP(C48,'Train Runs'!$A$13:$AE$9938,1,1)=C48,VLOOKUP(C48,'Train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48" s="87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-05-07T17:02:26-0600',mode:absolute,to:'2017-05-07T19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8" s="89" t="str">
        <f t="shared" si="1"/>
        <v>"C:\Program Files (x86)\AstroGrep\AstroGrep.exe" /e /r /s /spath="%USERPROFILE%\AppData\Local\Temp\OnboardLogs" /stypes="*4041*201705072*" /stext=" 23:.+((SYSTEM_STATE.+slice.+state.+changed )|(ment ac)|(multiple cpu faults)|(system.+state.+changed )|(\[timeout)|(PRM\|1\|D)|(kpr)|(kdp)|(train st.+moving)|(\|lc)|(penalty))"</v>
      </c>
      <c r="U48" s="9" t="str">
        <f t="shared" si="2"/>
        <v>4041</v>
      </c>
      <c r="V48" s="31">
        <f t="shared" si="3"/>
        <v>42862.998564814814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{"issue":{"subject":"","project_id":79,"tracker_id":40,"status_id":1,"priority_id":2,"assigned_to_id":23,"start_date":"2017-05-07","description":"","custom_fields":[{"id":1,"name":"Subdivision","value":"Other"},{"id":4,"name":"Milepost","value":"2.4235"},{"id":17,"name":"Train ID","value":"70-07"},{"id":16,"name":"Locomotive ID","value":"4041"},{"id":130,"name":"Impact","value":""},{"id":150,"name":"Time of Event (Mountain Time)","value":"17:57:56"},{"id":151,"name":"Denver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/cygdrive/c/Users/stu/AppData/Local/Temp/OnboardLogs/RTDC4041 --include="*4041*201705072*"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"%USERPROFILE%\AppData\Local\Temp\OnboardLogs"\RTDC4041\*4041*201705072* &gt;&gt; 2017-05-07-SliceDisagreementCheck.txt</v>
      </c>
      <c r="AE48" s="148" t="str">
        <f t="shared" si="9"/>
        <v>start /low /b %USERPROFILE%\Documents\GitHub\eaglep3\Utilities\DownloadLogsFromS3.py --loco 4041 --day 2017-05-07</v>
      </c>
      <c r="AF48" s="1"/>
    </row>
    <row r="49" spans="1:32" x14ac:dyDescent="0.25">
      <c r="A49" s="31">
        <v>42862.747557870367</v>
      </c>
      <c r="B49" s="30" t="s">
        <v>559</v>
      </c>
      <c r="C49" s="30" t="s">
        <v>580</v>
      </c>
      <c r="D49" s="30" t="s">
        <v>49</v>
      </c>
      <c r="E49" s="30" t="s">
        <v>185</v>
      </c>
      <c r="F49" s="42">
        <v>0</v>
      </c>
      <c r="G49" s="42">
        <v>42</v>
      </c>
      <c r="H49" s="42">
        <v>137</v>
      </c>
      <c r="I49" s="42">
        <v>102</v>
      </c>
      <c r="J49" s="30" t="s">
        <v>186</v>
      </c>
      <c r="K49" s="42">
        <v>1</v>
      </c>
      <c r="L49" s="134" t="s">
        <v>51</v>
      </c>
      <c r="M49" s="135">
        <f t="shared" si="0"/>
        <v>53.328000000000003</v>
      </c>
      <c r="N49" s="136" t="str">
        <f>VLOOKUP(C49,'Trips&amp;Operators'!$C$1:$G$99999,5,FALSE)</f>
        <v>SMITH MICHAEL</v>
      </c>
      <c r="O49" s="207" t="s">
        <v>184</v>
      </c>
      <c r="P49" s="137"/>
      <c r="Q49" s="30"/>
      <c r="R49" s="84" t="str">
        <f>IF(VLOOKUP(C49,'Train Runs'!$A$13:$AE$9938,1,1)=C49,VLOOKUP(C49,'Train Runs'!$A$13:$AE$9938,31,1),NA())</f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S49" s="87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-05-07T16:41:36-0600',mode:absolute,to:'2017-05-07T18:56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9" s="89" t="str">
        <f t="shared" si="1"/>
        <v>"C:\Program Files (x86)\AstroGrep\AstroGrep.exe" /e /r /s /spath="%USERPROFILE%\AppData\Local\Temp\OnboardLogs" /stypes="*4021*201705072*" /stext=" 23:.+((SYSTEM_STATE.+slice.+state.+changed )|(ment ac)|(multiple cpu faults)|(system.+state.+changed )|(\[timeout)|(PRM\|1\|D)|(kpr)|(kdp)|(train st.+moving)|(\|lc)|(penalty))"</v>
      </c>
      <c r="U49" s="9" t="str">
        <f t="shared" si="2"/>
        <v>4021</v>
      </c>
      <c r="V49" s="31">
        <f t="shared" si="3"/>
        <v>42862.997557870367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{"issue":{"subject":"","project_id":79,"tracker_id":40,"status_id":1,"priority_id":2,"assigned_to_id":23,"start_date":"2017-05-07","description":"","custom_fields":[{"id":1,"name":"Subdivision","value":"Other"},{"id":4,"name":"Milepost","value":"0.0001"},{"id":17,"name":"Train ID","value":"72-07"},{"id":16,"name":"Locomotive ID","value":"4021"},{"id":130,"name":"Impact","value":""},{"id":150,"name":"Time of Event (Mountain Time)","value":"17:56:29"},{"id":151,"name":"Denver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/cygdrive/c/Users/stu/AppData/Local/Temp/OnboardLogs/RTDC4021 --include="*4021*201705072*"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"%USERPROFILE%\AppData\Local\Temp\OnboardLogs"\RTDC4021\*4021*201705072* &gt;&gt; 2017-05-07-SliceDisagreementCheck.txt</v>
      </c>
      <c r="AE49" s="148" t="str">
        <f t="shared" si="9"/>
        <v>start /low /b %USERPROFILE%\Documents\GitHub\eaglep3\Utilities\DownloadLogsFromS3.py --loco 4021 --day 2017-05-07</v>
      </c>
      <c r="AF49" s="1"/>
    </row>
    <row r="50" spans="1:32" x14ac:dyDescent="0.25">
      <c r="A50" s="31">
        <v>42862.466354166667</v>
      </c>
      <c r="B50" s="30" t="s">
        <v>559</v>
      </c>
      <c r="C50" s="30" t="s">
        <v>560</v>
      </c>
      <c r="D50" s="30" t="s">
        <v>49</v>
      </c>
      <c r="E50" s="30" t="s">
        <v>185</v>
      </c>
      <c r="F50" s="42">
        <v>0</v>
      </c>
      <c r="G50" s="42">
        <v>30</v>
      </c>
      <c r="H50" s="42">
        <v>884</v>
      </c>
      <c r="I50" s="42">
        <v>867</v>
      </c>
      <c r="J50" s="30" t="s">
        <v>186</v>
      </c>
      <c r="K50" s="42">
        <v>826</v>
      </c>
      <c r="L50" s="134" t="s">
        <v>51</v>
      </c>
      <c r="M50" s="135">
        <f t="shared" si="0"/>
        <v>21.648000000000003</v>
      </c>
      <c r="N50" s="136" t="str">
        <f>VLOOKUP(C50,'Trips&amp;Operators'!$C$1:$G$99999,5,FALSE)</f>
        <v>SAFIEF AEIMEN</v>
      </c>
      <c r="O50" s="207" t="s">
        <v>184</v>
      </c>
      <c r="P50" s="137"/>
      <c r="Q50" s="30"/>
      <c r="R50" s="84" t="str">
        <f>IF(VLOOKUP(C50,'Train Runs'!$A$13:$AE$9938,1,1)=C50,VLOOKUP(C50,'Train Runs'!$A$13:$AE$9938,31,1),NA())</f>
        <v>aws s3 cp s3://rtdc.mdm.uploadarchive.raw/RTDC4021/ "%USERPROFILE%\AppData\Local\Temp\OnboardLogs"\RTDC4021\2017-05-07 --exclude "*" --recursive --include "*20170507*" &amp; "%USERPROFILE%\Documents\GitHub\mrs-test-scripts\Headless Mode &amp; Sideloading\WalkAndUnGZ.bat" "%USERPROFILE%\AppData\Local\Temp\OnboardLogs"\RTDC4021\2017-05-07 &amp; aws s3 cp s3://rtdc.mdm.uploadarchive.raw/RTDC4021/ "%USERPROFILE%\AppData\Local\Temp\OnboardLogs"\RTDC4021\2017-05-08 --exclude "*" --recursive --include "*20170508*" &amp; "%USERPROFILE%\Documents\GitHub\mrs-test-scripts\Headless Mode &amp; Sideloading\WalkAndUnGZ.bat" "%USERPROFILE%\AppData\Local\Temp\OnboardLogs"\RTDC4021\2017-05-08</v>
      </c>
      <c r="S50" s="87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-05-07T09:58:54-0600',mode:absolute,to:'2017-05-07T12:11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0" s="89" t="str">
        <f t="shared" si="1"/>
        <v>"C:\Program Files (x86)\AstroGrep\AstroGrep.exe" /e /r /s /spath="%USERPROFILE%\AppData\Local\Temp\OnboardLogs" /stypes="*4021*201705071*" /stext=" 17:.+((SYSTEM_STATE.+slice.+state.+changed )|(ment ac)|(multiple cpu faults)|(system.+state.+changed )|(\[timeout)|(PRM\|1\|D)|(kpr)|(kdp)|(train st.+moving)|(\|lc)|(penalty))"</v>
      </c>
      <c r="U50" s="9" t="str">
        <f t="shared" si="2"/>
        <v>4021</v>
      </c>
      <c r="V50" s="31">
        <f t="shared" si="3"/>
        <v>42862.716354166667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{"issue":{"subject":"","project_id":79,"tracker_id":40,"status_id":1,"priority_id":2,"assigned_to_id":23,"start_date":"2017-05-07","description":"","custom_fields":[{"id":1,"name":"Subdivision","value":"Other"},{"id":4,"name":"Milepost","value":"0.0826"},{"id":17,"name":"Train ID","value":"56-07"},{"id":16,"name":"Locomotive ID","value":"4021"},{"id":130,"name":"Impact","value":""},{"id":150,"name":"Time of Event (Mountain Time)","value":"11:11:33"},{"id":151,"name":"Denver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/cygdrive/c/Users/stu/AppData/Local/Temp/OnboardLogs/RTDC4021 --include="*4021*201705071*"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"%USERPROFILE%\AppData\Local\Temp\OnboardLogs"\RTDC4021\*4021*201705071* &gt;&gt; 2017-05-07-SliceDisagreementCheck.txt</v>
      </c>
      <c r="AE50" s="148" t="str">
        <f t="shared" si="9"/>
        <v>start /low /b %USERPROFILE%\Documents\GitHub\eaglep3\Utilities\DownloadLogsFromS3.py --loco 4021 --day 2017-05-07</v>
      </c>
      <c r="AF50" s="1"/>
    </row>
    <row r="51" spans="1:32" x14ac:dyDescent="0.25">
      <c r="A51" s="31">
        <v>42862.873981481483</v>
      </c>
      <c r="B51" s="30" t="s">
        <v>432</v>
      </c>
      <c r="C51" s="30" t="s">
        <v>589</v>
      </c>
      <c r="D51" s="30" t="s">
        <v>49</v>
      </c>
      <c r="E51" s="30" t="s">
        <v>185</v>
      </c>
      <c r="F51" s="42">
        <v>0</v>
      </c>
      <c r="G51" s="42">
        <v>64</v>
      </c>
      <c r="H51" s="42">
        <v>1073</v>
      </c>
      <c r="I51" s="42">
        <v>1026</v>
      </c>
      <c r="J51" s="30" t="s">
        <v>186</v>
      </c>
      <c r="K51" s="42">
        <v>839</v>
      </c>
      <c r="L51" s="134" t="s">
        <v>51</v>
      </c>
      <c r="M51" s="135">
        <f t="shared" si="0"/>
        <v>98.736000000000004</v>
      </c>
      <c r="N51" s="136" t="str">
        <f>VLOOKUP(C51,'Trips&amp;Operators'!$C$1:$G$99999,5,FALSE)</f>
        <v>ARNOLD PAUL</v>
      </c>
      <c r="O51" s="207" t="s">
        <v>184</v>
      </c>
      <c r="P51" s="137"/>
      <c r="Q51" s="30"/>
      <c r="R51" s="84" t="str">
        <f>IF(VLOOKUP(C51,'Train Runs'!$A$13:$AE$9938,1,1)=C51,VLOOKUP(C51,'Train Runs'!$A$13:$AE$9938,31,1),NA())</f>
        <v>aws s3 cp s3://rtdc.mdm.uploadarchive.raw/RTDC4041/ "%USERPROFILE%\AppData\Local\Temp\OnboardLogs"\RTDC4041\2017-05-07 --exclude "*" --recursive --include "*20170507*" &amp; "%USERPROFILE%\Documents\GitHub\mrs-test-scripts\Headless Mode &amp; Sideloading\WalkAndUnGZ.bat" "%USERPROFILE%\AppData\Local\Temp\OnboardLogs"\RTDC4041\2017-05-07 &amp; aws s3 cp s3://rtdc.mdm.uploadarchive.raw/RTDC4041/ "%USERPROFILE%\AppData\Local\Temp\OnboardLogs"\RTDC4041\2017-05-08 --exclude "*" --recursive --include "*20170508*" &amp; "%USERPROFILE%\Documents\GitHub\mrs-test-scripts\Headless Mode &amp; Sideloading\WalkAndUnGZ.bat" "%USERPROFILE%\AppData\Local\Temp\OnboardLogs"\RTDC4041\2017-05-08</v>
      </c>
      <c r="S51" s="87" t="str">
        <f>VLOOKUP(C51,'Train Runs'!$A$13:$AE$9938,22,0)</f>
        <v>https://d0f6bd738d7f1b3e5a7ca70fe4ff75f0.us-east-1.aws.found.io/app/kibana#/discover/Steve-Slow-Train-Analysis-(2080s-and-2083s)?_g=(refreshInterval:(display:Off,pause:!f,section:0,value:0),time:(from:'2017-05-07T19:26:54-0600',mode:absolute,to:'2017-05-07T21:58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1" s="89" t="str">
        <f t="shared" si="1"/>
        <v>"C:\Program Files (x86)\AstroGrep\AstroGrep.exe" /e /r /s /spath="%USERPROFILE%\AppData\Local\Temp\OnboardLogs" /stypes="*4041*201705080*" /stext=" 02:.+((SYSTEM_STATE.+slice.+state.+changed )|(ment ac)|(multiple cpu faults)|(system.+state.+changed )|(\[timeout)|(PRM\|1\|D)|(kpr)|(kdp)|(train st.+moving)|(\|lc)|(penalty))"</v>
      </c>
      <c r="U51" s="9" t="str">
        <f t="shared" si="2"/>
        <v>4041</v>
      </c>
      <c r="V51" s="31">
        <f t="shared" si="3"/>
        <v>42863.123981481483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{"issue":{"subject":"","project_id":79,"tracker_id":40,"status_id":1,"priority_id":2,"assigned_to_id":23,"start_date":"2017-05-07","description":"","custom_fields":[{"id":1,"name":"Subdivision","value":"Other"},{"id":4,"name":"Milepost","value":"0.0839"},{"id":17,"name":"Train ID","value":"52-07"},{"id":16,"name":"Locomotive ID","value":"4041"},{"id":130,"name":"Impact","value":""},{"id":150,"name":"Time of Event (Mountain Time)","value":"20:58:32"},{"id":151,"name":"Denver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/cygdrive/c/Users/stu/AppData/Local/Temp/OnboardLogs/RTDC4041 --include="*4041*201705080*"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"%USERPROFILE%\AppData\Local\Temp\OnboardLogs"\RTDC4041\*4041*201705080* &gt;&gt; 2017-05-07-SliceDisagreementCheck.txt</v>
      </c>
      <c r="AE51" s="148" t="str">
        <f t="shared" si="9"/>
        <v>start /low /b %USERPROFILE%\Documents\GitHub\eaglep3\Utilities\DownloadLogsFromS3.py --loco 4041 --day 2017-05-08</v>
      </c>
      <c r="AF51" s="1"/>
    </row>
    <row r="52" spans="1:32" x14ac:dyDescent="0.25">
      <c r="A52" s="31">
        <v>42862.497453703705</v>
      </c>
      <c r="B52" s="30" t="s">
        <v>351</v>
      </c>
      <c r="C52" s="30" t="s">
        <v>562</v>
      </c>
      <c r="D52" s="30" t="s">
        <v>98</v>
      </c>
      <c r="E52" s="30" t="s">
        <v>563</v>
      </c>
      <c r="F52" s="42">
        <v>0</v>
      </c>
      <c r="G52" s="42">
        <v>2</v>
      </c>
      <c r="H52" s="42">
        <v>25467</v>
      </c>
      <c r="I52" s="42">
        <v>25471</v>
      </c>
      <c r="J52" s="30" t="s">
        <v>564</v>
      </c>
      <c r="K52" s="42">
        <v>574</v>
      </c>
      <c r="L52" s="134" t="s">
        <v>50</v>
      </c>
      <c r="M52" s="135">
        <f t="shared" si="0"/>
        <v>-13145.616</v>
      </c>
      <c r="N52" s="136" t="str">
        <f>VLOOKUP(C52,'Trips&amp;Operators'!$C$1:$G$99999,5,FALSE)</f>
        <v>DAVIS WENDY</v>
      </c>
      <c r="O52" s="207" t="s">
        <v>184</v>
      </c>
      <c r="P52" s="137"/>
      <c r="Q52" s="30"/>
      <c r="R52" s="84" t="str">
        <f>IF(VLOOKUP(C52,'Train Runs'!$A$13:$AE$9938,1,1)=C52,VLOOKUP(C52,'Train Runs'!$A$13:$AE$9938,31,1),NA())</f>
        <v>aws s3 cp s3://rtdc.mdm.uploadarchive.raw/RTDC4022/ "%USERPROFILE%\AppData\Local\Temp\OnboardLogs"\RTDC4022\2017-05-07 --exclude "*" --recursive --include "*20170507*" &amp; "%USERPROFILE%\Documents\GitHub\mrs-test-scripts\Headless Mode &amp; Sideloading\WalkAndUnGZ.bat" "%USERPROFILE%\AppData\Local\Temp\OnboardLogs"\RTDC4022\2017-05-07 &amp; aws s3 cp s3://rtdc.mdm.uploadarchive.raw/RTDC4022/ "%USERPROFILE%\AppData\Local\Temp\OnboardLogs"\RTDC4022\2017-05-08 --exclude "*" --recursive --include "*20170508*" &amp; "%USERPROFILE%\Documents\GitHub\mrs-test-scripts\Headless Mode &amp; Sideloading\WalkAndUnGZ.bat" "%USERPROFILE%\AppData\Local\Temp\OnboardLogs"\RTDC4022\2017-05-08</v>
      </c>
      <c r="S52" s="87" t="str">
        <f>VLOOKUP(C52,'Train Runs'!$A$13:$AE$9938,22,0)</f>
        <v>https://d0f6bd738d7f1b3e5a7ca70fe4ff75f0.us-east-1.aws.found.io/app/kibana#/discover/Steve-Slow-Train-Analysis-(2080s-and-2083s)?_g=(refreshInterval:(display:Off,pause:!f,section:0,value:0),time:(from:'2017-05-07T10:39:09-0600',mode:absolute,to:'2017-05-07T12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52" s="89" t="str">
        <f t="shared" si="1"/>
        <v>"C:\Program Files (x86)\AstroGrep\AstroGrep.exe" /e /r /s /spath="%USERPROFILE%\AppData\Local\Temp\OnboardLogs" /stypes="*4022*201705071*" /stext=" 17:.+((SYSTEM_STATE.+slice.+state.+changed )|(ment ac)|(multiple cpu faults)|(system.+state.+changed )|(\[timeout)|(PRM\|1\|D)|(kpr)|(kdp)|(train st.+moving)|(\|lc)|(penalty))"</v>
      </c>
      <c r="U52" s="9" t="str">
        <f t="shared" si="2"/>
        <v>4022</v>
      </c>
      <c r="V52" s="31">
        <f t="shared" si="3"/>
        <v>42862.747453703705</v>
      </c>
      <c r="W52" s="45" t="str">
        <f t="shared" si="4"/>
        <v>Other</v>
      </c>
      <c r="X52" s="45" t="str">
        <f t="shared" si="5"/>
        <v>KEEP</v>
      </c>
      <c r="Y52" s="99" t="str">
        <f t="shared" si="6"/>
        <v>echo {"issue":{"subject":"","project_id":79,"tracker_id":40,"status_id":1,"priority_id":2,"assigned_to_id":23,"start_date":"2017-05-07","description":"","custom_fields":[{"id":1,"name":"Subdivision","value":"Other"},{"id":4,"name":"Milepost","value":"0.0574"},{"id":17,"name":"Train ID","value":"57-07"},{"id":16,"name":"Locomotive ID","value":"4022"},{"id":130,"name":"Impact","value":""},{"id":150,"name":"Time of Event (Mountain Time)","value":"11:56:20"},{"id":151,"name":"Denver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7"/>
        <v>grep -hrE -A400 "Enforcement Action" /cygdrive/c/Users/stu/AppData/Local/Temp/OnboardLogs/RTDC4022 --include="*4022*201705071*"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"%USERPROFILE%\AppData\Local\Temp\OnboardLogs"\RTDC4022\*4022*201705071* &gt;&gt; 2017-05-07-SliceDisagreementCheck.txt</v>
      </c>
      <c r="AE52" s="148" t="str">
        <f t="shared" si="9"/>
        <v>start /low /b %USERPROFILE%\Documents\GitHub\eaglep3\Utilities\DownloadLogsFromS3.py --loco 4022 --day 2017-05-07</v>
      </c>
      <c r="AF52" s="1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</sheetData>
  <autoFilter ref="A6:AC64">
    <sortState ref="A7:AC65">
      <sortCondition ref="W7:W53"/>
      <sortCondition ref="E7:E53"/>
      <sortCondition ref="K7:K53"/>
      <sortCondition ref="F7:F5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5:O1048576 O7:O52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2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  <x14:dataValidation type="list" allowBlank="1" showInputMessage="1" showErrorMessage="1">
          <x14:formula1>
            <xm:f>'Redmine List Values'!$C$2:$C$15</xm:f>
          </x14:formula1>
          <xm:sqref>AB7:AB52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0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2017-05-07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-07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" s="30" t="e">
        <f>VLOOKUP(B3,'Train Runs'!$A$13:$A$99935,1,FALSE)</f>
        <v>#N/A</v>
      </c>
    </row>
    <row r="4" spans="1:10" x14ac:dyDescent="0.25">
      <c r="A4" s="190"/>
      <c r="B4" s="42" t="str">
        <f>A4&amp;"-"&amp;IF(DAY(Variables!$A$2)&lt;10,0,"")&amp;DAY(Variables!$A$2)</f>
        <v>-07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Runs'!$A$13:$A$99935,1,FALSE)</f>
        <v>#N/A</v>
      </c>
    </row>
    <row r="5" spans="1:10" x14ac:dyDescent="0.25">
      <c r="A5" s="190"/>
      <c r="B5" s="42" t="str">
        <f>A5&amp;"-"&amp;IF(DAY(Variables!$A$2)&lt;10,0,"")&amp;DAY(Variables!$A$2)</f>
        <v>-07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Runs'!$A$13:$A$99935,1,FALSE)</f>
        <v>#N/A</v>
      </c>
    </row>
    <row r="6" spans="1:10" x14ac:dyDescent="0.25">
      <c r="A6" s="190"/>
      <c r="B6" s="42" t="str">
        <f>A6&amp;"-"&amp;IF(DAY(Variables!$A$2)&lt;10,0,"")&amp;DAY(Variables!$A$2)</f>
        <v>-07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Runs'!$A$13:$A$99935,1,FALSE)</f>
        <v>#N/A</v>
      </c>
    </row>
    <row r="7" spans="1:10" x14ac:dyDescent="0.25">
      <c r="A7" s="190"/>
      <c r="B7" s="42" t="str">
        <f>A7&amp;"-"&amp;IF(DAY(Variables!$A$2)&lt;10,0,"")&amp;DAY(Variables!$A$2)</f>
        <v>-07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Runs'!$A$13:$A$99935,1,FALSE)</f>
        <v>#N/A</v>
      </c>
    </row>
    <row r="8" spans="1:10" x14ac:dyDescent="0.25">
      <c r="A8" s="190"/>
      <c r="B8" s="42" t="str">
        <f>A8&amp;"-"&amp;IF(DAY(Variables!$A$2)&lt;10,0,"")&amp;DAY(Variables!$A$2)</f>
        <v>-07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Runs'!$A$13:$A$99935,1,FALSE)</f>
        <v>#N/A</v>
      </c>
    </row>
    <row r="9" spans="1:10" x14ac:dyDescent="0.25">
      <c r="A9" s="190"/>
      <c r="B9" s="42" t="str">
        <f>A9&amp;"-"&amp;IF(DAY(Variables!$A$2)&lt;10,0,"")&amp;DAY(Variables!$A$2)</f>
        <v>-07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Runs'!$A$13:$A$99935,1,FALSE)</f>
        <v>#N/A</v>
      </c>
    </row>
    <row r="10" spans="1:10" x14ac:dyDescent="0.25">
      <c r="A10" s="190"/>
      <c r="B10" s="42"/>
      <c r="C10" s="138"/>
      <c r="D10" s="156"/>
      <c r="E10" s="30"/>
      <c r="F10" s="21"/>
      <c r="G10" s="21"/>
      <c r="H10" s="29"/>
      <c r="I10" s="45"/>
      <c r="J10" s="30"/>
    </row>
    <row r="11" spans="1:10" x14ac:dyDescent="0.25">
      <c r="A11" s="190"/>
      <c r="B11" s="42"/>
      <c r="C11" s="138"/>
      <c r="D11" s="156"/>
      <c r="E11" s="30"/>
      <c r="F11" s="21"/>
      <c r="G11" s="21"/>
      <c r="H11" s="29"/>
      <c r="I11" s="45"/>
      <c r="J11" s="30"/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 t="str">
        <f>A71&amp;"-"&amp;IF(DAY(Variables!$A$2)&lt;10,0,"")&amp;DAY(Variables!$A$2)</f>
        <v>-07</v>
      </c>
      <c r="C71" s="138"/>
      <c r="D71" s="156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5" t="str">
        <f t="shared" ref="I71:I8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1" s="30" t="e">
        <f>VLOOKUP(B71,'Train Runs'!$A$13:$A$99935,1,FALSE)</f>
        <v>#N/A</v>
      </c>
    </row>
    <row r="72" spans="1:10" x14ac:dyDescent="0.25">
      <c r="A72" s="190"/>
      <c r="B72" s="42" t="str">
        <f>A72&amp;"-"&amp;IF(DAY(Variables!$A$2)&lt;10,0,"")&amp;DAY(Variables!$A$2)</f>
        <v>-07</v>
      </c>
      <c r="C72" s="138"/>
      <c r="D72" s="156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2" s="30" t="e">
        <f>VLOOKUP(B72,'Train Runs'!$A$13:$A$99935,1,FALSE)</f>
        <v>#N/A</v>
      </c>
    </row>
    <row r="73" spans="1:10" x14ac:dyDescent="0.25">
      <c r="A73" s="190"/>
      <c r="B73" s="42" t="str">
        <f>A73&amp;"-"&amp;IF(DAY(Variables!$A$2)&lt;10,0,"")&amp;DAY(Variables!$A$2)</f>
        <v>-07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3" s="30" t="e">
        <f>VLOOKUP(B73,'Train Runs'!$A$13:$A$99935,1,FALSE)</f>
        <v>#N/A</v>
      </c>
    </row>
    <row r="74" spans="1:10" x14ac:dyDescent="0.25">
      <c r="A74" s="190"/>
      <c r="B74" s="42" t="str">
        <f>A74&amp;"-"&amp;IF(DAY(Variables!$A$2)&lt;10,0,"")&amp;DAY(Variables!$A$2)</f>
        <v>-07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4" s="30" t="e">
        <f>VLOOKUP(B74,'Train Runs'!$A$13:$A$99935,1,FALSE)</f>
        <v>#N/A</v>
      </c>
    </row>
    <row r="75" spans="1:10" x14ac:dyDescent="0.25">
      <c r="A75" s="190"/>
      <c r="B75" s="42" t="str">
        <f>A75&amp;"-"&amp;IF(DAY(Variables!$A$2)&lt;10,0,"")&amp;DAY(Variables!$A$2)</f>
        <v>-07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5" s="30" t="e">
        <f>VLOOKUP(B75,'Train Runs'!$A$13:$A$99935,1,FALSE)</f>
        <v>#N/A</v>
      </c>
    </row>
    <row r="76" spans="1:10" x14ac:dyDescent="0.25">
      <c r="A76" s="190"/>
      <c r="B76" s="42" t="str">
        <f>A76&amp;"-"&amp;IF(DAY(Variables!$A$2)&lt;10,0,"")&amp;DAY(Variables!$A$2)</f>
        <v>-07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6" s="30" t="e">
        <f>VLOOKUP(B76,'Train Runs'!$A$13:$A$99935,1,FALSE)</f>
        <v>#N/A</v>
      </c>
    </row>
    <row r="77" spans="1:10" x14ac:dyDescent="0.25">
      <c r="A77" s="190"/>
      <c r="B77" s="42" t="str">
        <f>A77&amp;"-"&amp;IF(DAY(Variables!$A$2)&lt;10,0,"")&amp;DAY(Variables!$A$2)</f>
        <v>-07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7" s="30" t="e">
        <f>VLOOKUP(B77,'Train Runs'!$A$13:$A$99935,1,FALSE)</f>
        <v>#N/A</v>
      </c>
    </row>
    <row r="78" spans="1:10" x14ac:dyDescent="0.25">
      <c r="A78" s="190"/>
      <c r="B78" s="42" t="str">
        <f>A78&amp;"-"&amp;IF(DAY(Variables!$A$2)&lt;10,0,"")&amp;DAY(Variables!$A$2)</f>
        <v>-07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8" s="30" t="e">
        <f>VLOOKUP(B78,'Train Runs'!$A$13:$A$99935,1,FALSE)</f>
        <v>#N/A</v>
      </c>
    </row>
    <row r="79" spans="1:10" x14ac:dyDescent="0.25">
      <c r="A79" s="190"/>
      <c r="B79" s="42" t="str">
        <f>A79&amp;"-"&amp;IF(DAY(Variables!$A$2)&lt;10,0,"")&amp;DAY(Variables!$A$2)</f>
        <v>-07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9" s="30" t="e">
        <f>VLOOKUP(B79,'Train Runs'!$A$13:$A$99935,1,FALSE)</f>
        <v>#N/A</v>
      </c>
    </row>
    <row r="80" spans="1:10" x14ac:dyDescent="0.25">
      <c r="A80" s="190"/>
      <c r="B80" s="42" t="str">
        <f>A80&amp;"-"&amp;IF(DAY(Variables!$A$2)&lt;10,0,"")&amp;DAY(Variables!$A$2)</f>
        <v>-07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0" s="30" t="e">
        <f>VLOOKUP(B80,'Train Runs'!$A$13:$A$99935,1,FALSE)</f>
        <v>#N/A</v>
      </c>
    </row>
  </sheetData>
  <autoFilter ref="A2:J8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42862.031261574077</v>
      </c>
      <c r="B2" s="20" t="s">
        <v>467</v>
      </c>
      <c r="C2" s="20" t="s">
        <v>465</v>
      </c>
      <c r="D2" s="141">
        <v>2680000</v>
      </c>
      <c r="E2" s="20" t="s">
        <v>366</v>
      </c>
      <c r="F2" s="20" t="s">
        <v>367</v>
      </c>
      <c r="G2" s="8" t="str">
        <f>E2&amp;" "&amp;F2</f>
        <v>DUNCAN SHEILA</v>
      </c>
    </row>
    <row r="3" spans="1:7" x14ac:dyDescent="0.25">
      <c r="A3" s="8">
        <v>42862.031967592593</v>
      </c>
      <c r="B3" s="20" t="s">
        <v>467</v>
      </c>
      <c r="C3" s="20" t="s">
        <v>465</v>
      </c>
      <c r="D3" s="141">
        <v>2680000</v>
      </c>
      <c r="E3" s="20" t="s">
        <v>366</v>
      </c>
      <c r="F3" s="20" t="s">
        <v>367</v>
      </c>
      <c r="G3" s="8" t="str">
        <f t="shared" ref="G3:G66" si="0">E3&amp;" "&amp;F3</f>
        <v>DUNCAN SHEILA</v>
      </c>
    </row>
    <row r="4" spans="1:7" x14ac:dyDescent="0.25">
      <c r="A4" s="8">
        <v>42862.033078703702</v>
      </c>
      <c r="B4" s="20" t="s">
        <v>437</v>
      </c>
      <c r="C4" s="20" t="s">
        <v>463</v>
      </c>
      <c r="D4" s="141">
        <v>2000000</v>
      </c>
      <c r="E4" s="20" t="s">
        <v>350</v>
      </c>
      <c r="F4" s="20" t="s">
        <v>193</v>
      </c>
      <c r="G4" s="8" t="str">
        <f t="shared" si="0"/>
        <v>STAMBAUGH JAMES</v>
      </c>
    </row>
    <row r="5" spans="1:7" x14ac:dyDescent="0.25">
      <c r="A5" s="8">
        <v>42862.036145833335</v>
      </c>
      <c r="B5" s="20" t="s">
        <v>363</v>
      </c>
      <c r="C5" s="20" t="s">
        <v>489</v>
      </c>
      <c r="D5" s="141">
        <v>2630000</v>
      </c>
      <c r="E5" s="20" t="s">
        <v>487</v>
      </c>
      <c r="F5" s="20" t="s">
        <v>488</v>
      </c>
      <c r="G5" s="8" t="str">
        <f t="shared" si="0"/>
        <v>SAFIEF AEIMEN</v>
      </c>
    </row>
    <row r="6" spans="1:7" x14ac:dyDescent="0.25">
      <c r="A6" s="8">
        <v>42862.037488425929</v>
      </c>
      <c r="B6" s="20" t="s">
        <v>379</v>
      </c>
      <c r="C6" s="20" t="s">
        <v>494</v>
      </c>
      <c r="D6" s="141">
        <v>2270000</v>
      </c>
      <c r="E6" s="20" t="s">
        <v>205</v>
      </c>
      <c r="F6" s="20" t="s">
        <v>206</v>
      </c>
      <c r="G6" s="8" t="str">
        <f t="shared" si="0"/>
        <v>BROWN JACOB</v>
      </c>
    </row>
    <row r="7" spans="1:7" x14ac:dyDescent="0.25">
      <c r="A7" s="8">
        <v>42862.042731481481</v>
      </c>
      <c r="B7" s="20" t="s">
        <v>392</v>
      </c>
      <c r="C7" s="20" t="s">
        <v>461</v>
      </c>
      <c r="D7" s="141">
        <v>3000000</v>
      </c>
      <c r="E7" s="20" t="s">
        <v>427</v>
      </c>
      <c r="F7" s="20" t="s">
        <v>409</v>
      </c>
      <c r="G7" s="8" t="str">
        <f t="shared" si="0"/>
        <v>FORTUNATO FRANK</v>
      </c>
    </row>
    <row r="8" spans="1:7" x14ac:dyDescent="0.25">
      <c r="A8" s="8">
        <v>42862.042997685188</v>
      </c>
      <c r="B8" s="20" t="s">
        <v>464</v>
      </c>
      <c r="C8" s="20" t="s">
        <v>465</v>
      </c>
      <c r="D8" s="141">
        <v>2680000</v>
      </c>
      <c r="E8" s="20" t="s">
        <v>366</v>
      </c>
      <c r="F8" s="20" t="s">
        <v>367</v>
      </c>
      <c r="G8" s="8" t="str">
        <f t="shared" si="0"/>
        <v>DUNCAN SHEILA</v>
      </c>
    </row>
    <row r="9" spans="1:7" ht="15.75" thickBot="1" x14ac:dyDescent="0.3">
      <c r="A9" s="24">
        <v>42862.043738425928</v>
      </c>
      <c r="B9" s="20" t="s">
        <v>464</v>
      </c>
      <c r="C9" s="20" t="s">
        <v>465</v>
      </c>
      <c r="D9" s="141">
        <v>2680000</v>
      </c>
      <c r="E9" s="20" t="s">
        <v>366</v>
      </c>
      <c r="F9" s="20" t="s">
        <v>367</v>
      </c>
      <c r="G9" s="8" t="str">
        <f t="shared" si="0"/>
        <v>DUNCAN SHEILA</v>
      </c>
    </row>
    <row r="10" spans="1:7" x14ac:dyDescent="0.25">
      <c r="A10" s="8">
        <v>42862.049340277779</v>
      </c>
      <c r="B10" s="20" t="s">
        <v>417</v>
      </c>
      <c r="C10" s="20" t="s">
        <v>495</v>
      </c>
      <c r="D10" s="141">
        <v>2150000</v>
      </c>
      <c r="E10" s="20" t="s">
        <v>346</v>
      </c>
      <c r="F10" s="20" t="s">
        <v>347</v>
      </c>
      <c r="G10" s="8" t="str">
        <f t="shared" si="0"/>
        <v>SWANSON BRYCE</v>
      </c>
    </row>
    <row r="11" spans="1:7" x14ac:dyDescent="0.25">
      <c r="A11" s="8">
        <v>42862.050034722219</v>
      </c>
      <c r="B11" s="20" t="s">
        <v>371</v>
      </c>
      <c r="C11" s="20" t="s">
        <v>496</v>
      </c>
      <c r="D11" s="141">
        <v>2230000</v>
      </c>
      <c r="E11" s="20" t="s">
        <v>352</v>
      </c>
      <c r="F11" s="20" t="s">
        <v>196</v>
      </c>
      <c r="G11" s="8" t="str">
        <f t="shared" si="0"/>
        <v>SMITH MICHAEL</v>
      </c>
    </row>
    <row r="12" spans="1:7" x14ac:dyDescent="0.25">
      <c r="A12" s="8">
        <v>42862.053240740737</v>
      </c>
      <c r="B12" s="20" t="s">
        <v>467</v>
      </c>
      <c r="C12" s="20" t="s">
        <v>465</v>
      </c>
      <c r="D12" s="141">
        <v>2680000</v>
      </c>
      <c r="E12" s="20" t="s">
        <v>366</v>
      </c>
      <c r="F12" s="20" t="s">
        <v>367</v>
      </c>
      <c r="G12" s="8" t="str">
        <f t="shared" si="0"/>
        <v>DUNCAN SHEILA</v>
      </c>
    </row>
    <row r="13" spans="1:7" x14ac:dyDescent="0.25">
      <c r="A13" s="8">
        <v>42862.058993055558</v>
      </c>
      <c r="B13" s="20" t="s">
        <v>398</v>
      </c>
      <c r="C13" s="20" t="s">
        <v>461</v>
      </c>
      <c r="D13" s="141">
        <v>3000000</v>
      </c>
      <c r="E13" s="20" t="s">
        <v>427</v>
      </c>
      <c r="F13" s="20" t="s">
        <v>409</v>
      </c>
      <c r="G13" s="8" t="str">
        <f t="shared" si="0"/>
        <v>FORTUNATO FRANK</v>
      </c>
    </row>
    <row r="14" spans="1:7" x14ac:dyDescent="0.25">
      <c r="A14" s="8">
        <v>42862.064722222225</v>
      </c>
      <c r="B14" s="20" t="s">
        <v>464</v>
      </c>
      <c r="C14" s="20" t="s">
        <v>465</v>
      </c>
      <c r="D14" s="141">
        <v>2680000</v>
      </c>
      <c r="E14" s="20" t="s">
        <v>366</v>
      </c>
      <c r="F14" s="20" t="s">
        <v>367</v>
      </c>
      <c r="G14" s="8" t="str">
        <f t="shared" si="0"/>
        <v>DUNCAN SHEILA</v>
      </c>
    </row>
    <row r="15" spans="1:7" x14ac:dyDescent="0.25">
      <c r="A15" s="8">
        <v>42862.070497685185</v>
      </c>
      <c r="B15" s="20" t="s">
        <v>361</v>
      </c>
      <c r="C15" s="20" t="s">
        <v>497</v>
      </c>
      <c r="D15" s="141">
        <v>2000000</v>
      </c>
      <c r="E15" s="20" t="s">
        <v>350</v>
      </c>
      <c r="F15" s="20" t="s">
        <v>193</v>
      </c>
      <c r="G15" s="8" t="str">
        <f t="shared" si="0"/>
        <v>STAMBAUGH JAMES</v>
      </c>
    </row>
    <row r="16" spans="1:7" x14ac:dyDescent="0.25">
      <c r="A16" s="8">
        <v>42862.081712962965</v>
      </c>
      <c r="B16" s="20" t="s">
        <v>385</v>
      </c>
      <c r="C16" s="20" t="s">
        <v>498</v>
      </c>
      <c r="D16" s="141">
        <v>2270000</v>
      </c>
      <c r="E16" s="20" t="s">
        <v>205</v>
      </c>
      <c r="F16" s="20" t="s">
        <v>206</v>
      </c>
      <c r="G16" s="8" t="str">
        <f t="shared" si="0"/>
        <v>BROWN JACOB</v>
      </c>
    </row>
    <row r="17" spans="1:7" x14ac:dyDescent="0.25">
      <c r="A17" s="8">
        <v>42862.089421296296</v>
      </c>
      <c r="B17" s="20" t="s">
        <v>421</v>
      </c>
      <c r="C17" s="20" t="s">
        <v>499</v>
      </c>
      <c r="D17" s="141">
        <v>2150000</v>
      </c>
      <c r="E17" s="20" t="s">
        <v>346</v>
      </c>
      <c r="F17" s="20" t="s">
        <v>347</v>
      </c>
      <c r="G17" s="8" t="str">
        <f t="shared" si="0"/>
        <v>SWANSON BRYCE</v>
      </c>
    </row>
    <row r="18" spans="1:7" x14ac:dyDescent="0.25">
      <c r="A18" s="8">
        <v>42862.102824074071</v>
      </c>
      <c r="B18" s="20" t="s">
        <v>467</v>
      </c>
      <c r="C18" s="20" t="s">
        <v>465</v>
      </c>
      <c r="D18" s="141">
        <v>2680000</v>
      </c>
      <c r="E18" s="20" t="s">
        <v>366</v>
      </c>
      <c r="F18" s="20" t="s">
        <v>367</v>
      </c>
      <c r="G18" s="8" t="str">
        <f t="shared" si="0"/>
        <v>DUNCAN SHEILA</v>
      </c>
    </row>
    <row r="19" spans="1:7" x14ac:dyDescent="0.25">
      <c r="A19" s="8">
        <v>42862.103506944448</v>
      </c>
      <c r="B19" s="20" t="s">
        <v>467</v>
      </c>
      <c r="C19" s="20" t="s">
        <v>465</v>
      </c>
      <c r="D19" s="141">
        <v>2680000</v>
      </c>
      <c r="E19" s="20" t="s">
        <v>366</v>
      </c>
      <c r="F19" s="20" t="s">
        <v>367</v>
      </c>
      <c r="G19" s="8" t="str">
        <f t="shared" si="0"/>
        <v>DUNCAN SHEILA</v>
      </c>
    </row>
    <row r="20" spans="1:7" x14ac:dyDescent="0.25">
      <c r="A20" s="8">
        <v>42862.120613425926</v>
      </c>
      <c r="B20" s="20" t="s">
        <v>379</v>
      </c>
      <c r="C20" s="20" t="s">
        <v>595</v>
      </c>
      <c r="D20" s="141">
        <v>1410000</v>
      </c>
      <c r="E20" s="20" t="s">
        <v>596</v>
      </c>
      <c r="F20" s="20" t="s">
        <v>597</v>
      </c>
      <c r="G20" s="8" t="str">
        <f t="shared" si="0"/>
        <v>GOLIGHTLY KENNETH</v>
      </c>
    </row>
    <row r="21" spans="1:7" x14ac:dyDescent="0.25">
      <c r="A21" s="8">
        <v>42862.122245370374</v>
      </c>
      <c r="B21" s="20" t="s">
        <v>459</v>
      </c>
      <c r="C21" s="20" t="s">
        <v>598</v>
      </c>
      <c r="D21" s="141">
        <v>1360000</v>
      </c>
      <c r="E21" s="20" t="s">
        <v>475</v>
      </c>
      <c r="F21" s="20" t="s">
        <v>476</v>
      </c>
      <c r="G21" s="8" t="str">
        <f t="shared" si="0"/>
        <v>SANTIZO D. EDY</v>
      </c>
    </row>
    <row r="22" spans="1:7" x14ac:dyDescent="0.25">
      <c r="A22" s="26">
        <v>42862.123680555553</v>
      </c>
      <c r="B22" s="20" t="s">
        <v>459</v>
      </c>
      <c r="C22" s="20" t="s">
        <v>598</v>
      </c>
      <c r="D22" s="141">
        <v>1360000</v>
      </c>
      <c r="E22" s="20" t="s">
        <v>475</v>
      </c>
      <c r="F22" s="20" t="s">
        <v>476</v>
      </c>
      <c r="G22" s="8" t="str">
        <f t="shared" si="0"/>
        <v>SANTIZO D. EDY</v>
      </c>
    </row>
    <row r="23" spans="1:7" x14ac:dyDescent="0.25">
      <c r="A23" s="8">
        <v>42862.135694444441</v>
      </c>
      <c r="B23" s="20" t="s">
        <v>571</v>
      </c>
      <c r="C23" s="20" t="s">
        <v>599</v>
      </c>
      <c r="D23" s="141">
        <v>1360000</v>
      </c>
      <c r="E23" s="20" t="s">
        <v>475</v>
      </c>
      <c r="F23" s="20" t="s">
        <v>476</v>
      </c>
      <c r="G23" s="8" t="str">
        <f t="shared" si="0"/>
        <v>SANTIZO D. EDY</v>
      </c>
    </row>
    <row r="24" spans="1:7" x14ac:dyDescent="0.25">
      <c r="A24" s="8">
        <v>42862.149606481478</v>
      </c>
      <c r="B24" s="20" t="s">
        <v>460</v>
      </c>
      <c r="C24" s="20" t="s">
        <v>600</v>
      </c>
      <c r="D24" s="141">
        <v>2010000</v>
      </c>
      <c r="E24" s="20" t="s">
        <v>469</v>
      </c>
      <c r="F24" s="20" t="s">
        <v>470</v>
      </c>
      <c r="G24" s="8" t="str">
        <f t="shared" si="0"/>
        <v>MAELZER KURT</v>
      </c>
    </row>
    <row r="25" spans="1:7" x14ac:dyDescent="0.25">
      <c r="A25" s="8">
        <v>42862.152696759258</v>
      </c>
      <c r="B25" s="20" t="s">
        <v>433</v>
      </c>
      <c r="C25" s="20" t="s">
        <v>601</v>
      </c>
      <c r="D25" s="141">
        <v>2260000</v>
      </c>
      <c r="E25" s="20" t="s">
        <v>602</v>
      </c>
      <c r="F25" s="20" t="s">
        <v>603</v>
      </c>
      <c r="G25" s="8" t="str">
        <f t="shared" si="0"/>
        <v>ARVIDSON DANIEL</v>
      </c>
    </row>
    <row r="26" spans="1:7" x14ac:dyDescent="0.25">
      <c r="A26" s="8">
        <v>42862.153668981482</v>
      </c>
      <c r="B26" s="20" t="s">
        <v>460</v>
      </c>
      <c r="C26" s="20" t="s">
        <v>600</v>
      </c>
      <c r="D26" s="141">
        <v>2010000</v>
      </c>
      <c r="E26" s="20" t="s">
        <v>469</v>
      </c>
      <c r="F26" s="20" t="s">
        <v>470</v>
      </c>
      <c r="G26" s="8" t="str">
        <f t="shared" si="0"/>
        <v>MAELZER KURT</v>
      </c>
    </row>
    <row r="27" spans="1:7" x14ac:dyDescent="0.25">
      <c r="A27" s="8">
        <v>42862.162777777776</v>
      </c>
      <c r="B27" s="20" t="s">
        <v>370</v>
      </c>
      <c r="C27" s="20" t="s">
        <v>604</v>
      </c>
      <c r="D27" s="141">
        <v>2550000</v>
      </c>
      <c r="E27" s="20" t="s">
        <v>422</v>
      </c>
      <c r="F27" s="20" t="s">
        <v>423</v>
      </c>
      <c r="G27" s="8" t="str">
        <f t="shared" si="0"/>
        <v>BADERTSCHER DIANE</v>
      </c>
    </row>
    <row r="28" spans="1:7" x14ac:dyDescent="0.25">
      <c r="A28" s="8">
        <v>42862.169131944444</v>
      </c>
      <c r="B28" s="20" t="s">
        <v>459</v>
      </c>
      <c r="C28" s="20" t="s">
        <v>605</v>
      </c>
      <c r="D28" s="141">
        <v>1360000</v>
      </c>
      <c r="E28" s="20" t="s">
        <v>475</v>
      </c>
      <c r="F28" s="20" t="s">
        <v>476</v>
      </c>
      <c r="G28" s="8" t="str">
        <f t="shared" si="0"/>
        <v>SANTIZO D. EDY</v>
      </c>
    </row>
    <row r="29" spans="1:7" x14ac:dyDescent="0.25">
      <c r="A29" s="8">
        <v>42862.175127314818</v>
      </c>
      <c r="B29" s="20" t="s">
        <v>438</v>
      </c>
      <c r="C29" s="20" t="s">
        <v>606</v>
      </c>
      <c r="D29" s="141">
        <v>2550000</v>
      </c>
      <c r="E29" s="20" t="s">
        <v>422</v>
      </c>
      <c r="F29" s="20" t="s">
        <v>423</v>
      </c>
      <c r="G29" s="8" t="str">
        <f t="shared" si="0"/>
        <v>BADERTSCHER DIANE</v>
      </c>
    </row>
    <row r="30" spans="1:7" x14ac:dyDescent="0.25">
      <c r="A30" s="8">
        <v>42862.175219907411</v>
      </c>
      <c r="B30" s="20" t="s">
        <v>420</v>
      </c>
      <c r="C30" s="20" t="s">
        <v>607</v>
      </c>
      <c r="D30" s="141">
        <v>1990000</v>
      </c>
      <c r="E30" s="20" t="s">
        <v>471</v>
      </c>
      <c r="F30" s="20" t="s">
        <v>472</v>
      </c>
      <c r="G30" s="8" t="str">
        <f t="shared" si="0"/>
        <v>DAVIS WENDY</v>
      </c>
    </row>
    <row r="31" spans="1:7" x14ac:dyDescent="0.25">
      <c r="A31" s="8">
        <v>42862.176354166666</v>
      </c>
      <c r="B31" s="20" t="s">
        <v>420</v>
      </c>
      <c r="C31" s="20" t="s">
        <v>607</v>
      </c>
      <c r="D31" s="141">
        <v>1990000</v>
      </c>
      <c r="E31" s="20" t="s">
        <v>471</v>
      </c>
      <c r="F31" s="20" t="s">
        <v>472</v>
      </c>
      <c r="G31" s="8" t="str">
        <f t="shared" si="0"/>
        <v>DAVIS WENDY</v>
      </c>
    </row>
    <row r="32" spans="1:7" x14ac:dyDescent="0.25">
      <c r="A32" s="8">
        <v>42862.180810185186</v>
      </c>
      <c r="B32" s="20" t="s">
        <v>584</v>
      </c>
      <c r="C32" s="20" t="s">
        <v>608</v>
      </c>
      <c r="D32" s="141">
        <v>2140000</v>
      </c>
      <c r="E32" s="20" t="s">
        <v>435</v>
      </c>
      <c r="F32" s="20" t="s">
        <v>436</v>
      </c>
      <c r="G32" s="8" t="str">
        <f t="shared" si="0"/>
        <v>ROBINSON KADDIBA</v>
      </c>
    </row>
    <row r="33" spans="1:7" x14ac:dyDescent="0.25">
      <c r="A33" s="8">
        <v>42862.181770833333</v>
      </c>
      <c r="B33" s="20" t="s">
        <v>584</v>
      </c>
      <c r="C33" s="20" t="s">
        <v>608</v>
      </c>
      <c r="D33" s="141">
        <v>2140000</v>
      </c>
      <c r="E33" s="20" t="s">
        <v>435</v>
      </c>
      <c r="F33" s="20" t="s">
        <v>436</v>
      </c>
      <c r="G33" s="8" t="str">
        <f t="shared" si="0"/>
        <v>ROBINSON KADDIBA</v>
      </c>
    </row>
    <row r="34" spans="1:7" x14ac:dyDescent="0.25">
      <c r="A34" s="8">
        <v>42862.185937499999</v>
      </c>
      <c r="B34" s="20" t="s">
        <v>426</v>
      </c>
      <c r="C34" s="20" t="s">
        <v>609</v>
      </c>
      <c r="D34" s="141">
        <v>1990000</v>
      </c>
      <c r="E34" s="20" t="s">
        <v>471</v>
      </c>
      <c r="F34" s="20" t="s">
        <v>472</v>
      </c>
      <c r="G34" s="8" t="str">
        <f t="shared" si="0"/>
        <v>DAVIS WENDY</v>
      </c>
    </row>
    <row r="35" spans="1:7" x14ac:dyDescent="0.25">
      <c r="A35" s="8">
        <v>42862.187118055554</v>
      </c>
      <c r="B35" s="20" t="s">
        <v>426</v>
      </c>
      <c r="C35" s="20" t="s">
        <v>609</v>
      </c>
      <c r="D35" s="141">
        <v>1990000</v>
      </c>
      <c r="E35" s="20" t="s">
        <v>471</v>
      </c>
      <c r="F35" s="20" t="s">
        <v>472</v>
      </c>
      <c r="G35" s="8" t="str">
        <f t="shared" si="0"/>
        <v>DAVIS WENDY</v>
      </c>
    </row>
    <row r="36" spans="1:7" x14ac:dyDescent="0.25">
      <c r="A36" s="8">
        <v>42862.193101851852</v>
      </c>
      <c r="B36" s="20" t="s">
        <v>437</v>
      </c>
      <c r="C36" s="20" t="s">
        <v>610</v>
      </c>
      <c r="D36" s="141">
        <v>2260000</v>
      </c>
      <c r="E36" s="20" t="s">
        <v>602</v>
      </c>
      <c r="F36" s="20" t="s">
        <v>603</v>
      </c>
      <c r="G36" s="8" t="str">
        <f t="shared" si="0"/>
        <v>ARVIDSON DANIEL</v>
      </c>
    </row>
    <row r="37" spans="1:7" x14ac:dyDescent="0.25">
      <c r="A37" s="8">
        <v>42862.19394675926</v>
      </c>
      <c r="B37" s="20" t="s">
        <v>611</v>
      </c>
      <c r="C37" s="20" t="s">
        <v>612</v>
      </c>
      <c r="D37" s="141">
        <v>2140000</v>
      </c>
      <c r="E37" s="20" t="s">
        <v>435</v>
      </c>
      <c r="F37" s="20" t="s">
        <v>436</v>
      </c>
      <c r="G37" s="8" t="str">
        <f t="shared" si="0"/>
        <v>ROBINSON KADDIBA</v>
      </c>
    </row>
    <row r="38" spans="1:7" x14ac:dyDescent="0.25">
      <c r="A38" s="8">
        <v>42862.194872685184</v>
      </c>
      <c r="B38" s="20" t="s">
        <v>611</v>
      </c>
      <c r="C38" s="20" t="s">
        <v>612</v>
      </c>
      <c r="D38" s="141">
        <v>2140000</v>
      </c>
      <c r="E38" s="20" t="s">
        <v>435</v>
      </c>
      <c r="F38" s="20" t="s">
        <v>436</v>
      </c>
      <c r="G38" s="8" t="str">
        <f t="shared" si="0"/>
        <v>ROBINSON KADDIBA</v>
      </c>
    </row>
    <row r="39" spans="1:7" x14ac:dyDescent="0.25">
      <c r="A39" s="8">
        <v>42862.195462962962</v>
      </c>
      <c r="B39" s="20" t="s">
        <v>611</v>
      </c>
      <c r="C39" s="20" t="s">
        <v>612</v>
      </c>
      <c r="D39" s="141">
        <v>2140000</v>
      </c>
      <c r="E39" s="20" t="s">
        <v>435</v>
      </c>
      <c r="F39" s="20" t="s">
        <v>436</v>
      </c>
      <c r="G39" s="8" t="str">
        <f t="shared" si="0"/>
        <v>ROBINSON KADDIBA</v>
      </c>
    </row>
    <row r="40" spans="1:7" x14ac:dyDescent="0.25">
      <c r="A40" s="8">
        <v>42862.204293981478</v>
      </c>
      <c r="B40" s="25" t="s">
        <v>348</v>
      </c>
      <c r="C40" s="20" t="s">
        <v>613</v>
      </c>
      <c r="D40" s="141">
        <v>1100000</v>
      </c>
      <c r="E40" s="20" t="s">
        <v>424</v>
      </c>
      <c r="F40" s="20" t="s">
        <v>425</v>
      </c>
      <c r="G40" s="8" t="str">
        <f t="shared" si="0"/>
        <v>GEBRETEKLE DAGNEW</v>
      </c>
    </row>
    <row r="41" spans="1:7" x14ac:dyDescent="0.25">
      <c r="A41" s="8">
        <v>42862.21199074074</v>
      </c>
      <c r="B41" s="20" t="s">
        <v>571</v>
      </c>
      <c r="C41" s="20" t="s">
        <v>614</v>
      </c>
      <c r="D41" s="141">
        <v>1360000</v>
      </c>
      <c r="E41" s="20" t="s">
        <v>475</v>
      </c>
      <c r="F41" s="20" t="s">
        <v>476</v>
      </c>
      <c r="G41" s="8" t="str">
        <f t="shared" si="0"/>
        <v>SANTIZO D. EDY</v>
      </c>
    </row>
    <row r="42" spans="1:7" x14ac:dyDescent="0.25">
      <c r="A42" s="8">
        <v>42862.212754629632</v>
      </c>
      <c r="B42" s="20" t="s">
        <v>370</v>
      </c>
      <c r="C42" s="20" t="s">
        <v>549</v>
      </c>
      <c r="D42" s="141">
        <v>2550000</v>
      </c>
      <c r="E42" s="20" t="s">
        <v>422</v>
      </c>
      <c r="F42" s="20" t="s">
        <v>423</v>
      </c>
      <c r="G42" s="8" t="str">
        <f t="shared" si="0"/>
        <v>BADERTSCHER DIANE</v>
      </c>
    </row>
    <row r="43" spans="1:7" x14ac:dyDescent="0.25">
      <c r="A43" s="8">
        <v>42862.214502314811</v>
      </c>
      <c r="B43" s="20" t="s">
        <v>477</v>
      </c>
      <c r="C43" s="20" t="s">
        <v>615</v>
      </c>
      <c r="D43" s="141">
        <v>2560000</v>
      </c>
      <c r="E43" s="20" t="s">
        <v>616</v>
      </c>
      <c r="F43" s="20" t="s">
        <v>617</v>
      </c>
      <c r="G43" s="8" t="str">
        <f t="shared" si="0"/>
        <v>MACDONALD THOMAS</v>
      </c>
    </row>
    <row r="44" spans="1:7" x14ac:dyDescent="0.25">
      <c r="A44" s="8">
        <v>42862.222939814812</v>
      </c>
      <c r="B44" s="20" t="s">
        <v>420</v>
      </c>
      <c r="C44" s="20" t="s">
        <v>618</v>
      </c>
      <c r="D44" s="141">
        <v>1990000</v>
      </c>
      <c r="E44" s="20" t="s">
        <v>471</v>
      </c>
      <c r="F44" s="20" t="s">
        <v>472</v>
      </c>
      <c r="G44" s="8" t="str">
        <f t="shared" si="0"/>
        <v>DAVIS WENDY</v>
      </c>
    </row>
    <row r="45" spans="1:7" x14ac:dyDescent="0.25">
      <c r="A45" s="8">
        <v>42862.225752314815</v>
      </c>
      <c r="B45" s="20" t="s">
        <v>468</v>
      </c>
      <c r="C45" s="20" t="s">
        <v>619</v>
      </c>
      <c r="D45" s="141">
        <v>2450000</v>
      </c>
      <c r="E45" s="20" t="s">
        <v>620</v>
      </c>
      <c r="F45" s="20" t="s">
        <v>621</v>
      </c>
      <c r="G45" s="8" t="str">
        <f t="shared" si="0"/>
        <v>NELSON ARIANE</v>
      </c>
    </row>
    <row r="46" spans="1:7" x14ac:dyDescent="0.25">
      <c r="A46" s="8">
        <v>42862.228958333333</v>
      </c>
      <c r="B46" s="20" t="s">
        <v>468</v>
      </c>
      <c r="C46" s="20" t="s">
        <v>619</v>
      </c>
      <c r="D46" s="141">
        <v>2450000</v>
      </c>
      <c r="E46" s="20" t="s">
        <v>620</v>
      </c>
      <c r="F46" s="20" t="s">
        <v>621</v>
      </c>
      <c r="G46" s="8" t="str">
        <f t="shared" si="0"/>
        <v>NELSON ARIANE</v>
      </c>
    </row>
    <row r="47" spans="1:7" x14ac:dyDescent="0.25">
      <c r="A47" s="8">
        <v>42862.229224537034</v>
      </c>
      <c r="B47" s="20" t="s">
        <v>584</v>
      </c>
      <c r="C47" s="20" t="s">
        <v>622</v>
      </c>
      <c r="D47" s="141">
        <v>2140000</v>
      </c>
      <c r="E47" s="20" t="s">
        <v>435</v>
      </c>
      <c r="F47" s="20" t="s">
        <v>436</v>
      </c>
      <c r="G47" s="8" t="str">
        <f t="shared" si="0"/>
        <v>ROBINSON KADDIBA</v>
      </c>
    </row>
    <row r="48" spans="1:7" x14ac:dyDescent="0.25">
      <c r="A48" s="8">
        <v>42862.231516203705</v>
      </c>
      <c r="B48" s="20" t="s">
        <v>433</v>
      </c>
      <c r="C48" s="20" t="s">
        <v>623</v>
      </c>
      <c r="D48" s="141">
        <v>2010000</v>
      </c>
      <c r="E48" s="20" t="s">
        <v>469</v>
      </c>
      <c r="F48" s="20" t="s">
        <v>470</v>
      </c>
      <c r="G48" s="8" t="str">
        <f t="shared" si="0"/>
        <v>MAELZER KURT</v>
      </c>
    </row>
    <row r="49" spans="1:7" x14ac:dyDescent="0.25">
      <c r="A49" s="8">
        <v>42862.240081018521</v>
      </c>
      <c r="B49" s="20" t="s">
        <v>349</v>
      </c>
      <c r="C49" s="20" t="s">
        <v>624</v>
      </c>
      <c r="D49" s="141">
        <v>1100000</v>
      </c>
      <c r="E49" s="20" t="s">
        <v>424</v>
      </c>
      <c r="F49" s="20" t="s">
        <v>425</v>
      </c>
      <c r="G49" s="8" t="str">
        <f t="shared" si="0"/>
        <v>GEBRETEKLE DAGNEW</v>
      </c>
    </row>
    <row r="50" spans="1:7" x14ac:dyDescent="0.25">
      <c r="A50" s="8">
        <v>42862.241412037038</v>
      </c>
      <c r="B50" s="20" t="s">
        <v>466</v>
      </c>
      <c r="C50" s="20" t="s">
        <v>625</v>
      </c>
      <c r="D50" s="141">
        <v>2450000</v>
      </c>
      <c r="E50" s="20" t="s">
        <v>620</v>
      </c>
      <c r="F50" s="20" t="s">
        <v>621</v>
      </c>
      <c r="G50" s="8" t="str">
        <f t="shared" si="0"/>
        <v>NELSON ARIANE</v>
      </c>
    </row>
    <row r="51" spans="1:7" x14ac:dyDescent="0.25">
      <c r="A51" s="8">
        <v>42862.246319444443</v>
      </c>
      <c r="B51" s="20" t="s">
        <v>554</v>
      </c>
      <c r="C51" s="20" t="s">
        <v>626</v>
      </c>
      <c r="D51" s="141">
        <v>1360000</v>
      </c>
      <c r="E51" s="20" t="s">
        <v>475</v>
      </c>
      <c r="F51" s="20" t="s">
        <v>476</v>
      </c>
      <c r="G51" s="8" t="str">
        <f t="shared" si="0"/>
        <v>SANTIZO D. EDY</v>
      </c>
    </row>
    <row r="52" spans="1:7" x14ac:dyDescent="0.25">
      <c r="A52" s="8">
        <v>42862.248310185183</v>
      </c>
      <c r="B52" s="20" t="s">
        <v>438</v>
      </c>
      <c r="C52" s="20" t="s">
        <v>550</v>
      </c>
      <c r="D52" s="141">
        <v>2550000</v>
      </c>
      <c r="E52" s="20" t="s">
        <v>422</v>
      </c>
      <c r="F52" s="20" t="s">
        <v>423</v>
      </c>
      <c r="G52" s="8" t="str">
        <f t="shared" si="0"/>
        <v>BADERTSCHER DIANE</v>
      </c>
    </row>
    <row r="53" spans="1:7" x14ac:dyDescent="0.25">
      <c r="A53" s="8">
        <v>42862.248819444445</v>
      </c>
      <c r="B53" s="20" t="s">
        <v>369</v>
      </c>
      <c r="C53" s="20" t="s">
        <v>627</v>
      </c>
      <c r="D53" s="141">
        <v>2370000</v>
      </c>
      <c r="E53" s="20" t="s">
        <v>473</v>
      </c>
      <c r="F53" s="20" t="s">
        <v>474</v>
      </c>
      <c r="G53" s="8" t="str">
        <f t="shared" si="0"/>
        <v>DELGADO DIANAH</v>
      </c>
    </row>
    <row r="54" spans="1:7" x14ac:dyDescent="0.25">
      <c r="A54" s="8">
        <v>42862.248981481483</v>
      </c>
      <c r="B54" s="20" t="s">
        <v>438</v>
      </c>
      <c r="C54" s="20" t="s">
        <v>550</v>
      </c>
      <c r="D54" s="141">
        <v>2550000</v>
      </c>
      <c r="E54" s="20" t="s">
        <v>422</v>
      </c>
      <c r="F54" s="20" t="s">
        <v>423</v>
      </c>
      <c r="G54" s="8" t="str">
        <f t="shared" si="0"/>
        <v>BADERTSCHER DIANE</v>
      </c>
    </row>
    <row r="55" spans="1:7" x14ac:dyDescent="0.25">
      <c r="A55" s="8">
        <v>42862.250208333331</v>
      </c>
      <c r="B55" s="20" t="s">
        <v>438</v>
      </c>
      <c r="C55" s="20" t="s">
        <v>550</v>
      </c>
      <c r="D55" s="141">
        <v>2550000</v>
      </c>
      <c r="E55" s="20" t="s">
        <v>422</v>
      </c>
      <c r="F55" s="20" t="s">
        <v>423</v>
      </c>
      <c r="G55" s="8" t="str">
        <f t="shared" si="0"/>
        <v>BADERTSCHER DIANE</v>
      </c>
    </row>
    <row r="56" spans="1:7" x14ac:dyDescent="0.25">
      <c r="A56" s="8">
        <v>42862.257939814815</v>
      </c>
      <c r="B56" s="20" t="s">
        <v>426</v>
      </c>
      <c r="C56" s="20" t="s">
        <v>628</v>
      </c>
      <c r="D56" s="141">
        <v>1990000</v>
      </c>
      <c r="E56" s="20" t="s">
        <v>471</v>
      </c>
      <c r="F56" s="20" t="s">
        <v>472</v>
      </c>
      <c r="G56" s="8" t="str">
        <f t="shared" si="0"/>
        <v>DAVIS WENDY</v>
      </c>
    </row>
    <row r="57" spans="1:7" x14ac:dyDescent="0.25">
      <c r="A57" s="8">
        <v>42862.258923611109</v>
      </c>
      <c r="B57" s="20" t="s">
        <v>370</v>
      </c>
      <c r="C57" s="20" t="s">
        <v>627</v>
      </c>
      <c r="D57" s="141">
        <v>2370000</v>
      </c>
      <c r="E57" s="20" t="s">
        <v>473</v>
      </c>
      <c r="F57" s="20" t="s">
        <v>474</v>
      </c>
      <c r="G57" s="8" t="str">
        <f t="shared" si="0"/>
        <v>DELGADO DIANAH</v>
      </c>
    </row>
    <row r="58" spans="1:7" x14ac:dyDescent="0.25">
      <c r="A58" s="8">
        <v>42862.263194444444</v>
      </c>
      <c r="B58" s="20" t="s">
        <v>468</v>
      </c>
      <c r="C58" s="20" t="s">
        <v>629</v>
      </c>
      <c r="D58" s="141">
        <v>2450000</v>
      </c>
      <c r="E58" s="20" t="s">
        <v>620</v>
      </c>
      <c r="F58" s="20" t="s">
        <v>621</v>
      </c>
      <c r="G58" s="8" t="str">
        <f t="shared" si="0"/>
        <v>NELSON ARIANE</v>
      </c>
    </row>
    <row r="59" spans="1:7" x14ac:dyDescent="0.25">
      <c r="A59" s="8">
        <v>42862.266064814816</v>
      </c>
      <c r="B59" s="20" t="s">
        <v>459</v>
      </c>
      <c r="C59" s="20" t="s">
        <v>630</v>
      </c>
      <c r="D59" s="141">
        <v>2560000</v>
      </c>
      <c r="E59" s="20" t="s">
        <v>616</v>
      </c>
      <c r="F59" s="20" t="s">
        <v>617</v>
      </c>
      <c r="G59" s="8" t="str">
        <f t="shared" si="0"/>
        <v>MACDONALD THOMAS</v>
      </c>
    </row>
    <row r="60" spans="1:7" x14ac:dyDescent="0.25">
      <c r="A60" s="8">
        <v>42862.269305555557</v>
      </c>
      <c r="B60" s="20" t="s">
        <v>611</v>
      </c>
      <c r="C60" s="20" t="s">
        <v>631</v>
      </c>
      <c r="D60" s="141">
        <v>2140000</v>
      </c>
      <c r="E60" s="20" t="s">
        <v>435</v>
      </c>
      <c r="F60" s="20" t="s">
        <v>436</v>
      </c>
      <c r="G60" s="8" t="str">
        <f t="shared" si="0"/>
        <v>ROBINSON KADDIBA</v>
      </c>
    </row>
    <row r="61" spans="1:7" x14ac:dyDescent="0.25">
      <c r="A61" s="8">
        <v>42862.273692129631</v>
      </c>
      <c r="B61" s="20" t="s">
        <v>437</v>
      </c>
      <c r="C61" s="20" t="s">
        <v>632</v>
      </c>
      <c r="D61" s="141">
        <v>2010000</v>
      </c>
      <c r="E61" s="20" t="s">
        <v>469</v>
      </c>
      <c r="F61" s="20" t="s">
        <v>470</v>
      </c>
      <c r="G61" s="8" t="str">
        <f t="shared" si="0"/>
        <v>MAELZER KURT</v>
      </c>
    </row>
    <row r="62" spans="1:7" x14ac:dyDescent="0.25">
      <c r="A62" s="8">
        <v>42862.277118055557</v>
      </c>
      <c r="B62" s="20" t="s">
        <v>348</v>
      </c>
      <c r="C62" s="20" t="s">
        <v>633</v>
      </c>
      <c r="D62" s="141">
        <v>1100000</v>
      </c>
      <c r="E62" s="20" t="s">
        <v>424</v>
      </c>
      <c r="F62" s="20" t="s">
        <v>425</v>
      </c>
      <c r="G62" s="8" t="str">
        <f t="shared" si="0"/>
        <v>GEBRETEKLE DAGNEW</v>
      </c>
    </row>
    <row r="63" spans="1:7" x14ac:dyDescent="0.25">
      <c r="A63" s="8">
        <v>42862.277719907404</v>
      </c>
      <c r="B63" s="20" t="s">
        <v>466</v>
      </c>
      <c r="C63" s="20" t="s">
        <v>551</v>
      </c>
      <c r="D63" s="141">
        <v>2450000</v>
      </c>
      <c r="E63" s="20" t="s">
        <v>620</v>
      </c>
      <c r="F63" s="20" t="s">
        <v>621</v>
      </c>
      <c r="G63" s="8" t="str">
        <f t="shared" si="0"/>
        <v>NELSON ARIANE</v>
      </c>
    </row>
    <row r="64" spans="1:7" x14ac:dyDescent="0.25">
      <c r="A64" s="26">
        <v>42862.281284722223</v>
      </c>
      <c r="B64" s="20" t="s">
        <v>434</v>
      </c>
      <c r="C64" s="20" t="s">
        <v>634</v>
      </c>
      <c r="D64" s="141">
        <v>2550000</v>
      </c>
      <c r="E64" s="20" t="s">
        <v>422</v>
      </c>
      <c r="F64" s="20" t="s">
        <v>423</v>
      </c>
      <c r="G64" s="8" t="str">
        <f t="shared" si="0"/>
        <v>BADERTSCHER DIANE</v>
      </c>
    </row>
    <row r="65" spans="1:7" x14ac:dyDescent="0.25">
      <c r="A65" s="8">
        <v>42862.282071759262</v>
      </c>
      <c r="B65" s="20" t="s">
        <v>466</v>
      </c>
      <c r="C65" s="20" t="s">
        <v>551</v>
      </c>
      <c r="D65" s="141">
        <v>2450000</v>
      </c>
      <c r="E65" s="20" t="s">
        <v>620</v>
      </c>
      <c r="F65" s="20" t="s">
        <v>621</v>
      </c>
      <c r="G65" s="8" t="str">
        <f t="shared" si="0"/>
        <v>NELSON ARIANE</v>
      </c>
    </row>
    <row r="66" spans="1:7" x14ac:dyDescent="0.25">
      <c r="A66" s="8">
        <v>42862.288101851853</v>
      </c>
      <c r="B66" s="20" t="s">
        <v>571</v>
      </c>
      <c r="C66" s="20" t="s">
        <v>635</v>
      </c>
      <c r="D66" s="141">
        <v>1360000</v>
      </c>
      <c r="E66" s="20" t="s">
        <v>475</v>
      </c>
      <c r="F66" s="20" t="s">
        <v>476</v>
      </c>
      <c r="G66" s="8" t="str">
        <f t="shared" si="0"/>
        <v>SANTIZO D. EDY</v>
      </c>
    </row>
    <row r="67" spans="1:7" x14ac:dyDescent="0.25">
      <c r="A67" s="8">
        <v>42862.295636574076</v>
      </c>
      <c r="B67" s="20" t="s">
        <v>420</v>
      </c>
      <c r="C67" s="20" t="s">
        <v>636</v>
      </c>
      <c r="D67" s="141">
        <v>1990000</v>
      </c>
      <c r="E67" s="20" t="s">
        <v>471</v>
      </c>
      <c r="F67" s="20" t="s">
        <v>472</v>
      </c>
      <c r="G67" s="8" t="str">
        <f t="shared" ref="G67:G130" si="1">E67&amp;" "&amp;F67</f>
        <v>DAVIS WENDY</v>
      </c>
    </row>
    <row r="68" spans="1:7" x14ac:dyDescent="0.25">
      <c r="A68" s="8">
        <v>42862.298460648148</v>
      </c>
      <c r="B68" s="20" t="s">
        <v>477</v>
      </c>
      <c r="C68" s="20" t="s">
        <v>552</v>
      </c>
      <c r="D68" s="141">
        <v>2560000</v>
      </c>
      <c r="E68" s="20" t="s">
        <v>616</v>
      </c>
      <c r="F68" s="20" t="s">
        <v>617</v>
      </c>
      <c r="G68" s="8" t="str">
        <f t="shared" si="1"/>
        <v>MACDONALD THOMAS</v>
      </c>
    </row>
    <row r="69" spans="1:7" x14ac:dyDescent="0.25">
      <c r="A69" s="8">
        <v>42862.304768518516</v>
      </c>
      <c r="B69" s="20" t="s">
        <v>468</v>
      </c>
      <c r="C69" s="20" t="s">
        <v>637</v>
      </c>
      <c r="D69" s="141">
        <v>2450000</v>
      </c>
      <c r="E69" s="20" t="s">
        <v>620</v>
      </c>
      <c r="F69" s="20" t="s">
        <v>621</v>
      </c>
      <c r="G69" s="8" t="str">
        <f t="shared" si="1"/>
        <v>NELSON ARIANE</v>
      </c>
    </row>
    <row r="70" spans="1:7" x14ac:dyDescent="0.25">
      <c r="A70" s="8">
        <v>42862.305162037039</v>
      </c>
      <c r="B70" s="20" t="s">
        <v>584</v>
      </c>
      <c r="C70" s="20" t="s">
        <v>638</v>
      </c>
      <c r="D70" s="141">
        <v>2140000</v>
      </c>
      <c r="E70" s="20" t="s">
        <v>435</v>
      </c>
      <c r="F70" s="20" t="s">
        <v>436</v>
      </c>
      <c r="G70" s="8" t="str">
        <f t="shared" si="1"/>
        <v>ROBINSON KADDIBA</v>
      </c>
    </row>
    <row r="71" spans="1:7" x14ac:dyDescent="0.25">
      <c r="A71" s="8">
        <v>42862.309305555558</v>
      </c>
      <c r="B71" s="20" t="s">
        <v>433</v>
      </c>
      <c r="C71" s="20" t="s">
        <v>639</v>
      </c>
      <c r="D71" s="141">
        <v>2010000</v>
      </c>
      <c r="E71" s="20" t="s">
        <v>469</v>
      </c>
      <c r="F71" s="20" t="s">
        <v>470</v>
      </c>
      <c r="G71" s="8" t="str">
        <f t="shared" si="1"/>
        <v>MAELZER KURT</v>
      </c>
    </row>
    <row r="72" spans="1:7" x14ac:dyDescent="0.25">
      <c r="A72" s="8">
        <v>42862.317025462966</v>
      </c>
      <c r="B72" s="20" t="s">
        <v>349</v>
      </c>
      <c r="C72" s="20" t="s">
        <v>640</v>
      </c>
      <c r="D72" s="141">
        <v>1100000</v>
      </c>
      <c r="E72" s="20" t="s">
        <v>424</v>
      </c>
      <c r="F72" s="20" t="s">
        <v>425</v>
      </c>
      <c r="G72" s="8" t="str">
        <f t="shared" si="1"/>
        <v>GEBRETEKLE DAGNEW</v>
      </c>
    </row>
    <row r="73" spans="1:7" x14ac:dyDescent="0.25">
      <c r="A73" s="8">
        <v>42862.318194444444</v>
      </c>
      <c r="B73" s="20" t="s">
        <v>554</v>
      </c>
      <c r="C73" s="20" t="s">
        <v>555</v>
      </c>
      <c r="D73" s="141">
        <v>1360000</v>
      </c>
      <c r="E73" s="20" t="s">
        <v>475</v>
      </c>
      <c r="F73" s="20" t="s">
        <v>476</v>
      </c>
      <c r="G73" s="8" t="str">
        <f t="shared" si="1"/>
        <v>SANTIZO D. EDY</v>
      </c>
    </row>
    <row r="74" spans="1:7" x14ac:dyDescent="0.25">
      <c r="A74" s="8">
        <v>42862.318287037036</v>
      </c>
      <c r="B74" s="20" t="s">
        <v>466</v>
      </c>
      <c r="C74" s="20" t="s">
        <v>553</v>
      </c>
      <c r="D74" s="141">
        <v>2450000</v>
      </c>
      <c r="E74" s="20" t="s">
        <v>620</v>
      </c>
      <c r="F74" s="20" t="s">
        <v>621</v>
      </c>
      <c r="G74" s="8" t="str">
        <f t="shared" si="1"/>
        <v>NELSON ARIANE</v>
      </c>
    </row>
    <row r="75" spans="1:7" x14ac:dyDescent="0.25">
      <c r="A75" s="8">
        <v>42862.320763888885</v>
      </c>
      <c r="B75" s="20" t="s">
        <v>438</v>
      </c>
      <c r="C75" s="20" t="s">
        <v>641</v>
      </c>
      <c r="D75" s="141">
        <v>2550000</v>
      </c>
      <c r="E75" s="20" t="s">
        <v>422</v>
      </c>
      <c r="F75" s="20" t="s">
        <v>423</v>
      </c>
      <c r="G75" s="8" t="str">
        <f t="shared" si="1"/>
        <v>BADERTSCHER DIANE</v>
      </c>
    </row>
    <row r="76" spans="1:7" x14ac:dyDescent="0.25">
      <c r="A76" s="8">
        <v>42862.330567129633</v>
      </c>
      <c r="B76" s="20" t="s">
        <v>426</v>
      </c>
      <c r="C76" s="20" t="s">
        <v>642</v>
      </c>
      <c r="D76" s="141">
        <v>1990000</v>
      </c>
      <c r="E76" s="20" t="s">
        <v>471</v>
      </c>
      <c r="F76" s="20" t="s">
        <v>472</v>
      </c>
      <c r="G76" s="8" t="str">
        <f t="shared" si="1"/>
        <v>DAVIS WENDY</v>
      </c>
    </row>
    <row r="77" spans="1:7" x14ac:dyDescent="0.25">
      <c r="A77" s="8">
        <v>42862.33803240741</v>
      </c>
      <c r="B77" s="20" t="s">
        <v>459</v>
      </c>
      <c r="C77" s="20" t="s">
        <v>643</v>
      </c>
      <c r="D77" s="141">
        <v>2560000</v>
      </c>
      <c r="E77" s="20" t="s">
        <v>616</v>
      </c>
      <c r="F77" s="20" t="s">
        <v>617</v>
      </c>
      <c r="G77" s="8" t="str">
        <f t="shared" si="1"/>
        <v>MACDONALD THOMAS</v>
      </c>
    </row>
    <row r="78" spans="1:7" x14ac:dyDescent="0.25">
      <c r="A78" s="8">
        <v>42862.339317129627</v>
      </c>
      <c r="B78" s="20" t="s">
        <v>611</v>
      </c>
      <c r="C78" s="20" t="s">
        <v>644</v>
      </c>
      <c r="D78" s="141">
        <v>2140000</v>
      </c>
      <c r="E78" s="20" t="s">
        <v>435</v>
      </c>
      <c r="F78" s="20" t="s">
        <v>436</v>
      </c>
      <c r="G78" s="8" t="str">
        <f t="shared" si="1"/>
        <v>ROBINSON KADDIBA</v>
      </c>
    </row>
    <row r="79" spans="1:7" x14ac:dyDescent="0.25">
      <c r="A79" s="8">
        <v>42862.345625000002</v>
      </c>
      <c r="B79" s="20" t="s">
        <v>437</v>
      </c>
      <c r="C79" s="20" t="s">
        <v>645</v>
      </c>
      <c r="D79" s="141">
        <v>2010000</v>
      </c>
      <c r="E79" s="20" t="s">
        <v>469</v>
      </c>
      <c r="F79" s="20" t="s">
        <v>470</v>
      </c>
      <c r="G79" s="8" t="str">
        <f t="shared" si="1"/>
        <v>MAELZER KURT</v>
      </c>
    </row>
    <row r="80" spans="1:7" x14ac:dyDescent="0.25">
      <c r="A80" s="8">
        <v>42862.347025462965</v>
      </c>
      <c r="B80" s="20" t="s">
        <v>468</v>
      </c>
      <c r="C80" s="20" t="s">
        <v>646</v>
      </c>
      <c r="D80" s="141">
        <v>2450000</v>
      </c>
      <c r="E80" s="20" t="s">
        <v>620</v>
      </c>
      <c r="F80" s="20" t="s">
        <v>621</v>
      </c>
      <c r="G80" s="8" t="str">
        <f t="shared" si="1"/>
        <v>NELSON ARIANE</v>
      </c>
    </row>
    <row r="81" spans="1:7" x14ac:dyDescent="0.25">
      <c r="A81" s="8">
        <v>42862.349641203706</v>
      </c>
      <c r="B81" s="20" t="s">
        <v>348</v>
      </c>
      <c r="C81" s="20" t="s">
        <v>647</v>
      </c>
      <c r="D81" s="141">
        <v>1100000</v>
      </c>
      <c r="E81" s="20" t="s">
        <v>424</v>
      </c>
      <c r="F81" s="20" t="s">
        <v>425</v>
      </c>
      <c r="G81" s="8" t="str">
        <f t="shared" si="1"/>
        <v>GEBRETEKLE DAGNEW</v>
      </c>
    </row>
    <row r="82" spans="1:7" x14ac:dyDescent="0.25">
      <c r="A82" s="8">
        <v>42862.357372685183</v>
      </c>
      <c r="B82" s="20" t="s">
        <v>434</v>
      </c>
      <c r="C82" s="20" t="s">
        <v>648</v>
      </c>
      <c r="D82" s="141">
        <v>2550000</v>
      </c>
      <c r="E82" s="20" t="s">
        <v>422</v>
      </c>
      <c r="F82" s="20" t="s">
        <v>423</v>
      </c>
      <c r="G82" s="8" t="str">
        <f t="shared" si="1"/>
        <v>BADERTSCHER DIANE</v>
      </c>
    </row>
    <row r="83" spans="1:7" x14ac:dyDescent="0.25">
      <c r="A83" s="8">
        <v>42862.359409722223</v>
      </c>
      <c r="B83" s="20" t="s">
        <v>571</v>
      </c>
      <c r="C83" s="20" t="s">
        <v>649</v>
      </c>
      <c r="D83" s="141">
        <v>1360000</v>
      </c>
      <c r="E83" s="20" t="s">
        <v>475</v>
      </c>
      <c r="F83" s="20" t="s">
        <v>476</v>
      </c>
      <c r="G83" s="8" t="str">
        <f t="shared" si="1"/>
        <v>SANTIZO D. EDY</v>
      </c>
    </row>
    <row r="84" spans="1:7" x14ac:dyDescent="0.25">
      <c r="A84" s="8">
        <v>42862.360081018516</v>
      </c>
      <c r="B84" s="20" t="s">
        <v>466</v>
      </c>
      <c r="C84" s="20" t="s">
        <v>650</v>
      </c>
      <c r="D84" s="141">
        <v>2450000</v>
      </c>
      <c r="E84" s="20" t="s">
        <v>620</v>
      </c>
      <c r="F84" s="20" t="s">
        <v>621</v>
      </c>
      <c r="G84" s="8" t="str">
        <f t="shared" si="1"/>
        <v>NELSON ARIANE</v>
      </c>
    </row>
    <row r="85" spans="1:7" x14ac:dyDescent="0.25">
      <c r="A85" s="8">
        <v>42862.369675925926</v>
      </c>
      <c r="B85" s="20" t="s">
        <v>477</v>
      </c>
      <c r="C85" s="20" t="s">
        <v>651</v>
      </c>
      <c r="D85" s="141">
        <v>2560000</v>
      </c>
      <c r="E85" s="20" t="s">
        <v>616</v>
      </c>
      <c r="F85" s="20" t="s">
        <v>617</v>
      </c>
      <c r="G85" s="8" t="str">
        <f t="shared" si="1"/>
        <v>MACDONALD THOMAS</v>
      </c>
    </row>
    <row r="86" spans="1:7" x14ac:dyDescent="0.25">
      <c r="A86" s="8">
        <v>42862.371562499997</v>
      </c>
      <c r="B86" s="20" t="s">
        <v>420</v>
      </c>
      <c r="C86" s="20" t="s">
        <v>652</v>
      </c>
      <c r="D86" s="141">
        <v>1990000</v>
      </c>
      <c r="E86" s="20" t="s">
        <v>471</v>
      </c>
      <c r="F86" s="20" t="s">
        <v>472</v>
      </c>
      <c r="G86" s="8" t="str">
        <f t="shared" si="1"/>
        <v>DAVIS WENDY</v>
      </c>
    </row>
    <row r="87" spans="1:7" x14ac:dyDescent="0.25">
      <c r="A87" s="8">
        <v>42862.374930555554</v>
      </c>
      <c r="B87" s="20" t="s">
        <v>584</v>
      </c>
      <c r="C87" s="20" t="s">
        <v>653</v>
      </c>
      <c r="D87" s="141">
        <v>2140000</v>
      </c>
      <c r="E87" s="20" t="s">
        <v>435</v>
      </c>
      <c r="F87" s="20" t="s">
        <v>436</v>
      </c>
      <c r="G87" s="8" t="str">
        <f t="shared" si="1"/>
        <v>ROBINSON KADDIBA</v>
      </c>
    </row>
    <row r="88" spans="1:7" x14ac:dyDescent="0.25">
      <c r="A88" s="8">
        <v>42862.383032407408</v>
      </c>
      <c r="B88" s="20" t="s">
        <v>433</v>
      </c>
      <c r="C88" s="20" t="s">
        <v>654</v>
      </c>
      <c r="D88" s="141">
        <v>2010000</v>
      </c>
      <c r="E88" s="20" t="s">
        <v>469</v>
      </c>
      <c r="F88" s="20" t="s">
        <v>470</v>
      </c>
      <c r="G88" s="8" t="str">
        <f t="shared" si="1"/>
        <v>MAELZER KURT</v>
      </c>
    </row>
    <row r="89" spans="1:7" x14ac:dyDescent="0.25">
      <c r="A89" s="8">
        <v>42862.388379629629</v>
      </c>
      <c r="B89" s="20" t="s">
        <v>468</v>
      </c>
      <c r="C89" s="20" t="s">
        <v>655</v>
      </c>
      <c r="D89" s="141">
        <v>2450000</v>
      </c>
      <c r="E89" s="20" t="s">
        <v>620</v>
      </c>
      <c r="F89" s="20" t="s">
        <v>621</v>
      </c>
      <c r="G89" s="8" t="str">
        <f t="shared" si="1"/>
        <v>NELSON ARIANE</v>
      </c>
    </row>
    <row r="90" spans="1:7" x14ac:dyDescent="0.25">
      <c r="A90" s="8">
        <v>42862.389490740738</v>
      </c>
      <c r="B90" s="20" t="s">
        <v>349</v>
      </c>
      <c r="C90" s="20" t="s">
        <v>656</v>
      </c>
      <c r="D90" s="141">
        <v>1100000</v>
      </c>
      <c r="E90" s="20" t="s">
        <v>424</v>
      </c>
      <c r="F90" s="20" t="s">
        <v>425</v>
      </c>
      <c r="G90" s="8" t="str">
        <f t="shared" si="1"/>
        <v>GEBRETEKLE DAGNEW</v>
      </c>
    </row>
    <row r="91" spans="1:7" x14ac:dyDescent="0.25">
      <c r="A91" s="8">
        <v>42862.390925925924</v>
      </c>
      <c r="B91" s="20" t="s">
        <v>554</v>
      </c>
      <c r="C91" s="20" t="s">
        <v>657</v>
      </c>
      <c r="D91" s="141">
        <v>1360000</v>
      </c>
      <c r="E91" s="20" t="s">
        <v>475</v>
      </c>
      <c r="F91" s="20" t="s">
        <v>476</v>
      </c>
      <c r="G91" s="8" t="str">
        <f t="shared" si="1"/>
        <v>SANTIZO D. EDY</v>
      </c>
    </row>
    <row r="92" spans="1:7" x14ac:dyDescent="0.25">
      <c r="A92" s="8">
        <v>42862.392858796295</v>
      </c>
      <c r="B92" s="20" t="s">
        <v>438</v>
      </c>
      <c r="C92" s="20" t="s">
        <v>658</v>
      </c>
      <c r="D92" s="141">
        <v>2550000</v>
      </c>
      <c r="E92" s="20" t="s">
        <v>422</v>
      </c>
      <c r="F92" s="20" t="s">
        <v>423</v>
      </c>
      <c r="G92" s="8" t="str">
        <f t="shared" si="1"/>
        <v>BADERTSCHER DIANE</v>
      </c>
    </row>
    <row r="93" spans="1:7" x14ac:dyDescent="0.25">
      <c r="A93" s="8">
        <v>42862.402083333334</v>
      </c>
      <c r="B93" s="20" t="s">
        <v>466</v>
      </c>
      <c r="C93" s="20" t="s">
        <v>659</v>
      </c>
      <c r="D93" s="141">
        <v>2450000</v>
      </c>
      <c r="E93" s="20" t="s">
        <v>620</v>
      </c>
      <c r="F93" s="20" t="s">
        <v>621</v>
      </c>
      <c r="G93" s="8" t="str">
        <f t="shared" si="1"/>
        <v>NELSON ARIANE</v>
      </c>
    </row>
    <row r="94" spans="1:7" x14ac:dyDescent="0.25">
      <c r="A94" s="8">
        <v>42862.403657407405</v>
      </c>
      <c r="B94" s="20" t="s">
        <v>426</v>
      </c>
      <c r="C94" s="20" t="s">
        <v>556</v>
      </c>
      <c r="D94" s="141">
        <v>1990000</v>
      </c>
      <c r="E94" s="20" t="s">
        <v>471</v>
      </c>
      <c r="F94" s="20" t="s">
        <v>472</v>
      </c>
      <c r="G94" s="8" t="str">
        <f t="shared" si="1"/>
        <v>DAVIS WENDY</v>
      </c>
    </row>
    <row r="95" spans="1:7" x14ac:dyDescent="0.25">
      <c r="A95" s="8">
        <v>42862.411122685182</v>
      </c>
      <c r="B95" s="20" t="s">
        <v>459</v>
      </c>
      <c r="C95" s="20" t="s">
        <v>557</v>
      </c>
      <c r="D95" s="141">
        <v>2560000</v>
      </c>
      <c r="E95" s="20" t="s">
        <v>616</v>
      </c>
      <c r="F95" s="20" t="s">
        <v>617</v>
      </c>
      <c r="G95" s="8" t="str">
        <f t="shared" si="1"/>
        <v>MACDONALD THOMAS</v>
      </c>
    </row>
    <row r="96" spans="1:7" x14ac:dyDescent="0.25">
      <c r="A96" s="8">
        <v>42862.411249999997</v>
      </c>
      <c r="B96" s="20" t="s">
        <v>426</v>
      </c>
      <c r="C96" s="20" t="s">
        <v>556</v>
      </c>
      <c r="D96" s="141">
        <v>1990000</v>
      </c>
      <c r="E96" s="20" t="s">
        <v>471</v>
      </c>
      <c r="F96" s="20" t="s">
        <v>472</v>
      </c>
      <c r="G96" s="8" t="str">
        <f t="shared" si="1"/>
        <v>DAVIS WENDY</v>
      </c>
    </row>
    <row r="97" spans="1:7" x14ac:dyDescent="0.25">
      <c r="A97" s="8">
        <v>42862.412037037036</v>
      </c>
      <c r="B97" s="20" t="s">
        <v>611</v>
      </c>
      <c r="C97" s="20" t="s">
        <v>660</v>
      </c>
      <c r="D97" s="141">
        <v>2140000</v>
      </c>
      <c r="E97" s="20" t="s">
        <v>435</v>
      </c>
      <c r="F97" s="20" t="s">
        <v>436</v>
      </c>
      <c r="G97" s="8" t="str">
        <f t="shared" si="1"/>
        <v>ROBINSON KADDIBA</v>
      </c>
    </row>
    <row r="98" spans="1:7" x14ac:dyDescent="0.25">
      <c r="A98" s="8">
        <v>42862.416956018518</v>
      </c>
      <c r="B98" s="20" t="s">
        <v>437</v>
      </c>
      <c r="C98" s="20" t="s">
        <v>661</v>
      </c>
      <c r="D98" s="141">
        <v>2010000</v>
      </c>
      <c r="E98" s="20" t="s">
        <v>469</v>
      </c>
      <c r="F98" s="20" t="s">
        <v>470</v>
      </c>
      <c r="G98" s="8" t="str">
        <f t="shared" si="1"/>
        <v>MAELZER KURT</v>
      </c>
    </row>
    <row r="99" spans="1:7" x14ac:dyDescent="0.25">
      <c r="A99" s="8">
        <v>42862.422685185185</v>
      </c>
      <c r="B99" s="20" t="s">
        <v>348</v>
      </c>
      <c r="C99" s="20" t="s">
        <v>662</v>
      </c>
      <c r="D99" s="141">
        <v>1100000</v>
      </c>
      <c r="E99" s="20" t="s">
        <v>424</v>
      </c>
      <c r="F99" s="20" t="s">
        <v>425</v>
      </c>
      <c r="G99" s="8" t="str">
        <f t="shared" si="1"/>
        <v>GEBRETEKLE DAGNEW</v>
      </c>
    </row>
    <row r="100" spans="1:7" x14ac:dyDescent="0.25">
      <c r="A100" s="8">
        <v>42862.43005787037</v>
      </c>
      <c r="B100" s="20" t="s">
        <v>468</v>
      </c>
      <c r="C100" s="20" t="s">
        <v>663</v>
      </c>
      <c r="D100" s="141">
        <v>2450000</v>
      </c>
      <c r="E100" s="20" t="s">
        <v>620</v>
      </c>
      <c r="F100" s="20" t="s">
        <v>621</v>
      </c>
      <c r="G100" s="8" t="str">
        <f t="shared" si="1"/>
        <v>NELSON ARIANE</v>
      </c>
    </row>
    <row r="101" spans="1:7" x14ac:dyDescent="0.25">
      <c r="A101" s="8">
        <v>42862.430717592593</v>
      </c>
      <c r="B101" s="20" t="s">
        <v>434</v>
      </c>
      <c r="C101" s="20" t="s">
        <v>664</v>
      </c>
      <c r="D101" s="141">
        <v>2550000</v>
      </c>
      <c r="E101" s="20" t="s">
        <v>422</v>
      </c>
      <c r="F101" s="20" t="s">
        <v>423</v>
      </c>
      <c r="G101" s="8" t="str">
        <f t="shared" si="1"/>
        <v>BADERTSCHER DIANE</v>
      </c>
    </row>
    <row r="102" spans="1:7" x14ac:dyDescent="0.25">
      <c r="A102" s="8">
        <v>42862.433599537035</v>
      </c>
      <c r="B102" s="20" t="s">
        <v>571</v>
      </c>
      <c r="C102" s="20" t="s">
        <v>665</v>
      </c>
      <c r="D102" s="141">
        <v>2470000</v>
      </c>
      <c r="E102" s="20" t="s">
        <v>478</v>
      </c>
      <c r="F102" s="20" t="s">
        <v>479</v>
      </c>
      <c r="G102" s="8" t="str">
        <f t="shared" si="1"/>
        <v>ROMERO CHAD</v>
      </c>
    </row>
    <row r="103" spans="1:7" x14ac:dyDescent="0.25">
      <c r="A103" s="8">
        <v>42862.443159722221</v>
      </c>
      <c r="B103" s="20" t="s">
        <v>466</v>
      </c>
      <c r="C103" s="20" t="s">
        <v>558</v>
      </c>
      <c r="D103" s="141">
        <v>2450000</v>
      </c>
      <c r="E103" s="20" t="s">
        <v>620</v>
      </c>
      <c r="F103" s="20" t="s">
        <v>621</v>
      </c>
      <c r="G103" s="8" t="str">
        <f t="shared" si="1"/>
        <v>NELSON ARIANE</v>
      </c>
    </row>
    <row r="104" spans="1:7" x14ac:dyDescent="0.25">
      <c r="A104" s="8">
        <v>42862.443749999999</v>
      </c>
      <c r="B104" s="20" t="s">
        <v>420</v>
      </c>
      <c r="C104" s="20" t="s">
        <v>666</v>
      </c>
      <c r="D104" s="141">
        <v>1990000</v>
      </c>
      <c r="E104" s="20" t="s">
        <v>471</v>
      </c>
      <c r="F104" s="20" t="s">
        <v>472</v>
      </c>
      <c r="G104" s="8" t="str">
        <f t="shared" si="1"/>
        <v>DAVIS WENDY</v>
      </c>
    </row>
    <row r="105" spans="1:7" x14ac:dyDescent="0.25">
      <c r="A105" s="8">
        <v>42862.446631944447</v>
      </c>
      <c r="B105" s="20" t="s">
        <v>477</v>
      </c>
      <c r="C105" s="20" t="s">
        <v>667</v>
      </c>
      <c r="D105" s="141">
        <v>2560000</v>
      </c>
      <c r="E105" s="20" t="s">
        <v>616</v>
      </c>
      <c r="F105" s="20" t="s">
        <v>617</v>
      </c>
      <c r="G105" s="8" t="str">
        <f t="shared" si="1"/>
        <v>MACDONALD THOMAS</v>
      </c>
    </row>
    <row r="106" spans="1:7" x14ac:dyDescent="0.25">
      <c r="A106" s="8">
        <v>42862.453865740739</v>
      </c>
      <c r="B106" s="20" t="s">
        <v>584</v>
      </c>
      <c r="C106" s="20" t="s">
        <v>668</v>
      </c>
      <c r="D106" s="141">
        <v>2140000</v>
      </c>
      <c r="E106" s="20" t="s">
        <v>435</v>
      </c>
      <c r="F106" s="20" t="s">
        <v>436</v>
      </c>
      <c r="G106" s="8" t="str">
        <f t="shared" si="1"/>
        <v>ROBINSON KADDIBA</v>
      </c>
    </row>
    <row r="107" spans="1:7" x14ac:dyDescent="0.25">
      <c r="A107" s="8">
        <v>42862.454675925925</v>
      </c>
      <c r="B107" s="20" t="s">
        <v>433</v>
      </c>
      <c r="C107" s="20" t="s">
        <v>669</v>
      </c>
      <c r="D107" s="141">
        <v>880000</v>
      </c>
      <c r="E107" s="20" t="s">
        <v>482</v>
      </c>
      <c r="F107" s="20" t="s">
        <v>196</v>
      </c>
      <c r="G107" s="8" t="str">
        <f t="shared" si="1"/>
        <v>STEWART MICHAEL</v>
      </c>
    </row>
    <row r="108" spans="1:7" x14ac:dyDescent="0.25">
      <c r="A108" s="8">
        <v>42862.458495370367</v>
      </c>
      <c r="B108" s="20" t="s">
        <v>559</v>
      </c>
      <c r="C108" s="20" t="s">
        <v>560</v>
      </c>
      <c r="D108" s="141">
        <v>2630000</v>
      </c>
      <c r="E108" s="20" t="s">
        <v>487</v>
      </c>
      <c r="F108" s="20" t="s">
        <v>488</v>
      </c>
      <c r="G108" s="8" t="str">
        <f t="shared" si="1"/>
        <v>SAFIEF AEIMEN</v>
      </c>
    </row>
    <row r="109" spans="1:7" x14ac:dyDescent="0.25">
      <c r="A109" s="8">
        <v>42862.462951388887</v>
      </c>
      <c r="B109" s="20" t="s">
        <v>349</v>
      </c>
      <c r="C109" s="20" t="s">
        <v>670</v>
      </c>
      <c r="D109" s="141">
        <v>1100000</v>
      </c>
      <c r="E109" s="20" t="s">
        <v>424</v>
      </c>
      <c r="F109" s="20" t="s">
        <v>425</v>
      </c>
      <c r="G109" s="8" t="str">
        <f t="shared" si="1"/>
        <v>GEBRETEKLE DAGNEW</v>
      </c>
    </row>
    <row r="110" spans="1:7" x14ac:dyDescent="0.25">
      <c r="A110" s="8">
        <v>42862.464143518519</v>
      </c>
      <c r="B110" s="20" t="s">
        <v>554</v>
      </c>
      <c r="C110" s="20" t="s">
        <v>671</v>
      </c>
      <c r="D110" s="141">
        <v>2470000</v>
      </c>
      <c r="E110" s="20" t="s">
        <v>478</v>
      </c>
      <c r="F110" s="20" t="s">
        <v>479</v>
      </c>
      <c r="G110" s="8" t="str">
        <f t="shared" si="1"/>
        <v>ROMERO CHAD</v>
      </c>
    </row>
    <row r="111" spans="1:7" x14ac:dyDescent="0.25">
      <c r="A111" s="8">
        <v>42862.46670138889</v>
      </c>
      <c r="B111" s="20" t="s">
        <v>438</v>
      </c>
      <c r="C111" s="20" t="s">
        <v>672</v>
      </c>
      <c r="D111" s="141">
        <v>920000</v>
      </c>
      <c r="E111" s="20" t="s">
        <v>471</v>
      </c>
      <c r="F111" s="20" t="s">
        <v>196</v>
      </c>
      <c r="G111" s="8" t="str">
        <f t="shared" si="1"/>
        <v>DAVIS MICHAEL</v>
      </c>
    </row>
    <row r="112" spans="1:7" x14ac:dyDescent="0.25">
      <c r="A112" s="8">
        <v>42862.471562500003</v>
      </c>
      <c r="B112" s="20" t="s">
        <v>468</v>
      </c>
      <c r="C112" s="20" t="s">
        <v>561</v>
      </c>
      <c r="D112" s="141">
        <v>2450000</v>
      </c>
      <c r="E112" s="20" t="s">
        <v>620</v>
      </c>
      <c r="F112" s="20" t="s">
        <v>621</v>
      </c>
      <c r="G112" s="8" t="str">
        <f t="shared" si="1"/>
        <v>NELSON ARIANE</v>
      </c>
    </row>
    <row r="113" spans="1:7" x14ac:dyDescent="0.25">
      <c r="A113" s="8">
        <v>42862.478495370371</v>
      </c>
      <c r="B113" s="20" t="s">
        <v>426</v>
      </c>
      <c r="C113" s="20" t="s">
        <v>673</v>
      </c>
      <c r="D113" s="141">
        <v>1300000</v>
      </c>
      <c r="E113" s="20" t="s">
        <v>483</v>
      </c>
      <c r="F113" s="20" t="s">
        <v>484</v>
      </c>
      <c r="G113" s="8" t="str">
        <f t="shared" si="1"/>
        <v>LEVIN SCOTT</v>
      </c>
    </row>
    <row r="114" spans="1:7" x14ac:dyDescent="0.25">
      <c r="A114" s="8">
        <v>42862.485254629632</v>
      </c>
      <c r="B114" s="20" t="s">
        <v>459</v>
      </c>
      <c r="C114" s="20" t="s">
        <v>674</v>
      </c>
      <c r="D114" s="141">
        <v>2560000</v>
      </c>
      <c r="E114" s="20" t="s">
        <v>616</v>
      </c>
      <c r="F114" s="20" t="s">
        <v>617</v>
      </c>
      <c r="G114" s="8" t="str">
        <f t="shared" si="1"/>
        <v>MACDONALD THOMAS</v>
      </c>
    </row>
    <row r="115" spans="1:7" x14ac:dyDescent="0.25">
      <c r="A115" s="8">
        <v>42862.486273148148</v>
      </c>
      <c r="B115" s="20" t="s">
        <v>466</v>
      </c>
      <c r="C115" s="20" t="s">
        <v>675</v>
      </c>
      <c r="D115" s="141">
        <v>2450000</v>
      </c>
      <c r="E115" s="20" t="s">
        <v>620</v>
      </c>
      <c r="F115" s="20" t="s">
        <v>621</v>
      </c>
      <c r="G115" s="8" t="str">
        <f t="shared" si="1"/>
        <v>NELSON ARIANE</v>
      </c>
    </row>
    <row r="116" spans="1:7" x14ac:dyDescent="0.25">
      <c r="A116" s="8">
        <v>42862.48678240741</v>
      </c>
      <c r="B116" s="20" t="s">
        <v>611</v>
      </c>
      <c r="C116" s="20" t="s">
        <v>676</v>
      </c>
      <c r="D116" s="141">
        <v>2630000</v>
      </c>
      <c r="E116" s="20" t="s">
        <v>487</v>
      </c>
      <c r="F116" s="20" t="s">
        <v>488</v>
      </c>
      <c r="G116" s="8" t="str">
        <f t="shared" si="1"/>
        <v>SAFIEF AEIMEN</v>
      </c>
    </row>
    <row r="117" spans="1:7" x14ac:dyDescent="0.25">
      <c r="A117" s="8">
        <v>42862.486956018518</v>
      </c>
      <c r="B117" s="20" t="s">
        <v>351</v>
      </c>
      <c r="C117" s="20" t="s">
        <v>562</v>
      </c>
      <c r="D117" s="141">
        <v>1990000</v>
      </c>
      <c r="E117" s="20" t="s">
        <v>471</v>
      </c>
      <c r="F117" s="20" t="s">
        <v>472</v>
      </c>
      <c r="G117" s="8" t="str">
        <f t="shared" si="1"/>
        <v>DAVIS WENDY</v>
      </c>
    </row>
    <row r="118" spans="1:7" x14ac:dyDescent="0.25">
      <c r="A118" s="8">
        <v>42862.495011574072</v>
      </c>
      <c r="B118" s="20" t="s">
        <v>437</v>
      </c>
      <c r="C118" s="20" t="s">
        <v>677</v>
      </c>
      <c r="D118" s="141">
        <v>880000</v>
      </c>
      <c r="E118" s="20" t="s">
        <v>482</v>
      </c>
      <c r="F118" s="20" t="s">
        <v>196</v>
      </c>
      <c r="G118" s="8" t="str">
        <f t="shared" si="1"/>
        <v>STEWART MICHAEL</v>
      </c>
    </row>
    <row r="119" spans="1:7" x14ac:dyDescent="0.25">
      <c r="A119" s="8">
        <v>42862.496631944443</v>
      </c>
      <c r="B119" s="20" t="s">
        <v>348</v>
      </c>
      <c r="C119" s="20" t="s">
        <v>678</v>
      </c>
      <c r="D119" s="141">
        <v>2530000</v>
      </c>
      <c r="E119" s="20" t="s">
        <v>679</v>
      </c>
      <c r="F119" s="20" t="s">
        <v>680</v>
      </c>
      <c r="G119" s="8" t="str">
        <f t="shared" si="1"/>
        <v>LALONDE GREGORY</v>
      </c>
    </row>
    <row r="120" spans="1:7" x14ac:dyDescent="0.25">
      <c r="A120" s="8">
        <v>42862.505381944444</v>
      </c>
      <c r="B120" s="20" t="s">
        <v>571</v>
      </c>
      <c r="C120" s="20" t="s">
        <v>681</v>
      </c>
      <c r="D120" s="141">
        <v>2470000</v>
      </c>
      <c r="E120" s="20" t="s">
        <v>478</v>
      </c>
      <c r="F120" s="20" t="s">
        <v>479</v>
      </c>
      <c r="G120" s="8" t="str">
        <f t="shared" si="1"/>
        <v>ROMERO CHAD</v>
      </c>
    </row>
    <row r="121" spans="1:7" x14ac:dyDescent="0.25">
      <c r="A121" s="8">
        <v>42862.506493055553</v>
      </c>
      <c r="B121" s="20" t="s">
        <v>434</v>
      </c>
      <c r="C121" s="20" t="s">
        <v>682</v>
      </c>
      <c r="D121" s="141">
        <v>920000</v>
      </c>
      <c r="E121" s="20" t="s">
        <v>471</v>
      </c>
      <c r="F121" s="20" t="s">
        <v>196</v>
      </c>
      <c r="G121" s="8" t="str">
        <f t="shared" si="1"/>
        <v>DAVIS MICHAEL</v>
      </c>
    </row>
    <row r="122" spans="1:7" x14ac:dyDescent="0.25">
      <c r="A122" s="8">
        <v>42862.513425925928</v>
      </c>
      <c r="B122" s="25" t="s">
        <v>468</v>
      </c>
      <c r="C122" s="20" t="s">
        <v>683</v>
      </c>
      <c r="D122" s="141">
        <v>2450000</v>
      </c>
      <c r="E122" s="20" t="s">
        <v>620</v>
      </c>
      <c r="F122" s="20" t="s">
        <v>621</v>
      </c>
      <c r="G122" s="8" t="str">
        <f t="shared" si="1"/>
        <v>NELSON ARIANE</v>
      </c>
    </row>
    <row r="123" spans="1:7" x14ac:dyDescent="0.25">
      <c r="A123" s="8">
        <v>42862.5155787037</v>
      </c>
      <c r="B123" s="20" t="s">
        <v>420</v>
      </c>
      <c r="C123" s="20" t="s">
        <v>684</v>
      </c>
      <c r="D123" s="141">
        <v>1300000</v>
      </c>
      <c r="E123" s="20" t="s">
        <v>483</v>
      </c>
      <c r="F123" s="20" t="s">
        <v>484</v>
      </c>
      <c r="G123" s="8" t="str">
        <f t="shared" si="1"/>
        <v>LEVIN SCOTT</v>
      </c>
    </row>
    <row r="124" spans="1:7" x14ac:dyDescent="0.25">
      <c r="A124" s="8">
        <v>42862.518530092595</v>
      </c>
      <c r="B124" s="20" t="s">
        <v>477</v>
      </c>
      <c r="C124" s="20" t="s">
        <v>566</v>
      </c>
      <c r="D124" s="141">
        <v>2360000</v>
      </c>
      <c r="E124" s="20" t="s">
        <v>439</v>
      </c>
      <c r="F124" s="20" t="s">
        <v>440</v>
      </c>
      <c r="G124" s="8" t="str">
        <f t="shared" si="1"/>
        <v>BRANDNER MELINDA</v>
      </c>
    </row>
    <row r="125" spans="1:7" x14ac:dyDescent="0.25">
      <c r="A125" s="8">
        <v>42862.519502314812</v>
      </c>
      <c r="B125" s="20" t="s">
        <v>584</v>
      </c>
      <c r="C125" s="20" t="s">
        <v>685</v>
      </c>
      <c r="D125" s="141">
        <v>2630000</v>
      </c>
      <c r="E125" s="20" t="s">
        <v>487</v>
      </c>
      <c r="F125" s="20" t="s">
        <v>488</v>
      </c>
      <c r="G125" s="8" t="str">
        <f t="shared" si="1"/>
        <v>SAFIEF AEIMEN</v>
      </c>
    </row>
    <row r="126" spans="1:7" x14ac:dyDescent="0.25">
      <c r="A126" s="8">
        <v>42862.528101851851</v>
      </c>
      <c r="B126" s="20" t="s">
        <v>466</v>
      </c>
      <c r="C126" s="20" t="s">
        <v>565</v>
      </c>
      <c r="D126" s="141">
        <v>2450000</v>
      </c>
      <c r="E126" s="20" t="s">
        <v>620</v>
      </c>
      <c r="F126" s="20" t="s">
        <v>621</v>
      </c>
      <c r="G126" s="8" t="str">
        <f t="shared" si="1"/>
        <v>NELSON ARIANE</v>
      </c>
    </row>
    <row r="127" spans="1:7" x14ac:dyDescent="0.25">
      <c r="A127" s="8">
        <v>42862.528703703705</v>
      </c>
      <c r="B127" s="20" t="s">
        <v>433</v>
      </c>
      <c r="C127" s="20" t="s">
        <v>686</v>
      </c>
      <c r="D127" s="141">
        <v>880000</v>
      </c>
      <c r="E127" s="20" t="s">
        <v>482</v>
      </c>
      <c r="F127" s="20" t="s">
        <v>196</v>
      </c>
      <c r="G127" s="8" t="str">
        <f t="shared" si="1"/>
        <v>STEWART MICHAEL</v>
      </c>
    </row>
    <row r="128" spans="1:7" x14ac:dyDescent="0.25">
      <c r="A128" s="8">
        <v>42862.529317129629</v>
      </c>
      <c r="B128" s="20" t="s">
        <v>349</v>
      </c>
      <c r="C128" s="20" t="s">
        <v>687</v>
      </c>
      <c r="D128" s="141">
        <v>2530000</v>
      </c>
      <c r="E128" s="20" t="s">
        <v>679</v>
      </c>
      <c r="F128" s="20" t="s">
        <v>680</v>
      </c>
      <c r="G128" s="8" t="str">
        <f t="shared" si="1"/>
        <v>LALONDE GREGORY</v>
      </c>
    </row>
    <row r="129" spans="1:7" x14ac:dyDescent="0.25">
      <c r="A129" s="8">
        <v>42862.536874999998</v>
      </c>
      <c r="B129" s="20" t="s">
        <v>554</v>
      </c>
      <c r="C129" s="20" t="s">
        <v>567</v>
      </c>
      <c r="D129" s="141">
        <v>2470000</v>
      </c>
      <c r="E129" s="20" t="s">
        <v>478</v>
      </c>
      <c r="F129" s="20" t="s">
        <v>479</v>
      </c>
      <c r="G129" s="8" t="str">
        <f t="shared" si="1"/>
        <v>ROMERO CHAD</v>
      </c>
    </row>
    <row r="130" spans="1:7" x14ac:dyDescent="0.25">
      <c r="A130" s="8">
        <v>42862.538715277777</v>
      </c>
      <c r="B130" s="20" t="s">
        <v>438</v>
      </c>
      <c r="C130" s="20" t="s">
        <v>688</v>
      </c>
      <c r="D130" s="141">
        <v>920000</v>
      </c>
      <c r="E130" s="20" t="s">
        <v>471</v>
      </c>
      <c r="F130" s="20" t="s">
        <v>196</v>
      </c>
      <c r="G130" s="8" t="str">
        <f t="shared" si="1"/>
        <v>DAVIS MICHAEL</v>
      </c>
    </row>
    <row r="131" spans="1:7" x14ac:dyDescent="0.25">
      <c r="A131" s="8">
        <v>42862.548437500001</v>
      </c>
      <c r="B131" s="20" t="s">
        <v>426</v>
      </c>
      <c r="C131" s="20" t="s">
        <v>689</v>
      </c>
      <c r="D131" s="141">
        <v>1300000</v>
      </c>
      <c r="E131" s="20" t="s">
        <v>483</v>
      </c>
      <c r="F131" s="20" t="s">
        <v>484</v>
      </c>
      <c r="G131" s="8" t="str">
        <f t="shared" ref="G131:G194" si="2">E131&amp;" "&amp;F131</f>
        <v>LEVIN SCOTT</v>
      </c>
    </row>
    <row r="132" spans="1:7" x14ac:dyDescent="0.25">
      <c r="A132" s="8">
        <v>42862.555115740739</v>
      </c>
      <c r="B132" s="20" t="s">
        <v>468</v>
      </c>
      <c r="C132" s="20" t="s">
        <v>568</v>
      </c>
      <c r="D132" s="141">
        <v>2450000</v>
      </c>
      <c r="E132" s="20" t="s">
        <v>620</v>
      </c>
      <c r="F132" s="20" t="s">
        <v>621</v>
      </c>
      <c r="G132" s="8" t="str">
        <f t="shared" si="2"/>
        <v>NELSON ARIANE</v>
      </c>
    </row>
    <row r="133" spans="1:7" x14ac:dyDescent="0.25">
      <c r="A133" s="8">
        <v>42862.555636574078</v>
      </c>
      <c r="B133" s="20" t="s">
        <v>459</v>
      </c>
      <c r="C133" s="20" t="s">
        <v>570</v>
      </c>
      <c r="D133" s="141">
        <v>2360000</v>
      </c>
      <c r="E133" s="20" t="s">
        <v>439</v>
      </c>
      <c r="F133" s="20" t="s">
        <v>440</v>
      </c>
      <c r="G133" s="8" t="str">
        <f t="shared" si="2"/>
        <v>BRANDNER MELINDA</v>
      </c>
    </row>
    <row r="134" spans="1:7" x14ac:dyDescent="0.25">
      <c r="A134" s="8">
        <v>42862.559201388889</v>
      </c>
      <c r="B134" s="20" t="s">
        <v>611</v>
      </c>
      <c r="C134" s="20" t="s">
        <v>690</v>
      </c>
      <c r="D134" s="141">
        <v>2630000</v>
      </c>
      <c r="E134" s="20" t="s">
        <v>487</v>
      </c>
      <c r="F134" s="20" t="s">
        <v>488</v>
      </c>
      <c r="G134" s="8" t="str">
        <f t="shared" si="2"/>
        <v>SAFIEF AEIMEN</v>
      </c>
    </row>
    <row r="135" spans="1:7" x14ac:dyDescent="0.25">
      <c r="A135" s="8">
        <v>42862.568425925929</v>
      </c>
      <c r="B135" s="20" t="s">
        <v>437</v>
      </c>
      <c r="C135" s="20" t="s">
        <v>691</v>
      </c>
      <c r="D135" s="141">
        <v>880000</v>
      </c>
      <c r="E135" s="20" t="s">
        <v>482</v>
      </c>
      <c r="F135" s="20" t="s">
        <v>196</v>
      </c>
      <c r="G135" s="8" t="str">
        <f t="shared" si="2"/>
        <v>STEWART MICHAEL</v>
      </c>
    </row>
    <row r="136" spans="1:7" x14ac:dyDescent="0.25">
      <c r="A136" s="8">
        <v>42862.569398148145</v>
      </c>
      <c r="B136" s="20" t="s">
        <v>466</v>
      </c>
      <c r="C136" s="20" t="s">
        <v>569</v>
      </c>
      <c r="D136" s="141">
        <v>2450000</v>
      </c>
      <c r="E136" s="20" t="s">
        <v>620</v>
      </c>
      <c r="F136" s="20" t="s">
        <v>621</v>
      </c>
      <c r="G136" s="8" t="str">
        <f t="shared" si="2"/>
        <v>NELSON ARIANE</v>
      </c>
    </row>
    <row r="137" spans="1:7" x14ac:dyDescent="0.25">
      <c r="A137" s="8">
        <v>42862.569444444445</v>
      </c>
      <c r="B137" s="20" t="s">
        <v>348</v>
      </c>
      <c r="C137" s="20" t="s">
        <v>692</v>
      </c>
      <c r="D137" s="141">
        <v>2530000</v>
      </c>
      <c r="E137" s="20" t="s">
        <v>679</v>
      </c>
      <c r="F137" s="20" t="s">
        <v>680</v>
      </c>
      <c r="G137" s="8" t="str">
        <f t="shared" si="2"/>
        <v>LALONDE GREGORY</v>
      </c>
    </row>
    <row r="138" spans="1:7" x14ac:dyDescent="0.25">
      <c r="A138" s="8">
        <v>42862.5784375</v>
      </c>
      <c r="B138" s="20" t="s">
        <v>434</v>
      </c>
      <c r="C138" s="20" t="s">
        <v>693</v>
      </c>
      <c r="D138" s="141">
        <v>920000</v>
      </c>
      <c r="E138" s="20" t="s">
        <v>471</v>
      </c>
      <c r="F138" s="20" t="s">
        <v>196</v>
      </c>
      <c r="G138" s="8" t="str">
        <f t="shared" si="2"/>
        <v>DAVIS MICHAEL</v>
      </c>
    </row>
    <row r="139" spans="1:7" x14ac:dyDescent="0.25">
      <c r="A139" s="8">
        <v>42862.579768518517</v>
      </c>
      <c r="B139" s="20" t="s">
        <v>571</v>
      </c>
      <c r="C139" s="20" t="s">
        <v>572</v>
      </c>
      <c r="D139" s="141">
        <v>2470000</v>
      </c>
      <c r="E139" s="20" t="s">
        <v>478</v>
      </c>
      <c r="F139" s="20" t="s">
        <v>479</v>
      </c>
      <c r="G139" s="8" t="str">
        <f t="shared" si="2"/>
        <v>ROMERO CHAD</v>
      </c>
    </row>
    <row r="140" spans="1:7" x14ac:dyDescent="0.25">
      <c r="A140" s="8">
        <v>42862.589166666665</v>
      </c>
      <c r="B140" s="20" t="s">
        <v>420</v>
      </c>
      <c r="C140" s="20" t="s">
        <v>573</v>
      </c>
      <c r="D140" s="141">
        <v>1300000</v>
      </c>
      <c r="E140" s="20" t="s">
        <v>483</v>
      </c>
      <c r="F140" s="20" t="s">
        <v>484</v>
      </c>
      <c r="G140" s="8" t="str">
        <f t="shared" si="2"/>
        <v>LEVIN SCOTT</v>
      </c>
    </row>
    <row r="141" spans="1:7" x14ac:dyDescent="0.25">
      <c r="A141" s="8">
        <v>42862.590115740742</v>
      </c>
      <c r="B141" s="20" t="s">
        <v>584</v>
      </c>
      <c r="C141" s="20" t="s">
        <v>694</v>
      </c>
      <c r="D141" s="141">
        <v>2630000</v>
      </c>
      <c r="E141" s="20" t="s">
        <v>487</v>
      </c>
      <c r="F141" s="20" t="s">
        <v>488</v>
      </c>
      <c r="G141" s="8" t="str">
        <f t="shared" si="2"/>
        <v>SAFIEF AEIMEN</v>
      </c>
    </row>
    <row r="142" spans="1:7" x14ac:dyDescent="0.25">
      <c r="A142" s="8">
        <v>42862.591307870367</v>
      </c>
      <c r="B142" s="20" t="s">
        <v>477</v>
      </c>
      <c r="C142" s="20" t="s">
        <v>695</v>
      </c>
      <c r="D142" s="141">
        <v>2360000</v>
      </c>
      <c r="E142" s="20" t="s">
        <v>439</v>
      </c>
      <c r="F142" s="20" t="s">
        <v>440</v>
      </c>
      <c r="G142" s="8" t="str">
        <f t="shared" si="2"/>
        <v>BRANDNER MELINDA</v>
      </c>
    </row>
    <row r="143" spans="1:7" x14ac:dyDescent="0.25">
      <c r="A143" s="8">
        <v>42862.597326388888</v>
      </c>
      <c r="B143" s="20" t="s">
        <v>468</v>
      </c>
      <c r="C143" s="20" t="s">
        <v>696</v>
      </c>
      <c r="D143" s="141">
        <v>1540000</v>
      </c>
      <c r="E143" s="20" t="s">
        <v>485</v>
      </c>
      <c r="F143" s="20" t="s">
        <v>486</v>
      </c>
      <c r="G143" s="8" t="str">
        <f t="shared" si="2"/>
        <v>HELVIE ADAM</v>
      </c>
    </row>
    <row r="144" spans="1:7" x14ac:dyDescent="0.25">
      <c r="A144" s="8">
        <v>42862.602175925924</v>
      </c>
      <c r="B144" s="20" t="s">
        <v>433</v>
      </c>
      <c r="C144" s="20" t="s">
        <v>697</v>
      </c>
      <c r="D144" s="141">
        <v>880000</v>
      </c>
      <c r="E144" s="20" t="s">
        <v>482</v>
      </c>
      <c r="F144" s="20" t="s">
        <v>196</v>
      </c>
      <c r="G144" s="8" t="str">
        <f t="shared" si="2"/>
        <v>STEWART MICHAEL</v>
      </c>
    </row>
    <row r="145" spans="1:7" x14ac:dyDescent="0.25">
      <c r="A145" s="8">
        <v>42862.605150462965</v>
      </c>
      <c r="B145" s="20" t="s">
        <v>349</v>
      </c>
      <c r="C145" s="20" t="s">
        <v>698</v>
      </c>
      <c r="D145" s="141">
        <v>2530000</v>
      </c>
      <c r="E145" s="20" t="s">
        <v>679</v>
      </c>
      <c r="F145" s="20" t="s">
        <v>680</v>
      </c>
      <c r="G145" s="8" t="str">
        <f t="shared" si="2"/>
        <v>LALONDE GREGORY</v>
      </c>
    </row>
    <row r="146" spans="1:7" x14ac:dyDescent="0.25">
      <c r="A146" s="8">
        <v>42862.610509259262</v>
      </c>
      <c r="B146" s="20" t="s">
        <v>466</v>
      </c>
      <c r="C146" s="20" t="s">
        <v>699</v>
      </c>
      <c r="D146" s="141">
        <v>1540000</v>
      </c>
      <c r="E146" s="20" t="s">
        <v>485</v>
      </c>
      <c r="F146" s="20" t="s">
        <v>486</v>
      </c>
      <c r="G146" s="8" t="str">
        <f t="shared" si="2"/>
        <v>HELVIE ADAM</v>
      </c>
    </row>
    <row r="147" spans="1:7" x14ac:dyDescent="0.25">
      <c r="A147" s="8">
        <v>42862.611122685186</v>
      </c>
      <c r="B147" s="20" t="s">
        <v>554</v>
      </c>
      <c r="C147" s="20" t="s">
        <v>700</v>
      </c>
      <c r="D147" s="141">
        <v>2470000</v>
      </c>
      <c r="E147" s="20" t="s">
        <v>478</v>
      </c>
      <c r="F147" s="20" t="s">
        <v>479</v>
      </c>
      <c r="G147" s="8" t="str">
        <f t="shared" si="2"/>
        <v>ROMERO CHAD</v>
      </c>
    </row>
    <row r="148" spans="1:7" x14ac:dyDescent="0.25">
      <c r="A148" s="8">
        <v>42862.613275462965</v>
      </c>
      <c r="B148" s="20" t="s">
        <v>438</v>
      </c>
      <c r="C148" s="20" t="s">
        <v>701</v>
      </c>
      <c r="D148" s="141">
        <v>920000</v>
      </c>
      <c r="E148" s="20" t="s">
        <v>471</v>
      </c>
      <c r="F148" s="20" t="s">
        <v>196</v>
      </c>
      <c r="G148" s="8" t="str">
        <f t="shared" si="2"/>
        <v>DAVIS MICHAEL</v>
      </c>
    </row>
    <row r="149" spans="1:7" x14ac:dyDescent="0.25">
      <c r="A149" s="8">
        <v>42862.621724537035</v>
      </c>
      <c r="B149" s="20" t="s">
        <v>426</v>
      </c>
      <c r="C149" s="20" t="s">
        <v>702</v>
      </c>
      <c r="D149" s="141">
        <v>1300000</v>
      </c>
      <c r="E149" s="20" t="s">
        <v>483</v>
      </c>
      <c r="F149" s="20" t="s">
        <v>484</v>
      </c>
      <c r="G149" s="8" t="str">
        <f t="shared" si="2"/>
        <v>LEVIN SCOTT</v>
      </c>
    </row>
    <row r="150" spans="1:7" x14ac:dyDescent="0.25">
      <c r="A150" s="8">
        <v>42862.630347222221</v>
      </c>
      <c r="B150" s="20" t="s">
        <v>459</v>
      </c>
      <c r="C150" s="20" t="s">
        <v>703</v>
      </c>
      <c r="D150" s="141">
        <v>2360000</v>
      </c>
      <c r="E150" s="20" t="s">
        <v>439</v>
      </c>
      <c r="F150" s="20" t="s">
        <v>440</v>
      </c>
      <c r="G150" s="8" t="str">
        <f t="shared" si="2"/>
        <v>BRANDNER MELINDA</v>
      </c>
    </row>
    <row r="151" spans="1:7" x14ac:dyDescent="0.25">
      <c r="A151" s="8">
        <v>42862.632337962961</v>
      </c>
      <c r="B151" s="20" t="s">
        <v>611</v>
      </c>
      <c r="C151" s="20" t="s">
        <v>704</v>
      </c>
      <c r="D151" s="141">
        <v>2630000</v>
      </c>
      <c r="E151" s="20" t="s">
        <v>487</v>
      </c>
      <c r="F151" s="20" t="s">
        <v>488</v>
      </c>
      <c r="G151" s="8" t="str">
        <f t="shared" si="2"/>
        <v>SAFIEF AEIMEN</v>
      </c>
    </row>
    <row r="152" spans="1:7" x14ac:dyDescent="0.25">
      <c r="A152" s="8">
        <v>42862.637870370374</v>
      </c>
      <c r="B152" s="20" t="s">
        <v>369</v>
      </c>
      <c r="C152" s="20" t="s">
        <v>705</v>
      </c>
      <c r="D152" s="141">
        <v>2600000</v>
      </c>
      <c r="E152" s="20" t="s">
        <v>706</v>
      </c>
      <c r="F152" s="20" t="s">
        <v>707</v>
      </c>
      <c r="G152" s="8" t="str">
        <f t="shared" si="2"/>
        <v>DAVIDSON DAVID</v>
      </c>
    </row>
    <row r="153" spans="1:7" x14ac:dyDescent="0.25">
      <c r="A153" s="8">
        <v>42862.63795138889</v>
      </c>
      <c r="B153" s="20" t="s">
        <v>468</v>
      </c>
      <c r="C153" s="20" t="s">
        <v>708</v>
      </c>
      <c r="D153" s="141">
        <v>1540000</v>
      </c>
      <c r="E153" s="20" t="s">
        <v>485</v>
      </c>
      <c r="F153" s="20" t="s">
        <v>486</v>
      </c>
      <c r="G153" s="8" t="str">
        <f t="shared" si="2"/>
        <v>HELVIE ADAM</v>
      </c>
    </row>
    <row r="154" spans="1:7" x14ac:dyDescent="0.25">
      <c r="A154" s="8">
        <v>42862.640532407408</v>
      </c>
      <c r="B154" s="20" t="s">
        <v>437</v>
      </c>
      <c r="C154" s="20" t="s">
        <v>709</v>
      </c>
      <c r="D154" s="141">
        <v>880000</v>
      </c>
      <c r="E154" s="20" t="s">
        <v>482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42862.640613425923</v>
      </c>
      <c r="B155" s="20" t="s">
        <v>348</v>
      </c>
      <c r="C155" s="20" t="s">
        <v>710</v>
      </c>
      <c r="D155" s="141">
        <v>2530000</v>
      </c>
      <c r="E155" s="20" t="s">
        <v>679</v>
      </c>
      <c r="F155" s="20" t="s">
        <v>680</v>
      </c>
      <c r="G155" s="8" t="str">
        <f t="shared" si="2"/>
        <v>LALONDE GREGORY</v>
      </c>
    </row>
    <row r="156" spans="1:7" x14ac:dyDescent="0.25">
      <c r="A156" s="8">
        <v>42862.650833333333</v>
      </c>
      <c r="B156" s="20" t="s">
        <v>370</v>
      </c>
      <c r="C156" s="20" t="s">
        <v>705</v>
      </c>
      <c r="D156" s="141">
        <v>2600000</v>
      </c>
      <c r="E156" s="20" t="s">
        <v>706</v>
      </c>
      <c r="F156" s="20" t="s">
        <v>707</v>
      </c>
      <c r="G156" s="8" t="str">
        <f t="shared" si="2"/>
        <v>DAVIDSON DAVID</v>
      </c>
    </row>
    <row r="157" spans="1:7" x14ac:dyDescent="0.25">
      <c r="A157" s="8">
        <v>42862.650879629633</v>
      </c>
      <c r="B157" s="20" t="s">
        <v>434</v>
      </c>
      <c r="C157" s="20" t="s">
        <v>711</v>
      </c>
      <c r="D157" s="141">
        <v>920000</v>
      </c>
      <c r="E157" s="20" t="s">
        <v>471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42862.65221064815</v>
      </c>
      <c r="B158" s="20" t="s">
        <v>466</v>
      </c>
      <c r="C158" s="20" t="s">
        <v>574</v>
      </c>
      <c r="D158" s="141">
        <v>1540000</v>
      </c>
      <c r="E158" s="20" t="s">
        <v>485</v>
      </c>
      <c r="F158" s="20" t="s">
        <v>486</v>
      </c>
      <c r="G158" s="8" t="str">
        <f t="shared" si="2"/>
        <v>HELVIE ADAM</v>
      </c>
    </row>
    <row r="159" spans="1:7" x14ac:dyDescent="0.25">
      <c r="A159" s="8">
        <v>42862.652407407404</v>
      </c>
      <c r="B159" s="20" t="s">
        <v>571</v>
      </c>
      <c r="C159" s="20" t="s">
        <v>712</v>
      </c>
      <c r="D159" s="141">
        <v>2470000</v>
      </c>
      <c r="E159" s="20" t="s">
        <v>478</v>
      </c>
      <c r="F159" s="20" t="s">
        <v>479</v>
      </c>
      <c r="G159" s="8" t="str">
        <f t="shared" si="2"/>
        <v>ROMERO CHAD</v>
      </c>
    </row>
    <row r="160" spans="1:7" x14ac:dyDescent="0.25">
      <c r="A160" s="8">
        <v>42862.661307870374</v>
      </c>
      <c r="B160" s="20" t="s">
        <v>420</v>
      </c>
      <c r="C160" s="20" t="s">
        <v>575</v>
      </c>
      <c r="D160" s="141">
        <v>1300000</v>
      </c>
      <c r="E160" s="20" t="s">
        <v>483</v>
      </c>
      <c r="F160" s="20" t="s">
        <v>484</v>
      </c>
      <c r="G160" s="8" t="str">
        <f t="shared" si="2"/>
        <v>LEVIN SCOTT</v>
      </c>
    </row>
    <row r="161" spans="1:7" x14ac:dyDescent="0.25">
      <c r="A161" s="8">
        <v>42862.663680555554</v>
      </c>
      <c r="B161" s="20" t="s">
        <v>437</v>
      </c>
      <c r="C161" s="20" t="s">
        <v>709</v>
      </c>
      <c r="D161" s="141">
        <v>880000</v>
      </c>
      <c r="E161" s="20" t="s">
        <v>482</v>
      </c>
      <c r="F161" s="20" t="s">
        <v>196</v>
      </c>
      <c r="G161" s="8" t="str">
        <f t="shared" si="2"/>
        <v>STEWART MICHAEL</v>
      </c>
    </row>
    <row r="162" spans="1:7" x14ac:dyDescent="0.25">
      <c r="A162" s="8">
        <v>42862.666817129626</v>
      </c>
      <c r="B162" s="20" t="s">
        <v>369</v>
      </c>
      <c r="C162" s="20" t="s">
        <v>713</v>
      </c>
      <c r="D162" s="141">
        <v>2360000</v>
      </c>
      <c r="E162" s="20" t="s">
        <v>439</v>
      </c>
      <c r="F162" s="20" t="s">
        <v>440</v>
      </c>
      <c r="G162" s="8" t="str">
        <f t="shared" si="2"/>
        <v>BRANDNER MELINDA</v>
      </c>
    </row>
    <row r="163" spans="1:7" x14ac:dyDescent="0.25">
      <c r="A163" s="8">
        <v>42862.667523148149</v>
      </c>
      <c r="B163" s="20" t="s">
        <v>369</v>
      </c>
      <c r="C163" s="20" t="s">
        <v>713</v>
      </c>
      <c r="D163" s="141">
        <v>2360000</v>
      </c>
      <c r="E163" s="20" t="s">
        <v>439</v>
      </c>
      <c r="F163" s="20" t="s">
        <v>440</v>
      </c>
      <c r="G163" s="8" t="str">
        <f t="shared" si="2"/>
        <v>BRANDNER MELINDA</v>
      </c>
    </row>
    <row r="164" spans="1:7" x14ac:dyDescent="0.25">
      <c r="A164" s="8">
        <v>42862.669074074074</v>
      </c>
      <c r="B164" s="20" t="s">
        <v>369</v>
      </c>
      <c r="C164" s="20" t="s">
        <v>713</v>
      </c>
      <c r="D164" s="141">
        <v>2360000</v>
      </c>
      <c r="E164" s="20" t="s">
        <v>439</v>
      </c>
      <c r="F164" s="20" t="s">
        <v>440</v>
      </c>
      <c r="G164" s="8" t="str">
        <f t="shared" si="2"/>
        <v>BRANDNER MELINDA</v>
      </c>
    </row>
    <row r="165" spans="1:7" x14ac:dyDescent="0.25">
      <c r="A165" s="8">
        <v>42862.670289351852</v>
      </c>
      <c r="B165" s="20" t="s">
        <v>369</v>
      </c>
      <c r="C165" s="20" t="s">
        <v>713</v>
      </c>
      <c r="D165" s="141">
        <v>2360000</v>
      </c>
      <c r="E165" s="20" t="s">
        <v>439</v>
      </c>
      <c r="F165" s="20" t="s">
        <v>440</v>
      </c>
      <c r="G165" s="8" t="str">
        <f t="shared" si="2"/>
        <v>BRANDNER MELINDA</v>
      </c>
    </row>
    <row r="166" spans="1:7" x14ac:dyDescent="0.25">
      <c r="A166" s="8">
        <v>42862.6718287037</v>
      </c>
      <c r="B166" s="20" t="s">
        <v>584</v>
      </c>
      <c r="C166" s="20" t="s">
        <v>714</v>
      </c>
      <c r="D166" s="141">
        <v>2630000</v>
      </c>
      <c r="E166" s="20" t="s">
        <v>487</v>
      </c>
      <c r="F166" s="20" t="s">
        <v>488</v>
      </c>
      <c r="G166" s="8" t="str">
        <f t="shared" si="2"/>
        <v>SAFIEF AEIMEN</v>
      </c>
    </row>
    <row r="167" spans="1:7" x14ac:dyDescent="0.25">
      <c r="A167" s="8">
        <v>42862.677175925928</v>
      </c>
      <c r="B167" s="20" t="s">
        <v>420</v>
      </c>
      <c r="C167" s="20" t="s">
        <v>575</v>
      </c>
      <c r="D167" s="141">
        <v>1300000</v>
      </c>
      <c r="E167" s="20" t="s">
        <v>483</v>
      </c>
      <c r="F167" s="20" t="s">
        <v>484</v>
      </c>
      <c r="G167" s="8" t="str">
        <f t="shared" si="2"/>
        <v>LEVIN SCOTT</v>
      </c>
    </row>
    <row r="168" spans="1:7" x14ac:dyDescent="0.25">
      <c r="A168" s="8">
        <v>42862.679976851854</v>
      </c>
      <c r="B168" s="20" t="s">
        <v>468</v>
      </c>
      <c r="C168" s="20" t="s">
        <v>715</v>
      </c>
      <c r="D168" s="141">
        <v>1540000</v>
      </c>
      <c r="E168" s="20" t="s">
        <v>485</v>
      </c>
      <c r="F168" s="20" t="s">
        <v>486</v>
      </c>
      <c r="G168" s="8" t="str">
        <f t="shared" si="2"/>
        <v>HELVIE ADAM</v>
      </c>
    </row>
    <row r="169" spans="1:7" x14ac:dyDescent="0.25">
      <c r="A169" s="8">
        <v>42862.683113425926</v>
      </c>
      <c r="B169" s="20" t="s">
        <v>433</v>
      </c>
      <c r="C169" s="20" t="s">
        <v>716</v>
      </c>
      <c r="D169" s="141">
        <v>880000</v>
      </c>
      <c r="E169" s="20" t="s">
        <v>482</v>
      </c>
      <c r="F169" s="20" t="s">
        <v>196</v>
      </c>
      <c r="G169" s="8" t="str">
        <f t="shared" si="2"/>
        <v>STEWART MICHAEL</v>
      </c>
    </row>
    <row r="170" spans="1:7" x14ac:dyDescent="0.25">
      <c r="A170" s="8">
        <v>42862.689768518518</v>
      </c>
      <c r="B170" s="20" t="s">
        <v>349</v>
      </c>
      <c r="C170" s="20" t="s">
        <v>717</v>
      </c>
      <c r="D170" s="141">
        <v>2530000</v>
      </c>
      <c r="E170" s="20" t="s">
        <v>679</v>
      </c>
      <c r="F170" s="20" t="s">
        <v>680</v>
      </c>
      <c r="G170" s="8" t="str">
        <f t="shared" si="2"/>
        <v>LALONDE GREGORY</v>
      </c>
    </row>
    <row r="171" spans="1:7" x14ac:dyDescent="0.25">
      <c r="A171" s="8">
        <v>42862.692627314813</v>
      </c>
      <c r="B171" s="20" t="s">
        <v>554</v>
      </c>
      <c r="C171" s="20" t="s">
        <v>718</v>
      </c>
      <c r="D171" s="141">
        <v>2470000</v>
      </c>
      <c r="E171" s="20" t="s">
        <v>478</v>
      </c>
      <c r="F171" s="20" t="s">
        <v>479</v>
      </c>
      <c r="G171" s="8" t="str">
        <f t="shared" si="2"/>
        <v>ROMERO CHAD</v>
      </c>
    </row>
    <row r="172" spans="1:7" x14ac:dyDescent="0.25">
      <c r="A172" s="8">
        <v>42862.695057870369</v>
      </c>
      <c r="B172" s="20" t="s">
        <v>466</v>
      </c>
      <c r="C172" s="20" t="s">
        <v>719</v>
      </c>
      <c r="D172" s="141">
        <v>1540000</v>
      </c>
      <c r="E172" s="20" t="s">
        <v>485</v>
      </c>
      <c r="F172" s="20" t="s">
        <v>486</v>
      </c>
      <c r="G172" s="8" t="str">
        <f t="shared" si="2"/>
        <v>HELVIE ADAM</v>
      </c>
    </row>
    <row r="173" spans="1:7" x14ac:dyDescent="0.25">
      <c r="A173" s="8">
        <v>42862.695555555554</v>
      </c>
      <c r="B173" s="20" t="s">
        <v>438</v>
      </c>
      <c r="C173" s="20" t="s">
        <v>720</v>
      </c>
      <c r="D173" s="141">
        <v>920000</v>
      </c>
      <c r="E173" s="20" t="s">
        <v>471</v>
      </c>
      <c r="F173" s="20" t="s">
        <v>196</v>
      </c>
      <c r="G173" s="8" t="str">
        <f t="shared" si="2"/>
        <v>DAVIS MICHAEL</v>
      </c>
    </row>
    <row r="174" spans="1:7" x14ac:dyDescent="0.25">
      <c r="A174" s="8">
        <v>42862.696550925924</v>
      </c>
      <c r="B174" s="20" t="s">
        <v>466</v>
      </c>
      <c r="C174" s="20" t="s">
        <v>719</v>
      </c>
      <c r="D174" s="141">
        <v>1540000</v>
      </c>
      <c r="E174" s="20" t="s">
        <v>485</v>
      </c>
      <c r="F174" s="20" t="s">
        <v>486</v>
      </c>
      <c r="G174" s="8" t="str">
        <f t="shared" si="2"/>
        <v>HELVIE ADAM</v>
      </c>
    </row>
    <row r="175" spans="1:7" x14ac:dyDescent="0.25">
      <c r="A175" s="8">
        <v>42862.698900462965</v>
      </c>
      <c r="B175" s="20" t="s">
        <v>426</v>
      </c>
      <c r="C175" s="20" t="s">
        <v>721</v>
      </c>
      <c r="D175" s="141">
        <v>1300000</v>
      </c>
      <c r="E175" s="20" t="s">
        <v>483</v>
      </c>
      <c r="F175" s="20" t="s">
        <v>484</v>
      </c>
      <c r="G175" s="8" t="str">
        <f t="shared" si="2"/>
        <v>LEVIN SCOTT</v>
      </c>
    </row>
    <row r="176" spans="1:7" x14ac:dyDescent="0.25">
      <c r="A176" s="8">
        <v>42862.706342592595</v>
      </c>
      <c r="B176" s="20" t="s">
        <v>370</v>
      </c>
      <c r="C176" s="20" t="s">
        <v>576</v>
      </c>
      <c r="D176" s="141">
        <v>2360000</v>
      </c>
      <c r="E176" s="20" t="s">
        <v>439</v>
      </c>
      <c r="F176" s="20" t="s">
        <v>440</v>
      </c>
      <c r="G176" s="8" t="str">
        <f t="shared" si="2"/>
        <v>BRANDNER MELINDA</v>
      </c>
    </row>
    <row r="177" spans="1:7" x14ac:dyDescent="0.25">
      <c r="A177" s="8">
        <v>42862.706597222219</v>
      </c>
      <c r="B177" s="20" t="s">
        <v>611</v>
      </c>
      <c r="C177" s="20" t="s">
        <v>722</v>
      </c>
      <c r="D177" s="141">
        <v>2630000</v>
      </c>
      <c r="E177" s="20" t="s">
        <v>487</v>
      </c>
      <c r="F177" s="20" t="s">
        <v>488</v>
      </c>
      <c r="G177" s="8" t="str">
        <f t="shared" si="2"/>
        <v>SAFIEF AEIMEN</v>
      </c>
    </row>
    <row r="178" spans="1:7" x14ac:dyDescent="0.25">
      <c r="A178" s="8">
        <v>42862.706770833334</v>
      </c>
      <c r="B178" s="20" t="s">
        <v>477</v>
      </c>
      <c r="C178" s="20" t="s">
        <v>577</v>
      </c>
      <c r="D178" s="141">
        <v>2600000</v>
      </c>
      <c r="E178" s="20" t="s">
        <v>706</v>
      </c>
      <c r="F178" s="20" t="s">
        <v>707</v>
      </c>
      <c r="G178" s="8" t="str">
        <f t="shared" si="2"/>
        <v>DAVIDSON DAVID</v>
      </c>
    </row>
    <row r="179" spans="1:7" x14ac:dyDescent="0.25">
      <c r="A179" s="8">
        <v>42862.713009259256</v>
      </c>
      <c r="B179" s="20" t="s">
        <v>459</v>
      </c>
      <c r="C179" s="20" t="s">
        <v>577</v>
      </c>
      <c r="D179" s="141">
        <v>2600000</v>
      </c>
      <c r="E179" s="20" t="s">
        <v>706</v>
      </c>
      <c r="F179" s="20" t="s">
        <v>707</v>
      </c>
      <c r="G179" s="8" t="str">
        <f t="shared" si="2"/>
        <v>DAVIDSON DAVID</v>
      </c>
    </row>
    <row r="180" spans="1:7" x14ac:dyDescent="0.25">
      <c r="A180" s="8">
        <v>42862.716967592591</v>
      </c>
      <c r="B180" s="20" t="s">
        <v>437</v>
      </c>
      <c r="C180" s="20" t="s">
        <v>581</v>
      </c>
      <c r="D180" s="141">
        <v>880000</v>
      </c>
      <c r="E180" s="20" t="s">
        <v>482</v>
      </c>
      <c r="F180" s="20" t="s">
        <v>196</v>
      </c>
      <c r="G180" s="8" t="str">
        <f t="shared" si="2"/>
        <v>STEWART MICHAEL</v>
      </c>
    </row>
    <row r="181" spans="1:7" x14ac:dyDescent="0.25">
      <c r="A181" s="8">
        <v>42862.719606481478</v>
      </c>
      <c r="B181" s="20" t="s">
        <v>477</v>
      </c>
      <c r="C181" s="20" t="s">
        <v>723</v>
      </c>
      <c r="D181" s="141">
        <v>2680000</v>
      </c>
      <c r="E181" s="20" t="s">
        <v>366</v>
      </c>
      <c r="F181" s="20" t="s">
        <v>367</v>
      </c>
      <c r="G181" s="8" t="str">
        <f t="shared" si="2"/>
        <v>DUNCAN SHEILA</v>
      </c>
    </row>
    <row r="182" spans="1:7" x14ac:dyDescent="0.25">
      <c r="A182" s="8">
        <v>42862.722187500003</v>
      </c>
      <c r="B182" s="20" t="s">
        <v>468</v>
      </c>
      <c r="C182" s="20" t="s">
        <v>724</v>
      </c>
      <c r="D182" s="141">
        <v>1540000</v>
      </c>
      <c r="E182" s="20" t="s">
        <v>485</v>
      </c>
      <c r="F182" s="20" t="s">
        <v>486</v>
      </c>
      <c r="G182" s="8" t="str">
        <f t="shared" si="2"/>
        <v>HELVIE ADAM</v>
      </c>
    </row>
    <row r="183" spans="1:7" x14ac:dyDescent="0.25">
      <c r="A183" s="8">
        <v>42862.727002314816</v>
      </c>
      <c r="B183" s="20" t="s">
        <v>348</v>
      </c>
      <c r="C183" s="20" t="s">
        <v>578</v>
      </c>
      <c r="D183" s="141">
        <v>2530000</v>
      </c>
      <c r="E183" s="20" t="s">
        <v>679</v>
      </c>
      <c r="F183" s="20" t="s">
        <v>680</v>
      </c>
      <c r="G183" s="8" t="str">
        <f t="shared" si="2"/>
        <v>LALONDE GREGORY</v>
      </c>
    </row>
    <row r="184" spans="1:7" x14ac:dyDescent="0.25">
      <c r="A184" s="8">
        <v>42862.729247685187</v>
      </c>
      <c r="B184" s="20" t="s">
        <v>434</v>
      </c>
      <c r="C184" s="20" t="s">
        <v>582</v>
      </c>
      <c r="D184" s="141">
        <v>920000</v>
      </c>
      <c r="E184" s="20" t="s">
        <v>471</v>
      </c>
      <c r="F184" s="20" t="s">
        <v>196</v>
      </c>
      <c r="G184" s="8" t="str">
        <f t="shared" si="2"/>
        <v>DAVIS MICHAEL</v>
      </c>
    </row>
    <row r="185" spans="1:7" x14ac:dyDescent="0.25">
      <c r="A185" s="8">
        <v>42862.736122685186</v>
      </c>
      <c r="B185" s="20" t="s">
        <v>466</v>
      </c>
      <c r="C185" s="20" t="s">
        <v>725</v>
      </c>
      <c r="D185" s="141">
        <v>1540000</v>
      </c>
      <c r="E185" s="20" t="s">
        <v>485</v>
      </c>
      <c r="F185" s="20" t="s">
        <v>486</v>
      </c>
      <c r="G185" s="8" t="str">
        <f t="shared" si="2"/>
        <v>HELVIE ADAM</v>
      </c>
    </row>
    <row r="186" spans="1:7" x14ac:dyDescent="0.25">
      <c r="A186" s="8">
        <v>42862.736921296295</v>
      </c>
      <c r="B186" s="20" t="s">
        <v>420</v>
      </c>
      <c r="C186" s="20" t="s">
        <v>726</v>
      </c>
      <c r="D186" s="141">
        <v>1300000</v>
      </c>
      <c r="E186" s="20" t="s">
        <v>483</v>
      </c>
      <c r="F186" s="20" t="s">
        <v>484</v>
      </c>
      <c r="G186" s="8" t="str">
        <f t="shared" si="2"/>
        <v>LEVIN SCOTT</v>
      </c>
    </row>
    <row r="187" spans="1:7" x14ac:dyDescent="0.25">
      <c r="A187" s="8">
        <v>42862.73773148148</v>
      </c>
      <c r="B187" s="20" t="s">
        <v>559</v>
      </c>
      <c r="C187" s="20" t="s">
        <v>580</v>
      </c>
      <c r="D187" s="141">
        <v>2230000</v>
      </c>
      <c r="E187" s="20" t="s">
        <v>352</v>
      </c>
      <c r="F187" s="20" t="s">
        <v>196</v>
      </c>
      <c r="G187" s="8" t="str">
        <f t="shared" si="2"/>
        <v>SMITH MICHAEL</v>
      </c>
    </row>
    <row r="188" spans="1:7" x14ac:dyDescent="0.25">
      <c r="A188" s="8">
        <v>42862.740231481483</v>
      </c>
      <c r="B188" s="20" t="s">
        <v>584</v>
      </c>
      <c r="C188" s="20" t="s">
        <v>585</v>
      </c>
      <c r="D188" s="141">
        <v>2630000</v>
      </c>
      <c r="E188" s="20" t="s">
        <v>487</v>
      </c>
      <c r="F188" s="20" t="s">
        <v>488</v>
      </c>
      <c r="G188" s="8" t="str">
        <f t="shared" si="2"/>
        <v>SAFIEF AEIMEN</v>
      </c>
    </row>
    <row r="189" spans="1:7" x14ac:dyDescent="0.25">
      <c r="A189" s="8">
        <v>42862.742905092593</v>
      </c>
      <c r="B189" s="20" t="s">
        <v>432</v>
      </c>
      <c r="C189" s="20" t="s">
        <v>579</v>
      </c>
      <c r="D189" s="141">
        <v>3020000</v>
      </c>
      <c r="E189" s="20" t="s">
        <v>727</v>
      </c>
      <c r="F189" s="20" t="s">
        <v>728</v>
      </c>
      <c r="G189" s="8" t="str">
        <f t="shared" si="2"/>
        <v>MENGES BRAD</v>
      </c>
    </row>
    <row r="190" spans="1:7" x14ac:dyDescent="0.25">
      <c r="A190" s="8">
        <v>42862.744618055556</v>
      </c>
      <c r="B190" s="20" t="s">
        <v>369</v>
      </c>
      <c r="C190" s="20" t="s">
        <v>729</v>
      </c>
      <c r="D190" s="141">
        <v>1810000</v>
      </c>
      <c r="E190" s="20" t="s">
        <v>730</v>
      </c>
      <c r="F190" s="20" t="s">
        <v>193</v>
      </c>
      <c r="G190" s="8" t="str">
        <f t="shared" si="2"/>
        <v>NEWELL JAMES</v>
      </c>
    </row>
    <row r="191" spans="1:7" x14ac:dyDescent="0.25">
      <c r="A191" s="8">
        <v>42862.751296296294</v>
      </c>
      <c r="B191" s="20" t="s">
        <v>432</v>
      </c>
      <c r="C191" s="20" t="s">
        <v>579</v>
      </c>
      <c r="D191" s="141">
        <v>3020000</v>
      </c>
      <c r="E191" s="20" t="s">
        <v>727</v>
      </c>
      <c r="F191" s="20" t="s">
        <v>728</v>
      </c>
      <c r="G191" s="8" t="str">
        <f t="shared" si="2"/>
        <v>MENGES BRAD</v>
      </c>
    </row>
    <row r="192" spans="1:7" x14ac:dyDescent="0.25">
      <c r="A192" s="8">
        <v>42862.751898148148</v>
      </c>
      <c r="B192" s="20" t="s">
        <v>433</v>
      </c>
      <c r="C192" s="20" t="s">
        <v>586</v>
      </c>
      <c r="D192" s="141">
        <v>2360000</v>
      </c>
      <c r="E192" s="20" t="s">
        <v>439</v>
      </c>
      <c r="F192" s="20" t="s">
        <v>440</v>
      </c>
      <c r="G192" s="8" t="str">
        <f t="shared" si="2"/>
        <v>BRANDNER MELINDA</v>
      </c>
    </row>
    <row r="193" spans="1:7" x14ac:dyDescent="0.25">
      <c r="A193" s="8">
        <v>42862.752002314817</v>
      </c>
      <c r="B193" s="20" t="s">
        <v>432</v>
      </c>
      <c r="C193" s="20" t="s">
        <v>579</v>
      </c>
      <c r="D193" s="141">
        <v>3020000</v>
      </c>
      <c r="E193" s="20" t="s">
        <v>727</v>
      </c>
      <c r="F193" s="20" t="s">
        <v>728</v>
      </c>
      <c r="G193" s="8" t="str">
        <f t="shared" si="2"/>
        <v>MENGES BRAD</v>
      </c>
    </row>
    <row r="194" spans="1:7" x14ac:dyDescent="0.25">
      <c r="A194" s="8">
        <v>42862.752500000002</v>
      </c>
      <c r="B194" s="20" t="s">
        <v>459</v>
      </c>
      <c r="C194" s="20" t="s">
        <v>731</v>
      </c>
      <c r="D194" s="141">
        <v>2680000</v>
      </c>
      <c r="E194" s="20" t="s">
        <v>366</v>
      </c>
      <c r="F194" s="20" t="s">
        <v>367</v>
      </c>
      <c r="G194" s="8" t="str">
        <f t="shared" si="2"/>
        <v>DUNCAN SHEILA</v>
      </c>
    </row>
    <row r="195" spans="1:7" x14ac:dyDescent="0.25">
      <c r="A195" s="8">
        <v>42862.757824074077</v>
      </c>
      <c r="B195" s="20" t="s">
        <v>349</v>
      </c>
      <c r="C195" s="20" t="s">
        <v>732</v>
      </c>
      <c r="D195" s="141">
        <v>2530000</v>
      </c>
      <c r="E195" s="20" t="s">
        <v>679</v>
      </c>
      <c r="F195" s="20" t="s">
        <v>680</v>
      </c>
      <c r="G195" s="8" t="str">
        <f t="shared" ref="G195:G258" si="3">E195&amp;" "&amp;F195</f>
        <v>LALONDE GREGORY</v>
      </c>
    </row>
    <row r="196" spans="1:7" x14ac:dyDescent="0.25">
      <c r="A196" s="8">
        <v>42862.763437499998</v>
      </c>
      <c r="B196" s="20" t="s">
        <v>468</v>
      </c>
      <c r="C196" s="20" t="s">
        <v>733</v>
      </c>
      <c r="D196" s="141">
        <v>1540000</v>
      </c>
      <c r="E196" s="20" t="s">
        <v>485</v>
      </c>
      <c r="F196" s="20" t="s">
        <v>486</v>
      </c>
      <c r="G196" s="8" t="str">
        <f t="shared" si="3"/>
        <v>HELVIE ADAM</v>
      </c>
    </row>
    <row r="197" spans="1:7" x14ac:dyDescent="0.25">
      <c r="A197" s="8">
        <v>42862.765150462961</v>
      </c>
      <c r="B197" s="20" t="s">
        <v>438</v>
      </c>
      <c r="C197" s="20" t="s">
        <v>734</v>
      </c>
      <c r="D197" s="141">
        <v>2230000</v>
      </c>
      <c r="E197" s="20" t="s">
        <v>352</v>
      </c>
      <c r="F197" s="20" t="s">
        <v>196</v>
      </c>
      <c r="G197" s="8" t="str">
        <f t="shared" si="3"/>
        <v>SMITH MICHAEL</v>
      </c>
    </row>
    <row r="198" spans="1:7" x14ac:dyDescent="0.25">
      <c r="A198" s="8">
        <v>42862.769282407404</v>
      </c>
      <c r="B198" s="20" t="s">
        <v>351</v>
      </c>
      <c r="C198" s="20" t="s">
        <v>735</v>
      </c>
      <c r="D198" s="141">
        <v>920000</v>
      </c>
      <c r="E198" s="20" t="s">
        <v>471</v>
      </c>
      <c r="F198" s="20" t="s">
        <v>196</v>
      </c>
      <c r="G198" s="8" t="str">
        <f t="shared" si="3"/>
        <v>DAVIS MICHAEL</v>
      </c>
    </row>
    <row r="199" spans="1:7" x14ac:dyDescent="0.25">
      <c r="A199" s="8">
        <v>42862.770902777775</v>
      </c>
      <c r="B199" s="20" t="s">
        <v>426</v>
      </c>
      <c r="C199" s="20" t="s">
        <v>583</v>
      </c>
      <c r="D199" s="141">
        <v>2000000</v>
      </c>
      <c r="E199" s="20" t="s">
        <v>350</v>
      </c>
      <c r="F199" s="20" t="s">
        <v>193</v>
      </c>
      <c r="G199" s="8" t="str">
        <f t="shared" si="3"/>
        <v>STAMBAUGH JAMES</v>
      </c>
    </row>
    <row r="200" spans="1:7" x14ac:dyDescent="0.25">
      <c r="A200" s="8">
        <v>42862.771249999998</v>
      </c>
      <c r="B200" s="20" t="s">
        <v>459</v>
      </c>
      <c r="C200" s="20" t="s">
        <v>731</v>
      </c>
      <c r="D200" s="141">
        <v>2680000</v>
      </c>
      <c r="E200" s="20" t="s">
        <v>366</v>
      </c>
      <c r="F200" s="20" t="s">
        <v>367</v>
      </c>
      <c r="G200" s="8" t="str">
        <f t="shared" si="3"/>
        <v>DUNCAN SHEILA</v>
      </c>
    </row>
    <row r="201" spans="1:7" x14ac:dyDescent="0.25">
      <c r="A201" s="8">
        <v>42862.775983796295</v>
      </c>
      <c r="B201" s="20" t="s">
        <v>426</v>
      </c>
      <c r="C201" s="20" t="s">
        <v>583</v>
      </c>
      <c r="D201" s="141">
        <v>2000000</v>
      </c>
      <c r="E201" s="20" t="s">
        <v>350</v>
      </c>
      <c r="F201" s="20" t="s">
        <v>193</v>
      </c>
      <c r="G201" s="8" t="str">
        <f t="shared" si="3"/>
        <v>STAMBAUGH JAMES</v>
      </c>
    </row>
    <row r="202" spans="1:7" x14ac:dyDescent="0.25">
      <c r="A202" s="26">
        <v>42862.77679398148</v>
      </c>
      <c r="B202" s="20" t="s">
        <v>466</v>
      </c>
      <c r="C202" s="20" t="s">
        <v>736</v>
      </c>
      <c r="D202" s="141">
        <v>1540000</v>
      </c>
      <c r="E202" s="20" t="s">
        <v>485</v>
      </c>
      <c r="F202" s="20" t="s">
        <v>486</v>
      </c>
      <c r="G202" s="8" t="str">
        <f t="shared" si="3"/>
        <v>HELVIE ADAM</v>
      </c>
    </row>
    <row r="203" spans="1:7" x14ac:dyDescent="0.25">
      <c r="A203" s="8">
        <v>42862.780590277776</v>
      </c>
      <c r="B203" s="20" t="s">
        <v>370</v>
      </c>
      <c r="C203" s="20" t="s">
        <v>587</v>
      </c>
      <c r="D203" s="141">
        <v>1810000</v>
      </c>
      <c r="E203" s="20" t="s">
        <v>730</v>
      </c>
      <c r="F203" s="20" t="s">
        <v>193</v>
      </c>
      <c r="G203" s="8" t="str">
        <f t="shared" si="3"/>
        <v>NEWELL JAMES</v>
      </c>
    </row>
    <row r="204" spans="1:7" x14ac:dyDescent="0.25">
      <c r="A204" s="8">
        <v>42862.782118055555</v>
      </c>
      <c r="B204" s="20" t="s">
        <v>611</v>
      </c>
      <c r="C204" s="20" t="s">
        <v>737</v>
      </c>
      <c r="D204" s="141">
        <v>2630000</v>
      </c>
      <c r="E204" s="20" t="s">
        <v>487</v>
      </c>
      <c r="F204" s="20" t="s">
        <v>488</v>
      </c>
      <c r="G204" s="8" t="str">
        <f t="shared" si="3"/>
        <v>SAFIEF AEIMEN</v>
      </c>
    </row>
    <row r="205" spans="1:7" x14ac:dyDescent="0.25">
      <c r="A205" s="8">
        <v>42862.786261574074</v>
      </c>
      <c r="B205" s="20" t="s">
        <v>397</v>
      </c>
      <c r="C205" s="20" t="s">
        <v>738</v>
      </c>
      <c r="D205" s="141">
        <v>3020000</v>
      </c>
      <c r="E205" s="20" t="s">
        <v>727</v>
      </c>
      <c r="F205" s="20" t="s">
        <v>728</v>
      </c>
      <c r="G205" s="8" t="str">
        <f t="shared" si="3"/>
        <v>MENGES BRAD</v>
      </c>
    </row>
    <row r="206" spans="1:7" x14ac:dyDescent="0.25">
      <c r="A206" s="8">
        <v>42862.788148148145</v>
      </c>
      <c r="B206" s="20" t="s">
        <v>437</v>
      </c>
      <c r="C206" s="20" t="s">
        <v>588</v>
      </c>
      <c r="D206" s="141">
        <v>2360000</v>
      </c>
      <c r="E206" s="20" t="s">
        <v>439</v>
      </c>
      <c r="F206" s="20" t="s">
        <v>440</v>
      </c>
      <c r="G206" s="8" t="str">
        <f t="shared" si="3"/>
        <v>BRANDNER MELINDA</v>
      </c>
    </row>
    <row r="207" spans="1:7" x14ac:dyDescent="0.25">
      <c r="A207" s="8">
        <v>42862.796666666669</v>
      </c>
      <c r="B207" s="20" t="s">
        <v>434</v>
      </c>
      <c r="C207" s="20" t="s">
        <v>739</v>
      </c>
      <c r="D207" s="141">
        <v>2230000</v>
      </c>
      <c r="E207" s="20" t="s">
        <v>352</v>
      </c>
      <c r="F207" s="20" t="s">
        <v>196</v>
      </c>
      <c r="G207" s="8" t="str">
        <f t="shared" si="3"/>
        <v>SMITH MICHAEL</v>
      </c>
    </row>
    <row r="208" spans="1:7" x14ac:dyDescent="0.25">
      <c r="A208" s="8">
        <v>42862.804895833331</v>
      </c>
      <c r="B208" s="20" t="s">
        <v>468</v>
      </c>
      <c r="C208" s="20" t="s">
        <v>740</v>
      </c>
      <c r="D208" s="141">
        <v>1540000</v>
      </c>
      <c r="E208" s="20" t="s">
        <v>485</v>
      </c>
      <c r="F208" s="20" t="s">
        <v>486</v>
      </c>
      <c r="G208" s="8" t="str">
        <f t="shared" si="3"/>
        <v>HELVIE ADAM</v>
      </c>
    </row>
    <row r="209" spans="1:7" x14ac:dyDescent="0.25">
      <c r="A209" s="8">
        <v>42862.807847222219</v>
      </c>
      <c r="B209" s="20" t="s">
        <v>348</v>
      </c>
      <c r="C209" s="20" t="s">
        <v>741</v>
      </c>
      <c r="D209" s="141">
        <v>2530000</v>
      </c>
      <c r="E209" s="20" t="s">
        <v>679</v>
      </c>
      <c r="F209" s="20" t="s">
        <v>680</v>
      </c>
      <c r="G209" s="8" t="str">
        <f t="shared" si="3"/>
        <v>LALONDE GREGORY</v>
      </c>
    </row>
    <row r="210" spans="1:7" x14ac:dyDescent="0.25">
      <c r="A210" s="8">
        <v>42862.808194444442</v>
      </c>
      <c r="B210" s="20" t="s">
        <v>420</v>
      </c>
      <c r="C210" s="20" t="s">
        <v>742</v>
      </c>
      <c r="D210" s="141">
        <v>2000000</v>
      </c>
      <c r="E210" s="20" t="s">
        <v>350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42862.812893518516</v>
      </c>
      <c r="B211" s="20" t="s">
        <v>369</v>
      </c>
      <c r="C211" s="20" t="s">
        <v>743</v>
      </c>
      <c r="D211" s="141">
        <v>1810000</v>
      </c>
      <c r="E211" s="20" t="s">
        <v>730</v>
      </c>
      <c r="F211" s="20" t="s">
        <v>193</v>
      </c>
      <c r="G211" s="8" t="str">
        <f t="shared" si="3"/>
        <v>NEWELL JAMES</v>
      </c>
    </row>
    <row r="212" spans="1:7" x14ac:dyDescent="0.25">
      <c r="A212" s="8">
        <v>42862.818506944444</v>
      </c>
      <c r="B212" s="20" t="s">
        <v>466</v>
      </c>
      <c r="C212" s="20" t="s">
        <v>744</v>
      </c>
      <c r="D212" s="141">
        <v>1540000</v>
      </c>
      <c r="E212" s="20" t="s">
        <v>485</v>
      </c>
      <c r="F212" s="20" t="s">
        <v>486</v>
      </c>
      <c r="G212" s="8" t="str">
        <f t="shared" si="3"/>
        <v>HELVIE ADAM</v>
      </c>
    </row>
    <row r="213" spans="1:7" x14ac:dyDescent="0.25">
      <c r="A213" s="8">
        <v>42862.825833333336</v>
      </c>
      <c r="B213" s="20" t="s">
        <v>433</v>
      </c>
      <c r="C213" s="20" t="s">
        <v>745</v>
      </c>
      <c r="D213" s="141">
        <v>2360000</v>
      </c>
      <c r="E213" s="20" t="s">
        <v>439</v>
      </c>
      <c r="F213" s="20" t="s">
        <v>440</v>
      </c>
      <c r="G213" s="8" t="str">
        <f t="shared" si="3"/>
        <v>BRANDNER MELINDA</v>
      </c>
    </row>
    <row r="214" spans="1:7" x14ac:dyDescent="0.25">
      <c r="A214" s="8">
        <v>42862.828090277777</v>
      </c>
      <c r="B214" s="20" t="s">
        <v>432</v>
      </c>
      <c r="C214" s="20" t="s">
        <v>746</v>
      </c>
      <c r="D214" s="141">
        <v>3020000</v>
      </c>
      <c r="E214" s="20" t="s">
        <v>727</v>
      </c>
      <c r="F214" s="20" t="s">
        <v>728</v>
      </c>
      <c r="G214" s="8" t="str">
        <f t="shared" si="3"/>
        <v>MENGES BRAD</v>
      </c>
    </row>
    <row r="215" spans="1:7" x14ac:dyDescent="0.25">
      <c r="A215" s="8">
        <v>42862.830428240741</v>
      </c>
      <c r="B215" s="20" t="s">
        <v>438</v>
      </c>
      <c r="C215" s="20" t="s">
        <v>747</v>
      </c>
      <c r="D215" s="141">
        <v>2230000</v>
      </c>
      <c r="E215" s="20" t="s">
        <v>352</v>
      </c>
      <c r="F215" s="20" t="s">
        <v>196</v>
      </c>
      <c r="G215" s="8" t="str">
        <f t="shared" si="3"/>
        <v>SMITH MICHAEL</v>
      </c>
    </row>
    <row r="216" spans="1:7" x14ac:dyDescent="0.25">
      <c r="A216" s="8">
        <v>42862.839907407404</v>
      </c>
      <c r="B216" s="20" t="s">
        <v>426</v>
      </c>
      <c r="C216" s="20" t="s">
        <v>748</v>
      </c>
      <c r="D216" s="141">
        <v>2000000</v>
      </c>
      <c r="E216" s="20" t="s">
        <v>350</v>
      </c>
      <c r="F216" s="20" t="s">
        <v>193</v>
      </c>
      <c r="G216" s="8" t="str">
        <f t="shared" si="3"/>
        <v>STAMBAUGH JAMES</v>
      </c>
    </row>
    <row r="217" spans="1:7" x14ac:dyDescent="0.25">
      <c r="A217" s="8">
        <v>42862.843692129631</v>
      </c>
      <c r="B217" s="20" t="s">
        <v>370</v>
      </c>
      <c r="C217" s="20" t="s">
        <v>749</v>
      </c>
      <c r="D217" s="141">
        <v>1810000</v>
      </c>
      <c r="E217" s="20" t="s">
        <v>730</v>
      </c>
      <c r="F217" s="20" t="s">
        <v>193</v>
      </c>
      <c r="G217" s="8" t="str">
        <f t="shared" si="3"/>
        <v>NEWELL JAMES</v>
      </c>
    </row>
    <row r="218" spans="1:7" x14ac:dyDescent="0.25">
      <c r="A218" s="8">
        <v>42862.847442129627</v>
      </c>
      <c r="B218" s="20" t="s">
        <v>468</v>
      </c>
      <c r="C218" s="20" t="s">
        <v>750</v>
      </c>
      <c r="D218" s="141">
        <v>1540000</v>
      </c>
      <c r="E218" s="20" t="s">
        <v>485</v>
      </c>
      <c r="F218" s="20" t="s">
        <v>486</v>
      </c>
      <c r="G218" s="8" t="str">
        <f t="shared" si="3"/>
        <v>HELVIE ADAM</v>
      </c>
    </row>
    <row r="219" spans="1:7" x14ac:dyDescent="0.25">
      <c r="A219" s="8">
        <v>42862.85355324074</v>
      </c>
      <c r="B219" s="20" t="s">
        <v>432</v>
      </c>
      <c r="C219" s="20" t="s">
        <v>589</v>
      </c>
      <c r="D219" s="141">
        <v>860000</v>
      </c>
      <c r="E219" s="20" t="s">
        <v>480</v>
      </c>
      <c r="F219" s="20" t="s">
        <v>481</v>
      </c>
      <c r="G219" s="8" t="str">
        <f t="shared" si="3"/>
        <v>ARNOLD PAUL</v>
      </c>
    </row>
    <row r="220" spans="1:7" x14ac:dyDescent="0.25">
      <c r="A220" s="8">
        <v>42862.857418981483</v>
      </c>
      <c r="B220" s="20" t="s">
        <v>477</v>
      </c>
      <c r="C220" s="20" t="s">
        <v>751</v>
      </c>
      <c r="D220" s="141">
        <v>2680000</v>
      </c>
      <c r="E220" s="20" t="s">
        <v>366</v>
      </c>
      <c r="F220" s="20" t="s">
        <v>367</v>
      </c>
      <c r="G220" s="8" t="str">
        <f t="shared" si="3"/>
        <v>DUNCAN SHEILA</v>
      </c>
    </row>
    <row r="221" spans="1:7" x14ac:dyDescent="0.25">
      <c r="A221" s="8">
        <v>42862.859085648146</v>
      </c>
      <c r="B221" s="20" t="s">
        <v>466</v>
      </c>
      <c r="C221" s="20" t="s">
        <v>752</v>
      </c>
      <c r="D221" s="141">
        <v>1540000</v>
      </c>
      <c r="E221" s="20" t="s">
        <v>485</v>
      </c>
      <c r="F221" s="20" t="s">
        <v>486</v>
      </c>
      <c r="G221" s="8" t="str">
        <f t="shared" si="3"/>
        <v>HELVIE ADAM</v>
      </c>
    </row>
    <row r="222" spans="1:7" x14ac:dyDescent="0.25">
      <c r="A222" s="8">
        <v>42862.86613425926</v>
      </c>
      <c r="B222" s="20" t="s">
        <v>434</v>
      </c>
      <c r="C222" s="20" t="s">
        <v>753</v>
      </c>
      <c r="D222" s="141">
        <v>2230000</v>
      </c>
      <c r="E222" s="20" t="s">
        <v>352</v>
      </c>
      <c r="F222" s="20" t="s">
        <v>196</v>
      </c>
      <c r="G222" s="8" t="str">
        <f t="shared" si="3"/>
        <v>SMITH MICHAEL</v>
      </c>
    </row>
    <row r="223" spans="1:7" x14ac:dyDescent="0.25">
      <c r="A223" s="8">
        <v>42862.866597222222</v>
      </c>
      <c r="B223" s="20" t="s">
        <v>477</v>
      </c>
      <c r="C223" s="20" t="s">
        <v>754</v>
      </c>
      <c r="D223" s="141">
        <v>2690000</v>
      </c>
      <c r="E223" s="20" t="s">
        <v>755</v>
      </c>
      <c r="F223" s="20" t="s">
        <v>756</v>
      </c>
      <c r="G223" s="8" t="str">
        <f t="shared" si="3"/>
        <v>REED ANDREW</v>
      </c>
    </row>
    <row r="224" spans="1:7" x14ac:dyDescent="0.25">
      <c r="A224" s="8">
        <v>42862.868043981478</v>
      </c>
      <c r="B224" t="s">
        <v>477</v>
      </c>
      <c r="C224" t="s">
        <v>754</v>
      </c>
      <c r="D224" s="141">
        <v>2680000</v>
      </c>
      <c r="E224" t="s">
        <v>366</v>
      </c>
      <c r="F224" s="20" t="s">
        <v>367</v>
      </c>
      <c r="G224" s="8" t="str">
        <f t="shared" si="3"/>
        <v>DUNCAN SHEILA</v>
      </c>
    </row>
    <row r="225" spans="1:7" x14ac:dyDescent="0.25">
      <c r="A225" s="8">
        <v>42862.869189814817</v>
      </c>
      <c r="B225" t="s">
        <v>477</v>
      </c>
      <c r="C225" t="s">
        <v>754</v>
      </c>
      <c r="D225" s="141">
        <v>2680000</v>
      </c>
      <c r="E225" t="s">
        <v>366</v>
      </c>
      <c r="F225" s="20" t="s">
        <v>367</v>
      </c>
      <c r="G225" s="8" t="str">
        <f t="shared" si="3"/>
        <v>DUNCAN SHEILA</v>
      </c>
    </row>
    <row r="226" spans="1:7" x14ac:dyDescent="0.25">
      <c r="A226" s="8">
        <v>42862.870150462964</v>
      </c>
      <c r="B226" t="s">
        <v>477</v>
      </c>
      <c r="C226" t="s">
        <v>754</v>
      </c>
      <c r="D226" s="141">
        <v>2680000</v>
      </c>
      <c r="E226" t="s">
        <v>366</v>
      </c>
      <c r="F226" s="20" t="s">
        <v>367</v>
      </c>
      <c r="G226" s="8" t="str">
        <f t="shared" si="3"/>
        <v>DUNCAN SHEILA</v>
      </c>
    </row>
    <row r="227" spans="1:7" x14ac:dyDescent="0.25">
      <c r="A227" s="8">
        <v>42862.87159722222</v>
      </c>
      <c r="B227" t="s">
        <v>477</v>
      </c>
      <c r="C227" t="s">
        <v>754</v>
      </c>
      <c r="D227" s="141">
        <v>2680000</v>
      </c>
      <c r="E227" t="s">
        <v>366</v>
      </c>
      <c r="F227" s="20" t="s">
        <v>367</v>
      </c>
      <c r="G227" s="8" t="str">
        <f t="shared" si="3"/>
        <v>DUNCAN SHEILA</v>
      </c>
    </row>
    <row r="228" spans="1:7" x14ac:dyDescent="0.25">
      <c r="A228" s="8">
        <v>42862.878495370373</v>
      </c>
      <c r="B228" t="s">
        <v>477</v>
      </c>
      <c r="C228" t="s">
        <v>754</v>
      </c>
      <c r="D228" s="141">
        <v>2680000</v>
      </c>
      <c r="E228" t="s">
        <v>366</v>
      </c>
      <c r="F228" s="20" t="s">
        <v>367</v>
      </c>
      <c r="G228" s="8" t="str">
        <f t="shared" si="3"/>
        <v>DUNCAN SHEILA</v>
      </c>
    </row>
    <row r="229" spans="1:7" x14ac:dyDescent="0.25">
      <c r="A229" s="8">
        <v>42862.889849537038</v>
      </c>
      <c r="B229" t="s">
        <v>468</v>
      </c>
      <c r="C229" t="s">
        <v>757</v>
      </c>
      <c r="D229" s="141">
        <v>1540000</v>
      </c>
      <c r="E229" t="s">
        <v>485</v>
      </c>
      <c r="F229" s="20" t="s">
        <v>486</v>
      </c>
      <c r="G229" s="8" t="str">
        <f t="shared" si="3"/>
        <v>HELVIE ADAM</v>
      </c>
    </row>
    <row r="230" spans="1:7" x14ac:dyDescent="0.25">
      <c r="A230" s="8">
        <v>42862.890486111108</v>
      </c>
      <c r="B230" t="s">
        <v>420</v>
      </c>
      <c r="C230" t="s">
        <v>758</v>
      </c>
      <c r="D230" s="141">
        <v>2000000</v>
      </c>
      <c r="E230" t="s">
        <v>350</v>
      </c>
      <c r="F230" s="20" t="s">
        <v>193</v>
      </c>
      <c r="G230" s="8" t="str">
        <f t="shared" si="3"/>
        <v>STAMBAUGH JAMES</v>
      </c>
    </row>
    <row r="231" spans="1:7" x14ac:dyDescent="0.25">
      <c r="A231" s="8">
        <v>42862.890925925924</v>
      </c>
      <c r="B231" t="s">
        <v>369</v>
      </c>
      <c r="C231" t="s">
        <v>759</v>
      </c>
      <c r="D231" s="141">
        <v>1810000</v>
      </c>
      <c r="E231" t="s">
        <v>730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42862.900277777779</v>
      </c>
      <c r="B232" t="s">
        <v>369</v>
      </c>
      <c r="C232" t="s">
        <v>759</v>
      </c>
      <c r="D232" s="141">
        <v>1810000</v>
      </c>
      <c r="E232" t="s">
        <v>730</v>
      </c>
      <c r="F232" s="20" t="s">
        <v>193</v>
      </c>
      <c r="G232" s="8" t="str">
        <f t="shared" si="3"/>
        <v>NEWELL JAMES</v>
      </c>
    </row>
    <row r="233" spans="1:7" x14ac:dyDescent="0.25">
      <c r="A233" s="8">
        <v>42862.902696759258</v>
      </c>
      <c r="B233" t="s">
        <v>466</v>
      </c>
      <c r="C233" t="s">
        <v>760</v>
      </c>
      <c r="D233" s="141">
        <v>1540000</v>
      </c>
      <c r="E233" t="s">
        <v>485</v>
      </c>
      <c r="F233" s="20" t="s">
        <v>486</v>
      </c>
      <c r="G233" s="8" t="str">
        <f t="shared" si="3"/>
        <v>HELVIE ADAM</v>
      </c>
    </row>
    <row r="234" spans="1:7" x14ac:dyDescent="0.25">
      <c r="A234" s="8">
        <v>42862.911527777775</v>
      </c>
      <c r="B234" t="s">
        <v>438</v>
      </c>
      <c r="C234" t="s">
        <v>761</v>
      </c>
      <c r="D234" s="141">
        <v>2230000</v>
      </c>
      <c r="E234" t="s">
        <v>352</v>
      </c>
      <c r="F234" s="20" t="s">
        <v>196</v>
      </c>
      <c r="G234" s="8" t="str">
        <f t="shared" si="3"/>
        <v>SMITH MICHAEL</v>
      </c>
    </row>
    <row r="235" spans="1:7" x14ac:dyDescent="0.25">
      <c r="A235" s="8">
        <v>42862.912187499998</v>
      </c>
      <c r="B235" t="s">
        <v>459</v>
      </c>
      <c r="C235" t="s">
        <v>590</v>
      </c>
      <c r="D235" s="141">
        <v>2680000</v>
      </c>
      <c r="E235" t="s">
        <v>366</v>
      </c>
      <c r="F235" s="20" t="s">
        <v>367</v>
      </c>
      <c r="G235" s="8" t="str">
        <f t="shared" si="3"/>
        <v>DUNCAN SHEILA</v>
      </c>
    </row>
    <row r="236" spans="1:7" x14ac:dyDescent="0.25">
      <c r="A236" s="8">
        <v>42862.925532407404</v>
      </c>
      <c r="B236" t="s">
        <v>426</v>
      </c>
      <c r="C236" t="s">
        <v>591</v>
      </c>
      <c r="D236" s="141">
        <v>2000000</v>
      </c>
      <c r="E236" t="s">
        <v>350</v>
      </c>
      <c r="F236" s="20" t="s">
        <v>193</v>
      </c>
      <c r="G236" s="8" t="str">
        <f t="shared" si="3"/>
        <v>STAMBAUGH JAMES</v>
      </c>
    </row>
    <row r="237" spans="1:7" x14ac:dyDescent="0.25">
      <c r="A237" s="8">
        <v>42862.926226851851</v>
      </c>
      <c r="B237" t="s">
        <v>370</v>
      </c>
      <c r="C237" t="s">
        <v>762</v>
      </c>
      <c r="D237" s="141">
        <v>1810000</v>
      </c>
      <c r="E237" t="s">
        <v>730</v>
      </c>
      <c r="F237" s="20" t="s">
        <v>193</v>
      </c>
      <c r="G237" s="8" t="str">
        <f t="shared" si="3"/>
        <v>NEWELL JAMES</v>
      </c>
    </row>
    <row r="238" spans="1:7" x14ac:dyDescent="0.25">
      <c r="A238" s="8">
        <v>42862.929652777777</v>
      </c>
      <c r="B238" t="s">
        <v>468</v>
      </c>
      <c r="C238" t="s">
        <v>763</v>
      </c>
      <c r="D238" s="141">
        <v>1540000</v>
      </c>
      <c r="E238" t="s">
        <v>485</v>
      </c>
      <c r="F238" s="20" t="s">
        <v>486</v>
      </c>
      <c r="G238" s="8" t="str">
        <f t="shared" si="3"/>
        <v>HELVIE ADAM</v>
      </c>
    </row>
    <row r="239" spans="1:7" x14ac:dyDescent="0.25">
      <c r="A239" s="8">
        <v>42862.942372685182</v>
      </c>
      <c r="B239" t="s">
        <v>466</v>
      </c>
      <c r="C239" t="s">
        <v>764</v>
      </c>
      <c r="D239" s="141">
        <v>1540000</v>
      </c>
      <c r="E239" t="s">
        <v>485</v>
      </c>
      <c r="F239" s="20" t="s">
        <v>486</v>
      </c>
      <c r="G239" s="8" t="str">
        <f t="shared" si="3"/>
        <v>HELVIE ADAM</v>
      </c>
    </row>
    <row r="240" spans="1:7" x14ac:dyDescent="0.25">
      <c r="A240" s="8">
        <v>42862.947187500002</v>
      </c>
      <c r="B240" t="s">
        <v>477</v>
      </c>
      <c r="C240" t="s">
        <v>592</v>
      </c>
      <c r="D240" s="141">
        <v>2680000</v>
      </c>
      <c r="E240" t="s">
        <v>366</v>
      </c>
      <c r="F240" s="20" t="s">
        <v>367</v>
      </c>
      <c r="G240" s="8" t="str">
        <f t="shared" si="3"/>
        <v>DUNCAN SHEILA</v>
      </c>
    </row>
    <row r="241" spans="1:7" x14ac:dyDescent="0.25">
      <c r="A241" s="8">
        <v>42862.948252314818</v>
      </c>
      <c r="B241" t="s">
        <v>477</v>
      </c>
      <c r="C241" t="s">
        <v>592</v>
      </c>
      <c r="D241" s="141">
        <v>2680000</v>
      </c>
      <c r="E241" t="s">
        <v>366</v>
      </c>
      <c r="F241" s="20" t="s">
        <v>367</v>
      </c>
      <c r="G241" s="8" t="str">
        <f t="shared" si="3"/>
        <v>DUNCAN SHEILA</v>
      </c>
    </row>
    <row r="242" spans="1:7" x14ac:dyDescent="0.25">
      <c r="A242" s="8">
        <v>42862.948877314811</v>
      </c>
      <c r="B242" t="s">
        <v>468</v>
      </c>
      <c r="C242" t="s">
        <v>764</v>
      </c>
      <c r="D242" s="141">
        <v>1540000</v>
      </c>
      <c r="E242" t="s">
        <v>485</v>
      </c>
      <c r="F242" s="20" t="s">
        <v>486</v>
      </c>
      <c r="G242" s="8" t="str">
        <f t="shared" si="3"/>
        <v>HELVIE ADAM</v>
      </c>
    </row>
    <row r="243" spans="1:7" x14ac:dyDescent="0.25">
      <c r="A243" s="8">
        <v>42862.95040509259</v>
      </c>
      <c r="B243" t="s">
        <v>434</v>
      </c>
      <c r="C243" t="s">
        <v>765</v>
      </c>
      <c r="D243" s="141">
        <v>2230000</v>
      </c>
      <c r="E243" t="s">
        <v>352</v>
      </c>
      <c r="F243" s="20" t="s">
        <v>196</v>
      </c>
      <c r="G243" s="8" t="str">
        <f t="shared" si="3"/>
        <v>SMITH MICHAEL</v>
      </c>
    </row>
    <row r="244" spans="1:7" x14ac:dyDescent="0.25">
      <c r="A244" s="8">
        <v>42862.952766203707</v>
      </c>
      <c r="B244" t="s">
        <v>477</v>
      </c>
      <c r="C244" t="s">
        <v>592</v>
      </c>
      <c r="D244" s="141">
        <v>2680000</v>
      </c>
      <c r="E244" t="s">
        <v>366</v>
      </c>
      <c r="F244" s="20" t="s">
        <v>367</v>
      </c>
      <c r="G244" s="8" t="str">
        <f t="shared" si="3"/>
        <v>DUNCAN SHEILA</v>
      </c>
    </row>
    <row r="245" spans="1:7" x14ac:dyDescent="0.25">
      <c r="A245" s="8">
        <v>42862.954953703702</v>
      </c>
      <c r="B245" t="s">
        <v>477</v>
      </c>
      <c r="C245" t="s">
        <v>592</v>
      </c>
      <c r="D245" s="141">
        <v>2680000</v>
      </c>
      <c r="E245" t="s">
        <v>366</v>
      </c>
      <c r="F245" s="20" t="s">
        <v>367</v>
      </c>
      <c r="G245" s="8" t="str">
        <f t="shared" si="3"/>
        <v>DUNCAN SHEILA</v>
      </c>
    </row>
    <row r="246" spans="1:7" x14ac:dyDescent="0.25">
      <c r="A246" s="8">
        <v>42862.955937500003</v>
      </c>
      <c r="B246" t="s">
        <v>477</v>
      </c>
      <c r="C246" t="s">
        <v>592</v>
      </c>
      <c r="D246" s="141">
        <v>2680000</v>
      </c>
      <c r="E246" t="s">
        <v>366</v>
      </c>
      <c r="F246" s="20" t="s">
        <v>367</v>
      </c>
      <c r="G246" s="8" t="str">
        <f t="shared" si="3"/>
        <v>DUNCAN SHEILA</v>
      </c>
    </row>
    <row r="247" spans="1:7" x14ac:dyDescent="0.25">
      <c r="A247" s="8">
        <v>42862.963379629633</v>
      </c>
      <c r="B247" t="s">
        <v>477</v>
      </c>
      <c r="C247" t="s">
        <v>592</v>
      </c>
      <c r="D247" s="141">
        <v>2680000</v>
      </c>
      <c r="E247" t="s">
        <v>366</v>
      </c>
      <c r="F247" s="20" t="s">
        <v>367</v>
      </c>
      <c r="G247" s="8" t="str">
        <f t="shared" si="3"/>
        <v>DUNCAN SHEILA</v>
      </c>
    </row>
    <row r="248" spans="1:7" x14ac:dyDescent="0.25">
      <c r="A248" s="8">
        <v>42862.963726851849</v>
      </c>
      <c r="B248" t="s">
        <v>369</v>
      </c>
      <c r="C248" t="s">
        <v>766</v>
      </c>
      <c r="D248" s="141">
        <v>1810000</v>
      </c>
      <c r="E248" t="s">
        <v>730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42862.972557870373</v>
      </c>
      <c r="B249" t="s">
        <v>420</v>
      </c>
      <c r="C249" t="s">
        <v>593</v>
      </c>
      <c r="D249" s="141">
        <v>2000000</v>
      </c>
      <c r="E249" t="s">
        <v>350</v>
      </c>
      <c r="F249" s="20" t="s">
        <v>193</v>
      </c>
      <c r="G249" s="8" t="str">
        <f t="shared" si="3"/>
        <v>STAMBAUGH JAMES</v>
      </c>
    </row>
    <row r="250" spans="1:7" x14ac:dyDescent="0.25">
      <c r="A250" s="8">
        <v>42862.985983796294</v>
      </c>
      <c r="B250" t="s">
        <v>438</v>
      </c>
      <c r="C250" t="s">
        <v>594</v>
      </c>
      <c r="D250" s="141">
        <v>2230000</v>
      </c>
      <c r="E250" t="s">
        <v>352</v>
      </c>
      <c r="F250" s="20" t="s">
        <v>196</v>
      </c>
      <c r="G250" s="8" t="str">
        <f t="shared" si="3"/>
        <v>SMITH MICHAEL</v>
      </c>
    </row>
    <row r="251" spans="1:7" x14ac:dyDescent="0.25">
      <c r="A251" s="8">
        <v>42862.995775462965</v>
      </c>
      <c r="B251" t="s">
        <v>459</v>
      </c>
      <c r="C251" t="s">
        <v>767</v>
      </c>
      <c r="D251" s="141">
        <v>2680000</v>
      </c>
      <c r="E251" t="s">
        <v>366</v>
      </c>
      <c r="F251" s="20" t="s">
        <v>367</v>
      </c>
      <c r="G251" s="8" t="str">
        <f t="shared" si="3"/>
        <v>DUNCAN SHEILA</v>
      </c>
    </row>
    <row r="252" spans="1:7" x14ac:dyDescent="0.25">
      <c r="A252" s="8">
        <v>42863.008703703701</v>
      </c>
      <c r="B252" t="s">
        <v>426</v>
      </c>
      <c r="C252" t="s">
        <v>768</v>
      </c>
      <c r="D252" s="141">
        <v>2000000</v>
      </c>
      <c r="E252" t="s">
        <v>350</v>
      </c>
      <c r="F252" s="20" t="s">
        <v>193</v>
      </c>
      <c r="G252" s="8" t="str">
        <f t="shared" si="3"/>
        <v>STAMBAUGH JAMES</v>
      </c>
    </row>
    <row r="253" spans="1:7" x14ac:dyDescent="0.25">
      <c r="A253" s="8">
        <v>42863.015393518515</v>
      </c>
      <c r="B253" t="s">
        <v>370</v>
      </c>
      <c r="C253" t="s">
        <v>769</v>
      </c>
      <c r="D253" s="141">
        <v>1810000</v>
      </c>
      <c r="E253" t="s">
        <v>730</v>
      </c>
      <c r="F253" s="20" t="s">
        <v>193</v>
      </c>
      <c r="G253" s="8" t="str">
        <f t="shared" si="3"/>
        <v>NEWELL JAMES</v>
      </c>
    </row>
    <row r="254" spans="1:7" x14ac:dyDescent="0.25">
      <c r="A254" s="8">
        <v>42863.029131944444</v>
      </c>
      <c r="B254" t="s">
        <v>477</v>
      </c>
      <c r="C254" t="s">
        <v>770</v>
      </c>
      <c r="D254" s="141">
        <v>2680000</v>
      </c>
      <c r="E254" t="s">
        <v>366</v>
      </c>
      <c r="F254" s="20" t="s">
        <v>367</v>
      </c>
      <c r="G254" s="8" t="str">
        <f t="shared" si="3"/>
        <v>DUNCAN SHEILA</v>
      </c>
    </row>
    <row r="255" spans="1:7" x14ac:dyDescent="0.25">
      <c r="A255" s="8">
        <v>42863.030358796299</v>
      </c>
      <c r="B255" t="s">
        <v>434</v>
      </c>
      <c r="C255" t="s">
        <v>771</v>
      </c>
      <c r="D255" s="141">
        <v>2230000</v>
      </c>
      <c r="E255" t="s">
        <v>352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42863.048368055555</v>
      </c>
      <c r="B256" t="s">
        <v>369</v>
      </c>
      <c r="C256" t="s">
        <v>772</v>
      </c>
      <c r="D256" s="141">
        <v>1810000</v>
      </c>
      <c r="E256" t="s">
        <v>730</v>
      </c>
      <c r="F256" s="20" t="s">
        <v>193</v>
      </c>
      <c r="G256" s="8" t="str">
        <f t="shared" si="3"/>
        <v>NEWELL JAMES</v>
      </c>
    </row>
    <row r="257" spans="1:7" x14ac:dyDescent="0.25">
      <c r="A257" s="8">
        <v>42863.05804398148</v>
      </c>
      <c r="B257" t="s">
        <v>420</v>
      </c>
      <c r="C257" t="s">
        <v>773</v>
      </c>
      <c r="D257" s="141">
        <v>2000000</v>
      </c>
      <c r="E257" t="s">
        <v>350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42863.069386574076</v>
      </c>
      <c r="B258" t="s">
        <v>438</v>
      </c>
      <c r="C258" t="s">
        <v>774</v>
      </c>
      <c r="D258" s="141">
        <v>2230000</v>
      </c>
      <c r="E258" t="s">
        <v>352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42863.089062500003</v>
      </c>
      <c r="B259" t="s">
        <v>426</v>
      </c>
      <c r="C259" t="s">
        <v>775</v>
      </c>
      <c r="D259" s="141">
        <v>2000000</v>
      </c>
      <c r="E259" t="s">
        <v>350</v>
      </c>
      <c r="F259" s="20" t="s">
        <v>193</v>
      </c>
      <c r="G259" s="8" t="str">
        <f t="shared" ref="G259:G322" si="4">E259&amp;" "&amp;F259</f>
        <v>STAMBAUGH JAMES</v>
      </c>
    </row>
    <row r="260" spans="1:7" x14ac:dyDescent="0.25">
      <c r="A260" s="8">
        <v>42861.985555555555</v>
      </c>
      <c r="B260" t="s">
        <v>464</v>
      </c>
      <c r="C260" t="s">
        <v>465</v>
      </c>
      <c r="D260" s="141">
        <v>2680000</v>
      </c>
      <c r="E260" t="s">
        <v>366</v>
      </c>
      <c r="F260" s="20" t="s">
        <v>367</v>
      </c>
      <c r="G260" s="8" t="str">
        <f t="shared" si="4"/>
        <v>DUNCAN SHEILA</v>
      </c>
    </row>
    <row r="261" spans="1:7" x14ac:dyDescent="0.25">
      <c r="A261" s="8">
        <v>42861.990671296298</v>
      </c>
      <c r="B261" t="s">
        <v>433</v>
      </c>
      <c r="C261" t="s">
        <v>462</v>
      </c>
      <c r="D261" s="141">
        <v>2000000</v>
      </c>
      <c r="E261" t="s">
        <v>350</v>
      </c>
      <c r="F261" s="20" t="s">
        <v>193</v>
      </c>
      <c r="G261" s="8" t="str">
        <f t="shared" si="4"/>
        <v>STAMBAUGH JAMES</v>
      </c>
    </row>
    <row r="262" spans="1:7" x14ac:dyDescent="0.25">
      <c r="A262" s="8">
        <v>42861.995150462964</v>
      </c>
      <c r="B262" t="s">
        <v>398</v>
      </c>
      <c r="C262" t="s">
        <v>461</v>
      </c>
      <c r="D262" s="141">
        <v>3000000</v>
      </c>
      <c r="E262" t="s">
        <v>427</v>
      </c>
      <c r="F262" s="20" t="s">
        <v>409</v>
      </c>
      <c r="G262" s="8" t="str">
        <f t="shared" si="4"/>
        <v>FORTUNATO FRANK</v>
      </c>
    </row>
    <row r="263" spans="1:7" x14ac:dyDescent="0.25">
      <c r="A263" s="8">
        <v>42861.996365740742</v>
      </c>
      <c r="B263" t="s">
        <v>385</v>
      </c>
      <c r="C263" t="s">
        <v>491</v>
      </c>
      <c r="D263" s="141">
        <v>2270000</v>
      </c>
      <c r="E263" t="s">
        <v>205</v>
      </c>
      <c r="F263" s="20" t="s">
        <v>206</v>
      </c>
      <c r="G263" s="8" t="str">
        <f t="shared" si="4"/>
        <v>BROWN JACOB</v>
      </c>
    </row>
    <row r="264" spans="1:7" x14ac:dyDescent="0.25">
      <c r="A264" s="8">
        <v>42861.998726851853</v>
      </c>
      <c r="B264" t="s">
        <v>467</v>
      </c>
      <c r="C264" t="s">
        <v>465</v>
      </c>
      <c r="D264" s="141">
        <v>2680000</v>
      </c>
      <c r="E264" t="s">
        <v>366</v>
      </c>
      <c r="F264" s="20" t="s">
        <v>367</v>
      </c>
      <c r="G264" s="8" t="str">
        <f t="shared" si="4"/>
        <v>DUNCAN SHEILA</v>
      </c>
    </row>
    <row r="265" spans="1:7" x14ac:dyDescent="0.25">
      <c r="A265" s="8">
        <v>42862.008969907409</v>
      </c>
      <c r="B265" t="s">
        <v>421</v>
      </c>
      <c r="C265" t="s">
        <v>492</v>
      </c>
      <c r="D265" s="141">
        <v>2150000</v>
      </c>
      <c r="E265" t="s">
        <v>346</v>
      </c>
      <c r="F265" s="20" t="s">
        <v>347</v>
      </c>
      <c r="G265" s="8" t="str">
        <f t="shared" si="4"/>
        <v>SWANSON BRYCE</v>
      </c>
    </row>
    <row r="266" spans="1:7" x14ac:dyDescent="0.25">
      <c r="A266" s="8">
        <v>42862.011782407404</v>
      </c>
      <c r="B266" t="s">
        <v>382</v>
      </c>
      <c r="C266" t="s">
        <v>493</v>
      </c>
      <c r="D266" s="141">
        <v>2230000</v>
      </c>
      <c r="E266" t="s">
        <v>352</v>
      </c>
      <c r="F266" s="20" t="s">
        <v>196</v>
      </c>
      <c r="G266" s="8" t="str">
        <f t="shared" si="4"/>
        <v>SMITH MICHAEL</v>
      </c>
    </row>
    <row r="267" spans="1:7" x14ac:dyDescent="0.25">
      <c r="A267" s="8">
        <v>42862.014490740738</v>
      </c>
      <c r="B267" t="s">
        <v>392</v>
      </c>
      <c r="C267" t="s">
        <v>490</v>
      </c>
      <c r="D267" s="141">
        <v>3000000</v>
      </c>
      <c r="E267" t="s">
        <v>427</v>
      </c>
      <c r="F267" s="20" t="s">
        <v>409</v>
      </c>
      <c r="G267" s="8" t="str">
        <f t="shared" si="4"/>
        <v>FORTUNATO FRANK</v>
      </c>
    </row>
    <row r="268" spans="1:7" x14ac:dyDescent="0.25">
      <c r="A268" s="8">
        <v>42862.017013888886</v>
      </c>
      <c r="B268" t="s">
        <v>392</v>
      </c>
      <c r="C268" t="s">
        <v>490</v>
      </c>
      <c r="D268" s="141">
        <v>3000000</v>
      </c>
      <c r="E268" t="s">
        <v>427</v>
      </c>
      <c r="F268" s="20" t="s">
        <v>409</v>
      </c>
      <c r="G268" s="8" t="str">
        <f t="shared" si="4"/>
        <v>FORTUNATO FRANK</v>
      </c>
    </row>
    <row r="269" spans="1:7" x14ac:dyDescent="0.25">
      <c r="A269" s="8">
        <v>42862.018101851849</v>
      </c>
      <c r="B269" t="s">
        <v>464</v>
      </c>
      <c r="C269" t="s">
        <v>465</v>
      </c>
      <c r="D269" s="141">
        <v>2680000</v>
      </c>
      <c r="E269" t="s">
        <v>366</v>
      </c>
      <c r="F269" s="20" t="s">
        <v>367</v>
      </c>
      <c r="G269" s="8" t="str">
        <f t="shared" si="4"/>
        <v>DUNCAN SHEILA</v>
      </c>
    </row>
    <row r="270" spans="1:7" x14ac:dyDescent="0.25">
      <c r="A270" s="8">
        <v>42862.018842592595</v>
      </c>
      <c r="B270" t="s">
        <v>464</v>
      </c>
      <c r="C270" t="s">
        <v>465</v>
      </c>
      <c r="D270" s="141">
        <v>2680000</v>
      </c>
      <c r="E270" t="s">
        <v>366</v>
      </c>
      <c r="F270" s="20" t="s">
        <v>367</v>
      </c>
      <c r="G270" s="8" t="str">
        <f t="shared" si="4"/>
        <v>DUNCAN SHEILA</v>
      </c>
    </row>
    <row r="271" spans="1:7" x14ac:dyDescent="0.25">
      <c r="A271" s="8">
        <v>42862.019918981481</v>
      </c>
      <c r="B271" t="s">
        <v>464</v>
      </c>
      <c r="C271" t="s">
        <v>465</v>
      </c>
      <c r="D271" s="141">
        <v>2680000</v>
      </c>
      <c r="E271" t="s">
        <v>366</v>
      </c>
      <c r="F271" s="20" t="s">
        <v>367</v>
      </c>
      <c r="G271" s="8" t="str">
        <f t="shared" si="4"/>
        <v>DUNCAN SHEILA</v>
      </c>
    </row>
    <row r="272" spans="1:7" x14ac:dyDescent="0.25">
      <c r="A272" s="8">
        <v>42862.025578703702</v>
      </c>
      <c r="B272" t="s">
        <v>361</v>
      </c>
      <c r="C272" t="s">
        <v>489</v>
      </c>
      <c r="D272" s="141">
        <v>2630000</v>
      </c>
      <c r="E272" t="s">
        <v>487</v>
      </c>
      <c r="F272" s="20" t="s">
        <v>488</v>
      </c>
      <c r="G272" s="8" t="str">
        <f t="shared" si="4"/>
        <v>SAFIEF AEIMEN</v>
      </c>
    </row>
    <row r="273" spans="1:7" x14ac:dyDescent="0.25">
      <c r="A273" s="8">
        <v>42862.02615740741</v>
      </c>
      <c r="B273" t="s">
        <v>361</v>
      </c>
      <c r="C273" t="s">
        <v>489</v>
      </c>
      <c r="D273" s="141">
        <v>2630000</v>
      </c>
      <c r="E273" t="s">
        <v>487</v>
      </c>
      <c r="F273" s="20" t="s">
        <v>488</v>
      </c>
      <c r="G273" s="8" t="str">
        <f t="shared" si="4"/>
        <v>SAFIEF AEIMEN</v>
      </c>
    </row>
    <row r="274" spans="1:7" x14ac:dyDescent="0.25">
      <c r="A274" s="8">
        <v>42862.028055555558</v>
      </c>
      <c r="B274" t="s">
        <v>361</v>
      </c>
      <c r="C274" t="s">
        <v>489</v>
      </c>
      <c r="D274" s="141">
        <v>2630000</v>
      </c>
      <c r="E274" t="s">
        <v>487</v>
      </c>
      <c r="F274" s="20" t="s">
        <v>488</v>
      </c>
      <c r="G274" s="8" t="str">
        <f t="shared" si="4"/>
        <v>SAFIEF AEIMEN</v>
      </c>
    </row>
    <row r="275" spans="1:7" x14ac:dyDescent="0.25">
      <c r="A275" s="8">
        <v>42862.029826388891</v>
      </c>
      <c r="B275" t="s">
        <v>398</v>
      </c>
      <c r="C275" t="s">
        <v>461</v>
      </c>
      <c r="D275" s="141">
        <v>3000000</v>
      </c>
      <c r="E275" t="s">
        <v>427</v>
      </c>
      <c r="F275" s="20" t="s">
        <v>409</v>
      </c>
      <c r="G275" s="8" t="str">
        <f t="shared" si="4"/>
        <v>FORTUNATO FRANK</v>
      </c>
    </row>
    <row r="276" spans="1:7" x14ac:dyDescent="0.25">
      <c r="A276" s="8">
        <v>42862.031261574077</v>
      </c>
      <c r="B276" t="s">
        <v>467</v>
      </c>
      <c r="C276" t="s">
        <v>465</v>
      </c>
      <c r="D276" s="141">
        <v>2680000</v>
      </c>
      <c r="E276" t="s">
        <v>366</v>
      </c>
      <c r="F276" s="20" t="s">
        <v>367</v>
      </c>
      <c r="G276" s="8" t="str">
        <f t="shared" si="4"/>
        <v>DUNCAN SHEILA</v>
      </c>
    </row>
    <row r="277" spans="1:7" x14ac:dyDescent="0.25">
      <c r="A277" s="8">
        <v>42862.031967592593</v>
      </c>
      <c r="B277" t="s">
        <v>467</v>
      </c>
      <c r="C277" t="s">
        <v>465</v>
      </c>
      <c r="D277" s="141">
        <v>2680000</v>
      </c>
      <c r="E277" t="s">
        <v>366</v>
      </c>
      <c r="F277" s="20" t="s">
        <v>367</v>
      </c>
      <c r="G277" s="8" t="str">
        <f t="shared" si="4"/>
        <v>DUNCAN SHEILA</v>
      </c>
    </row>
    <row r="278" spans="1:7" x14ac:dyDescent="0.25">
      <c r="A278" s="8">
        <v>42862.033078703702</v>
      </c>
      <c r="B278" t="s">
        <v>437</v>
      </c>
      <c r="C278" t="s">
        <v>463</v>
      </c>
      <c r="D278" s="141">
        <v>2000000</v>
      </c>
      <c r="E278" t="s">
        <v>350</v>
      </c>
      <c r="F278" s="20" t="s">
        <v>193</v>
      </c>
      <c r="G278" s="8" t="str">
        <f t="shared" si="4"/>
        <v>STAMBAUGH JAMES</v>
      </c>
    </row>
    <row r="279" spans="1:7" x14ac:dyDescent="0.25">
      <c r="A279" s="8">
        <v>42862.036145833335</v>
      </c>
      <c r="B279" t="s">
        <v>363</v>
      </c>
      <c r="C279" t="s">
        <v>489</v>
      </c>
      <c r="D279" s="141">
        <v>2630000</v>
      </c>
      <c r="E279" t="s">
        <v>487</v>
      </c>
      <c r="F279" s="20" t="s">
        <v>488</v>
      </c>
      <c r="G279" s="8" t="str">
        <f t="shared" si="4"/>
        <v>SAFIEF AEIMEN</v>
      </c>
    </row>
    <row r="280" spans="1:7" x14ac:dyDescent="0.25">
      <c r="A280" s="8">
        <v>42862.037488425929</v>
      </c>
      <c r="B280" t="s">
        <v>379</v>
      </c>
      <c r="C280" t="s">
        <v>494</v>
      </c>
      <c r="D280" s="141">
        <v>2270000</v>
      </c>
      <c r="E280" t="s">
        <v>205</v>
      </c>
      <c r="F280" s="20" t="s">
        <v>206</v>
      </c>
      <c r="G280" s="8" t="str">
        <f t="shared" si="4"/>
        <v>BROWN JACOB</v>
      </c>
    </row>
    <row r="281" spans="1:7" x14ac:dyDescent="0.25">
      <c r="A281" s="8">
        <v>42862.042731481481</v>
      </c>
      <c r="B281" t="s">
        <v>392</v>
      </c>
      <c r="C281" t="s">
        <v>461</v>
      </c>
      <c r="D281" s="141">
        <v>3000000</v>
      </c>
      <c r="E281" t="s">
        <v>427</v>
      </c>
      <c r="F281" s="20" t="s">
        <v>409</v>
      </c>
      <c r="G281" s="8" t="str">
        <f t="shared" si="4"/>
        <v>FORTUNATO FRANK</v>
      </c>
    </row>
    <row r="282" spans="1:7" x14ac:dyDescent="0.25">
      <c r="A282" s="8">
        <v>42862.042997685188</v>
      </c>
      <c r="B282" t="s">
        <v>464</v>
      </c>
      <c r="C282" t="s">
        <v>465</v>
      </c>
      <c r="D282" s="141">
        <v>2680000</v>
      </c>
      <c r="E282" t="s">
        <v>366</v>
      </c>
      <c r="F282" s="20" t="s">
        <v>367</v>
      </c>
      <c r="G282" s="8" t="str">
        <f t="shared" si="4"/>
        <v>DUNCAN SHEILA</v>
      </c>
    </row>
    <row r="283" spans="1:7" x14ac:dyDescent="0.25">
      <c r="A283" s="8">
        <v>42862.043738425928</v>
      </c>
      <c r="B283" t="s">
        <v>464</v>
      </c>
      <c r="C283" t="s">
        <v>465</v>
      </c>
      <c r="D283" s="141">
        <v>2680000</v>
      </c>
      <c r="E283" t="s">
        <v>366</v>
      </c>
      <c r="F283" s="20" t="s">
        <v>367</v>
      </c>
      <c r="G283" s="8" t="str">
        <f t="shared" si="4"/>
        <v>DUNCAN SHEILA</v>
      </c>
    </row>
    <row r="284" spans="1:7" x14ac:dyDescent="0.25">
      <c r="A284" s="8">
        <v>42862.049340277779</v>
      </c>
      <c r="B284" t="s">
        <v>417</v>
      </c>
      <c r="C284" t="s">
        <v>495</v>
      </c>
      <c r="D284" s="141">
        <v>2150000</v>
      </c>
      <c r="E284" t="s">
        <v>346</v>
      </c>
      <c r="F284" s="20" t="s">
        <v>347</v>
      </c>
      <c r="G284" s="8" t="str">
        <f t="shared" si="4"/>
        <v>SWANSON BRYCE</v>
      </c>
    </row>
    <row r="285" spans="1:7" x14ac:dyDescent="0.25">
      <c r="A285" s="8">
        <v>42862.050034722219</v>
      </c>
      <c r="B285" t="s">
        <v>371</v>
      </c>
      <c r="C285" t="s">
        <v>496</v>
      </c>
      <c r="D285" s="141">
        <v>2230000</v>
      </c>
      <c r="E285" t="s">
        <v>352</v>
      </c>
      <c r="F285" s="20" t="s">
        <v>196</v>
      </c>
      <c r="G285" s="8" t="str">
        <f t="shared" si="4"/>
        <v>SMITH MICHAEL</v>
      </c>
    </row>
    <row r="286" spans="1:7" x14ac:dyDescent="0.25">
      <c r="A286" s="8">
        <v>42862.053240740737</v>
      </c>
      <c r="B286" t="s">
        <v>467</v>
      </c>
      <c r="C286" t="s">
        <v>465</v>
      </c>
      <c r="D286" s="141">
        <v>2680000</v>
      </c>
      <c r="E286" t="s">
        <v>366</v>
      </c>
      <c r="F286" s="20" t="s">
        <v>367</v>
      </c>
      <c r="G286" s="8" t="str">
        <f t="shared" si="4"/>
        <v>DUNCAN SHEILA</v>
      </c>
    </row>
    <row r="287" spans="1:7" x14ac:dyDescent="0.25">
      <c r="A287" s="8">
        <v>42862.058993055558</v>
      </c>
      <c r="B287" t="s">
        <v>398</v>
      </c>
      <c r="C287" t="s">
        <v>461</v>
      </c>
      <c r="D287" s="141">
        <v>3000000</v>
      </c>
      <c r="E287" t="s">
        <v>427</v>
      </c>
      <c r="F287" s="20" t="s">
        <v>409</v>
      </c>
      <c r="G287" s="8" t="str">
        <f t="shared" si="4"/>
        <v>FORTUNATO FRANK</v>
      </c>
    </row>
    <row r="288" spans="1:7" x14ac:dyDescent="0.25">
      <c r="A288" s="8">
        <v>42862.064722222225</v>
      </c>
      <c r="B288" t="s">
        <v>464</v>
      </c>
      <c r="C288" t="s">
        <v>465</v>
      </c>
      <c r="D288" s="141">
        <v>2680000</v>
      </c>
      <c r="E288" t="s">
        <v>366</v>
      </c>
      <c r="F288" s="20" t="s">
        <v>367</v>
      </c>
      <c r="G288" s="8" t="str">
        <f t="shared" si="4"/>
        <v>DUNCAN SHEILA</v>
      </c>
    </row>
    <row r="289" spans="1:7" x14ac:dyDescent="0.25">
      <c r="A289" s="8">
        <v>42862.070497685185</v>
      </c>
      <c r="B289" t="s">
        <v>361</v>
      </c>
      <c r="C289" t="s">
        <v>497</v>
      </c>
      <c r="D289" s="141">
        <v>2000000</v>
      </c>
      <c r="E289" t="s">
        <v>350</v>
      </c>
      <c r="F289" s="20" t="s">
        <v>193</v>
      </c>
      <c r="G289" s="8" t="str">
        <f t="shared" si="4"/>
        <v>STAMBAUGH JAMES</v>
      </c>
    </row>
    <row r="290" spans="1:7" x14ac:dyDescent="0.25">
      <c r="A290" s="8">
        <v>42862.081712962965</v>
      </c>
      <c r="B290" t="s">
        <v>385</v>
      </c>
      <c r="C290" t="s">
        <v>498</v>
      </c>
      <c r="D290" s="141">
        <v>2270000</v>
      </c>
      <c r="E290" t="s">
        <v>205</v>
      </c>
      <c r="F290" s="20" t="s">
        <v>206</v>
      </c>
      <c r="G290" s="8" t="str">
        <f t="shared" si="4"/>
        <v>BROWN JACOB</v>
      </c>
    </row>
    <row r="291" spans="1:7" x14ac:dyDescent="0.25">
      <c r="A291" s="8">
        <v>42862.089421296296</v>
      </c>
      <c r="B291" t="s">
        <v>421</v>
      </c>
      <c r="C291" t="s">
        <v>499</v>
      </c>
      <c r="D291" s="141">
        <v>2150000</v>
      </c>
      <c r="E291" t="s">
        <v>346</v>
      </c>
      <c r="F291" s="20" t="s">
        <v>347</v>
      </c>
      <c r="G291" s="8" t="str">
        <f t="shared" si="4"/>
        <v>SWANSON BRYCE</v>
      </c>
    </row>
    <row r="292" spans="1:7" x14ac:dyDescent="0.25">
      <c r="A292" s="8">
        <v>42862.102824074071</v>
      </c>
      <c r="B292" t="s">
        <v>467</v>
      </c>
      <c r="C292" t="s">
        <v>465</v>
      </c>
      <c r="D292" s="141">
        <v>2680000</v>
      </c>
      <c r="E292" t="s">
        <v>366</v>
      </c>
      <c r="F292" s="20" t="s">
        <v>367</v>
      </c>
      <c r="G292" s="8" t="str">
        <f t="shared" si="4"/>
        <v>DUNCAN SHEILA</v>
      </c>
    </row>
    <row r="293" spans="1:7" x14ac:dyDescent="0.25">
      <c r="A293" s="8">
        <v>42862.103506944448</v>
      </c>
      <c r="B293" t="s">
        <v>467</v>
      </c>
      <c r="C293" t="s">
        <v>465</v>
      </c>
      <c r="D293" s="141">
        <v>2680000</v>
      </c>
      <c r="E293" t="s">
        <v>366</v>
      </c>
      <c r="F293" s="20" t="s">
        <v>367</v>
      </c>
      <c r="G293" s="8" t="str">
        <f t="shared" si="4"/>
        <v>DUNCAN SHEILA</v>
      </c>
    </row>
    <row r="294" spans="1:7" x14ac:dyDescent="0.25">
      <c r="A294" s="8">
        <v>42813.079872685186</v>
      </c>
      <c r="B294" t="s">
        <v>348</v>
      </c>
      <c r="C294" t="s">
        <v>353</v>
      </c>
      <c r="D294" s="141">
        <v>2270000</v>
      </c>
      <c r="E294" t="s">
        <v>205</v>
      </c>
      <c r="F294" s="20" t="s">
        <v>206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348</v>
      </c>
      <c r="C295" t="s">
        <v>353</v>
      </c>
      <c r="D295" s="141">
        <v>2270000</v>
      </c>
      <c r="E295" t="s">
        <v>205</v>
      </c>
      <c r="F295" s="20" t="s">
        <v>206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351</v>
      </c>
      <c r="C296" t="s">
        <v>354</v>
      </c>
      <c r="D296" s="141">
        <v>2150000</v>
      </c>
      <c r="E296" t="s">
        <v>346</v>
      </c>
      <c r="F296" s="20" t="s">
        <v>347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349</v>
      </c>
      <c r="C297" t="s">
        <v>355</v>
      </c>
      <c r="D297" s="141">
        <v>2270000</v>
      </c>
      <c r="E297" t="s">
        <v>205</v>
      </c>
      <c r="F297" s="20" t="s">
        <v>206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776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62.01</v>
      </c>
      <c r="B2" s="168">
        <v>0.74</v>
      </c>
      <c r="C2" s="168">
        <v>43.93</v>
      </c>
      <c r="D2" s="8">
        <v>42862</v>
      </c>
      <c r="E2" s="168">
        <v>0.52</v>
      </c>
      <c r="F2" s="168" t="s">
        <v>503</v>
      </c>
      <c r="G2" s="168">
        <v>314.2</v>
      </c>
      <c r="H2" s="168">
        <v>0</v>
      </c>
      <c r="I2" s="168">
        <v>0</v>
      </c>
      <c r="J2" s="168"/>
      <c r="K2" s="168">
        <v>1006.09</v>
      </c>
      <c r="L2" s="168" t="s">
        <v>502</v>
      </c>
      <c r="M2" s="168">
        <v>62.01</v>
      </c>
      <c r="N2" s="168">
        <v>1494136800</v>
      </c>
      <c r="O2" s="168">
        <v>10</v>
      </c>
      <c r="P2" s="168">
        <v>212</v>
      </c>
      <c r="Q2" s="168">
        <v>7.13</v>
      </c>
      <c r="R2"/>
    </row>
    <row r="3" spans="1:18" x14ac:dyDescent="0.25">
      <c r="A3" s="168">
        <v>60.15</v>
      </c>
      <c r="B3" s="168">
        <v>0.63</v>
      </c>
      <c r="C3" s="168">
        <v>43.53</v>
      </c>
      <c r="D3" s="8">
        <v>42862.041666666664</v>
      </c>
      <c r="E3" s="168">
        <v>0.54</v>
      </c>
      <c r="F3" s="168" t="s">
        <v>503</v>
      </c>
      <c r="G3" s="168">
        <v>313.27</v>
      </c>
      <c r="H3" s="168">
        <v>0</v>
      </c>
      <c r="I3" s="168">
        <v>0</v>
      </c>
      <c r="J3" s="168"/>
      <c r="K3" s="168">
        <v>1006.11</v>
      </c>
      <c r="L3" s="168" t="s">
        <v>502</v>
      </c>
      <c r="M3" s="168">
        <v>60.15</v>
      </c>
      <c r="N3" s="168">
        <v>1494140400</v>
      </c>
      <c r="O3" s="168">
        <v>10</v>
      </c>
      <c r="P3" s="168">
        <v>212</v>
      </c>
      <c r="Q3" s="168">
        <v>6.07</v>
      </c>
      <c r="R3"/>
    </row>
    <row r="4" spans="1:18" x14ac:dyDescent="0.25">
      <c r="A4" s="168">
        <v>58.36</v>
      </c>
      <c r="B4" s="168">
        <v>0.49</v>
      </c>
      <c r="C4" s="168">
        <v>42.78</v>
      </c>
      <c r="D4" s="8">
        <v>42862.083333333336</v>
      </c>
      <c r="E4" s="168">
        <v>0.56000000000000005</v>
      </c>
      <c r="F4" s="168" t="s">
        <v>503</v>
      </c>
      <c r="G4" s="168">
        <v>312.33</v>
      </c>
      <c r="H4" s="168">
        <v>0</v>
      </c>
      <c r="I4" s="168">
        <v>0</v>
      </c>
      <c r="J4" s="168"/>
      <c r="K4" s="168">
        <v>1006.13</v>
      </c>
      <c r="L4" s="168" t="s">
        <v>501</v>
      </c>
      <c r="M4" s="168">
        <v>58.36</v>
      </c>
      <c r="N4" s="168">
        <v>1494144000</v>
      </c>
      <c r="O4" s="168">
        <v>10</v>
      </c>
      <c r="P4" s="168">
        <v>216</v>
      </c>
      <c r="Q4" s="168">
        <v>5.21</v>
      </c>
      <c r="R4"/>
    </row>
    <row r="5" spans="1:18" x14ac:dyDescent="0.25">
      <c r="A5" s="168">
        <v>57.02</v>
      </c>
      <c r="B5" s="168">
        <v>0.39</v>
      </c>
      <c r="C5" s="168">
        <v>42.14</v>
      </c>
      <c r="D5" s="8">
        <v>42862.125</v>
      </c>
      <c r="E5" s="168">
        <v>0.56999999999999995</v>
      </c>
      <c r="F5" s="168" t="s">
        <v>503</v>
      </c>
      <c r="G5" s="168">
        <v>311.39999999999998</v>
      </c>
      <c r="H5" s="168">
        <v>0</v>
      </c>
      <c r="I5" s="168">
        <v>0</v>
      </c>
      <c r="J5" s="168"/>
      <c r="K5" s="168">
        <v>1006.17</v>
      </c>
      <c r="L5" s="168" t="s">
        <v>501</v>
      </c>
      <c r="M5" s="168">
        <v>57.02</v>
      </c>
      <c r="N5" s="168">
        <v>1494147600</v>
      </c>
      <c r="O5" s="168">
        <v>10</v>
      </c>
      <c r="P5" s="168">
        <v>213</v>
      </c>
      <c r="Q5" s="168">
        <v>5.05</v>
      </c>
      <c r="R5"/>
    </row>
    <row r="6" spans="1:18" x14ac:dyDescent="0.25">
      <c r="A6" s="168">
        <v>55.82</v>
      </c>
      <c r="B6" s="168">
        <v>0.44</v>
      </c>
      <c r="C6" s="168">
        <v>41.37</v>
      </c>
      <c r="D6" s="8">
        <v>42862.166666666664</v>
      </c>
      <c r="E6" s="168">
        <v>0.57999999999999996</v>
      </c>
      <c r="F6" s="168" t="s">
        <v>503</v>
      </c>
      <c r="G6" s="168">
        <v>310.61</v>
      </c>
      <c r="H6" s="168">
        <v>0</v>
      </c>
      <c r="I6" s="168">
        <v>0</v>
      </c>
      <c r="J6" s="168"/>
      <c r="K6" s="168">
        <v>1006.51</v>
      </c>
      <c r="L6" s="168" t="s">
        <v>501</v>
      </c>
      <c r="M6" s="168">
        <v>55.82</v>
      </c>
      <c r="N6" s="168">
        <v>1494151200</v>
      </c>
      <c r="O6" s="168">
        <v>10</v>
      </c>
      <c r="P6" s="168">
        <v>215</v>
      </c>
      <c r="Q6" s="168">
        <v>5.56</v>
      </c>
      <c r="R6"/>
    </row>
    <row r="7" spans="1:18" x14ac:dyDescent="0.25">
      <c r="A7" s="168">
        <v>54.78</v>
      </c>
      <c r="B7" s="168">
        <v>0.57999999999999996</v>
      </c>
      <c r="C7" s="168">
        <v>40.39</v>
      </c>
      <c r="D7" s="8">
        <v>42862.208333333336</v>
      </c>
      <c r="E7" s="168">
        <v>0.57999999999999996</v>
      </c>
      <c r="F7" s="168" t="s">
        <v>503</v>
      </c>
      <c r="G7" s="168">
        <v>309.89</v>
      </c>
      <c r="H7" s="168">
        <v>0</v>
      </c>
      <c r="I7" s="168">
        <v>0</v>
      </c>
      <c r="J7" s="168"/>
      <c r="K7" s="168">
        <v>1006.99</v>
      </c>
      <c r="L7" s="168" t="s">
        <v>501</v>
      </c>
      <c r="M7" s="168">
        <v>54.78</v>
      </c>
      <c r="N7" s="168">
        <v>1494154800</v>
      </c>
      <c r="O7" s="168">
        <v>10</v>
      </c>
      <c r="P7" s="168">
        <v>215</v>
      </c>
      <c r="Q7" s="168">
        <v>5.65</v>
      </c>
      <c r="R7"/>
    </row>
    <row r="8" spans="1:18" x14ac:dyDescent="0.25">
      <c r="A8" s="168">
        <v>55.09</v>
      </c>
      <c r="B8" s="168">
        <v>0.67</v>
      </c>
      <c r="C8" s="168">
        <v>40.07</v>
      </c>
      <c r="D8" s="8">
        <v>42862.25</v>
      </c>
      <c r="E8" s="168">
        <v>0.56999999999999995</v>
      </c>
      <c r="F8" s="168" t="s">
        <v>500</v>
      </c>
      <c r="G8" s="168">
        <v>309.3</v>
      </c>
      <c r="H8" s="168">
        <v>0</v>
      </c>
      <c r="I8" s="168">
        <v>0</v>
      </c>
      <c r="J8" s="168"/>
      <c r="K8" s="168">
        <v>1007.31</v>
      </c>
      <c r="L8" s="168" t="s">
        <v>502</v>
      </c>
      <c r="M8" s="168">
        <v>55.09</v>
      </c>
      <c r="N8" s="168">
        <v>1494158400</v>
      </c>
      <c r="O8" s="168">
        <v>10</v>
      </c>
      <c r="P8" s="168">
        <v>221</v>
      </c>
      <c r="Q8" s="168">
        <v>5.17</v>
      </c>
      <c r="R8"/>
    </row>
    <row r="9" spans="1:18" x14ac:dyDescent="0.25">
      <c r="A9" s="168">
        <v>57.16</v>
      </c>
      <c r="B9" s="168">
        <v>0.65</v>
      </c>
      <c r="C9" s="168">
        <v>40.65</v>
      </c>
      <c r="D9" s="8">
        <v>42862.291666666664</v>
      </c>
      <c r="E9" s="168">
        <v>0.54</v>
      </c>
      <c r="F9" s="168" t="s">
        <v>500</v>
      </c>
      <c r="G9" s="168">
        <v>308.62</v>
      </c>
      <c r="H9" s="168">
        <v>0</v>
      </c>
      <c r="I9" s="168">
        <v>0</v>
      </c>
      <c r="J9" s="168"/>
      <c r="K9" s="168">
        <v>1007.28</v>
      </c>
      <c r="L9" s="168" t="s">
        <v>502</v>
      </c>
      <c r="M9" s="168">
        <v>57.16</v>
      </c>
      <c r="N9" s="168">
        <v>1494162000</v>
      </c>
      <c r="O9" s="168">
        <v>10</v>
      </c>
      <c r="P9" s="168">
        <v>233</v>
      </c>
      <c r="Q9" s="168">
        <v>4.2</v>
      </c>
      <c r="R9"/>
    </row>
    <row r="10" spans="1:18" x14ac:dyDescent="0.25">
      <c r="A10" s="168">
        <v>60.41</v>
      </c>
      <c r="B10" s="168">
        <v>0.55000000000000004</v>
      </c>
      <c r="C10" s="168">
        <v>41.37</v>
      </c>
      <c r="D10" s="8">
        <v>42862.333333333336</v>
      </c>
      <c r="E10" s="168">
        <v>0.49</v>
      </c>
      <c r="F10" s="168" t="s">
        <v>500</v>
      </c>
      <c r="G10" s="168">
        <v>308.07</v>
      </c>
      <c r="H10" s="168">
        <v>0</v>
      </c>
      <c r="I10" s="168">
        <v>0</v>
      </c>
      <c r="J10" s="168"/>
      <c r="K10" s="168">
        <v>1007.07</v>
      </c>
      <c r="L10" s="168" t="s">
        <v>501</v>
      </c>
      <c r="M10" s="168">
        <v>60.41</v>
      </c>
      <c r="N10" s="168">
        <v>1494165600</v>
      </c>
      <c r="O10" s="168">
        <v>10</v>
      </c>
      <c r="P10" s="168">
        <v>237</v>
      </c>
      <c r="Q10" s="168">
        <v>3.4</v>
      </c>
      <c r="R10"/>
    </row>
    <row r="11" spans="1:18" x14ac:dyDescent="0.25">
      <c r="A11" s="168">
        <v>64.84</v>
      </c>
      <c r="B11" s="168">
        <v>0.51</v>
      </c>
      <c r="C11" s="168">
        <v>42.25</v>
      </c>
      <c r="D11" s="8">
        <v>42862.375</v>
      </c>
      <c r="E11" s="168">
        <v>0.44</v>
      </c>
      <c r="F11" s="168" t="s">
        <v>500</v>
      </c>
      <c r="G11" s="168">
        <v>308.3</v>
      </c>
      <c r="H11" s="168">
        <v>0</v>
      </c>
      <c r="I11" s="168">
        <v>0</v>
      </c>
      <c r="J11" s="168"/>
      <c r="K11" s="168">
        <v>1006.8</v>
      </c>
      <c r="L11" s="168" t="s">
        <v>501</v>
      </c>
      <c r="M11" s="168">
        <v>64.84</v>
      </c>
      <c r="N11" s="168">
        <v>1494169200</v>
      </c>
      <c r="O11" s="168">
        <v>10</v>
      </c>
      <c r="P11" s="168">
        <v>228</v>
      </c>
      <c r="Q11" s="168">
        <v>2.98</v>
      </c>
      <c r="R11"/>
    </row>
    <row r="12" spans="1:18" x14ac:dyDescent="0.25">
      <c r="A12" s="168">
        <v>69.09</v>
      </c>
      <c r="B12" s="168">
        <v>0.7</v>
      </c>
      <c r="C12" s="168">
        <v>43.59</v>
      </c>
      <c r="D12" s="8">
        <v>42862.416666666664</v>
      </c>
      <c r="E12" s="168">
        <v>0.4</v>
      </c>
      <c r="F12" s="168" t="s">
        <v>500</v>
      </c>
      <c r="G12" s="168">
        <v>310.05</v>
      </c>
      <c r="H12" s="168">
        <v>0</v>
      </c>
      <c r="I12" s="168">
        <v>0</v>
      </c>
      <c r="J12" s="168"/>
      <c r="K12" s="168">
        <v>1006.54</v>
      </c>
      <c r="L12" s="168" t="s">
        <v>502</v>
      </c>
      <c r="M12" s="168">
        <v>69.09</v>
      </c>
      <c r="N12" s="168">
        <v>1494172800</v>
      </c>
      <c r="O12" s="168">
        <v>10</v>
      </c>
      <c r="P12" s="168">
        <v>233</v>
      </c>
      <c r="Q12" s="168">
        <v>2.93</v>
      </c>
      <c r="R12"/>
    </row>
    <row r="13" spans="1:18" x14ac:dyDescent="0.25">
      <c r="A13" s="168">
        <v>72.19</v>
      </c>
      <c r="B13" s="168">
        <v>0.73</v>
      </c>
      <c r="C13" s="168">
        <v>44.34</v>
      </c>
      <c r="D13" s="8">
        <v>42862.458333333336</v>
      </c>
      <c r="E13" s="168">
        <v>0.37</v>
      </c>
      <c r="F13" s="168" t="s">
        <v>500</v>
      </c>
      <c r="G13" s="168">
        <v>312.58999999999997</v>
      </c>
      <c r="H13" s="168">
        <v>0</v>
      </c>
      <c r="I13" s="168">
        <v>0</v>
      </c>
      <c r="J13" s="168"/>
      <c r="K13" s="168">
        <v>1006.25</v>
      </c>
      <c r="L13" s="168" t="s">
        <v>502</v>
      </c>
      <c r="M13" s="168">
        <v>72.19</v>
      </c>
      <c r="N13" s="168">
        <v>1494176400</v>
      </c>
      <c r="O13" s="168">
        <v>10</v>
      </c>
      <c r="P13" s="168">
        <v>231</v>
      </c>
      <c r="Q13" s="168">
        <v>0.82</v>
      </c>
      <c r="R13"/>
    </row>
    <row r="14" spans="1:18" x14ac:dyDescent="0.25">
      <c r="A14" s="168">
        <v>73.84</v>
      </c>
      <c r="B14" s="168">
        <v>0.81</v>
      </c>
      <c r="C14" s="168">
        <v>44.17</v>
      </c>
      <c r="D14" s="8">
        <v>42862.5</v>
      </c>
      <c r="E14" s="168">
        <v>0.35</v>
      </c>
      <c r="F14" s="168" t="s">
        <v>500</v>
      </c>
      <c r="G14" s="168">
        <v>314.39999999999998</v>
      </c>
      <c r="H14" s="168">
        <v>0</v>
      </c>
      <c r="I14" s="168">
        <v>0</v>
      </c>
      <c r="J14" s="168"/>
      <c r="K14" s="168">
        <v>1005.89</v>
      </c>
      <c r="L14" s="168" t="s">
        <v>502</v>
      </c>
      <c r="M14" s="168">
        <v>73.84</v>
      </c>
      <c r="N14" s="168">
        <v>1494180000</v>
      </c>
      <c r="O14" s="168">
        <v>10</v>
      </c>
      <c r="P14" s="168">
        <v>204</v>
      </c>
      <c r="Q14" s="168">
        <v>0.33</v>
      </c>
      <c r="R14"/>
    </row>
    <row r="15" spans="1:18" x14ac:dyDescent="0.25">
      <c r="A15" s="168">
        <v>75.47</v>
      </c>
      <c r="B15" s="168">
        <v>0.76</v>
      </c>
      <c r="C15" s="168">
        <v>44.17</v>
      </c>
      <c r="D15" s="8">
        <v>42862.541666666664</v>
      </c>
      <c r="E15" s="168">
        <v>0.33</v>
      </c>
      <c r="F15" s="168" t="s">
        <v>500</v>
      </c>
      <c r="G15" s="168">
        <v>314.74</v>
      </c>
      <c r="H15" s="168">
        <v>0</v>
      </c>
      <c r="I15" s="168">
        <v>0</v>
      </c>
      <c r="J15" s="168"/>
      <c r="K15" s="168">
        <v>1005.06</v>
      </c>
      <c r="L15" s="168" t="s">
        <v>502</v>
      </c>
      <c r="M15" s="168">
        <v>75.47</v>
      </c>
      <c r="N15" s="168">
        <v>1494183600</v>
      </c>
      <c r="O15" s="168">
        <v>10</v>
      </c>
      <c r="P15" s="168">
        <v>151</v>
      </c>
      <c r="Q15" s="168">
        <v>3.13</v>
      </c>
      <c r="R15"/>
    </row>
    <row r="16" spans="1:18" x14ac:dyDescent="0.25">
      <c r="A16" s="168">
        <v>76.37</v>
      </c>
      <c r="B16" s="168">
        <v>0.7</v>
      </c>
      <c r="C16" s="168">
        <v>44.16</v>
      </c>
      <c r="D16" s="8">
        <v>42862.583333333336</v>
      </c>
      <c r="E16" s="168">
        <v>0.32</v>
      </c>
      <c r="F16" s="168" t="s">
        <v>500</v>
      </c>
      <c r="G16" s="168">
        <v>314.36</v>
      </c>
      <c r="H16" s="168">
        <v>1.1000000000000001E-3</v>
      </c>
      <c r="I16" s="168">
        <v>0.02</v>
      </c>
      <c r="J16" s="168" t="s">
        <v>777</v>
      </c>
      <c r="K16" s="168">
        <v>1004.1</v>
      </c>
      <c r="L16" s="168" t="s">
        <v>502</v>
      </c>
      <c r="M16" s="168">
        <v>76.37</v>
      </c>
      <c r="N16" s="168">
        <v>1494187200</v>
      </c>
      <c r="O16" s="168">
        <v>10</v>
      </c>
      <c r="P16" s="168">
        <v>157</v>
      </c>
      <c r="Q16" s="168">
        <v>5.7</v>
      </c>
      <c r="R16"/>
    </row>
    <row r="17" spans="1:18" x14ac:dyDescent="0.25">
      <c r="A17" s="168">
        <v>76.5</v>
      </c>
      <c r="B17" s="168">
        <v>0.7</v>
      </c>
      <c r="C17" s="168">
        <v>45.62</v>
      </c>
      <c r="D17" s="8">
        <v>42862.625</v>
      </c>
      <c r="E17" s="168">
        <v>0.33</v>
      </c>
      <c r="F17" s="168" t="s">
        <v>500</v>
      </c>
      <c r="G17" s="168">
        <v>314</v>
      </c>
      <c r="H17" s="168">
        <v>1.6000000000000001E-3</v>
      </c>
      <c r="I17" s="168">
        <v>0.03</v>
      </c>
      <c r="J17" s="168" t="s">
        <v>777</v>
      </c>
      <c r="K17" s="168">
        <v>1003.8</v>
      </c>
      <c r="L17" s="168" t="s">
        <v>502</v>
      </c>
      <c r="M17" s="168">
        <v>76.5</v>
      </c>
      <c r="N17" s="168">
        <v>1494190800</v>
      </c>
      <c r="O17" s="168">
        <v>10</v>
      </c>
      <c r="P17" s="168">
        <v>149</v>
      </c>
      <c r="Q17" s="168">
        <v>6.69</v>
      </c>
      <c r="R17"/>
    </row>
    <row r="18" spans="1:18" x14ac:dyDescent="0.25">
      <c r="A18" s="168">
        <v>69.650000000000006</v>
      </c>
      <c r="B18" s="168">
        <v>0.8</v>
      </c>
      <c r="C18" s="168">
        <v>44.58</v>
      </c>
      <c r="D18" s="8">
        <v>42862.666666666664</v>
      </c>
      <c r="E18" s="168">
        <v>0.41</v>
      </c>
      <c r="F18" s="168" t="s">
        <v>500</v>
      </c>
      <c r="G18" s="168">
        <v>313.77</v>
      </c>
      <c r="H18" s="168">
        <v>1.6999999999999999E-3</v>
      </c>
      <c r="I18" s="168">
        <v>0.04</v>
      </c>
      <c r="J18" s="168" t="s">
        <v>777</v>
      </c>
      <c r="K18" s="168">
        <v>1004.52</v>
      </c>
      <c r="L18" s="168" t="s">
        <v>502</v>
      </c>
      <c r="M18" s="168">
        <v>69.650000000000006</v>
      </c>
      <c r="N18" s="168">
        <v>1494194400</v>
      </c>
      <c r="O18" s="168">
        <v>10</v>
      </c>
      <c r="P18" s="168">
        <v>172</v>
      </c>
      <c r="Q18" s="168">
        <v>2.67</v>
      </c>
      <c r="R18"/>
    </row>
    <row r="19" spans="1:18" x14ac:dyDescent="0.25">
      <c r="A19" s="168">
        <v>65.28</v>
      </c>
      <c r="B19" s="168">
        <v>0.9</v>
      </c>
      <c r="C19" s="168">
        <v>46.79</v>
      </c>
      <c r="D19" s="8">
        <v>42862.708333333336</v>
      </c>
      <c r="E19" s="168">
        <v>0.51</v>
      </c>
      <c r="F19" s="168" t="s">
        <v>500</v>
      </c>
      <c r="G19" s="168">
        <v>313.57</v>
      </c>
      <c r="H19" s="168">
        <v>2.2000000000000001E-3</v>
      </c>
      <c r="I19" s="168">
        <v>0.06</v>
      </c>
      <c r="J19" s="168" t="s">
        <v>777</v>
      </c>
      <c r="K19" s="168">
        <v>1005.8</v>
      </c>
      <c r="L19" s="168" t="s">
        <v>502</v>
      </c>
      <c r="M19" s="168">
        <v>65.28</v>
      </c>
      <c r="N19" s="168">
        <v>1494198000</v>
      </c>
      <c r="O19" s="168">
        <v>10</v>
      </c>
      <c r="P19" s="168">
        <v>181</v>
      </c>
      <c r="Q19" s="168">
        <v>1.21</v>
      </c>
      <c r="R19"/>
    </row>
    <row r="20" spans="1:18" x14ac:dyDescent="0.25">
      <c r="A20" s="168">
        <v>63.88</v>
      </c>
      <c r="B20" s="168">
        <v>0.94</v>
      </c>
      <c r="C20" s="168">
        <v>51.79</v>
      </c>
      <c r="D20" s="8">
        <v>42862.75</v>
      </c>
      <c r="E20" s="168">
        <v>0.65</v>
      </c>
      <c r="F20" s="168" t="s">
        <v>778</v>
      </c>
      <c r="G20" s="168">
        <v>313.81</v>
      </c>
      <c r="H20" s="168">
        <v>1.6999999999999999E-3</v>
      </c>
      <c r="I20" s="168">
        <v>0.04</v>
      </c>
      <c r="J20" s="168" t="s">
        <v>777</v>
      </c>
      <c r="K20" s="168">
        <v>1006.86</v>
      </c>
      <c r="L20" s="168" t="s">
        <v>779</v>
      </c>
      <c r="M20" s="168">
        <v>63.88</v>
      </c>
      <c r="N20" s="168">
        <v>1494201600</v>
      </c>
      <c r="O20" s="168">
        <v>10</v>
      </c>
      <c r="P20" s="168">
        <v>151</v>
      </c>
      <c r="Q20" s="168">
        <v>0.43</v>
      </c>
      <c r="R20"/>
    </row>
    <row r="21" spans="1:18" x14ac:dyDescent="0.25">
      <c r="A21" s="168">
        <v>61.69</v>
      </c>
      <c r="B21" s="168">
        <v>0.92</v>
      </c>
      <c r="C21" s="168">
        <v>51.6</v>
      </c>
      <c r="D21" s="8">
        <v>42862.791666666664</v>
      </c>
      <c r="E21" s="168">
        <v>0.69</v>
      </c>
      <c r="F21" s="168" t="s">
        <v>500</v>
      </c>
      <c r="G21" s="168">
        <v>314.86</v>
      </c>
      <c r="H21" s="168">
        <v>1.2999999999999999E-3</v>
      </c>
      <c r="I21" s="168">
        <v>0.02</v>
      </c>
      <c r="J21" s="168" t="s">
        <v>777</v>
      </c>
      <c r="K21" s="168">
        <v>1007.44</v>
      </c>
      <c r="L21" s="168" t="s">
        <v>502</v>
      </c>
      <c r="M21" s="168">
        <v>61.69</v>
      </c>
      <c r="N21" s="168">
        <v>1494205200</v>
      </c>
      <c r="O21" s="168">
        <v>10</v>
      </c>
      <c r="P21" s="168">
        <v>317</v>
      </c>
      <c r="Q21" s="168">
        <v>1.44</v>
      </c>
      <c r="R21"/>
    </row>
    <row r="22" spans="1:18" x14ac:dyDescent="0.25">
      <c r="A22" s="168">
        <v>59.28</v>
      </c>
      <c r="B22" s="168">
        <v>0.83</v>
      </c>
      <c r="C22" s="168">
        <v>50.99</v>
      </c>
      <c r="D22" s="8">
        <v>42862.833333333336</v>
      </c>
      <c r="E22" s="168">
        <v>0.74</v>
      </c>
      <c r="F22" s="168" t="s">
        <v>503</v>
      </c>
      <c r="G22" s="168">
        <v>316.35000000000002</v>
      </c>
      <c r="H22" s="168">
        <v>8.9999999999999998E-4</v>
      </c>
      <c r="I22" s="168">
        <v>0.01</v>
      </c>
      <c r="J22" s="168" t="s">
        <v>777</v>
      </c>
      <c r="K22" s="168">
        <v>1007.81</v>
      </c>
      <c r="L22" s="168" t="s">
        <v>502</v>
      </c>
      <c r="M22" s="168">
        <v>59.28</v>
      </c>
      <c r="N22" s="168">
        <v>1494208800</v>
      </c>
      <c r="O22" s="168">
        <v>10</v>
      </c>
      <c r="P22" s="168">
        <v>172</v>
      </c>
      <c r="Q22" s="168">
        <v>1.21</v>
      </c>
      <c r="R22"/>
    </row>
    <row r="23" spans="1:18" x14ac:dyDescent="0.25">
      <c r="A23" s="168">
        <v>56.89</v>
      </c>
      <c r="B23" s="168">
        <v>0.75</v>
      </c>
      <c r="C23" s="168">
        <v>49.87</v>
      </c>
      <c r="D23" s="8">
        <v>42862.875</v>
      </c>
      <c r="E23" s="168">
        <v>0.77</v>
      </c>
      <c r="F23" s="168" t="s">
        <v>503</v>
      </c>
      <c r="G23" s="168">
        <v>317.60000000000002</v>
      </c>
      <c r="H23" s="168">
        <v>0</v>
      </c>
      <c r="I23" s="168">
        <v>0</v>
      </c>
      <c r="J23" s="168"/>
      <c r="K23" s="168">
        <v>1008.18</v>
      </c>
      <c r="L23" s="168" t="s">
        <v>502</v>
      </c>
      <c r="M23" s="168">
        <v>56.89</v>
      </c>
      <c r="N23" s="168">
        <v>1494212400</v>
      </c>
      <c r="O23" s="168">
        <v>10</v>
      </c>
      <c r="P23" s="168">
        <v>199</v>
      </c>
      <c r="Q23" s="168">
        <v>2.15</v>
      </c>
      <c r="R23"/>
    </row>
    <row r="24" spans="1:18" x14ac:dyDescent="0.25">
      <c r="A24" s="168">
        <v>56</v>
      </c>
      <c r="B24" s="168">
        <v>0.65</v>
      </c>
      <c r="C24" s="168">
        <v>49.46</v>
      </c>
      <c r="D24" s="8">
        <v>42862.916666666664</v>
      </c>
      <c r="E24" s="168">
        <v>0.79</v>
      </c>
      <c r="F24" s="168" t="s">
        <v>503</v>
      </c>
      <c r="G24" s="168">
        <v>318.41000000000003</v>
      </c>
      <c r="H24" s="168">
        <v>0</v>
      </c>
      <c r="I24" s="168">
        <v>0</v>
      </c>
      <c r="J24" s="168"/>
      <c r="K24" s="168">
        <v>1008.68</v>
      </c>
      <c r="L24" s="168" t="s">
        <v>502</v>
      </c>
      <c r="M24" s="168">
        <v>56</v>
      </c>
      <c r="N24" s="168">
        <v>1494216000</v>
      </c>
      <c r="O24" s="168">
        <v>10</v>
      </c>
      <c r="P24" s="168">
        <v>211</v>
      </c>
      <c r="Q24" s="168">
        <v>2.94</v>
      </c>
      <c r="R24"/>
    </row>
    <row r="25" spans="1:18" x14ac:dyDescent="0.25">
      <c r="A25" s="168">
        <v>54.81</v>
      </c>
      <c r="B25" s="168">
        <v>0.55000000000000004</v>
      </c>
      <c r="C25" s="168">
        <v>48.31</v>
      </c>
      <c r="D25" s="8">
        <v>42862.958333333336</v>
      </c>
      <c r="E25" s="168">
        <v>0.79</v>
      </c>
      <c r="F25" s="168" t="s">
        <v>503</v>
      </c>
      <c r="G25" s="168">
        <v>318.99</v>
      </c>
      <c r="H25" s="168">
        <v>0</v>
      </c>
      <c r="I25" s="168">
        <v>0</v>
      </c>
      <c r="J25" s="168"/>
      <c r="K25" s="168">
        <v>1009.21</v>
      </c>
      <c r="L25" s="168" t="s">
        <v>501</v>
      </c>
      <c r="M25" s="168">
        <v>54.81</v>
      </c>
      <c r="N25" s="168">
        <v>1494219600</v>
      </c>
      <c r="O25" s="168">
        <v>10</v>
      </c>
      <c r="P25" s="168">
        <v>204</v>
      </c>
      <c r="Q25" s="168">
        <v>2.62</v>
      </c>
      <c r="R25"/>
    </row>
    <row r="26" spans="1:18" x14ac:dyDescent="0.25">
      <c r="A26" s="168">
        <v>53.64</v>
      </c>
      <c r="B26" s="168">
        <v>0.51</v>
      </c>
      <c r="C26" s="168">
        <v>47.23</v>
      </c>
      <c r="D26" s="8">
        <v>42863</v>
      </c>
      <c r="E26" s="168">
        <v>0.79</v>
      </c>
      <c r="F26" s="168" t="s">
        <v>503</v>
      </c>
      <c r="G26" s="168">
        <v>319.27</v>
      </c>
      <c r="H26" s="168">
        <v>0</v>
      </c>
      <c r="I26" s="168">
        <v>0</v>
      </c>
      <c r="J26" s="168"/>
      <c r="K26" s="168">
        <v>1009.59</v>
      </c>
      <c r="L26" s="168" t="s">
        <v>501</v>
      </c>
      <c r="M26" s="168">
        <v>53.64</v>
      </c>
      <c r="N26" s="168">
        <v>1494223200</v>
      </c>
      <c r="O26" s="168">
        <v>10</v>
      </c>
      <c r="P26" s="168">
        <v>206</v>
      </c>
      <c r="Q26" s="168">
        <v>2.4300000000000002</v>
      </c>
      <c r="R26"/>
    </row>
    <row r="27" spans="1:18" x14ac:dyDescent="0.25">
      <c r="A27" s="168">
        <v>52.83</v>
      </c>
      <c r="B27" s="168">
        <v>0.55000000000000004</v>
      </c>
      <c r="C27" s="168">
        <v>46.63</v>
      </c>
      <c r="D27" s="8">
        <v>42863.041666666664</v>
      </c>
      <c r="E27" s="168">
        <v>0.79</v>
      </c>
      <c r="F27" s="168" t="s">
        <v>503</v>
      </c>
      <c r="G27" s="168">
        <v>318.95</v>
      </c>
      <c r="H27" s="168">
        <v>0</v>
      </c>
      <c r="I27" s="168">
        <v>0</v>
      </c>
      <c r="J27" s="168"/>
      <c r="K27" s="168">
        <v>1009.7</v>
      </c>
      <c r="L27" s="168" t="s">
        <v>501</v>
      </c>
      <c r="M27" s="168">
        <v>52.83</v>
      </c>
      <c r="N27" s="168">
        <v>1494226800</v>
      </c>
      <c r="O27" s="168">
        <v>10</v>
      </c>
      <c r="P27" s="168">
        <v>216</v>
      </c>
      <c r="Q27" s="168">
        <v>3.32</v>
      </c>
      <c r="R27"/>
    </row>
    <row r="28" spans="1:18" x14ac:dyDescent="0.25">
      <c r="A28" s="168">
        <v>51.9</v>
      </c>
      <c r="B28" s="168">
        <v>0.61</v>
      </c>
      <c r="C28" s="168">
        <v>45.9</v>
      </c>
      <c r="D28" s="8">
        <v>42863.083333333336</v>
      </c>
      <c r="E28" s="168">
        <v>0.8</v>
      </c>
      <c r="F28" s="168" t="s">
        <v>503</v>
      </c>
      <c r="G28" s="168">
        <v>318.63</v>
      </c>
      <c r="H28" s="168">
        <v>0</v>
      </c>
      <c r="I28" s="168">
        <v>0</v>
      </c>
      <c r="J28" s="168"/>
      <c r="K28" s="168">
        <v>1009.81</v>
      </c>
      <c r="L28" s="168" t="s">
        <v>502</v>
      </c>
      <c r="M28" s="168">
        <v>51.9</v>
      </c>
      <c r="N28" s="168">
        <v>1494230400</v>
      </c>
      <c r="O28" s="168">
        <v>10</v>
      </c>
      <c r="P28" s="168">
        <v>219</v>
      </c>
      <c r="Q28" s="168">
        <v>3.46</v>
      </c>
      <c r="R28"/>
    </row>
    <row r="29" spans="1:18" x14ac:dyDescent="0.25">
      <c r="A29" s="168">
        <v>50.46</v>
      </c>
      <c r="B29" s="168">
        <v>0.66</v>
      </c>
      <c r="C29" s="168">
        <v>44.81</v>
      </c>
      <c r="D29" s="8">
        <v>42863.125</v>
      </c>
      <c r="E29" s="168">
        <v>0.81</v>
      </c>
      <c r="F29" s="168" t="s">
        <v>503</v>
      </c>
      <c r="G29" s="168">
        <v>318.31</v>
      </c>
      <c r="H29" s="168">
        <v>0</v>
      </c>
      <c r="I29" s="168">
        <v>0</v>
      </c>
      <c r="J29" s="168"/>
      <c r="K29" s="168">
        <v>1009.93</v>
      </c>
      <c r="L29" s="168" t="s">
        <v>502</v>
      </c>
      <c r="M29" s="168">
        <v>50.46</v>
      </c>
      <c r="N29" s="168">
        <v>1494234000</v>
      </c>
      <c r="O29" s="168">
        <v>10</v>
      </c>
      <c r="P29" s="168">
        <v>218</v>
      </c>
      <c r="Q29" s="168">
        <v>3.56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341</v>
      </c>
      <c r="U1" s="159"/>
      <c r="V1" s="159"/>
      <c r="W1" s="159"/>
      <c r="X1" s="159"/>
    </row>
    <row r="2" spans="1:24" ht="15.75" thickBot="1" x14ac:dyDescent="0.3">
      <c r="A2" s="12">
        <v>42862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342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343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344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345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946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947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548</v>
      </c>
      <c r="J20" s="143" t="s">
        <v>87</v>
      </c>
      <c r="M20" s="157" t="s">
        <v>408</v>
      </c>
      <c r="N20" s="157" t="s">
        <v>340</v>
      </c>
      <c r="T20" s="158"/>
      <c r="U20" s="158"/>
      <c r="V20" s="158"/>
      <c r="W20" s="158"/>
      <c r="X20" s="158"/>
    </row>
    <row r="21" spans="3:24" x14ac:dyDescent="0.25">
      <c r="C21" t="s">
        <v>948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949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950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951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952</v>
      </c>
      <c r="J25" s="143" t="s">
        <v>150</v>
      </c>
      <c r="M25" s="157" t="b">
        <v>1</v>
      </c>
    </row>
    <row r="26" spans="3:24" x14ac:dyDescent="0.25">
      <c r="C26" t="s">
        <v>953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C:\Users\stu\Documents\GitHub\eaglep3-reporting\EC\2017-05-07-refined-times.txt</v>
      </c>
    </row>
    <row r="27" spans="3:24" x14ac:dyDescent="0.25">
      <c r="C27" t="s">
        <v>954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C:\Users\stu\Documents\GitHub\eaglep3-reporting\EC\2017-05-07-Enforcements.txt</v>
      </c>
    </row>
    <row r="28" spans="3:24" x14ac:dyDescent="0.25">
      <c r="C28" t="s">
        <v>955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C:\Users\stu\Documents\GitHub\eaglep3-reporting\EC\2017-05-07-Runs-refined.txt</v>
      </c>
    </row>
    <row r="29" spans="3:24" x14ac:dyDescent="0.25">
      <c r="C29" t="s">
        <v>956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C:\Users\stu\Documents\GitHub\eaglep3-reporting\EC\2017-05-07-Trips.txt</v>
      </c>
    </row>
    <row r="30" spans="3:24" x14ac:dyDescent="0.25">
      <c r="C30" t="s">
        <v>957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C:\Users\stu\Documents\GitHub\eaglep3-reporting\EC\2017-05-07-Weather.txt</v>
      </c>
    </row>
    <row r="31" spans="3:24" x14ac:dyDescent="0.25">
      <c r="C31" t="s">
        <v>958</v>
      </c>
      <c r="J31" s="143" t="s">
        <v>200</v>
      </c>
      <c r="M31" s="157" t="s">
        <v>201</v>
      </c>
    </row>
    <row r="32" spans="3:24" x14ac:dyDescent="0.25">
      <c r="C32" t="s">
        <v>959</v>
      </c>
    </row>
    <row r="33" spans="3:3" x14ac:dyDescent="0.25">
      <c r="C33" t="s">
        <v>960</v>
      </c>
    </row>
    <row r="34" spans="3:3" x14ac:dyDescent="0.25">
      <c r="C34" t="s">
        <v>961</v>
      </c>
    </row>
    <row r="35" spans="3:3" x14ac:dyDescent="0.25">
      <c r="C35" t="s">
        <v>962</v>
      </c>
    </row>
    <row r="36" spans="3:3" x14ac:dyDescent="0.25">
      <c r="C36" t="s">
        <v>963</v>
      </c>
    </row>
    <row r="37" spans="3:3" x14ac:dyDescent="0.25">
      <c r="C37" t="s">
        <v>964</v>
      </c>
    </row>
    <row r="38" spans="3:3" x14ac:dyDescent="0.25">
      <c r="C38" t="s">
        <v>965</v>
      </c>
    </row>
    <row r="39" spans="3:3" x14ac:dyDescent="0.25">
      <c r="C39" t="s">
        <v>966</v>
      </c>
    </row>
    <row r="40" spans="3:3" x14ac:dyDescent="0.25">
      <c r="C40" t="s">
        <v>967</v>
      </c>
    </row>
    <row r="41" spans="3:3" x14ac:dyDescent="0.25">
      <c r="C41" t="s">
        <v>968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359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360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210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211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212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213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214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215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216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217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218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219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220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221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222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223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224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225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226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227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228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229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230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231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232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233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234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235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236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237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238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239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240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241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242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243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244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245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246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247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248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249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250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251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252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253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254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255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256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257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258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259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260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261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262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263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264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265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266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267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268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269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270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271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272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273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274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275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276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277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278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279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280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281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282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283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284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285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286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287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288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289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290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291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292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293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294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295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296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297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298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299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300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301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302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303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304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305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306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307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308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309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310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311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312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313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314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315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316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317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318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319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320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321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322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323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324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325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326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327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328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329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330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331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332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333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334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335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336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337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338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339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2017-05-09T15:54:09Z</dcterms:modified>
</cp:coreProperties>
</file>