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482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Enforcements!$A$6:$AC$75</definedName>
    <definedName name="_xlnm._FilterDatabase" localSheetId="2" hidden="1">'Missing Trips'!$B$2:$I$2</definedName>
    <definedName name="_xlnm._FilterDatabase" localSheetId="0" hidden="1">'Train Runs'!$A$12:$AG$244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Runs'!$A$12:$J$72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6" i="9" l="1"/>
  <c r="C76" i="9"/>
  <c r="B77" i="9"/>
  <c r="C78" i="9" s="1"/>
  <c r="C77" i="9"/>
  <c r="B78" i="9"/>
  <c r="B79" i="9"/>
  <c r="C80" i="9" s="1"/>
  <c r="C79" i="9"/>
  <c r="B80" i="9"/>
  <c r="B81" i="9"/>
  <c r="C82" i="9" s="1"/>
  <c r="C81" i="9"/>
  <c r="B82" i="9"/>
  <c r="B83" i="9"/>
  <c r="C84" i="9" s="1"/>
  <c r="C83" i="9"/>
  <c r="B84" i="9"/>
  <c r="B85" i="9"/>
  <c r="C86" i="9" s="1"/>
  <c r="C85" i="9"/>
  <c r="B86" i="9"/>
  <c r="B87" i="9"/>
  <c r="C88" i="9" s="1"/>
  <c r="C87" i="9"/>
  <c r="B88" i="9"/>
  <c r="B89" i="9"/>
  <c r="C90" i="9" s="1"/>
  <c r="C89" i="9"/>
  <c r="B90" i="9"/>
  <c r="B91" i="9"/>
  <c r="C92" i="9" s="1"/>
  <c r="C91" i="9"/>
  <c r="B92" i="9"/>
  <c r="B93" i="9"/>
  <c r="C94" i="9" s="1"/>
  <c r="C93" i="9"/>
  <c r="B94" i="9"/>
  <c r="B95" i="9"/>
  <c r="C96" i="9" s="1"/>
  <c r="C95" i="9"/>
  <c r="B96" i="9"/>
  <c r="B97" i="9"/>
  <c r="C98" i="9" s="1"/>
  <c r="C97" i="9"/>
  <c r="B98" i="9"/>
  <c r="B99" i="9"/>
  <c r="C100" i="9" s="1"/>
  <c r="C99" i="9"/>
  <c r="B100" i="9"/>
  <c r="B101" i="9"/>
  <c r="C102" i="9" s="1"/>
  <c r="C101" i="9"/>
  <c r="B102" i="9"/>
  <c r="B103" i="9"/>
  <c r="C104" i="9" s="1"/>
  <c r="C103" i="9"/>
  <c r="B104" i="9"/>
  <c r="B105" i="9"/>
  <c r="C106" i="9" s="1"/>
  <c r="C105" i="9"/>
  <c r="B106" i="9"/>
  <c r="B107" i="9"/>
  <c r="C108" i="9" s="1"/>
  <c r="C107" i="9"/>
  <c r="B108" i="9"/>
  <c r="B109" i="9"/>
  <c r="C110" i="9" s="1"/>
  <c r="C109" i="9"/>
  <c r="B110" i="9"/>
  <c r="B111" i="9"/>
  <c r="C112" i="9" s="1"/>
  <c r="C111" i="9"/>
  <c r="B112" i="9"/>
  <c r="B113" i="9"/>
  <c r="C114" i="9" s="1"/>
  <c r="C113" i="9"/>
  <c r="B114" i="9"/>
  <c r="B115" i="9"/>
  <c r="C116" i="9" s="1"/>
  <c r="C115" i="9"/>
  <c r="B116" i="9"/>
  <c r="B117" i="9"/>
  <c r="C118" i="9" s="1"/>
  <c r="C117" i="9"/>
  <c r="B118" i="9"/>
  <c r="B119" i="9"/>
  <c r="C120" i="9" s="1"/>
  <c r="C119" i="9"/>
  <c r="B120" i="9"/>
  <c r="B121" i="9"/>
  <c r="C122" i="9" s="1"/>
  <c r="C121" i="9"/>
  <c r="B122" i="9"/>
  <c r="B123" i="9"/>
  <c r="C124" i="9" s="1"/>
  <c r="C123" i="9"/>
  <c r="B124" i="9"/>
  <c r="B125" i="9"/>
  <c r="C126" i="9" s="1"/>
  <c r="C125" i="9"/>
  <c r="B126" i="9"/>
  <c r="B127" i="9"/>
  <c r="C128" i="9" s="1"/>
  <c r="C127" i="9"/>
  <c r="B128" i="9"/>
  <c r="B129" i="9"/>
  <c r="C130" i="9" s="1"/>
  <c r="C129" i="9"/>
  <c r="B130" i="9"/>
  <c r="B131" i="9"/>
  <c r="C132" i="9" s="1"/>
  <c r="C131" i="9"/>
  <c r="B132" i="9"/>
  <c r="B133" i="9"/>
  <c r="C134" i="9" s="1"/>
  <c r="C133" i="9"/>
  <c r="B134" i="9"/>
  <c r="B135" i="9"/>
  <c r="C136" i="9" s="1"/>
  <c r="C135" i="9"/>
  <c r="B136" i="9"/>
  <c r="B137" i="9"/>
  <c r="C138" i="9" s="1"/>
  <c r="C137" i="9"/>
  <c r="B138" i="9"/>
  <c r="B139" i="9"/>
  <c r="C140" i="9" s="1"/>
  <c r="C139" i="9"/>
  <c r="B140" i="9"/>
  <c r="B141" i="9"/>
  <c r="C142" i="9" s="1"/>
  <c r="C141" i="9"/>
  <c r="B142" i="9"/>
  <c r="B143" i="9"/>
  <c r="C144" i="9" s="1"/>
  <c r="C143" i="9"/>
  <c r="B144" i="9"/>
  <c r="B145" i="9"/>
  <c r="C146" i="9" s="1"/>
  <c r="C145" i="9"/>
  <c r="B146" i="9"/>
  <c r="B147" i="9"/>
  <c r="C148" i="9" s="1"/>
  <c r="C147" i="9"/>
  <c r="B148" i="9"/>
  <c r="B149" i="9"/>
  <c r="C150" i="9" s="1"/>
  <c r="C149" i="9"/>
  <c r="B150" i="9"/>
  <c r="B151" i="9"/>
  <c r="C152" i="9" s="1"/>
  <c r="C151" i="9"/>
  <c r="B152" i="9"/>
  <c r="B153" i="9"/>
  <c r="C154" i="9" s="1"/>
  <c r="C153" i="9"/>
  <c r="B154" i="9"/>
  <c r="B155" i="9"/>
  <c r="C156" i="9" s="1"/>
  <c r="C155" i="9"/>
  <c r="B156" i="9"/>
  <c r="B157" i="9"/>
  <c r="C158" i="9" s="1"/>
  <c r="C157" i="9"/>
  <c r="B158" i="9"/>
  <c r="B159" i="9"/>
  <c r="C160" i="9" s="1"/>
  <c r="C159" i="9"/>
  <c r="B160" i="9"/>
  <c r="B161" i="9"/>
  <c r="C162" i="9" s="1"/>
  <c r="C161" i="9"/>
  <c r="B162" i="9"/>
  <c r="B163" i="9"/>
  <c r="C164" i="9" s="1"/>
  <c r="C163" i="9"/>
  <c r="B164" i="9"/>
  <c r="B165" i="9"/>
  <c r="C166" i="9" s="1"/>
  <c r="C165" i="9"/>
  <c r="B166" i="9"/>
  <c r="B167" i="9"/>
  <c r="C168" i="9" s="1"/>
  <c r="C167" i="9"/>
  <c r="B168" i="9"/>
  <c r="B169" i="9"/>
  <c r="C170" i="9" s="1"/>
  <c r="C169" i="9"/>
  <c r="B170" i="9"/>
  <c r="B171" i="9"/>
  <c r="C172" i="9" s="1"/>
  <c r="C171" i="9"/>
  <c r="B172" i="9"/>
  <c r="B173" i="9"/>
  <c r="C174" i="9" s="1"/>
  <c r="C173" i="9"/>
  <c r="B174" i="9"/>
  <c r="B175" i="9"/>
  <c r="C176" i="9" s="1"/>
  <c r="C175" i="9"/>
  <c r="B176" i="9"/>
  <c r="B177" i="9"/>
  <c r="C178" i="9" s="1"/>
  <c r="C177" i="9"/>
  <c r="B178" i="9"/>
  <c r="B179" i="9"/>
  <c r="C180" i="9" s="1"/>
  <c r="C179" i="9"/>
  <c r="B180" i="9"/>
  <c r="B181" i="9"/>
  <c r="C182" i="9" s="1"/>
  <c r="C181" i="9"/>
  <c r="B182" i="9"/>
  <c r="B183" i="9"/>
  <c r="C183" i="9"/>
  <c r="P19" i="1"/>
  <c r="X20" i="1"/>
  <c r="X21" i="1"/>
  <c r="X22" i="1"/>
  <c r="K19" i="1"/>
  <c r="L19" i="1"/>
  <c r="M19" i="1"/>
  <c r="V19" i="1"/>
  <c r="Y19" i="1"/>
  <c r="Z19" i="1"/>
  <c r="AA19" i="1" s="1"/>
  <c r="AB19" i="1"/>
  <c r="AC19" i="1"/>
  <c r="AD19" i="1"/>
  <c r="AG19" i="1" s="1"/>
  <c r="AE19" i="1"/>
  <c r="AF19" i="1"/>
  <c r="AH19" i="1"/>
  <c r="X19" i="1" l="1"/>
  <c r="T19" i="1"/>
  <c r="AI19" i="1"/>
  <c r="U19" i="1"/>
  <c r="S19" i="1" s="1"/>
  <c r="W19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K15" i="1"/>
  <c r="L15" i="1"/>
  <c r="M15" i="1"/>
  <c r="N15" i="1" s="1"/>
  <c r="V15" i="1"/>
  <c r="Y15" i="1"/>
  <c r="Z15" i="1"/>
  <c r="AA15" i="1" s="1"/>
  <c r="AB15" i="1"/>
  <c r="AC15" i="1"/>
  <c r="AD15" i="1"/>
  <c r="T15" i="1" s="1"/>
  <c r="AE15" i="1"/>
  <c r="AF15" i="1"/>
  <c r="AG15" i="1"/>
  <c r="AH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AH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K20" i="1"/>
  <c r="L20" i="1"/>
  <c r="M20" i="1"/>
  <c r="N20" i="1" s="1"/>
  <c r="V20" i="1"/>
  <c r="Y20" i="1"/>
  <c r="Z20" i="1"/>
  <c r="AB20" i="1"/>
  <c r="AC20" i="1"/>
  <c r="AD20" i="1"/>
  <c r="T20" i="1" s="1"/>
  <c r="AE20" i="1"/>
  <c r="AF20" i="1"/>
  <c r="AH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K23" i="1"/>
  <c r="L23" i="1"/>
  <c r="M23" i="1"/>
  <c r="N23" i="1"/>
  <c r="V23" i="1"/>
  <c r="Y23" i="1"/>
  <c r="Z23" i="1"/>
  <c r="AB23" i="1"/>
  <c r="AC23" i="1"/>
  <c r="AD23" i="1"/>
  <c r="T23" i="1" s="1"/>
  <c r="AE23" i="1"/>
  <c r="AF23" i="1"/>
  <c r="AH23" i="1"/>
  <c r="K24" i="1"/>
  <c r="L24" i="1"/>
  <c r="M24" i="1"/>
  <c r="N24" i="1" s="1"/>
  <c r="V24" i="1"/>
  <c r="Y24" i="1"/>
  <c r="Z24" i="1"/>
  <c r="AB24" i="1"/>
  <c r="AC24" i="1"/>
  <c r="AD24" i="1"/>
  <c r="T24" i="1" s="1"/>
  <c r="AE24" i="1"/>
  <c r="AF24" i="1"/>
  <c r="AH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AH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K28" i="1"/>
  <c r="L28" i="1"/>
  <c r="M28" i="1"/>
  <c r="N28" i="1" s="1"/>
  <c r="V28" i="1"/>
  <c r="Y28" i="1"/>
  <c r="Z28" i="1"/>
  <c r="AB28" i="1"/>
  <c r="AC28" i="1"/>
  <c r="AD28" i="1"/>
  <c r="T28" i="1" s="1"/>
  <c r="AE28" i="1"/>
  <c r="AF28" i="1"/>
  <c r="AH28" i="1"/>
  <c r="K29" i="1"/>
  <c r="L29" i="1"/>
  <c r="M29" i="1"/>
  <c r="N29" i="1" s="1"/>
  <c r="V29" i="1"/>
  <c r="Y29" i="1"/>
  <c r="Z29" i="1"/>
  <c r="AB29" i="1"/>
  <c r="AC29" i="1"/>
  <c r="AD29" i="1"/>
  <c r="X29" i="1" s="1"/>
  <c r="AE29" i="1"/>
  <c r="AF29" i="1"/>
  <c r="AH29" i="1"/>
  <c r="K30" i="1"/>
  <c r="L30" i="1"/>
  <c r="M30" i="1"/>
  <c r="N30" i="1" s="1"/>
  <c r="T30" i="1"/>
  <c r="V30" i="1"/>
  <c r="S21" i="3" s="1"/>
  <c r="Y30" i="1"/>
  <c r="Z30" i="1"/>
  <c r="AB30" i="1"/>
  <c r="AC30" i="1"/>
  <c r="AD30" i="1"/>
  <c r="AE30" i="1"/>
  <c r="AF30" i="1"/>
  <c r="AH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AH31" i="1"/>
  <c r="K32" i="1"/>
  <c r="L32" i="1"/>
  <c r="M32" i="1"/>
  <c r="N32" i="1" s="1"/>
  <c r="V32" i="1"/>
  <c r="S23" i="3" s="1"/>
  <c r="Y32" i="1"/>
  <c r="Z32" i="1"/>
  <c r="AA32" i="1" s="1"/>
  <c r="AB32" i="1"/>
  <c r="AC32" i="1"/>
  <c r="AD32" i="1"/>
  <c r="T32" i="1" s="1"/>
  <c r="AE32" i="1"/>
  <c r="AF32" i="1"/>
  <c r="AH32" i="1"/>
  <c r="K33" i="1"/>
  <c r="L33" i="1"/>
  <c r="M33" i="1"/>
  <c r="N33" i="1" s="1"/>
  <c r="V33" i="1"/>
  <c r="Y33" i="1"/>
  <c r="Z33" i="1"/>
  <c r="AB33" i="1"/>
  <c r="AC33" i="1"/>
  <c r="AD33" i="1"/>
  <c r="X33" i="1" s="1"/>
  <c r="AE33" i="1"/>
  <c r="AF33" i="1"/>
  <c r="AH33" i="1"/>
  <c r="K34" i="1"/>
  <c r="L34" i="1"/>
  <c r="M34" i="1"/>
  <c r="N34" i="1" s="1"/>
  <c r="V34" i="1"/>
  <c r="Y34" i="1"/>
  <c r="Z34" i="1"/>
  <c r="AA34" i="1" s="1"/>
  <c r="AB34" i="1"/>
  <c r="AC34" i="1"/>
  <c r="AD34" i="1"/>
  <c r="X34" i="1" s="1"/>
  <c r="AE34" i="1"/>
  <c r="AF34" i="1"/>
  <c r="AH34" i="1"/>
  <c r="K35" i="1"/>
  <c r="L35" i="1"/>
  <c r="M35" i="1"/>
  <c r="N35" i="1" s="1"/>
  <c r="V35" i="1"/>
  <c r="Y35" i="1"/>
  <c r="Z35" i="1"/>
  <c r="AA35" i="1" s="1"/>
  <c r="AB35" i="1"/>
  <c r="AC35" i="1"/>
  <c r="AD35" i="1"/>
  <c r="T35" i="1" s="1"/>
  <c r="AE35" i="1"/>
  <c r="AF35" i="1"/>
  <c r="AH35" i="1"/>
  <c r="K36" i="1"/>
  <c r="L36" i="1"/>
  <c r="M36" i="1"/>
  <c r="N36" i="1" s="1"/>
  <c r="V36" i="1"/>
  <c r="S29" i="3" s="1"/>
  <c r="Y36" i="1"/>
  <c r="Z36" i="1"/>
  <c r="AA36" i="1" s="1"/>
  <c r="AB36" i="1"/>
  <c r="AC36" i="1"/>
  <c r="AD36" i="1"/>
  <c r="T36" i="1" s="1"/>
  <c r="AE36" i="1"/>
  <c r="AF36" i="1"/>
  <c r="AG36" i="1"/>
  <c r="AH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AF37" i="1"/>
  <c r="AH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R30" i="3" s="1"/>
  <c r="AF38" i="1"/>
  <c r="AH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R13" i="3" s="1"/>
  <c r="AF39" i="1"/>
  <c r="AH39" i="1"/>
  <c r="K40" i="1"/>
  <c r="L40" i="1"/>
  <c r="M40" i="1"/>
  <c r="N40" i="1" s="1"/>
  <c r="V40" i="1"/>
  <c r="Y40" i="1"/>
  <c r="Z40" i="1"/>
  <c r="AB40" i="1"/>
  <c r="AC40" i="1"/>
  <c r="AD40" i="1"/>
  <c r="T40" i="1" s="1"/>
  <c r="AE40" i="1"/>
  <c r="AF40" i="1"/>
  <c r="AH40" i="1"/>
  <c r="K41" i="1"/>
  <c r="L41" i="1"/>
  <c r="M41" i="1"/>
  <c r="N41" i="1" s="1"/>
  <c r="V41" i="1"/>
  <c r="Y41" i="1"/>
  <c r="Z41" i="1"/>
  <c r="AB41" i="1"/>
  <c r="AC41" i="1"/>
  <c r="AD41" i="1"/>
  <c r="X41" i="1" s="1"/>
  <c r="AE41" i="1"/>
  <c r="AF41" i="1"/>
  <c r="AH41" i="1"/>
  <c r="K42" i="1"/>
  <c r="L42" i="1"/>
  <c r="M42" i="1"/>
  <c r="N42" i="1" s="1"/>
  <c r="V42" i="1"/>
  <c r="Y42" i="1"/>
  <c r="Z42" i="1"/>
  <c r="AB42" i="1"/>
  <c r="AC42" i="1"/>
  <c r="AD42" i="1"/>
  <c r="X42" i="1" s="1"/>
  <c r="AE42" i="1"/>
  <c r="AF42" i="1"/>
  <c r="AH42" i="1"/>
  <c r="K43" i="1"/>
  <c r="L43" i="1"/>
  <c r="M43" i="1"/>
  <c r="N43" i="1" s="1"/>
  <c r="V43" i="1"/>
  <c r="S28" i="3" s="1"/>
  <c r="Y43" i="1"/>
  <c r="Z43" i="1"/>
  <c r="AB43" i="1"/>
  <c r="AC43" i="1"/>
  <c r="AD43" i="1"/>
  <c r="T43" i="1" s="1"/>
  <c r="AE43" i="1"/>
  <c r="R28" i="3" s="1"/>
  <c r="AF43" i="1"/>
  <c r="AH43" i="1"/>
  <c r="K44" i="1"/>
  <c r="L44" i="1"/>
  <c r="M44" i="1"/>
  <c r="N44" i="1" s="1"/>
  <c r="V44" i="1"/>
  <c r="Y44" i="1"/>
  <c r="Z44" i="1"/>
  <c r="AB44" i="1"/>
  <c r="AC44" i="1"/>
  <c r="AD44" i="1"/>
  <c r="T44" i="1" s="1"/>
  <c r="AE44" i="1"/>
  <c r="AF44" i="1"/>
  <c r="AH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AH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AH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AF47" i="1"/>
  <c r="AH47" i="1"/>
  <c r="K48" i="1"/>
  <c r="L48" i="1"/>
  <c r="M48" i="1"/>
  <c r="N48" i="1" s="1"/>
  <c r="V48" i="1"/>
  <c r="Y48" i="1"/>
  <c r="Z48" i="1"/>
  <c r="AB48" i="1"/>
  <c r="AC48" i="1"/>
  <c r="AD48" i="1"/>
  <c r="T48" i="1" s="1"/>
  <c r="AE48" i="1"/>
  <c r="AF48" i="1"/>
  <c r="AH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AH49" i="1"/>
  <c r="K50" i="1"/>
  <c r="L50" i="1"/>
  <c r="M50" i="1"/>
  <c r="N50" i="1" s="1"/>
  <c r="V50" i="1"/>
  <c r="Y50" i="1"/>
  <c r="Z50" i="1"/>
  <c r="AB50" i="1"/>
  <c r="AC50" i="1"/>
  <c r="AD50" i="1"/>
  <c r="X50" i="1" s="1"/>
  <c r="AE50" i="1"/>
  <c r="AF50" i="1"/>
  <c r="AH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K52" i="1"/>
  <c r="L52" i="1"/>
  <c r="M52" i="1"/>
  <c r="N52" i="1" s="1"/>
  <c r="V52" i="1"/>
  <c r="Y52" i="1"/>
  <c r="Z52" i="1"/>
  <c r="AB52" i="1"/>
  <c r="AC52" i="1"/>
  <c r="AD52" i="1"/>
  <c r="AG52" i="1" s="1"/>
  <c r="AI52" i="1" s="1"/>
  <c r="AE52" i="1"/>
  <c r="AF52" i="1"/>
  <c r="AH52" i="1"/>
  <c r="K53" i="1"/>
  <c r="L53" i="1"/>
  <c r="M53" i="1"/>
  <c r="N53" i="1"/>
  <c r="V53" i="1"/>
  <c r="Y53" i="1"/>
  <c r="Z53" i="1"/>
  <c r="AB53" i="1"/>
  <c r="AC53" i="1"/>
  <c r="AD53" i="1"/>
  <c r="T53" i="1" s="1"/>
  <c r="AE53" i="1"/>
  <c r="AF53" i="1"/>
  <c r="AH53" i="1"/>
  <c r="K54" i="1"/>
  <c r="L54" i="1"/>
  <c r="M54" i="1"/>
  <c r="N54" i="1" s="1"/>
  <c r="V54" i="1"/>
  <c r="S32" i="3" s="1"/>
  <c r="Y54" i="1"/>
  <c r="Z54" i="1"/>
  <c r="AB54" i="1"/>
  <c r="AC54" i="1"/>
  <c r="AD54" i="1"/>
  <c r="T54" i="1" s="1"/>
  <c r="AE54" i="1"/>
  <c r="R32" i="3" s="1"/>
  <c r="AF54" i="1"/>
  <c r="AH54" i="1"/>
  <c r="K55" i="1"/>
  <c r="L55" i="1"/>
  <c r="M55" i="1"/>
  <c r="N55" i="1" s="1"/>
  <c r="V55" i="1"/>
  <c r="Y55" i="1"/>
  <c r="Z55" i="1"/>
  <c r="AB55" i="1"/>
  <c r="AC55" i="1"/>
  <c r="AD55" i="1"/>
  <c r="AG55" i="1" s="1"/>
  <c r="AE55" i="1"/>
  <c r="AF55" i="1"/>
  <c r="AH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K59" i="1"/>
  <c r="L59" i="1"/>
  <c r="M59" i="1"/>
  <c r="N59" i="1" s="1"/>
  <c r="V59" i="1"/>
  <c r="S10" i="3" s="1"/>
  <c r="Y59" i="1"/>
  <c r="Z59" i="1"/>
  <c r="AB59" i="1"/>
  <c r="AC59" i="1"/>
  <c r="AD59" i="1"/>
  <c r="AG59" i="1" s="1"/>
  <c r="AE59" i="1"/>
  <c r="R26" i="3" s="1"/>
  <c r="AF59" i="1"/>
  <c r="AH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K61" i="1"/>
  <c r="L61" i="1"/>
  <c r="M61" i="1"/>
  <c r="N61" i="1"/>
  <c r="V61" i="1"/>
  <c r="Y61" i="1"/>
  <c r="Z61" i="1"/>
  <c r="AB61" i="1"/>
  <c r="AC61" i="1"/>
  <c r="AD61" i="1"/>
  <c r="T61" i="1" s="1"/>
  <c r="AE61" i="1"/>
  <c r="AF61" i="1"/>
  <c r="AH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K63" i="1"/>
  <c r="L63" i="1"/>
  <c r="M63" i="1"/>
  <c r="N63" i="1" s="1"/>
  <c r="V63" i="1"/>
  <c r="Y63" i="1"/>
  <c r="Z63" i="1"/>
  <c r="AB63" i="1"/>
  <c r="AC63" i="1"/>
  <c r="AD63" i="1"/>
  <c r="AG63" i="1" s="1"/>
  <c r="AE63" i="1"/>
  <c r="R24" i="3" s="1"/>
  <c r="AF63" i="1"/>
  <c r="AH63" i="1"/>
  <c r="K64" i="1"/>
  <c r="L64" i="1"/>
  <c r="M64" i="1"/>
  <c r="N64" i="1" s="1"/>
  <c r="V64" i="1"/>
  <c r="Y64" i="1"/>
  <c r="Z64" i="1"/>
  <c r="AB64" i="1"/>
  <c r="AC64" i="1"/>
  <c r="AD64" i="1"/>
  <c r="AG64" i="1" s="1"/>
  <c r="AE64" i="1"/>
  <c r="AF64" i="1"/>
  <c r="AH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K67" i="1"/>
  <c r="L67" i="1"/>
  <c r="M67" i="1"/>
  <c r="N67" i="1" s="1"/>
  <c r="V67" i="1"/>
  <c r="S14" i="3" s="1"/>
  <c r="Y67" i="1"/>
  <c r="Z67" i="1"/>
  <c r="AB67" i="1"/>
  <c r="AC67" i="1"/>
  <c r="AD67" i="1"/>
  <c r="AG67" i="1" s="1"/>
  <c r="AE67" i="1"/>
  <c r="AF67" i="1"/>
  <c r="AH67" i="1"/>
  <c r="K68" i="1"/>
  <c r="L68" i="1"/>
  <c r="M68" i="1"/>
  <c r="N68" i="1" s="1"/>
  <c r="V68" i="1"/>
  <c r="Y68" i="1"/>
  <c r="Z68" i="1"/>
  <c r="AB68" i="1"/>
  <c r="AC68" i="1"/>
  <c r="AD68" i="1"/>
  <c r="X68" i="1" s="1"/>
  <c r="AE68" i="1"/>
  <c r="AF68" i="1"/>
  <c r="AH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F69" i="1"/>
  <c r="AH69" i="1"/>
  <c r="K70" i="1"/>
  <c r="L70" i="1"/>
  <c r="M70" i="1"/>
  <c r="N70" i="1" s="1"/>
  <c r="V70" i="1"/>
  <c r="Y70" i="1"/>
  <c r="Z70" i="1"/>
  <c r="AB70" i="1"/>
  <c r="AC70" i="1"/>
  <c r="AD70" i="1"/>
  <c r="AE70" i="1"/>
  <c r="AF70" i="1"/>
  <c r="AH70" i="1"/>
  <c r="K71" i="1"/>
  <c r="L71" i="1"/>
  <c r="M71" i="1"/>
  <c r="N71" i="1" s="1"/>
  <c r="V71" i="1"/>
  <c r="Y71" i="1"/>
  <c r="Z71" i="1"/>
  <c r="AB71" i="1"/>
  <c r="AC71" i="1"/>
  <c r="AD71" i="1"/>
  <c r="AE71" i="1"/>
  <c r="R27" i="3" s="1"/>
  <c r="AF71" i="1"/>
  <c r="AH71" i="1"/>
  <c r="K72" i="1"/>
  <c r="L72" i="1"/>
  <c r="M72" i="1"/>
  <c r="N72" i="1" s="1"/>
  <c r="V72" i="1"/>
  <c r="Y72" i="1"/>
  <c r="Z72" i="1"/>
  <c r="AB72" i="1"/>
  <c r="AC72" i="1"/>
  <c r="AD72" i="1"/>
  <c r="AE72" i="1"/>
  <c r="R33" i="3" s="1"/>
  <c r="AF72" i="1"/>
  <c r="AH72" i="1"/>
  <c r="K73" i="1"/>
  <c r="L73" i="1"/>
  <c r="M73" i="1"/>
  <c r="N73" i="1" s="1"/>
  <c r="V73" i="1"/>
  <c r="Y73" i="1"/>
  <c r="Z73" i="1"/>
  <c r="AB73" i="1"/>
  <c r="AC73" i="1"/>
  <c r="AD73" i="1"/>
  <c r="AE73" i="1"/>
  <c r="AF73" i="1"/>
  <c r="AH73" i="1"/>
  <c r="K74" i="1"/>
  <c r="L74" i="1"/>
  <c r="M74" i="1"/>
  <c r="N74" i="1" s="1"/>
  <c r="V74" i="1"/>
  <c r="Y74" i="1"/>
  <c r="Z74" i="1"/>
  <c r="AB74" i="1"/>
  <c r="AC74" i="1"/>
  <c r="AD74" i="1"/>
  <c r="X74" i="1" s="1"/>
  <c r="AE74" i="1"/>
  <c r="AF74" i="1"/>
  <c r="AH74" i="1"/>
  <c r="K75" i="1"/>
  <c r="L75" i="1"/>
  <c r="M75" i="1"/>
  <c r="N75" i="1" s="1"/>
  <c r="V75" i="1"/>
  <c r="Y75" i="1"/>
  <c r="Z75" i="1"/>
  <c r="AB75" i="1"/>
  <c r="AC75" i="1"/>
  <c r="AD75" i="1"/>
  <c r="X75" i="1" s="1"/>
  <c r="AE75" i="1"/>
  <c r="AF75" i="1"/>
  <c r="AH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AH78" i="1"/>
  <c r="K79" i="1"/>
  <c r="L79" i="1"/>
  <c r="M79" i="1"/>
  <c r="N79" i="1" s="1"/>
  <c r="V79" i="1"/>
  <c r="Y79" i="1"/>
  <c r="Z79" i="1"/>
  <c r="AA79" i="1" s="1"/>
  <c r="AB79" i="1"/>
  <c r="AC79" i="1"/>
  <c r="AD79" i="1"/>
  <c r="T79" i="1" s="1"/>
  <c r="AE79" i="1"/>
  <c r="AF79" i="1"/>
  <c r="AH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AH80" i="1"/>
  <c r="K81" i="1"/>
  <c r="L81" i="1"/>
  <c r="M81" i="1"/>
  <c r="N81" i="1" s="1"/>
  <c r="V81" i="1"/>
  <c r="Y81" i="1"/>
  <c r="Z81" i="1"/>
  <c r="AA81" i="1" s="1"/>
  <c r="AB81" i="1"/>
  <c r="AC81" i="1"/>
  <c r="AD81" i="1"/>
  <c r="T81" i="1" s="1"/>
  <c r="AE81" i="1"/>
  <c r="AF81" i="1"/>
  <c r="AH81" i="1"/>
  <c r="K82" i="1"/>
  <c r="L82" i="1"/>
  <c r="M82" i="1"/>
  <c r="N82" i="1" s="1"/>
  <c r="V82" i="1"/>
  <c r="Y82" i="1"/>
  <c r="Z82" i="1"/>
  <c r="AB82" i="1"/>
  <c r="AC82" i="1"/>
  <c r="AD82" i="1"/>
  <c r="X82" i="1" s="1"/>
  <c r="AE82" i="1"/>
  <c r="AF82" i="1"/>
  <c r="AH82" i="1"/>
  <c r="K83" i="1"/>
  <c r="L83" i="1"/>
  <c r="M83" i="1"/>
  <c r="N83" i="1" s="1"/>
  <c r="V83" i="1"/>
  <c r="Y83" i="1"/>
  <c r="Z83" i="1"/>
  <c r="AA83" i="1" s="1"/>
  <c r="AB83" i="1"/>
  <c r="AC83" i="1"/>
  <c r="AD83" i="1"/>
  <c r="AG83" i="1" s="1"/>
  <c r="AE83" i="1"/>
  <c r="AF83" i="1"/>
  <c r="AH83" i="1"/>
  <c r="K84" i="1"/>
  <c r="L84" i="1"/>
  <c r="M84" i="1"/>
  <c r="N84" i="1" s="1"/>
  <c r="V84" i="1"/>
  <c r="Y84" i="1"/>
  <c r="Z84" i="1"/>
  <c r="AA84" i="1" s="1"/>
  <c r="AB84" i="1"/>
  <c r="AC84" i="1"/>
  <c r="AD84" i="1"/>
  <c r="AE84" i="1"/>
  <c r="AF84" i="1"/>
  <c r="AH84" i="1"/>
  <c r="K85" i="1"/>
  <c r="L85" i="1"/>
  <c r="M85" i="1"/>
  <c r="N85" i="1" s="1"/>
  <c r="V85" i="1"/>
  <c r="Y85" i="1"/>
  <c r="Z85" i="1"/>
  <c r="AA85" i="1" s="1"/>
  <c r="AB85" i="1"/>
  <c r="AC85" i="1"/>
  <c r="AD85" i="1"/>
  <c r="AE85" i="1"/>
  <c r="AF85" i="1"/>
  <c r="AH85" i="1"/>
  <c r="K86" i="1"/>
  <c r="L86" i="1"/>
  <c r="M86" i="1"/>
  <c r="N86" i="1" s="1"/>
  <c r="V86" i="1"/>
  <c r="Y86" i="1"/>
  <c r="Z86" i="1"/>
  <c r="AA86" i="1" s="1"/>
  <c r="AB86" i="1"/>
  <c r="AC86" i="1"/>
  <c r="AD86" i="1"/>
  <c r="T86" i="1" s="1"/>
  <c r="AE86" i="1"/>
  <c r="R34" i="3" s="1"/>
  <c r="AF86" i="1"/>
  <c r="AH86" i="1"/>
  <c r="K87" i="1"/>
  <c r="L87" i="1"/>
  <c r="M87" i="1"/>
  <c r="N87" i="1"/>
  <c r="V87" i="1"/>
  <c r="Y87" i="1"/>
  <c r="Z87" i="1"/>
  <c r="AB87" i="1"/>
  <c r="AC87" i="1"/>
  <c r="AD87" i="1"/>
  <c r="T87" i="1" s="1"/>
  <c r="AE87" i="1"/>
  <c r="AF87" i="1"/>
  <c r="AH87" i="1"/>
  <c r="K88" i="1"/>
  <c r="L88" i="1"/>
  <c r="M88" i="1"/>
  <c r="N88" i="1" s="1"/>
  <c r="V88" i="1"/>
  <c r="Y88" i="1"/>
  <c r="Z88" i="1"/>
  <c r="AB88" i="1"/>
  <c r="AC88" i="1"/>
  <c r="AD88" i="1"/>
  <c r="AG88" i="1" s="1"/>
  <c r="AE88" i="1"/>
  <c r="AF88" i="1"/>
  <c r="AH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AH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AH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K92" i="1"/>
  <c r="L92" i="1"/>
  <c r="M92" i="1"/>
  <c r="N92" i="1" s="1"/>
  <c r="V92" i="1"/>
  <c r="Y92" i="1"/>
  <c r="Z92" i="1"/>
  <c r="AA92" i="1" s="1"/>
  <c r="AB92" i="1"/>
  <c r="AC92" i="1"/>
  <c r="AD92" i="1"/>
  <c r="AG92" i="1" s="1"/>
  <c r="AE92" i="1"/>
  <c r="AF92" i="1"/>
  <c r="AH92" i="1"/>
  <c r="K93" i="1"/>
  <c r="L93" i="1"/>
  <c r="M93" i="1"/>
  <c r="N93" i="1" s="1"/>
  <c r="V93" i="1"/>
  <c r="Y93" i="1"/>
  <c r="Z93" i="1"/>
  <c r="AA93" i="1" s="1"/>
  <c r="AB93" i="1"/>
  <c r="AC93" i="1"/>
  <c r="AD93" i="1"/>
  <c r="T93" i="1" s="1"/>
  <c r="AE93" i="1"/>
  <c r="AF93" i="1"/>
  <c r="AH9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AH94" i="1"/>
  <c r="K95" i="1"/>
  <c r="L95" i="1"/>
  <c r="M95" i="1"/>
  <c r="N95" i="1" s="1"/>
  <c r="V95" i="1"/>
  <c r="Y95" i="1"/>
  <c r="Z95" i="1"/>
  <c r="AA95" i="1" s="1"/>
  <c r="AB95" i="1"/>
  <c r="AC95" i="1"/>
  <c r="AD95" i="1"/>
  <c r="T95" i="1" s="1"/>
  <c r="AE95" i="1"/>
  <c r="AF95" i="1"/>
  <c r="AH95" i="1"/>
  <c r="K96" i="1"/>
  <c r="L96" i="1"/>
  <c r="M96" i="1"/>
  <c r="N96" i="1" s="1"/>
  <c r="V96" i="1"/>
  <c r="Y96" i="1"/>
  <c r="Z96" i="1"/>
  <c r="AB96" i="1"/>
  <c r="AC96" i="1"/>
  <c r="AD96" i="1"/>
  <c r="AG96" i="1" s="1"/>
  <c r="AE96" i="1"/>
  <c r="R35" i="3" s="1"/>
  <c r="AF96" i="1"/>
  <c r="AH96" i="1"/>
  <c r="K97" i="1"/>
  <c r="L97" i="1"/>
  <c r="M97" i="1"/>
  <c r="V97" i="1"/>
  <c r="Y97" i="1"/>
  <c r="Z97" i="1"/>
  <c r="AB97" i="1"/>
  <c r="AC97" i="1"/>
  <c r="AD97" i="1"/>
  <c r="T97" i="1" s="1"/>
  <c r="AE97" i="1"/>
  <c r="R7" i="3" s="1"/>
  <c r="AF97" i="1"/>
  <c r="AH97" i="1"/>
  <c r="K98" i="1"/>
  <c r="L98" i="1"/>
  <c r="M98" i="1"/>
  <c r="V98" i="1"/>
  <c r="Y98" i="1"/>
  <c r="Z98" i="1"/>
  <c r="AB98" i="1"/>
  <c r="AC98" i="1"/>
  <c r="AD98" i="1"/>
  <c r="T98" i="1" s="1"/>
  <c r="AE98" i="1"/>
  <c r="AF98" i="1"/>
  <c r="AH98" i="1"/>
  <c r="K99" i="1"/>
  <c r="L99" i="1"/>
  <c r="M99" i="1"/>
  <c r="N99" i="1"/>
  <c r="V99" i="1"/>
  <c r="S19" i="3" s="1"/>
  <c r="Y99" i="1"/>
  <c r="Z99" i="1"/>
  <c r="AA99" i="1" s="1"/>
  <c r="AB99" i="1"/>
  <c r="AC99" i="1"/>
  <c r="AD99" i="1"/>
  <c r="T99" i="1" s="1"/>
  <c r="AE99" i="1"/>
  <c r="R19" i="3" s="1"/>
  <c r="AF99" i="1"/>
  <c r="AH99" i="1"/>
  <c r="K100" i="1"/>
  <c r="L100" i="1"/>
  <c r="M100" i="1"/>
  <c r="N100" i="1" s="1"/>
  <c r="V100" i="1"/>
  <c r="Y100" i="1"/>
  <c r="Z100" i="1"/>
  <c r="AB100" i="1"/>
  <c r="AC100" i="1"/>
  <c r="AD100" i="1"/>
  <c r="AG100" i="1" s="1"/>
  <c r="AE100" i="1"/>
  <c r="AF100" i="1"/>
  <c r="AH100" i="1"/>
  <c r="K101" i="1"/>
  <c r="L101" i="1"/>
  <c r="M101" i="1"/>
  <c r="N101" i="1" s="1"/>
  <c r="V101" i="1"/>
  <c r="S36" i="3" s="1"/>
  <c r="Y101" i="1"/>
  <c r="Z101" i="1"/>
  <c r="AB101" i="1"/>
  <c r="AC101" i="1"/>
  <c r="AD101" i="1"/>
  <c r="T101" i="1" s="1"/>
  <c r="AE101" i="1"/>
  <c r="R36" i="3" s="1"/>
  <c r="AF101" i="1"/>
  <c r="AH101" i="1"/>
  <c r="K102" i="1"/>
  <c r="L102" i="1"/>
  <c r="M102" i="1"/>
  <c r="N102" i="1" s="1"/>
  <c r="V102" i="1"/>
  <c r="Y102" i="1"/>
  <c r="Z102" i="1"/>
  <c r="AB102" i="1"/>
  <c r="AC102" i="1"/>
  <c r="AD102" i="1"/>
  <c r="X102" i="1" s="1"/>
  <c r="AE102" i="1"/>
  <c r="AF102" i="1"/>
  <c r="AH102" i="1"/>
  <c r="K103" i="1"/>
  <c r="L103" i="1"/>
  <c r="M103" i="1"/>
  <c r="N103" i="1" s="1"/>
  <c r="V103" i="1"/>
  <c r="S37" i="3" s="1"/>
  <c r="Y103" i="1"/>
  <c r="Z103" i="1"/>
  <c r="AB103" i="1"/>
  <c r="AC103" i="1"/>
  <c r="AD103" i="1"/>
  <c r="T103" i="1" s="1"/>
  <c r="AE103" i="1"/>
  <c r="R37" i="3" s="1"/>
  <c r="AF103" i="1"/>
  <c r="AH103" i="1"/>
  <c r="K104" i="1"/>
  <c r="L104" i="1"/>
  <c r="M104" i="1"/>
  <c r="N104" i="1" s="1"/>
  <c r="V104" i="1"/>
  <c r="Y104" i="1"/>
  <c r="Z104" i="1"/>
  <c r="AB104" i="1"/>
  <c r="AC104" i="1"/>
  <c r="AD104" i="1"/>
  <c r="AG104" i="1" s="1"/>
  <c r="AE104" i="1"/>
  <c r="R41" i="3" s="1"/>
  <c r="AF104" i="1"/>
  <c r="AH104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AH105" i="1"/>
  <c r="K106" i="1"/>
  <c r="L106" i="1"/>
  <c r="M106" i="1"/>
  <c r="N106" i="1" s="1"/>
  <c r="V106" i="1"/>
  <c r="Y106" i="1"/>
  <c r="Z106" i="1"/>
  <c r="AB106" i="1"/>
  <c r="AC106" i="1"/>
  <c r="AD106" i="1"/>
  <c r="X106" i="1" s="1"/>
  <c r="AE106" i="1"/>
  <c r="AF106" i="1"/>
  <c r="AH106" i="1"/>
  <c r="K107" i="1"/>
  <c r="L107" i="1"/>
  <c r="M107" i="1"/>
  <c r="N107" i="1" s="1"/>
  <c r="V107" i="1"/>
  <c r="Y107" i="1"/>
  <c r="Z107" i="1"/>
  <c r="AB107" i="1"/>
  <c r="AC107" i="1"/>
  <c r="AD107" i="1"/>
  <c r="AG107" i="1" s="1"/>
  <c r="AE107" i="1"/>
  <c r="AF107" i="1"/>
  <c r="AH107" i="1"/>
  <c r="K108" i="1"/>
  <c r="L108" i="1"/>
  <c r="M108" i="1"/>
  <c r="N108" i="1" s="1"/>
  <c r="V108" i="1"/>
  <c r="Y108" i="1"/>
  <c r="Z108" i="1"/>
  <c r="AB108" i="1"/>
  <c r="AC108" i="1"/>
  <c r="AD108" i="1"/>
  <c r="AG108" i="1" s="1"/>
  <c r="AE108" i="1"/>
  <c r="AF108" i="1"/>
  <c r="AH108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R22" i="3" s="1"/>
  <c r="AF109" i="1"/>
  <c r="AH109" i="1"/>
  <c r="K110" i="1"/>
  <c r="L110" i="1"/>
  <c r="M110" i="1"/>
  <c r="N110" i="1" s="1"/>
  <c r="V110" i="1"/>
  <c r="Y110" i="1"/>
  <c r="Z110" i="1"/>
  <c r="AB110" i="1"/>
  <c r="AC110" i="1"/>
  <c r="AD110" i="1"/>
  <c r="X110" i="1" s="1"/>
  <c r="AE110" i="1"/>
  <c r="AF110" i="1"/>
  <c r="AH110" i="1"/>
  <c r="K111" i="1"/>
  <c r="L111" i="1"/>
  <c r="M111" i="1"/>
  <c r="N111" i="1" s="1"/>
  <c r="V111" i="1"/>
  <c r="S38" i="3" s="1"/>
  <c r="Y111" i="1"/>
  <c r="Z111" i="1"/>
  <c r="AB111" i="1"/>
  <c r="AC111" i="1"/>
  <c r="AD111" i="1"/>
  <c r="AG111" i="1" s="1"/>
  <c r="AE111" i="1"/>
  <c r="AF111" i="1"/>
  <c r="AH111" i="1"/>
  <c r="K112" i="1"/>
  <c r="L112" i="1"/>
  <c r="M112" i="1"/>
  <c r="N112" i="1"/>
  <c r="V112" i="1"/>
  <c r="S8" i="3" s="1"/>
  <c r="Y112" i="1"/>
  <c r="Z112" i="1"/>
  <c r="AB112" i="1"/>
  <c r="AC112" i="1"/>
  <c r="AD112" i="1"/>
  <c r="AG112" i="1" s="1"/>
  <c r="AE112" i="1"/>
  <c r="AF112" i="1"/>
  <c r="AH112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AH113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AH114" i="1"/>
  <c r="K115" i="1"/>
  <c r="L115" i="1"/>
  <c r="M115" i="1"/>
  <c r="N115" i="1" s="1"/>
  <c r="V115" i="1"/>
  <c r="Y115" i="1"/>
  <c r="Z115" i="1"/>
  <c r="AI115" i="1" s="1"/>
  <c r="AB115" i="1"/>
  <c r="AC115" i="1"/>
  <c r="AD115" i="1"/>
  <c r="AG115" i="1" s="1"/>
  <c r="AE115" i="1"/>
  <c r="R18" i="3" s="1"/>
  <c r="AF115" i="1"/>
  <c r="AH115" i="1"/>
  <c r="K116" i="1"/>
  <c r="L116" i="1"/>
  <c r="M116" i="1"/>
  <c r="N116" i="1" s="1"/>
  <c r="V116" i="1"/>
  <c r="Y116" i="1"/>
  <c r="Z116" i="1"/>
  <c r="AA116" i="1" s="1"/>
  <c r="AB116" i="1"/>
  <c r="AC116" i="1"/>
  <c r="AD116" i="1"/>
  <c r="AE116" i="1"/>
  <c r="AF116" i="1"/>
  <c r="AH116" i="1"/>
  <c r="K117" i="1"/>
  <c r="L117" i="1"/>
  <c r="M117" i="1"/>
  <c r="N117" i="1" s="1"/>
  <c r="V117" i="1"/>
  <c r="Y117" i="1"/>
  <c r="Z117" i="1"/>
  <c r="AB117" i="1"/>
  <c r="AC117" i="1"/>
  <c r="AD117" i="1"/>
  <c r="AE117" i="1"/>
  <c r="AF117" i="1"/>
  <c r="AH117" i="1"/>
  <c r="K118" i="1"/>
  <c r="L118" i="1"/>
  <c r="M118" i="1"/>
  <c r="N118" i="1" s="1"/>
  <c r="V118" i="1"/>
  <c r="Y118" i="1"/>
  <c r="Z118" i="1"/>
  <c r="AA118" i="1" s="1"/>
  <c r="AB118" i="1"/>
  <c r="AC118" i="1"/>
  <c r="AD118" i="1"/>
  <c r="T118" i="1" s="1"/>
  <c r="AE118" i="1"/>
  <c r="AF118" i="1"/>
  <c r="AH118" i="1"/>
  <c r="K119" i="1"/>
  <c r="L119" i="1"/>
  <c r="M119" i="1"/>
  <c r="N119" i="1" s="1"/>
  <c r="V119" i="1"/>
  <c r="S39" i="3" s="1"/>
  <c r="Y119" i="1"/>
  <c r="Z119" i="1"/>
  <c r="AB119" i="1"/>
  <c r="AC119" i="1"/>
  <c r="AD119" i="1"/>
  <c r="T119" i="1" s="1"/>
  <c r="AE119" i="1"/>
  <c r="AF119" i="1"/>
  <c r="AH119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H120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AH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22" i="1"/>
  <c r="K123" i="1"/>
  <c r="L123" i="1"/>
  <c r="M123" i="1"/>
  <c r="N123" i="1" s="1"/>
  <c r="V123" i="1"/>
  <c r="Y123" i="1"/>
  <c r="Z123" i="1"/>
  <c r="AB123" i="1"/>
  <c r="AC123" i="1"/>
  <c r="AD123" i="1"/>
  <c r="AG123" i="1" s="1"/>
  <c r="AE123" i="1"/>
  <c r="AF123" i="1"/>
  <c r="AH123" i="1"/>
  <c r="K124" i="1"/>
  <c r="L124" i="1"/>
  <c r="M124" i="1"/>
  <c r="N124" i="1" s="1"/>
  <c r="V124" i="1"/>
  <c r="Y124" i="1"/>
  <c r="Z124" i="1"/>
  <c r="AA124" i="1" s="1"/>
  <c r="AB124" i="1"/>
  <c r="AC124" i="1"/>
  <c r="AD124" i="1"/>
  <c r="T124" i="1" s="1"/>
  <c r="AE124" i="1"/>
  <c r="AF124" i="1"/>
  <c r="AH124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AH125" i="1"/>
  <c r="K126" i="1"/>
  <c r="L126" i="1"/>
  <c r="M126" i="1"/>
  <c r="N126" i="1" s="1"/>
  <c r="V126" i="1"/>
  <c r="Y126" i="1"/>
  <c r="Z126" i="1"/>
  <c r="AB126" i="1"/>
  <c r="AC126" i="1"/>
  <c r="AD126" i="1"/>
  <c r="X126" i="1" s="1"/>
  <c r="AE126" i="1"/>
  <c r="AF126" i="1"/>
  <c r="AH126" i="1"/>
  <c r="K127" i="1"/>
  <c r="L127" i="1"/>
  <c r="M127" i="1"/>
  <c r="N127" i="1" s="1"/>
  <c r="V127" i="1"/>
  <c r="Y127" i="1"/>
  <c r="Z127" i="1"/>
  <c r="AA127" i="1" s="1"/>
  <c r="AB127" i="1"/>
  <c r="AC127" i="1"/>
  <c r="AD127" i="1"/>
  <c r="AG127" i="1" s="1"/>
  <c r="AE127" i="1"/>
  <c r="AF127" i="1"/>
  <c r="AH127" i="1"/>
  <c r="K128" i="1"/>
  <c r="L128" i="1"/>
  <c r="M128" i="1"/>
  <c r="N128" i="1"/>
  <c r="V128" i="1"/>
  <c r="AB128" i="1"/>
  <c r="AC128" i="1"/>
  <c r="AD128" i="1"/>
  <c r="T128" i="1" s="1"/>
  <c r="AE128" i="1"/>
  <c r="AF128" i="1"/>
  <c r="AH128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AH129" i="1"/>
  <c r="K130" i="1"/>
  <c r="L130" i="1"/>
  <c r="M130" i="1"/>
  <c r="N130" i="1" s="1"/>
  <c r="V130" i="1"/>
  <c r="Y130" i="1"/>
  <c r="Z130" i="1"/>
  <c r="AB130" i="1"/>
  <c r="AC130" i="1"/>
  <c r="AD130" i="1"/>
  <c r="AE130" i="1"/>
  <c r="AF130" i="1"/>
  <c r="AH130" i="1"/>
  <c r="K131" i="1"/>
  <c r="L131" i="1"/>
  <c r="M131" i="1"/>
  <c r="N131" i="1" s="1"/>
  <c r="V131" i="1"/>
  <c r="Y131" i="1"/>
  <c r="Z131" i="1"/>
  <c r="AB131" i="1"/>
  <c r="AC131" i="1"/>
  <c r="AD131" i="1"/>
  <c r="AG131" i="1" s="1"/>
  <c r="AE131" i="1"/>
  <c r="AF131" i="1"/>
  <c r="AH131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AH132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R25" i="3" s="1"/>
  <c r="AF133" i="1"/>
  <c r="AH133" i="1"/>
  <c r="K134" i="1"/>
  <c r="L134" i="1"/>
  <c r="M134" i="1"/>
  <c r="N134" i="1" s="1"/>
  <c r="V134" i="1"/>
  <c r="X134" i="1"/>
  <c r="Y134" i="1"/>
  <c r="Z134" i="1"/>
  <c r="AB134" i="1"/>
  <c r="AC134" i="1"/>
  <c r="AD134" i="1"/>
  <c r="T134" i="1" s="1"/>
  <c r="AE134" i="1"/>
  <c r="AF134" i="1"/>
  <c r="AG134" i="1"/>
  <c r="AH134" i="1"/>
  <c r="K135" i="1"/>
  <c r="L135" i="1"/>
  <c r="M135" i="1"/>
  <c r="N135" i="1" s="1"/>
  <c r="V135" i="1"/>
  <c r="Y135" i="1"/>
  <c r="Z135" i="1"/>
  <c r="AB135" i="1"/>
  <c r="AC135" i="1"/>
  <c r="AD135" i="1"/>
  <c r="X135" i="1" s="1"/>
  <c r="AE135" i="1"/>
  <c r="AF135" i="1"/>
  <c r="AH135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AH136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AH137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AH138" i="1"/>
  <c r="K139" i="1"/>
  <c r="L139" i="1"/>
  <c r="M139" i="1"/>
  <c r="N139" i="1" s="1"/>
  <c r="V139" i="1"/>
  <c r="Y139" i="1"/>
  <c r="Z139" i="1"/>
  <c r="AA139" i="1" s="1"/>
  <c r="W139" i="1" s="1"/>
  <c r="AB139" i="1"/>
  <c r="AC139" i="1"/>
  <c r="AD139" i="1"/>
  <c r="AG139" i="1" s="1"/>
  <c r="AE139" i="1"/>
  <c r="AF139" i="1"/>
  <c r="AH139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AH140" i="1"/>
  <c r="K141" i="1"/>
  <c r="L141" i="1"/>
  <c r="M141" i="1"/>
  <c r="N141" i="1" s="1"/>
  <c r="V141" i="1"/>
  <c r="S12" i="3" s="1"/>
  <c r="Y141" i="1"/>
  <c r="Z141" i="1"/>
  <c r="AB141" i="1"/>
  <c r="AC141" i="1"/>
  <c r="AD141" i="1"/>
  <c r="T141" i="1" s="1"/>
  <c r="AE141" i="1"/>
  <c r="R12" i="3" s="1"/>
  <c r="AF141" i="1"/>
  <c r="AH141" i="1"/>
  <c r="K142" i="1"/>
  <c r="L142" i="1"/>
  <c r="M142" i="1"/>
  <c r="N142" i="1" s="1"/>
  <c r="V142" i="1"/>
  <c r="Y142" i="1"/>
  <c r="Z142" i="1"/>
  <c r="AB142" i="1"/>
  <c r="AC142" i="1"/>
  <c r="AD142" i="1"/>
  <c r="X142" i="1" s="1"/>
  <c r="AE142" i="1"/>
  <c r="R20" i="3" s="1"/>
  <c r="AF142" i="1"/>
  <c r="AH142" i="1"/>
  <c r="K143" i="1"/>
  <c r="L143" i="1"/>
  <c r="M143" i="1"/>
  <c r="N143" i="1" s="1"/>
  <c r="V143" i="1"/>
  <c r="Y143" i="1"/>
  <c r="Z143" i="1"/>
  <c r="AB143" i="1"/>
  <c r="AC143" i="1"/>
  <c r="AD143" i="1"/>
  <c r="AG143" i="1" s="1"/>
  <c r="AE143" i="1"/>
  <c r="AF143" i="1"/>
  <c r="AH143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AH144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AH145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46" i="1"/>
  <c r="K147" i="1"/>
  <c r="L147" i="1"/>
  <c r="M147" i="1"/>
  <c r="N147" i="1" s="1"/>
  <c r="V147" i="1"/>
  <c r="Y147" i="1"/>
  <c r="Z147" i="1"/>
  <c r="AI147" i="1" s="1"/>
  <c r="AB147" i="1"/>
  <c r="AC147" i="1"/>
  <c r="AD147" i="1"/>
  <c r="AG147" i="1" s="1"/>
  <c r="AE147" i="1"/>
  <c r="AF147" i="1"/>
  <c r="AH147" i="1"/>
  <c r="K148" i="1"/>
  <c r="L148" i="1"/>
  <c r="M148" i="1"/>
  <c r="N148" i="1" s="1"/>
  <c r="V148" i="1"/>
  <c r="Y148" i="1"/>
  <c r="Z148" i="1"/>
  <c r="AB148" i="1"/>
  <c r="AC148" i="1"/>
  <c r="AD148" i="1"/>
  <c r="AE148" i="1"/>
  <c r="AF148" i="1"/>
  <c r="AH148" i="1"/>
  <c r="K149" i="1"/>
  <c r="L149" i="1"/>
  <c r="M149" i="1"/>
  <c r="N149" i="1" s="1"/>
  <c r="V149" i="1"/>
  <c r="Y149" i="1"/>
  <c r="Z149" i="1"/>
  <c r="AB149" i="1"/>
  <c r="AC149" i="1"/>
  <c r="AD149" i="1"/>
  <c r="AG149" i="1" s="1"/>
  <c r="AE149" i="1"/>
  <c r="AF149" i="1"/>
  <c r="AH149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50" i="1"/>
  <c r="K151" i="1"/>
  <c r="L151" i="1"/>
  <c r="M151" i="1"/>
  <c r="N151" i="1" s="1"/>
  <c r="V151" i="1"/>
  <c r="Y151" i="1"/>
  <c r="Z151" i="1"/>
  <c r="AB151" i="1"/>
  <c r="AC151" i="1"/>
  <c r="AD151" i="1"/>
  <c r="AG151" i="1" s="1"/>
  <c r="AE151" i="1"/>
  <c r="AF151" i="1"/>
  <c r="AH151" i="1"/>
  <c r="K152" i="1"/>
  <c r="L152" i="1"/>
  <c r="M152" i="1"/>
  <c r="N152" i="1" s="1"/>
  <c r="V152" i="1"/>
  <c r="Y152" i="1"/>
  <c r="Z152" i="1"/>
  <c r="AB152" i="1"/>
  <c r="AC152" i="1"/>
  <c r="AD152" i="1"/>
  <c r="AG152" i="1" s="1"/>
  <c r="AE152" i="1"/>
  <c r="AF152" i="1"/>
  <c r="AH152" i="1"/>
  <c r="K153" i="1"/>
  <c r="L153" i="1"/>
  <c r="M153" i="1"/>
  <c r="N153" i="1" s="1"/>
  <c r="V153" i="1"/>
  <c r="Y153" i="1"/>
  <c r="Z153" i="1"/>
  <c r="AB153" i="1"/>
  <c r="AC153" i="1"/>
  <c r="AD153" i="1"/>
  <c r="AG153" i="1" s="1"/>
  <c r="AE153" i="1"/>
  <c r="AF153" i="1"/>
  <c r="AH153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54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R40" i="3" s="1"/>
  <c r="AF155" i="1"/>
  <c r="AH155" i="1"/>
  <c r="K156" i="1"/>
  <c r="L156" i="1"/>
  <c r="M156" i="1"/>
  <c r="N156" i="1" s="1"/>
  <c r="V156" i="1"/>
  <c r="X156" i="1"/>
  <c r="Y156" i="1"/>
  <c r="Z156" i="1"/>
  <c r="AB156" i="1"/>
  <c r="AC156" i="1"/>
  <c r="AD156" i="1"/>
  <c r="T156" i="1" s="1"/>
  <c r="AE156" i="1"/>
  <c r="AF156" i="1"/>
  <c r="AG156" i="1"/>
  <c r="U156" i="1" s="1"/>
  <c r="AH156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AH157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AH158" i="1"/>
  <c r="K159" i="1"/>
  <c r="L159" i="1"/>
  <c r="M159" i="1"/>
  <c r="N159" i="1" s="1"/>
  <c r="V159" i="1"/>
  <c r="Y159" i="1"/>
  <c r="Z159" i="1"/>
  <c r="AB159" i="1"/>
  <c r="AC159" i="1"/>
  <c r="AD159" i="1"/>
  <c r="T159" i="1" s="1"/>
  <c r="AE159" i="1"/>
  <c r="AF159" i="1"/>
  <c r="AH159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160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161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162" i="1"/>
  <c r="K216" i="1"/>
  <c r="L216" i="1"/>
  <c r="M216" i="1"/>
  <c r="N216" i="1" s="1"/>
  <c r="V216" i="1"/>
  <c r="S69" i="3" s="1"/>
  <c r="Y216" i="1"/>
  <c r="Z216" i="1"/>
  <c r="AB216" i="1"/>
  <c r="AC216" i="1"/>
  <c r="AD216" i="1"/>
  <c r="T216" i="1" s="1"/>
  <c r="AE216" i="1"/>
  <c r="R69" i="3" s="1"/>
  <c r="AF216" i="1"/>
  <c r="AH163" i="1"/>
  <c r="K217" i="1"/>
  <c r="L217" i="1"/>
  <c r="M217" i="1"/>
  <c r="N217" i="1" s="1"/>
  <c r="V217" i="1"/>
  <c r="Y217" i="1"/>
  <c r="Z217" i="1"/>
  <c r="AB217" i="1"/>
  <c r="AC217" i="1"/>
  <c r="AD217" i="1"/>
  <c r="AG217" i="1" s="1"/>
  <c r="AE217" i="1"/>
  <c r="AF217" i="1"/>
  <c r="AH164" i="1"/>
  <c r="K218" i="1"/>
  <c r="L218" i="1"/>
  <c r="M218" i="1"/>
  <c r="N218" i="1" s="1"/>
  <c r="V218" i="1"/>
  <c r="Y218" i="1"/>
  <c r="Z218" i="1"/>
  <c r="AB218" i="1"/>
  <c r="AC218" i="1"/>
  <c r="AD218" i="1"/>
  <c r="X218" i="1" s="1"/>
  <c r="AE218" i="1"/>
  <c r="AF218" i="1"/>
  <c r="AH165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AH166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AH167" i="1"/>
  <c r="K221" i="1"/>
  <c r="L221" i="1"/>
  <c r="M221" i="1"/>
  <c r="N221" i="1" s="1"/>
  <c r="V221" i="1"/>
  <c r="Y221" i="1"/>
  <c r="Z221" i="1"/>
  <c r="AB221" i="1"/>
  <c r="AC221" i="1"/>
  <c r="AD221" i="1"/>
  <c r="X221" i="1" s="1"/>
  <c r="AE221" i="1"/>
  <c r="AF221" i="1"/>
  <c r="AH168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AH169" i="1"/>
  <c r="K223" i="1"/>
  <c r="L223" i="1"/>
  <c r="M223" i="1"/>
  <c r="N223" i="1" s="1"/>
  <c r="V223" i="1"/>
  <c r="Y223" i="1"/>
  <c r="Z223" i="1"/>
  <c r="AB223" i="1"/>
  <c r="AC223" i="1"/>
  <c r="AD223" i="1"/>
  <c r="T223" i="1" s="1"/>
  <c r="AE223" i="1"/>
  <c r="AF223" i="1"/>
  <c r="AH170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AF224" i="1"/>
  <c r="AH171" i="1"/>
  <c r="K231" i="1"/>
  <c r="L231" i="1"/>
  <c r="M231" i="1"/>
  <c r="N231" i="1" s="1"/>
  <c r="V231" i="1"/>
  <c r="Y231" i="1"/>
  <c r="Z231" i="1"/>
  <c r="AB231" i="1"/>
  <c r="AC231" i="1"/>
  <c r="AD231" i="1"/>
  <c r="T231" i="1" s="1"/>
  <c r="AE231" i="1"/>
  <c r="AF231" i="1"/>
  <c r="AH172" i="1"/>
  <c r="K232" i="1"/>
  <c r="L232" i="1"/>
  <c r="M232" i="1"/>
  <c r="N232" i="1" s="1"/>
  <c r="V232" i="1"/>
  <c r="Y232" i="1"/>
  <c r="Z232" i="1"/>
  <c r="AB232" i="1"/>
  <c r="AC232" i="1"/>
  <c r="AD232" i="1"/>
  <c r="X232" i="1" s="1"/>
  <c r="AE232" i="1"/>
  <c r="AF232" i="1"/>
  <c r="AH173" i="1"/>
  <c r="K233" i="1"/>
  <c r="L233" i="1"/>
  <c r="M233" i="1"/>
  <c r="N233" i="1" s="1"/>
  <c r="V233" i="1"/>
  <c r="Y233" i="1"/>
  <c r="Z233" i="1"/>
  <c r="AB233" i="1"/>
  <c r="AC233" i="1"/>
  <c r="AD233" i="1"/>
  <c r="T233" i="1" s="1"/>
  <c r="AE233" i="1"/>
  <c r="AF233" i="1"/>
  <c r="AH174" i="1"/>
  <c r="K234" i="1"/>
  <c r="L234" i="1"/>
  <c r="M234" i="1"/>
  <c r="N234" i="1" s="1"/>
  <c r="V234" i="1"/>
  <c r="Y234" i="1"/>
  <c r="Z234" i="1"/>
  <c r="AB234" i="1"/>
  <c r="AC234" i="1"/>
  <c r="AD234" i="1"/>
  <c r="T234" i="1" s="1"/>
  <c r="AE234" i="1"/>
  <c r="AF234" i="1"/>
  <c r="AH175" i="1"/>
  <c r="K235" i="1"/>
  <c r="L235" i="1"/>
  <c r="M235" i="1"/>
  <c r="N235" i="1" s="1"/>
  <c r="V235" i="1"/>
  <c r="Y235" i="1"/>
  <c r="Z235" i="1"/>
  <c r="AB235" i="1"/>
  <c r="AC235" i="1"/>
  <c r="AD235" i="1"/>
  <c r="T235" i="1" s="1"/>
  <c r="AE235" i="1"/>
  <c r="AF235" i="1"/>
  <c r="AH176" i="1"/>
  <c r="K236" i="1"/>
  <c r="L236" i="1"/>
  <c r="M236" i="1"/>
  <c r="N236" i="1" s="1"/>
  <c r="V236" i="1"/>
  <c r="Y236" i="1"/>
  <c r="Z236" i="1"/>
  <c r="AB236" i="1"/>
  <c r="AC236" i="1"/>
  <c r="AD236" i="1"/>
  <c r="T236" i="1" s="1"/>
  <c r="AE236" i="1"/>
  <c r="AF236" i="1"/>
  <c r="AH177" i="1"/>
  <c r="K237" i="1"/>
  <c r="L237" i="1"/>
  <c r="M237" i="1"/>
  <c r="N237" i="1" s="1"/>
  <c r="V237" i="1"/>
  <c r="Y237" i="1"/>
  <c r="Z237" i="1"/>
  <c r="AB237" i="1"/>
  <c r="AC237" i="1"/>
  <c r="AD237" i="1"/>
  <c r="T237" i="1" s="1"/>
  <c r="AE237" i="1"/>
  <c r="AF237" i="1"/>
  <c r="AH178" i="1"/>
  <c r="K238" i="1"/>
  <c r="L238" i="1"/>
  <c r="M238" i="1"/>
  <c r="N238" i="1" s="1"/>
  <c r="V238" i="1"/>
  <c r="Y238" i="1"/>
  <c r="Z238" i="1"/>
  <c r="AB238" i="1"/>
  <c r="AC238" i="1"/>
  <c r="AD238" i="1"/>
  <c r="T238" i="1" s="1"/>
  <c r="AE238" i="1"/>
  <c r="AF238" i="1"/>
  <c r="AH179" i="1"/>
  <c r="K239" i="1"/>
  <c r="L239" i="1"/>
  <c r="M239" i="1"/>
  <c r="N239" i="1" s="1"/>
  <c r="T239" i="1"/>
  <c r="V239" i="1"/>
  <c r="Y239" i="1"/>
  <c r="Z239" i="1"/>
  <c r="AB239" i="1"/>
  <c r="AC239" i="1"/>
  <c r="AD239" i="1"/>
  <c r="AE239" i="1"/>
  <c r="AF239" i="1"/>
  <c r="AH180" i="1"/>
  <c r="K240" i="1"/>
  <c r="L240" i="1"/>
  <c r="M240" i="1"/>
  <c r="N240" i="1" s="1"/>
  <c r="V240" i="1"/>
  <c r="Y240" i="1"/>
  <c r="Z240" i="1"/>
  <c r="AA240" i="1"/>
  <c r="AB240" i="1"/>
  <c r="AC240" i="1"/>
  <c r="AD240" i="1"/>
  <c r="AE240" i="1"/>
  <c r="AF240" i="1"/>
  <c r="AH181" i="1"/>
  <c r="K241" i="1"/>
  <c r="L241" i="1"/>
  <c r="M241" i="1"/>
  <c r="N241" i="1" s="1"/>
  <c r="V241" i="1"/>
  <c r="Y241" i="1"/>
  <c r="Z241" i="1"/>
  <c r="AB241" i="1"/>
  <c r="AC241" i="1"/>
  <c r="AD241" i="1"/>
  <c r="T241" i="1" s="1"/>
  <c r="AE241" i="1"/>
  <c r="AF241" i="1"/>
  <c r="AH182" i="1"/>
  <c r="K160" i="1"/>
  <c r="L160" i="1"/>
  <c r="M160" i="1"/>
  <c r="N160" i="1" s="1"/>
  <c r="V160" i="1"/>
  <c r="S48" i="3" s="1"/>
  <c r="Y160" i="1"/>
  <c r="Z160" i="1"/>
  <c r="AB160" i="1"/>
  <c r="AC160" i="1"/>
  <c r="AD160" i="1"/>
  <c r="T160" i="1" s="1"/>
  <c r="AE160" i="1"/>
  <c r="R48" i="3" s="1"/>
  <c r="AF160" i="1"/>
  <c r="AH183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AH184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185" i="1"/>
  <c r="K163" i="1"/>
  <c r="L163" i="1"/>
  <c r="M163" i="1"/>
  <c r="N163" i="1" s="1"/>
  <c r="V163" i="1"/>
  <c r="S49" i="3" s="1"/>
  <c r="Y163" i="1"/>
  <c r="Z163" i="1"/>
  <c r="AB163" i="1"/>
  <c r="AC163" i="1"/>
  <c r="AD163" i="1"/>
  <c r="T163" i="1" s="1"/>
  <c r="AE163" i="1"/>
  <c r="AF163" i="1"/>
  <c r="AH186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187" i="1"/>
  <c r="K165" i="1"/>
  <c r="L165" i="1"/>
  <c r="M165" i="1"/>
  <c r="N165" i="1" s="1"/>
  <c r="V165" i="1"/>
  <c r="S50" i="3" s="1"/>
  <c r="Y165" i="1"/>
  <c r="Z165" i="1"/>
  <c r="AB165" i="1"/>
  <c r="AC165" i="1"/>
  <c r="AD165" i="1"/>
  <c r="T165" i="1" s="1"/>
  <c r="AE165" i="1"/>
  <c r="R50" i="3" s="1"/>
  <c r="AF165" i="1"/>
  <c r="AH188" i="1"/>
  <c r="K166" i="1"/>
  <c r="L166" i="1"/>
  <c r="M166" i="1"/>
  <c r="N166" i="1" s="1"/>
  <c r="V166" i="1"/>
  <c r="S52" i="3" s="1"/>
  <c r="Y166" i="1"/>
  <c r="Z166" i="1"/>
  <c r="AB166" i="1"/>
  <c r="AC166" i="1"/>
  <c r="AD166" i="1"/>
  <c r="X166" i="1" s="1"/>
  <c r="AE166" i="1"/>
  <c r="R52" i="3" s="1"/>
  <c r="AF166" i="1"/>
  <c r="AH189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190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AH191" i="1"/>
  <c r="K169" i="1"/>
  <c r="L169" i="1"/>
  <c r="M169" i="1"/>
  <c r="N169" i="1" s="1"/>
  <c r="V169" i="1"/>
  <c r="Y169" i="1"/>
  <c r="Z169" i="1"/>
  <c r="AB169" i="1"/>
  <c r="AC169" i="1"/>
  <c r="AD169" i="1"/>
  <c r="AE169" i="1"/>
  <c r="AF169" i="1"/>
  <c r="AH192" i="1"/>
  <c r="K242" i="1"/>
  <c r="L242" i="1"/>
  <c r="M242" i="1"/>
  <c r="N242" i="1" s="1"/>
  <c r="V242" i="1"/>
  <c r="Y242" i="1"/>
  <c r="Z242" i="1"/>
  <c r="AB242" i="1"/>
  <c r="AC242" i="1"/>
  <c r="AD242" i="1"/>
  <c r="AG242" i="1" s="1"/>
  <c r="AE242" i="1"/>
  <c r="AF242" i="1"/>
  <c r="AH193" i="1"/>
  <c r="K243" i="1"/>
  <c r="L243" i="1"/>
  <c r="M243" i="1"/>
  <c r="N243" i="1" s="1"/>
  <c r="V243" i="1"/>
  <c r="Y243" i="1"/>
  <c r="Z243" i="1"/>
  <c r="AB243" i="1"/>
  <c r="AC243" i="1"/>
  <c r="AD243" i="1"/>
  <c r="T243" i="1" s="1"/>
  <c r="AE243" i="1"/>
  <c r="AF243" i="1"/>
  <c r="AH194" i="1"/>
  <c r="K244" i="1"/>
  <c r="L244" i="1"/>
  <c r="M244" i="1"/>
  <c r="N244" i="1" s="1"/>
  <c r="V244" i="1"/>
  <c r="Y244" i="1"/>
  <c r="Z244" i="1"/>
  <c r="AB244" i="1"/>
  <c r="AC244" i="1"/>
  <c r="AD244" i="1"/>
  <c r="T244" i="1" s="1"/>
  <c r="AE244" i="1"/>
  <c r="AF244" i="1"/>
  <c r="AH195" i="1"/>
  <c r="K245" i="1"/>
  <c r="L245" i="1"/>
  <c r="M245" i="1"/>
  <c r="N245" i="1" s="1"/>
  <c r="V245" i="1"/>
  <c r="Y245" i="1"/>
  <c r="Z245" i="1"/>
  <c r="AB245" i="1"/>
  <c r="AC245" i="1"/>
  <c r="AD245" i="1"/>
  <c r="T245" i="1" s="1"/>
  <c r="AE245" i="1"/>
  <c r="AF245" i="1"/>
  <c r="AH196" i="1"/>
  <c r="K246" i="1"/>
  <c r="L246" i="1"/>
  <c r="M246" i="1"/>
  <c r="N246" i="1" s="1"/>
  <c r="V246" i="1"/>
  <c r="Y246" i="1"/>
  <c r="Z246" i="1"/>
  <c r="AB246" i="1"/>
  <c r="AC246" i="1"/>
  <c r="AD246" i="1"/>
  <c r="X246" i="1" s="1"/>
  <c r="AE246" i="1"/>
  <c r="AF246" i="1"/>
  <c r="AH197" i="1"/>
  <c r="K247" i="1"/>
  <c r="L247" i="1"/>
  <c r="M247" i="1"/>
  <c r="N247" i="1" s="1"/>
  <c r="V247" i="1"/>
  <c r="Y247" i="1"/>
  <c r="Z247" i="1"/>
  <c r="AB247" i="1"/>
  <c r="AC247" i="1"/>
  <c r="AD247" i="1"/>
  <c r="T247" i="1" s="1"/>
  <c r="AE247" i="1"/>
  <c r="AF247" i="1"/>
  <c r="AH198" i="1"/>
  <c r="K170" i="1"/>
  <c r="L170" i="1"/>
  <c r="M170" i="1"/>
  <c r="N170" i="1" s="1"/>
  <c r="V170" i="1"/>
  <c r="S47" i="3" s="1"/>
  <c r="Y170" i="1"/>
  <c r="Z170" i="1"/>
  <c r="AB170" i="1"/>
  <c r="AC170" i="1"/>
  <c r="AD170" i="1"/>
  <c r="T170" i="1" s="1"/>
  <c r="AE170" i="1"/>
  <c r="R47" i="3" s="1"/>
  <c r="AF170" i="1"/>
  <c r="AG170" i="1"/>
  <c r="AH199" i="1"/>
  <c r="K171" i="1"/>
  <c r="L171" i="1"/>
  <c r="M171" i="1"/>
  <c r="N171" i="1" s="1"/>
  <c r="V171" i="1"/>
  <c r="Y171" i="1"/>
  <c r="Z171" i="1"/>
  <c r="AB171" i="1"/>
  <c r="AC171" i="1"/>
  <c r="AD171" i="1"/>
  <c r="AE171" i="1"/>
  <c r="AF171" i="1"/>
  <c r="AH200" i="1"/>
  <c r="K172" i="1"/>
  <c r="L172" i="1"/>
  <c r="M172" i="1"/>
  <c r="N172" i="1" s="1"/>
  <c r="V172" i="1"/>
  <c r="Y172" i="1"/>
  <c r="Z172" i="1"/>
  <c r="AB172" i="1"/>
  <c r="AC172" i="1"/>
  <c r="AD172" i="1"/>
  <c r="AG172" i="1" s="1"/>
  <c r="AE172" i="1"/>
  <c r="AF172" i="1"/>
  <c r="AH201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AH202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R42" i="3" s="1"/>
  <c r="AF174" i="1"/>
  <c r="AH203" i="1"/>
  <c r="K175" i="1"/>
  <c r="L175" i="1"/>
  <c r="M175" i="1"/>
  <c r="N175" i="1" s="1"/>
  <c r="V175" i="1"/>
  <c r="S46" i="3" s="1"/>
  <c r="Y175" i="1"/>
  <c r="Z175" i="1"/>
  <c r="AB175" i="1"/>
  <c r="AC175" i="1"/>
  <c r="AD175" i="1"/>
  <c r="T175" i="1" s="1"/>
  <c r="AE175" i="1"/>
  <c r="AF175" i="1"/>
  <c r="AH204" i="1"/>
  <c r="K176" i="1"/>
  <c r="L176" i="1"/>
  <c r="M176" i="1"/>
  <c r="N176" i="1" s="1"/>
  <c r="V176" i="1"/>
  <c r="S62" i="3" s="1"/>
  <c r="X176" i="1"/>
  <c r="Y176" i="1"/>
  <c r="Z176" i="1"/>
  <c r="AB176" i="1"/>
  <c r="AC176" i="1"/>
  <c r="AD176" i="1"/>
  <c r="AG176" i="1" s="1"/>
  <c r="AE176" i="1"/>
  <c r="R62" i="3" s="1"/>
  <c r="AF176" i="1"/>
  <c r="AH205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206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G178" i="1"/>
  <c r="AH207" i="1"/>
  <c r="K179" i="1"/>
  <c r="L179" i="1"/>
  <c r="M179" i="1"/>
  <c r="N179" i="1" s="1"/>
  <c r="V179" i="1"/>
  <c r="Y179" i="1"/>
  <c r="Z179" i="1"/>
  <c r="AB179" i="1"/>
  <c r="AC179" i="1"/>
  <c r="AD179" i="1"/>
  <c r="AE179" i="1"/>
  <c r="AF179" i="1"/>
  <c r="AH208" i="1"/>
  <c r="K180" i="1"/>
  <c r="L180" i="1"/>
  <c r="M180" i="1"/>
  <c r="N180" i="1" s="1"/>
  <c r="V180" i="1"/>
  <c r="Y180" i="1"/>
  <c r="Z180" i="1"/>
  <c r="AB180" i="1"/>
  <c r="AC180" i="1"/>
  <c r="AD180" i="1"/>
  <c r="AG180" i="1" s="1"/>
  <c r="AE180" i="1"/>
  <c r="AF180" i="1"/>
  <c r="AH209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H210" i="1"/>
  <c r="K182" i="1"/>
  <c r="L182" i="1"/>
  <c r="M182" i="1"/>
  <c r="V182" i="1"/>
  <c r="Y182" i="1"/>
  <c r="Z182" i="1"/>
  <c r="AB182" i="1"/>
  <c r="AC182" i="1"/>
  <c r="AD182" i="1"/>
  <c r="T182" i="1" s="1"/>
  <c r="AE182" i="1"/>
  <c r="AF182" i="1"/>
  <c r="AH211" i="1"/>
  <c r="K183" i="1"/>
  <c r="L183" i="1"/>
  <c r="M183" i="1"/>
  <c r="V183" i="1"/>
  <c r="Y183" i="1"/>
  <c r="Z183" i="1"/>
  <c r="AB183" i="1"/>
  <c r="AC183" i="1"/>
  <c r="AD183" i="1"/>
  <c r="T183" i="1" s="1"/>
  <c r="AE183" i="1"/>
  <c r="AF183" i="1"/>
  <c r="AH212" i="1"/>
  <c r="K184" i="1"/>
  <c r="L184" i="1"/>
  <c r="M184" i="1"/>
  <c r="N184" i="1" s="1"/>
  <c r="V184" i="1"/>
  <c r="Y184" i="1"/>
  <c r="Z184" i="1"/>
  <c r="AB184" i="1"/>
  <c r="AC184" i="1"/>
  <c r="AD184" i="1"/>
  <c r="AE184" i="1"/>
  <c r="AF184" i="1"/>
  <c r="AH213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AH214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R58" i="3" s="1"/>
  <c r="AF186" i="1"/>
  <c r="AH215" i="1"/>
  <c r="K187" i="1"/>
  <c r="L187" i="1"/>
  <c r="M187" i="1"/>
  <c r="V187" i="1"/>
  <c r="S54" i="3" s="1"/>
  <c r="Y187" i="1"/>
  <c r="Z187" i="1"/>
  <c r="AB187" i="1"/>
  <c r="AC187" i="1"/>
  <c r="AD187" i="1"/>
  <c r="AE187" i="1"/>
  <c r="AF187" i="1"/>
  <c r="AH216" i="1"/>
  <c r="K188" i="1"/>
  <c r="L188" i="1"/>
  <c r="M188" i="1"/>
  <c r="V188" i="1"/>
  <c r="Y188" i="1"/>
  <c r="Z188" i="1"/>
  <c r="AB188" i="1"/>
  <c r="AC188" i="1"/>
  <c r="AD188" i="1"/>
  <c r="T188" i="1" s="1"/>
  <c r="AE188" i="1"/>
  <c r="AF188" i="1"/>
  <c r="AH217" i="1"/>
  <c r="K189" i="1"/>
  <c r="L189" i="1"/>
  <c r="M189" i="1"/>
  <c r="N189" i="1" s="1"/>
  <c r="V189" i="1"/>
  <c r="Y189" i="1"/>
  <c r="Z189" i="1"/>
  <c r="AB189" i="1"/>
  <c r="AC189" i="1"/>
  <c r="AD189" i="1"/>
  <c r="AE189" i="1"/>
  <c r="AF189" i="1"/>
  <c r="AH218" i="1"/>
  <c r="K190" i="1"/>
  <c r="L190" i="1"/>
  <c r="M190" i="1"/>
  <c r="V190" i="1"/>
  <c r="Y190" i="1"/>
  <c r="Z190" i="1"/>
  <c r="AB190" i="1"/>
  <c r="AC190" i="1"/>
  <c r="AD190" i="1"/>
  <c r="T190" i="1" s="1"/>
  <c r="AE190" i="1"/>
  <c r="AF190" i="1"/>
  <c r="AH219" i="1"/>
  <c r="K191" i="1"/>
  <c r="L191" i="1"/>
  <c r="M191" i="1"/>
  <c r="V191" i="1"/>
  <c r="Y191" i="1"/>
  <c r="Z191" i="1"/>
  <c r="AB191" i="1"/>
  <c r="AC191" i="1"/>
  <c r="AD191" i="1"/>
  <c r="AE191" i="1"/>
  <c r="AF191" i="1"/>
  <c r="AH220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221" i="1"/>
  <c r="K193" i="1"/>
  <c r="L193" i="1"/>
  <c r="M193" i="1"/>
  <c r="V193" i="1"/>
  <c r="Y193" i="1"/>
  <c r="Z193" i="1"/>
  <c r="AB193" i="1"/>
  <c r="AC193" i="1"/>
  <c r="AD193" i="1"/>
  <c r="AG193" i="1" s="1"/>
  <c r="AE193" i="1"/>
  <c r="R55" i="3" s="1"/>
  <c r="AF193" i="1"/>
  <c r="AH222" i="1"/>
  <c r="K194" i="1"/>
  <c r="L194" i="1"/>
  <c r="M194" i="1"/>
  <c r="V194" i="1"/>
  <c r="Y194" i="1"/>
  <c r="Z194" i="1"/>
  <c r="AA194" i="1" s="1"/>
  <c r="AB194" i="1"/>
  <c r="AC194" i="1"/>
  <c r="AD194" i="1"/>
  <c r="AG194" i="1" s="1"/>
  <c r="AE194" i="1"/>
  <c r="AF194" i="1"/>
  <c r="AH223" i="1"/>
  <c r="K195" i="1"/>
  <c r="L195" i="1"/>
  <c r="M195" i="1"/>
  <c r="N195" i="1" s="1"/>
  <c r="V195" i="1"/>
  <c r="Y195" i="1"/>
  <c r="Z195" i="1"/>
  <c r="AA195" i="1" s="1"/>
  <c r="W195" i="1" s="1"/>
  <c r="AB195" i="1"/>
  <c r="AC195" i="1"/>
  <c r="AD195" i="1"/>
  <c r="AG195" i="1" s="1"/>
  <c r="AE195" i="1"/>
  <c r="AF195" i="1"/>
  <c r="AH224" i="1"/>
  <c r="K196" i="1"/>
  <c r="L196" i="1"/>
  <c r="M196" i="1"/>
  <c r="N196" i="1" s="1"/>
  <c r="V196" i="1"/>
  <c r="S65" i="3" s="1"/>
  <c r="Y196" i="1"/>
  <c r="Z196" i="1"/>
  <c r="AA196" i="1" s="1"/>
  <c r="AB196" i="1"/>
  <c r="AC196" i="1"/>
  <c r="AD196" i="1"/>
  <c r="T196" i="1" s="1"/>
  <c r="AE196" i="1"/>
  <c r="R65" i="3" s="1"/>
  <c r="AF196" i="1"/>
  <c r="AH225" i="1"/>
  <c r="K197" i="1"/>
  <c r="L197" i="1"/>
  <c r="M197" i="1"/>
  <c r="N197" i="1" s="1"/>
  <c r="V197" i="1"/>
  <c r="Y197" i="1"/>
  <c r="Z197" i="1"/>
  <c r="AB197" i="1"/>
  <c r="AC197" i="1"/>
  <c r="AD197" i="1"/>
  <c r="AE197" i="1"/>
  <c r="AF197" i="1"/>
  <c r="AH226" i="1"/>
  <c r="K198" i="1"/>
  <c r="L198" i="1"/>
  <c r="M198" i="1"/>
  <c r="V198" i="1"/>
  <c r="S56" i="3" s="1"/>
  <c r="Y198" i="1"/>
  <c r="Z198" i="1"/>
  <c r="AB198" i="1"/>
  <c r="AC198" i="1"/>
  <c r="AD198" i="1"/>
  <c r="AG198" i="1" s="1"/>
  <c r="AE198" i="1"/>
  <c r="AF198" i="1"/>
  <c r="AH227" i="1"/>
  <c r="K199" i="1"/>
  <c r="L199" i="1"/>
  <c r="M199" i="1"/>
  <c r="V199" i="1"/>
  <c r="Y199" i="1"/>
  <c r="Z199" i="1"/>
  <c r="AB199" i="1"/>
  <c r="AC199" i="1"/>
  <c r="AD199" i="1"/>
  <c r="AG199" i="1" s="1"/>
  <c r="AE199" i="1"/>
  <c r="AF199" i="1"/>
  <c r="AH228" i="1"/>
  <c r="K200" i="1"/>
  <c r="L200" i="1"/>
  <c r="M200" i="1"/>
  <c r="N200" i="1" s="1"/>
  <c r="V200" i="1"/>
  <c r="Y200" i="1"/>
  <c r="Z200" i="1"/>
  <c r="AB200" i="1"/>
  <c r="AC200" i="1"/>
  <c r="AD200" i="1"/>
  <c r="AE200" i="1"/>
  <c r="AF200" i="1"/>
  <c r="AH229" i="1"/>
  <c r="K201" i="1"/>
  <c r="L201" i="1"/>
  <c r="M201" i="1"/>
  <c r="N201" i="1" s="1"/>
  <c r="V201" i="1"/>
  <c r="S61" i="3" s="1"/>
  <c r="Y201" i="1"/>
  <c r="Z201" i="1"/>
  <c r="AB201" i="1"/>
  <c r="AC201" i="1"/>
  <c r="AD201" i="1"/>
  <c r="AE201" i="1"/>
  <c r="AF201" i="1"/>
  <c r="AH230" i="1"/>
  <c r="K202" i="1"/>
  <c r="L202" i="1"/>
  <c r="M202" i="1"/>
  <c r="N202" i="1" s="1"/>
  <c r="T202" i="1"/>
  <c r="V202" i="1"/>
  <c r="S67" i="3" s="1"/>
  <c r="Y202" i="1"/>
  <c r="Z202" i="1"/>
  <c r="AB202" i="1"/>
  <c r="AC202" i="1"/>
  <c r="AD202" i="1"/>
  <c r="AG202" i="1" s="1"/>
  <c r="AE202" i="1"/>
  <c r="AF202" i="1"/>
  <c r="AH231" i="1"/>
  <c r="K203" i="1"/>
  <c r="L203" i="1"/>
  <c r="M203" i="1"/>
  <c r="N203" i="1" s="1"/>
  <c r="V203" i="1"/>
  <c r="Y203" i="1"/>
  <c r="Z203" i="1"/>
  <c r="AB203" i="1"/>
  <c r="AC203" i="1"/>
  <c r="AD203" i="1"/>
  <c r="AG203" i="1" s="1"/>
  <c r="AE203" i="1"/>
  <c r="AF203" i="1"/>
  <c r="AH232" i="1"/>
  <c r="K204" i="1"/>
  <c r="L204" i="1"/>
  <c r="M204" i="1"/>
  <c r="N204" i="1" s="1"/>
  <c r="V204" i="1"/>
  <c r="Y204" i="1"/>
  <c r="Z204" i="1"/>
  <c r="AB204" i="1"/>
  <c r="AC204" i="1"/>
  <c r="AD204" i="1"/>
  <c r="AE204" i="1"/>
  <c r="AF204" i="1"/>
  <c r="AH233" i="1"/>
  <c r="K205" i="1"/>
  <c r="L205" i="1"/>
  <c r="M205" i="1"/>
  <c r="N205" i="1" s="1"/>
  <c r="V205" i="1"/>
  <c r="Y205" i="1"/>
  <c r="Z205" i="1"/>
  <c r="AB205" i="1"/>
  <c r="AC205" i="1"/>
  <c r="AD205" i="1"/>
  <c r="AE205" i="1"/>
  <c r="AF205" i="1"/>
  <c r="AH234" i="1"/>
  <c r="K206" i="1"/>
  <c r="L206" i="1"/>
  <c r="M206" i="1"/>
  <c r="N206" i="1" s="1"/>
  <c r="V206" i="1"/>
  <c r="Y206" i="1"/>
  <c r="Z206" i="1"/>
  <c r="AB206" i="1"/>
  <c r="AC206" i="1"/>
  <c r="AD206" i="1"/>
  <c r="AG206" i="1" s="1"/>
  <c r="AE206" i="1"/>
  <c r="AF206" i="1"/>
  <c r="AH235" i="1"/>
  <c r="K207" i="1"/>
  <c r="L207" i="1"/>
  <c r="M207" i="1"/>
  <c r="V207" i="1"/>
  <c r="Y207" i="1"/>
  <c r="Z207" i="1"/>
  <c r="AA207" i="1" s="1"/>
  <c r="AB207" i="1"/>
  <c r="AC207" i="1"/>
  <c r="AD207" i="1"/>
  <c r="AG207" i="1" s="1"/>
  <c r="AE207" i="1"/>
  <c r="AF207" i="1"/>
  <c r="AH236" i="1"/>
  <c r="K208" i="1"/>
  <c r="L208" i="1"/>
  <c r="M208" i="1"/>
  <c r="V208" i="1"/>
  <c r="Y208" i="1"/>
  <c r="Z208" i="1"/>
  <c r="AA208" i="1" s="1"/>
  <c r="AB208" i="1"/>
  <c r="AC208" i="1"/>
  <c r="AD208" i="1"/>
  <c r="T208" i="1" s="1"/>
  <c r="AE208" i="1"/>
  <c r="AF208" i="1"/>
  <c r="AG208" i="1"/>
  <c r="AH237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R68" i="3" s="1"/>
  <c r="AF209" i="1"/>
  <c r="AH238" i="1"/>
  <c r="K210" i="1"/>
  <c r="L210" i="1"/>
  <c r="M210" i="1"/>
  <c r="N210" i="1" s="1"/>
  <c r="V210" i="1"/>
  <c r="S43" i="3" s="1"/>
  <c r="Y210" i="1"/>
  <c r="Z210" i="1"/>
  <c r="AB210" i="1"/>
  <c r="AC210" i="1"/>
  <c r="AD210" i="1"/>
  <c r="T210" i="1" s="1"/>
  <c r="AE210" i="1"/>
  <c r="R43" i="3" s="1"/>
  <c r="AF210" i="1"/>
  <c r="AH239" i="1"/>
  <c r="K211" i="1"/>
  <c r="L211" i="1"/>
  <c r="M211" i="1"/>
  <c r="N211" i="1" s="1"/>
  <c r="V211" i="1"/>
  <c r="Y211" i="1"/>
  <c r="Z211" i="1"/>
  <c r="AB211" i="1"/>
  <c r="AC211" i="1"/>
  <c r="AD211" i="1"/>
  <c r="AG211" i="1" s="1"/>
  <c r="AE211" i="1"/>
  <c r="AF211" i="1"/>
  <c r="AH240" i="1"/>
  <c r="K212" i="1"/>
  <c r="L212" i="1"/>
  <c r="M212" i="1"/>
  <c r="N212" i="1" s="1"/>
  <c r="V212" i="1"/>
  <c r="Y212" i="1"/>
  <c r="Z212" i="1"/>
  <c r="AB212" i="1"/>
  <c r="AC212" i="1"/>
  <c r="AD212" i="1"/>
  <c r="AE212" i="1"/>
  <c r="AF212" i="1"/>
  <c r="AH241" i="1"/>
  <c r="K225" i="1"/>
  <c r="L225" i="1"/>
  <c r="M225" i="1"/>
  <c r="N225" i="1" s="1"/>
  <c r="V225" i="1"/>
  <c r="S74" i="3" s="1"/>
  <c r="Y225" i="1"/>
  <c r="Z225" i="1"/>
  <c r="AB225" i="1"/>
  <c r="AC225" i="1"/>
  <c r="AD225" i="1"/>
  <c r="T225" i="1" s="1"/>
  <c r="AE225" i="1"/>
  <c r="AF225" i="1"/>
  <c r="AH242" i="1"/>
  <c r="K226" i="1"/>
  <c r="L226" i="1"/>
  <c r="M226" i="1"/>
  <c r="N226" i="1" s="1"/>
  <c r="V226" i="1"/>
  <c r="Y226" i="1"/>
  <c r="Z226" i="1"/>
  <c r="AA226" i="1" s="1"/>
  <c r="W226" i="1" s="1"/>
  <c r="AB226" i="1"/>
  <c r="AC226" i="1"/>
  <c r="AD226" i="1"/>
  <c r="AG226" i="1" s="1"/>
  <c r="AE226" i="1"/>
  <c r="AF226" i="1"/>
  <c r="AH243" i="1"/>
  <c r="K227" i="1"/>
  <c r="L227" i="1"/>
  <c r="M227" i="1"/>
  <c r="N227" i="1" s="1"/>
  <c r="V227" i="1"/>
  <c r="Y227" i="1"/>
  <c r="Z227" i="1"/>
  <c r="AB227" i="1"/>
  <c r="AC227" i="1"/>
  <c r="AD227" i="1"/>
  <c r="AG227" i="1" s="1"/>
  <c r="AE227" i="1"/>
  <c r="AF227" i="1"/>
  <c r="AH244" i="1"/>
  <c r="K228" i="1"/>
  <c r="L228" i="1"/>
  <c r="M228" i="1"/>
  <c r="N228" i="1" s="1"/>
  <c r="V228" i="1"/>
  <c r="Y228" i="1"/>
  <c r="Z228" i="1"/>
  <c r="AB228" i="1"/>
  <c r="AC228" i="1"/>
  <c r="AD228" i="1"/>
  <c r="T228" i="1" s="1"/>
  <c r="AE228" i="1"/>
  <c r="R73" i="3" s="1"/>
  <c r="AF228" i="1"/>
  <c r="AH245" i="1"/>
  <c r="K229" i="1"/>
  <c r="L229" i="1"/>
  <c r="M229" i="1"/>
  <c r="N229" i="1" s="1"/>
  <c r="V229" i="1"/>
  <c r="S71" i="3" s="1"/>
  <c r="Y229" i="1"/>
  <c r="Z229" i="1"/>
  <c r="AB229" i="1"/>
  <c r="AC229" i="1"/>
  <c r="AD229" i="1"/>
  <c r="AG229" i="1" s="1"/>
  <c r="AE229" i="1"/>
  <c r="R71" i="3" s="1"/>
  <c r="AF229" i="1"/>
  <c r="AH246" i="1"/>
  <c r="K230" i="1"/>
  <c r="L230" i="1"/>
  <c r="M230" i="1"/>
  <c r="N230" i="1" s="1"/>
  <c r="V230" i="1"/>
  <c r="S75" i="3" s="1"/>
  <c r="Y230" i="1"/>
  <c r="Z230" i="1"/>
  <c r="AB230" i="1"/>
  <c r="AC230" i="1"/>
  <c r="AD230" i="1"/>
  <c r="AE230" i="1"/>
  <c r="AF230" i="1"/>
  <c r="AH247" i="1"/>
  <c r="M72" i="3"/>
  <c r="N72" i="3"/>
  <c r="U72" i="3"/>
  <c r="T72" i="3" s="1"/>
  <c r="V72" i="3"/>
  <c r="W72" i="3"/>
  <c r="X72" i="3"/>
  <c r="M48" i="3"/>
  <c r="N48" i="3"/>
  <c r="U48" i="3"/>
  <c r="T48" i="3" s="1"/>
  <c r="V48" i="3"/>
  <c r="W48" i="3"/>
  <c r="Y48" i="3" s="1"/>
  <c r="X48" i="3"/>
  <c r="M63" i="3"/>
  <c r="N63" i="3"/>
  <c r="R63" i="3"/>
  <c r="U63" i="3"/>
  <c r="T63" i="3" s="1"/>
  <c r="V63" i="3"/>
  <c r="W63" i="3"/>
  <c r="X63" i="3"/>
  <c r="AD63" i="3"/>
  <c r="M49" i="3"/>
  <c r="N49" i="3"/>
  <c r="R49" i="3"/>
  <c r="U49" i="3"/>
  <c r="T49" i="3" s="1"/>
  <c r="V49" i="3"/>
  <c r="W49" i="3"/>
  <c r="X49" i="3"/>
  <c r="M23" i="3"/>
  <c r="N23" i="3"/>
  <c r="R23" i="3"/>
  <c r="U23" i="3"/>
  <c r="T23" i="3" s="1"/>
  <c r="V23" i="3"/>
  <c r="W23" i="3"/>
  <c r="X23" i="3"/>
  <c r="M21" i="3"/>
  <c r="N21" i="3"/>
  <c r="R21" i="3"/>
  <c r="U21" i="3"/>
  <c r="T21" i="3" s="1"/>
  <c r="V21" i="3"/>
  <c r="W21" i="3"/>
  <c r="Y21" i="3" s="1"/>
  <c r="X21" i="3"/>
  <c r="M50" i="3"/>
  <c r="N50" i="3"/>
  <c r="U50" i="3"/>
  <c r="T50" i="3" s="1"/>
  <c r="V50" i="3"/>
  <c r="W50" i="3"/>
  <c r="X50" i="3"/>
  <c r="AD50" i="3"/>
  <c r="M13" i="3"/>
  <c r="N13" i="3"/>
  <c r="S13" i="3"/>
  <c r="U13" i="3"/>
  <c r="T13" i="3" s="1"/>
  <c r="V13" i="3"/>
  <c r="W13" i="3"/>
  <c r="X13" i="3"/>
  <c r="M52" i="3"/>
  <c r="N52" i="3"/>
  <c r="U52" i="3"/>
  <c r="T52" i="3" s="1"/>
  <c r="V52" i="3"/>
  <c r="W52" i="3"/>
  <c r="X52" i="3"/>
  <c r="M9" i="3"/>
  <c r="N9" i="3"/>
  <c r="S9" i="3"/>
  <c r="U9" i="3"/>
  <c r="T9" i="3" s="1"/>
  <c r="V9" i="3"/>
  <c r="W9" i="3"/>
  <c r="Y9" i="3" s="1"/>
  <c r="X9" i="3"/>
  <c r="M28" i="3"/>
  <c r="N28" i="3"/>
  <c r="U28" i="3"/>
  <c r="T28" i="3" s="1"/>
  <c r="V28" i="3"/>
  <c r="W28" i="3"/>
  <c r="X28" i="3"/>
  <c r="M29" i="3"/>
  <c r="N29" i="3"/>
  <c r="R29" i="3"/>
  <c r="U29" i="3"/>
  <c r="T29" i="3" s="1"/>
  <c r="V29" i="3"/>
  <c r="W29" i="3"/>
  <c r="X29" i="3"/>
  <c r="M47" i="3"/>
  <c r="N47" i="3"/>
  <c r="U47" i="3"/>
  <c r="T47" i="3" s="1"/>
  <c r="V47" i="3"/>
  <c r="W47" i="3"/>
  <c r="X47" i="3"/>
  <c r="M30" i="3"/>
  <c r="N30" i="3"/>
  <c r="S30" i="3"/>
  <c r="U30" i="3"/>
  <c r="T30" i="3" s="1"/>
  <c r="V30" i="3"/>
  <c r="W30" i="3"/>
  <c r="X30" i="3"/>
  <c r="M44" i="3"/>
  <c r="N44" i="3"/>
  <c r="R44" i="3"/>
  <c r="U44" i="3"/>
  <c r="T44" i="3" s="1"/>
  <c r="V44" i="3"/>
  <c r="W44" i="3"/>
  <c r="X44" i="3"/>
  <c r="AD44" i="3"/>
  <c r="M31" i="3"/>
  <c r="N31" i="3"/>
  <c r="R31" i="3"/>
  <c r="S31" i="3"/>
  <c r="U31" i="3"/>
  <c r="T31" i="3" s="1"/>
  <c r="V31" i="3"/>
  <c r="W31" i="3"/>
  <c r="X31" i="3"/>
  <c r="AD31" i="3"/>
  <c r="M10" i="3"/>
  <c r="N10" i="3"/>
  <c r="R10" i="3"/>
  <c r="U10" i="3"/>
  <c r="T10" i="3" s="1"/>
  <c r="V10" i="3"/>
  <c r="W10" i="3"/>
  <c r="X10" i="3"/>
  <c r="M42" i="3"/>
  <c r="N42" i="3"/>
  <c r="S42" i="3"/>
  <c r="U42" i="3"/>
  <c r="T42" i="3" s="1"/>
  <c r="V42" i="3"/>
  <c r="W42" i="3"/>
  <c r="X42" i="3"/>
  <c r="M26" i="3"/>
  <c r="N26" i="3"/>
  <c r="U26" i="3"/>
  <c r="T26" i="3" s="1"/>
  <c r="V26" i="3"/>
  <c r="W26" i="3"/>
  <c r="X26" i="3"/>
  <c r="AD26" i="3"/>
  <c r="M32" i="3"/>
  <c r="N32" i="3"/>
  <c r="U32" i="3"/>
  <c r="T32" i="3" s="1"/>
  <c r="V32" i="3"/>
  <c r="W32" i="3"/>
  <c r="X32" i="3"/>
  <c r="M46" i="3"/>
  <c r="N46" i="3"/>
  <c r="R46" i="3"/>
  <c r="U46" i="3"/>
  <c r="T46" i="3" s="1"/>
  <c r="V46" i="3"/>
  <c r="W46" i="3"/>
  <c r="X46" i="3"/>
  <c r="M24" i="3"/>
  <c r="N24" i="3"/>
  <c r="S24" i="3"/>
  <c r="U24" i="3"/>
  <c r="T24" i="3" s="1"/>
  <c r="V24" i="3"/>
  <c r="W24" i="3"/>
  <c r="Y24" i="3" s="1"/>
  <c r="X24" i="3"/>
  <c r="AD24" i="3"/>
  <c r="M62" i="3"/>
  <c r="N62" i="3"/>
  <c r="U62" i="3"/>
  <c r="T62" i="3" s="1"/>
  <c r="V62" i="3"/>
  <c r="W62" i="3"/>
  <c r="X62" i="3"/>
  <c r="AD62" i="3"/>
  <c r="M64" i="3"/>
  <c r="N64" i="3"/>
  <c r="S64" i="3"/>
  <c r="U64" i="3"/>
  <c r="T64" i="3" s="1"/>
  <c r="V64" i="3"/>
  <c r="W64" i="3"/>
  <c r="X64" i="3"/>
  <c r="AD64" i="3"/>
  <c r="M14" i="3"/>
  <c r="N14" i="3"/>
  <c r="R14" i="3"/>
  <c r="U14" i="3"/>
  <c r="T14" i="3" s="1"/>
  <c r="V14" i="3"/>
  <c r="W14" i="3"/>
  <c r="X14" i="3"/>
  <c r="M74" i="3"/>
  <c r="N74" i="3"/>
  <c r="U74" i="3"/>
  <c r="T74" i="3" s="1"/>
  <c r="V74" i="3"/>
  <c r="W74" i="3"/>
  <c r="X74" i="3"/>
  <c r="AD74" i="3"/>
  <c r="M27" i="3"/>
  <c r="N27" i="3"/>
  <c r="S27" i="3"/>
  <c r="U27" i="3"/>
  <c r="T27" i="3" s="1"/>
  <c r="V27" i="3"/>
  <c r="W27" i="3"/>
  <c r="X27" i="3"/>
  <c r="M73" i="3"/>
  <c r="N73" i="3"/>
  <c r="S73" i="3"/>
  <c r="U73" i="3"/>
  <c r="T73" i="3" s="1"/>
  <c r="V73" i="3"/>
  <c r="W73" i="3"/>
  <c r="X73" i="3"/>
  <c r="AD73" i="3"/>
  <c r="M11" i="3"/>
  <c r="N11" i="3"/>
  <c r="S11" i="3"/>
  <c r="U11" i="3"/>
  <c r="V11" i="3"/>
  <c r="W11" i="3"/>
  <c r="Y11" i="3" s="1"/>
  <c r="X11" i="3"/>
  <c r="M33" i="3"/>
  <c r="N33" i="3"/>
  <c r="S33" i="3"/>
  <c r="U33" i="3"/>
  <c r="V33" i="3"/>
  <c r="W33" i="3"/>
  <c r="X33" i="3"/>
  <c r="M17" i="3"/>
  <c r="N17" i="3"/>
  <c r="S17" i="3"/>
  <c r="U17" i="3"/>
  <c r="AD9" i="3" s="1"/>
  <c r="V17" i="3"/>
  <c r="W17" i="3"/>
  <c r="X17" i="3"/>
  <c r="M45" i="3"/>
  <c r="N45" i="3"/>
  <c r="R45" i="3"/>
  <c r="S45" i="3"/>
  <c r="U45" i="3"/>
  <c r="V45" i="3"/>
  <c r="W45" i="3"/>
  <c r="X45" i="3"/>
  <c r="M57" i="3"/>
  <c r="N57" i="3"/>
  <c r="R57" i="3"/>
  <c r="S57" i="3"/>
  <c r="U57" i="3"/>
  <c r="V57" i="3"/>
  <c r="W57" i="3"/>
  <c r="X57" i="3"/>
  <c r="M53" i="3"/>
  <c r="N53" i="3"/>
  <c r="R53" i="3"/>
  <c r="S53" i="3"/>
  <c r="U53" i="3"/>
  <c r="V53" i="3"/>
  <c r="W53" i="3"/>
  <c r="X53" i="3"/>
  <c r="M34" i="3"/>
  <c r="N34" i="3"/>
  <c r="S34" i="3"/>
  <c r="U34" i="3"/>
  <c r="AD27" i="3" s="1"/>
  <c r="V34" i="3"/>
  <c r="W34" i="3"/>
  <c r="X34" i="3"/>
  <c r="M7" i="3"/>
  <c r="N7" i="3"/>
  <c r="S7" i="3"/>
  <c r="U7" i="3"/>
  <c r="V7" i="3"/>
  <c r="W7" i="3"/>
  <c r="X7" i="3"/>
  <c r="AD7" i="3"/>
  <c r="M60" i="3"/>
  <c r="N60" i="3"/>
  <c r="R60" i="3"/>
  <c r="S60" i="3"/>
  <c r="U60" i="3"/>
  <c r="V60" i="3"/>
  <c r="W60" i="3"/>
  <c r="X60" i="3"/>
  <c r="M15" i="3"/>
  <c r="N15" i="3"/>
  <c r="R15" i="3"/>
  <c r="S15" i="3"/>
  <c r="U15" i="3"/>
  <c r="V15" i="3"/>
  <c r="W15" i="3"/>
  <c r="X15" i="3"/>
  <c r="M58" i="3"/>
  <c r="N58" i="3"/>
  <c r="S58" i="3"/>
  <c r="U58" i="3"/>
  <c r="V58" i="3"/>
  <c r="W58" i="3"/>
  <c r="Y58" i="3" s="1"/>
  <c r="X58" i="3"/>
  <c r="AD58" i="3"/>
  <c r="M51" i="3"/>
  <c r="N51" i="3"/>
  <c r="R51" i="3"/>
  <c r="S51" i="3"/>
  <c r="U51" i="3"/>
  <c r="V51" i="3"/>
  <c r="W51" i="3"/>
  <c r="X51" i="3"/>
  <c r="AD51" i="3"/>
  <c r="M35" i="3"/>
  <c r="N35" i="3"/>
  <c r="S35" i="3"/>
  <c r="U35" i="3"/>
  <c r="AD35" i="3" s="1"/>
  <c r="V35" i="3"/>
  <c r="W35" i="3"/>
  <c r="X35" i="3"/>
  <c r="M66" i="3"/>
  <c r="N66" i="3"/>
  <c r="R66" i="3"/>
  <c r="S66" i="3"/>
  <c r="U66" i="3"/>
  <c r="V66" i="3"/>
  <c r="W66" i="3"/>
  <c r="X66" i="3"/>
  <c r="AD66" i="3"/>
  <c r="M19" i="3"/>
  <c r="N19" i="3"/>
  <c r="U19" i="3"/>
  <c r="V19" i="3"/>
  <c r="W19" i="3"/>
  <c r="X19" i="3"/>
  <c r="AD19" i="3"/>
  <c r="M41" i="3"/>
  <c r="N41" i="3"/>
  <c r="S41" i="3"/>
  <c r="U41" i="3"/>
  <c r="V41" i="3"/>
  <c r="W41" i="3"/>
  <c r="X41" i="3"/>
  <c r="AD41" i="3"/>
  <c r="M54" i="3"/>
  <c r="N54" i="3"/>
  <c r="R54" i="3"/>
  <c r="U54" i="3"/>
  <c r="AD54" i="3" s="1"/>
  <c r="V54" i="3"/>
  <c r="W54" i="3"/>
  <c r="Y54" i="3" s="1"/>
  <c r="X54" i="3"/>
  <c r="M8" i="3"/>
  <c r="N8" i="3"/>
  <c r="R8" i="3"/>
  <c r="U8" i="3"/>
  <c r="V8" i="3"/>
  <c r="W8" i="3"/>
  <c r="X8" i="3"/>
  <c r="AD8" i="3"/>
  <c r="M36" i="3"/>
  <c r="N36" i="3"/>
  <c r="U36" i="3"/>
  <c r="T36" i="3" s="1"/>
  <c r="V36" i="3"/>
  <c r="W36" i="3"/>
  <c r="X36" i="3"/>
  <c r="AC36" i="3"/>
  <c r="M37" i="3"/>
  <c r="N37" i="3"/>
  <c r="U37" i="3"/>
  <c r="T37" i="3" s="1"/>
  <c r="V37" i="3"/>
  <c r="W37" i="3"/>
  <c r="X37" i="3"/>
  <c r="M59" i="3"/>
  <c r="N59" i="3"/>
  <c r="R59" i="3"/>
  <c r="S59" i="3"/>
  <c r="U59" i="3"/>
  <c r="T59" i="3" s="1"/>
  <c r="V59" i="3"/>
  <c r="W59" i="3"/>
  <c r="X59" i="3"/>
  <c r="AC59" i="3"/>
  <c r="M22" i="3"/>
  <c r="N22" i="3"/>
  <c r="S22" i="3"/>
  <c r="U22" i="3"/>
  <c r="T22" i="3" s="1"/>
  <c r="V22" i="3"/>
  <c r="W22" i="3"/>
  <c r="X22" i="3"/>
  <c r="AD22" i="3"/>
  <c r="M55" i="3"/>
  <c r="N55" i="3"/>
  <c r="S55" i="3"/>
  <c r="U55" i="3"/>
  <c r="T55" i="3" s="1"/>
  <c r="V55" i="3"/>
  <c r="W55" i="3"/>
  <c r="X55" i="3"/>
  <c r="AC55" i="3"/>
  <c r="M18" i="3"/>
  <c r="N18" i="3"/>
  <c r="S18" i="3"/>
  <c r="U18" i="3"/>
  <c r="T18" i="3" s="1"/>
  <c r="V18" i="3"/>
  <c r="W18" i="3"/>
  <c r="X18" i="3"/>
  <c r="M38" i="3"/>
  <c r="N38" i="3"/>
  <c r="R38" i="3"/>
  <c r="U38" i="3"/>
  <c r="T38" i="3" s="1"/>
  <c r="V38" i="3"/>
  <c r="W38" i="3"/>
  <c r="X38" i="3"/>
  <c r="AC38" i="3"/>
  <c r="M65" i="3"/>
  <c r="N65" i="3"/>
  <c r="U65" i="3"/>
  <c r="T65" i="3" s="1"/>
  <c r="V65" i="3"/>
  <c r="W65" i="3"/>
  <c r="X65" i="3"/>
  <c r="M70" i="3"/>
  <c r="N70" i="3"/>
  <c r="R70" i="3"/>
  <c r="U70" i="3"/>
  <c r="T70" i="3" s="1"/>
  <c r="V70" i="3"/>
  <c r="W70" i="3"/>
  <c r="X70" i="3"/>
  <c r="AC70" i="3"/>
  <c r="M71" i="3"/>
  <c r="N71" i="3"/>
  <c r="U71" i="3"/>
  <c r="T71" i="3" s="1"/>
  <c r="V71" i="3"/>
  <c r="W71" i="3"/>
  <c r="X71" i="3"/>
  <c r="M56" i="3"/>
  <c r="N56" i="3"/>
  <c r="R56" i="3"/>
  <c r="U56" i="3"/>
  <c r="T56" i="3" s="1"/>
  <c r="V56" i="3"/>
  <c r="W56" i="3"/>
  <c r="X56" i="3"/>
  <c r="AC56" i="3"/>
  <c r="M61" i="3"/>
  <c r="N61" i="3"/>
  <c r="R61" i="3"/>
  <c r="U61" i="3"/>
  <c r="T61" i="3" s="1"/>
  <c r="V61" i="3"/>
  <c r="W61" i="3"/>
  <c r="X61" i="3"/>
  <c r="AD61" i="3"/>
  <c r="M75" i="3"/>
  <c r="N75" i="3"/>
  <c r="R75" i="3"/>
  <c r="U75" i="3"/>
  <c r="T75" i="3" s="1"/>
  <c r="V75" i="3"/>
  <c r="W75" i="3"/>
  <c r="X75" i="3"/>
  <c r="AC75" i="3"/>
  <c r="M39" i="3"/>
  <c r="N39" i="3"/>
  <c r="R39" i="3"/>
  <c r="U39" i="3"/>
  <c r="T39" i="3" s="1"/>
  <c r="V39" i="3"/>
  <c r="W39" i="3"/>
  <c r="Y39" i="3" s="1"/>
  <c r="X39" i="3"/>
  <c r="M67" i="3"/>
  <c r="N67" i="3"/>
  <c r="R67" i="3"/>
  <c r="U67" i="3"/>
  <c r="T67" i="3" s="1"/>
  <c r="V67" i="3"/>
  <c r="W67" i="3"/>
  <c r="X67" i="3"/>
  <c r="M69" i="3"/>
  <c r="N69" i="3"/>
  <c r="U69" i="3"/>
  <c r="T69" i="3" s="1"/>
  <c r="V69" i="3"/>
  <c r="W69" i="3"/>
  <c r="X69" i="3"/>
  <c r="AD69" i="3"/>
  <c r="M25" i="3"/>
  <c r="N25" i="3"/>
  <c r="S25" i="3"/>
  <c r="U25" i="3"/>
  <c r="T25" i="3" s="1"/>
  <c r="V25" i="3"/>
  <c r="W25" i="3"/>
  <c r="X25" i="3"/>
  <c r="AC25" i="3"/>
  <c r="M68" i="3"/>
  <c r="N68" i="3"/>
  <c r="S68" i="3"/>
  <c r="U68" i="3"/>
  <c r="T68" i="3" s="1"/>
  <c r="V68" i="3"/>
  <c r="W68" i="3"/>
  <c r="X68" i="3"/>
  <c r="M20" i="3"/>
  <c r="N20" i="3"/>
  <c r="S20" i="3"/>
  <c r="U20" i="3"/>
  <c r="T20" i="3" s="1"/>
  <c r="V20" i="3"/>
  <c r="W20" i="3"/>
  <c r="X20" i="3"/>
  <c r="M43" i="3"/>
  <c r="N43" i="3"/>
  <c r="U43" i="3"/>
  <c r="T43" i="3" s="1"/>
  <c r="V43" i="3"/>
  <c r="W43" i="3"/>
  <c r="X43" i="3"/>
  <c r="AD43" i="3"/>
  <c r="M12" i="3"/>
  <c r="N12" i="3"/>
  <c r="U12" i="3"/>
  <c r="T12" i="3" s="1"/>
  <c r="V12" i="3"/>
  <c r="W12" i="3"/>
  <c r="X12" i="3"/>
  <c r="AC12" i="3"/>
  <c r="M40" i="3"/>
  <c r="N40" i="3"/>
  <c r="S40" i="3"/>
  <c r="U40" i="3"/>
  <c r="T40" i="3" s="1"/>
  <c r="V40" i="3"/>
  <c r="W40" i="3"/>
  <c r="X40" i="3"/>
  <c r="Y25" i="3" l="1"/>
  <c r="Y18" i="3"/>
  <c r="Y52" i="3"/>
  <c r="Y12" i="3"/>
  <c r="Y70" i="3"/>
  <c r="Y14" i="3"/>
  <c r="AD29" i="3"/>
  <c r="AD30" i="3"/>
  <c r="AD13" i="3"/>
  <c r="AD49" i="3"/>
  <c r="AC67" i="3"/>
  <c r="AD15" i="3"/>
  <c r="Y36" i="3"/>
  <c r="AD72" i="3"/>
  <c r="Y53" i="3"/>
  <c r="Y57" i="3"/>
  <c r="Y17" i="3"/>
  <c r="Y10" i="3"/>
  <c r="Y47" i="3"/>
  <c r="AD53" i="3"/>
  <c r="Y75" i="3"/>
  <c r="Y61" i="3"/>
  <c r="Y55" i="3"/>
  <c r="Y22" i="3"/>
  <c r="Y66" i="3"/>
  <c r="Y35" i="3"/>
  <c r="Y60" i="3"/>
  <c r="Y74" i="3"/>
  <c r="Y46" i="3"/>
  <c r="Y42" i="3"/>
  <c r="Y30" i="3"/>
  <c r="Y23" i="3"/>
  <c r="Y72" i="3"/>
  <c r="AA87" i="1"/>
  <c r="AG24" i="1"/>
  <c r="W24" i="1" s="1"/>
  <c r="AA107" i="1"/>
  <c r="AA101" i="1"/>
  <c r="AA100" i="1"/>
  <c r="W100" i="1" s="1"/>
  <c r="T73" i="1"/>
  <c r="X73" i="1"/>
  <c r="T72" i="1"/>
  <c r="X72" i="1"/>
  <c r="T71" i="1"/>
  <c r="X71" i="1"/>
  <c r="T70" i="1"/>
  <c r="X70" i="1"/>
  <c r="AA68" i="1"/>
  <c r="AA40" i="1"/>
  <c r="AA39" i="1"/>
  <c r="AA38" i="1"/>
  <c r="AG192" i="1"/>
  <c r="X192" i="1"/>
  <c r="AA188" i="1"/>
  <c r="AA186" i="1"/>
  <c r="AA185" i="1"/>
  <c r="AG235" i="1"/>
  <c r="AI235" i="1" s="1"/>
  <c r="AA213" i="1"/>
  <c r="AA159" i="1"/>
  <c r="AA158" i="1"/>
  <c r="AA157" i="1"/>
  <c r="AA147" i="1"/>
  <c r="AA137" i="1"/>
  <c r="AG122" i="1"/>
  <c r="AA74" i="1"/>
  <c r="T74" i="1"/>
  <c r="X30" i="1"/>
  <c r="AA20" i="1"/>
  <c r="W20" i="1" s="1"/>
  <c r="AA18" i="1"/>
  <c r="R72" i="3"/>
  <c r="T217" i="1"/>
  <c r="S70" i="3"/>
  <c r="R64" i="3"/>
  <c r="AG188" i="1"/>
  <c r="U188" i="1" s="1"/>
  <c r="AA174" i="1"/>
  <c r="AA173" i="1"/>
  <c r="AA172" i="1"/>
  <c r="AA218" i="1"/>
  <c r="AI217" i="1"/>
  <c r="AG213" i="1"/>
  <c r="AI213" i="1" s="1"/>
  <c r="AA155" i="1"/>
  <c r="AA154" i="1"/>
  <c r="AI153" i="1"/>
  <c r="AI151" i="1"/>
  <c r="AA133" i="1"/>
  <c r="P97" i="1"/>
  <c r="AG94" i="1"/>
  <c r="X94" i="1"/>
  <c r="X90" i="1"/>
  <c r="AG74" i="1"/>
  <c r="U74" i="1" s="1"/>
  <c r="S74" i="1" s="1"/>
  <c r="AA71" i="1"/>
  <c r="AA66" i="1"/>
  <c r="W66" i="1" s="1"/>
  <c r="AA65" i="1"/>
  <c r="AA64" i="1"/>
  <c r="AA63" i="1"/>
  <c r="W63" i="1" s="1"/>
  <c r="AG50" i="1"/>
  <c r="AA24" i="1"/>
  <c r="P207" i="1"/>
  <c r="AG164" i="1"/>
  <c r="U164" i="1" s="1"/>
  <c r="AG236" i="1"/>
  <c r="X236" i="1"/>
  <c r="AG234" i="1"/>
  <c r="AI234" i="1" s="1"/>
  <c r="AA222" i="1"/>
  <c r="AG214" i="1"/>
  <c r="X214" i="1"/>
  <c r="R74" i="3"/>
  <c r="S44" i="3"/>
  <c r="S63" i="3"/>
  <c r="T229" i="1"/>
  <c r="AA206" i="1"/>
  <c r="W206" i="1" s="1"/>
  <c r="P198" i="1"/>
  <c r="AG196" i="1"/>
  <c r="U196" i="1" s="1"/>
  <c r="S196" i="1" s="1"/>
  <c r="P190" i="1"/>
  <c r="P187" i="1"/>
  <c r="AG186" i="1"/>
  <c r="U186" i="1" s="1"/>
  <c r="S186" i="1" s="1"/>
  <c r="X179" i="1"/>
  <c r="AA178" i="1"/>
  <c r="AA177" i="1"/>
  <c r="AA176" i="1"/>
  <c r="W176" i="1" s="1"/>
  <c r="AG174" i="1"/>
  <c r="X172" i="1"/>
  <c r="X171" i="1"/>
  <c r="AA170" i="1"/>
  <c r="W170" i="1" s="1"/>
  <c r="AA247" i="1"/>
  <c r="AA246" i="1"/>
  <c r="P182" i="1"/>
  <c r="AI227" i="1"/>
  <c r="AG209" i="1"/>
  <c r="AI209" i="1" s="1"/>
  <c r="X209" i="1"/>
  <c r="X230" i="1"/>
  <c r="S72" i="3"/>
  <c r="P193" i="1"/>
  <c r="U192" i="1"/>
  <c r="AA164" i="1"/>
  <c r="AA236" i="1"/>
  <c r="W236" i="1" s="1"/>
  <c r="X235" i="1"/>
  <c r="AA234" i="1"/>
  <c r="AA233" i="1"/>
  <c r="AA232" i="1"/>
  <c r="AA231" i="1"/>
  <c r="W147" i="1"/>
  <c r="X143" i="1"/>
  <c r="AG58" i="1"/>
  <c r="AG21" i="1"/>
  <c r="R17" i="3"/>
  <c r="R11" i="3"/>
  <c r="AG155" i="1"/>
  <c r="AG93" i="1"/>
  <c r="W93" i="1" s="1"/>
  <c r="AA75" i="1"/>
  <c r="AG66" i="1"/>
  <c r="AG40" i="1"/>
  <c r="W40" i="1" s="1"/>
  <c r="X38" i="1"/>
  <c r="T29" i="1"/>
  <c r="AG25" i="1"/>
  <c r="U25" i="1" s="1"/>
  <c r="S25" i="1" s="1"/>
  <c r="X25" i="1"/>
  <c r="AG17" i="1"/>
  <c r="AI17" i="1" s="1"/>
  <c r="AG78" i="1"/>
  <c r="U78" i="1" s="1"/>
  <c r="S78" i="1" s="1"/>
  <c r="X78" i="1"/>
  <c r="AG48" i="1"/>
  <c r="AI48" i="1" s="1"/>
  <c r="AG159" i="1"/>
  <c r="AA153" i="1"/>
  <c r="W153" i="1" s="1"/>
  <c r="AG133" i="1"/>
  <c r="W133" i="1" s="1"/>
  <c r="AG118" i="1"/>
  <c r="S26" i="3"/>
  <c r="R9" i="3"/>
  <c r="AA151" i="1"/>
  <c r="AA146" i="1"/>
  <c r="AA143" i="1"/>
  <c r="W143" i="1" s="1"/>
  <c r="T126" i="1"/>
  <c r="AA111" i="1"/>
  <c r="AG97" i="1"/>
  <c r="AG90" i="1"/>
  <c r="AA89" i="1"/>
  <c r="AA88" i="1"/>
  <c r="W88" i="1" s="1"/>
  <c r="AG81" i="1"/>
  <c r="X79" i="1"/>
  <c r="AA78" i="1"/>
  <c r="W78" i="1" s="1"/>
  <c r="T63" i="1"/>
  <c r="AA60" i="1"/>
  <c r="AA58" i="1"/>
  <c r="AA57" i="1"/>
  <c r="AA56" i="1"/>
  <c r="X49" i="1"/>
  <c r="AG30" i="1"/>
  <c r="AI30" i="1" s="1"/>
  <c r="AA29" i="1"/>
  <c r="AG28" i="1"/>
  <c r="X26" i="1"/>
  <c r="AG22" i="1"/>
  <c r="AI22" i="1" s="1"/>
  <c r="AG20" i="1"/>
  <c r="T200" i="1"/>
  <c r="AG200" i="1"/>
  <c r="AA225" i="1"/>
  <c r="AA230" i="1"/>
  <c r="AA229" i="1"/>
  <c r="W229" i="1" s="1"/>
  <c r="X226" i="1"/>
  <c r="AG184" i="1"/>
  <c r="AI184" i="1" s="1"/>
  <c r="X184" i="1"/>
  <c r="T212" i="1"/>
  <c r="U212" i="1" s="1"/>
  <c r="S212" i="1" s="1"/>
  <c r="AG212" i="1"/>
  <c r="U208" i="1"/>
  <c r="T204" i="1"/>
  <c r="AG204" i="1"/>
  <c r="AA212" i="1"/>
  <c r="AA211" i="1"/>
  <c r="W211" i="1" s="1"/>
  <c r="X202" i="1"/>
  <c r="AA200" i="1"/>
  <c r="W200" i="1" s="1"/>
  <c r="AA199" i="1"/>
  <c r="AA198" i="1"/>
  <c r="W198" i="1" s="1"/>
  <c r="AG190" i="1"/>
  <c r="AA184" i="1"/>
  <c r="AG182" i="1"/>
  <c r="AA244" i="1"/>
  <c r="W244" i="1" s="1"/>
  <c r="AA243" i="1"/>
  <c r="AA242" i="1"/>
  <c r="W242" i="1" s="1"/>
  <c r="AG168" i="1"/>
  <c r="AA162" i="1"/>
  <c r="AG161" i="1"/>
  <c r="AI161" i="1" s="1"/>
  <c r="X161" i="1"/>
  <c r="AA160" i="1"/>
  <c r="AA241" i="1"/>
  <c r="AG222" i="1"/>
  <c r="AI222" i="1" s="1"/>
  <c r="X222" i="1"/>
  <c r="AA221" i="1"/>
  <c r="T221" i="1"/>
  <c r="X151" i="1"/>
  <c r="AA142" i="1"/>
  <c r="X139" i="1"/>
  <c r="AA138" i="1"/>
  <c r="AG135" i="1"/>
  <c r="AA134" i="1"/>
  <c r="W134" i="1" s="1"/>
  <c r="X130" i="1"/>
  <c r="AA130" i="1"/>
  <c r="AA123" i="1"/>
  <c r="AA121" i="1"/>
  <c r="AA115" i="1"/>
  <c r="W115" i="1" s="1"/>
  <c r="AG113" i="1"/>
  <c r="U113" i="1" s="1"/>
  <c r="S113" i="1" s="1"/>
  <c r="X107" i="1"/>
  <c r="T106" i="1"/>
  <c r="AA103" i="1"/>
  <c r="X98" i="1"/>
  <c r="AA91" i="1"/>
  <c r="AA82" i="1"/>
  <c r="T82" i="1"/>
  <c r="AG79" i="1"/>
  <c r="AI79" i="1" s="1"/>
  <c r="AG75" i="1"/>
  <c r="AI75" i="1" s="1"/>
  <c r="X55" i="1"/>
  <c r="AA52" i="1"/>
  <c r="W52" i="1" s="1"/>
  <c r="X46" i="1"/>
  <c r="AA44" i="1"/>
  <c r="AA43" i="1"/>
  <c r="AA42" i="1"/>
  <c r="U213" i="1"/>
  <c r="S213" i="1" s="1"/>
  <c r="X206" i="1"/>
  <c r="AA204" i="1"/>
  <c r="W204" i="1" s="1"/>
  <c r="AA203" i="1"/>
  <c r="W203" i="1" s="1"/>
  <c r="AA202" i="1"/>
  <c r="W202" i="1" s="1"/>
  <c r="AA193" i="1"/>
  <c r="W193" i="1" s="1"/>
  <c r="AA190" i="1"/>
  <c r="W190" i="1" s="1"/>
  <c r="AA182" i="1"/>
  <c r="W182" i="1" s="1"/>
  <c r="AA181" i="1"/>
  <c r="W181" i="1" s="1"/>
  <c r="AA180" i="1"/>
  <c r="W180" i="1" s="1"/>
  <c r="AG244" i="1"/>
  <c r="AI244" i="1" s="1"/>
  <c r="X242" i="1"/>
  <c r="X169" i="1"/>
  <c r="AA168" i="1"/>
  <c r="W168" i="1" s="1"/>
  <c r="AA167" i="1"/>
  <c r="AA166" i="1"/>
  <c r="AG162" i="1"/>
  <c r="U162" i="1" s="1"/>
  <c r="S162" i="1" s="1"/>
  <c r="X162" i="1"/>
  <c r="AG160" i="1"/>
  <c r="AI160" i="1" s="1"/>
  <c r="X240" i="1"/>
  <c r="AA239" i="1"/>
  <c r="AG238" i="1"/>
  <c r="AG221" i="1"/>
  <c r="AA220" i="1"/>
  <c r="AA219" i="1"/>
  <c r="AG218" i="1"/>
  <c r="AA217" i="1"/>
  <c r="W217" i="1" s="1"/>
  <c r="AA214" i="1"/>
  <c r="W214" i="1" s="1"/>
  <c r="X157" i="1"/>
  <c r="X153" i="1"/>
  <c r="AG150" i="1"/>
  <c r="U150" i="1" s="1"/>
  <c r="S150" i="1" s="1"/>
  <c r="X147" i="1"/>
  <c r="X146" i="1"/>
  <c r="AG138" i="1"/>
  <c r="U138" i="1" s="1"/>
  <c r="S138" i="1" s="1"/>
  <c r="AA135" i="1"/>
  <c r="AA131" i="1"/>
  <c r="W131" i="1" s="1"/>
  <c r="AG129" i="1"/>
  <c r="AI129" i="1" s="1"/>
  <c r="AG121" i="1"/>
  <c r="U121" i="1" s="1"/>
  <c r="S121" i="1" s="1"/>
  <c r="AA119" i="1"/>
  <c r="X114" i="1"/>
  <c r="AA114" i="1"/>
  <c r="AG106" i="1"/>
  <c r="AA105" i="1"/>
  <c r="AA104" i="1"/>
  <c r="AA94" i="1"/>
  <c r="W94" i="1" s="1"/>
  <c r="AG82" i="1"/>
  <c r="AG71" i="1"/>
  <c r="AI71" i="1" s="1"/>
  <c r="AG68" i="1"/>
  <c r="AI68" i="1" s="1"/>
  <c r="AA55" i="1"/>
  <c r="W55" i="1" s="1"/>
  <c r="T55" i="1"/>
  <c r="AA50" i="1"/>
  <c r="W50" i="1" s="1"/>
  <c r="AA48" i="1"/>
  <c r="AA47" i="1"/>
  <c r="AA46" i="1"/>
  <c r="AG44" i="1"/>
  <c r="U44" i="1" s="1"/>
  <c r="S44" i="1" s="1"/>
  <c r="AG32" i="1"/>
  <c r="AA23" i="1"/>
  <c r="AA22" i="1"/>
  <c r="W22" i="1" s="1"/>
  <c r="X239" i="1"/>
  <c r="W151" i="1"/>
  <c r="T142" i="1"/>
  <c r="AI122" i="1"/>
  <c r="X122" i="1"/>
  <c r="W118" i="1"/>
  <c r="T110" i="1"/>
  <c r="T102" i="1"/>
  <c r="W81" i="1"/>
  <c r="W75" i="1"/>
  <c r="X64" i="1"/>
  <c r="AG60" i="1"/>
  <c r="AI60" i="1" s="1"/>
  <c r="W36" i="1"/>
  <c r="AG26" i="1"/>
  <c r="U26" i="1" s="1"/>
  <c r="W208" i="1"/>
  <c r="T197" i="1"/>
  <c r="X197" i="1"/>
  <c r="AG197" i="1"/>
  <c r="AI197" i="1" s="1"/>
  <c r="W196" i="1"/>
  <c r="W194" i="1"/>
  <c r="X231" i="1"/>
  <c r="T230" i="1"/>
  <c r="AG228" i="1"/>
  <c r="U228" i="1" s="1"/>
  <c r="X225" i="1"/>
  <c r="AG225" i="1"/>
  <c r="AG210" i="1"/>
  <c r="U210" i="1" s="1"/>
  <c r="S210" i="1" s="1"/>
  <c r="X210" i="1"/>
  <c r="X201" i="1"/>
  <c r="AG201" i="1"/>
  <c r="AI201" i="1" s="1"/>
  <c r="T201" i="1"/>
  <c r="T198" i="1"/>
  <c r="X191" i="1"/>
  <c r="AG191" i="1"/>
  <c r="T191" i="1"/>
  <c r="W172" i="1"/>
  <c r="W212" i="1"/>
  <c r="T205" i="1"/>
  <c r="X205" i="1"/>
  <c r="AG205" i="1"/>
  <c r="AI205" i="1" s="1"/>
  <c r="U198" i="1"/>
  <c r="AI193" i="1"/>
  <c r="X229" i="1"/>
  <c r="T226" i="1"/>
  <c r="U226" i="1" s="1"/>
  <c r="S226" i="1" s="1"/>
  <c r="AG230" i="1"/>
  <c r="W230" i="1" s="1"/>
  <c r="AA228" i="1"/>
  <c r="AA227" i="1"/>
  <c r="AA210" i="1"/>
  <c r="W210" i="1" s="1"/>
  <c r="T206" i="1"/>
  <c r="U206" i="1" s="1"/>
  <c r="S206" i="1" s="1"/>
  <c r="U202" i="1"/>
  <c r="S202" i="1" s="1"/>
  <c r="U200" i="1"/>
  <c r="X198" i="1"/>
  <c r="U190" i="1"/>
  <c r="X187" i="1"/>
  <c r="AG187" i="1"/>
  <c r="X188" i="1"/>
  <c r="T187" i="1"/>
  <c r="T184" i="1"/>
  <c r="X180" i="1"/>
  <c r="W178" i="1"/>
  <c r="T176" i="1"/>
  <c r="U176" i="1" s="1"/>
  <c r="S176" i="1" s="1"/>
  <c r="T246" i="1"/>
  <c r="T166" i="1"/>
  <c r="T240" i="1"/>
  <c r="T232" i="1"/>
  <c r="AG224" i="1"/>
  <c r="U224" i="1" s="1"/>
  <c r="T218" i="1"/>
  <c r="U218" i="1" s="1"/>
  <c r="S218" i="1" s="1"/>
  <c r="AG216" i="1"/>
  <c r="AA209" i="1"/>
  <c r="W209" i="1" s="1"/>
  <c r="AA201" i="1"/>
  <c r="AA191" i="1"/>
  <c r="W191" i="1" s="1"/>
  <c r="AA189" i="1"/>
  <c r="AA187" i="1"/>
  <c r="AG183" i="1"/>
  <c r="U183" i="1" s="1"/>
  <c r="X183" i="1"/>
  <c r="AA179" i="1"/>
  <c r="T179" i="1"/>
  <c r="AG175" i="1"/>
  <c r="U175" i="1" s="1"/>
  <c r="X175" i="1"/>
  <c r="AA171" i="1"/>
  <c r="T171" i="1"/>
  <c r="AG246" i="1"/>
  <c r="U246" i="1" s="1"/>
  <c r="S246" i="1" s="1"/>
  <c r="AG245" i="1"/>
  <c r="U245" i="1" s="1"/>
  <c r="S245" i="1" s="1"/>
  <c r="X245" i="1"/>
  <c r="AA169" i="1"/>
  <c r="T169" i="1"/>
  <c r="AG166" i="1"/>
  <c r="U166" i="1" s="1"/>
  <c r="S166" i="1" s="1"/>
  <c r="AG165" i="1"/>
  <c r="X165" i="1"/>
  <c r="AA161" i="1"/>
  <c r="W161" i="1" s="1"/>
  <c r="AG240" i="1"/>
  <c r="W240" i="1" s="1"/>
  <c r="AG239" i="1"/>
  <c r="AA235" i="1"/>
  <c r="W235" i="1" s="1"/>
  <c r="AG232" i="1"/>
  <c r="AG231" i="1"/>
  <c r="W231" i="1" s="1"/>
  <c r="W221" i="1"/>
  <c r="U217" i="1"/>
  <c r="X217" i="1"/>
  <c r="W213" i="1"/>
  <c r="W155" i="1"/>
  <c r="AA152" i="1"/>
  <c r="W152" i="1" s="1"/>
  <c r="W64" i="1"/>
  <c r="T180" i="1"/>
  <c r="U180" i="1" s="1"/>
  <c r="S180" i="1" s="1"/>
  <c r="W174" i="1"/>
  <c r="T172" i="1"/>
  <c r="U172" i="1" s="1"/>
  <c r="S172" i="1" s="1"/>
  <c r="T242" i="1"/>
  <c r="U242" i="1" s="1"/>
  <c r="S242" i="1" s="1"/>
  <c r="AA163" i="1"/>
  <c r="AA238" i="1"/>
  <c r="W238" i="1" s="1"/>
  <c r="AA237" i="1"/>
  <c r="AA224" i="1"/>
  <c r="AA223" i="1"/>
  <c r="AG220" i="1"/>
  <c r="W220" i="1" s="1"/>
  <c r="AA216" i="1"/>
  <c r="AA215" i="1"/>
  <c r="X213" i="1"/>
  <c r="AG157" i="1"/>
  <c r="AI64" i="1"/>
  <c r="AA205" i="1"/>
  <c r="W205" i="1" s="1"/>
  <c r="AA197" i="1"/>
  <c r="W197" i="1" s="1"/>
  <c r="AA192" i="1"/>
  <c r="W192" i="1" s="1"/>
  <c r="AA183" i="1"/>
  <c r="W183" i="1" s="1"/>
  <c r="AG179" i="1"/>
  <c r="U179" i="1" s="1"/>
  <c r="S179" i="1" s="1"/>
  <c r="AA175" i="1"/>
  <c r="W175" i="1" s="1"/>
  <c r="AG171" i="1"/>
  <c r="AA245" i="1"/>
  <c r="AG169" i="1"/>
  <c r="AA165" i="1"/>
  <c r="U161" i="1"/>
  <c r="U236" i="1"/>
  <c r="S236" i="1" s="1"/>
  <c r="U235" i="1"/>
  <c r="W232" i="1"/>
  <c r="U222" i="1"/>
  <c r="S222" i="1" s="1"/>
  <c r="U214" i="1"/>
  <c r="S214" i="1" s="1"/>
  <c r="AI83" i="1"/>
  <c r="AA145" i="1"/>
  <c r="AA144" i="1"/>
  <c r="AA141" i="1"/>
  <c r="AA140" i="1"/>
  <c r="AA136" i="1"/>
  <c r="T135" i="1"/>
  <c r="U135" i="1" s="1"/>
  <c r="S135" i="1" s="1"/>
  <c r="T131" i="1"/>
  <c r="U131" i="1" s="1"/>
  <c r="S131" i="1" s="1"/>
  <c r="T130" i="1"/>
  <c r="AA125" i="1"/>
  <c r="T115" i="1"/>
  <c r="U115" i="1" s="1"/>
  <c r="S115" i="1" s="1"/>
  <c r="T114" i="1"/>
  <c r="AA109" i="1"/>
  <c r="AA108" i="1"/>
  <c r="W108" i="1" s="1"/>
  <c r="X83" i="1"/>
  <c r="U81" i="1"/>
  <c r="AA77" i="1"/>
  <c r="AA76" i="1"/>
  <c r="T75" i="1"/>
  <c r="U75" i="1" s="1"/>
  <c r="S75" i="1" s="1"/>
  <c r="AG73" i="1"/>
  <c r="AA70" i="1"/>
  <c r="AA69" i="1"/>
  <c r="T68" i="1"/>
  <c r="U68" i="1" s="1"/>
  <c r="S68" i="1" s="1"/>
  <c r="X67" i="1"/>
  <c r="AG62" i="1"/>
  <c r="X60" i="1"/>
  <c r="AA59" i="1"/>
  <c r="W59" i="1" s="1"/>
  <c r="T59" i="1"/>
  <c r="AG56" i="1"/>
  <c r="W56" i="1" s="1"/>
  <c r="AA54" i="1"/>
  <c r="AA53" i="1"/>
  <c r="AA51" i="1"/>
  <c r="T50" i="1"/>
  <c r="AA49" i="1"/>
  <c r="T49" i="1"/>
  <c r="AG46" i="1"/>
  <c r="AG45" i="1"/>
  <c r="U45" i="1" s="1"/>
  <c r="X45" i="1"/>
  <c r="AA41" i="1"/>
  <c r="T41" i="1"/>
  <c r="AG38" i="1"/>
  <c r="W38" i="1" s="1"/>
  <c r="AG37" i="1"/>
  <c r="U37" i="1" s="1"/>
  <c r="S37" i="1" s="1"/>
  <c r="X37" i="1"/>
  <c r="AA33" i="1"/>
  <c r="T33" i="1"/>
  <c r="U30" i="1"/>
  <c r="AA28" i="1"/>
  <c r="W28" i="1" s="1"/>
  <c r="AA27" i="1"/>
  <c r="AA26" i="1"/>
  <c r="W26" i="1" s="1"/>
  <c r="AA16" i="1"/>
  <c r="T127" i="1"/>
  <c r="U127" i="1" s="1"/>
  <c r="S127" i="1" s="1"/>
  <c r="U118" i="1"/>
  <c r="S118" i="1" s="1"/>
  <c r="T111" i="1"/>
  <c r="U111" i="1" s="1"/>
  <c r="S111" i="1" s="1"/>
  <c r="AA98" i="1"/>
  <c r="W83" i="1"/>
  <c r="T64" i="1"/>
  <c r="U64" i="1" s="1"/>
  <c r="S64" i="1" s="1"/>
  <c r="X63" i="1"/>
  <c r="X56" i="1"/>
  <c r="T42" i="1"/>
  <c r="T34" i="1"/>
  <c r="U21" i="1"/>
  <c r="S21" i="1" s="1"/>
  <c r="W15" i="1"/>
  <c r="AA14" i="1"/>
  <c r="T153" i="1"/>
  <c r="U153" i="1" s="1"/>
  <c r="S153" i="1" s="1"/>
  <c r="T147" i="1"/>
  <c r="AG145" i="1"/>
  <c r="U145" i="1" s="1"/>
  <c r="S145" i="1" s="1"/>
  <c r="T143" i="1"/>
  <c r="AG141" i="1"/>
  <c r="U141" i="1" s="1"/>
  <c r="S141" i="1" s="1"/>
  <c r="T139" i="1"/>
  <c r="AG137" i="1"/>
  <c r="W137" i="1" s="1"/>
  <c r="AA132" i="1"/>
  <c r="X131" i="1"/>
  <c r="AG130" i="1"/>
  <c r="AA126" i="1"/>
  <c r="AG125" i="1"/>
  <c r="U125" i="1" s="1"/>
  <c r="S125" i="1" s="1"/>
  <c r="AA120" i="1"/>
  <c r="X118" i="1"/>
  <c r="X115" i="1"/>
  <c r="AG114" i="1"/>
  <c r="AA110" i="1"/>
  <c r="AG109" i="1"/>
  <c r="U109" i="1" s="1"/>
  <c r="S109" i="1" s="1"/>
  <c r="T107" i="1"/>
  <c r="U107" i="1" s="1"/>
  <c r="S107" i="1" s="1"/>
  <c r="AA102" i="1"/>
  <c r="AG101" i="1"/>
  <c r="U101" i="1" s="1"/>
  <c r="AG98" i="1"/>
  <c r="T83" i="1"/>
  <c r="U83" i="1" s="1"/>
  <c r="S83" i="1" s="1"/>
  <c r="AA80" i="1"/>
  <c r="AG77" i="1"/>
  <c r="AA73" i="1"/>
  <c r="AA72" i="1"/>
  <c r="AG70" i="1"/>
  <c r="AA67" i="1"/>
  <c r="T67" i="1"/>
  <c r="U67" i="1" s="1"/>
  <c r="S67" i="1" s="1"/>
  <c r="AA62" i="1"/>
  <c r="AA61" i="1"/>
  <c r="X59" i="1"/>
  <c r="AG54" i="1"/>
  <c r="U54" i="1" s="1"/>
  <c r="S54" i="1" s="1"/>
  <c r="AG49" i="1"/>
  <c r="AA45" i="1"/>
  <c r="W45" i="1" s="1"/>
  <c r="AG42" i="1"/>
  <c r="AG41" i="1"/>
  <c r="AA37" i="1"/>
  <c r="AG34" i="1"/>
  <c r="W34" i="1" s="1"/>
  <c r="AG33" i="1"/>
  <c r="AA25" i="1"/>
  <c r="W25" i="1" s="1"/>
  <c r="U22" i="1"/>
  <c r="AA17" i="1"/>
  <c r="AG16" i="1"/>
  <c r="U16" i="1" s="1"/>
  <c r="S16" i="1" s="1"/>
  <c r="AA156" i="1"/>
  <c r="W156" i="1" s="1"/>
  <c r="U151" i="1"/>
  <c r="S151" i="1" s="1"/>
  <c r="T151" i="1"/>
  <c r="AA149" i="1"/>
  <c r="W149" i="1" s="1"/>
  <c r="AA148" i="1"/>
  <c r="W148" i="1" s="1"/>
  <c r="AG146" i="1"/>
  <c r="W146" i="1" s="1"/>
  <c r="AG142" i="1"/>
  <c r="X138" i="1"/>
  <c r="AI135" i="1"/>
  <c r="AA129" i="1"/>
  <c r="AA128" i="1"/>
  <c r="X127" i="1"/>
  <c r="AG126" i="1"/>
  <c r="U126" i="1" s="1"/>
  <c r="S126" i="1" s="1"/>
  <c r="AA122" i="1"/>
  <c r="W122" i="1" s="1"/>
  <c r="AI118" i="1"/>
  <c r="AA113" i="1"/>
  <c r="AA112" i="1"/>
  <c r="W112" i="1" s="1"/>
  <c r="X111" i="1"/>
  <c r="AG110" i="1"/>
  <c r="AA106" i="1"/>
  <c r="W106" i="1" s="1"/>
  <c r="AG105" i="1"/>
  <c r="AG102" i="1"/>
  <c r="AA97" i="1"/>
  <c r="W97" i="1" s="1"/>
  <c r="AA96" i="1"/>
  <c r="W96" i="1" s="1"/>
  <c r="AA90" i="1"/>
  <c r="AG89" i="1"/>
  <c r="AG86" i="1"/>
  <c r="X86" i="1"/>
  <c r="W74" i="1"/>
  <c r="AI50" i="1"/>
  <c r="W32" i="1"/>
  <c r="AA31" i="1"/>
  <c r="AA30" i="1"/>
  <c r="W30" i="1" s="1"/>
  <c r="AG29" i="1"/>
  <c r="U29" i="1" s="1"/>
  <c r="S29" i="1" s="1"/>
  <c r="AI26" i="1"/>
  <c r="AA21" i="1"/>
  <c r="X17" i="1"/>
  <c r="W227" i="1"/>
  <c r="W207" i="1"/>
  <c r="W199" i="1"/>
  <c r="AI236" i="1"/>
  <c r="AI240" i="1"/>
  <c r="AI224" i="1"/>
  <c r="X227" i="1"/>
  <c r="T227" i="1"/>
  <c r="U227" i="1" s="1"/>
  <c r="S227" i="1" s="1"/>
  <c r="X211" i="1"/>
  <c r="T211" i="1"/>
  <c r="U211" i="1" s="1"/>
  <c r="S211" i="1" s="1"/>
  <c r="X207" i="1"/>
  <c r="T207" i="1"/>
  <c r="U207" i="1" s="1"/>
  <c r="S207" i="1" s="1"/>
  <c r="X203" i="1"/>
  <c r="T203" i="1"/>
  <c r="U203" i="1" s="1"/>
  <c r="S203" i="1" s="1"/>
  <c r="AI229" i="1"/>
  <c r="S200" i="1"/>
  <c r="X199" i="1"/>
  <c r="T199" i="1"/>
  <c r="U199" i="1" s="1"/>
  <c r="X195" i="1"/>
  <c r="T195" i="1"/>
  <c r="U195" i="1" s="1"/>
  <c r="S195" i="1" s="1"/>
  <c r="S192" i="1"/>
  <c r="T189" i="1"/>
  <c r="X189" i="1"/>
  <c r="AG189" i="1"/>
  <c r="AI189" i="1" s="1"/>
  <c r="U182" i="1"/>
  <c r="S182" i="1" s="1"/>
  <c r="U174" i="1"/>
  <c r="U244" i="1"/>
  <c r="S244" i="1" s="1"/>
  <c r="U238" i="1"/>
  <c r="S238" i="1" s="1"/>
  <c r="U155" i="1"/>
  <c r="S155" i="1" s="1"/>
  <c r="AI149" i="1"/>
  <c r="U229" i="1"/>
  <c r="S229" i="1" s="1"/>
  <c r="U209" i="1"/>
  <c r="S209" i="1" s="1"/>
  <c r="U205" i="1"/>
  <c r="S205" i="1" s="1"/>
  <c r="U197" i="1"/>
  <c r="S197" i="1" s="1"/>
  <c r="AI152" i="1"/>
  <c r="T193" i="1"/>
  <c r="U193" i="1" s="1"/>
  <c r="U178" i="1"/>
  <c r="S178" i="1" s="1"/>
  <c r="U170" i="1"/>
  <c r="U168" i="1"/>
  <c r="S168" i="1" s="1"/>
  <c r="U160" i="1"/>
  <c r="U234" i="1"/>
  <c r="S234" i="1" s="1"/>
  <c r="U220" i="1"/>
  <c r="X228" i="1"/>
  <c r="AI242" i="1"/>
  <c r="X212" i="1"/>
  <c r="AI238" i="1"/>
  <c r="X208" i="1"/>
  <c r="X204" i="1"/>
  <c r="X200" i="1"/>
  <c r="AI226" i="1"/>
  <c r="X196" i="1"/>
  <c r="T194" i="1"/>
  <c r="U194" i="1" s="1"/>
  <c r="X194" i="1"/>
  <c r="X193" i="1"/>
  <c r="AI220" i="1"/>
  <c r="X190" i="1"/>
  <c r="X186" i="1"/>
  <c r="AG185" i="1"/>
  <c r="AI212" i="1"/>
  <c r="X182" i="1"/>
  <c r="AG181" i="1"/>
  <c r="AI181" i="1" s="1"/>
  <c r="AI208" i="1"/>
  <c r="X178" i="1"/>
  <c r="AG177" i="1"/>
  <c r="AI177" i="1" s="1"/>
  <c r="AI204" i="1"/>
  <c r="X174" i="1"/>
  <c r="AG173" i="1"/>
  <c r="AI173" i="1" s="1"/>
  <c r="AI200" i="1"/>
  <c r="X170" i="1"/>
  <c r="AG247" i="1"/>
  <c r="W247" i="1" s="1"/>
  <c r="AI196" i="1"/>
  <c r="X244" i="1"/>
  <c r="AG243" i="1"/>
  <c r="AI192" i="1"/>
  <c r="X168" i="1"/>
  <c r="AG167" i="1"/>
  <c r="X164" i="1"/>
  <c r="AG163" i="1"/>
  <c r="W163" i="1" s="1"/>
  <c r="S161" i="1"/>
  <c r="X160" i="1"/>
  <c r="AG241" i="1"/>
  <c r="W241" i="1" s="1"/>
  <c r="AI180" i="1"/>
  <c r="X238" i="1"/>
  <c r="AG237" i="1"/>
  <c r="AI176" i="1"/>
  <c r="S235" i="1"/>
  <c r="X234" i="1"/>
  <c r="AG233" i="1"/>
  <c r="AI233" i="1" s="1"/>
  <c r="AI172" i="1"/>
  <c r="X224" i="1"/>
  <c r="AG223" i="1"/>
  <c r="AI223" i="1" s="1"/>
  <c r="AI168" i="1"/>
  <c r="X220" i="1"/>
  <c r="AG219" i="1"/>
  <c r="S217" i="1"/>
  <c r="X216" i="1"/>
  <c r="AG215" i="1"/>
  <c r="W215" i="1" s="1"/>
  <c r="X159" i="1"/>
  <c r="AG158" i="1"/>
  <c r="W158" i="1" s="1"/>
  <c r="AI156" i="1"/>
  <c r="S156" i="1"/>
  <c r="X155" i="1"/>
  <c r="AG154" i="1"/>
  <c r="AI150" i="1"/>
  <c r="X150" i="1"/>
  <c r="T148" i="1"/>
  <c r="X148" i="1"/>
  <c r="AG148" i="1"/>
  <c r="AI131" i="1"/>
  <c r="W127" i="1"/>
  <c r="X185" i="1"/>
  <c r="AI211" i="1"/>
  <c r="X181" i="1"/>
  <c r="AI207" i="1"/>
  <c r="X177" i="1"/>
  <c r="AI203" i="1"/>
  <c r="S174" i="1"/>
  <c r="X173" i="1"/>
  <c r="AI199" i="1"/>
  <c r="S170" i="1"/>
  <c r="X247" i="1"/>
  <c r="AI195" i="1"/>
  <c r="X243" i="1"/>
  <c r="AI191" i="1"/>
  <c r="X167" i="1"/>
  <c r="AI187" i="1"/>
  <c r="X163" i="1"/>
  <c r="S160" i="1"/>
  <c r="X241" i="1"/>
  <c r="AI179" i="1"/>
  <c r="X237" i="1"/>
  <c r="X233" i="1"/>
  <c r="AI171" i="1"/>
  <c r="X223" i="1"/>
  <c r="AI167" i="1"/>
  <c r="S220" i="1"/>
  <c r="X219" i="1"/>
  <c r="X215" i="1"/>
  <c r="X158" i="1"/>
  <c r="AI155" i="1"/>
  <c r="X154" i="1"/>
  <c r="AI127" i="1"/>
  <c r="AA150" i="1"/>
  <c r="W150" i="1" s="1"/>
  <c r="U147" i="1"/>
  <c r="S147" i="1" s="1"/>
  <c r="U143" i="1"/>
  <c r="S143" i="1" s="1"/>
  <c r="AI143" i="1"/>
  <c r="U139" i="1"/>
  <c r="S139" i="1" s="1"/>
  <c r="AI139" i="1"/>
  <c r="W123" i="1"/>
  <c r="T152" i="1"/>
  <c r="U152" i="1" s="1"/>
  <c r="S152" i="1" s="1"/>
  <c r="X152" i="1"/>
  <c r="T149" i="1"/>
  <c r="U149" i="1" s="1"/>
  <c r="S149" i="1" s="1"/>
  <c r="X149" i="1"/>
  <c r="AI123" i="1"/>
  <c r="U142" i="1"/>
  <c r="S142" i="1" s="1"/>
  <c r="U134" i="1"/>
  <c r="S134" i="1" s="1"/>
  <c r="X123" i="1"/>
  <c r="T123" i="1"/>
  <c r="U123" i="1" s="1"/>
  <c r="S123" i="1" s="1"/>
  <c r="U122" i="1"/>
  <c r="S122" i="1" s="1"/>
  <c r="X119" i="1"/>
  <c r="AA117" i="1"/>
  <c r="AG116" i="1"/>
  <c r="W116" i="1" s="1"/>
  <c r="T116" i="1"/>
  <c r="X116" i="1"/>
  <c r="AI112" i="1"/>
  <c r="W111" i="1"/>
  <c r="AI96" i="1"/>
  <c r="T117" i="1"/>
  <c r="X117" i="1"/>
  <c r="AI111" i="1"/>
  <c r="AI108" i="1"/>
  <c r="W107" i="1"/>
  <c r="W104" i="1"/>
  <c r="AI100" i="1"/>
  <c r="U97" i="1"/>
  <c r="AI146" i="1"/>
  <c r="X145" i="1"/>
  <c r="AG144" i="1"/>
  <c r="AI142" i="1"/>
  <c r="X141" i="1"/>
  <c r="AG140" i="1"/>
  <c r="AI138" i="1"/>
  <c r="X137" i="1"/>
  <c r="AG136" i="1"/>
  <c r="W136" i="1" s="1"/>
  <c r="AI134" i="1"/>
  <c r="X133" i="1"/>
  <c r="AG132" i="1"/>
  <c r="AI130" i="1"/>
  <c r="X129" i="1"/>
  <c r="AG128" i="1"/>
  <c r="X125" i="1"/>
  <c r="AG124" i="1"/>
  <c r="X121" i="1"/>
  <c r="AG120" i="1"/>
  <c r="AG117" i="1"/>
  <c r="AI107" i="1"/>
  <c r="AI104" i="1"/>
  <c r="W92" i="1"/>
  <c r="AI88" i="1"/>
  <c r="X144" i="1"/>
  <c r="X140" i="1"/>
  <c r="X136" i="1"/>
  <c r="AI133" i="1"/>
  <c r="X132" i="1"/>
  <c r="X128" i="1"/>
  <c r="X124" i="1"/>
  <c r="AI121" i="1"/>
  <c r="X120" i="1"/>
  <c r="AG119" i="1"/>
  <c r="AI92" i="1"/>
  <c r="X112" i="1"/>
  <c r="T112" i="1"/>
  <c r="U112" i="1" s="1"/>
  <c r="S112" i="1" s="1"/>
  <c r="X108" i="1"/>
  <c r="T108" i="1"/>
  <c r="U108" i="1" s="1"/>
  <c r="S108" i="1" s="1"/>
  <c r="X104" i="1"/>
  <c r="T104" i="1"/>
  <c r="U104" i="1" s="1"/>
  <c r="S104" i="1" s="1"/>
  <c r="AG103" i="1"/>
  <c r="AI101" i="1"/>
  <c r="S101" i="1"/>
  <c r="X100" i="1"/>
  <c r="T100" i="1"/>
  <c r="U100" i="1" s="1"/>
  <c r="S100" i="1" s="1"/>
  <c r="AG99" i="1"/>
  <c r="W99" i="1" s="1"/>
  <c r="AI97" i="1"/>
  <c r="X96" i="1"/>
  <c r="T96" i="1"/>
  <c r="U96" i="1" s="1"/>
  <c r="S96" i="1" s="1"/>
  <c r="AG95" i="1"/>
  <c r="AI93" i="1"/>
  <c r="X92" i="1"/>
  <c r="T92" i="1"/>
  <c r="U92" i="1" s="1"/>
  <c r="S92" i="1" s="1"/>
  <c r="AG91" i="1"/>
  <c r="W91" i="1" s="1"/>
  <c r="AI89" i="1"/>
  <c r="X88" i="1"/>
  <c r="T88" i="1"/>
  <c r="U88" i="1" s="1"/>
  <c r="S88" i="1" s="1"/>
  <c r="AG87" i="1"/>
  <c r="W87" i="1" s="1"/>
  <c r="T84" i="1"/>
  <c r="X84" i="1"/>
  <c r="AG84" i="1"/>
  <c r="AI63" i="1"/>
  <c r="U63" i="1"/>
  <c r="S63" i="1" s="1"/>
  <c r="U114" i="1"/>
  <c r="S114" i="1" s="1"/>
  <c r="U110" i="1"/>
  <c r="S110" i="1" s="1"/>
  <c r="U106" i="1"/>
  <c r="S106" i="1" s="1"/>
  <c r="X103" i="1"/>
  <c r="U102" i="1"/>
  <c r="S102" i="1" s="1"/>
  <c r="X99" i="1"/>
  <c r="U98" i="1"/>
  <c r="X95" i="1"/>
  <c r="U94" i="1"/>
  <c r="S94" i="1" s="1"/>
  <c r="X91" i="1"/>
  <c r="U90" i="1"/>
  <c r="S90" i="1" s="1"/>
  <c r="X87" i="1"/>
  <c r="S81" i="1"/>
  <c r="AI81" i="1"/>
  <c r="T80" i="1"/>
  <c r="X80" i="1"/>
  <c r="AG80" i="1"/>
  <c r="AI59" i="1"/>
  <c r="U59" i="1"/>
  <c r="S59" i="1" s="1"/>
  <c r="T85" i="1"/>
  <c r="X85" i="1"/>
  <c r="W67" i="1"/>
  <c r="AI55" i="1"/>
  <c r="U55" i="1"/>
  <c r="S55" i="1" s="1"/>
  <c r="AI114" i="1"/>
  <c r="X113" i="1"/>
  <c r="AI110" i="1"/>
  <c r="X109" i="1"/>
  <c r="AI106" i="1"/>
  <c r="X105" i="1"/>
  <c r="AI102" i="1"/>
  <c r="X101" i="1"/>
  <c r="AI98" i="1"/>
  <c r="X97" i="1"/>
  <c r="AI94" i="1"/>
  <c r="X93" i="1"/>
  <c r="AI90" i="1"/>
  <c r="X89" i="1"/>
  <c r="AI86" i="1"/>
  <c r="W86" i="1"/>
  <c r="U86" i="1"/>
  <c r="S86" i="1" s="1"/>
  <c r="AG85" i="1"/>
  <c r="W85" i="1" s="1"/>
  <c r="AI67" i="1"/>
  <c r="U82" i="1"/>
  <c r="S82" i="1" s="1"/>
  <c r="T51" i="1"/>
  <c r="X51" i="1"/>
  <c r="AG51" i="1"/>
  <c r="W51" i="1" s="1"/>
  <c r="U77" i="1"/>
  <c r="S77" i="1" s="1"/>
  <c r="U73" i="1"/>
  <c r="S73" i="1" s="1"/>
  <c r="U70" i="1"/>
  <c r="S70" i="1" s="1"/>
  <c r="U66" i="1"/>
  <c r="S66" i="1" s="1"/>
  <c r="U62" i="1"/>
  <c r="S62" i="1" s="1"/>
  <c r="U48" i="1"/>
  <c r="S48" i="1" s="1"/>
  <c r="AI82" i="1"/>
  <c r="X81" i="1"/>
  <c r="X77" i="1"/>
  <c r="AG76" i="1"/>
  <c r="AG72" i="1"/>
  <c r="W72" i="1" s="1"/>
  <c r="AG69" i="1"/>
  <c r="X66" i="1"/>
  <c r="AG65" i="1"/>
  <c r="X62" i="1"/>
  <c r="AG61" i="1"/>
  <c r="W61" i="1" s="1"/>
  <c r="X58" i="1"/>
  <c r="AG57" i="1"/>
  <c r="W57" i="1" s="1"/>
  <c r="X54" i="1"/>
  <c r="AG53" i="1"/>
  <c r="T52" i="1"/>
  <c r="U52" i="1" s="1"/>
  <c r="S52" i="1" s="1"/>
  <c r="X52" i="1"/>
  <c r="W48" i="1"/>
  <c r="AI77" i="1"/>
  <c r="X76" i="1"/>
  <c r="AI73" i="1"/>
  <c r="AI70" i="1"/>
  <c r="X69" i="1"/>
  <c r="AI66" i="1"/>
  <c r="X65" i="1"/>
  <c r="AI62" i="1"/>
  <c r="X61" i="1"/>
  <c r="AI58" i="1"/>
  <c r="X57" i="1"/>
  <c r="X53" i="1"/>
  <c r="U40" i="1"/>
  <c r="S40" i="1" s="1"/>
  <c r="U36" i="1"/>
  <c r="S36" i="1" s="1"/>
  <c r="U32" i="1"/>
  <c r="S32" i="1" s="1"/>
  <c r="S30" i="1"/>
  <c r="U28" i="1"/>
  <c r="S28" i="1" s="1"/>
  <c r="S26" i="1"/>
  <c r="U24" i="1"/>
  <c r="S24" i="1" s="1"/>
  <c r="S22" i="1"/>
  <c r="U20" i="1"/>
  <c r="S20" i="1" s="1"/>
  <c r="X16" i="1"/>
  <c r="U15" i="1"/>
  <c r="S15" i="1" s="1"/>
  <c r="AI49" i="1"/>
  <c r="X48" i="1"/>
  <c r="AG47" i="1"/>
  <c r="AI45" i="1"/>
  <c r="S45" i="1"/>
  <c r="X44" i="1"/>
  <c r="AG43" i="1"/>
  <c r="W43" i="1" s="1"/>
  <c r="X40" i="1"/>
  <c r="AG39" i="1"/>
  <c r="W39" i="1" s="1"/>
  <c r="X36" i="1"/>
  <c r="AG35" i="1"/>
  <c r="W35" i="1" s="1"/>
  <c r="AI33" i="1"/>
  <c r="X32" i="1"/>
  <c r="AG31" i="1"/>
  <c r="X28" i="1"/>
  <c r="AG27" i="1"/>
  <c r="W27" i="1" s="1"/>
  <c r="AI25" i="1"/>
  <c r="X24" i="1"/>
  <c r="AG23" i="1"/>
  <c r="W23" i="1" s="1"/>
  <c r="AI21" i="1"/>
  <c r="AG18" i="1"/>
  <c r="W18" i="1" s="1"/>
  <c r="X15" i="1"/>
  <c r="AG14" i="1"/>
  <c r="X47" i="1"/>
  <c r="AI44" i="1"/>
  <c r="X43" i="1"/>
  <c r="AI40" i="1"/>
  <c r="X39" i="1"/>
  <c r="AI36" i="1"/>
  <c r="X35" i="1"/>
  <c r="AI32" i="1"/>
  <c r="X31" i="1"/>
  <c r="AI28" i="1"/>
  <c r="X27" i="1"/>
  <c r="AI24" i="1"/>
  <c r="X23" i="1"/>
  <c r="AI20" i="1"/>
  <c r="X18" i="1"/>
  <c r="AI15" i="1"/>
  <c r="AD45" i="3"/>
  <c r="AD32" i="3"/>
  <c r="AD34" i="3"/>
  <c r="Y43" i="3"/>
  <c r="Y68" i="3"/>
  <c r="Y67" i="3"/>
  <c r="Y71" i="3"/>
  <c r="Y38" i="3"/>
  <c r="Y37" i="3"/>
  <c r="Y51" i="3"/>
  <c r="Y45" i="3"/>
  <c r="Y73" i="3"/>
  <c r="Y64" i="3"/>
  <c r="Y32" i="3"/>
  <c r="AD42" i="3"/>
  <c r="Y31" i="3"/>
  <c r="Y29" i="3"/>
  <c r="Y13" i="3"/>
  <c r="AD21" i="3"/>
  <c r="Y49" i="3"/>
  <c r="AD48" i="3"/>
  <c r="AD17" i="3"/>
  <c r="AD28" i="3"/>
  <c r="AD65" i="3"/>
  <c r="Y19" i="3"/>
  <c r="AD60" i="3"/>
  <c r="Y34" i="3"/>
  <c r="AD57" i="3"/>
  <c r="AD33" i="3"/>
  <c r="AD11" i="3"/>
  <c r="AD14" i="3"/>
  <c r="AD46" i="3"/>
  <c r="AD10" i="3"/>
  <c r="AD47" i="3"/>
  <c r="AD23" i="3"/>
  <c r="AC20" i="3"/>
  <c r="Y20" i="3"/>
  <c r="AD20" i="3"/>
  <c r="AD56" i="3"/>
  <c r="AD59" i="3"/>
  <c r="AD67" i="3"/>
  <c r="AD38" i="3"/>
  <c r="Y41" i="3"/>
  <c r="Y7" i="3"/>
  <c r="Y69" i="3"/>
  <c r="Y56" i="3"/>
  <c r="Y65" i="3"/>
  <c r="Y59" i="3"/>
  <c r="Y8" i="3"/>
  <c r="Y15" i="3"/>
  <c r="Y33" i="3"/>
  <c r="Y27" i="3"/>
  <c r="Y62" i="3"/>
  <c r="Y26" i="3"/>
  <c r="Y44" i="3"/>
  <c r="Y28" i="3"/>
  <c r="Y50" i="3"/>
  <c r="Y63" i="3"/>
  <c r="Y40" i="3"/>
  <c r="AD12" i="3"/>
  <c r="AC43" i="3"/>
  <c r="AD25" i="3"/>
  <c r="AC69" i="3"/>
  <c r="AD75" i="3"/>
  <c r="AC61" i="3"/>
  <c r="AD70" i="3"/>
  <c r="AC65" i="3"/>
  <c r="AD55" i="3"/>
  <c r="AC22" i="3"/>
  <c r="AD36" i="3"/>
  <c r="T8" i="3"/>
  <c r="AC8" i="3"/>
  <c r="T41" i="3"/>
  <c r="AC41" i="3"/>
  <c r="T66" i="3"/>
  <c r="AC66" i="3"/>
  <c r="T51" i="3"/>
  <c r="AC51" i="3"/>
  <c r="T15" i="3"/>
  <c r="AC15" i="3"/>
  <c r="T7" i="3"/>
  <c r="AC7" i="3"/>
  <c r="T53" i="3"/>
  <c r="AC53" i="3"/>
  <c r="T45" i="3"/>
  <c r="AC45" i="3"/>
  <c r="T33" i="3"/>
  <c r="AC33" i="3"/>
  <c r="AD40" i="3"/>
  <c r="AD39" i="3"/>
  <c r="AD71" i="3"/>
  <c r="AD18" i="3"/>
  <c r="AD37" i="3"/>
  <c r="AD68" i="3"/>
  <c r="AC40" i="3"/>
  <c r="AC68" i="3"/>
  <c r="AC39" i="3"/>
  <c r="AC71" i="3"/>
  <c r="AC18" i="3"/>
  <c r="AC37" i="3"/>
  <c r="T54" i="3"/>
  <c r="AC54" i="3"/>
  <c r="T19" i="3"/>
  <c r="AC19" i="3"/>
  <c r="T35" i="3"/>
  <c r="AC35" i="3"/>
  <c r="T58" i="3"/>
  <c r="AC58" i="3"/>
  <c r="T60" i="3"/>
  <c r="AC60" i="3"/>
  <c r="T34" i="3"/>
  <c r="AC34" i="3"/>
  <c r="T57" i="3"/>
  <c r="AC57" i="3"/>
  <c r="T17" i="3"/>
  <c r="AC17" i="3"/>
  <c r="T11" i="3"/>
  <c r="AC11" i="3"/>
  <c r="AC73" i="3"/>
  <c r="AC27" i="3"/>
  <c r="AC74" i="3"/>
  <c r="AC14" i="3"/>
  <c r="AC64" i="3"/>
  <c r="AC62" i="3"/>
  <c r="AC24" i="3"/>
  <c r="AC46" i="3"/>
  <c r="AC32" i="3"/>
  <c r="AC26" i="3"/>
  <c r="AC42" i="3"/>
  <c r="AC10" i="3"/>
  <c r="AC31" i="3"/>
  <c r="AC44" i="3"/>
  <c r="AC30" i="3"/>
  <c r="AC47" i="3"/>
  <c r="AC29" i="3"/>
  <c r="AC28" i="3"/>
  <c r="AC9" i="3"/>
  <c r="AC52" i="3"/>
  <c r="AC13" i="3"/>
  <c r="AC50" i="3"/>
  <c r="AC21" i="3"/>
  <c r="AC23" i="3"/>
  <c r="AC49" i="3"/>
  <c r="AC63" i="3"/>
  <c r="AC48" i="3"/>
  <c r="AC72" i="3"/>
  <c r="AI16" i="1" l="1"/>
  <c r="U71" i="1"/>
  <c r="S71" i="1" s="1"/>
  <c r="U50" i="1"/>
  <c r="S50" i="1" s="1"/>
  <c r="AI54" i="1"/>
  <c r="W105" i="1"/>
  <c r="W119" i="1"/>
  <c r="W21" i="1"/>
  <c r="U60" i="1"/>
  <c r="S60" i="1" s="1"/>
  <c r="W58" i="1"/>
  <c r="AI78" i="1"/>
  <c r="AI105" i="1"/>
  <c r="U105" i="1"/>
  <c r="S105" i="1" s="1"/>
  <c r="AI126" i="1"/>
  <c r="S97" i="1"/>
  <c r="U129" i="1"/>
  <c r="S129" i="1" s="1"/>
  <c r="W154" i="1"/>
  <c r="AI188" i="1"/>
  <c r="U201" i="1"/>
  <c r="S201" i="1" s="1"/>
  <c r="W113" i="1"/>
  <c r="U41" i="1"/>
  <c r="S41" i="1" s="1"/>
  <c r="W73" i="1"/>
  <c r="W130" i="1"/>
  <c r="W245" i="1"/>
  <c r="W216" i="1"/>
  <c r="U232" i="1"/>
  <c r="S232" i="1" s="1"/>
  <c r="W201" i="1"/>
  <c r="W159" i="1"/>
  <c r="W234" i="1"/>
  <c r="W188" i="1"/>
  <c r="AI37" i="1"/>
  <c r="W47" i="1"/>
  <c r="W69" i="1"/>
  <c r="AI74" i="1"/>
  <c r="AI145" i="1"/>
  <c r="U137" i="1"/>
  <c r="S137" i="1" s="1"/>
  <c r="S193" i="1"/>
  <c r="AI245" i="1"/>
  <c r="W82" i="1"/>
  <c r="U204" i="1"/>
  <c r="S204" i="1" s="1"/>
  <c r="AI29" i="1"/>
  <c r="AI113" i="1"/>
  <c r="AI137" i="1"/>
  <c r="W219" i="1"/>
  <c r="W89" i="1"/>
  <c r="W129" i="1"/>
  <c r="W114" i="1"/>
  <c r="W239" i="1"/>
  <c r="W189" i="1"/>
  <c r="W218" i="1"/>
  <c r="W222" i="1"/>
  <c r="AI163" i="1"/>
  <c r="AI216" i="1"/>
  <c r="U216" i="1"/>
  <c r="S216" i="1" s="1"/>
  <c r="S228" i="1"/>
  <c r="U184" i="1"/>
  <c r="S184" i="1" s="1"/>
  <c r="S198" i="1"/>
  <c r="W225" i="1"/>
  <c r="U221" i="1"/>
  <c r="S221" i="1" s="1"/>
  <c r="W184" i="1"/>
  <c r="S224" i="1"/>
  <c r="AI175" i="1"/>
  <c r="S164" i="1"/>
  <c r="W167" i="1"/>
  <c r="S175" i="1"/>
  <c r="U230" i="1"/>
  <c r="S230" i="1" s="1"/>
  <c r="AI228" i="1"/>
  <c r="W224" i="1"/>
  <c r="W164" i="1"/>
  <c r="W187" i="1"/>
  <c r="W228" i="1"/>
  <c r="AI183" i="1"/>
  <c r="AI164" i="1"/>
  <c r="W237" i="1"/>
  <c r="W186" i="1"/>
  <c r="AI230" i="1"/>
  <c r="AI246" i="1"/>
  <c r="U225" i="1"/>
  <c r="S225" i="1" s="1"/>
  <c r="AI221" i="1"/>
  <c r="AI225" i="1"/>
  <c r="AI232" i="1"/>
  <c r="AI125" i="1"/>
  <c r="AI141" i="1"/>
  <c r="W31" i="1"/>
  <c r="U58" i="1"/>
  <c r="S58" i="1" s="1"/>
  <c r="AI109" i="1"/>
  <c r="U89" i="1"/>
  <c r="S89" i="1" s="1"/>
  <c r="U130" i="1"/>
  <c r="S130" i="1" s="1"/>
  <c r="U146" i="1"/>
  <c r="S146" i="1" s="1"/>
  <c r="AI159" i="1"/>
  <c r="U159" i="1"/>
  <c r="S159" i="1" s="1"/>
  <c r="U17" i="1"/>
  <c r="S17" i="1" s="1"/>
  <c r="U79" i="1"/>
  <c r="S79" i="1" s="1"/>
  <c r="W90" i="1"/>
  <c r="U49" i="1"/>
  <c r="S49" i="1" s="1"/>
  <c r="W62" i="1"/>
  <c r="AI41" i="1"/>
  <c r="U133" i="1"/>
  <c r="S133" i="1" s="1"/>
  <c r="U93" i="1"/>
  <c r="S93" i="1" s="1"/>
  <c r="W142" i="1"/>
  <c r="W17" i="1"/>
  <c r="W68" i="1"/>
  <c r="W173" i="1"/>
  <c r="W60" i="1"/>
  <c r="W44" i="1"/>
  <c r="W138" i="1"/>
  <c r="W162" i="1"/>
  <c r="W79" i="1"/>
  <c r="W71" i="1"/>
  <c r="W37" i="1"/>
  <c r="W110" i="1"/>
  <c r="U240" i="1"/>
  <c r="S240" i="1" s="1"/>
  <c r="W135" i="1"/>
  <c r="W160" i="1"/>
  <c r="W177" i="1"/>
  <c r="W165" i="1"/>
  <c r="U191" i="1"/>
  <c r="S190" i="1" s="1"/>
  <c r="W121" i="1"/>
  <c r="W223" i="1"/>
  <c r="W233" i="1"/>
  <c r="AI241" i="1"/>
  <c r="U33" i="1"/>
  <c r="S33" i="1" s="1"/>
  <c r="U42" i="1"/>
  <c r="S42" i="1" s="1"/>
  <c r="AI42" i="1"/>
  <c r="W126" i="1"/>
  <c r="W29" i="1"/>
  <c r="W33" i="1"/>
  <c r="U46" i="1"/>
  <c r="S46" i="1" s="1"/>
  <c r="AI46" i="1"/>
  <c r="W46" i="1"/>
  <c r="U157" i="1"/>
  <c r="S157" i="1" s="1"/>
  <c r="AI157" i="1"/>
  <c r="U239" i="1"/>
  <c r="S239" i="1" s="1"/>
  <c r="AI239" i="1"/>
  <c r="U165" i="1"/>
  <c r="S165" i="1" s="1"/>
  <c r="AI165" i="1"/>
  <c r="W171" i="1"/>
  <c r="W179" i="1"/>
  <c r="W42" i="1"/>
  <c r="U187" i="1"/>
  <c r="S187" i="1" s="1"/>
  <c r="W243" i="1"/>
  <c r="AI243" i="1"/>
  <c r="W185" i="1"/>
  <c r="AI185" i="1"/>
  <c r="AI215" i="1"/>
  <c r="AI237" i="1"/>
  <c r="U34" i="1"/>
  <c r="S34" i="1" s="1"/>
  <c r="AI34" i="1"/>
  <c r="W16" i="1"/>
  <c r="W41" i="1"/>
  <c r="W109" i="1"/>
  <c r="W125" i="1"/>
  <c r="W141" i="1"/>
  <c r="U171" i="1"/>
  <c r="S171" i="1" s="1"/>
  <c r="U231" i="1"/>
  <c r="S231" i="1" s="1"/>
  <c r="AI231" i="1"/>
  <c r="W49" i="1"/>
  <c r="W54" i="1"/>
  <c r="W157" i="1"/>
  <c r="W166" i="1"/>
  <c r="AI247" i="1"/>
  <c r="AI219" i="1"/>
  <c r="W102" i="1"/>
  <c r="W98" i="1"/>
  <c r="U38" i="1"/>
  <c r="S38" i="1" s="1"/>
  <c r="AI38" i="1"/>
  <c r="U56" i="1"/>
  <c r="S56" i="1" s="1"/>
  <c r="AI56" i="1"/>
  <c r="W70" i="1"/>
  <c r="W77" i="1"/>
  <c r="W101" i="1"/>
  <c r="W145" i="1"/>
  <c r="U169" i="1"/>
  <c r="S169" i="1" s="1"/>
  <c r="AI169" i="1"/>
  <c r="W169" i="1"/>
  <c r="W246" i="1"/>
  <c r="U80" i="1"/>
  <c r="S80" i="1" s="1"/>
  <c r="AI80" i="1"/>
  <c r="U84" i="1"/>
  <c r="S84" i="1" s="1"/>
  <c r="AI84" i="1"/>
  <c r="U120" i="1"/>
  <c r="S120" i="1" s="1"/>
  <c r="AI120" i="1"/>
  <c r="U57" i="1"/>
  <c r="S57" i="1" s="1"/>
  <c r="AI57" i="1"/>
  <c r="U65" i="1"/>
  <c r="S65" i="1" s="1"/>
  <c r="AI65" i="1"/>
  <c r="U76" i="1"/>
  <c r="S76" i="1" s="1"/>
  <c r="AI76" i="1"/>
  <c r="AI95" i="1"/>
  <c r="U95" i="1"/>
  <c r="S95" i="1" s="1"/>
  <c r="U119" i="1"/>
  <c r="S119" i="1" s="1"/>
  <c r="AI119" i="1"/>
  <c r="U128" i="1"/>
  <c r="S128" i="1" s="1"/>
  <c r="AI128" i="1"/>
  <c r="U144" i="1"/>
  <c r="S144" i="1" s="1"/>
  <c r="AI144" i="1"/>
  <c r="W117" i="1"/>
  <c r="AI91" i="1"/>
  <c r="U91" i="1"/>
  <c r="S91" i="1" s="1"/>
  <c r="U132" i="1"/>
  <c r="S132" i="1" s="1"/>
  <c r="AI132" i="1"/>
  <c r="U116" i="1"/>
  <c r="S116" i="1" s="1"/>
  <c r="AI116" i="1"/>
  <c r="W120" i="1"/>
  <c r="W132" i="1"/>
  <c r="AI14" i="1"/>
  <c r="U14" i="1"/>
  <c r="S14" i="1" s="1"/>
  <c r="AI18" i="1"/>
  <c r="U18" i="1"/>
  <c r="S18" i="1" s="1"/>
  <c r="AI23" i="1"/>
  <c r="U23" i="1"/>
  <c r="S23" i="1" s="1"/>
  <c r="AI27" i="1"/>
  <c r="U27" i="1"/>
  <c r="S27" i="1" s="1"/>
  <c r="AI31" i="1"/>
  <c r="U31" i="1"/>
  <c r="S31" i="1" s="1"/>
  <c r="AI35" i="1"/>
  <c r="U35" i="1"/>
  <c r="S35" i="1" s="1"/>
  <c r="AI39" i="1"/>
  <c r="U39" i="1"/>
  <c r="S39" i="1" s="1"/>
  <c r="AI43" i="1"/>
  <c r="U43" i="1"/>
  <c r="S43" i="1" s="1"/>
  <c r="AI47" i="1"/>
  <c r="U47" i="1"/>
  <c r="S47" i="1" s="1"/>
  <c r="U72" i="1"/>
  <c r="S72" i="1" s="1"/>
  <c r="AI72" i="1"/>
  <c r="W14" i="1"/>
  <c r="W84" i="1"/>
  <c r="W65" i="1"/>
  <c r="W76" i="1"/>
  <c r="AI99" i="1"/>
  <c r="U99" i="1"/>
  <c r="S99" i="1" s="1"/>
  <c r="U124" i="1"/>
  <c r="S124" i="1" s="1"/>
  <c r="AI124" i="1"/>
  <c r="U140" i="1"/>
  <c r="S140" i="1" s="1"/>
  <c r="AI140" i="1"/>
  <c r="W128" i="1"/>
  <c r="W124" i="1"/>
  <c r="W140" i="1"/>
  <c r="AI154" i="1"/>
  <c r="U154" i="1"/>
  <c r="S154" i="1" s="1"/>
  <c r="AI158" i="1"/>
  <c r="U158" i="1"/>
  <c r="S158" i="1" s="1"/>
  <c r="AI162" i="1"/>
  <c r="U215" i="1"/>
  <c r="S215" i="1" s="1"/>
  <c r="AI166" i="1"/>
  <c r="U219" i="1"/>
  <c r="S219" i="1" s="1"/>
  <c r="AI170" i="1"/>
  <c r="U223" i="1"/>
  <c r="S223" i="1" s="1"/>
  <c r="AI174" i="1"/>
  <c r="U233" i="1"/>
  <c r="S233" i="1" s="1"/>
  <c r="AI178" i="1"/>
  <c r="U237" i="1"/>
  <c r="S237" i="1" s="1"/>
  <c r="AI182" i="1"/>
  <c r="U241" i="1"/>
  <c r="S241" i="1" s="1"/>
  <c r="AI186" i="1"/>
  <c r="U163" i="1"/>
  <c r="S163" i="1" s="1"/>
  <c r="AI190" i="1"/>
  <c r="U167" i="1"/>
  <c r="S167" i="1" s="1"/>
  <c r="AI194" i="1"/>
  <c r="U243" i="1"/>
  <c r="S243" i="1" s="1"/>
  <c r="AI198" i="1"/>
  <c r="U247" i="1"/>
  <c r="S247" i="1" s="1"/>
  <c r="AI202" i="1"/>
  <c r="U173" i="1"/>
  <c r="S173" i="1" s="1"/>
  <c r="AI206" i="1"/>
  <c r="U177" i="1"/>
  <c r="S177" i="1" s="1"/>
  <c r="AI210" i="1"/>
  <c r="U181" i="1"/>
  <c r="S181" i="1" s="1"/>
  <c r="AI214" i="1"/>
  <c r="U185" i="1"/>
  <c r="S185" i="1" s="1"/>
  <c r="AI218" i="1"/>
  <c r="U189" i="1"/>
  <c r="S189" i="1" s="1"/>
  <c r="U51" i="1"/>
  <c r="S51" i="1" s="1"/>
  <c r="AI51" i="1"/>
  <c r="U53" i="1"/>
  <c r="S53" i="1" s="1"/>
  <c r="AI53" i="1"/>
  <c r="U61" i="1"/>
  <c r="S61" i="1" s="1"/>
  <c r="AI61" i="1"/>
  <c r="U69" i="1"/>
  <c r="S69" i="1" s="1"/>
  <c r="AI69" i="1"/>
  <c r="U85" i="1"/>
  <c r="S85" i="1" s="1"/>
  <c r="AI85" i="1"/>
  <c r="W53" i="1"/>
  <c r="W80" i="1"/>
  <c r="AI87" i="1"/>
  <c r="U87" i="1"/>
  <c r="S87" i="1" s="1"/>
  <c r="AI103" i="1"/>
  <c r="U103" i="1"/>
  <c r="S103" i="1" s="1"/>
  <c r="W103" i="1"/>
  <c r="AI117" i="1"/>
  <c r="U117" i="1"/>
  <c r="S117" i="1" s="1"/>
  <c r="U136" i="1"/>
  <c r="S136" i="1" s="1"/>
  <c r="AI136" i="1"/>
  <c r="W95" i="1"/>
  <c r="W144" i="1"/>
  <c r="U148" i="1"/>
  <c r="S148" i="1" s="1"/>
  <c r="AI148" i="1"/>
  <c r="S16" i="3"/>
  <c r="M16" i="3"/>
  <c r="N16" i="3"/>
  <c r="R16" i="3"/>
  <c r="U16" i="3"/>
  <c r="V16" i="3"/>
  <c r="W16" i="3"/>
  <c r="X16" i="3"/>
  <c r="AC16" i="3"/>
  <c r="T16" i="3" l="1"/>
  <c r="AD52" i="3"/>
  <c r="Y16" i="3"/>
  <c r="AD16" i="3" l="1"/>
  <c r="M28" i="5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3" i="9"/>
  <c r="B54" i="9"/>
  <c r="B55" i="9"/>
  <c r="B56" i="9"/>
  <c r="B57" i="9"/>
  <c r="B58" i="9"/>
  <c r="B59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K13" i="1" l="1"/>
  <c r="L13" i="1"/>
  <c r="M13" i="1"/>
  <c r="N13" i="1" s="1"/>
  <c r="V13" i="1"/>
  <c r="Y13" i="1"/>
  <c r="Z13" i="1"/>
  <c r="AB13" i="1"/>
  <c r="AC13" i="1"/>
  <c r="AD13" i="1"/>
  <c r="X14" i="1" s="1"/>
  <c r="AE13" i="1"/>
  <c r="AF13" i="1"/>
  <c r="T13" i="1" l="1"/>
  <c r="X13" i="1"/>
  <c r="AA13" i="1"/>
  <c r="AG13" i="1"/>
  <c r="C26" i="9"/>
  <c r="C64" i="9"/>
  <c r="C50" i="9"/>
  <c r="C48" i="9"/>
  <c r="B1" i="9"/>
  <c r="C1" i="9" s="1"/>
  <c r="C4" i="9"/>
  <c r="C7" i="9"/>
  <c r="C24" i="9"/>
  <c r="C33" i="9"/>
  <c r="C74" i="9"/>
  <c r="C45" i="9"/>
  <c r="C70" i="9"/>
  <c r="C68" i="9"/>
  <c r="C44" i="9"/>
  <c r="C61" i="9"/>
  <c r="C71" i="9"/>
  <c r="C73" i="9"/>
  <c r="C42" i="9"/>
  <c r="C57" i="9"/>
  <c r="C51" i="9"/>
  <c r="C10" i="9"/>
  <c r="C46" i="9"/>
  <c r="C62" i="9"/>
  <c r="C15" i="9"/>
  <c r="C30" i="9"/>
  <c r="C16" i="9"/>
  <c r="C29" i="9"/>
  <c r="C12" i="9"/>
  <c r="C37" i="9"/>
  <c r="C36" i="9"/>
  <c r="C39" i="9"/>
  <c r="C13" i="9"/>
  <c r="C25" i="9" l="1"/>
  <c r="C19" i="9"/>
  <c r="C67" i="9"/>
  <c r="C59" i="9"/>
  <c r="C54" i="9"/>
  <c r="C22" i="9"/>
  <c r="C17" i="9"/>
  <c r="C75" i="9"/>
  <c r="C18" i="9"/>
  <c r="C20" i="9"/>
  <c r="C34" i="9"/>
  <c r="C52" i="9"/>
  <c r="C69" i="9"/>
  <c r="C55" i="9"/>
  <c r="C8" i="9"/>
  <c r="C9" i="9"/>
  <c r="C65" i="9"/>
  <c r="C38" i="9"/>
  <c r="C47" i="9"/>
  <c r="C66" i="9"/>
  <c r="C58" i="9"/>
  <c r="C60" i="9"/>
  <c r="C31" i="9"/>
  <c r="C32" i="9"/>
  <c r="C5" i="9"/>
  <c r="C6" i="9"/>
  <c r="C27" i="9"/>
  <c r="C35" i="9"/>
  <c r="C14" i="9"/>
  <c r="C28" i="9"/>
  <c r="C63" i="9"/>
  <c r="C11" i="9"/>
  <c r="C53" i="9"/>
  <c r="C40" i="9"/>
  <c r="C41" i="9"/>
  <c r="C72" i="9"/>
  <c r="C43" i="9"/>
  <c r="C56" i="9"/>
  <c r="C2" i="9"/>
  <c r="C3" i="9"/>
  <c r="C49" i="9"/>
  <c r="C21" i="9"/>
  <c r="C23" i="9"/>
  <c r="W13" i="1"/>
  <c r="AI13" i="1"/>
  <c r="U13" i="1"/>
  <c r="S13" i="1" s="1"/>
  <c r="B3" i="6" l="1"/>
  <c r="K3" i="6"/>
  <c r="B4" i="6"/>
  <c r="F4" i="6" s="1"/>
  <c r="K4" i="6"/>
  <c r="B5" i="6"/>
  <c r="F5" i="6" s="1"/>
  <c r="K5" i="6"/>
  <c r="B6" i="6"/>
  <c r="K6" i="6"/>
  <c r="B7" i="6"/>
  <c r="K7" i="6"/>
  <c r="I7" i="6" l="1"/>
  <c r="F6" i="6"/>
  <c r="I3" i="6"/>
  <c r="J6" i="6"/>
  <c r="I4" i="6"/>
  <c r="J7" i="6"/>
  <c r="F7" i="6"/>
  <c r="I6" i="6"/>
  <c r="I5" i="6"/>
  <c r="J3" i="6"/>
  <c r="F3" i="6"/>
  <c r="J4" i="6"/>
  <c r="J5" i="6"/>
  <c r="M30" i="5" l="1"/>
  <c r="M29" i="5"/>
  <c r="M27" i="5"/>
  <c r="F6" i="4" l="1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45" i="4"/>
  <c r="F46" i="4"/>
  <c r="G46" i="4"/>
  <c r="F47" i="4"/>
  <c r="G47" i="4"/>
  <c r="F48" i="4"/>
  <c r="G48" i="4"/>
  <c r="F49" i="4"/>
  <c r="G49" i="4"/>
  <c r="F50" i="4"/>
  <c r="G50" i="4"/>
  <c r="F51" i="4"/>
  <c r="G51" i="4"/>
  <c r="F52" i="4"/>
  <c r="G52" i="4"/>
  <c r="F53" i="4"/>
  <c r="G53" i="4"/>
  <c r="F54" i="4"/>
  <c r="G54" i="4"/>
  <c r="F55" i="4"/>
  <c r="G55" i="4"/>
  <c r="F56" i="4"/>
  <c r="G56" i="4"/>
  <c r="F57" i="4"/>
  <c r="G57" i="4"/>
  <c r="F58" i="4"/>
  <c r="G58" i="4"/>
  <c r="F59" i="4"/>
  <c r="G59" i="4"/>
  <c r="F60" i="4"/>
  <c r="G60" i="4"/>
  <c r="F61" i="4"/>
  <c r="G61" i="4"/>
  <c r="F62" i="4"/>
  <c r="G62" i="4"/>
  <c r="F63" i="4"/>
  <c r="G63" i="4"/>
  <c r="F64" i="4"/>
  <c r="G64" i="4"/>
  <c r="F65" i="4"/>
  <c r="G65" i="4"/>
  <c r="F66" i="4"/>
  <c r="G66" i="4"/>
  <c r="F67" i="4"/>
  <c r="G67" i="4"/>
  <c r="F68" i="4"/>
  <c r="G68" i="4"/>
  <c r="F69" i="4"/>
  <c r="G69" i="4"/>
  <c r="F70" i="4"/>
  <c r="G70" i="4"/>
  <c r="F71" i="4"/>
  <c r="G71" i="4"/>
  <c r="F72" i="4"/>
  <c r="G72" i="4"/>
  <c r="F73" i="4"/>
  <c r="G73" i="4"/>
  <c r="F74" i="4"/>
  <c r="G74" i="4"/>
  <c r="F75" i="4"/>
  <c r="G75" i="4"/>
  <c r="F76" i="4"/>
  <c r="G76" i="4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84" i="4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138" i="4"/>
  <c r="F139" i="4"/>
  <c r="G139" i="4"/>
  <c r="F140" i="4"/>
  <c r="G6" i="6" s="1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155" i="4"/>
  <c r="F156" i="4"/>
  <c r="G156" i="4"/>
  <c r="F157" i="4"/>
  <c r="G157" i="4"/>
  <c r="F158" i="4"/>
  <c r="G158" i="4"/>
  <c r="F159" i="4"/>
  <c r="G159" i="4"/>
  <c r="F160" i="4"/>
  <c r="G160" i="4"/>
  <c r="F161" i="4"/>
  <c r="G161" i="4"/>
  <c r="F162" i="4"/>
  <c r="G162" i="4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223" i="4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F236" i="4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G7" i="6" l="1"/>
  <c r="G3" i="6"/>
  <c r="G5" i="6"/>
  <c r="H6" i="6"/>
  <c r="H5" i="6"/>
  <c r="H7" i="6"/>
  <c r="H3" i="6"/>
  <c r="H4" i="6"/>
  <c r="G4" i="6"/>
  <c r="M26" i="5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F282" i="4" l="1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V5" i="1" l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52" i="4" l="1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G1" i="4"/>
  <c r="F1" i="4"/>
  <c r="M14" i="5" l="1"/>
  <c r="M13" i="5"/>
  <c r="M12" i="5"/>
  <c r="M11" i="5"/>
  <c r="M10" i="5"/>
  <c r="M9" i="5"/>
  <c r="M8" i="5"/>
  <c r="M7" i="5"/>
  <c r="M6" i="5"/>
  <c r="M5" i="5"/>
  <c r="M4" i="5"/>
  <c r="M3" i="5"/>
  <c r="O2" i="3" l="1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<sst xmlns="http://schemas.openxmlformats.org/spreadsheetml/2006/main" count="2763" uniqueCount="990">
  <si>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</si>
  <si>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</si>
  <si>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</si>
  <si>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</si>
  <si>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</si>
  <si>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</si>
  <si>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</si>
  <si>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</si>
  <si>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</si>
  <si>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</si>
  <si>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</si>
  <si>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</si>
  <si>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</si>
  <si>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</si>
  <si>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</si>
  <si>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</si>
  <si>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</si>
  <si>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</si>
  <si>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</si>
  <si>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</si>
  <si>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</si>
  <si>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</si>
  <si>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</si>
  <si>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</si>
  <si>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</si>
  <si>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</si>
  <si>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</si>
  <si>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</si>
  <si>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</si>
  <si>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</si>
  <si>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</si>
  <si>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</si>
  <si>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</si>
  <si>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</si>
  <si>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</si>
  <si>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</si>
  <si>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</si>
  <si>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</si>
  <si>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</si>
  <si>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</si>
  <si>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</si>
  <si>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</si>
  <si>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</si>
  <si>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</si>
  <si>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</si>
  <si>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</si>
  <si>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</si>
  <si>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</si>
  <si>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</si>
  <si>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</si>
  <si>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</si>
  <si>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</si>
  <si>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</si>
  <si>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</si>
  <si>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</si>
  <si>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</si>
  <si>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</si>
  <si>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</si>
  <si>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</si>
  <si>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</si>
  <si>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</si>
  <si>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</si>
  <si>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</si>
  <si>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</si>
  <si>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</si>
  <si>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</si>
  <si>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</si>
  <si>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</si>
  <si>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</si>
  <si>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</si>
  <si>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</si>
  <si>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</si>
  <si>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</si>
  <si>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</si>
  <si>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</si>
  <si>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</si>
  <si>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</si>
  <si>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</si>
  <si>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</si>
  <si>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</si>
  <si>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</si>
  <si>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</si>
  <si>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</si>
  <si>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</si>
  <si>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</si>
  <si>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</si>
  <si>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</si>
  <si>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</si>
  <si>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</si>
  <si>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</si>
  <si>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</si>
  <si>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</si>
  <si>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</si>
  <si>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</si>
  <si>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</si>
  <si>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</si>
  <si>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</si>
  <si>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</si>
  <si>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</si>
  <si>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</si>
  <si>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</si>
  <si>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</si>
  <si>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</si>
  <si>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</si>
  <si>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</si>
  <si>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</si>
  <si>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</si>
  <si>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</si>
  <si>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</si>
  <si>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</si>
  <si>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</si>
  <si>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</si>
  <si>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</si>
  <si>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</si>
  <si>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</si>
  <si>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</si>
  <si>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</si>
  <si>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</si>
  <si>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</si>
  <si>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</si>
  <si>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</si>
  <si>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</si>
  <si>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</si>
  <si>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</si>
  <si>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</si>
  <si>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</si>
  <si>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</si>
  <si>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</si>
  <si>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</si>
  <si>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</si>
  <si>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</si>
  <si>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</si>
  <si>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</si>
  <si>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</si>
  <si>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</si>
  <si>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</si>
  <si>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</si>
  <si>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</si>
  <si>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</si>
  <si>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</si>
  <si>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</si>
  <si>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</si>
  <si>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</si>
  <si>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</si>
  <si>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</si>
  <si>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</si>
  <si>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</si>
  <si>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</si>
  <si>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</si>
  <si>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</si>
  <si>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</si>
  <si>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</si>
  <si>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</si>
  <si>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Bulletin (2)</t>
  </si>
  <si>
    <t>GRADE CROSSING</t>
  </si>
  <si>
    <t>Trip Number</t>
  </si>
  <si>
    <t>rtdc.l.rtdc.4051:itc</t>
  </si>
  <si>
    <t>rtdc.l.rtdc.4052:itc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</si>
  <si>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</si>
  <si>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</si>
  <si>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</si>
  <si>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</si>
  <si>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</si>
  <si>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</si>
  <si>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</si>
  <si>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</si>
  <si>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</si>
  <si>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</si>
  <si>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</si>
  <si>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</si>
  <si>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</si>
  <si>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</si>
  <si>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</si>
  <si>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</si>
  <si>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</si>
  <si>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204:152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</si>
  <si>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</si>
  <si>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</si>
  <si>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</si>
  <si>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</si>
  <si>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</si>
  <si>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</si>
  <si>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</si>
  <si>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</si>
  <si>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STURGEON</t>
  </si>
  <si>
    <t>s3://rtdc.mdm.uploadarchive.raw</t>
  </si>
  <si>
    <t>rtdc.l.rtdc.4009:itc</t>
  </si>
  <si>
    <t>204:233297</t>
  </si>
  <si>
    <t>rtdc.l.rtdc.4044:itc</t>
  </si>
  <si>
    <t>56-06</t>
  </si>
  <si>
    <t>315-06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</si>
  <si>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</si>
  <si>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</si>
  <si>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</si>
  <si>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</si>
  <si>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</si>
  <si>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</si>
  <si>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204:143</t>
  </si>
  <si>
    <t>204:447</t>
  </si>
  <si>
    <t>204:453</t>
  </si>
  <si>
    <t>204:233295</t>
  </si>
  <si>
    <t>204:451</t>
  </si>
  <si>
    <t>N</t>
  </si>
  <si>
    <t>PERMANENT SPEED RESTRICTION</t>
  </si>
  <si>
    <t>Speed (6)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</si>
  <si>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</si>
  <si>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</si>
  <si>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</si>
  <si>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</si>
  <si>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</si>
  <si>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204:232977</t>
  </si>
  <si>
    <t>AWS CP Commands</t>
  </si>
  <si>
    <t>204:156</t>
  </si>
  <si>
    <t>rtdc.l.rtdc.4030:itc</t>
  </si>
  <si>
    <t>204:462</t>
  </si>
  <si>
    <t>rtdc.l.rtdc.4011:itc</t>
  </si>
  <si>
    <t>204:464</t>
  </si>
  <si>
    <t>DE.1.0.8.0</t>
  </si>
  <si>
    <t>rtdc.l.rtdc.4040:itc</t>
  </si>
  <si>
    <t>204:158</t>
  </si>
  <si>
    <t>rtdc.l.rtdc.4039:itc</t>
  </si>
  <si>
    <t>Human Factors</t>
  </si>
  <si>
    <t>STAMBAUGH</t>
  </si>
  <si>
    <t>rtdc.l.rtdc.4012:itc</t>
  </si>
  <si>
    <t>204:150</t>
  </si>
  <si>
    <t>rtdc.l.rtdc.4002:itc</t>
  </si>
  <si>
    <t>BADERTSCHER</t>
  </si>
  <si>
    <t>MAGEE</t>
  </si>
  <si>
    <t>rtdc.l.rtdc.4043:itc</t>
  </si>
  <si>
    <t>:.+((SYSTEM_STATE.+slice.+state.+changed )|(ment ac)|(system.+state.+changed )|(\[timeout)|(PRM\|1\|D)|(kpr)|(kdp)|(\|lc)|(penalty))</t>
  </si>
  <si>
    <t>rtdc.l.rtdc.4022:itc</t>
  </si>
  <si>
    <t>rtdc.l.rtdc.4021:itc</t>
  </si>
  <si>
    <t>HOLCOMB</t>
  </si>
  <si>
    <t>rtdc.l.rtdc.4038:itc</t>
  </si>
  <si>
    <t>rtdc.l.rtdc.4037:itc</t>
  </si>
  <si>
    <t>243-10</t>
  </si>
  <si>
    <t>309-10</t>
  </si>
  <si>
    <t>242-10</t>
  </si>
  <si>
    <t>311-10</t>
  </si>
  <si>
    <t>244-10</t>
  </si>
  <si>
    <t>313-10</t>
  </si>
  <si>
    <t>204:154</t>
  </si>
  <si>
    <t>204:466</t>
  </si>
  <si>
    <t>204:449</t>
  </si>
  <si>
    <t>204:141</t>
  </si>
  <si>
    <t>204:232987</t>
  </si>
  <si>
    <t>rtdc.l.rtdc.4014:itc</t>
  </si>
  <si>
    <t>rtdc.l.rtdc.4013:itc</t>
  </si>
  <si>
    <t>204:232975</t>
  </si>
  <si>
    <t>204:232994</t>
  </si>
  <si>
    <t>PERKINS</t>
  </si>
  <si>
    <t>204:132</t>
  </si>
  <si>
    <t>204:440</t>
  </si>
  <si>
    <t>CLI Grep2 (for slice disagreement)</t>
  </si>
  <si>
    <t>204:232998</t>
  </si>
  <si>
    <t>Y</t>
  </si>
  <si>
    <t>204:147</t>
  </si>
  <si>
    <t>204:233304</t>
  </si>
  <si>
    <t>204:232993</t>
  </si>
  <si>
    <t>204:165</t>
  </si>
  <si>
    <t>204:233314</t>
  </si>
  <si>
    <t>204:455</t>
  </si>
  <si>
    <t>204:232983</t>
  </si>
  <si>
    <t>rtdc.l.rtdc.4031:itc</t>
  </si>
  <si>
    <t>204:232991</t>
  </si>
  <si>
    <t>204:442</t>
  </si>
  <si>
    <t>204:446</t>
  </si>
  <si>
    <t>rtdc.l.rtdc.4045:itc</t>
  </si>
  <si>
    <t>rtdc.l.rtdc.4046:itc</t>
  </si>
  <si>
    <t>DAVIS</t>
  </si>
  <si>
    <t>204:161</t>
  </si>
  <si>
    <t>204:460</t>
  </si>
  <si>
    <t>204:232973</t>
  </si>
  <si>
    <t>204:232979</t>
  </si>
  <si>
    <t>204:233302</t>
  </si>
  <si>
    <t>204:139</t>
  </si>
  <si>
    <t>204:457</t>
  </si>
  <si>
    <t>204:471</t>
  </si>
  <si>
    <t>204:233002</t>
  </si>
  <si>
    <t>COOLAHAN</t>
  </si>
  <si>
    <t>204:233293</t>
  </si>
  <si>
    <t>204:233317</t>
  </si>
  <si>
    <t>204:233321</t>
  </si>
  <si>
    <t>204:167</t>
  </si>
  <si>
    <t>rtdc.l.rtdc.4042:itc</t>
  </si>
  <si>
    <t>rtdc.l.rtdc.4041:itc</t>
  </si>
  <si>
    <t>rtdc.l.rtdc.4028:itc</t>
  </si>
  <si>
    <t>RICHARDSON</t>
  </si>
  <si>
    <t>JOHNSON</t>
  </si>
  <si>
    <t>rtdc.l.rtdc.4027:itc</t>
  </si>
  <si>
    <t>DAVIDSON</t>
  </si>
  <si>
    <t>SAFIEF</t>
  </si>
  <si>
    <t>204:233306</t>
  </si>
  <si>
    <t>204:444</t>
  </si>
  <si>
    <t>204:438</t>
  </si>
  <si>
    <t>204:469</t>
  </si>
  <si>
    <t>204:232978</t>
  </si>
  <si>
    <t>204:433</t>
  </si>
  <si>
    <t>SWITCH UNKNOWN</t>
  </si>
  <si>
    <t>Track device (7)</t>
  </si>
  <si>
    <t>SPECTOR</t>
  </si>
  <si>
    <t>rtdc.l.rtdc.4029:itc</t>
  </si>
  <si>
    <t>clear-night</t>
  </si>
  <si>
    <t>Clear</t>
  </si>
  <si>
    <t>204:233307</t>
  </si>
  <si>
    <t>204:233000</t>
  </si>
  <si>
    <t>204:233305</t>
  </si>
  <si>
    <t>204:233308</t>
  </si>
  <si>
    <t>300:23299</t>
  </si>
  <si>
    <t>300:58628</t>
  </si>
  <si>
    <t>204:696</t>
  </si>
  <si>
    <t>rtdc.l.rtdc.4008:itc</t>
  </si>
  <si>
    <t>rtdc.l.rtdc.4003:itc</t>
  </si>
  <si>
    <t>rtdc.l.rtdc.4004:itc</t>
  </si>
  <si>
    <t>MAELZER</t>
  </si>
  <si>
    <t>rtdc.l.rtdc.4007:itc</t>
  </si>
  <si>
    <t>STORY</t>
  </si>
  <si>
    <t>MOSES</t>
  </si>
  <si>
    <t>clear-day</t>
  </si>
  <si>
    <t>204:232981</t>
  </si>
  <si>
    <t>204:232971</t>
  </si>
  <si>
    <t>204:233303</t>
  </si>
  <si>
    <t>204:232989</t>
  </si>
  <si>
    <t>204:233280</t>
  </si>
  <si>
    <t>204:431</t>
  </si>
  <si>
    <t>204:233329</t>
  </si>
  <si>
    <t>204:172</t>
  </si>
  <si>
    <t>204:233017</t>
  </si>
  <si>
    <t>204:484</t>
  </si>
  <si>
    <t>204:233326</t>
  </si>
  <si>
    <t>204:480</t>
  </si>
  <si>
    <t>204:123</t>
  </si>
  <si>
    <t>300:58621</t>
  </si>
  <si>
    <t>300:58931</t>
  </si>
  <si>
    <t>204:983</t>
  </si>
  <si>
    <t>204:1035</t>
  </si>
  <si>
    <t>rtdc.l.rtdc.4015:itc</t>
  </si>
  <si>
    <t>rtdc.l.rtdc.4016:itc</t>
  </si>
  <si>
    <t>rtdc.l.rtdc.4010:itc</t>
  </si>
  <si>
    <t>242-24</t>
  </si>
  <si>
    <t>ROBINSON</t>
  </si>
  <si>
    <t>STRICKLAND</t>
  </si>
  <si>
    <t>YORK</t>
  </si>
  <si>
    <t>OUN</t>
  </si>
  <si>
    <t>SMITH</t>
  </si>
  <si>
    <t>ADANE</t>
  </si>
  <si>
    <t>311-24</t>
  </si>
  <si>
    <t>244-24</t>
  </si>
  <si>
    <t>313-24</t>
  </si>
  <si>
    <t>315-24</t>
  </si>
  <si>
    <t>204:232672</t>
  </si>
  <si>
    <t>204:748</t>
  </si>
  <si>
    <t>204:233276</t>
  </si>
  <si>
    <t>204:232984</t>
  </si>
  <si>
    <t>204:775</t>
  </si>
  <si>
    <t>204:233316</t>
  </si>
  <si>
    <t>204:478</t>
  </si>
  <si>
    <t>204:163</t>
  </si>
  <si>
    <t>204:232988</t>
  </si>
  <si>
    <t>204:221</t>
  </si>
  <si>
    <t>204:233320</t>
  </si>
  <si>
    <t>204:136</t>
  </si>
  <si>
    <t>204:145</t>
  </si>
  <si>
    <t>204:429</t>
  </si>
  <si>
    <t>204:233312</t>
  </si>
  <si>
    <t>204:232996</t>
  </si>
  <si>
    <t>204:129</t>
  </si>
  <si>
    <t>204:232992</t>
  </si>
  <si>
    <t>204:232980</t>
  </si>
  <si>
    <t>204:467</t>
  </si>
  <si>
    <t>204:233315</t>
  </si>
  <si>
    <t>204:183</t>
  </si>
  <si>
    <t>204:233007</t>
  </si>
  <si>
    <t>204:233298</t>
  </si>
  <si>
    <t>204:475</t>
  </si>
  <si>
    <t>204:232976</t>
  </si>
  <si>
    <t>204:437</t>
  </si>
  <si>
    <t>300:22846</t>
  </si>
  <si>
    <t>204:659</t>
  </si>
  <si>
    <t>300:58611</t>
  </si>
  <si>
    <t>300:58608</t>
  </si>
  <si>
    <t>204:724</t>
  </si>
  <si>
    <t>204:995</t>
  </si>
  <si>
    <t>300:58929</t>
  </si>
  <si>
    <t>300:58623</t>
  </si>
  <si>
    <t>204:706</t>
  </si>
  <si>
    <t>300:58933</t>
  </si>
  <si>
    <t>300:58604</t>
  </si>
  <si>
    <t>204:740</t>
  </si>
  <si>
    <t>204:1032</t>
  </si>
  <si>
    <t>300:58924</t>
  </si>
  <si>
    <t>300:58609</t>
  </si>
  <si>
    <t>204:755</t>
  </si>
  <si>
    <t>300:58592</t>
  </si>
  <si>
    <t>204:1023</t>
  </si>
  <si>
    <t>300:58954</t>
  </si>
  <si>
    <t>204:733</t>
  </si>
  <si>
    <t>204:1030</t>
  </si>
  <si>
    <t>300:58935</t>
  </si>
  <si>
    <t>300:58619</t>
  </si>
  <si>
    <t>204:1027</t>
  </si>
  <si>
    <t>204:678</t>
  </si>
  <si>
    <t>300:58939</t>
  </si>
  <si>
    <t>300:58922</t>
  </si>
  <si>
    <t>300:58615</t>
  </si>
  <si>
    <t>104-25</t>
  </si>
  <si>
    <t>901-25</t>
  </si>
  <si>
    <t>800-25</t>
  </si>
  <si>
    <t>803-25</t>
  </si>
  <si>
    <t>120-25</t>
  </si>
  <si>
    <t>118-25</t>
  </si>
  <si>
    <t>805-25</t>
  </si>
  <si>
    <t>127-25</t>
  </si>
  <si>
    <t>806-25</t>
  </si>
  <si>
    <t>131-25</t>
  </si>
  <si>
    <t>TEMPORARY SPEED RESTRICTION</t>
  </si>
  <si>
    <t>124-25</t>
  </si>
  <si>
    <t>810-25</t>
  </si>
  <si>
    <t>126-25</t>
  </si>
  <si>
    <t>132-25</t>
  </si>
  <si>
    <t>147-25</t>
  </si>
  <si>
    <t>814-25</t>
  </si>
  <si>
    <t>rtdc.l.rtdc.4032:itc</t>
  </si>
  <si>
    <t>142-25</t>
  </si>
  <si>
    <t>815-25</t>
  </si>
  <si>
    <t>151-25</t>
  </si>
  <si>
    <t>816-25</t>
  </si>
  <si>
    <t>155-25</t>
  </si>
  <si>
    <t>52-25</t>
  </si>
  <si>
    <t>159-25</t>
  </si>
  <si>
    <t>SPEED RESTRICTION</t>
  </si>
  <si>
    <t>55-25</t>
  </si>
  <si>
    <t>160-25</t>
  </si>
  <si>
    <t>174-25</t>
  </si>
  <si>
    <t>822-25</t>
  </si>
  <si>
    <t>185-25</t>
  </si>
  <si>
    <t>823-25</t>
  </si>
  <si>
    <t>184-25</t>
  </si>
  <si>
    <t>825-25</t>
  </si>
  <si>
    <t>186-25</t>
  </si>
  <si>
    <t>191-25</t>
  </si>
  <si>
    <t>826-25</t>
  </si>
  <si>
    <t>199-25</t>
  </si>
  <si>
    <t>188-25</t>
  </si>
  <si>
    <t>190-25</t>
  </si>
  <si>
    <t>829-25</t>
  </si>
  <si>
    <t>196-25</t>
  </si>
  <si>
    <t>830-25</t>
  </si>
  <si>
    <t>202-25</t>
  </si>
  <si>
    <t>198-25</t>
  </si>
  <si>
    <t>832-25</t>
  </si>
  <si>
    <t>61-25</t>
  </si>
  <si>
    <t>834-25</t>
  </si>
  <si>
    <t>836-25</t>
  </si>
  <si>
    <t>74-25</t>
  </si>
  <si>
    <t>206-25</t>
  </si>
  <si>
    <t>837-25</t>
  </si>
  <si>
    <t>305-25</t>
  </si>
  <si>
    <t>220-25</t>
  </si>
  <si>
    <t>843-25</t>
  </si>
  <si>
    <t>229-25</t>
  </si>
  <si>
    <t>844-25</t>
  </si>
  <si>
    <t>228-25</t>
  </si>
  <si>
    <t>242-25</t>
  </si>
  <si>
    <t>302-25</t>
  </si>
  <si>
    <t>101-25</t>
  </si>
  <si>
    <t>103-25</t>
  </si>
  <si>
    <t>304-25</t>
  </si>
  <si>
    <t>306-25</t>
  </si>
  <si>
    <t>308-25</t>
  </si>
  <si>
    <t>ISHMAEL</t>
  </si>
  <si>
    <t>105-25</t>
  </si>
  <si>
    <t>102-25</t>
  </si>
  <si>
    <t>107-25</t>
  </si>
  <si>
    <t>310-25</t>
  </si>
  <si>
    <t>109-25</t>
  </si>
  <si>
    <t>111-25</t>
  </si>
  <si>
    <t>106-25</t>
  </si>
  <si>
    <t>113-25</t>
  </si>
  <si>
    <t>108-25</t>
  </si>
  <si>
    <t>115-25</t>
  </si>
  <si>
    <t>801-25</t>
  </si>
  <si>
    <t>110-25</t>
  </si>
  <si>
    <t>117-25</t>
  </si>
  <si>
    <t>112-25</t>
  </si>
  <si>
    <t>119-25</t>
  </si>
  <si>
    <t>902-25</t>
  </si>
  <si>
    <t>121-25</t>
  </si>
  <si>
    <t>114-25</t>
  </si>
  <si>
    <t>802-25</t>
  </si>
  <si>
    <t>116-25</t>
  </si>
  <si>
    <t>123-25</t>
  </si>
  <si>
    <t>804-25</t>
  </si>
  <si>
    <t>125-25</t>
  </si>
  <si>
    <t>807-25</t>
  </si>
  <si>
    <t>122-25</t>
  </si>
  <si>
    <t>129-25</t>
  </si>
  <si>
    <t>809-25</t>
  </si>
  <si>
    <t>808-25</t>
  </si>
  <si>
    <t>133-25</t>
  </si>
  <si>
    <t>128-25</t>
  </si>
  <si>
    <t>135-25</t>
  </si>
  <si>
    <t>811-25</t>
  </si>
  <si>
    <t>130-25</t>
  </si>
  <si>
    <t>137-25</t>
  </si>
  <si>
    <t>139-25</t>
  </si>
  <si>
    <t>903-25</t>
  </si>
  <si>
    <t>134-25</t>
  </si>
  <si>
    <t>812-25</t>
  </si>
  <si>
    <t>141-25</t>
  </si>
  <si>
    <t>136-25</t>
  </si>
  <si>
    <t>143-25</t>
  </si>
  <si>
    <t>813-25</t>
  </si>
  <si>
    <t>138-25</t>
  </si>
  <si>
    <t>145-25</t>
  </si>
  <si>
    <t>140-25</t>
  </si>
  <si>
    <t>149-25</t>
  </si>
  <si>
    <t>144-25</t>
  </si>
  <si>
    <t>146-25</t>
  </si>
  <si>
    <t>153-25</t>
  </si>
  <si>
    <t>148-25</t>
  </si>
  <si>
    <t>150-25</t>
  </si>
  <si>
    <t>157-25</t>
  </si>
  <si>
    <t>152-25</t>
  </si>
  <si>
    <t>817-25</t>
  </si>
  <si>
    <t>154-25</t>
  </si>
  <si>
    <t>161-25</t>
  </si>
  <si>
    <t>156-25</t>
  </si>
  <si>
    <t>158-25</t>
  </si>
  <si>
    <t>163-25</t>
  </si>
  <si>
    <t>BRANDNER</t>
  </si>
  <si>
    <t>54-25</t>
  </si>
  <si>
    <t>818-25</t>
  </si>
  <si>
    <t>165-25</t>
  </si>
  <si>
    <t>53-25</t>
  </si>
  <si>
    <t>167-25</t>
  </si>
  <si>
    <t>819-25</t>
  </si>
  <si>
    <t>162-25</t>
  </si>
  <si>
    <t>169-25</t>
  </si>
  <si>
    <t>164-25</t>
  </si>
  <si>
    <t>171-25</t>
  </si>
  <si>
    <t>166-25</t>
  </si>
  <si>
    <t>820-25</t>
  </si>
  <si>
    <t>168-25</t>
  </si>
  <si>
    <t>173-25</t>
  </si>
  <si>
    <t>175-25</t>
  </si>
  <si>
    <t>170-25</t>
  </si>
  <si>
    <t>821-25</t>
  </si>
  <si>
    <t>177-25</t>
  </si>
  <si>
    <t>172-25</t>
  </si>
  <si>
    <t>179-25</t>
  </si>
  <si>
    <t>181-25</t>
  </si>
  <si>
    <t>176-25</t>
  </si>
  <si>
    <t>183-25</t>
  </si>
  <si>
    <t>178-25</t>
  </si>
  <si>
    <t>180-25</t>
  </si>
  <si>
    <t>182-25</t>
  </si>
  <si>
    <t>187-25</t>
  </si>
  <si>
    <t>824-25</t>
  </si>
  <si>
    <t>189-25</t>
  </si>
  <si>
    <t>193-25</t>
  </si>
  <si>
    <t>904-25</t>
  </si>
  <si>
    <t>195-25</t>
  </si>
  <si>
    <t>197-25</t>
  </si>
  <si>
    <t>827-25</t>
  </si>
  <si>
    <t>192-25</t>
  </si>
  <si>
    <t>194-25</t>
  </si>
  <si>
    <t>828-25</t>
  </si>
  <si>
    <t>201-25</t>
  </si>
  <si>
    <t>203-25</t>
  </si>
  <si>
    <t>205-25</t>
  </si>
  <si>
    <t>831-25</t>
  </si>
  <si>
    <t>200-25</t>
  </si>
  <si>
    <t>207-25</t>
  </si>
  <si>
    <t>209-25</t>
  </si>
  <si>
    <t>204-25</t>
  </si>
  <si>
    <t>833-25</t>
  </si>
  <si>
    <t>BROWN</t>
  </si>
  <si>
    <t>835-25</t>
  </si>
  <si>
    <t>211-25</t>
  </si>
  <si>
    <t>213-25</t>
  </si>
  <si>
    <t>208-25</t>
  </si>
  <si>
    <t>210-25</t>
  </si>
  <si>
    <t>MCREYNOLDS</t>
  </si>
  <si>
    <t>215-25</t>
  </si>
  <si>
    <t>217-25</t>
  </si>
  <si>
    <t>CHANDLER</t>
  </si>
  <si>
    <t>212-25</t>
  </si>
  <si>
    <t>76-25</t>
  </si>
  <si>
    <t>LALONDE</t>
  </si>
  <si>
    <t>214-25</t>
  </si>
  <si>
    <t>219-25</t>
  </si>
  <si>
    <t>839-25</t>
  </si>
  <si>
    <t>838-25</t>
  </si>
  <si>
    <t>303-25</t>
  </si>
  <si>
    <t>216-25</t>
  </si>
  <si>
    <t>221-25</t>
  </si>
  <si>
    <t>906-25</t>
  </si>
  <si>
    <t>218-25</t>
  </si>
  <si>
    <t>841-25</t>
  </si>
  <si>
    <t>223-25</t>
  </si>
  <si>
    <t>840-25</t>
  </si>
  <si>
    <t>307-25</t>
  </si>
  <si>
    <t>222-25</t>
  </si>
  <si>
    <t>225-25</t>
  </si>
  <si>
    <t>224-25</t>
  </si>
  <si>
    <t>227-25</t>
  </si>
  <si>
    <t>81-25</t>
  </si>
  <si>
    <t>842-25</t>
  </si>
  <si>
    <t>226-25</t>
  </si>
  <si>
    <t>845-25</t>
  </si>
  <si>
    <t>80-25</t>
  </si>
  <si>
    <t>231-25</t>
  </si>
  <si>
    <t>230-25</t>
  </si>
  <si>
    <t>233-25</t>
  </si>
  <si>
    <t>847-25</t>
  </si>
  <si>
    <t>232-25</t>
  </si>
  <si>
    <t>235-25</t>
  </si>
  <si>
    <t>908-25</t>
  </si>
  <si>
    <t>234-25</t>
  </si>
  <si>
    <t>237-25</t>
  </si>
  <si>
    <t>239-25</t>
  </si>
  <si>
    <t>236-25</t>
  </si>
  <si>
    <t>241-25</t>
  </si>
  <si>
    <t>238-25</t>
  </si>
  <si>
    <t>243-25</t>
  </si>
  <si>
    <t>240-25</t>
  </si>
  <si>
    <t>245-25</t>
  </si>
  <si>
    <t>309-25</t>
  </si>
  <si>
    <t>244-25</t>
  </si>
  <si>
    <t>311-25</t>
  </si>
  <si>
    <t>246-25</t>
  </si>
  <si>
    <t>313-25</t>
  </si>
  <si>
    <t>315-25</t>
  </si>
  <si>
    <t>204:233355</t>
  </si>
  <si>
    <t>204:232706</t>
  </si>
  <si>
    <t>204:770</t>
  </si>
  <si>
    <t>204:232685</t>
  </si>
  <si>
    <t>204:743</t>
  </si>
  <si>
    <t>204:232967</t>
  </si>
  <si>
    <t>204:233291</t>
  </si>
  <si>
    <t>204:786</t>
  </si>
  <si>
    <t>204:735</t>
  </si>
  <si>
    <t>204:233300</t>
  </si>
  <si>
    <t>204:232985</t>
  </si>
  <si>
    <t>204:233331</t>
  </si>
  <si>
    <t>204:233006</t>
  </si>
  <si>
    <t>204:498</t>
  </si>
  <si>
    <t>204:232966</t>
  </si>
  <si>
    <t>204:233301</t>
  </si>
  <si>
    <t>204:233327</t>
  </si>
  <si>
    <t>204:233008</t>
  </si>
  <si>
    <t>204:232986</t>
  </si>
  <si>
    <t>204:491</t>
  </si>
  <si>
    <t>204:435</t>
  </si>
  <si>
    <t>204:130</t>
  </si>
  <si>
    <t>204:169</t>
  </si>
  <si>
    <t>204:232974</t>
  </si>
  <si>
    <t>204:187</t>
  </si>
  <si>
    <t>204:54807</t>
  </si>
  <si>
    <t>204:60593</t>
  </si>
  <si>
    <t>204:63482</t>
  </si>
  <si>
    <t>204:233324</t>
  </si>
  <si>
    <t>204:201</t>
  </si>
  <si>
    <t>204:233323</t>
  </si>
  <si>
    <t>204:174</t>
  </si>
  <si>
    <t>204:1847</t>
  </si>
  <si>
    <t>204:232969</t>
  </si>
  <si>
    <t>204:233299</t>
  </si>
  <si>
    <t>204:473</t>
  </si>
  <si>
    <t>204:232965</t>
  </si>
  <si>
    <t>204:233285</t>
  </si>
  <si>
    <t>204:233287</t>
  </si>
  <si>
    <t>204:232957</t>
  </si>
  <si>
    <t>204:232964</t>
  </si>
  <si>
    <t>300:21462</t>
  </si>
  <si>
    <t>300:23326</t>
  </si>
  <si>
    <t>300:23106</t>
  </si>
  <si>
    <t>300:23201</t>
  </si>
  <si>
    <t>204:96</t>
  </si>
  <si>
    <t>300:23306</t>
  </si>
  <si>
    <t>300:23207</t>
  </si>
  <si>
    <t>300:23108</t>
  </si>
  <si>
    <t>300:23254</t>
  </si>
  <si>
    <t>204:537</t>
  </si>
  <si>
    <t>204:1435</t>
  </si>
  <si>
    <t>300:23346</t>
  </si>
  <si>
    <t>300:23411</t>
  </si>
  <si>
    <t>204:965</t>
  </si>
  <si>
    <t>204:1281</t>
  </si>
  <si>
    <t>300:24224</t>
  </si>
  <si>
    <t>300:23160</t>
  </si>
  <si>
    <t>204:133</t>
  </si>
  <si>
    <t>204:450</t>
  </si>
  <si>
    <t>300:24208</t>
  </si>
  <si>
    <t>204:1481</t>
  </si>
  <si>
    <t>204:1983</t>
  </si>
  <si>
    <t>300:21988</t>
  </si>
  <si>
    <t>204:930</t>
  </si>
  <si>
    <t>204:129198</t>
  </si>
  <si>
    <t>204:9815</t>
  </si>
  <si>
    <t>204:129264</t>
  </si>
  <si>
    <t>204:10075</t>
  </si>
  <si>
    <t>204:129432</t>
  </si>
  <si>
    <t>204:10283</t>
  </si>
  <si>
    <t>204:129500</t>
  </si>
  <si>
    <t>204:1175</t>
  </si>
  <si>
    <t>204:129507</t>
  </si>
  <si>
    <t>204:10297</t>
  </si>
  <si>
    <t>204:1125</t>
  </si>
  <si>
    <t>204:729</t>
  </si>
  <si>
    <t>204:1021</t>
  </si>
  <si>
    <t>300:58946</t>
  </si>
  <si>
    <t>204:741</t>
  </si>
  <si>
    <t>204:1016</t>
  </si>
  <si>
    <t>204:10310</t>
  </si>
  <si>
    <t>204:129808</t>
  </si>
  <si>
    <t>204:10521</t>
  </si>
  <si>
    <t>204:129868</t>
  </si>
  <si>
    <t>204:10533</t>
  </si>
  <si>
    <t>204:129587</t>
  </si>
  <si>
    <t>204:1500</t>
  </si>
  <si>
    <t>204:129890</t>
  </si>
  <si>
    <t>204:1509</t>
  </si>
  <si>
    <t>204:129649</t>
  </si>
  <si>
    <t>300:31258</t>
  </si>
  <si>
    <t>300:58613</t>
  </si>
  <si>
    <t>204:102</t>
  </si>
  <si>
    <t>204:1025</t>
  </si>
  <si>
    <t>204:1020</t>
  </si>
  <si>
    <t>204:734</t>
  </si>
  <si>
    <t>204:719</t>
  </si>
  <si>
    <t>204:1004</t>
  </si>
  <si>
    <t>204:1013</t>
  </si>
  <si>
    <t>300:10534</t>
  </si>
  <si>
    <t>300:16357</t>
  </si>
  <si>
    <t>204:738</t>
  </si>
  <si>
    <t>204:1039</t>
  </si>
  <si>
    <t>300:10394</t>
  </si>
  <si>
    <t>300:17495</t>
  </si>
  <si>
    <t>204:948</t>
  </si>
  <si>
    <t>300:58912</t>
  </si>
  <si>
    <t>300:38867</t>
  </si>
  <si>
    <t>204:708</t>
  </si>
  <si>
    <t>300:42125</t>
  </si>
  <si>
    <t>300:58944</t>
  </si>
  <si>
    <t>300:10689</t>
  </si>
  <si>
    <t>300:17366</t>
  </si>
  <si>
    <t>300:58596</t>
  </si>
  <si>
    <t>204:1044</t>
  </si>
  <si>
    <t>300:58937</t>
  </si>
  <si>
    <t>300:10600</t>
  </si>
  <si>
    <t>204:745</t>
  </si>
  <si>
    <t>300:16014</t>
  </si>
  <si>
    <t>204:993</t>
  </si>
  <si>
    <t>204:703</t>
  </si>
  <si>
    <t>300:58961</t>
  </si>
  <si>
    <t>300:58634</t>
  </si>
  <si>
    <t>300:10428</t>
  </si>
  <si>
    <t>300:17736</t>
  </si>
  <si>
    <t>204:957</t>
  </si>
  <si>
    <t>300:58914</t>
  </si>
  <si>
    <t>300:30665</t>
  </si>
  <si>
    <t>300:23546</t>
  </si>
  <si>
    <t>204:846</t>
  </si>
  <si>
    <t>204:432</t>
  </si>
  <si>
    <t>300:24110</t>
  </si>
  <si>
    <t>300:23510</t>
  </si>
  <si>
    <t>300:28784</t>
  </si>
  <si>
    <t>300:58598</t>
  </si>
  <si>
    <t>300:21706</t>
  </si>
  <si>
    <t>aws s3 cp s3://rtdc.mdm.uploadarchive.raw/RTDC4046/ "%USERPROFILE%\AppData\Local\Temp\OnboardLogs"\RTDC4046\2016-11-25 --exclude "*" --recursive --include "*20161125*" &amp; "%USERPROFILE%\Documents\GitHub\mrs-test-scripts\Headless Mode &amp; Sideloading\WalkAndUnGZ.bat" "%USERPROFILE%\AppData\Local\Temp\OnboardLogs"\RTDC4046\2016-11-25 &amp; aws s3 cp s3://rtdc.mdm.uploadarchive.raw/RTDC4046/ "%USERPROFILE%\AppData\Local\Temp\OnboardLogs"\RTDC4046\2016-11-26 --exclude "*" --recursive --include "*20161126*" &amp; "%USERPROFILE%\Documents\GitHub\mrs-test-scripts\Headless Mode &amp; Sideloading\WalkAndUnGZ.bat" "%USERPROFILE%\AppData\Local\Temp\OnboardLogs"\RTDC4046\2016-11-26</t>
  </si>
  <si>
    <t>aws s3 cp s3://rtdc.mdm.uploadarchive.raw/RTDC4011/ "%USERPROFILE%\AppData\Local\Temp\OnboardLogs"\RTDC4011\2016-11-25 --exclude "*" --recursive --include "*20161125*" &amp; "%USERPROFILE%\Documents\GitHub\mrs-test-scripts\Headless Mode &amp; Sideloading\WalkAndUnGZ.bat" "%USERPROFILE%\AppData\Local\Temp\OnboardLogs"\RTDC4011\2016-11-25 &amp; aws s3 cp s3://rtdc.mdm.uploadarchive.raw/RTDC4011/ "%USERPROFILE%\AppData\Local\Temp\OnboardLogs"\RTDC4011\2016-11-26 --exclude "*" --recursive --include "*20161126*" &amp; "%USERPROFILE%\Documents\GitHub\mrs-test-scripts\Headless Mode &amp; Sideloading\WalkAndUnGZ.bat" "%USERPROFILE%\AppData\Local\Temp\OnboardLogs"\RTDC4011\2016-11-26</t>
  </si>
  <si>
    <t>aws s3 cp s3://rtdc.mdm.uploadarchive.raw/RTDC4004/ "%USERPROFILE%\AppData\Local\Temp\OnboardLogs"\RTDC4004\2016-11-25 --exclude "*" --recursive --include "*20161125*" &amp; "%USERPROFILE%\Documents\GitHub\mrs-test-scripts\Headless Mode &amp; Sideloading\WalkAndUnGZ.bat" "%USERPROFILE%\AppData\Local\Temp\OnboardLogs"\RTDC4004\2016-11-25 &amp; aws s3 cp s3://rtdc.mdm.uploadarchive.raw/RTDC4004/ "%USERPROFILE%\AppData\Local\Temp\OnboardLogs"\RTDC4004\2016-11-26 --exclude "*" --recursive --include "*20161126*" &amp; "%USERPROFILE%\Documents\GitHub\mrs-test-scripts\Headless Mode &amp; Sideloading\WalkAndUnGZ.bat" "%USERPROFILE%\AppData\Local\Temp\OnboardLogs"\RTDC4004\2016-11-26</t>
  </si>
  <si>
    <t>aws s3 cp s3://rtdc.mdm.uploadarchive.raw/RTDC4021/ "%USERPROFILE%\AppData\Local\Temp\OnboardLogs"\RTDC4021\2016-11-25 --exclude "*" --recursive --include "*20161125*" &amp; "%USERPROFILE%\Documents\GitHub\mrs-test-scripts\Headless Mode &amp; Sideloading\WalkAndUnGZ.bat" "%USERPROFILE%\AppData\Local\Temp\OnboardLogs"\RTDC4021\2016-11-25 &amp; aws s3 cp s3://rtdc.mdm.uploadarchive.raw/RTDC4021/ "%USERPROFILE%\AppData\Local\Temp\OnboardLogs"\RTDC4021\2016-11-26 --exclude "*" --recursive --include "*20161126*" &amp; "%USERPROFILE%\Documents\GitHub\mrs-test-scripts\Headless Mode &amp; Sideloading\WalkAndUnGZ.bat" "%USERPROFILE%\AppData\Local\Temp\OnboardLogs"\RTDC4021\2016-11-26</t>
  </si>
  <si>
    <t>aws s3 cp s3://rtdc.mdm.uploadarchive.raw/RTDC4031/ "%USERPROFILE%\AppData\Local\Temp\OnboardLogs"\RTDC4031\2016-11-25 --exclude "*" --recursive --include "*20161125*" &amp; "%USERPROFILE%\Documents\GitHub\mrs-test-scripts\Headless Mode &amp; Sideloading\WalkAndUnGZ.bat" "%USERPROFILE%\AppData\Local\Temp\OnboardLogs"\RTDC4031\2016-11-25 &amp; aws s3 cp s3://rtdc.mdm.uploadarchive.raw/RTDC4031/ "%USERPROFILE%\AppData\Local\Temp\OnboardLogs"\RTDC4031\2016-11-26 --exclude "*" --recursive --include "*20161126*" &amp; "%USERPROFILE%\Documents\GitHub\mrs-test-scripts\Headless Mode &amp; Sideloading\WalkAndUnGZ.bat" "%USERPROFILE%\AppData\Local\Temp\OnboardLogs"\RTDC4031\2016-11-26</t>
  </si>
  <si>
    <t>aws s3 cp s3://rtdc.mdm.uploadarchive.raw/RTDC4014/ "%USERPROFILE%\AppData\Local\Temp\OnboardLogs"\RTDC4014\2016-11-25 --exclude "*" --recursive --include "*20161125*" &amp; "%USERPROFILE%\Documents\GitHub\mrs-test-scripts\Headless Mode &amp; Sideloading\WalkAndUnGZ.bat" "%USERPROFILE%\AppData\Local\Temp\OnboardLogs"\RTDC4014\2016-11-25 &amp; aws s3 cp s3://rtdc.mdm.uploadarchive.raw/RTDC4014/ "%USERPROFILE%\AppData\Local\Temp\OnboardLogs"\RTDC4014\2016-11-26 --exclude "*" --recursive --include "*20161126*" &amp; "%USERPROFILE%\Documents\GitHub\mrs-test-scripts\Headless Mode &amp; Sideloading\WalkAndUnGZ.bat" "%USERPROFILE%\AppData\Local\Temp\OnboardLogs"\RTDC4014\2016-11-26</t>
  </si>
  <si>
    <t>aws s3 cp s3://rtdc.mdm.uploadarchive.raw/RTDC4012/ "%USERPROFILE%\AppData\Local\Temp\OnboardLogs"\RTDC4012\2016-11-25 --exclude "*" --recursive --include "*20161125*" &amp; "%USERPROFILE%\Documents\GitHub\mrs-test-scripts\Headless Mode &amp; Sideloading\WalkAndUnGZ.bat" "%USERPROFILE%\AppData\Local\Temp\OnboardLogs"\RTDC4012\2016-11-25 &amp; aws s3 cp s3://rtdc.mdm.uploadarchive.raw/RTDC4012/ "%USERPROFILE%\AppData\Local\Temp\OnboardLogs"\RTDC4012\2016-11-26 --exclude "*" --recursive --include "*20161126*" &amp; "%USERPROFILE%\Documents\GitHub\mrs-test-scripts\Headless Mode &amp; Sideloading\WalkAndUnGZ.bat" "%USERPROFILE%\AppData\Local\Temp\OnboardLogs"\RTDC4012\2016-11-26</t>
  </si>
  <si>
    <t>aws s3 cp s3://rtdc.mdm.uploadarchive.raw/RTDC4041/ "%USERPROFILE%\AppData\Local\Temp\OnboardLogs"\RTDC4041\2016-11-25 --exclude "*" --recursive --include "*20161125*" &amp; "%USERPROFILE%\Documents\GitHub\mrs-test-scripts\Headless Mode &amp; Sideloading\WalkAndUnGZ.bat" "%USERPROFILE%\AppData\Local\Temp\OnboardLogs"\RTDC4041\2016-11-25 &amp; aws s3 cp s3://rtdc.mdm.uploadarchive.raw/RTDC4041/ "%USERPROFILE%\AppData\Local\Temp\OnboardLogs"\RTDC4041\2016-11-26 --exclude "*" --recursive --include "*20161126*" &amp; "%USERPROFILE%\Documents\GitHub\mrs-test-scripts\Headless Mode &amp; Sideloading\WalkAndUnGZ.bat" "%USERPROFILE%\AppData\Local\Temp\OnboardLogs"\RTDC4041\2016-11-26</t>
  </si>
  <si>
    <t>aws s3 cp s3://rtdc.mdm.uploadarchive.raw/RTDC4032/ "%USERPROFILE%\AppData\Local\Temp\OnboardLogs"\RTDC4032\2016-11-25 --exclude "*" --recursive --include "*20161125*" &amp; "%USERPROFILE%\Documents\GitHub\mrs-test-scripts\Headless Mode &amp; Sideloading\WalkAndUnGZ.bat" "%USERPROFILE%\AppData\Local\Temp\OnboardLogs"\RTDC4032\2016-11-25 &amp; aws s3 cp s3://rtdc.mdm.uploadarchive.raw/RTDC4032/ "%USERPROFILE%\AppData\Local\Temp\OnboardLogs"\RTDC4032\2016-11-26 --exclude "*" --recursive --include "*20161126*" &amp; "%USERPROFILE%\Documents\GitHub\mrs-test-scripts\Headless Mode &amp; Sideloading\WalkAndUnGZ.bat" "%USERPROFILE%\AppData\Local\Temp\OnboardLogs"\RTDC4032\2016-11-26</t>
  </si>
  <si>
    <t>aws s3 cp s3://rtdc.mdm.uploadarchive.raw/RTDC4045/ "%USERPROFILE%\AppData\Local\Temp\OnboardLogs"\RTDC4045\2016-11-25 --exclude "*" --recursive --include "*20161125*" &amp; "%USERPROFILE%\Documents\GitHub\mrs-test-scripts\Headless Mode &amp; Sideloading\WalkAndUnGZ.bat" "%USERPROFILE%\AppData\Local\Temp\OnboardLogs"\RTDC4045\2016-11-25 &amp; aws s3 cp s3://rtdc.mdm.uploadarchive.raw/RTDC4045/ "%USERPROFILE%\AppData\Local\Temp\OnboardLogs"\RTDC4045\2016-11-26 --exclude "*" --recursive --include "*20161126*" &amp; "%USERPROFILE%\Documents\GitHub\mrs-test-scripts\Headless Mode &amp; Sideloading\WalkAndUnGZ.bat" "%USERPROFILE%\AppData\Local\Temp\OnboardLogs"\RTDC4045\2016-11-26</t>
  </si>
  <si>
    <t>aws s3 cp s3://rtdc.mdm.uploadarchive.raw/RTDC4040/ "%USERPROFILE%\AppData\Local\Temp\OnboardLogs"\RTDC4040\2016-11-25 --exclude "*" --recursive --include "*20161125*" &amp; "%USERPROFILE%\Documents\GitHub\mrs-test-scripts\Headless Mode &amp; Sideloading\WalkAndUnGZ.bat" "%USERPROFILE%\AppData\Local\Temp\OnboardLogs"\RTDC4040\2016-11-25 &amp; aws s3 cp s3://rtdc.mdm.uploadarchive.raw/RTDC4040/ "%USERPROFILE%\AppData\Local\Temp\OnboardLogs"\RTDC4040\2016-11-26 --exclude "*" --recursive --include "*20161126*" &amp; "%USERPROFILE%\Documents\GitHub\mrs-test-scripts\Headless Mode &amp; Sideloading\WalkAndUnGZ.bat" "%USERPROFILE%\AppData\Local\Temp\OnboardLogs"\RTDC4040\2016-11-26</t>
  </si>
  <si>
    <t>aws s3 cp s3://rtdc.mdm.uploadarchive.raw/RTDC4039/ "%USERPROFILE%\AppData\Local\Temp\OnboardLogs"\RTDC4039\2016-11-25 --exclude "*" --recursive --include "*20161125*" &amp; "%USERPROFILE%\Documents\GitHub\mrs-test-scripts\Headless Mode &amp; Sideloading\WalkAndUnGZ.bat" "%USERPROFILE%\AppData\Local\Temp\OnboardLogs"\RTDC4039\2016-11-25 &amp; aws s3 cp s3://rtdc.mdm.uploadarchive.raw/RTDC4039/ "%USERPROFILE%\AppData\Local\Temp\OnboardLogs"\RTDC4039\2016-11-26 --exclude "*" --recursive --include "*20161126*" &amp; "%USERPROFILE%\Documents\GitHub\mrs-test-scripts\Headless Mode &amp; Sideloading\WalkAndUnGZ.bat" "%USERPROFILE%\AppData\Local\Temp\OnboardLogs"\RTDC4039\2016-11-26</t>
  </si>
  <si>
    <t>aws s3 cp s3://rtdc.mdm.uploadarchive.raw/RTDC4013/ "%USERPROFILE%\AppData\Local\Temp\OnboardLogs"\RTDC4013\2016-11-25 --exclude "*" --recursive --include "*20161125*" &amp; "%USERPROFILE%\Documents\GitHub\mrs-test-scripts\Headless Mode &amp; Sideloading\WalkAndUnGZ.bat" "%USERPROFILE%\AppData\Local\Temp\OnboardLogs"\RTDC4013\2016-11-25 &amp; aws s3 cp s3://rtdc.mdm.uploadarchive.raw/RTDC4013/ "%USERPROFILE%\AppData\Local\Temp\OnboardLogs"\RTDC4013\2016-11-26 --exclude "*" --recursive --include "*20161126*" &amp; "%USERPROFILE%\Documents\GitHub\mrs-test-scripts\Headless Mode &amp; Sideloading\WalkAndUnGZ.bat" "%USERPROFILE%\AppData\Local\Temp\OnboardLogs"\RTDC4013\2016-11-26</t>
  </si>
  <si>
    <t>aws s3 cp s3://rtdc.mdm.uploadarchive.raw/RTDC4009/ "%USERPROFILE%\AppData\Local\Temp\OnboardLogs"\RTDC4009\2016-11-25 --exclude "*" --recursive --include "*20161125*" &amp; "%USERPROFILE%\Documents\GitHub\mrs-test-scripts\Headless Mode &amp; Sideloading\WalkAndUnGZ.bat" "%USERPROFILE%\AppData\Local\Temp\OnboardLogs"\RTDC4009\2016-11-25 &amp; aws s3 cp s3://rtdc.mdm.uploadarchive.raw/RTDC4009/ "%USERPROFILE%\AppData\Local\Temp\OnboardLogs"\RTDC4009\2016-11-26 --exclude "*" --recursive --include "*20161126*" &amp; "%USERPROFILE%\Documents\GitHub\mrs-test-scripts\Headless Mode &amp; Sideloading\WalkAndUnGZ.bat" "%USERPROFILE%\AppData\Local\Temp\OnboardLogs"\RTDC4009\2016-11-26</t>
  </si>
  <si>
    <t>aws s3 cp s3://rtdc.mdm.uploadarchive.raw/RTDC4010/ "%USERPROFILE%\AppData\Local\Temp\OnboardLogs"\RTDC4010\2016-11-25 --exclude "*" --recursive --include "*20161125*" &amp; "%USERPROFILE%\Documents\GitHub\mrs-test-scripts\Headless Mode &amp; Sideloading\WalkAndUnGZ.bat" "%USERPROFILE%\AppData\Local\Temp\OnboardLogs"\RTDC4010\2016-11-25 &amp; aws s3 cp s3://rtdc.mdm.uploadarchive.raw/RTDC4010/ "%USERPROFILE%\AppData\Local\Temp\OnboardLogs"\RTDC4010\2016-11-26 --exclude "*" --recursive --include "*20161126*" &amp; "%USERPROFILE%\Documents\GitHub\mrs-test-scripts\Headless Mode &amp; Sideloading\WalkAndUnGZ.bat" "%USERPROFILE%\AppData\Local\Temp\OnboardLogs"\RTDC4010\2016-11-26</t>
  </si>
  <si>
    <t>aws s3 cp s3://rtdc.mdm.uploadarchive.raw/RTDC4013/ "%USERPROFILE%\AppData\Local\Temp\OnboardLogs"\RTDC4013\2016-11-26 --exclude "*" --recursive --include "*20161126*" &amp; "%USERPROFILE%\Documents\GitHub\mrs-test-scripts\Headless Mode &amp; Sideloading\WalkAndUnGZ.bat" "%USERPROFILE%\AppData\Local\Temp\OnboardLogs"\RTDC4013\2016-11-26 &amp; aws s3 cp s3://rtdc.mdm.uploadarchive.raw/RTDC4013/ "%USERPROFILE%\AppData\Local\Temp\OnboardLogs"\RTDC4013\2016-11-27 --exclude "*" --recursive --include "*20161127*" &amp; "%USERPROFILE%\Documents\GitHub\mrs-test-scripts\Headless Mode &amp; Sideloading\WalkAndUnGZ.bat" "%USERPROFILE%\AppData\Local\Temp\OnboardLogs"\RTDC4013\2016-11-27</t>
  </si>
  <si>
    <t>aws s3 cp s3://rtdc.mdm.uploadarchive.raw/RTDC4042/ "%USERPROFILE%\AppData\Local\Temp\OnboardLogs"\RTDC4042\2016-11-25 --exclude "*" --recursive --include "*20161125*" &amp; "%USERPROFILE%\Documents\GitHub\mrs-test-scripts\Headless Mode &amp; Sideloading\WalkAndUnGZ.bat" "%USERPROFILE%\AppData\Local\Temp\OnboardLogs"\RTDC4042\2016-11-25 &amp; aws s3 cp s3://rtdc.mdm.uploadarchive.raw/RTDC4042/ "%USERPROFILE%\AppData\Local\Temp\OnboardLogs"\RTDC4042\2016-11-26 --exclude "*" --recursive --include "*20161126*" &amp; "%USERPROFILE%\Documents\GitHub\mrs-test-scripts\Headless Mode &amp; Sideloading\WalkAndUnGZ.bat" "%USERPROFILE%\AppData\Local\Temp\OnboardLogs"\RTDC4042\2016-11-26</t>
  </si>
  <si>
    <t>aws s3 cp s3://rtdc.mdm.uploadarchive.raw/RTDC4003/ "%USERPROFILE%\AppData\Local\Temp\OnboardLogs"\RTDC4003\2016-11-25 --exclude "*" --recursive --include "*20161125*" &amp; "%USERPROFILE%\Documents\GitHub\mrs-test-scripts\Headless Mode &amp; Sideloading\WalkAndUnGZ.bat" "%USERPROFILE%\AppData\Local\Temp\OnboardLogs"\RTDC4003\2016-11-25 &amp; aws s3 cp s3://rtdc.mdm.uploadarchive.raw/RTDC4003/ "%USERPROFILE%\AppData\Local\Temp\OnboardLogs"\RTDC4003\2016-11-26 --exclude "*" --recursive --include "*20161126*" &amp; "%USERPROFILE%\Documents\GitHub\mrs-test-scripts\Headless Mode &amp; Sideloading\WalkAndUnGZ.bat" "%USERPROFILE%\AppData\Local\Temp\OnboardLogs"\RTDC4003\2016-11-26</t>
  </si>
  <si>
    <t>aws s3 cp s3://rtdc.mdm.uploadarchive.raw/RTDC4022/ "%USERPROFILE%\AppData\Local\Temp\OnboardLogs"\RTDC4022\2016-11-25 --exclude "*" --recursive --include "*20161125*" &amp; "%USERPROFILE%\Documents\GitHub\mrs-test-scripts\Headless Mode &amp; Sideloading\WalkAndUnGZ.bat" "%USERPROFILE%\AppData\Local\Temp\OnboardLogs"\RTDC4022\2016-11-25 &amp; aws s3 cp s3://rtdc.mdm.uploadarchive.raw/RTDC4022/ "%USERPROFILE%\AppData\Local\Temp\OnboardLogs"\RTDC4022\2016-11-26 --exclude "*" --recursive --include "*20161126*" &amp; "%USERPROFILE%\Documents\GitHub\mrs-test-scripts\Headless Mode &amp; Sideloading\WalkAndUnGZ.bat" "%USERPROFILE%\AppData\Local\Temp\OnboardLogs"\RTDC4022\2016-11-26</t>
  </si>
  <si>
    <t>Wi-MAX data drop</t>
  </si>
  <si>
    <t>RESTRICTED aspect</t>
  </si>
  <si>
    <t>Onboard in-route failure</t>
  </si>
  <si>
    <t>Did not init due to low brake pipe pressures</t>
  </si>
  <si>
    <t>Early arrival</t>
  </si>
  <si>
    <t>Early arrival (41st)</t>
  </si>
  <si>
    <t>Premature downgrade at EC0437RH 39-1T 1N</t>
  </si>
  <si>
    <t>At 21:10:49, EC0437RH 39-1T 1N downgraded from 270 to 0, this seemed like it was unintended, anything interesting in the logs?</t>
  </si>
  <si>
    <t>http://stevetu21.github.io/eaglep3/load_kml.html?kml=http://rtdc.gmaps-snips.s3.amazonaws.com/e90cb135-7c9c-4f1d-b3a0-0404a661b1f1.kml</t>
  </si>
  <si>
    <t>40th 4S STOP</t>
  </si>
  <si>
    <t>Pena 4S STOP</t>
  </si>
  <si>
    <t>http://stevetu21.github.io/eaglep3/load_kml.html?kml=http://rtdc.gmaps-snips.s3.amazonaws.com/f14ed824-c32c-44e7-96d3-adaf585257c9.kml</t>
  </si>
  <si>
    <t>http://stevetu21.github.io/eaglep3/load_kml.html?kml=http://rtdc.gmaps-snips.s3.amazonaws.com/b268b00e-cadd-4a4e-83cd-3db3e29be5ce.kml</t>
  </si>
  <si>
    <t>From 10:02 (likely earlier), DIA 2N was stuck at STOP. Do logs tell us anything notable?</t>
  </si>
  <si>
    <t>SYS :2016/11/25 11:41:48.961:ENFORCEMENT:Reactive Enforcement Action:  Target Number: 00010021  Target Speed:  15.0  Current Speed:  20.3</t>
  </si>
  <si>
    <t>SYS :2016/11/25 11:41:49.078:ENFORCEMENT:Reactive Enforcement Action:  Target Number: 00010021  Target Speed:  15.0  Current Speed:  20.3</t>
  </si>
  <si>
    <t>SYS :2016/11/25 11:41:49.844:ENFORCEMENT:Reactive Enforcement Action:  Target Number: 00010021  Target Speed:  15.0  Current Speed:  20.3</t>
  </si>
  <si>
    <t>SYS :2016/11/25 12:04:15.290:ENFORCEMENT:Reactive Enforcement Action:  Target Number: 0000640F  Target Speed:  20.0  Current Speed:  25.4</t>
  </si>
  <si>
    <t>SYS :2016/11/25 12:04:15.723:ENFORCEMENT:Reactive Enforcement Action:  Target Number: 000063F4  Target Speed:  20.0  Current Speed:  25.4</t>
  </si>
  <si>
    <t>SYS :2016/11/25 12:04:16.354:ENFORCEMENT:Reactive Enforcement Action:  Target Number: 0000600D  Target Speed:  20.0  Current Speed:  25.4</t>
  </si>
  <si>
    <t>SYS :2016/11/25 12:18:44.090:ENFORCEMENT:Predictive Enforcement Action:  Target Number: 0001027C  Target Speed:  30.0  Current Speed:  38.4</t>
  </si>
  <si>
    <t>SYS :2016/11/25 12:18:44.430:ENFORCEMENT:Predictive Enforcement Action:  Target Number: 0001022A  Target Speed:  30.0  Current Speed:  38.4</t>
  </si>
  <si>
    <t>SYS :2016/11/25 12:18:44.548:ENFORCEMENT:Predictive Enforcement Action:  Target Number: 000101E0  Target Speed:  30.0  Current Speed:  38.4</t>
  </si>
  <si>
    <t>SYS :2016/11/25 12:28:24.417:ENFORCEMENT:Predictive Enforcement Action:  Target Number: 0000102E  Target Speed:   0.0  Current Speed:  12.7</t>
  </si>
  <si>
    <t>SYS :2016/11/25 12:28:24.527:ENFORCEMENT:Predictive Enforcement Action:  Target Number: 00001029  Target Speed:   0.0  Current Speed:  12.8</t>
  </si>
  <si>
    <t>SYS :2016/11/25 12:28:25.078:ENFORCEMENT:Predictive Enforcement Action:  Target Number: 00001033  Target Speed:   0.0  Current Speed:  12.7</t>
  </si>
  <si>
    <t>SYS :2016/11/25 13:31:33.733:ENFORCEMENT:Predictive Enforcement Action:  Target Number: 0001001E  Target Speed:  15.0  Current Speed:  43.3</t>
  </si>
  <si>
    <t>SYS :2016/11/25 13:31:34.286:ENFORCEMENT:Predictive Enforcement Action:  Target Number: 0001001E  Target Speed:  15.0  Current Speed:  43.0</t>
  </si>
  <si>
    <t>SYS :2016/11/25 13:31:34.376:ENFORCEMENT:Predictive Enforcement Action:  Target Number: 0001001E  Target Speed:  15.0  Current Speed:  43.0</t>
  </si>
  <si>
    <t>SYS :2016/11/25 14:01:48.118:ENFORCEMENT:Predictive Enforcement Action:  Target Number: 00006022  Target Speed:   0.0  Current Speed:  37.7</t>
  </si>
  <si>
    <t>SYS :2016/11/25 14:01:48.296:ENFORCEMENT:Predictive Enforcement Action:  Target Number: 00006016  Target Speed:   0.0  Current Speed:  37.4</t>
  </si>
  <si>
    <t>SYS :2016/11/25 14:02:09.868:ENFORCEMENT:Predictive Enforcement Action:  Target Number: 000060A0  Target Speed:   0.0  Current Speed:  44.7</t>
  </si>
  <si>
    <t>SYS :2016/11/25 14:02:10.074:ENFORCEMENT:Predictive Enforcement Action:  Target Number: 000060A0  Target Speed:   0.0  Current Speed:  44.7</t>
  </si>
  <si>
    <t>SYS :2016/11/25 14:02:47.341:ENFORCEMENT:Predictive Enforcement Action:  Target Number: 00010075  Target Speed:  15.0  Current Speed:  31.6</t>
  </si>
  <si>
    <t>SYS :2016/11/25 14:02:47.716:ENFORCEMENT:Predictive Enforcement Action:  Target Number: 0001029A  Target Speed:  15.0  Current Speed:  31.6</t>
  </si>
  <si>
    <t>SYS :2016/11/25 14:02:48.283:ENFORCEMENT:Predictive Enforcement Action:  Target Number: 0001028F  Target Speed:  15.0  Current Speed:  31.3</t>
  </si>
  <si>
    <t>SYS :2016/11/25 14:03:40.793:ENFORCEMENT:Predictive Enforcement Action:  Target Number: 0001003D  Target Speed:  40.0  Current Speed:  50.6</t>
  </si>
  <si>
    <t>SYS :2016/11/25 14:03:41.542:ENFORCEMENT:Predictive Enforcement Action:  Target Number: 0001003C  Target Speed:  40.0  Current Speed:  49.9</t>
  </si>
  <si>
    <t>SYS :2016/11/25 14:03:42.224:ENFORCEMENT:Predictive Enforcement Action:  Target Number: 0001002B  Target Speed:  40.0  Current Speed:  49.2</t>
  </si>
  <si>
    <t>SYS :2016/11/25 14:09:40.598:ENFORCEMENT:Predictive Enforcement Action:  Target Number: 0000645F  Target Speed:   0.0  Current Speed:   8.8</t>
  </si>
  <si>
    <t>SYS :2016/11/25 14:09:40.616:ENFORCEMENT:Predictive Enforcement Action:  Target Number: 00001030  Target Speed:   0.0  Current Speed:   8.8</t>
  </si>
  <si>
    <t>SYS :2016/11/25 14:09:41.167:ENFORCEMENT:Predictive Enforcement Action:  Target Number: 0000652D  Target Speed:   0.0  Current Speed:   8.8</t>
  </si>
  <si>
    <t>SYS :2016/11/25 14:09:41.185:ENFORCEMENT:Predictive Enforcement Action:  Target Number: 0000103A  Target Speed:   0.0  Current Speed:   8.8</t>
  </si>
  <si>
    <t>SYS :2016/11/25 14:09:41.501:ENFORCEMENT:Predictive Enforcement Action:  Target Number: 00006465  Target Speed:   0.0  Current Speed:   9.6</t>
  </si>
  <si>
    <t>SYS :2016/11/25 14:09:41.519:ENFORCEMENT:Predictive Enforcement Action:  Target Number: 00001035  Target Speed:   0.0  Current Speed:   9.6</t>
  </si>
  <si>
    <t>SYS :2016/11/25 14:11:29.549:ENFORCEMENT:Predictive Enforcement Action:  Target Number: 00017024  Target Speed:  47.0  Current Speed:  55.2</t>
  </si>
  <si>
    <t>SYS :2016/11/25 14:11:30.212:ENFORCEMENT:Predictive Enforcement Action:  Target Number: 00017014  Target Speed:  47.0  Current Speed:  54.9</t>
  </si>
  <si>
    <t>SYS :2016/11/25 14:11:30.793:ENFORCEMENT:Predictive Enforcement Action:  Target Number: 00017024  Target Speed:  47.0  Current Speed:  54.9</t>
  </si>
  <si>
    <t>SYS :2016/11/25 14:36:07.406:ENFORCEMENT:Predictive Enforcement Action:  Target Number: 0000A005  Target Speed:  15.0  Current Speed:  28.4</t>
  </si>
  <si>
    <t>SYS :2016/11/25 14:36:07.478:ENFORCEMENT:Predictive Enforcement Action:  Target Number: 0000A005  Target Speed:  15.0  Current Speed:  28.4</t>
  </si>
  <si>
    <t>SYS :2016/11/25 15:08:59.069:ENFORCEMENT:Predictive Enforcement Action:  Target Number: 00001008  Target Speed:   0.0  Current Speed:   4.6</t>
  </si>
  <si>
    <t>SYS :2016/11/25 15:08:59.207:ENFORCEMENT:Predictive Enforcement Action:  Target Number: 00001004  Target Speed:   0.0  Current Speed:   4.6</t>
  </si>
  <si>
    <t>SYS :2016/11/25 15:18:48.424:ENFORCEMENT:Reactive Enforcement Action:  Target Number: 00010268  Target Speed:  40.0  Current Speed:  45.0</t>
  </si>
  <si>
    <t>SYS :2016/11/25 15:18:48.996:ENFORCEMENT:Reactive Enforcement Action:  Target Number: 00010009  Target Speed:  40.0  Current Speed:  45.0</t>
  </si>
  <si>
    <t>SYS :2016/11/25 15:18:49.539:ENFORCEMENT:Reactive Enforcement Action:  Target Number: 0001021E  Target Speed:  40.0  Current Speed:  45.0</t>
  </si>
  <si>
    <t>SYS :2016/11/25 15:20:11.479:ENFORCEMENT:Predictive Enforcement Action:  Target Number: 00001004  Target Speed:   0.0  Current Speed:   6.3</t>
  </si>
  <si>
    <t>SYS :2016/11/25 15:20:11.894:ENFORCEMENT:Predictive Enforcement Action:  Target Number: 00001004  Target Speed:   0.0  Current Speed:   6.3</t>
  </si>
  <si>
    <t>SYS :2016/11/25 15:20:12.374:ENFORCEMENT:Predictive Enforcement Action:  Target Number: 00001005  Target Speed:   0.0  Current Speed:   6.2</t>
  </si>
  <si>
    <t>SYS :2016/11/25 15:21:38.420:ENFORCEMENT:Predictive Enforcement Action:  Target Number: 00010272  Target Speed:  30.0  Current Speed:  40.9</t>
  </si>
  <si>
    <t>SYS :2016/11/25 15:21:38.542:ENFORCEMENT:Predictive Enforcement Action:  Target Number: 00010228  Target Speed:  30.0  Current Speed:  41.0</t>
  </si>
  <si>
    <t>SYS :2016/11/25 15:21:38.864:ENFORCEMENT:Predictive Enforcement Action:  Target Number: 0001000B  Target Speed:  30.0  Current Speed:  40.9</t>
  </si>
  <si>
    <t>SYS :2016/11/25 16:10:37.832:ENFORCEMENT:Predictive Enforcement Action:  Target Number: 0000100A  Target Speed:   0.0  Current Speed:   4.0</t>
  </si>
  <si>
    <t>SYS :2016/11/25 16:10:38.066:ENFORCEMENT:Predictive Enforcement Action:  Target Number: 0000100A  Target Speed:   0.0  Current Speed:   3.9</t>
  </si>
  <si>
    <t>SYS :2016/11/25 16:32:19.510:ENFORCEMENT:Reactive Enforcement Action:  Target Number: 00010077  Target Speed:  15.0  Current Speed:  20.2</t>
  </si>
  <si>
    <t>SYS :2016/11/25 16:32:19.816:ENFORCEMENT:Reactive Enforcement Action:  Target Number: 00010077  Target Speed:  15.0  Current Speed:  20.2</t>
  </si>
  <si>
    <t>SYS :2016/11/25 16:49:17.673:ENFORCEMENT:Predictive Enforcement Action:  Target Number: 00017009  Target Speed:  34.0  Current Speed:  44.3</t>
  </si>
  <si>
    <t>SYS :2016/11/25 16:49:17.874:ENFORCEMENT:Predictive Enforcement Action:  Target Number: 00017009  Target Speed:  34.0  Current Speed:  44.3</t>
  </si>
  <si>
    <t>SYS :2016/11/25 16:49:18.091:ENFORCEMENT:Predictive Enforcement Action:  Target Number: 00017009  Target Speed:  34.0  Current Speed:  44.6</t>
  </si>
  <si>
    <t>SYS :2016/11/25 17:12:44.506:ENFORCEMENT:Predictive Enforcement Action:  Target Number: 00006108  Target Speed:   0.0  Current Speed:   1.4</t>
  </si>
  <si>
    <t>SYS :2016/11/25 17:12:44.810:ENFORCEMENT:Predictive Enforcement Action:  Target Number: 00006117  Target Speed:   0.0  Current Speed:   2.2</t>
  </si>
  <si>
    <t>SYS :2016/11/25 17:20:17.284:ENFORCEMENT:Predictive Enforcement Action:  Target Number: 0000100C  Target Speed:   0.0  Current Speed:   3.9</t>
  </si>
  <si>
    <t>SYS :2016/11/25 17:20:17.570:ENFORCEMENT:Predictive Enforcement Action:  Target Number: 00001004  Target Speed:   0.0  Current Speed:   3.9</t>
  </si>
  <si>
    <t>SYS :2016/11/25 17:20:17.700:ENFORCEMENT:Predictive Enforcement Action:  Target Number: 0000100C  Target Speed:   0.0  Current Speed:   3.9</t>
  </si>
  <si>
    <t>SYS :2016/11/25 17:28:08.302:ENFORCEMENT:Predictive Enforcement Action:  Target Number: 00010090  Target Speed:  50.0  Current Speed:  57.8</t>
  </si>
  <si>
    <t>SYS :2016/11/25 17:28:08.403:ENFORCEMENT:Predictive Enforcement Action:  Target Number: 0001008F  Target Speed:  50.0  Current Speed:  57.8</t>
  </si>
  <si>
    <t>SYS :2016/11/25 17:28:08.747:ENFORCEMENT:Predictive Enforcement Action:  Target Number: 0001008F  Target Speed:  50.0  Current Speed:  57.7</t>
  </si>
  <si>
    <t>SYS :2016/11/25 17:30:48.583:ENFORCEMENT:Predictive Enforcement Action:  Target Number: 00006113  Target Speed:   0.0  Current Speed:  60.9</t>
  </si>
  <si>
    <t>SYS :2016/11/25 17:30:48.846:ENFORCEMENT:Predictive Enforcement Action:  Target Number: 000060B6  Target Speed:   0.0  Current Speed:  61.2</t>
  </si>
  <si>
    <t>SYS :2016/11/25 17:30:49.081:ENFORCEMENT:Predictive Enforcement Action:  Target Number: 00006128  Target Speed:   0.0  Current Speed:  60.9</t>
  </si>
  <si>
    <t>SYS :2016/11/25 17:44:18.928:ENFORCEMENT:Predictive Enforcement Action:  Target Number: 000060D0  Target Speed:   0.0  Current Speed:  41.2</t>
  </si>
  <si>
    <t>SYS :2016/11/25 17:44:19.695:ENFORCEMENT:Predictive Enforcement Action:  Target Number: 000060D1  Target Speed:   0.0  Current Speed:  40.8</t>
  </si>
  <si>
    <t>SYS :2016/11/25 17:44:20.102:ENFORCEMENT:Predictive Enforcement Action:  Target Number: 000060A1  Target Speed:   0.0  Current Speed:  40.8</t>
  </si>
  <si>
    <t>SYS :2016/11/25 17:54:51.856:ENFORCEMENT:Predictive Enforcement Action:  Target Number: 00001013  Target Speed:   0.0  Current Speed:  15.7</t>
  </si>
  <si>
    <t>SYS :2016/11/25 17:54:52.065:ENFORCEMENT:Predictive Enforcement Action:  Target Number: 00001013  Target Speed:   0.0  Current Speed:  15.7</t>
  </si>
  <si>
    <t>SYS :2016/11/25 17:59:11.799:ENFORCEMENT:Reactive Enforcement Action:  Target Number: 00010099  Target Speed:  70.0  Current Speed:  75.1</t>
  </si>
  <si>
    <t>SYS :2016/11/25 17:59:11.940:ENFORCEMENT:Reactive Enforcement Action:  Target Number: 0001003C  Target Speed:  70.0  Current Speed:  75.1</t>
  </si>
  <si>
    <t>SYS :2016/11/25 17:59:12.545:ENFORCEMENT:Reactive Enforcement Action:  Target Number: 00010097  Target Speed:  70.0  Current Speed:  75.1</t>
  </si>
  <si>
    <t>SYS :2016/11/25 18:28:41.420:ENFORCEMENT:Reactive Enforcement Action:  Target Number: 0000F00D  Target Speed:  79.0  Current Speed:  84.3</t>
  </si>
  <si>
    <t>SYS :2016/11/25 18:28:41.467:ENFORCEMENT:Reactive Enforcement Action:  Target Number: 00010075  Target Speed:  79.0  Current Speed:  84.3</t>
  </si>
  <si>
    <t>SYS :2016/11/25 18:28:41.506:ENFORCEMENT:Reactive Enforcement Action:  Target Number: 00010075  Target Speed:  79.0  Current Speed:  84.3</t>
  </si>
  <si>
    <t>SYS :2016/11/25 19:37:37.079:ENFORCEMENT:Predictive Enforcement Action:  Target Number: 000100C5  Target Speed:  20.0  Current Speed:  34.6</t>
  </si>
  <si>
    <t>SYS :2016/11/25 19:37:37.843:ENFORCEMENT:Predictive Enforcement Action:  Target Number: 000100C5  Target Speed:  20.0  Current Speed:  34.5</t>
  </si>
  <si>
    <t>SYS :2016/11/25 19:41:46.834:ENFORCEMENT:Predictive Enforcement Action:  Target Number: 00001010  Target Speed:   0.0  Current Speed:   4.0</t>
  </si>
  <si>
    <t>SYS :2016/11/25 19:41:47.066:ENFORCEMENT:Predictive Enforcement Action:  Target Number: 00001010  Target Speed:   0.0  Current Speed:   4.0</t>
  </si>
  <si>
    <t>SYS :2016/11/25 20:43:46.078:ENFORCEMENT:Reactive Enforcement Action:  Target Number: 000100CA  Target Speed:  35.0  Current Speed:  40.5</t>
  </si>
  <si>
    <t>SYS :2016/11/25 20:43:46.847:ENFORCEMENT:Reactive Enforcement Action:  Target Number: 000100CA  Target Speed:  35.0  Current Speed:  40.5</t>
  </si>
  <si>
    <t>SYS :2016/11/25 20:48:47.864:ENFORCEMENT:Reactive Enforcement Action:  Target Number: 000100C2  Target Speed:  30.0  Current Speed:  35.0</t>
  </si>
  <si>
    <t>SYS :2016/11/25 20:48:48.072:ENFORCEMENT:Reactive Enforcement Action:  Target Number: 000100C2  Target Speed:  30.0  Current Speed:  35.0</t>
  </si>
  <si>
    <t>SYS :2016/11/25 20:48:48.659:ENFORCEMENT:Reactive Enforcement Action:  Target Number: 000100C2  Target Speed:  30.0  Current Speed:  35.0</t>
  </si>
  <si>
    <t>SYS :2016/11/25 20:49:47.862:ENFORCEMENT:Predictive Enforcement Action:  Target Number: 0000614F  Target Speed:   0.0  Current Speed:  18.3</t>
  </si>
  <si>
    <t>SYS :2016/11/25 20:49:48.660:ENFORCEMENT:Predictive Enforcement Action:  Target Number: 00006150  Target Speed:   0.0  Current Speed:  18.3</t>
  </si>
  <si>
    <t>SYS :2016/11/25 20:49:49.086:ENFORCEMENT:Predictive Enforcement Action:  Target Number: 000060F5  Target Speed:   0.0  Current Speed:  17.6</t>
  </si>
  <si>
    <t>SYS :2016/11/25 20:51:49.855:ENFORCEMENT:Predictive Enforcement Action:  Target Number: 0000615E  Target Speed:   0.0  Current Speed:  16.5</t>
  </si>
  <si>
    <t>SYS :2016/11/25 20:51:50.666:ENFORCEMENT:Predictive Enforcement Action:  Target Number: 0000615F  Target Speed:   0.0  Current Speed:  16.5</t>
  </si>
  <si>
    <t>SYS :2016/11/25 20:51:52.061:ENFORCEMENT:Reactive Enforcement Action:  Target Number: 00006104  Target Speed:   0.0  Current Speed:  16.6</t>
  </si>
  <si>
    <t>SYS :2016/11/25 20:53:44.286:ENFORCEMENT:Predictive Enforcement Action:  Target Number: 00001011  Target Speed:   0.0  Current Speed:   8.8</t>
  </si>
  <si>
    <t>SYS :2016/11/25 21:22:15.064:ENFORCEMENT:Predictive Enforcement Action:  Target Number: 00001011  Target Speed:   0.0  Current Speed:   2.0</t>
  </si>
  <si>
    <t>SYS :2016/11/25 21:22:15.835:ENFORCEMENT:Predictive Enforcement Action:  Target Number: 00001011  Target Speed:   0.0  Current Speed:   2.0</t>
  </si>
  <si>
    <t>SYS :2016/11/25 21:23:41.422:ENFORCEMENT:Predictive Enforcement Action:  Target Number: 00017070  Target Speed:  29.0  Current Speed:  34.0</t>
  </si>
  <si>
    <t>SYS :2016/11/25 21:23:41.431:ENFORCEMENT:Predictive Enforcement Action:  Target Number: 00017070  Target Speed:  29.0  Current Speed:  34.3</t>
  </si>
  <si>
    <t>SYS :2016/11/25 21:27:17.744:ENFORCEMENT:Predictive Enforcement Action:  Target Number: 0000407C  Target Speed:   0.0  Current Speed:  31.4</t>
  </si>
  <si>
    <t>SYS :2016/11/25 21:27:18.278:ENFORCEMENT:Predictive Enforcement Action:  Target Number: 0000616B  Target Speed:   0.0  Current Speed:  31.4</t>
  </si>
  <si>
    <t>SYS :2016/11/25 21:27:18.389:ENFORCEMENT:Predictive Enforcement Action:  Target Number: 0000615D  Target Speed:   0.0  Current Speed:  31.4</t>
  </si>
  <si>
    <t>SYS :2016/11/25 21:57:51.288:ENFORCEMENT:Predictive Enforcement Action:  Target Number: 000100E4  Target Speed:  15.0  Current Speed:  20.0</t>
  </si>
  <si>
    <t>SYS :2016/11/25 21:57:51.593:ENFORCEMENT:Predictive Enforcement Action:  Target Number: 0001007C  Target Speed:  15.0  Current Speed:  20.0</t>
  </si>
  <si>
    <t>SYS :2016/11/25 21:57:51.709:ENFORCEMENT:Predictive Enforcement Action:  Target Number: 000100E4  Target Speed:  15.0  Current Speed:  20.0</t>
  </si>
  <si>
    <t>SYS :2016/11/25 22:27:08.477:ENFORCEMENT:Predictive Enforcement Action:  Target Number: 00006189  Target Speed:   0.0  Current Speed:  34.0</t>
  </si>
  <si>
    <t>SYS :2016/11/25 22:27:08.871:ENFORCEMENT:Predictive Enforcement Action:  Target Number: 0000408F  Target Speed:   0.0  Current Speed:  34.0</t>
  </si>
  <si>
    <t>SYS :2016/11/25 22:27:10.284:ENFORCEMENT:Predictive Enforcement Action:  Target Number: 0000619C  Target Speed:   0.0  Current Speed:  32.4</t>
  </si>
  <si>
    <t>SYS :2016/11/25 22:33:04.735:ENFORCEMENT:Predictive Enforcement Action:  Target Number: 0001015C  Target Speed:  15.0  Current Speed:  40.9</t>
  </si>
  <si>
    <t>SYS :2016/11/25 22:33:05.283:ENFORCEMENT:Predictive Enforcement Action:  Target Number: 0001015C  Target Speed:  15.0  Current Speed:  40.0</t>
  </si>
  <si>
    <t>SYS :2016/11/25 22:33:05.372:ENFORCEMENT:Predictive Enforcement Action:  Target Number: 0001015A  Target Speed:  15.0  Current Speed:  40.0</t>
  </si>
  <si>
    <t>SYS :2016/11/25 22:35:16.286:ENFORCEMENT:Predictive Enforcement Action:  Target Number: 00001013  Target Speed:   0.0  Current Speed:   6.5</t>
  </si>
  <si>
    <t>SYS :2016/11/25 22:35:16.573:ENFORCEMENT:Predictive Enforcement Action:  Target Number: 0000100B  Target Speed:   0.0  Current Speed:   6.5</t>
  </si>
  <si>
    <t>SYS :2016/11/25 22:35:16.694:ENFORCEMENT:Predictive Enforcement Action:  Target Number: 00001013  Target Speed:   0.0  Current Speed:   6.5</t>
  </si>
  <si>
    <t>SYS :2016/11/25 22:35:54.273:ENFORCEMENT:Predictive Enforcement Action:  Target Number: 00001030  Target Speed:   0.0  Current Speed:   5.9</t>
  </si>
  <si>
    <t>SYS :2016/11/25 22:35:54.370:ENFORCEMENT:Predictive Enforcement Action:  Target Number: 0000102F  Target Speed:   0.0  Current Speed:   5.9</t>
  </si>
  <si>
    <t>SYS :2016/11/25 22:35:54.729:ENFORCEMENT:Predictive Enforcement Action:  Target Number: 00001030  Target Speed:   0.0  Current Speed:   5.9</t>
  </si>
  <si>
    <t>SYS :2016/11/25 22:38:52.890:ENFORCEMENT:Predictive Enforcement Action:  Target Number: 000061B1  Target Speed:   0.0  Current Speed:  43.5</t>
  </si>
  <si>
    <t>SYS :2016/11/25 22:38:52.907:ENFORCEMENT:Predictive Enforcement Action:  Target Number: 000061DB  Target Speed:   0.0  Current Speed:  43.5</t>
  </si>
  <si>
    <t>SYS :2016/11/25 22:38:53.090:ENFORCEMENT:Predictive Enforcement Action:  Target Number: 000061DB  Target Speed:   0.0  Current Speed:  42.2</t>
  </si>
  <si>
    <t>SYS :2016/11/25 22:39:26.500:ENFORCEMENT:Predictive Enforcement Action:  Target Number: 0000100E  Target Speed:   0.0  Current Speed:   3.7</t>
  </si>
  <si>
    <t>SYS :2016/11/25 22:39:26.947:ENFORCEMENT:Predictive Enforcement Action:  Target Number: 00001002  Target Speed:   0.0  Current Speed:   3.7</t>
  </si>
  <si>
    <t>SYS :2016/11/25 22:39:27.022:ENFORCEMENT:Predictive Enforcement Action:  Target Number: 0000100E  Target Speed:   0.0  Current Speed:   3.7</t>
  </si>
  <si>
    <t>SYS :2016/11/25 22:49:35.882:ENFORCEMENT:Predictive Enforcement Action:  Target Number: 000061D2  Target Speed:   0.0  Current Speed:  38.5</t>
  </si>
  <si>
    <t>SYS :2016/11/25 22:49:36.084:ENFORCEMENT:Reactive Enforcement Action:  Target Number: 0000615A  Target Speed:   0.0  Current Speed:  38.5</t>
  </si>
  <si>
    <t>SYS :2016/11/25 22:49:36.885:ENFORCEMENT:Predictive Enforcement Action:  Target Number: 000061C4  Target Speed:   0.0  Current Speed:  38.5</t>
  </si>
  <si>
    <t>SYS :2016/11/25 23:08:54.171:ENFORCEMENT:Predictive Enforcement Action:  Target Number: 00017004  Target Speed:  27.0  Current Speed:  32.8</t>
  </si>
  <si>
    <t>SYS :2016/11/25 23:08:54.631:ENFORCEMENT:Predictive Enforcement Action:  Target Number: 00017004  Target Speed:  27.0  Current Speed:  32.8</t>
  </si>
  <si>
    <t>SYS :2016/11/25 23:09:25.836:ENFORCEMENT:Predictive Enforcement Action:  Target Number: 00001013  Target Speed:   0.0  Current Speed:   5.3</t>
  </si>
  <si>
    <t>SYS :2016/11/25 23:09:26.065:ENFORCEMENT:Predictive Enforcement Action:  Target Number: 00001013  Target Speed:   0.0  Current Speed:   5.3</t>
  </si>
  <si>
    <t>SYS :2016/11/25 23:19:47.101:ENFORCEMENT:Predictive Enforcement Action:  Target Number: 00001010  Target Speed:   0.0  Current Speed:   4.3</t>
  </si>
  <si>
    <t>SYS :2016/11/25 23:19:47.279:ENFORCEMENT:Predictive Enforcement Action:  Target Number: 00001010  Target Speed:   0.0  Current Speed:   4.2</t>
  </si>
  <si>
    <t>SYS :2016/11/25 23:26:21.286:ENFORCEMENT:Predictive Enforcement Action:  Target Number: 000061BD  Target Speed:   0.0  Current Speed:  29.8</t>
  </si>
  <si>
    <t>SYS :2016/11/25 23:26:21.377:ENFORCEMENT:Predictive Enforcement Action:  Target Number: 000061AD  Target Speed:   0.0  Current Speed:  29.6</t>
  </si>
  <si>
    <t>SYS :2016/11/25 23:26:21.736:ENFORCEMENT:Predictive Enforcement Action:  Target Number: 0000618B  Target Speed:   0.0  Current Speed:  29.8</t>
  </si>
  <si>
    <t>SYS :2016/11/25 23:39:38.381:ENFORCEMENT:Predictive Enforcement Action:  Target Number: 00006190  Target Speed:   0.0  Current Speed:  39.6</t>
  </si>
  <si>
    <t>SYS :2016/11/25 23:39:38.908:ENFORCEMENT:Predictive Enforcement Action:  Target Number: 000061CE  Target Speed:   0.0  Current Speed:  39.1</t>
  </si>
  <si>
    <t>SYS :2016/11/25 23:39:39.497:ENFORCEMENT:Predictive Enforcement Action:  Target Number: 000061D4  Target Speed:   0.0  Current Speed:  39.1</t>
  </si>
  <si>
    <t>SYS :2016/11/25 23:49:41.867:ENFORCEMENT:Predictive Enforcement Action:  Target Number: 000061FD  Target Speed:   0.0  Current Speed:  35.6</t>
  </si>
  <si>
    <t>SYS :2016/11/25 23:49:42.078:ENFORCEMENT:Predictive Enforcement Action:  Target Number: 00006196  Target Speed:   0.0  Current Speed:  35.6</t>
  </si>
  <si>
    <t>SYS :2016/11/25 23:49:42.668:ENFORCEMENT:Predictive Enforcement Action:  Target Number: 00006210  Target Speed:   0.0  Current Speed:  35.6</t>
  </si>
  <si>
    <t>SYS :2016/11/26 00:13:02.844:ENFORCEMENT:Reactive Enforcement Action:  Target Number: 00010110  Target Speed:  35.0  Current Speed:  40.2</t>
  </si>
  <si>
    <t>SYS :2016/11/26 00:13:03.082:ENFORCEMENT:Reactive Enforcement Action:  Target Number: 00010110  Target Speed:  35.0  Current Speed:  40.2</t>
  </si>
  <si>
    <t>SYS :2016/11/26 00:22:46.292:ENFORCEMENT:Predictive Enforcement Action:  Target Number: 00001015  Target Speed:   0.0  Current Speed:   3.8</t>
  </si>
  <si>
    <t>SYS :2016/11/26 00:22:46.572:ENFORCEMENT:Predictive Enforcement Action:  Target Number: 0000100D  Target Speed:   0.0  Current Speed:   3.8</t>
  </si>
  <si>
    <t>SYS :2016/11/26 00:22:46.699:ENFORCEMENT:Predictive Enforcement Action:  Target Number: 00001015  Target Speed:   0.0  Current Speed:   3.8</t>
  </si>
  <si>
    <t>SYS :2016/11/26 00:25:40.135:ENFORCEMENT:Predictive Enforcement Action:  Target Number: 0000100A  Target Speed:   0.0  Current Speed:   4.6</t>
  </si>
  <si>
    <t>SYS :2016/11/26 00:25:40.412:ENFORCEMENT:Predictive Enforcement Action:  Target Number: 00001041  Target Speed:   0.0  Current Speed:   4.6</t>
  </si>
  <si>
    <t>SYS :2016/11/26 00:26:32.491:ENFORCEMENT:Reactive Enforcement Action:  Target Number: 00006003  Target Speed:   0.0  Current Speed:   5.2</t>
  </si>
  <si>
    <t>SYS :2016/11/26 00:26:33.920:ENFORCEMENT:Reactive Enforcement Action:  Target Number: 00006003  Target Speed:   0.0  Current Speed:   5.2</t>
  </si>
  <si>
    <t>SYS :2016/11/26 00:26:34.019:ENFORCEMENT:Reactive Enforcement Action:  Target Number: 00006003  Target Speed:   0.0  Current Speed:   5.3</t>
  </si>
  <si>
    <t>SYS :2016/11/26 00:27:33.009:ENFORCEMENT:Reactive Enforcement Action:  Target Number: 00006003  Target Speed:   0.0  Current Speed:   0.3</t>
  </si>
  <si>
    <t>SYS :2016/11/26 00:27:33.470:ENFORCEMENT:Reactive Enforcement Action:  Target Number: 00006003  Target Speed:   0.0  Current Speed:   0.3</t>
  </si>
  <si>
    <t>SYS :2016/11/26 00:27:33.929:ENFORCEMENT:Reactive Enforcement Action:  Target Number: 00006003  Target Speed:   0.0  Current Speed:   0.3</t>
  </si>
  <si>
    <t>SYS :2016/11/26 00:49:05.862:ENFORCEMENT:Predictive Enforcement Action:  Target Number: 00006243  Target Speed:   0.0  Current Speed:  42.5</t>
  </si>
  <si>
    <t>SYS :2016/11/26 00:49:06.068:ENFORCEMENT:Predictive Enforcement Action:  Target Number: 000061DC  Target Speed:   0.0  Current Speed:  42.5</t>
  </si>
  <si>
    <t>SYS :2016/11/26 00:49:06.659:ENFORCEMENT:Predictive Enforcement Action:  Target Number: 0000624E  Target Speed:   0.0  Current Speed:  42.5</t>
  </si>
  <si>
    <t>SYS :2016/11/26 01:08:46.220:ENFORCEMENT:Predictive Enforcement Action:  Target Number: 000060B8  Target Speed:   0.0  Current Speed:   4.1</t>
  </si>
  <si>
    <t>SYS :2016/11/26 01:08:46.240:ENFORCEMENT:Predictive Enforcement Action:  Target Number: 0000100D  Target Speed:   0.0  Current Speed:   4.1</t>
  </si>
  <si>
    <t>SYS :2016/11/26 01:08:46.482:ENFORCEMENT:Predictive Enforcement Action:  Target Number: 00006528  Target Speed:   0.0  Current Speed:   4.1</t>
  </si>
  <si>
    <t>SYS :2016/11/26 01:08:46.505:ENFORCEMENT:Predictive Enforcement Action:  Target Number: 00001044  Target Speed:   0.0  Current Speed:   4.1</t>
  </si>
  <si>
    <t>SYS :2016/11/26 01:08:46.640:ENFORCEMENT:Predictive Enforcement Action:  Target Number: 00006549  Target Speed:   0.0  Current Speed:   5.2</t>
  </si>
  <si>
    <t>SYS :2016/11/26 01:08:46.675:ENFORCEMENT:Predictive Enforcement Action:  Target Number: 0000103F  Target Speed:   0.0  Current Speed:   5.2</t>
  </si>
  <si>
    <t>SYS :2016/11/26 01:27:41.790:ENFORCEMENT:Predictive Enforcement Action:  Target Number: 00001013  Target Speed:   0.0  Current Speed:   4.9</t>
  </si>
  <si>
    <t>SYS :2016/11/26 01:27:42.343:ENFORCEMENT:Predictive Enforcement Action:  Target Number: 00001013  Target Speed:   0.0  Current Speed:   4.9</t>
  </si>
  <si>
    <t>SYS :2016/11/26 01:33:09.753:ENFORCEMENT:Predictive Enforcement Action:  Target Number: 00010016  Target Speed:  15.0  Current Speed:  25.6</t>
  </si>
  <si>
    <t>SYS :2016/11/26 01:33:09.789:ENFORCEMENT:Predictive Enforcement Action:  Target Number: 00010016  Target Speed:  15.0  Current Speed:  25.6</t>
  </si>
  <si>
    <t>SYS :2016/11/26 01:36:23.164:ENFORCEMENT:Predictive Enforcement Action:  Target Number: 00001002  Target Speed:   0.0  Current Speed:   3.4</t>
  </si>
  <si>
    <t>SYS :2016/11/26 01:36:23.599:ENFORCEMENT:Predictive Enforcement Action:  Target Number: 00001002  Target Speed:   0.0  Current Speed:   3.4</t>
  </si>
  <si>
    <t>SYS :2016/11/26 01:36:23.783:ENFORCEMENT:Predictive Enforcement Action:  Target Number: 00001002  Target Speed:   0.0  Current Speed:   3.4</t>
  </si>
  <si>
    <t>SYS :2016/11/26 02:18:21.535:ENFORCEMENT:Reactive Enforcement Action:  Target Number: 00010158  Target Speed:  20.0  Current Speed:  25.0</t>
  </si>
  <si>
    <t>SYS :2016/11/26 02:18:21.792:ENFORCEMENT:Reactive Enforcement Action:  Target Number: 0001017C  Target Speed:  20.0  Current Speed:  25.0</t>
  </si>
  <si>
    <t>SYS :2016/11/26 02:31:55.353:ENFORCEMENT:Predictive Enforcement Action:  Target Number: 000062E9  Target Speed:   0.0  Current Speed:  67.1</t>
  </si>
  <si>
    <t>SYS :2016/11/26 02:31:55.796:ENFORCEMENT:Predictive Enforcement Action:  Target Number: 000062AD  Target Speed:   0.0  Current Speed:  66.9</t>
  </si>
  <si>
    <t>SYS :2016/11/26 03:35:12.779:ENFORCEMENT:Predictive Enforcement Action:  Target Number: 0000100A  Target Speed:   0.0  Current Speed:   3.2</t>
  </si>
  <si>
    <t>SYS :2016/11/26 03:35:12.804:ENFORCEMENT:Predictive Enforcement Action:  Target Number: 0000100A  Target Speed:   0.0  Current Speed:   3.2</t>
  </si>
  <si>
    <t>SYS :2016/11/26 03:35:13.126:ENFORCEMENT:Predictive Enforcement Action:  Target Number: 0000100A  Target Speed:   0.0  Current Speed:   3.2</t>
  </si>
  <si>
    <t>SYS :2016/11/26 04:10:51.376:ENFORCEMENT:Predictive Enforcement Action:  Target Number: 000062BB  Target Speed:   0.0  Current Speed:  45.8</t>
  </si>
  <si>
    <t>SYS :2016/11/26 04:10:51.548:ENFORCEMENT:Predictive Enforcement Action:  Target Number: 000062C5  Target Speed:   0.0  Current Speed:  45.8</t>
  </si>
  <si>
    <t>SYS :2016/11/26 04:49:33.504:ENFORCEMENT:Predictive Enforcement Action:  Target Number: 00017009  Target Speed:   0.0  Current Speed:  38.2</t>
  </si>
  <si>
    <t>SYS :2016/11/26 04:49:34.406:ENFORCEMENT:Predictive Enforcement Action:  Target Number: 00017009  Target Speed:   0.0  Current Speed:  38.0</t>
  </si>
  <si>
    <t>SYS :2016/11/26 05:06:38.357:ENFORCEMENT:Predictive Enforcement Action:  Target Number: 00010195  Target Speed:  20.0  Current Speed:  26.4</t>
  </si>
  <si>
    <t>SYS :2016/11/26 05:06:38.798:ENFORCEMENT:Predictive Enforcement Action:  Target Number: 00010190  Target Speed:  20.0  Current Speed:  26.3</t>
  </si>
  <si>
    <t>SYS :2016/11/26 08:39:23.271:ENFORCEMENT:Predictive Enforcement Action:  Target Number: 0000101F  Target Speed:   0.0  Current Speed:   7.3</t>
  </si>
  <si>
    <t>SYS :2016/11/26 08:39:23.304:ENFORCEMENT:Predictive Enforcement Action:  Target Number: 00001005  Target Speed:   0.0  Current Speed:   7.3</t>
  </si>
  <si>
    <t>SYS :2016/11/26 08:39:24.099:ENFORCEMENT:Predictive Enforcement Action:  Target Number: 0000101F  Target Speed:   0.0  Current Speed:   7.3</t>
  </si>
  <si>
    <t xml:space="preserve"> </t>
  </si>
  <si>
    <t>DIA 2N / PSS / Efficiency test</t>
  </si>
  <si>
    <t>Enforced for target over 2.5 miles away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</si>
</sst>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  <xf numFmtId="169" fontId="20" fillId="0" borderId="0" applyNumberFormat="0" applyFill="0" applyBorder="0" applyAlignment="0" applyProtection="0"/>
  </cellStyleXfs>
  <cellXfs count="187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0" fontId="1" fillId="0" borderId="0" xfId="0" applyNumberFormat="1" applyFont="1"/>
    <xf numFmtId="0" fontId="0" fillId="0" borderId="0" xfId="0" applyNumberForma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0" xfId="0" applyNumberFormat="1" applyBorder="1"/>
    <xf numFmtId="0" fontId="0" fillId="0" borderId="5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0" fillId="0" borderId="0" xfId="4" applyFill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5">
    <cellStyle name="Hyperlink" xfId="4" builtinId="8"/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tevetu21.github.io/eaglep3/load_kml.html?kml=http://rtdc.gmaps-snips.s3.amazonaws.com/e90cb135-7c9c-4f1d-b3a0-0404a661b1f1.kml" TargetMode="Externa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53"/>
  <sheetViews>
    <sheetView tabSelected="1" topLeftCell="A164" workbookViewId="0">
      <selection activeCell="R201" sqref="R201"/>
    </sheetView>
  </sheetViews>
  <sheetFormatPr defaultRowHeight="15" x14ac:dyDescent="0.25"/>
  <cols>
    <col min="1" max="1" width="8" style="39" customWidth="1"/>
    <col min="2" max="2" width="6.140625" style="41" customWidth="1"/>
    <col min="3" max="3" width="13.5703125" style="28" hidden="1" customWidth="1"/>
    <col min="4" max="4" width="16.140625" style="28" hidden="1" customWidth="1"/>
    <col min="5" max="5" width="19.5703125" style="38" hidden="1" customWidth="1"/>
    <col min="6" max="6" width="18.28515625" style="38" customWidth="1"/>
    <col min="7" max="7" width="4.85546875" style="41" hidden="1" customWidth="1"/>
    <col min="8" max="8" width="22.140625" style="38" hidden="1" customWidth="1"/>
    <col min="9" max="9" width="18.5703125" style="38" customWidth="1"/>
    <col min="10" max="10" width="7.28515625" style="41" customWidth="1"/>
    <col min="11" max="11" width="10.42578125" style="28" customWidth="1"/>
    <col min="12" max="12" width="13.28515625" style="28" customWidth="1"/>
    <col min="13" max="13" width="9.5703125" style="40" customWidth="1"/>
    <col min="14" max="14" width="2.85546875" style="41" customWidth="1"/>
    <col min="15" max="15" width="2.85546875" style="2" customWidth="1"/>
    <col min="16" max="16" width="3.42578125" style="2" customWidth="1"/>
    <col min="17" max="17" width="3.7109375" hidden="1" customWidth="1"/>
    <col min="18" max="18" width="30.5703125" customWidth="1"/>
    <col min="19" max="19" width="6" style="21" customWidth="1"/>
    <col min="20" max="20" width="3.85546875" customWidth="1"/>
    <col min="21" max="21" width="5" style="165" customWidth="1"/>
    <col min="22" max="22" width="5.7109375" style="96" customWidth="1"/>
    <col min="23" max="23" width="3.85546875" style="20" customWidth="1"/>
    <col min="24" max="24" width="6.5703125" style="175" customWidth="1"/>
    <col min="25" max="25" width="11.5703125" style="65" bestFit="1" customWidth="1"/>
    <col min="26" max="26" width="7.28515625" style="65" customWidth="1"/>
    <col min="27" max="27" width="9.140625" style="65"/>
    <col min="28" max="28" width="10.7109375" style="62" hidden="1" customWidth="1"/>
    <col min="29" max="29" width="9.42578125" style="56" hidden="1" customWidth="1"/>
    <col min="30" max="30" width="7.85546875" style="57" customWidth="1"/>
    <col min="31" max="31" width="4.5703125" style="89" customWidth="1"/>
    <col min="32" max="32" width="6.28515625" style="86" customWidth="1"/>
    <col min="33" max="33" width="5.42578125" customWidth="1"/>
    <col min="34" max="34" width="5" style="92" customWidth="1"/>
    <col min="35" max="35" width="5.7109375" style="111" customWidth="1"/>
    <col min="36" max="36" width="9.85546875" customWidth="1"/>
    <col min="37" max="37" width="7.7109375" customWidth="1"/>
    <col min="38" max="38" width="7.85546875" customWidth="1"/>
  </cols>
  <sheetData>
    <row r="1" spans="1:91" s="21" customFormat="1" ht="15.75" thickBot="1" x14ac:dyDescent="0.3">
      <c r="A1" s="39"/>
      <c r="B1" s="41"/>
      <c r="C1" s="28"/>
      <c r="D1" s="28"/>
      <c r="E1" s="38"/>
      <c r="F1" s="38"/>
      <c r="G1" s="41"/>
      <c r="H1" s="38"/>
      <c r="I1" s="38" t="s">
        <v>105</v>
      </c>
      <c r="J1" s="41"/>
      <c r="K1" s="28"/>
      <c r="L1" s="28"/>
      <c r="M1" s="40"/>
      <c r="N1" s="41"/>
      <c r="O1" s="2"/>
      <c r="P1" s="2"/>
      <c r="R1" s="38" t="s">
        <v>106</v>
      </c>
      <c r="S1" s="41"/>
      <c r="T1" s="28"/>
      <c r="U1" s="166"/>
      <c r="V1" s="40"/>
      <c r="W1" s="41"/>
      <c r="X1" s="165"/>
      <c r="Y1" s="65"/>
      <c r="Z1" s="65"/>
      <c r="AA1" s="65"/>
      <c r="AB1" s="62"/>
      <c r="AC1" s="56"/>
      <c r="AD1" s="57"/>
      <c r="AE1" s="1"/>
      <c r="AF1" s="1"/>
      <c r="AG1" s="1"/>
      <c r="AH1" s="53"/>
      <c r="AI1" s="1"/>
    </row>
    <row r="2" spans="1:91" s="21" customFormat="1" ht="15.75" thickBot="1" x14ac:dyDescent="0.3">
      <c r="A2" s="39"/>
      <c r="B2" s="41"/>
      <c r="C2" s="28"/>
      <c r="D2" s="28"/>
      <c r="E2" s="38"/>
      <c r="F2" s="38"/>
      <c r="G2" s="41"/>
      <c r="H2" s="38"/>
      <c r="I2" s="71">
        <f>Variables!$A$2</f>
        <v>42699</v>
      </c>
      <c r="J2" s="72"/>
      <c r="K2" s="73"/>
      <c r="L2" s="73"/>
      <c r="M2" s="74" t="s">
        <v>8</v>
      </c>
      <c r="N2" s="75"/>
      <c r="O2" s="76"/>
      <c r="P2" s="2"/>
      <c r="R2" s="71">
        <f>Variables!$A$2</f>
        <v>42699</v>
      </c>
      <c r="S2" s="72"/>
      <c r="T2" s="73"/>
      <c r="U2" s="167"/>
      <c r="V2" s="94" t="s">
        <v>8</v>
      </c>
      <c r="W2" s="75"/>
      <c r="X2" s="172"/>
      <c r="Y2" s="65"/>
      <c r="Z2" s="65"/>
      <c r="AA2" s="65"/>
      <c r="AB2" s="62"/>
      <c r="AC2" s="56"/>
      <c r="AD2" s="57"/>
      <c r="AE2" s="1"/>
      <c r="AF2" s="1"/>
      <c r="AG2" s="1"/>
      <c r="AH2" s="53"/>
      <c r="AI2" s="1"/>
    </row>
    <row r="3" spans="1:91" s="21" customFormat="1" ht="15.75" thickBot="1" x14ac:dyDescent="0.3">
      <c r="A3" s="39"/>
      <c r="B3" s="41"/>
      <c r="C3" s="28"/>
      <c r="D3" s="28"/>
      <c r="E3" s="38"/>
      <c r="F3" s="38"/>
      <c r="G3" s="41"/>
      <c r="H3" s="38"/>
      <c r="I3" s="77" t="s">
        <v>10</v>
      </c>
      <c r="J3" s="78"/>
      <c r="K3" s="79"/>
      <c r="L3" s="79"/>
      <c r="M3" s="42" t="s">
        <v>11</v>
      </c>
      <c r="N3" s="43" t="s">
        <v>12</v>
      </c>
      <c r="O3" s="3" t="s">
        <v>13</v>
      </c>
      <c r="P3" s="2"/>
      <c r="R3" s="77" t="s">
        <v>10</v>
      </c>
      <c r="S3" s="78"/>
      <c r="T3" s="79"/>
      <c r="U3" s="168"/>
      <c r="V3" s="42" t="s">
        <v>11</v>
      </c>
      <c r="W3" s="43" t="s">
        <v>12</v>
      </c>
      <c r="X3" s="173" t="s">
        <v>13</v>
      </c>
      <c r="Y3" s="65"/>
      <c r="Z3" s="65"/>
      <c r="AA3" s="65"/>
      <c r="AB3" s="62"/>
      <c r="AC3" s="56"/>
      <c r="AD3" s="57"/>
      <c r="AE3" s="1"/>
      <c r="AF3" s="1"/>
      <c r="AG3" s="1"/>
      <c r="AH3" s="53"/>
      <c r="AI3" s="1"/>
    </row>
    <row r="4" spans="1:91" s="21" customFormat="1" ht="15.75" thickBot="1" x14ac:dyDescent="0.3">
      <c r="A4" s="39"/>
      <c r="B4" s="41"/>
      <c r="C4" s="28"/>
      <c r="D4" s="28"/>
      <c r="E4" s="38"/>
      <c r="F4" s="38"/>
      <c r="G4" s="41"/>
      <c r="H4" s="38"/>
      <c r="I4" s="80" t="s">
        <v>14</v>
      </c>
      <c r="J4" s="55">
        <f>SUM(J5:J7)</f>
        <v>146</v>
      </c>
      <c r="K4" s="44"/>
      <c r="L4" s="44"/>
      <c r="M4" s="45" t="s">
        <v>15</v>
      </c>
      <c r="N4" s="43" t="s">
        <v>15</v>
      </c>
      <c r="O4" s="3" t="s">
        <v>15</v>
      </c>
      <c r="P4" s="2"/>
      <c r="R4" s="80" t="s">
        <v>14</v>
      </c>
      <c r="S4" s="55">
        <f>SUM(S5:S7)</f>
        <v>47</v>
      </c>
      <c r="T4" s="44"/>
      <c r="U4" s="169"/>
      <c r="V4" s="45" t="s">
        <v>15</v>
      </c>
      <c r="W4" s="43" t="s">
        <v>15</v>
      </c>
      <c r="X4" s="173" t="s">
        <v>15</v>
      </c>
      <c r="Y4" s="65"/>
      <c r="Z4" s="65"/>
      <c r="AA4" s="65"/>
      <c r="AB4" s="62"/>
      <c r="AC4" s="56"/>
      <c r="AD4" s="57"/>
      <c r="AE4" s="1"/>
      <c r="AF4" s="1"/>
      <c r="AG4" s="1"/>
      <c r="AH4" s="53"/>
      <c r="AI4" s="1"/>
    </row>
    <row r="5" spans="1:91" s="21" customFormat="1" ht="15.75" thickBot="1" x14ac:dyDescent="0.3">
      <c r="A5" s="39"/>
      <c r="B5" s="41"/>
      <c r="C5" s="28"/>
      <c r="D5" s="28"/>
      <c r="E5" s="38"/>
      <c r="F5" s="38"/>
      <c r="G5" s="41"/>
      <c r="H5" s="38"/>
      <c r="I5" s="80" t="s">
        <v>17</v>
      </c>
      <c r="J5" s="55">
        <f>COUNTIFS($N$13:$N$9377,"&gt;0",$AG$13:$AG$9377,I1)</f>
        <v>144</v>
      </c>
      <c r="K5" s="44"/>
      <c r="L5" s="44"/>
      <c r="M5" s="45">
        <f>AVERAGEIFS($N$13:$N$9377,$AG$13:$AG$9377,I1)</f>
        <v>38.603356481617084</v>
      </c>
      <c r="N5" s="43">
        <f t="array" ref="N5">MIN(IF($AG$13:$AG$9377=I1,IF(ISNUMBER($N$13:$N$9377),IF($N$13:$N$9377&gt;0,$N$13:$N$9377))))</f>
        <v>33.616666666930541</v>
      </c>
      <c r="O5" s="3">
        <f t="array" ref="O5">MAX(IF($AG$13:$AG$9377=I1,IF(ISNUMBER($N$13:$N$9377),IF($N$13:$N$9377&gt;0,$N$13:$N$9377))))</f>
        <v>46.933333334745839</v>
      </c>
      <c r="P5" s="2"/>
      <c r="R5" s="80" t="s">
        <v>17</v>
      </c>
      <c r="S5" s="55">
        <f>COUNTIFS($N$13:$N$9377,"&gt;0",$AG$13:$AG$9377,R1)</f>
        <v>41</v>
      </c>
      <c r="T5" s="44"/>
      <c r="U5" s="169"/>
      <c r="V5" s="45">
        <f>AVERAGEIFS($N$13:$N$9377,$AG$13:$AG$9377,R1)</f>
        <v>14.723577235382415</v>
      </c>
      <c r="W5" s="43">
        <f t="array" ref="W5">MIN(IF($AG$13:$AG$9377=R1,IF(ISNUMBER($N$13:$N$9377),IF($N$13:$N$9377&gt;0,$N$13:$N$9377))))</f>
        <v>11.999999997206032</v>
      </c>
      <c r="X5" s="173">
        <f t="array" ref="X5">MAX(IF($AG$13:$AG$9377=R1,IF(ISNUMBER($N$13:$N$9377),IF($N$13:$N$9377&gt;0,$N$13:$N$9377))))</f>
        <v>20.416666661622003</v>
      </c>
      <c r="Y5" s="65"/>
      <c r="Z5" s="65"/>
      <c r="AA5" s="65"/>
      <c r="AB5" s="62"/>
      <c r="AC5" s="56"/>
      <c r="AD5" s="57"/>
      <c r="AE5" s="1"/>
      <c r="AF5" s="1"/>
      <c r="AG5" s="1"/>
      <c r="AH5" s="53"/>
      <c r="AI5" s="1"/>
    </row>
    <row r="6" spans="1:91" s="21" customFormat="1" ht="15.75" thickBot="1" x14ac:dyDescent="0.3">
      <c r="A6" s="39"/>
      <c r="B6" s="41"/>
      <c r="C6" s="28"/>
      <c r="D6" s="28"/>
      <c r="E6" s="38"/>
      <c r="F6" s="38"/>
      <c r="G6" s="41"/>
      <c r="H6" s="38"/>
      <c r="I6" s="81" t="s">
        <v>43</v>
      </c>
      <c r="J6" s="55">
        <f>COUNT($O$13:$O$154)</f>
        <v>0</v>
      </c>
      <c r="K6" s="44"/>
      <c r="L6" s="44"/>
      <c r="M6" s="45">
        <f>IFERROR(AVERAGE($O$13:$O$154),0)</f>
        <v>0</v>
      </c>
      <c r="N6" s="43">
        <f>MIN($O$13:$O$154)</f>
        <v>0</v>
      </c>
      <c r="O6" s="3">
        <f>MAX($O$13:$O$154)</f>
        <v>0</v>
      </c>
      <c r="P6" s="2"/>
      <c r="R6" s="81" t="s">
        <v>43</v>
      </c>
      <c r="S6" s="55">
        <f>COUNT($O$13:$O$154)</f>
        <v>0</v>
      </c>
      <c r="T6" s="44"/>
      <c r="U6" s="169"/>
      <c r="V6" s="45">
        <f>IFERROR(AVERAGE($O$13:$O$154),0)</f>
        <v>0</v>
      </c>
      <c r="W6" s="43">
        <f>MIN($O$13:$O$154)</f>
        <v>0</v>
      </c>
      <c r="X6" s="173">
        <f>MAX($O$13:$O$154)</f>
        <v>0</v>
      </c>
      <c r="Y6" s="65"/>
      <c r="Z6" s="65"/>
      <c r="AA6" s="65"/>
      <c r="AB6" s="62"/>
      <c r="AC6" s="56"/>
      <c r="AD6" s="57"/>
      <c r="AE6" s="1"/>
      <c r="AF6" s="1"/>
      <c r="AG6" s="1"/>
      <c r="AH6" s="53"/>
      <c r="AI6" s="1"/>
    </row>
    <row r="7" spans="1:91" s="21" customFormat="1" ht="15.75" thickBot="1" x14ac:dyDescent="0.3">
      <c r="A7" s="39"/>
      <c r="B7" s="41"/>
      <c r="C7" s="28"/>
      <c r="D7" s="28"/>
      <c r="E7" s="38"/>
      <c r="F7" s="38"/>
      <c r="G7" s="41"/>
      <c r="H7" s="38"/>
      <c r="I7" s="82" t="s">
        <v>9</v>
      </c>
      <c r="J7" s="55">
        <f>COUNTIFS($P$13:$P$9377,"&gt;0",$AG$13:$AG$9377,I1)</f>
        <v>2</v>
      </c>
      <c r="K7" s="44"/>
      <c r="L7" s="44"/>
      <c r="M7" s="43" t="s">
        <v>15</v>
      </c>
      <c r="N7" s="43" t="s">
        <v>15</v>
      </c>
      <c r="O7" s="3" t="s">
        <v>15</v>
      </c>
      <c r="P7" s="2"/>
      <c r="R7" s="82" t="s">
        <v>9</v>
      </c>
      <c r="S7" s="55">
        <f>COUNTIFS($P$13:$P$9377,"&gt;0",$AG$13:$AG$9377,R1)</f>
        <v>6</v>
      </c>
      <c r="T7" s="44"/>
      <c r="U7" s="169"/>
      <c r="V7" s="45" t="s">
        <v>15</v>
      </c>
      <c r="W7" s="43" t="s">
        <v>15</v>
      </c>
      <c r="X7" s="173" t="s">
        <v>15</v>
      </c>
      <c r="Y7" s="65"/>
      <c r="Z7" s="65"/>
      <c r="AA7" s="65"/>
      <c r="AB7" s="62"/>
      <c r="AC7" s="56"/>
      <c r="AD7" s="57"/>
      <c r="AE7" s="1"/>
      <c r="AF7" s="1"/>
      <c r="AG7" s="1"/>
      <c r="AH7" s="53"/>
      <c r="AI7" s="1"/>
    </row>
    <row r="8" spans="1:91" s="21" customFormat="1" ht="15.75" thickBot="1" x14ac:dyDescent="0.3">
      <c r="A8" s="39"/>
      <c r="B8" s="41"/>
      <c r="C8" s="28"/>
      <c r="D8" s="28"/>
      <c r="E8" s="38"/>
      <c r="F8" s="38"/>
      <c r="G8" s="41"/>
      <c r="H8" s="38"/>
      <c r="I8" s="80" t="s">
        <v>16</v>
      </c>
      <c r="J8" s="55">
        <f>J5</f>
        <v>144</v>
      </c>
      <c r="K8" s="44"/>
      <c r="L8" s="44"/>
      <c r="M8" s="45">
        <f>M5</f>
        <v>38.603356481617084</v>
      </c>
      <c r="N8" s="43">
        <f>N5</f>
        <v>33.616666666930541</v>
      </c>
      <c r="O8" s="3">
        <f>O5</f>
        <v>46.933333334745839</v>
      </c>
      <c r="P8" s="2"/>
      <c r="R8" s="80" t="s">
        <v>16</v>
      </c>
      <c r="S8" s="55">
        <f>S5</f>
        <v>41</v>
      </c>
      <c r="T8" s="44"/>
      <c r="U8" s="169"/>
      <c r="V8" s="45">
        <f>V5</f>
        <v>14.723577235382415</v>
      </c>
      <c r="W8" s="43">
        <f>W5</f>
        <v>11.999999997206032</v>
      </c>
      <c r="X8" s="173">
        <f>X5</f>
        <v>20.416666661622003</v>
      </c>
      <c r="Y8" s="65"/>
      <c r="Z8" s="65"/>
      <c r="AA8" s="65"/>
      <c r="AB8" s="62"/>
      <c r="AC8" s="56"/>
      <c r="AD8" s="57"/>
      <c r="AE8" s="1"/>
      <c r="AF8" s="1"/>
      <c r="AG8" s="1"/>
      <c r="AH8" s="53"/>
      <c r="AI8" s="1"/>
    </row>
    <row r="9" spans="1:91" s="21" customFormat="1" ht="15.75" thickBot="1" x14ac:dyDescent="0.3">
      <c r="A9" s="39"/>
      <c r="B9" s="41"/>
      <c r="C9" s="28"/>
      <c r="D9" s="28"/>
      <c r="E9" s="38"/>
      <c r="F9" s="38"/>
      <c r="G9" s="41"/>
      <c r="H9" s="38"/>
      <c r="I9" s="80" t="s">
        <v>19</v>
      </c>
      <c r="J9" s="146">
        <f>J8/J4</f>
        <v>0.98630136986301364</v>
      </c>
      <c r="K9" s="46"/>
      <c r="L9" s="46"/>
      <c r="M9" s="83"/>
      <c r="N9" s="41"/>
      <c r="O9" s="84"/>
      <c r="P9" s="2"/>
      <c r="R9" s="80" t="s">
        <v>19</v>
      </c>
      <c r="S9" s="146">
        <f>S8/S4</f>
        <v>0.87234042553191493</v>
      </c>
      <c r="T9" s="46"/>
      <c r="U9" s="166"/>
      <c r="V9" s="83"/>
      <c r="W9" s="41"/>
      <c r="X9" s="174"/>
      <c r="Y9" s="65"/>
      <c r="Z9" s="65"/>
      <c r="AA9" s="65"/>
      <c r="AB9" s="62"/>
      <c r="AC9" s="56"/>
      <c r="AD9" s="57"/>
      <c r="AE9" s="1"/>
      <c r="AF9" s="1"/>
      <c r="AG9" s="1"/>
      <c r="AH9" s="53"/>
      <c r="AI9" s="1"/>
    </row>
    <row r="10" spans="1:91" s="21" customFormat="1" x14ac:dyDescent="0.25">
      <c r="A10" s="39"/>
      <c r="B10" s="41"/>
      <c r="C10" s="28"/>
      <c r="D10" s="28"/>
      <c r="E10" s="38"/>
      <c r="F10" s="38"/>
      <c r="G10" s="41"/>
      <c r="H10" s="38"/>
      <c r="I10" s="38"/>
      <c r="J10" s="41"/>
      <c r="K10" s="28"/>
      <c r="L10" s="28"/>
      <c r="M10" s="40"/>
      <c r="N10" s="41"/>
      <c r="O10" s="2"/>
      <c r="P10" s="2"/>
      <c r="U10" s="165"/>
      <c r="V10" s="95"/>
      <c r="W10" s="20"/>
      <c r="X10" s="175"/>
      <c r="Y10" s="65"/>
      <c r="Z10" s="65"/>
      <c r="AA10" s="65"/>
      <c r="AB10" s="62"/>
      <c r="AC10" s="56"/>
      <c r="AD10" s="57"/>
      <c r="AE10" s="1"/>
      <c r="AF10" s="1"/>
      <c r="AG10" s="1"/>
      <c r="AH10" s="53"/>
      <c r="AI10" s="1"/>
    </row>
    <row r="11" spans="1:91" ht="16.5" thickBot="1" x14ac:dyDescent="0.3">
      <c r="A11" s="185" t="str">
        <f>"Eagle P3 System Performance - "&amp;TEXT(Variables!A2,"yyyy-mm-dd")</f>
        <v>Eagle P3 System Performance - 2016-11-25</v>
      </c>
      <c r="B11" s="185"/>
      <c r="C11" s="185"/>
      <c r="D11" s="185"/>
      <c r="E11" s="185"/>
      <c r="F11" s="185"/>
      <c r="G11" s="185"/>
      <c r="H11" s="185"/>
      <c r="I11" s="185"/>
      <c r="J11" s="185"/>
      <c r="K11" s="185"/>
      <c r="L11" s="185"/>
      <c r="M11" s="185"/>
      <c r="N11" s="185"/>
      <c r="O11" s="185"/>
      <c r="P11" s="185"/>
      <c r="S11" s="69">
        <f>AVERAGE(S13:S103)</f>
        <v>0.98425925925925917</v>
      </c>
      <c r="V11" s="95"/>
      <c r="AE11" s="1"/>
      <c r="AF11" s="1"/>
      <c r="AG11" s="1"/>
      <c r="AH11" s="53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85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54" t="s">
        <v>64</v>
      </c>
      <c r="U12" s="170" t="s">
        <v>65</v>
      </c>
      <c r="V12" s="97" t="s">
        <v>45</v>
      </c>
      <c r="W12" s="51" t="s">
        <v>23</v>
      </c>
      <c r="X12" s="176" t="s">
        <v>48</v>
      </c>
      <c r="Y12" s="66" t="s">
        <v>20</v>
      </c>
      <c r="Z12" s="66" t="s">
        <v>21</v>
      </c>
      <c r="AA12" s="66" t="s">
        <v>22</v>
      </c>
      <c r="AB12" s="63" t="s">
        <v>39</v>
      </c>
      <c r="AC12" s="59" t="s">
        <v>40</v>
      </c>
      <c r="AD12" s="58" t="s">
        <v>82</v>
      </c>
      <c r="AE12" s="90" t="s">
        <v>89</v>
      </c>
      <c r="AF12" s="87" t="s">
        <v>94</v>
      </c>
      <c r="AG12" s="4" t="s">
        <v>107</v>
      </c>
      <c r="AH12" s="93" t="s">
        <v>109</v>
      </c>
      <c r="AI12" s="118" t="s">
        <v>148</v>
      </c>
      <c r="AJ12" s="51" t="s">
        <v>149</v>
      </c>
      <c r="AK12" s="51" t="s">
        <v>122</v>
      </c>
      <c r="AL12" s="51" t="s">
        <v>150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7" t="s">
        <v>465</v>
      </c>
      <c r="B13" s="7">
        <v>4040</v>
      </c>
      <c r="C13" s="22" t="s">
        <v>217</v>
      </c>
      <c r="D13" s="22" t="s">
        <v>351</v>
      </c>
      <c r="E13" s="13">
        <v>42699.131597222222</v>
      </c>
      <c r="F13" s="13">
        <v>42699.135694444441</v>
      </c>
      <c r="G13" s="7">
        <v>1</v>
      </c>
      <c r="H13" s="22" t="s">
        <v>634</v>
      </c>
      <c r="I13" s="13">
        <v>42699.160949074074</v>
      </c>
      <c r="J13" s="7">
        <v>0</v>
      </c>
      <c r="K13" s="109" t="str">
        <f t="shared" ref="K13:K76" si="0">IF(ISEVEN(B13),(B13-1)&amp;"/"&amp;B13,B13&amp;"/"&amp;(B13+1))</f>
        <v>4039/4040</v>
      </c>
      <c r="L13" s="22" t="str">
        <f>VLOOKUP(A13,'Trips&amp;Operators'!$C$1:$E$10000,3,FALSE)</f>
        <v>MAELZER</v>
      </c>
      <c r="M13" s="6">
        <f t="shared" ref="M13:M76" si="1">I13-F13</f>
        <v>2.5254629632399883E-2</v>
      </c>
      <c r="N13" s="7">
        <f t="shared" ref="N13:P76" si="2">24*60*SUM($M13:$M13)</f>
        <v>36.366666670655832</v>
      </c>
      <c r="O13" s="7"/>
      <c r="P13" s="7"/>
      <c r="Q13" s="23"/>
      <c r="R13" s="23"/>
      <c r="S13" s="35">
        <f t="shared" ref="S13:S76" si="3">SUM(U13:U13)/IF(AG13="EC",12,1)</f>
        <v>1</v>
      </c>
      <c r="T13" s="50" t="str">
        <f t="shared" ref="T13:T76" si="4">IF(ISEVEN(LEFT(AD13,4)),"Southbound","NorthBound")</f>
        <v>NorthBound</v>
      </c>
      <c r="U13" s="171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98" t="str">
        <f t="shared" ref="V13:V76" si="5">"https://search-rtdc-monitor-bjffxe2xuh6vdkpspy63sjmuny.us-east-1.es.amazonaws.com/_plugin/kibana/#/discover/Steve-Slow-Train-Analysis-(2080s-and-2083s)?_g=(refreshInterval:(display:Off,section:0,value:0),time:(from:'"&amp;TEXT(E13-1/24,"yyyy-MM-DD hh:mm:ss")&amp;utc_offset&amp;"00',mode:absolute,to:'"&amp;TEXT(I13+1/24,"yyyy-MM-DD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https://search-rtdc-monitor-bjffxe2xuh6vdkpspy63sjmuny.us-east-1.es.amazonaws.com/_plugin/kibana/#/discover/Steve-Slow-Train-Analysis-(2080s-and-2083s)?_g=(refreshInterval:(display:Off,section:0,value:0),time:(from:'2016-11-25 02:09:30-700',mode:absolute,to:'2016-11-25 04:51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3" s="52" t="str">
        <f t="shared" ref="W13:W76" si="6">IF(AA13&lt;IF(AG13="EC",23,5.65),"Y","N")</f>
        <v>N</v>
      </c>
      <c r="X13" s="177" t="e">
        <f t="shared" ref="X13:X76" si="7">VALUE(LEFT(AD13,4))-VALUE(LEFT(AD12,4))</f>
        <v>#VALUE!</v>
      </c>
      <c r="Y13" s="67">
        <f t="shared" ref="Y13:Y76" si="8">RIGHT(D13,LEN(D13)-4)/10000</f>
        <v>7.4800000000000005E-2</v>
      </c>
      <c r="Z13" s="67">
        <f t="shared" ref="Z13:Z76" si="9">RIGHT(H13,LEN(H13)-4)/10000</f>
        <v>23.3355</v>
      </c>
      <c r="AA13" s="67">
        <f t="shared" ref="AA13:AA76" si="10">ABS(Z13-Y13)</f>
        <v>23.2607</v>
      </c>
      <c r="AB13" s="64" t="e">
        <f>VLOOKUP(A13,Enforcements!$C$7:$K$20,8,0)</f>
        <v>#N/A</v>
      </c>
      <c r="AC13" s="60" t="e">
        <f>VLOOKUP(A13,Enforcements!$C$7:$E$20,3,0)</f>
        <v>#N/A</v>
      </c>
      <c r="AD13" s="61" t="str">
        <f t="shared" ref="AD13:AD76" si="11">IF(LEN(A13)=6,"0"&amp;A13,A13)</f>
        <v>0101-25</v>
      </c>
      <c r="AE13" s="91" t="str">
        <f t="shared" ref="AE13:AE76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s3://rtdc.mdm.uploadarchive.raw/RTDC4040/ "%USERPROFILE%\AppData\Local\Temp\OnboardLogs"\RTDC4040\2016-11-25 --exclude "*" --recursive --include "*20161125*" &amp; "%USERPROFILE%\Documents\GitHub\mrs-test-scripts\Headless Mode &amp; Sideloading\WalkAndUnGZ.bat" "%USERPROFILE%\AppData\Local\Temp\OnboardLogs"\RTDC4040\2016-11-25 &amp; aws s3 cp s3://rtdc.mdm.uploadarchive.raw/RTDC4040/ "%USERPROFILE%\AppData\Local\Temp\OnboardLogs"\RTDC4040\2016-11-26 --exclude "*" --recursive --include "*20161126*" &amp; "%USERPROFILE%\Documents\GitHub\mrs-test-scripts\Headless Mode &amp; Sideloading\WalkAndUnGZ.bat" "%USERPROFILE%\AppData\Local\Temp\OnboardLogs"\RTDC4040\2016-11-26</v>
      </c>
      <c r="AF13" s="88" t="str">
        <f t="shared" ref="AF13:AF76" si="13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/stypes="app*4040*20161125*" /stext=" 10:.+((SYSTEM_STATE.+slice.+state.+changed )|(ment ac)|(system.+state.+changed )|(\[timeout)|(PRM\|1\|D)|(kpr)|(kdp)|(\|lc)|(penalty))" /e /r /s</v>
      </c>
      <c r="AG13" s="1" t="str">
        <f t="shared" ref="AG13:AG76" si="14">IFERROR(IF(VALUE(LEFT(AD13,2))&lt;=2,"EC",IF(OR(VALUE(LEFT(AD13,2))=8,VALUE(LEFT(AD13,2))=18),"NW","Other")),"Other")</f>
        <v>EC</v>
      </c>
      <c r="AH13" s="92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101-25 --locoid 4040 --swversion DE.1.0.8.0 --startMP 204:748 --initTime 2016-11-25T03:09:30 --startdatetime 2016-11-25T03:15:24 --delay 1 --endMP 204:233355 --enddatetime 2016-11-25T03:51:46 --enforcementcount 0 &gt;&gt;C:\Users\stu\Documents\GitHub\eaglep3-reporting\EC\2016-11-25-refined-times.txt</v>
      </c>
      <c r="AI13" s="119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{"issue":{"subject":"","project_id":79,"tracker_id":40,"status_id":1,"priority_id":2,"assigned_to_id":23,"start_date":"2016-11-25","description":"","custom_fields":[{"id":1,"name":"Subdivision","value":"EC"},{"id":4,"name":"Milepost","value":"23.3355"},{"id":17,"name":"Train ID","value":"101-25"},{"id":16,"name":"Locomotive ID","value":"4040"},{"id":130,"name":"Impact","value":""},{"id":150,"name":"Time of Event (Mountain Time)","value":"03:51:46"},{"id":151,"name":"Denver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3"/>
      <c r="AK13" s="53"/>
      <c r="AL13" s="5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7" t="s">
        <v>472</v>
      </c>
      <c r="B14" s="7">
        <v>4032</v>
      </c>
      <c r="C14" s="22" t="s">
        <v>217</v>
      </c>
      <c r="D14" s="22" t="s">
        <v>635</v>
      </c>
      <c r="E14" s="13">
        <v>42699.170300925929</v>
      </c>
      <c r="F14" s="13">
        <v>42699.17460648148</v>
      </c>
      <c r="G14" s="7">
        <v>1</v>
      </c>
      <c r="H14" s="22" t="s">
        <v>224</v>
      </c>
      <c r="I14" s="13">
        <v>42699.201539351852</v>
      </c>
      <c r="J14" s="7">
        <v>0</v>
      </c>
      <c r="K14" s="109" t="str">
        <f t="shared" si="0"/>
        <v>4031/4032</v>
      </c>
      <c r="L14" s="22" t="str">
        <f>VLOOKUP(A14,'Trips&amp;Operators'!$C$1:$E$10000,3,FALSE)</f>
        <v>MAELZER</v>
      </c>
      <c r="M14" s="6">
        <f t="shared" si="1"/>
        <v>2.6932870372547768E-2</v>
      </c>
      <c r="N14" s="7">
        <f t="shared" si="2"/>
        <v>38.783333336468786</v>
      </c>
      <c r="O14" s="7"/>
      <c r="P14" s="7"/>
      <c r="Q14" s="23"/>
      <c r="R14" s="23"/>
      <c r="S14" s="35">
        <f t="shared" si="3"/>
        <v>1</v>
      </c>
      <c r="T14" s="50" t="str">
        <f t="shared" si="4"/>
        <v>Southbound</v>
      </c>
      <c r="U14" s="171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https://search-rtdc-monitor-bjffxe2xuh6vdkpspy63sjmuny.us-east-1.es.amazonaws.com/_plugin/kibana/#/discover/Steve-Slow-Train-Analysis-(2080s-and-2083s)?_g=(refreshInterval:(display:Off,section:0,value:0),time:(from:'2016-11-25 03:05:14-700',mode:absolute,to:'2016-11-25 05:50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4" s="52" t="str">
        <f t="shared" si="6"/>
        <v>N</v>
      </c>
      <c r="X14" s="177">
        <f t="shared" si="7"/>
        <v>1</v>
      </c>
      <c r="Y14" s="67">
        <f t="shared" si="8"/>
        <v>23.270600000000002</v>
      </c>
      <c r="Z14" s="67">
        <f t="shared" si="9"/>
        <v>1.4999999999999999E-2</v>
      </c>
      <c r="AA14" s="67">
        <f t="shared" si="10"/>
        <v>23.255600000000001</v>
      </c>
      <c r="AB14" s="64" t="e">
        <f>VLOOKUP(A14,Enforcements!$C$7:$K$20,8,0)</f>
        <v>#N/A</v>
      </c>
      <c r="AC14" s="60" t="e">
        <f>VLOOKUP(A14,Enforcements!$C$7:$E$20,3,0)</f>
        <v>#N/A</v>
      </c>
      <c r="AD14" s="61" t="str">
        <f t="shared" si="11"/>
        <v>0102-25</v>
      </c>
      <c r="AE14" s="91" t="str">
        <f t="shared" si="12"/>
        <v>aws s3 cp s3://rtdc.mdm.uploadarchive.raw/RTDC4032/ "%USERPROFILE%\AppData\Local\Temp\OnboardLogs"\RTDC4032\2016-11-25 --exclude "*" --recursive --include "*20161125*" &amp; "%USERPROFILE%\Documents\GitHub\mrs-test-scripts\Headless Mode &amp; Sideloading\WalkAndUnGZ.bat" "%USERPROFILE%\AppData\Local\Temp\OnboardLogs"\RTDC4032\2016-11-25 &amp; aws s3 cp s3://rtdc.mdm.uploadarchive.raw/RTDC4032/ "%USERPROFILE%\AppData\Local\Temp\OnboardLogs"\RTDC4032\2016-11-26 --exclude "*" --recursive --include "*20161126*" &amp; "%USERPROFILE%\Documents\GitHub\mrs-test-scripts\Headless Mode &amp; Sideloading\WalkAndUnGZ.bat" "%USERPROFILE%\AppData\Local\Temp\OnboardLogs"\RTDC4032\2016-11-26</v>
      </c>
      <c r="AF14" s="88" t="str">
        <f t="shared" si="13"/>
        <v>"C:\Program Files (x86)\AstroGrep\AstroGrep.exe" /spath="%USERPROFILE%\AppData\Local\Temp\OnboardLogs" /stypes="app*4032*20161125*" /stext=" 11:.+((SYSTEM_STATE.+slice.+state.+changed )|(ment ac)|(system.+state.+changed )|(\[timeout)|(PRM\|1\|D)|(kpr)|(kdp)|(\|lc)|(penalty))" /e /r /s</v>
      </c>
      <c r="AG14" s="1" t="str">
        <f t="shared" si="14"/>
        <v>EC</v>
      </c>
      <c r="AH14" s="92" t="str">
        <f t="shared" ref="AH14:AH77" si="17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102-25 --locoid 4032 --swversion DE.1.0.8.0 --startMP 204:232706 --initTime 2016-11-25T04:05:14 --startdatetime 2016-11-25T04:11:26 --delay 1 --endMP 204:150 --enddatetime 2016-11-25T04:50:13 --enforcementcount 0 &gt;&gt;C:\Users\stu\Documents\GitHub\eaglep3-reporting\EC\2016-11-25-refined-times.txt</v>
      </c>
      <c r="AI14" s="119" t="str">
        <f t="shared" ref="AI14:AI77" si="18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{"issue":{"subject":"","project_id":79,"tracker_id":40,"status_id":1,"priority_id":2,"assigned_to_id":23,"start_date":"2016-11-25","description":"","custom_fields":[{"id":1,"name":"Subdivision","value":"EC"},{"id":4,"name":"Milepost","value":"0.015"},{"id":17,"name":"Train ID","value":"102-25"},{"id":16,"name":"Locomotive ID","value":"4032"},{"id":130,"name":"Impact","value":""},{"id":150,"name":"Time of Event (Mountain Time)","value":"04:50:13"},{"id":151,"name":"Denver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3"/>
      <c r="AK14" s="53"/>
      <c r="AL14" s="53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7" t="s">
        <v>466</v>
      </c>
      <c r="B15" s="7">
        <v>4046</v>
      </c>
      <c r="C15" s="22" t="s">
        <v>217</v>
      </c>
      <c r="D15" s="22" t="s">
        <v>636</v>
      </c>
      <c r="E15" s="13">
        <v>42699.153356481482</v>
      </c>
      <c r="F15" s="13">
        <v>42699.156423611108</v>
      </c>
      <c r="G15" s="7">
        <v>1</v>
      </c>
      <c r="H15" s="22" t="s">
        <v>282</v>
      </c>
      <c r="I15" s="13">
        <v>42699.183344907404</v>
      </c>
      <c r="J15" s="7">
        <v>0</v>
      </c>
      <c r="K15" s="109" t="str">
        <f t="shared" si="0"/>
        <v>4045/4046</v>
      </c>
      <c r="L15" s="22" t="str">
        <f>VLOOKUP(A15,'Trips&amp;Operators'!$C$1:$E$10000,3,FALSE)</f>
        <v>DAVIS</v>
      </c>
      <c r="M15" s="6">
        <f t="shared" si="1"/>
        <v>2.6921296295768116E-2</v>
      </c>
      <c r="N15" s="7">
        <f t="shared" si="2"/>
        <v>38.766666665906087</v>
      </c>
      <c r="O15" s="7"/>
      <c r="P15" s="7"/>
      <c r="Q15" s="23"/>
      <c r="R15" s="23"/>
      <c r="S15" s="35">
        <f t="shared" si="3"/>
        <v>1</v>
      </c>
      <c r="T15" s="50" t="str">
        <f t="shared" si="4"/>
        <v>NorthBound</v>
      </c>
      <c r="U15" s="171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https://search-rtdc-monitor-bjffxe2xuh6vdkpspy63sjmuny.us-east-1.es.amazonaws.com/_plugin/kibana/#/discover/Steve-Slow-Train-Analysis-(2080s-and-2083s)?_g=(refreshInterval:(display:Off,section:0,value:0),time:(from:'2016-11-25 02:40:50-700',mode:absolute,to:'2016-11-25 05:24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5" s="52" t="str">
        <f t="shared" si="6"/>
        <v>N</v>
      </c>
      <c r="X15" s="177">
        <f t="shared" si="7"/>
        <v>1</v>
      </c>
      <c r="Y15" s="67">
        <f t="shared" si="8"/>
        <v>7.6999999999999999E-2</v>
      </c>
      <c r="Z15" s="67">
        <f t="shared" si="9"/>
        <v>23.332100000000001</v>
      </c>
      <c r="AA15" s="67">
        <f t="shared" si="10"/>
        <v>23.255099999999999</v>
      </c>
      <c r="AB15" s="64" t="e">
        <f>VLOOKUP(A15,Enforcements!$C$7:$K$20,8,0)</f>
        <v>#N/A</v>
      </c>
      <c r="AC15" s="60" t="e">
        <f>VLOOKUP(A15,Enforcements!$C$7:$E$20,3,0)</f>
        <v>#N/A</v>
      </c>
      <c r="AD15" s="61" t="str">
        <f t="shared" si="11"/>
        <v>0103-25</v>
      </c>
      <c r="AE15" s="91" t="str">
        <f t="shared" si="12"/>
        <v>aws s3 cp s3://rtdc.mdm.uploadarchive.raw/RTDC4046/ "%USERPROFILE%\AppData\Local\Temp\OnboardLogs"\RTDC4046\2016-11-25 --exclude "*" --recursive --include "*20161125*" &amp; "%USERPROFILE%\Documents\GitHub\mrs-test-scripts\Headless Mode &amp; Sideloading\WalkAndUnGZ.bat" "%USERPROFILE%\AppData\Local\Temp\OnboardLogs"\RTDC4046\2016-11-25 &amp; aws s3 cp s3://rtdc.mdm.uploadarchive.raw/RTDC4046/ "%USERPROFILE%\AppData\Local\Temp\OnboardLogs"\RTDC4046\2016-11-26 --exclude "*" --recursive --include "*20161126*" &amp; "%USERPROFILE%\Documents\GitHub\mrs-test-scripts\Headless Mode &amp; Sideloading\WalkAndUnGZ.bat" "%USERPROFILE%\AppData\Local\Temp\OnboardLogs"\RTDC4046\2016-11-26</v>
      </c>
      <c r="AF15" s="88" t="str">
        <f t="shared" si="13"/>
        <v>"C:\Program Files (x86)\AstroGrep\AstroGrep.exe" /spath="%USERPROFILE%\AppData\Local\Temp\OnboardLogs" /stypes="app*4046*20161125*" /stext=" 11:.+((SYSTEM_STATE.+slice.+state.+changed )|(ment ac)|(system.+state.+changed )|(\[timeout)|(PRM\|1\|D)|(kpr)|(kdp)|(\|lc)|(penalty))" /e /r /s</v>
      </c>
      <c r="AG15" s="1" t="str">
        <f t="shared" si="14"/>
        <v>EC</v>
      </c>
      <c r="AH15" s="92" t="str">
        <f t="shared" si="17"/>
        <v>"%USERPROFILE%\Documents\GitHub\eaglep3\Utilities\RefineRTDCRunTimes.py" --tripid 103-25 --locoid 4046 --swversion DE.1.0.8.0 --startMP 204:770 --initTime 2016-11-25T03:40:50 --startdatetime 2016-11-25T03:45:15 --delay 1 --endMP 204:233321 --enddatetime 2016-11-25T04:24:01 --enforcementcount 0 &gt;&gt;C:\Users\stu\Documents\GitHub\eaglep3-reporting\EC\2016-11-25-refined-times.txt</v>
      </c>
      <c r="AI15" s="119" t="str">
        <f t="shared" si="18"/>
        <v>echo {"issue":{"subject":"","project_id":79,"tracker_id":40,"status_id":1,"priority_id":2,"assigned_to_id":23,"start_date":"2016-11-25","description":"","custom_fields":[{"id":1,"name":"Subdivision","value":"EC"},{"id":4,"name":"Milepost","value":"23.3321"},{"id":17,"name":"Train ID","value":"103-25"},{"id":16,"name":"Locomotive ID","value":"4046"},{"id":130,"name":"Impact","value":""},{"id":150,"name":"Time of Event (Mountain Time)","value":"04:24:01"},{"id":151,"name":"Denver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3"/>
      <c r="AK15" s="53"/>
      <c r="AL15" s="53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7" t="s">
        <v>405</v>
      </c>
      <c r="B16" s="7">
        <v>4012</v>
      </c>
      <c r="C16" s="22" t="s">
        <v>217</v>
      </c>
      <c r="D16" s="22" t="s">
        <v>637</v>
      </c>
      <c r="E16" s="13">
        <v>42699.189571759256</v>
      </c>
      <c r="F16" s="13">
        <v>42699.195335648146</v>
      </c>
      <c r="G16" s="7">
        <v>1</v>
      </c>
      <c r="H16" s="22" t="s">
        <v>361</v>
      </c>
      <c r="I16" s="13">
        <v>42699.223032407404</v>
      </c>
      <c r="J16" s="7">
        <v>1</v>
      </c>
      <c r="K16" s="109" t="str">
        <f t="shared" si="0"/>
        <v>4011/4012</v>
      </c>
      <c r="L16" s="22" t="str">
        <f>VLOOKUP(A16,'Trips&amp;Operators'!$C$1:$E$10000,3,FALSE)</f>
        <v>DAVIS</v>
      </c>
      <c r="M16" s="6">
        <f t="shared" si="1"/>
        <v>2.7696759258105885E-2</v>
      </c>
      <c r="N16" s="7">
        <f t="shared" si="2"/>
        <v>39.883333331672475</v>
      </c>
      <c r="O16" s="7"/>
      <c r="P16" s="7"/>
      <c r="Q16" s="23"/>
      <c r="R16" s="23"/>
      <c r="S16" s="35">
        <f t="shared" si="3"/>
        <v>1</v>
      </c>
      <c r="T16" s="50" t="str">
        <f t="shared" si="4"/>
        <v>Southbound</v>
      </c>
      <c r="U16" s="171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https://search-rtdc-monitor-bjffxe2xuh6vdkpspy63sjmuny.us-east-1.es.amazonaws.com/_plugin/kibana/#/discover/Steve-Slow-Train-Analysis-(2080s-and-2083s)?_g=(refreshInterval:(display:Off,section:0,value:0),time:(from:'2016-11-25 03:32:59-700',mode:absolute,to:'2016-11-25 06:21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6" s="52" t="str">
        <f t="shared" si="6"/>
        <v>N</v>
      </c>
      <c r="X16" s="177">
        <f t="shared" si="7"/>
        <v>1</v>
      </c>
      <c r="Y16" s="67">
        <f t="shared" si="8"/>
        <v>23.2685</v>
      </c>
      <c r="Z16" s="67">
        <f t="shared" si="9"/>
        <v>1.3599999999999999E-2</v>
      </c>
      <c r="AA16" s="67">
        <f t="shared" si="10"/>
        <v>23.254899999999999</v>
      </c>
      <c r="AB16" s="64" t="str">
        <f>VLOOKUP(A16,Enforcements!$C$7:$K$20,8,0)</f>
        <v>Speed (6)</v>
      </c>
      <c r="AC16" s="60" t="str">
        <f>VLOOKUP(A16,Enforcements!$C$7:$E$20,3,0)</f>
        <v>PERMANENT SPEED RESTRICTION</v>
      </c>
      <c r="AD16" s="61" t="str">
        <f t="shared" si="11"/>
        <v>0104-25</v>
      </c>
      <c r="AE16" s="91" t="str">
        <f t="shared" si="12"/>
        <v>aws s3 cp s3://rtdc.mdm.uploadarchive.raw/RTDC4012/ "%USERPROFILE%\AppData\Local\Temp\OnboardLogs"\RTDC4012\2016-11-25 --exclude "*" --recursive --include "*20161125*" &amp; "%USERPROFILE%\Documents\GitHub\mrs-test-scripts\Headless Mode &amp; Sideloading\WalkAndUnGZ.bat" "%USERPROFILE%\AppData\Local\Temp\OnboardLogs"\RTDC4012\2016-11-25 &amp; aws s3 cp s3://rtdc.mdm.uploadarchive.raw/RTDC4012/ "%USERPROFILE%\AppData\Local\Temp\OnboardLogs"\RTDC4012\2016-11-26 --exclude "*" --recursive --include "*20161126*" &amp; "%USERPROFILE%\Documents\GitHub\mrs-test-scripts\Headless Mode &amp; Sideloading\WalkAndUnGZ.bat" "%USERPROFILE%\AppData\Local\Temp\OnboardLogs"\RTDC4012\2016-11-26</v>
      </c>
      <c r="AF16" s="88" t="str">
        <f t="shared" si="13"/>
        <v>"C:\Program Files (x86)\AstroGrep\AstroGrep.exe" /spath="%USERPROFILE%\AppData\Local\Temp\OnboardLogs" /stypes="app*4012*20161125*" /stext=" 12:.+((SYSTEM_STATE.+slice.+state.+changed )|(ment ac)|(system.+state.+changed )|(\[timeout)|(PRM\|1\|D)|(kpr)|(kdp)|(\|lc)|(penalty))" /e /r /s</v>
      </c>
      <c r="AG16" s="1" t="str">
        <f t="shared" si="14"/>
        <v>EC</v>
      </c>
      <c r="AH16" s="92" t="str">
        <f t="shared" si="17"/>
        <v>"%USERPROFILE%\Documents\GitHub\eaglep3\Utilities\RefineRTDCRunTimes.py" --tripid 104-25 --locoid 4012 --swversion DE.1.0.8.0 --startMP 204:232685 --initTime 2016-11-25T04:32:59 --startdatetime 2016-11-25T04:41:17 --delay 1 --endMP 204:136 --enddatetime 2016-11-25T05:21:10 --enforcementcount 1 &gt;&gt;C:\Users\stu\Documents\GitHub\eaglep3-reporting\EC\2016-11-25-refined-times.txt</v>
      </c>
      <c r="AI16" s="119" t="str">
        <f t="shared" si="18"/>
        <v>echo {"issue":{"subject":"","project_id":79,"tracker_id":40,"status_id":1,"priority_id":2,"assigned_to_id":23,"start_date":"2016-11-25","description":"","custom_fields":[{"id":1,"name":"Subdivision","value":"EC"},{"id":4,"name":"Milepost","value":"0.0136"},{"id":17,"name":"Train ID","value":"104-25"},{"id":16,"name":"Locomotive ID","value":"4012"},{"id":130,"name":"Impact","value":""},{"id":150,"name":"Time of Event (Mountain Time)","value":"05:21:10"},{"id":151,"name":"Denver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3"/>
      <c r="AK16" s="53"/>
      <c r="AL16" s="53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7" t="s">
        <v>471</v>
      </c>
      <c r="B17" s="7">
        <v>4014</v>
      </c>
      <c r="C17" s="22" t="s">
        <v>217</v>
      </c>
      <c r="D17" s="22" t="s">
        <v>638</v>
      </c>
      <c r="E17" s="13">
        <v>42699.16946759259</v>
      </c>
      <c r="F17" s="13">
        <v>42699.177268518521</v>
      </c>
      <c r="G17" s="7">
        <v>3</v>
      </c>
      <c r="H17" s="22" t="s">
        <v>281</v>
      </c>
      <c r="I17" s="13">
        <v>42699.202013888891</v>
      </c>
      <c r="J17" s="7">
        <v>0</v>
      </c>
      <c r="K17" s="109" t="str">
        <f t="shared" si="0"/>
        <v>4013/4014</v>
      </c>
      <c r="L17" s="22" t="str">
        <f>VLOOKUP(A17,'Trips&amp;Operators'!$C$1:$E$10000,3,FALSE)</f>
        <v>ROBINSON</v>
      </c>
      <c r="M17" s="6">
        <f t="shared" si="1"/>
        <v>2.47453703705105E-2</v>
      </c>
      <c r="N17" s="7">
        <f t="shared" si="2"/>
        <v>35.63333333353512</v>
      </c>
      <c r="O17" s="7"/>
      <c r="P17" s="7"/>
      <c r="Q17" s="23"/>
      <c r="R17" s="23"/>
      <c r="S17" s="35">
        <f t="shared" si="3"/>
        <v>1</v>
      </c>
      <c r="T17" s="50" t="str">
        <f t="shared" si="4"/>
        <v>NorthBound</v>
      </c>
      <c r="U17" s="171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https://search-rtdc-monitor-bjffxe2xuh6vdkpspy63sjmuny.us-east-1.es.amazonaws.com/_plugin/kibana/#/discover/Steve-Slow-Train-Analysis-(2080s-and-2083s)?_g=(refreshInterval:(display:Off,section:0,value:0),time:(from:'2016-11-25 03:04:02-700',mode:absolute,to:'2016-11-25 05:50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7" s="52" t="str">
        <f t="shared" si="6"/>
        <v>N</v>
      </c>
      <c r="X17" s="177">
        <f t="shared" si="7"/>
        <v>1</v>
      </c>
      <c r="Y17" s="67">
        <f t="shared" si="8"/>
        <v>7.4300000000000005E-2</v>
      </c>
      <c r="Z17" s="67">
        <f t="shared" si="9"/>
        <v>23.331700000000001</v>
      </c>
      <c r="AA17" s="67">
        <f t="shared" si="10"/>
        <v>23.257400000000001</v>
      </c>
      <c r="AB17" s="64" t="e">
        <f>VLOOKUP(A17,Enforcements!$C$7:$K$20,8,0)</f>
        <v>#N/A</v>
      </c>
      <c r="AC17" s="60" t="e">
        <f>VLOOKUP(A17,Enforcements!$C$7:$E$20,3,0)</f>
        <v>#N/A</v>
      </c>
      <c r="AD17" s="61" t="str">
        <f t="shared" si="11"/>
        <v>0105-25</v>
      </c>
      <c r="AE17" s="91" t="str">
        <f t="shared" si="12"/>
        <v>aws s3 cp s3://rtdc.mdm.uploadarchive.raw/RTDC4014/ "%USERPROFILE%\AppData\Local\Temp\OnboardLogs"\RTDC4014\2016-11-25 --exclude "*" --recursive --include "*20161125*" &amp; "%USERPROFILE%\Documents\GitHub\mrs-test-scripts\Headless Mode &amp; Sideloading\WalkAndUnGZ.bat" "%USERPROFILE%\AppData\Local\Temp\OnboardLogs"\RTDC4014\2016-11-25 &amp; aws s3 cp s3://rtdc.mdm.uploadarchive.raw/RTDC4014/ "%USERPROFILE%\AppData\Local\Temp\OnboardLogs"\RTDC4014\2016-11-26 --exclude "*" --recursive --include "*20161126*" &amp; "%USERPROFILE%\Documents\GitHub\mrs-test-scripts\Headless Mode &amp; Sideloading\WalkAndUnGZ.bat" "%USERPROFILE%\AppData\Local\Temp\OnboardLogs"\RTDC4014\2016-11-26</v>
      </c>
      <c r="AF17" s="88" t="str">
        <f t="shared" si="13"/>
        <v>"C:\Program Files (x86)\AstroGrep\AstroGrep.exe" /spath="%USERPROFILE%\AppData\Local\Temp\OnboardLogs" /stypes="app*4014*20161125*" /stext=" 11:.+((SYSTEM_STATE.+slice.+state.+changed )|(ment ac)|(system.+state.+changed )|(\[timeout)|(PRM\|1\|D)|(kpr)|(kdp)|(\|lc)|(penalty))" /e /r /s</v>
      </c>
      <c r="AG17" s="1" t="str">
        <f t="shared" si="14"/>
        <v>EC</v>
      </c>
      <c r="AH17" s="92" t="str">
        <f t="shared" si="17"/>
        <v>"%USERPROFILE%\Documents\GitHub\eaglep3\Utilities\RefineRTDCRunTimes.py" --tripid 105-25 --locoid 4014 --swversion DE.1.0.8.0 --startMP 204:743 --initTime 2016-11-25T04:04:02 --startdatetime 2016-11-25T04:15:16 --delay 3 --endMP 204:233317 --enddatetime 2016-11-25T04:50:54 --enforcementcount 0 &gt;&gt;C:\Users\stu\Documents\GitHub\eaglep3-reporting\EC\2016-11-25-refined-times.txt</v>
      </c>
      <c r="AI17" s="119" t="str">
        <f t="shared" si="18"/>
        <v>echo {"issue":{"subject":"","project_id":79,"tracker_id":40,"status_id":1,"priority_id":2,"assigned_to_id":23,"start_date":"2016-11-25","description":"","custom_fields":[{"id":1,"name":"Subdivision","value":"EC"},{"id":4,"name":"Milepost","value":"23.3317"},{"id":17,"name":"Train ID","value":"105-25"},{"id":16,"name":"Locomotive ID","value":"4014"},{"id":130,"name":"Impact","value":""},{"id":150,"name":"Time of Event (Mountain Time)","value":"04:50:54"},{"id":151,"name":"Denver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3"/>
      <c r="AK17" s="53"/>
      <c r="AL17" s="53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7" t="s">
        <v>477</v>
      </c>
      <c r="B18" s="7">
        <v>4043</v>
      </c>
      <c r="C18" s="22" t="s">
        <v>217</v>
      </c>
      <c r="D18" s="22" t="s">
        <v>350</v>
      </c>
      <c r="E18" s="13">
        <v>42699.209143518521</v>
      </c>
      <c r="F18" s="13">
        <v>42699.216284722221</v>
      </c>
      <c r="G18" s="7">
        <v>1</v>
      </c>
      <c r="H18" s="22" t="s">
        <v>331</v>
      </c>
      <c r="I18" s="13">
        <v>42699.243263888886</v>
      </c>
      <c r="J18" s="7">
        <v>0</v>
      </c>
      <c r="K18" s="109" t="str">
        <f t="shared" si="0"/>
        <v>4043/4044</v>
      </c>
      <c r="L18" s="22" t="str">
        <f>VLOOKUP(A18,'Trips&amp;Operators'!$C$1:$E$10000,3,FALSE)</f>
        <v>ROBINSON</v>
      </c>
      <c r="M18" s="6">
        <f t="shared" si="1"/>
        <v>2.6979166665114462E-2</v>
      </c>
      <c r="N18" s="7">
        <f t="shared" si="2"/>
        <v>38.849999997764826</v>
      </c>
      <c r="O18" s="7"/>
      <c r="P18" s="7"/>
      <c r="Q18" s="23"/>
      <c r="R18" s="23"/>
      <c r="S18" s="35">
        <f t="shared" si="3"/>
        <v>1</v>
      </c>
      <c r="T18" s="50" t="str">
        <f t="shared" si="4"/>
        <v>Southbound</v>
      </c>
      <c r="U18" s="171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https://search-rtdc-monitor-bjffxe2xuh6vdkpspy63sjmuny.us-east-1.es.amazonaws.com/_plugin/kibana/#/discover/Steve-Slow-Train-Analysis-(2080s-and-2083s)?_g=(refreshInterval:(display:Off,section:0,value:0),time:(from:'2016-11-25 04:01:10-700',mode:absolute,to:'2016-11-25 06:50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8" s="52" t="str">
        <f t="shared" si="6"/>
        <v>N</v>
      </c>
      <c r="X18" s="177">
        <f t="shared" si="7"/>
        <v>1</v>
      </c>
      <c r="Y18" s="67">
        <f t="shared" si="8"/>
        <v>23.267199999999999</v>
      </c>
      <c r="Z18" s="67">
        <f t="shared" si="9"/>
        <v>1.23E-2</v>
      </c>
      <c r="AA18" s="67">
        <f t="shared" si="10"/>
        <v>23.254899999999999</v>
      </c>
      <c r="AB18" s="64" t="e">
        <f>VLOOKUP(A18,Enforcements!$C$7:$K$20,8,0)</f>
        <v>#N/A</v>
      </c>
      <c r="AC18" s="60" t="e">
        <f>VLOOKUP(A18,Enforcements!$C$7:$E$20,3,0)</f>
        <v>#N/A</v>
      </c>
      <c r="AD18" s="61" t="str">
        <f t="shared" si="11"/>
        <v>0106-25</v>
      </c>
      <c r="AE18" s="91" t="str">
        <f t="shared" si="12"/>
        <v>aws s3 cp s3://rtdc.mdm.uploadarchive.raw/RTDC4043/ "%USERPROFILE%\AppData\Local\Temp\OnboardLogs"\RTDC4043\2016-11-25 --exclude "*" --recursive --include "*20161125*" &amp; "%USERPROFILE%\Documents\GitHub\mrs-test-scripts\Headless Mode &amp; Sideloading\WalkAndUnGZ.bat" "%USERPROFILE%\AppData\Local\Temp\OnboardLogs"\RTDC4043\2016-11-25 &amp; aws s3 cp s3://rtdc.mdm.uploadarchive.raw/RTDC4043/ "%USERPROFILE%\AppData\Local\Temp\OnboardLogs"\RTDC4043\2016-11-26 --exclude "*" --recursive --include "*20161126*" &amp; "%USERPROFILE%\Documents\GitHub\mrs-test-scripts\Headless Mode &amp; Sideloading\WalkAndUnGZ.bat" "%USERPROFILE%\AppData\Local\Temp\OnboardLogs"\RTDC4043\2016-11-26</v>
      </c>
      <c r="AF18" s="88" t="str">
        <f t="shared" si="13"/>
        <v>"C:\Program Files (x86)\AstroGrep\AstroGrep.exe" /spath="%USERPROFILE%\AppData\Local\Temp\OnboardLogs" /stypes="app*4043*20161125*" /stext=" 12:.+((SYSTEM_STATE.+slice.+state.+changed )|(ment ac)|(system.+state.+changed )|(\[timeout)|(PRM\|1\|D)|(kpr)|(kdp)|(\|lc)|(penalty))" /e /r /s</v>
      </c>
      <c r="AG18" s="1" t="str">
        <f t="shared" si="14"/>
        <v>EC</v>
      </c>
      <c r="AH18" s="92" t="str">
        <f t="shared" si="17"/>
        <v>"%USERPROFILE%\Documents\GitHub\eaglep3\Utilities\RefineRTDCRunTimes.py" --tripid 106-25 --locoid 4043 --swversion DE.1.0.8.0 --startMP 204:232672 --initTime 2016-11-25T05:01:10 --startdatetime 2016-11-25T05:11:27 --delay 1 --endMP 204:123 --enddatetime 2016-11-25T05:50:18 --enforcementcount 0 &gt;&gt;C:\Users\stu\Documents\GitHub\eaglep3-reporting\EC\2016-11-25-refined-times.txt</v>
      </c>
      <c r="AI18" s="119" t="str">
        <f t="shared" si="18"/>
        <v>echo {"issue":{"subject":"","project_id":79,"tracker_id":40,"status_id":1,"priority_id":2,"assigned_to_id":23,"start_date":"2016-11-25","description":"","custom_fields":[{"id":1,"name":"Subdivision","value":"EC"},{"id":4,"name":"Milepost","value":"0.0123"},{"id":17,"name":"Train ID","value":"106-25"},{"id":16,"name":"Locomotive ID","value":"4043"},{"id":130,"name":"Impact","value":""},{"id":150,"name":"Time of Event (Mountain Time)","value":"05:50:18"},{"id":151,"name":"Denver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3"/>
      <c r="AK18" s="53"/>
      <c r="AL18" s="53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7" t="s">
        <v>473</v>
      </c>
      <c r="B19" s="7">
        <v>4042</v>
      </c>
      <c r="C19" s="22" t="s">
        <v>217</v>
      </c>
      <c r="D19" s="22" t="s">
        <v>350</v>
      </c>
      <c r="E19" s="13">
        <v>42699.209143518521</v>
      </c>
      <c r="F19" s="13">
        <v>42699.177187499998</v>
      </c>
      <c r="G19" s="7">
        <v>1</v>
      </c>
      <c r="H19" s="22" t="s">
        <v>331</v>
      </c>
      <c r="I19" s="13">
        <v>42699.191550925927</v>
      </c>
      <c r="J19" s="7">
        <v>0</v>
      </c>
      <c r="K19" s="109" t="str">
        <f t="shared" ref="K19" si="19">IF(ISEVEN(B19),(B19-1)&amp;"/"&amp;B19,B19&amp;"/"&amp;(B19+1))</f>
        <v>4041/4042</v>
      </c>
      <c r="L19" s="22" t="str">
        <f>VLOOKUP(A19,'Trips&amp;Operators'!$C$1:$E$10000,3,FALSE)</f>
        <v>ISHMAEL</v>
      </c>
      <c r="M19" s="6">
        <f t="shared" ref="M19" si="20">I19-F19</f>
        <v>1.4363425929332152E-2</v>
      </c>
      <c r="N19" s="7"/>
      <c r="O19" s="7"/>
      <c r="P19" s="7">
        <f t="shared" si="2"/>
        <v>20.683333338238299</v>
      </c>
      <c r="Q19" s="23"/>
      <c r="R19" s="23" t="s">
        <v>793</v>
      </c>
      <c r="S19" s="35">
        <f t="shared" ref="S19" si="21">SUM(U19:U19)/IF(AG19="EC",12,1)</f>
        <v>0</v>
      </c>
      <c r="T19" s="50" t="str">
        <f t="shared" ref="T19" si="22">IF(ISEVEN(LEFT(AD19,4)),"Southbound","NorthBound")</f>
        <v>NorthBound</v>
      </c>
      <c r="U19" s="171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0</v>
      </c>
      <c r="V19" s="98" t="str">
        <f t="shared" ref="V19" si="23">"https://search-rtdc-monitor-bjffxe2xuh6vdkpspy63sjmuny.us-east-1.es.amazonaws.com/_plugin/kibana/#/discover/Steve-Slow-Train-Analysis-(2080s-and-2083s)?_g=(refreshInterval:(display:Off,section:0,value:0),time:(from:'"&amp;TEXT(E19-1/24,"yyyy-MM-DD hh:mm:ss")&amp;utc_offset&amp;"00',mode:absolute,to:'"&amp;TEXT(I19+1/24,"yyyy-MM-DD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&amp;"%22')),sort:!(Time,asc))"</f>
        <v>https://search-rtdc-monitor-bjffxe2xuh6vdkpspy63sjmuny.us-east-1.es.amazonaws.com/_plugin/kibana/#/discover/Steve-Slow-Train-Analysis-(2080s-and-2083s)?_g=(refreshInterval:(display:Off,section:0,value:0),time:(from:'2016-11-25 04:01:10-700',mode:absolute,to:'2016-11-25 05:35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9" s="52" t="str">
        <f t="shared" ref="W19" si="24">IF(AA19&lt;IF(AG19="EC",23,5.65),"Y","N")</f>
        <v>N</v>
      </c>
      <c r="X19" s="177">
        <f t="shared" ref="X19:X22" si="25">VALUE(LEFT(AD19,4))-VALUE(LEFT(AD18,4))</f>
        <v>1</v>
      </c>
      <c r="Y19" s="67">
        <f t="shared" ref="Y19" si="26">RIGHT(D19,LEN(D19)-4)/10000</f>
        <v>23.267199999999999</v>
      </c>
      <c r="Z19" s="67">
        <f t="shared" ref="Z19" si="27">RIGHT(H19,LEN(H19)-4)/10000</f>
        <v>1.23E-2</v>
      </c>
      <c r="AA19" s="67">
        <f t="shared" ref="AA19" si="28">ABS(Z19-Y19)</f>
        <v>23.254899999999999</v>
      </c>
      <c r="AB19" s="64" t="e">
        <f>VLOOKUP(A19,Enforcements!$C$7:$K$20,8,0)</f>
        <v>#N/A</v>
      </c>
      <c r="AC19" s="60" t="e">
        <f>VLOOKUP(A19,Enforcements!$C$7:$E$20,3,0)</f>
        <v>#N/A</v>
      </c>
      <c r="AD19" s="61" t="str">
        <f t="shared" ref="AD19" si="29">IF(LEN(A19)=6,"0"&amp;A19,A19)</f>
        <v>0107-25</v>
      </c>
      <c r="AE19" s="91" t="str">
        <f t="shared" ref="AE19" si="30">"aws s3 cp "&amp;s3_bucket&amp;"/RTDC"&amp;B19&amp;"/ "&amp;search_path&amp;"\RTDC"&amp;B19&amp;"\"&amp;TEXT(F19,"YYYY-MM-DD")&amp;" --exclude ""*"" --recursive --include ""*"&amp;TEXT(F19,"YYYYMMDD")&amp;"*"" &amp; """&amp;walkandungz&amp;""" "&amp;search_path&amp;"\RTDC"&amp;B19&amp;"\"&amp;TEXT(F19,"YYYY-MM-DD")
&amp;" &amp; "&amp;"aws s3 cp "&amp;s3_bucket&amp;"/RTDC"&amp;B19&amp;"/ "&amp;search_path&amp;"\RTDC"&amp;B19&amp;"\"&amp;TEXT(F19+1,"YYYY-MM-DD")&amp;" --exclude ""*"" --recursive --include ""*"&amp;TEXT(F19+1,"YYYYMMDD")&amp;"*"" &amp; """&amp;walkandungz&amp;""" "&amp;search_path&amp;"\RTDC"&amp;B19&amp;"\"&amp;TEXT(F19+1,"YYYY-MM-DD")</f>
        <v>aws s3 cp s3://rtdc.mdm.uploadarchive.raw/RTDC4042/ "%USERPROFILE%\AppData\Local\Temp\OnboardLogs"\RTDC4042\2016-11-25 --exclude "*" --recursive --include "*20161125*" &amp; "%USERPROFILE%\Documents\GitHub\mrs-test-scripts\Headless Mode &amp; Sideloading\WalkAndUnGZ.bat" "%USERPROFILE%\AppData\Local\Temp\OnboardLogs"\RTDC4042\2016-11-25 &amp; aws s3 cp s3://rtdc.mdm.uploadarchive.raw/RTDC4042/ "%USERPROFILE%\AppData\Local\Temp\OnboardLogs"\RTDC4042\2016-11-26 --exclude "*" --recursive --include "*20161126*" &amp; "%USERPROFILE%\Documents\GitHub\mrs-test-scripts\Headless Mode &amp; Sideloading\WalkAndUnGZ.bat" "%USERPROFILE%\AppData\Local\Temp\OnboardLogs"\RTDC4042\2016-11-26</v>
      </c>
      <c r="AF19" s="88" t="str">
        <f t="shared" ref="AF19" si="31">astrogrep_path&amp;" /spath="&amp;search_path&amp;" /stypes=""app*"&amp;B19&amp;"*"&amp;TEXT(I19-utc_offset/24,"YYYYMMDD")&amp;"*"" /stext="" "&amp;TEXT(I19-utc_offset/24,"HH")&amp;search_regexp&amp;""" /e /r /s"</f>
        <v>"C:\Program Files (x86)\AstroGrep\AstroGrep.exe" /spath="%USERPROFILE%\AppData\Local\Temp\OnboardLogs" /stypes="app*4042*20161125*" /stext=" 11:.+((SYSTEM_STATE.+slice.+state.+changed )|(ment ac)|(system.+state.+changed )|(\[timeout)|(PRM\|1\|D)|(kpr)|(kdp)|(\|lc)|(penalty))" /e /r /s</v>
      </c>
      <c r="AG19" s="1" t="str">
        <f t="shared" ref="AG19" si="32">IFERROR(IF(VALUE(LEFT(AD19,2))&lt;=2,"EC",IF(OR(VALUE(LEFT(AD19,2))=8,VALUE(LEFT(AD19,2))=18),"NW","Other")),"Other")</f>
        <v>EC</v>
      </c>
      <c r="AH19" s="92" t="str">
        <f t="shared" ref="AH19" si="33">refinertdcruntimes&amp;" --tripid "&amp;A19&amp;" --locoid "&amp;B19&amp;" --swversion "&amp;C19&amp;" --startMP "&amp;D19&amp;" --initTime "&amp;TEXT(E19,"yyyy-mm-ddTHH:MM:SS")&amp;" --startdatetime "&amp;TEXT(F19,"yyyy-mm-ddTHH:MM:SS")&amp;" --delay "&amp;G19&amp;" --endMP "&amp;H19&amp;" --enddatetime "&amp;TEXT(I19,"yyyy-mm-ddTHH:MM:SS")&amp;" --enforcementcount "&amp;J19&amp;IF(outputrefinedruntimes," &gt;&gt;"&amp;RefinedRTDCRunTimesOutputFile,"")</f>
        <v>"%USERPROFILE%\Documents\GitHub\eaglep3\Utilities\RefineRTDCRunTimes.py" --tripid 107-25 --locoid 4042 --swversion DE.1.0.8.0 --startMP 204:232672 --initTime 2016-11-25T05:01:10 --startdatetime 2016-11-25T04:15:09 --delay 1 --endMP 204:123 --enddatetime 2016-11-25T04:35:50 --enforcementcount 0 &gt;&gt;C:\Users\stu\Documents\GitHub\eaglep3-reporting\EC\2016-11-25-refined-times.txt</v>
      </c>
      <c r="AI19" s="119" t="str">
        <f t="shared" ref="AI19" si="34">"echo {""issue"":{""subject"":"""&amp;R19&amp;""",""project_id"":79,""tracker_id"":40,""status_id"":"&amp;redmine_status&amp;",""priority_id"":"&amp;redmine_priority&amp;",""assigned_to_id"":"&amp;redmine_assignee&amp;",""start_date"":"""&amp;TEXT(I19,"YYYY-mm-dd")&amp;""",""description"":"""&amp;AJ19&amp;""",""custom_fields"":[{""id"":1,""name"":""Subdivision"",""value"":"""&amp;AG19&amp;"""},{""id"":4,""name"":""Milepost"",""value"":"""&amp;Z19&amp;"""},{""id"":17,""name"":""Train ID"",""value"":"""&amp;A19&amp;"""},{""id"":16,""name"":""Locomotive ID"",""value"":"""&amp;B19&amp;"""},{""id"":130,""name"":""Impact"",""value"":"""&amp;AK19&amp;"""},{""id"":150,""name"":""Time of Event (Mountain Time)"",""value"":"""&amp;TEXT(I19,"hh:mm:ss")&amp;"""},{""id"":151,""name"":""Denver Issue ID"",""value"":"""&amp;"""},{""id"":178,""name"":""Operational Impact"",""value"":"""&amp;redmine_op_impact&amp;"""},{""id"":179,""name"":""Denver Segment Assigned"",""value"":"""&amp;AL19&amp;"""}]}}"&amp;" | curl -X POST -H ""Content-Type: application/json"" -H ""X-Redmine-API-Key: "&amp;redm_api_key&amp;""" "&amp;redm_url&amp;" --data @-"</f>
        <v>echo {"issue":{"subject":"Did not init due to low brake pipe pressures","project_id":79,"tracker_id":40,"status_id":1,"priority_id":2,"assigned_to_id":23,"start_date":"2016-11-25","description":"","custom_fields":[{"id":1,"name":"Subdivision","value":"EC"},{"id":4,"name":"Milepost","value":"0.0123"},{"id":17,"name":"Train ID","value":"107-25"},{"id":16,"name":"Locomotive ID","value":"4042"},{"id":130,"name":"Impact","value":""},{"id":150,"name":"Time of Event (Mountain Time)","value":"04:35:50"},{"id":151,"name":"Denver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3"/>
      <c r="AK19" s="53"/>
      <c r="AL19" s="53"/>
      <c r="AM19" s="21"/>
      <c r="AN19" s="21"/>
      <c r="AO19" s="21"/>
      <c r="AP19" s="21"/>
      <c r="AQ19" s="21"/>
      <c r="AR19" s="21"/>
      <c r="AS19" s="21"/>
      <c r="AT19" s="21"/>
      <c r="AU19" s="21"/>
      <c r="AV19" s="21"/>
      <c r="AW19" s="21"/>
      <c r="AX19" s="21"/>
      <c r="AY19" s="21"/>
      <c r="AZ19" s="21"/>
      <c r="BA19" s="21"/>
      <c r="BB19" s="21"/>
      <c r="BC19" s="21"/>
      <c r="BD19" s="21"/>
      <c r="BE19" s="21"/>
      <c r="BF19" s="21"/>
      <c r="BG19" s="21"/>
      <c r="BH19" s="21"/>
      <c r="BI19" s="21"/>
      <c r="BJ19" s="21"/>
      <c r="BK19" s="21"/>
      <c r="BL19" s="21"/>
      <c r="BM19" s="21"/>
      <c r="BN19" s="21"/>
      <c r="BO19" s="21"/>
      <c r="BP19" s="21"/>
      <c r="BQ19" s="21"/>
      <c r="BR19" s="21"/>
      <c r="BS19" s="21"/>
      <c r="BT19" s="21"/>
      <c r="BU19" s="21"/>
      <c r="BV19" s="21"/>
      <c r="BW19" s="21"/>
      <c r="BX19" s="21"/>
      <c r="BY19" s="21"/>
      <c r="BZ19" s="21"/>
      <c r="CA19" s="21"/>
      <c r="CB19" s="21"/>
      <c r="CC19" s="21"/>
      <c r="CD19" s="21"/>
      <c r="CE19" s="21"/>
      <c r="CF19" s="21"/>
      <c r="CG19" s="21"/>
      <c r="CH19" s="21"/>
      <c r="CI19" s="21"/>
      <c r="CJ19" s="21"/>
      <c r="CK19" s="21"/>
      <c r="CL19" s="21"/>
      <c r="CM19" s="21"/>
    </row>
    <row r="20" spans="1:91" s="1" customFormat="1" x14ac:dyDescent="0.25">
      <c r="A20" s="37" t="s">
        <v>479</v>
      </c>
      <c r="B20" s="7">
        <v>4041</v>
      </c>
      <c r="C20" s="22" t="s">
        <v>217</v>
      </c>
      <c r="D20" s="22" t="s">
        <v>639</v>
      </c>
      <c r="E20" s="13">
        <v>42699.218240740738</v>
      </c>
      <c r="F20" s="13">
        <v>42699.226585648146</v>
      </c>
      <c r="G20" s="7">
        <v>1</v>
      </c>
      <c r="H20" s="22" t="s">
        <v>270</v>
      </c>
      <c r="I20" s="13">
        <v>42699.253622685188</v>
      </c>
      <c r="J20" s="7">
        <v>0</v>
      </c>
      <c r="K20" s="109" t="str">
        <f t="shared" si="0"/>
        <v>4041/4042</v>
      </c>
      <c r="L20" s="22" t="str">
        <f>VLOOKUP(A20,'Trips&amp;Operators'!$C$1:$E$10000,3,FALSE)</f>
        <v>ISHMAEL</v>
      </c>
      <c r="M20" s="6">
        <f t="shared" si="1"/>
        <v>2.7037037041736767E-2</v>
      </c>
      <c r="N20" s="7">
        <f t="shared" si="2"/>
        <v>38.933333340100944</v>
      </c>
      <c r="O20" s="7"/>
      <c r="P20" s="7"/>
      <c r="Q20" s="23"/>
      <c r="R20" s="23"/>
      <c r="S20" s="35">
        <f t="shared" si="3"/>
        <v>1</v>
      </c>
      <c r="T20" s="50" t="str">
        <f t="shared" si="4"/>
        <v>Southbound</v>
      </c>
      <c r="U20" s="171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https://search-rtdc-monitor-bjffxe2xuh6vdkpspy63sjmuny.us-east-1.es.amazonaws.com/_plugin/kibana/#/discover/Steve-Slow-Train-Analysis-(2080s-and-2083s)?_g=(refreshInterval:(display:Off,section:0,value:0),time:(from:'2016-11-25 04:14:16-700',mode:absolute,to:'2016-11-25 07:05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20" s="52" t="str">
        <f t="shared" si="6"/>
        <v>N</v>
      </c>
      <c r="X20" s="177">
        <f t="shared" si="25"/>
        <v>1</v>
      </c>
      <c r="Y20" s="67">
        <f t="shared" si="8"/>
        <v>23.296700000000001</v>
      </c>
      <c r="Z20" s="67">
        <f t="shared" si="9"/>
        <v>1.61E-2</v>
      </c>
      <c r="AA20" s="67">
        <f t="shared" si="10"/>
        <v>23.2806</v>
      </c>
      <c r="AB20" s="64" t="e">
        <f>VLOOKUP(A20,Enforcements!$C$7:$K$20,8,0)</f>
        <v>#N/A</v>
      </c>
      <c r="AC20" s="60" t="e">
        <f>VLOOKUP(A20,Enforcements!$C$7:$E$20,3,0)</f>
        <v>#N/A</v>
      </c>
      <c r="AD20" s="61" t="str">
        <f t="shared" si="11"/>
        <v>0108-25</v>
      </c>
      <c r="AE20" s="91" t="str">
        <f t="shared" si="12"/>
        <v>aws s3 cp s3://rtdc.mdm.uploadarchive.raw/RTDC4041/ "%USERPROFILE%\AppData\Local\Temp\OnboardLogs"\RTDC4041\2016-11-25 --exclude "*" --recursive --include "*20161125*" &amp; "%USERPROFILE%\Documents\GitHub\mrs-test-scripts\Headless Mode &amp; Sideloading\WalkAndUnGZ.bat" "%USERPROFILE%\AppData\Local\Temp\OnboardLogs"\RTDC4041\2016-11-25 &amp; aws s3 cp s3://rtdc.mdm.uploadarchive.raw/RTDC4041/ "%USERPROFILE%\AppData\Local\Temp\OnboardLogs"\RTDC4041\2016-11-26 --exclude "*" --recursive --include "*20161126*" &amp; "%USERPROFILE%\Documents\GitHub\mrs-test-scripts\Headless Mode &amp; Sideloading\WalkAndUnGZ.bat" "%USERPROFILE%\AppData\Local\Temp\OnboardLogs"\RTDC4041\2016-11-26</v>
      </c>
      <c r="AF20" s="88" t="str">
        <f t="shared" si="13"/>
        <v>"C:\Program Files (x86)\AstroGrep\AstroGrep.exe" /spath="%USERPROFILE%\AppData\Local\Temp\OnboardLogs" /stypes="app*4041*20161125*" /stext=" 13:.+((SYSTEM_STATE.+slice.+state.+changed )|(ment ac)|(system.+state.+changed )|(\[timeout)|(PRM\|1\|D)|(kpr)|(kdp)|(\|lc)|(penalty))" /e /r /s</v>
      </c>
      <c r="AG20" s="1" t="str">
        <f t="shared" si="14"/>
        <v>EC</v>
      </c>
      <c r="AH20" s="92" t="str">
        <f t="shared" si="17"/>
        <v>"%USERPROFILE%\Documents\GitHub\eaglep3\Utilities\RefineRTDCRunTimes.py" --tripid 108-25 --locoid 4041 --swversion DE.1.0.8.0 --startMP 204:232967 --initTime 2016-11-25T05:14:16 --startdatetime 2016-11-25T05:26:17 --delay 1 --endMP 204:161 --enddatetime 2016-11-25T06:05:13 --enforcementcount 0 &gt;&gt;C:\Users\stu\Documents\GitHub\eaglep3-reporting\EC\2016-11-25-refined-times.txt</v>
      </c>
      <c r="AI20" s="119" t="str">
        <f t="shared" si="18"/>
        <v>echo {"issue":{"subject":"","project_id":79,"tracker_id":40,"status_id":1,"priority_id":2,"assigned_to_id":23,"start_date":"2016-11-25","description":"","custom_fields":[{"id":1,"name":"Subdivision","value":"EC"},{"id":4,"name":"Milepost","value":"0.0161"},{"id":17,"name":"Train ID","value":"108-25"},{"id":16,"name":"Locomotive ID","value":"4041"},{"id":130,"name":"Impact","value":""},{"id":150,"name":"Time of Event (Mountain Time)","value":"06:05:13"},{"id":151,"name":"Denver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3"/>
      <c r="AK20" s="53"/>
      <c r="AL20" s="53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7" t="s">
        <v>475</v>
      </c>
      <c r="B21" s="7">
        <v>4009</v>
      </c>
      <c r="C21" s="22" t="s">
        <v>217</v>
      </c>
      <c r="D21" s="22" t="s">
        <v>277</v>
      </c>
      <c r="E21" s="13">
        <v>42699.193692129629</v>
      </c>
      <c r="F21" s="13">
        <v>42699.198159722226</v>
      </c>
      <c r="G21" s="7">
        <v>1</v>
      </c>
      <c r="H21" s="22" t="s">
        <v>274</v>
      </c>
      <c r="I21" s="13">
        <v>42699.224282407406</v>
      </c>
      <c r="J21" s="7">
        <v>0</v>
      </c>
      <c r="K21" s="109" t="str">
        <f t="shared" si="0"/>
        <v>4009/4010</v>
      </c>
      <c r="L21" s="22" t="str">
        <f>VLOOKUP(A21,'Trips&amp;Operators'!$C$1:$E$10000,3,FALSE)</f>
        <v>OUN</v>
      </c>
      <c r="M21" s="6">
        <f t="shared" si="1"/>
        <v>2.6122685179871041E-2</v>
      </c>
      <c r="N21" s="7">
        <f t="shared" si="2"/>
        <v>37.6166666590143</v>
      </c>
      <c r="O21" s="7"/>
      <c r="P21" s="7"/>
      <c r="Q21" s="23"/>
      <c r="R21" s="23"/>
      <c r="S21" s="35">
        <f t="shared" si="3"/>
        <v>1</v>
      </c>
      <c r="T21" s="50" t="str">
        <f t="shared" si="4"/>
        <v>NorthBound</v>
      </c>
      <c r="U21" s="171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https://search-rtdc-monitor-bjffxe2xuh6vdkpspy63sjmuny.us-east-1.es.amazonaws.com/_plugin/kibana/#/discover/Steve-Slow-Train-Analysis-(2080s-and-2083s)?_g=(refreshInterval:(display:Off,section:0,value:0),time:(from:'2016-11-25 03:38:55-700',mode:absolute,to:'2016-11-25 06:22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21" s="52" t="str">
        <f t="shared" si="6"/>
        <v>N</v>
      </c>
      <c r="X21" s="177">
        <f t="shared" si="25"/>
        <v>1</v>
      </c>
      <c r="Y21" s="67">
        <f t="shared" si="8"/>
        <v>4.7100000000000003E-2</v>
      </c>
      <c r="Z21" s="67">
        <f t="shared" si="9"/>
        <v>23.330200000000001</v>
      </c>
      <c r="AA21" s="67">
        <f t="shared" si="10"/>
        <v>23.283100000000001</v>
      </c>
      <c r="AB21" s="64" t="e">
        <f>VLOOKUP(A21,Enforcements!$C$7:$K$20,8,0)</f>
        <v>#N/A</v>
      </c>
      <c r="AC21" s="60" t="e">
        <f>VLOOKUP(A21,Enforcements!$C$7:$E$20,3,0)</f>
        <v>#N/A</v>
      </c>
      <c r="AD21" s="61" t="str">
        <f t="shared" si="11"/>
        <v>0109-25</v>
      </c>
      <c r="AE21" s="91" t="str">
        <f t="shared" si="12"/>
        <v>aws s3 cp s3://rtdc.mdm.uploadarchive.raw/RTDC4009/ "%USERPROFILE%\AppData\Local\Temp\OnboardLogs"\RTDC4009\2016-11-25 --exclude "*" --recursive --include "*20161125*" &amp; "%USERPROFILE%\Documents\GitHub\mrs-test-scripts\Headless Mode &amp; Sideloading\WalkAndUnGZ.bat" "%USERPROFILE%\AppData\Local\Temp\OnboardLogs"\RTDC4009\2016-11-25 &amp; aws s3 cp s3://rtdc.mdm.uploadarchive.raw/RTDC4009/ "%USERPROFILE%\AppData\Local\Temp\OnboardLogs"\RTDC4009\2016-11-26 --exclude "*" --recursive --include "*20161126*" &amp; "%USERPROFILE%\Documents\GitHub\mrs-test-scripts\Headless Mode &amp; Sideloading\WalkAndUnGZ.bat" "%USERPROFILE%\AppData\Local\Temp\OnboardLogs"\RTDC4009\2016-11-26</v>
      </c>
      <c r="AF21" s="88" t="str">
        <f t="shared" si="13"/>
        <v>"C:\Program Files (x86)\AstroGrep\AstroGrep.exe" /spath="%USERPROFILE%\AppData\Local\Temp\OnboardLogs" /stypes="app*4009*20161125*" /stext=" 12:.+((SYSTEM_STATE.+slice.+state.+changed )|(ment ac)|(system.+state.+changed )|(\[timeout)|(PRM\|1\|D)|(kpr)|(kdp)|(\|lc)|(penalty))" /e /r /s</v>
      </c>
      <c r="AG21" s="1" t="str">
        <f t="shared" si="14"/>
        <v>EC</v>
      </c>
      <c r="AH21" s="92" t="str">
        <f t="shared" si="17"/>
        <v>"%USERPROFILE%\Documents\GitHub\eaglep3\Utilities\RefineRTDCRunTimes.py" --tripid 109-25 --locoid 4009 --swversion DE.1.0.8.0 --startMP 204:471 --initTime 2016-11-25T04:38:55 --startdatetime 2016-11-25T04:45:21 --delay 1 --endMP 204:233302 --enddatetime 2016-11-25T05:22:58 --enforcementcount 0 &gt;&gt;C:\Users\stu\Documents\GitHub\eaglep3-reporting\EC\2016-11-25-refined-times.txt</v>
      </c>
      <c r="AI21" s="119" t="str">
        <f t="shared" si="18"/>
        <v>echo {"issue":{"subject":"","project_id":79,"tracker_id":40,"status_id":1,"priority_id":2,"assigned_to_id":23,"start_date":"2016-11-25","description":"","custom_fields":[{"id":1,"name":"Subdivision","value":"EC"},{"id":4,"name":"Milepost","value":"23.3302"},{"id":17,"name":"Train ID","value":"109-25"},{"id":16,"name":"Locomotive ID","value":"4009"},{"id":130,"name":"Impact","value":""},{"id":150,"name":"Time of Event (Mountain Time)","value":"05:22:58"},{"id":151,"name":"Denver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3"/>
      <c r="AK21" s="53"/>
      <c r="AL21" s="53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7" t="s">
        <v>482</v>
      </c>
      <c r="B22" s="7">
        <v>4010</v>
      </c>
      <c r="C22" s="22" t="s">
        <v>217</v>
      </c>
      <c r="D22" s="22" t="s">
        <v>258</v>
      </c>
      <c r="E22" s="13">
        <v>42699.231481481482</v>
      </c>
      <c r="F22" s="13">
        <v>42699.23704861111</v>
      </c>
      <c r="G22" s="7">
        <v>1</v>
      </c>
      <c r="H22" s="22" t="s">
        <v>224</v>
      </c>
      <c r="I22" s="13">
        <v>42699.264062499999</v>
      </c>
      <c r="J22" s="7">
        <v>0</v>
      </c>
      <c r="K22" s="109" t="str">
        <f t="shared" si="0"/>
        <v>4009/4010</v>
      </c>
      <c r="L22" s="22" t="str">
        <f>VLOOKUP(A22,'Trips&amp;Operators'!$C$1:$E$10000,3,FALSE)</f>
        <v>OUN</v>
      </c>
      <c r="M22" s="6">
        <f t="shared" si="1"/>
        <v>2.7013888888177462E-2</v>
      </c>
      <c r="N22" s="7">
        <f t="shared" si="2"/>
        <v>38.899999998975545</v>
      </c>
      <c r="O22" s="7"/>
      <c r="P22" s="7"/>
      <c r="Q22" s="23"/>
      <c r="R22" s="23"/>
      <c r="S22" s="35">
        <f t="shared" si="3"/>
        <v>1</v>
      </c>
      <c r="T22" s="50" t="str">
        <f t="shared" si="4"/>
        <v>Southbound</v>
      </c>
      <c r="U22" s="171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https://search-rtdc-monitor-bjffxe2xuh6vdkpspy63sjmuny.us-east-1.es.amazonaws.com/_plugin/kibana/#/discover/Steve-Slow-Train-Analysis-(2080s-and-2083s)?_g=(refreshInterval:(display:Off,section:0,value:0),time:(from:'2016-11-25 04:33:20-700',mode:absolute,to:'2016-11-25 07:20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22" s="52" t="str">
        <f t="shared" si="6"/>
        <v>N</v>
      </c>
      <c r="X22" s="177">
        <f t="shared" si="25"/>
        <v>1</v>
      </c>
      <c r="Y22" s="67">
        <f t="shared" si="8"/>
        <v>23.299299999999999</v>
      </c>
      <c r="Z22" s="67">
        <f t="shared" si="9"/>
        <v>1.4999999999999999E-2</v>
      </c>
      <c r="AA22" s="67">
        <f t="shared" si="10"/>
        <v>23.284299999999998</v>
      </c>
      <c r="AB22" s="64" t="e">
        <f>VLOOKUP(A22,Enforcements!$C$7:$K$20,8,0)</f>
        <v>#N/A</v>
      </c>
      <c r="AC22" s="60" t="e">
        <f>VLOOKUP(A22,Enforcements!$C$7:$E$20,3,0)</f>
        <v>#N/A</v>
      </c>
      <c r="AD22" s="61" t="str">
        <f t="shared" si="11"/>
        <v>0110-25</v>
      </c>
      <c r="AE22" s="91" t="str">
        <f t="shared" si="12"/>
        <v>aws s3 cp s3://rtdc.mdm.uploadarchive.raw/RTDC4010/ "%USERPROFILE%\AppData\Local\Temp\OnboardLogs"\RTDC4010\2016-11-25 --exclude "*" --recursive --include "*20161125*" &amp; "%USERPROFILE%\Documents\GitHub\mrs-test-scripts\Headless Mode &amp; Sideloading\WalkAndUnGZ.bat" "%USERPROFILE%\AppData\Local\Temp\OnboardLogs"\RTDC4010\2016-11-25 &amp; aws s3 cp s3://rtdc.mdm.uploadarchive.raw/RTDC4010/ "%USERPROFILE%\AppData\Local\Temp\OnboardLogs"\RTDC4010\2016-11-26 --exclude "*" --recursive --include "*20161126*" &amp; "%USERPROFILE%\Documents\GitHub\mrs-test-scripts\Headless Mode &amp; Sideloading\WalkAndUnGZ.bat" "%USERPROFILE%\AppData\Local\Temp\OnboardLogs"\RTDC4010\2016-11-26</v>
      </c>
      <c r="AF22" s="88" t="str">
        <f t="shared" si="13"/>
        <v>"C:\Program Files (x86)\AstroGrep\AstroGrep.exe" /spath="%USERPROFILE%\AppData\Local\Temp\OnboardLogs" /stypes="app*4010*20161125*" /stext=" 13:.+((SYSTEM_STATE.+slice.+state.+changed )|(ment ac)|(system.+state.+changed )|(\[timeout)|(PRM\|1\|D)|(kpr)|(kdp)|(\|lc)|(penalty))" /e /r /s</v>
      </c>
      <c r="AG22" s="1" t="str">
        <f t="shared" si="14"/>
        <v>EC</v>
      </c>
      <c r="AH22" s="92" t="str">
        <f t="shared" si="17"/>
        <v>"%USERPROFILE%\Documents\GitHub\eaglep3\Utilities\RefineRTDCRunTimes.py" --tripid 110-25 --locoid 4010 --swversion DE.1.0.8.0 --startMP 204:232993 --initTime 2016-11-25T05:33:20 --startdatetime 2016-11-25T05:41:21 --delay 1 --endMP 204:150 --enddatetime 2016-11-25T06:20:15 --enforcementcount 0 &gt;&gt;C:\Users\stu\Documents\GitHub\eaglep3-reporting\EC\2016-11-25-refined-times.txt</v>
      </c>
      <c r="AI22" s="119" t="str">
        <f t="shared" si="18"/>
        <v>echo {"issue":{"subject":"","project_id":79,"tracker_id":40,"status_id":1,"priority_id":2,"assigned_to_id":23,"start_date":"2016-11-25","description":"","custom_fields":[{"id":1,"name":"Subdivision","value":"EC"},{"id":4,"name":"Milepost","value":"0.015"},{"id":17,"name":"Train ID","value":"110-25"},{"id":16,"name":"Locomotive ID","value":"4010"},{"id":130,"name":"Impact","value":""},{"id":150,"name":"Time of Event (Mountain Time)","value":"06:20:15"},{"id":151,"name":"Denver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3"/>
      <c r="AK22" s="53"/>
      <c r="AL22" s="53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7" t="s">
        <v>476</v>
      </c>
      <c r="B23" s="7">
        <v>4040</v>
      </c>
      <c r="C23" s="22" t="s">
        <v>217</v>
      </c>
      <c r="D23" s="22" t="s">
        <v>392</v>
      </c>
      <c r="E23" s="13">
        <v>42699.204953703702</v>
      </c>
      <c r="F23" s="13">
        <v>42699.208599537036</v>
      </c>
      <c r="G23" s="7">
        <v>2</v>
      </c>
      <c r="H23" s="22" t="s">
        <v>355</v>
      </c>
      <c r="I23" s="13">
        <v>42699.233171296299</v>
      </c>
      <c r="J23" s="7">
        <v>0</v>
      </c>
      <c r="K23" s="109" t="str">
        <f t="shared" si="0"/>
        <v>4039/4040</v>
      </c>
      <c r="L23" s="22" t="str">
        <f>VLOOKUP(A23,'Trips&amp;Operators'!$C$1:$E$10000,3,FALSE)</f>
        <v>SPECTOR</v>
      </c>
      <c r="M23" s="6">
        <f t="shared" si="1"/>
        <v>2.457175926247146E-2</v>
      </c>
      <c r="N23" s="7">
        <f t="shared" si="2"/>
        <v>35.383333337958902</v>
      </c>
      <c r="O23" s="7"/>
      <c r="P23" s="7"/>
      <c r="Q23" s="23"/>
      <c r="R23" s="23"/>
      <c r="S23" s="35">
        <f t="shared" si="3"/>
        <v>1</v>
      </c>
      <c r="T23" s="50" t="str">
        <f t="shared" si="4"/>
        <v>NorthBound</v>
      </c>
      <c r="U23" s="171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https://search-rtdc-monitor-bjffxe2xuh6vdkpspy63sjmuny.us-east-1.es.amazonaws.com/_plugin/kibana/#/discover/Steve-Slow-Train-Analysis-(2080s-and-2083s)?_g=(refreshInterval:(display:Off,section:0,value:0),time:(from:'2016-11-25 03:55:08-700',mode:absolute,to:'2016-11-25 06:35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23" s="52" t="str">
        <f t="shared" si="6"/>
        <v>N</v>
      </c>
      <c r="X23" s="177">
        <f t="shared" si="7"/>
        <v>1</v>
      </c>
      <c r="Y23" s="67">
        <f t="shared" si="8"/>
        <v>7.5499999999999998E-2</v>
      </c>
      <c r="Z23" s="67">
        <f t="shared" si="9"/>
        <v>23.331600000000002</v>
      </c>
      <c r="AA23" s="67">
        <f t="shared" si="10"/>
        <v>23.2561</v>
      </c>
      <c r="AB23" s="64" t="e">
        <f>VLOOKUP(A23,Enforcements!$C$7:$K$20,8,0)</f>
        <v>#N/A</v>
      </c>
      <c r="AC23" s="60" t="e">
        <f>VLOOKUP(A23,Enforcements!$C$7:$E$20,3,0)</f>
        <v>#N/A</v>
      </c>
      <c r="AD23" s="61" t="str">
        <f t="shared" si="11"/>
        <v>0111-25</v>
      </c>
      <c r="AE23" s="91" t="str">
        <f t="shared" si="12"/>
        <v>aws s3 cp s3://rtdc.mdm.uploadarchive.raw/RTDC4040/ "%USERPROFILE%\AppData\Local\Temp\OnboardLogs"\RTDC4040\2016-11-25 --exclude "*" --recursive --include "*20161125*" &amp; "%USERPROFILE%\Documents\GitHub\mrs-test-scripts\Headless Mode &amp; Sideloading\WalkAndUnGZ.bat" "%USERPROFILE%\AppData\Local\Temp\OnboardLogs"\RTDC4040\2016-11-25 &amp; aws s3 cp s3://rtdc.mdm.uploadarchive.raw/RTDC4040/ "%USERPROFILE%\AppData\Local\Temp\OnboardLogs"\RTDC4040\2016-11-26 --exclude "*" --recursive --include "*20161126*" &amp; "%USERPROFILE%\Documents\GitHub\mrs-test-scripts\Headless Mode &amp; Sideloading\WalkAndUnGZ.bat" "%USERPROFILE%\AppData\Local\Temp\OnboardLogs"\RTDC4040\2016-11-26</v>
      </c>
      <c r="AF23" s="88" t="str">
        <f t="shared" si="13"/>
        <v>"C:\Program Files (x86)\AstroGrep\AstroGrep.exe" /spath="%USERPROFILE%\AppData\Local\Temp\OnboardLogs" /stypes="app*4040*20161125*" /stext=" 12:.+((SYSTEM_STATE.+slice.+state.+changed )|(ment ac)|(system.+state.+changed )|(\[timeout)|(PRM\|1\|D)|(kpr)|(kdp)|(\|lc)|(penalty))" /e /r /s</v>
      </c>
      <c r="AG23" s="1" t="str">
        <f t="shared" si="14"/>
        <v>EC</v>
      </c>
      <c r="AH23" s="92" t="str">
        <f t="shared" si="17"/>
        <v>"%USERPROFILE%\Documents\GitHub\eaglep3\Utilities\RefineRTDCRunTimes.py" --tripid 111-25 --locoid 4040 --swversion DE.1.0.8.0 --startMP 204:755 --initTime 2016-11-25T04:55:08 --startdatetime 2016-11-25T05:00:23 --delay 2 --endMP 204:233316 --enddatetime 2016-11-25T05:35:46 --enforcementcount 0 &gt;&gt;C:\Users\stu\Documents\GitHub\eaglep3-reporting\EC\2016-11-25-refined-times.txt</v>
      </c>
      <c r="AI23" s="119" t="str">
        <f t="shared" si="18"/>
        <v>echo {"issue":{"subject":"","project_id":79,"tracker_id":40,"status_id":1,"priority_id":2,"assigned_to_id":23,"start_date":"2016-11-25","description":"","custom_fields":[{"id":1,"name":"Subdivision","value":"EC"},{"id":4,"name":"Milepost","value":"23.3316"},{"id":17,"name":"Train ID","value":"111-25"},{"id":16,"name":"Locomotive ID","value":"4040"},{"id":130,"name":"Impact","value":""},{"id":150,"name":"Time of Event (Mountain Time)","value":"05:35:46"},{"id":151,"name":"Denver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3"/>
      <c r="AK23" s="53"/>
      <c r="AL23" s="5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7" t="s">
        <v>484</v>
      </c>
      <c r="B24" s="7">
        <v>4039</v>
      </c>
      <c r="C24" s="22" t="s">
        <v>217</v>
      </c>
      <c r="D24" s="22" t="s">
        <v>249</v>
      </c>
      <c r="E24" s="13">
        <v>42699.242326388892</v>
      </c>
      <c r="F24" s="13">
        <v>42699.247395833336</v>
      </c>
      <c r="G24" s="7">
        <v>1</v>
      </c>
      <c r="H24" s="22" t="s">
        <v>224</v>
      </c>
      <c r="I24" s="13">
        <v>42699.274351851855</v>
      </c>
      <c r="J24" s="7">
        <v>0</v>
      </c>
      <c r="K24" s="109" t="str">
        <f t="shared" si="0"/>
        <v>4039/4040</v>
      </c>
      <c r="L24" s="22" t="str">
        <f>VLOOKUP(A24,'Trips&amp;Operators'!$C$1:$E$10000,3,FALSE)</f>
        <v>SPECTOR</v>
      </c>
      <c r="M24" s="6">
        <f t="shared" si="1"/>
        <v>2.6956018518831115E-2</v>
      </c>
      <c r="N24" s="7">
        <f t="shared" si="2"/>
        <v>38.816666667116806</v>
      </c>
      <c r="O24" s="7"/>
      <c r="P24" s="7"/>
      <c r="Q24" s="23"/>
      <c r="R24" s="23"/>
      <c r="S24" s="35">
        <f t="shared" si="3"/>
        <v>1</v>
      </c>
      <c r="T24" s="50" t="str">
        <f t="shared" si="4"/>
        <v>Southbound</v>
      </c>
      <c r="U24" s="171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https://search-rtdc-monitor-bjffxe2xuh6vdkpspy63sjmuny.us-east-1.es.amazonaws.com/_plugin/kibana/#/discover/Steve-Slow-Train-Analysis-(2080s-and-2083s)?_g=(refreshInterval:(display:Off,section:0,value:0),time:(from:'2016-11-25 04:48:57-700',mode:absolute,to:'2016-11-25 07:35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24" s="52" t="str">
        <f t="shared" si="6"/>
        <v>N</v>
      </c>
      <c r="X24" s="177">
        <f t="shared" si="7"/>
        <v>1</v>
      </c>
      <c r="Y24" s="67">
        <f t="shared" si="8"/>
        <v>23.299399999999999</v>
      </c>
      <c r="Z24" s="67">
        <f t="shared" si="9"/>
        <v>1.4999999999999999E-2</v>
      </c>
      <c r="AA24" s="67">
        <f t="shared" si="10"/>
        <v>23.284399999999998</v>
      </c>
      <c r="AB24" s="64" t="e">
        <f>VLOOKUP(A24,Enforcements!$C$7:$K$20,8,0)</f>
        <v>#N/A</v>
      </c>
      <c r="AC24" s="60" t="e">
        <f>VLOOKUP(A24,Enforcements!$C$7:$E$20,3,0)</f>
        <v>#N/A</v>
      </c>
      <c r="AD24" s="61" t="str">
        <f t="shared" si="11"/>
        <v>0112-25</v>
      </c>
      <c r="AE24" s="91" t="str">
        <f t="shared" si="12"/>
        <v>aws s3 cp s3://rtdc.mdm.uploadarchive.raw/RTDC4039/ "%USERPROFILE%\AppData\Local\Temp\OnboardLogs"\RTDC4039\2016-11-25 --exclude "*" --recursive --include "*20161125*" &amp; "%USERPROFILE%\Documents\GitHub\mrs-test-scripts\Headless Mode &amp; Sideloading\WalkAndUnGZ.bat" "%USERPROFILE%\AppData\Local\Temp\OnboardLogs"\RTDC4039\2016-11-25 &amp; aws s3 cp s3://rtdc.mdm.uploadarchive.raw/RTDC4039/ "%USERPROFILE%\AppData\Local\Temp\OnboardLogs"\RTDC4039\2016-11-26 --exclude "*" --recursive --include "*20161126*" &amp; "%USERPROFILE%\Documents\GitHub\mrs-test-scripts\Headless Mode &amp; Sideloading\WalkAndUnGZ.bat" "%USERPROFILE%\AppData\Local\Temp\OnboardLogs"\RTDC4039\2016-11-26</v>
      </c>
      <c r="AF24" s="88" t="str">
        <f t="shared" si="13"/>
        <v>"C:\Program Files (x86)\AstroGrep\AstroGrep.exe" /spath="%USERPROFILE%\AppData\Local\Temp\OnboardLogs" /stypes="app*4039*20161125*" /stext=" 13:.+((SYSTEM_STATE.+slice.+state.+changed )|(ment ac)|(system.+state.+changed )|(\[timeout)|(PRM\|1\|D)|(kpr)|(kdp)|(\|lc)|(penalty))" /e /r /s</v>
      </c>
      <c r="AG24" s="1" t="str">
        <f t="shared" si="14"/>
        <v>EC</v>
      </c>
      <c r="AH24" s="92" t="str">
        <f t="shared" si="17"/>
        <v>"%USERPROFILE%\Documents\GitHub\eaglep3\Utilities\RefineRTDCRunTimes.py" --tripid 112-25 --locoid 4039 --swversion DE.1.0.8.0 --startMP 204:232994 --initTime 2016-11-25T05:48:57 --startdatetime 2016-11-25T05:56:15 --delay 1 --endMP 204:150 --enddatetime 2016-11-25T06:35:04 --enforcementcount 0 &gt;&gt;C:\Users\stu\Documents\GitHub\eaglep3-reporting\EC\2016-11-25-refined-times.txt</v>
      </c>
      <c r="AI24" s="119" t="str">
        <f t="shared" si="18"/>
        <v>echo {"issue":{"subject":"","project_id":79,"tracker_id":40,"status_id":1,"priority_id":2,"assigned_to_id":23,"start_date":"2016-11-25","description":"","custom_fields":[{"id":1,"name":"Subdivision","value":"EC"},{"id":4,"name":"Milepost","value":"0.015"},{"id":17,"name":"Train ID","value":"112-25"},{"id":16,"name":"Locomotive ID","value":"4039"},{"id":130,"name":"Impact","value":""},{"id":150,"name":"Time of Event (Mountain Time)","value":"06:35:04"},{"id":151,"name":"Denver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3"/>
      <c r="AK24" s="53"/>
      <c r="AL24" s="53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7" t="s">
        <v>478</v>
      </c>
      <c r="B25" s="7">
        <v>4031</v>
      </c>
      <c r="C25" s="22" t="s">
        <v>217</v>
      </c>
      <c r="D25" s="22" t="s">
        <v>243</v>
      </c>
      <c r="E25" s="13">
        <v>42699.211284722223</v>
      </c>
      <c r="F25" s="13">
        <v>42699.219004629631</v>
      </c>
      <c r="G25" s="7">
        <v>1</v>
      </c>
      <c r="H25" s="22" t="s">
        <v>640</v>
      </c>
      <c r="I25" s="13">
        <v>42699.244340277779</v>
      </c>
      <c r="J25" s="7">
        <v>0</v>
      </c>
      <c r="K25" s="109" t="str">
        <f t="shared" si="0"/>
        <v>4031/4032</v>
      </c>
      <c r="L25" s="22" t="str">
        <f>VLOOKUP(A25,'Trips&amp;Operators'!$C$1:$E$10000,3,FALSE)</f>
        <v>MAELZER</v>
      </c>
      <c r="M25" s="6">
        <f t="shared" si="1"/>
        <v>2.5335648148029577E-2</v>
      </c>
      <c r="N25" s="7">
        <f t="shared" si="2"/>
        <v>36.483333333162591</v>
      </c>
      <c r="O25" s="7"/>
      <c r="P25" s="7"/>
      <c r="Q25" s="23"/>
      <c r="R25" s="23"/>
      <c r="S25" s="35">
        <f t="shared" si="3"/>
        <v>1</v>
      </c>
      <c r="T25" s="50" t="str">
        <f t="shared" si="4"/>
        <v>NorthBound</v>
      </c>
      <c r="U25" s="171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https://search-rtdc-monitor-bjffxe2xuh6vdkpspy63sjmuny.us-east-1.es.amazonaws.com/_plugin/kibana/#/discover/Steve-Slow-Train-Analysis-(2080s-and-2083s)?_g=(refreshInterval:(display:Off,section:0,value:0),time:(from:'2016-11-25 04:04:15-700',mode:absolute,to:'2016-11-25 06:51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25" s="52" t="str">
        <f t="shared" si="6"/>
        <v>N</v>
      </c>
      <c r="X25" s="177">
        <f t="shared" si="7"/>
        <v>1</v>
      </c>
      <c r="Y25" s="67">
        <f t="shared" si="8"/>
        <v>4.4900000000000002E-2</v>
      </c>
      <c r="Z25" s="67">
        <f t="shared" si="9"/>
        <v>23.3291</v>
      </c>
      <c r="AA25" s="67">
        <f t="shared" si="10"/>
        <v>23.284200000000002</v>
      </c>
      <c r="AB25" s="64" t="e">
        <f>VLOOKUP(A25,Enforcements!$C$7:$K$20,8,0)</f>
        <v>#N/A</v>
      </c>
      <c r="AC25" s="60" t="e">
        <f>VLOOKUP(A25,Enforcements!$C$7:$E$20,3,0)</f>
        <v>#N/A</v>
      </c>
      <c r="AD25" s="61" t="str">
        <f t="shared" si="11"/>
        <v>0113-25</v>
      </c>
      <c r="AE25" s="91" t="str">
        <f t="shared" si="12"/>
        <v>aws s3 cp s3://rtdc.mdm.uploadarchive.raw/RTDC4031/ "%USERPROFILE%\AppData\Local\Temp\OnboardLogs"\RTDC4031\2016-11-25 --exclude "*" --recursive --include "*20161125*" &amp; "%USERPROFILE%\Documents\GitHub\mrs-test-scripts\Headless Mode &amp; Sideloading\WalkAndUnGZ.bat" "%USERPROFILE%\AppData\Local\Temp\OnboardLogs"\RTDC4031\2016-11-25 &amp; aws s3 cp s3://rtdc.mdm.uploadarchive.raw/RTDC4031/ "%USERPROFILE%\AppData\Local\Temp\OnboardLogs"\RTDC4031\2016-11-26 --exclude "*" --recursive --include "*20161126*" &amp; "%USERPROFILE%\Documents\GitHub\mrs-test-scripts\Headless Mode &amp; Sideloading\WalkAndUnGZ.bat" "%USERPROFILE%\AppData\Local\Temp\OnboardLogs"\RTDC4031\2016-11-26</v>
      </c>
      <c r="AF25" s="88" t="str">
        <f t="shared" si="13"/>
        <v>"C:\Program Files (x86)\AstroGrep\AstroGrep.exe" /spath="%USERPROFILE%\AppData\Local\Temp\OnboardLogs" /stypes="app*4031*20161125*" /stext=" 12:.+((SYSTEM_STATE.+slice.+state.+changed )|(ment ac)|(system.+state.+changed )|(\[timeout)|(PRM\|1\|D)|(kpr)|(kdp)|(\|lc)|(penalty))" /e /r /s</v>
      </c>
      <c r="AG25" s="1" t="str">
        <f t="shared" si="14"/>
        <v>EC</v>
      </c>
      <c r="AH25" s="92" t="str">
        <f t="shared" si="17"/>
        <v>"%USERPROFILE%\Documents\GitHub\eaglep3\Utilities\RefineRTDCRunTimes.py" --tripid 113-25 --locoid 4031 --swversion DE.1.0.8.0 --startMP 204:449 --initTime 2016-11-25T05:04:15 --startdatetime 2016-11-25T05:15:22 --delay 1 --endMP 204:233291 --enddatetime 2016-11-25T05:51:51 --enforcementcount 0 &gt;&gt;C:\Users\stu\Documents\GitHub\eaglep3-reporting\EC\2016-11-25-refined-times.txt</v>
      </c>
      <c r="AI25" s="119" t="str">
        <f t="shared" si="18"/>
        <v>echo {"issue":{"subject":"","project_id":79,"tracker_id":40,"status_id":1,"priority_id":2,"assigned_to_id":23,"start_date":"2016-11-25","description":"","custom_fields":[{"id":1,"name":"Subdivision","value":"EC"},{"id":4,"name":"Milepost","value":"23.3291"},{"id":17,"name":"Train ID","value":"113-25"},{"id":16,"name":"Locomotive ID","value":"4031"},{"id":130,"name":"Impact","value":""},{"id":150,"name":"Time of Event (Mountain Time)","value":"05:51:51"},{"id":151,"name":"Denver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3"/>
      <c r="AK25" s="53"/>
      <c r="AL25" s="53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7" t="s">
        <v>488</v>
      </c>
      <c r="B26" s="7">
        <v>4032</v>
      </c>
      <c r="C26" s="22" t="s">
        <v>217</v>
      </c>
      <c r="D26" s="22" t="s">
        <v>322</v>
      </c>
      <c r="E26" s="13">
        <v>42699.254953703705</v>
      </c>
      <c r="F26" s="13">
        <v>42699.258136574077</v>
      </c>
      <c r="G26" s="7">
        <v>1</v>
      </c>
      <c r="H26" s="22" t="s">
        <v>244</v>
      </c>
      <c r="I26" s="13">
        <v>42699.283877314818</v>
      </c>
      <c r="J26" s="7">
        <v>0</v>
      </c>
      <c r="K26" s="109" t="str">
        <f t="shared" si="0"/>
        <v>4031/4032</v>
      </c>
      <c r="L26" s="22" t="str">
        <f>VLOOKUP(A26,'Trips&amp;Operators'!$C$1:$E$10000,3,FALSE)</f>
        <v>MAELZER</v>
      </c>
      <c r="M26" s="6">
        <f t="shared" si="1"/>
        <v>2.5740740740729962E-2</v>
      </c>
      <c r="N26" s="7">
        <f t="shared" si="2"/>
        <v>37.066666666651145</v>
      </c>
      <c r="O26" s="7"/>
      <c r="P26" s="7"/>
      <c r="Q26" s="23"/>
      <c r="R26" s="23"/>
      <c r="S26" s="35">
        <f t="shared" si="3"/>
        <v>1</v>
      </c>
      <c r="T26" s="50" t="str">
        <f t="shared" si="4"/>
        <v>Southbound</v>
      </c>
      <c r="U26" s="171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https://search-rtdc-monitor-bjffxe2xuh6vdkpspy63sjmuny.us-east-1.es.amazonaws.com/_plugin/kibana/#/discover/Steve-Slow-Train-Analysis-(2080s-and-2083s)?_g=(refreshInterval:(display:Off,section:0,value:0),time:(from:'2016-11-25 05:07:08-700',mode:absolute,to:'2016-11-25 07:48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26" s="52" t="str">
        <f t="shared" si="6"/>
        <v>N</v>
      </c>
      <c r="X26" s="177">
        <f t="shared" si="7"/>
        <v>1</v>
      </c>
      <c r="Y26" s="67">
        <f t="shared" si="8"/>
        <v>23.2989</v>
      </c>
      <c r="Z26" s="67">
        <f t="shared" si="9"/>
        <v>1.41E-2</v>
      </c>
      <c r="AA26" s="67">
        <f t="shared" si="10"/>
        <v>23.284800000000001</v>
      </c>
      <c r="AB26" s="64" t="e">
        <f>VLOOKUP(A26,Enforcements!$C$7:$K$20,8,0)</f>
        <v>#N/A</v>
      </c>
      <c r="AC26" s="60" t="e">
        <f>VLOOKUP(A26,Enforcements!$C$7:$E$20,3,0)</f>
        <v>#N/A</v>
      </c>
      <c r="AD26" s="61" t="str">
        <f t="shared" si="11"/>
        <v>0114-25</v>
      </c>
      <c r="AE26" s="91" t="str">
        <f t="shared" si="12"/>
        <v>aws s3 cp s3://rtdc.mdm.uploadarchive.raw/RTDC4032/ "%USERPROFILE%\AppData\Local\Temp\OnboardLogs"\RTDC4032\2016-11-25 --exclude "*" --recursive --include "*20161125*" &amp; "%USERPROFILE%\Documents\GitHub\mrs-test-scripts\Headless Mode &amp; Sideloading\WalkAndUnGZ.bat" "%USERPROFILE%\AppData\Local\Temp\OnboardLogs"\RTDC4032\2016-11-25 &amp; aws s3 cp s3://rtdc.mdm.uploadarchive.raw/RTDC4032/ "%USERPROFILE%\AppData\Local\Temp\OnboardLogs"\RTDC4032\2016-11-26 --exclude "*" --recursive --include "*20161126*" &amp; "%USERPROFILE%\Documents\GitHub\mrs-test-scripts\Headless Mode &amp; Sideloading\WalkAndUnGZ.bat" "%USERPROFILE%\AppData\Local\Temp\OnboardLogs"\RTDC4032\2016-11-26</v>
      </c>
      <c r="AF26" s="88" t="str">
        <f t="shared" si="13"/>
        <v>"C:\Program Files (x86)\AstroGrep\AstroGrep.exe" /spath="%USERPROFILE%\AppData\Local\Temp\OnboardLogs" /stypes="app*4032*20161125*" /stext=" 13:.+((SYSTEM_STATE.+slice.+state.+changed )|(ment ac)|(system.+state.+changed )|(\[timeout)|(PRM\|1\|D)|(kpr)|(kdp)|(\|lc)|(penalty))" /e /r /s</v>
      </c>
      <c r="AG26" s="1" t="str">
        <f t="shared" si="14"/>
        <v>EC</v>
      </c>
      <c r="AH26" s="92" t="str">
        <f t="shared" si="17"/>
        <v>"%USERPROFILE%\Documents\GitHub\eaglep3\Utilities\RefineRTDCRunTimes.py" --tripid 114-25 --locoid 4032 --swversion DE.1.0.8.0 --startMP 204:232989 --initTime 2016-11-25T06:07:08 --startdatetime 2016-11-25T06:11:43 --delay 1 --endMP 204:141 --enddatetime 2016-11-25T06:48:47 --enforcementcount 0 &gt;&gt;C:\Users\stu\Documents\GitHub\eaglep3-reporting\EC\2016-11-25-refined-times.txt</v>
      </c>
      <c r="AI26" s="119" t="str">
        <f t="shared" si="18"/>
        <v>echo {"issue":{"subject":"","project_id":79,"tracker_id":40,"status_id":1,"priority_id":2,"assigned_to_id":23,"start_date":"2016-11-25","description":"","custom_fields":[{"id":1,"name":"Subdivision","value":"EC"},{"id":4,"name":"Milepost","value":"0.0141"},{"id":17,"name":"Train ID","value":"114-25"},{"id":16,"name":"Locomotive ID","value":"4032"},{"id":130,"name":"Impact","value":""},{"id":150,"name":"Time of Event (Mountain Time)","value":"06:48:47"},{"id":151,"name":"Denver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3"/>
      <c r="AK26" s="53"/>
      <c r="AL26" s="53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7" t="s">
        <v>480</v>
      </c>
      <c r="B27" s="7">
        <v>4046</v>
      </c>
      <c r="C27" s="22" t="s">
        <v>217</v>
      </c>
      <c r="D27" s="22" t="s">
        <v>641</v>
      </c>
      <c r="E27" s="13">
        <v>42699.2266087963</v>
      </c>
      <c r="F27" s="13">
        <v>42699.229560185187</v>
      </c>
      <c r="G27" s="7">
        <v>1</v>
      </c>
      <c r="H27" s="22" t="s">
        <v>321</v>
      </c>
      <c r="I27" s="13">
        <v>42699.255219907405</v>
      </c>
      <c r="J27" s="7">
        <v>0</v>
      </c>
      <c r="K27" s="109" t="str">
        <f t="shared" si="0"/>
        <v>4045/4046</v>
      </c>
      <c r="L27" s="22" t="str">
        <f>VLOOKUP(A27,'Trips&amp;Operators'!$C$1:$E$10000,3,FALSE)</f>
        <v>JOHNSON</v>
      </c>
      <c r="M27" s="6">
        <f t="shared" si="1"/>
        <v>2.565972221782431E-2</v>
      </c>
      <c r="N27" s="7">
        <f t="shared" si="2"/>
        <v>36.949999993667006</v>
      </c>
      <c r="O27" s="7"/>
      <c r="P27" s="7"/>
      <c r="Q27" s="23"/>
      <c r="R27" s="23"/>
      <c r="S27" s="35">
        <f t="shared" si="3"/>
        <v>1</v>
      </c>
      <c r="T27" s="50" t="str">
        <f t="shared" si="4"/>
        <v>NorthBound</v>
      </c>
      <c r="U27" s="171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https://search-rtdc-monitor-bjffxe2xuh6vdkpspy63sjmuny.us-east-1.es.amazonaws.com/_plugin/kibana/#/discover/Steve-Slow-Train-Analysis-(2080s-and-2083s)?_g=(refreshInterval:(display:Off,section:0,value:0),time:(from:'2016-11-25 04:26:19-700',mode:absolute,to:'2016-11-25 07:07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27" s="52" t="str">
        <f t="shared" si="6"/>
        <v>N</v>
      </c>
      <c r="X27" s="177">
        <f t="shared" si="7"/>
        <v>1</v>
      </c>
      <c r="Y27" s="67">
        <f t="shared" si="8"/>
        <v>7.8600000000000003E-2</v>
      </c>
      <c r="Z27" s="67">
        <f t="shared" si="9"/>
        <v>23.330300000000001</v>
      </c>
      <c r="AA27" s="67">
        <f t="shared" si="10"/>
        <v>23.2517</v>
      </c>
      <c r="AB27" s="64" t="e">
        <f>VLOOKUP(A27,Enforcements!$C$7:$K$20,8,0)</f>
        <v>#N/A</v>
      </c>
      <c r="AC27" s="60" t="e">
        <f>VLOOKUP(A27,Enforcements!$C$7:$E$20,3,0)</f>
        <v>#N/A</v>
      </c>
      <c r="AD27" s="61" t="str">
        <f t="shared" si="11"/>
        <v>0115-25</v>
      </c>
      <c r="AE27" s="91" t="str">
        <f t="shared" si="12"/>
        <v>aws s3 cp s3://rtdc.mdm.uploadarchive.raw/RTDC4046/ "%USERPROFILE%\AppData\Local\Temp\OnboardLogs"\RTDC4046\2016-11-25 --exclude "*" --recursive --include "*20161125*" &amp; "%USERPROFILE%\Documents\GitHub\mrs-test-scripts\Headless Mode &amp; Sideloading\WalkAndUnGZ.bat" "%USERPROFILE%\AppData\Local\Temp\OnboardLogs"\RTDC4046\2016-11-25 &amp; aws s3 cp s3://rtdc.mdm.uploadarchive.raw/RTDC4046/ "%USERPROFILE%\AppData\Local\Temp\OnboardLogs"\RTDC4046\2016-11-26 --exclude "*" --recursive --include "*20161126*" &amp; "%USERPROFILE%\Documents\GitHub\mrs-test-scripts\Headless Mode &amp; Sideloading\WalkAndUnGZ.bat" "%USERPROFILE%\AppData\Local\Temp\OnboardLogs"\RTDC4046\2016-11-26</v>
      </c>
      <c r="AF27" s="88" t="str">
        <f t="shared" si="13"/>
        <v>"C:\Program Files (x86)\AstroGrep\AstroGrep.exe" /spath="%USERPROFILE%\AppData\Local\Temp\OnboardLogs" /stypes="app*4046*20161125*" /stext=" 13:.+((SYSTEM_STATE.+slice.+state.+changed )|(ment ac)|(system.+state.+changed )|(\[timeout)|(PRM\|1\|D)|(kpr)|(kdp)|(\|lc)|(penalty))" /e /r /s</v>
      </c>
      <c r="AG27" s="1" t="str">
        <f t="shared" si="14"/>
        <v>EC</v>
      </c>
      <c r="AH27" s="92" t="str">
        <f t="shared" si="17"/>
        <v>"%USERPROFILE%\Documents\GitHub\eaglep3\Utilities\RefineRTDCRunTimes.py" --tripid 115-25 --locoid 4046 --swversion DE.1.0.8.0 --startMP 204:786 --initTime 2016-11-25T05:26:19 --startdatetime 2016-11-25T05:30:34 --delay 1 --endMP 204:233303 --enddatetime 2016-11-25T06:07:31 --enforcementcount 0 &gt;&gt;C:\Users\stu\Documents\GitHub\eaglep3-reporting\EC\2016-11-25-refined-times.txt</v>
      </c>
      <c r="AI27" s="119" t="str">
        <f t="shared" si="18"/>
        <v>echo {"issue":{"subject":"","project_id":79,"tracker_id":40,"status_id":1,"priority_id":2,"assigned_to_id":23,"start_date":"2016-11-25","description":"","custom_fields":[{"id":1,"name":"Subdivision","value":"EC"},{"id":4,"name":"Milepost","value":"23.3303"},{"id":17,"name":"Train ID","value":"115-25"},{"id":16,"name":"Locomotive ID","value":"4046"},{"id":130,"name":"Impact","value":""},{"id":150,"name":"Time of Event (Mountain Time)","value":"06:07:31"},{"id":151,"name":"Denver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3"/>
      <c r="AK27" s="53"/>
      <c r="AL27" s="53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7" t="s">
        <v>490</v>
      </c>
      <c r="B28" s="7">
        <v>4045</v>
      </c>
      <c r="C28" s="22" t="s">
        <v>217</v>
      </c>
      <c r="D28" s="22" t="s">
        <v>249</v>
      </c>
      <c r="E28" s="13">
        <v>42699.258009259262</v>
      </c>
      <c r="F28" s="13">
        <v>42699.268692129626</v>
      </c>
      <c r="G28" s="7">
        <v>2</v>
      </c>
      <c r="H28" s="22" t="s">
        <v>361</v>
      </c>
      <c r="I28" s="13">
        <v>42699.29614583333</v>
      </c>
      <c r="J28" s="7">
        <v>0</v>
      </c>
      <c r="K28" s="109" t="str">
        <f t="shared" si="0"/>
        <v>4045/4046</v>
      </c>
      <c r="L28" s="22" t="str">
        <f>VLOOKUP(A28,'Trips&amp;Operators'!$C$1:$E$10000,3,FALSE)</f>
        <v>JOHNSON</v>
      </c>
      <c r="M28" s="6">
        <f t="shared" si="1"/>
        <v>2.7453703703940846E-2</v>
      </c>
      <c r="N28" s="7">
        <f t="shared" si="2"/>
        <v>39.533333333674818</v>
      </c>
      <c r="O28" s="7"/>
      <c r="P28" s="7"/>
      <c r="Q28" s="23"/>
      <c r="R28" s="23"/>
      <c r="S28" s="35">
        <f t="shared" si="3"/>
        <v>1</v>
      </c>
      <c r="T28" s="50" t="str">
        <f t="shared" si="4"/>
        <v>Southbound</v>
      </c>
      <c r="U28" s="171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https://search-rtdc-monitor-bjffxe2xuh6vdkpspy63sjmuny.us-east-1.es.amazonaws.com/_plugin/kibana/#/discover/Steve-Slow-Train-Analysis-(2080s-and-2083s)?_g=(refreshInterval:(display:Off,section:0,value:0),time:(from:'2016-11-25 05:11:32-700',mode:absolute,to:'2016-11-25 08:06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28" s="52" t="str">
        <f t="shared" si="6"/>
        <v>N</v>
      </c>
      <c r="X28" s="177">
        <f t="shared" si="7"/>
        <v>1</v>
      </c>
      <c r="Y28" s="67">
        <f t="shared" si="8"/>
        <v>23.299399999999999</v>
      </c>
      <c r="Z28" s="67">
        <f t="shared" si="9"/>
        <v>1.3599999999999999E-2</v>
      </c>
      <c r="AA28" s="67">
        <f t="shared" si="10"/>
        <v>23.285799999999998</v>
      </c>
      <c r="AB28" s="64" t="e">
        <f>VLOOKUP(A28,Enforcements!$C$7:$K$20,8,0)</f>
        <v>#N/A</v>
      </c>
      <c r="AC28" s="60" t="e">
        <f>VLOOKUP(A28,Enforcements!$C$7:$E$20,3,0)</f>
        <v>#N/A</v>
      </c>
      <c r="AD28" s="61" t="str">
        <f t="shared" si="11"/>
        <v>0116-25</v>
      </c>
      <c r="AE28" s="91" t="str">
        <f t="shared" si="12"/>
        <v>aws s3 cp s3://rtdc.mdm.uploadarchive.raw/RTDC4045/ "%USERPROFILE%\AppData\Local\Temp\OnboardLogs"\RTDC4045\2016-11-25 --exclude "*" --recursive --include "*20161125*" &amp; "%USERPROFILE%\Documents\GitHub\mrs-test-scripts\Headless Mode &amp; Sideloading\WalkAndUnGZ.bat" "%USERPROFILE%\AppData\Local\Temp\OnboardLogs"\RTDC4045\2016-11-25 &amp; aws s3 cp s3://rtdc.mdm.uploadarchive.raw/RTDC4045/ "%USERPROFILE%\AppData\Local\Temp\OnboardLogs"\RTDC4045\2016-11-26 --exclude "*" --recursive --include "*20161126*" &amp; "%USERPROFILE%\Documents\GitHub\mrs-test-scripts\Headless Mode &amp; Sideloading\WalkAndUnGZ.bat" "%USERPROFILE%\AppData\Local\Temp\OnboardLogs"\RTDC4045\2016-11-26</v>
      </c>
      <c r="AF28" s="88" t="str">
        <f t="shared" si="13"/>
        <v>"C:\Program Files (x86)\AstroGrep\AstroGrep.exe" /spath="%USERPROFILE%\AppData\Local\Temp\OnboardLogs" /stypes="app*4045*20161125*" /stext=" 14:.+((SYSTEM_STATE.+slice.+state.+changed )|(ment ac)|(system.+state.+changed )|(\[timeout)|(PRM\|1\|D)|(kpr)|(kdp)|(\|lc)|(penalty))" /e /r /s</v>
      </c>
      <c r="AG28" s="1" t="str">
        <f t="shared" si="14"/>
        <v>EC</v>
      </c>
      <c r="AH28" s="92" t="str">
        <f t="shared" si="17"/>
        <v>"%USERPROFILE%\Documents\GitHub\eaglep3\Utilities\RefineRTDCRunTimes.py" --tripid 116-25 --locoid 4045 --swversion DE.1.0.8.0 --startMP 204:232994 --initTime 2016-11-25T06:11:32 --startdatetime 2016-11-25T06:26:55 --delay 2 --endMP 204:136 --enddatetime 2016-11-25T07:06:27 --enforcementcount 0 &gt;&gt;C:\Users\stu\Documents\GitHub\eaglep3-reporting\EC\2016-11-25-refined-times.txt</v>
      </c>
      <c r="AI28" s="119" t="str">
        <f t="shared" si="18"/>
        <v>echo {"issue":{"subject":"","project_id":79,"tracker_id":40,"status_id":1,"priority_id":2,"assigned_to_id":23,"start_date":"2016-11-25","description":"","custom_fields":[{"id":1,"name":"Subdivision","value":"EC"},{"id":4,"name":"Milepost","value":"0.0136"},{"id":17,"name":"Train ID","value":"116-25"},{"id":16,"name":"Locomotive ID","value":"4045"},{"id":130,"name":"Impact","value":""},{"id":150,"name":"Time of Event (Mountain Time)","value":"07:06:27"},{"id":151,"name":"Denver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3"/>
      <c r="AK28" s="53"/>
      <c r="AL28" s="53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7" t="s">
        <v>483</v>
      </c>
      <c r="B29" s="7">
        <v>4011</v>
      </c>
      <c r="C29" s="22" t="s">
        <v>217</v>
      </c>
      <c r="D29" s="22" t="s">
        <v>324</v>
      </c>
      <c r="E29" s="13">
        <v>42699.231678240743</v>
      </c>
      <c r="F29" s="13">
        <v>42699.239745370367</v>
      </c>
      <c r="G29" s="7">
        <v>1</v>
      </c>
      <c r="H29" s="22" t="s">
        <v>260</v>
      </c>
      <c r="I29" s="13">
        <v>42699.2655787037</v>
      </c>
      <c r="J29" s="7">
        <v>0</v>
      </c>
      <c r="K29" s="109" t="str">
        <f t="shared" si="0"/>
        <v>4011/4012</v>
      </c>
      <c r="L29" s="22" t="str">
        <f>VLOOKUP(A29,'Trips&amp;Operators'!$C$1:$E$10000,3,FALSE)</f>
        <v>DAVIS</v>
      </c>
      <c r="M29" s="6">
        <f t="shared" si="1"/>
        <v>2.5833333333139308E-2</v>
      </c>
      <c r="N29" s="7">
        <f t="shared" si="2"/>
        <v>37.199999999720603</v>
      </c>
      <c r="O29" s="7"/>
      <c r="P29" s="7"/>
      <c r="Q29" s="23"/>
      <c r="R29" s="23"/>
      <c r="S29" s="35">
        <f t="shared" si="3"/>
        <v>1</v>
      </c>
      <c r="T29" s="50" t="str">
        <f t="shared" si="4"/>
        <v>NorthBound</v>
      </c>
      <c r="U29" s="171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https://search-rtdc-monitor-bjffxe2xuh6vdkpspy63sjmuny.us-east-1.es.amazonaws.com/_plugin/kibana/#/discover/Steve-Slow-Train-Analysis-(2080s-and-2083s)?_g=(refreshInterval:(display:Off,section:0,value:0),time:(from:'2016-11-25 04:33:37-700',mode:absolute,to:'2016-11-25 07:22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29" s="52" t="str">
        <f t="shared" si="6"/>
        <v>N</v>
      </c>
      <c r="X29" s="177">
        <f t="shared" si="7"/>
        <v>1</v>
      </c>
      <c r="Y29" s="67">
        <f t="shared" si="8"/>
        <v>4.3099999999999999E-2</v>
      </c>
      <c r="Z29" s="67">
        <f t="shared" si="9"/>
        <v>23.331399999999999</v>
      </c>
      <c r="AA29" s="67">
        <f t="shared" si="10"/>
        <v>23.2883</v>
      </c>
      <c r="AB29" s="64" t="e">
        <f>VLOOKUP(A29,Enforcements!$C$7:$K$20,8,0)</f>
        <v>#N/A</v>
      </c>
      <c r="AC29" s="60" t="e">
        <f>VLOOKUP(A29,Enforcements!$C$7:$E$20,3,0)</f>
        <v>#N/A</v>
      </c>
      <c r="AD29" s="61" t="str">
        <f t="shared" si="11"/>
        <v>0117-25</v>
      </c>
      <c r="AE29" s="91" t="str">
        <f t="shared" si="12"/>
        <v>aws s3 cp s3://rtdc.mdm.uploadarchive.raw/RTDC4011/ "%USERPROFILE%\AppData\Local\Temp\OnboardLogs"\RTDC4011\2016-11-25 --exclude "*" --recursive --include "*20161125*" &amp; "%USERPROFILE%\Documents\GitHub\mrs-test-scripts\Headless Mode &amp; Sideloading\WalkAndUnGZ.bat" "%USERPROFILE%\AppData\Local\Temp\OnboardLogs"\RTDC4011\2016-11-25 &amp; aws s3 cp s3://rtdc.mdm.uploadarchive.raw/RTDC4011/ "%USERPROFILE%\AppData\Local\Temp\OnboardLogs"\RTDC4011\2016-11-26 --exclude "*" --recursive --include "*20161126*" &amp; "%USERPROFILE%\Documents\GitHub\mrs-test-scripts\Headless Mode &amp; Sideloading\WalkAndUnGZ.bat" "%USERPROFILE%\AppData\Local\Temp\OnboardLogs"\RTDC4011\2016-11-26</v>
      </c>
      <c r="AF29" s="88" t="str">
        <f t="shared" si="13"/>
        <v>"C:\Program Files (x86)\AstroGrep\AstroGrep.exe" /spath="%USERPROFILE%\AppData\Local\Temp\OnboardLogs" /stypes="app*4011*20161125*" /stext=" 13:.+((SYSTEM_STATE.+slice.+state.+changed )|(ment ac)|(system.+state.+changed )|(\[timeout)|(PRM\|1\|D)|(kpr)|(kdp)|(\|lc)|(penalty))" /e /r /s</v>
      </c>
      <c r="AG29" s="1" t="str">
        <f t="shared" si="14"/>
        <v>EC</v>
      </c>
      <c r="AH29" s="92" t="str">
        <f t="shared" si="17"/>
        <v>"%USERPROFILE%\Documents\GitHub\eaglep3\Utilities\RefineRTDCRunTimes.py" --tripid 117-25 --locoid 4011 --swversion DE.1.0.8.0 --startMP 204:431 --initTime 2016-11-25T05:33:37 --startdatetime 2016-11-25T05:45:14 --delay 1 --endMP 204:233314 --enddatetime 2016-11-25T06:22:26 --enforcementcount 0 &gt;&gt;C:\Users\stu\Documents\GitHub\eaglep3-reporting\EC\2016-11-25-refined-times.txt</v>
      </c>
      <c r="AI29" s="119" t="str">
        <f t="shared" si="18"/>
        <v>echo {"issue":{"subject":"","project_id":79,"tracker_id":40,"status_id":1,"priority_id":2,"assigned_to_id":23,"start_date":"2016-11-25","description":"","custom_fields":[{"id":1,"name":"Subdivision","value":"EC"},{"id":4,"name":"Milepost","value":"23.3314"},{"id":17,"name":"Train ID","value":"117-25"},{"id":16,"name":"Locomotive ID","value":"4011"},{"id":130,"name":"Impact","value":""},{"id":150,"name":"Time of Event (Mountain Time)","value":"06:22:26"},{"id":151,"name":"Denver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3"/>
      <c r="AK29" s="53"/>
      <c r="AL29" s="53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7" t="s">
        <v>410</v>
      </c>
      <c r="B30" s="7">
        <v>4012</v>
      </c>
      <c r="C30" s="22" t="s">
        <v>217</v>
      </c>
      <c r="D30" s="22" t="s">
        <v>365</v>
      </c>
      <c r="E30" s="13">
        <v>42699.275127314817</v>
      </c>
      <c r="F30" s="13">
        <v>42699.278634259259</v>
      </c>
      <c r="G30" s="7">
        <v>1</v>
      </c>
      <c r="H30" s="22" t="s">
        <v>361</v>
      </c>
      <c r="I30" s="13">
        <v>42699.30773148148</v>
      </c>
      <c r="J30" s="7">
        <v>1</v>
      </c>
      <c r="K30" s="109" t="str">
        <f t="shared" si="0"/>
        <v>4011/4012</v>
      </c>
      <c r="L30" s="22" t="str">
        <f>VLOOKUP(A30,'Trips&amp;Operators'!$C$1:$E$10000,3,FALSE)</f>
        <v>DAVIS</v>
      </c>
      <c r="M30" s="6">
        <f t="shared" si="1"/>
        <v>2.9097222221025731E-2</v>
      </c>
      <c r="N30" s="7">
        <f t="shared" si="2"/>
        <v>41.899999998277053</v>
      </c>
      <c r="O30" s="7"/>
      <c r="P30" s="7"/>
      <c r="Q30" s="23"/>
      <c r="R30" s="23"/>
      <c r="S30" s="35">
        <f t="shared" si="3"/>
        <v>1</v>
      </c>
      <c r="T30" s="50" t="str">
        <f t="shared" si="4"/>
        <v>Southbound</v>
      </c>
      <c r="U30" s="171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https://search-rtdc-monitor-bjffxe2xuh6vdkpspy63sjmuny.us-east-1.es.amazonaws.com/_plugin/kibana/#/discover/Steve-Slow-Train-Analysis-(2080s-and-2083s)?_g=(refreshInterval:(display:Off,section:0,value:0),time:(from:'2016-11-25 05:36:11-700',mode:absolute,to:'2016-11-25 08:23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30" s="52" t="str">
        <f t="shared" si="6"/>
        <v>N</v>
      </c>
      <c r="X30" s="177">
        <f t="shared" si="7"/>
        <v>1</v>
      </c>
      <c r="Y30" s="67">
        <f t="shared" si="8"/>
        <v>23.299600000000002</v>
      </c>
      <c r="Z30" s="67">
        <f t="shared" si="9"/>
        <v>1.3599999999999999E-2</v>
      </c>
      <c r="AA30" s="67">
        <f t="shared" si="10"/>
        <v>23.286000000000001</v>
      </c>
      <c r="AB30" s="64" t="e">
        <f>VLOOKUP(A30,Enforcements!$C$7:$K$20,8,0)</f>
        <v>#N/A</v>
      </c>
      <c r="AC30" s="60" t="e">
        <f>VLOOKUP(A30,Enforcements!$C$7:$E$20,3,0)</f>
        <v>#N/A</v>
      </c>
      <c r="AD30" s="61" t="str">
        <f t="shared" si="11"/>
        <v>0118-25</v>
      </c>
      <c r="AE30" s="91" t="str">
        <f t="shared" si="12"/>
        <v>aws s3 cp s3://rtdc.mdm.uploadarchive.raw/RTDC4012/ "%USERPROFILE%\AppData\Local\Temp\OnboardLogs"\RTDC4012\2016-11-25 --exclude "*" --recursive --include "*20161125*" &amp; "%USERPROFILE%\Documents\GitHub\mrs-test-scripts\Headless Mode &amp; Sideloading\WalkAndUnGZ.bat" "%USERPROFILE%\AppData\Local\Temp\OnboardLogs"\RTDC4012\2016-11-25 &amp; aws s3 cp s3://rtdc.mdm.uploadarchive.raw/RTDC4012/ "%USERPROFILE%\AppData\Local\Temp\OnboardLogs"\RTDC4012\2016-11-26 --exclude "*" --recursive --include "*20161126*" &amp; "%USERPROFILE%\Documents\GitHub\mrs-test-scripts\Headless Mode &amp; Sideloading\WalkAndUnGZ.bat" "%USERPROFILE%\AppData\Local\Temp\OnboardLogs"\RTDC4012\2016-11-26</v>
      </c>
      <c r="AF30" s="88" t="str">
        <f t="shared" si="13"/>
        <v>"C:\Program Files (x86)\AstroGrep\AstroGrep.exe" /spath="%USERPROFILE%\AppData\Local\Temp\OnboardLogs" /stypes="app*4012*20161125*" /stext=" 14:.+((SYSTEM_STATE.+slice.+state.+changed )|(ment ac)|(system.+state.+changed )|(\[timeout)|(PRM\|1\|D)|(kpr)|(kdp)|(\|lc)|(penalty))" /e /r /s</v>
      </c>
      <c r="AG30" s="1" t="str">
        <f t="shared" si="14"/>
        <v>EC</v>
      </c>
      <c r="AH30" s="92" t="str">
        <f t="shared" si="17"/>
        <v>"%USERPROFILE%\Documents\GitHub\eaglep3\Utilities\RefineRTDCRunTimes.py" --tripid 118-25 --locoid 4012 --swversion DE.1.0.8.0 --startMP 204:232996 --initTime 2016-11-25T06:36:11 --startdatetime 2016-11-25T06:41:14 --delay 1 --endMP 204:136 --enddatetime 2016-11-25T07:23:08 --enforcementcount 1 &gt;&gt;C:\Users\stu\Documents\GitHub\eaglep3-reporting\EC\2016-11-25-refined-times.txt</v>
      </c>
      <c r="AI30" s="119" t="str">
        <f t="shared" si="18"/>
        <v>echo {"issue":{"subject":"","project_id":79,"tracker_id":40,"status_id":1,"priority_id":2,"assigned_to_id":23,"start_date":"2016-11-25","description":"","custom_fields":[{"id":1,"name":"Subdivision","value":"EC"},{"id":4,"name":"Milepost","value":"0.0136"},{"id":17,"name":"Train ID","value":"118-25"},{"id":16,"name":"Locomotive ID","value":"4012"},{"id":130,"name":"Impact","value":""},{"id":150,"name":"Time of Event (Mountain Time)","value":"07:23:08"},{"id":151,"name":"Denver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3"/>
      <c r="AK30" s="53"/>
      <c r="AL30" s="53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7" t="s">
        <v>485</v>
      </c>
      <c r="B31" s="7">
        <v>4014</v>
      </c>
      <c r="C31" s="22" t="s">
        <v>217</v>
      </c>
      <c r="D31" s="22" t="s">
        <v>642</v>
      </c>
      <c r="E31" s="13">
        <v>42699.245798611111</v>
      </c>
      <c r="F31" s="13">
        <v>42699.250196759262</v>
      </c>
      <c r="G31" s="7">
        <v>1</v>
      </c>
      <c r="H31" s="22" t="s">
        <v>329</v>
      </c>
      <c r="I31" s="13">
        <v>42699.27484953704</v>
      </c>
      <c r="J31" s="7">
        <v>0</v>
      </c>
      <c r="K31" s="109" t="str">
        <f t="shared" si="0"/>
        <v>4013/4014</v>
      </c>
      <c r="L31" s="22" t="str">
        <f>VLOOKUP(A31,'Trips&amp;Operators'!$C$1:$E$10000,3,FALSE)</f>
        <v>ROBINSON</v>
      </c>
      <c r="M31" s="6">
        <f t="shared" si="1"/>
        <v>2.4652777778101154E-2</v>
      </c>
      <c r="N31" s="7">
        <f t="shared" si="2"/>
        <v>35.500000000465661</v>
      </c>
      <c r="O31" s="7"/>
      <c r="P31" s="7"/>
      <c r="Q31" s="23"/>
      <c r="R31" s="23"/>
      <c r="S31" s="35">
        <f t="shared" si="3"/>
        <v>1</v>
      </c>
      <c r="T31" s="50" t="str">
        <f t="shared" si="4"/>
        <v>NorthBound</v>
      </c>
      <c r="U31" s="171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https://search-rtdc-monitor-bjffxe2xuh6vdkpspy63sjmuny.us-east-1.es.amazonaws.com/_plugin/kibana/#/discover/Steve-Slow-Train-Analysis-(2080s-and-2083s)?_g=(refreshInterval:(display:Off,section:0,value:0),time:(from:'2016-11-25 04:53:57-700',mode:absolute,to:'2016-11-25 07:35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31" s="52" t="str">
        <f t="shared" si="6"/>
        <v>N</v>
      </c>
      <c r="X31" s="177">
        <f t="shared" si="7"/>
        <v>1</v>
      </c>
      <c r="Y31" s="67">
        <f t="shared" si="8"/>
        <v>7.3499999999999996E-2</v>
      </c>
      <c r="Z31" s="67">
        <f t="shared" si="9"/>
        <v>23.332599999999999</v>
      </c>
      <c r="AA31" s="67">
        <f t="shared" si="10"/>
        <v>23.2591</v>
      </c>
      <c r="AB31" s="64" t="e">
        <f>VLOOKUP(A31,Enforcements!$C$7:$K$20,8,0)</f>
        <v>#N/A</v>
      </c>
      <c r="AC31" s="60" t="e">
        <f>VLOOKUP(A31,Enforcements!$C$7:$E$20,3,0)</f>
        <v>#N/A</v>
      </c>
      <c r="AD31" s="61" t="str">
        <f t="shared" si="11"/>
        <v>0119-25</v>
      </c>
      <c r="AE31" s="91" t="str">
        <f t="shared" si="12"/>
        <v>aws s3 cp s3://rtdc.mdm.uploadarchive.raw/RTDC4014/ "%USERPROFILE%\AppData\Local\Temp\OnboardLogs"\RTDC4014\2016-11-25 --exclude "*" --recursive --include "*20161125*" &amp; "%USERPROFILE%\Documents\GitHub\mrs-test-scripts\Headless Mode &amp; Sideloading\WalkAndUnGZ.bat" "%USERPROFILE%\AppData\Local\Temp\OnboardLogs"\RTDC4014\2016-11-25 &amp; aws s3 cp s3://rtdc.mdm.uploadarchive.raw/RTDC4014/ "%USERPROFILE%\AppData\Local\Temp\OnboardLogs"\RTDC4014\2016-11-26 --exclude "*" --recursive --include "*20161126*" &amp; "%USERPROFILE%\Documents\GitHub\mrs-test-scripts\Headless Mode &amp; Sideloading\WalkAndUnGZ.bat" "%USERPROFILE%\AppData\Local\Temp\OnboardLogs"\RTDC4014\2016-11-26</v>
      </c>
      <c r="AF31" s="88" t="str">
        <f t="shared" si="13"/>
        <v>"C:\Program Files (x86)\AstroGrep\AstroGrep.exe" /spath="%USERPROFILE%\AppData\Local\Temp\OnboardLogs" /stypes="app*4014*20161125*" /stext=" 13:.+((SYSTEM_STATE.+slice.+state.+changed )|(ment ac)|(system.+state.+changed )|(\[timeout)|(PRM\|1\|D)|(kpr)|(kdp)|(\|lc)|(penalty))" /e /r /s</v>
      </c>
      <c r="AG31" s="1" t="str">
        <f t="shared" si="14"/>
        <v>EC</v>
      </c>
      <c r="AH31" s="92" t="str">
        <f t="shared" si="17"/>
        <v>"%USERPROFILE%\Documents\GitHub\eaglep3\Utilities\RefineRTDCRunTimes.py" --tripid 119-25 --locoid 4014 --swversion DE.1.0.8.0 --startMP 204:735 --initTime 2016-11-25T05:53:57 --startdatetime 2016-11-25T06:00:17 --delay 1 --endMP 204:233326 --enddatetime 2016-11-25T06:35:47 --enforcementcount 0 &gt;&gt;C:\Users\stu\Documents\GitHub\eaglep3-reporting\EC\2016-11-25-refined-times.txt</v>
      </c>
      <c r="AI31" s="119" t="str">
        <f t="shared" si="18"/>
        <v>echo {"issue":{"subject":"","project_id":79,"tracker_id":40,"status_id":1,"priority_id":2,"assigned_to_id":23,"start_date":"2016-11-25","description":"","custom_fields":[{"id":1,"name":"Subdivision","value":"EC"},{"id":4,"name":"Milepost","value":"23.3326"},{"id":17,"name":"Train ID","value":"119-25"},{"id":16,"name":"Locomotive ID","value":"4014"},{"id":130,"name":"Impact","value":""},{"id":150,"name":"Time of Event (Mountain Time)","value":"06:35:47"},{"id":151,"name":"Denver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3"/>
      <c r="AK31" s="53"/>
      <c r="AL31" s="53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7" t="s">
        <v>409</v>
      </c>
      <c r="B32" s="7">
        <v>4013</v>
      </c>
      <c r="C32" s="22" t="s">
        <v>217</v>
      </c>
      <c r="D32" s="22" t="s">
        <v>305</v>
      </c>
      <c r="E32" s="13">
        <v>42699.280289351853</v>
      </c>
      <c r="F32" s="13">
        <v>42699.289085648146</v>
      </c>
      <c r="G32" s="7">
        <v>1</v>
      </c>
      <c r="H32" s="22" t="s">
        <v>275</v>
      </c>
      <c r="I32" s="13">
        <v>42699.315289351849</v>
      </c>
      <c r="J32" s="7">
        <v>1</v>
      </c>
      <c r="K32" s="109" t="str">
        <f t="shared" si="0"/>
        <v>4013/4014</v>
      </c>
      <c r="L32" s="22" t="str">
        <f>VLOOKUP(A32,'Trips&amp;Operators'!$C$1:$E$10000,3,FALSE)</f>
        <v>ROBINSON</v>
      </c>
      <c r="M32" s="6">
        <f t="shared" si="1"/>
        <v>2.6203703702776693E-2</v>
      </c>
      <c r="N32" s="7">
        <f t="shared" si="2"/>
        <v>37.733333331998438</v>
      </c>
      <c r="O32" s="7"/>
      <c r="P32" s="7"/>
      <c r="Q32" s="23"/>
      <c r="R32" s="23"/>
      <c r="S32" s="35">
        <f t="shared" si="3"/>
        <v>1</v>
      </c>
      <c r="T32" s="50" t="str">
        <f t="shared" si="4"/>
        <v>Southbound</v>
      </c>
      <c r="U32" s="171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https://search-rtdc-monitor-bjffxe2xuh6vdkpspy63sjmuny.us-east-1.es.amazonaws.com/_plugin/kibana/#/discover/Steve-Slow-Train-Analysis-(2080s-and-2083s)?_g=(refreshInterval:(display:Off,section:0,value:0),time:(from:'2016-11-25 05:43:37-700',mode:absolute,to:'2016-11-25 08:34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32" s="52" t="str">
        <f t="shared" si="6"/>
        <v>N</v>
      </c>
      <c r="X32" s="177">
        <f t="shared" si="7"/>
        <v>1</v>
      </c>
      <c r="Y32" s="67">
        <f t="shared" si="8"/>
        <v>23.3</v>
      </c>
      <c r="Z32" s="67">
        <f t="shared" si="9"/>
        <v>1.3899999999999999E-2</v>
      </c>
      <c r="AA32" s="67">
        <f t="shared" si="10"/>
        <v>23.286100000000001</v>
      </c>
      <c r="AB32" s="64" t="e">
        <f>VLOOKUP(A32,Enforcements!$C$7:$K$20,8,0)</f>
        <v>#N/A</v>
      </c>
      <c r="AC32" s="60" t="e">
        <f>VLOOKUP(A32,Enforcements!$C$7:$E$20,3,0)</f>
        <v>#N/A</v>
      </c>
      <c r="AD32" s="61" t="str">
        <f t="shared" si="11"/>
        <v>0120-25</v>
      </c>
      <c r="AE32" s="91" t="str">
        <f t="shared" si="12"/>
        <v>aws s3 cp s3://rtdc.mdm.uploadarchive.raw/RTDC4013/ "%USERPROFILE%\AppData\Local\Temp\OnboardLogs"\RTDC4013\2016-11-25 --exclude "*" --recursive --include "*20161125*" &amp; "%USERPROFILE%\Documents\GitHub\mrs-test-scripts\Headless Mode &amp; Sideloading\WalkAndUnGZ.bat" "%USERPROFILE%\AppData\Local\Temp\OnboardLogs"\RTDC4013\2016-11-25 &amp; aws s3 cp s3://rtdc.mdm.uploadarchive.raw/RTDC4013/ "%USERPROFILE%\AppData\Local\Temp\OnboardLogs"\RTDC4013\2016-11-26 --exclude "*" --recursive --include "*20161126*" &amp; "%USERPROFILE%\Documents\GitHub\mrs-test-scripts\Headless Mode &amp; Sideloading\WalkAndUnGZ.bat" "%USERPROFILE%\AppData\Local\Temp\OnboardLogs"\RTDC4013\2016-11-26</v>
      </c>
      <c r="AF32" s="88" t="str">
        <f t="shared" si="13"/>
        <v>"C:\Program Files (x86)\AstroGrep\AstroGrep.exe" /spath="%USERPROFILE%\AppData\Local\Temp\OnboardLogs" /stypes="app*4013*20161125*" /stext=" 14:.+((SYSTEM_STATE.+slice.+state.+changed )|(ment ac)|(system.+state.+changed )|(\[timeout)|(PRM\|1\|D)|(kpr)|(kdp)|(\|lc)|(penalty))" /e /r /s</v>
      </c>
      <c r="AG32" s="1" t="str">
        <f t="shared" si="14"/>
        <v>EC</v>
      </c>
      <c r="AH32" s="92" t="str">
        <f t="shared" si="17"/>
        <v>"%USERPROFILE%\Documents\GitHub\eaglep3\Utilities\RefineRTDCRunTimes.py" --tripid 120-25 --locoid 4013 --swversion DE.1.0.8.0 --startMP 204:233000 --initTime 2016-11-25T06:43:37 --startdatetime 2016-11-25T06:56:17 --delay 1 --endMP 204:139 --enddatetime 2016-11-25T07:34:01 --enforcementcount 1 &gt;&gt;C:\Users\stu\Documents\GitHub\eaglep3-reporting\EC\2016-11-25-refined-times.txt</v>
      </c>
      <c r="AI32" s="119" t="str">
        <f t="shared" si="18"/>
        <v>echo {"issue":{"subject":"","project_id":79,"tracker_id":40,"status_id":1,"priority_id":2,"assigned_to_id":23,"start_date":"2016-11-25","description":"","custom_fields":[{"id":1,"name":"Subdivision","value":"EC"},{"id":4,"name":"Milepost","value":"0.0139"},{"id":17,"name":"Train ID","value":"120-25"},{"id":16,"name":"Locomotive ID","value":"4013"},{"id":130,"name":"Impact","value":""},{"id":150,"name":"Time of Event (Mountain Time)","value":"07:34:01"},{"id":151,"name":"Denver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3"/>
      <c r="AK32" s="53"/>
      <c r="AL32" s="53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7" t="s">
        <v>487</v>
      </c>
      <c r="B33" s="7">
        <v>4042</v>
      </c>
      <c r="C33" s="22" t="s">
        <v>217</v>
      </c>
      <c r="D33" s="22" t="s">
        <v>214</v>
      </c>
      <c r="E33" s="13">
        <v>42699.260648148149</v>
      </c>
      <c r="F33" s="13">
        <v>42699.262662037036</v>
      </c>
      <c r="G33" s="7">
        <v>2</v>
      </c>
      <c r="H33" s="22" t="s">
        <v>643</v>
      </c>
      <c r="I33" s="13">
        <v>42699.287881944445</v>
      </c>
      <c r="J33" s="7">
        <v>0</v>
      </c>
      <c r="K33" s="109" t="str">
        <f t="shared" si="0"/>
        <v>4041/4042</v>
      </c>
      <c r="L33" s="22" t="str">
        <f>VLOOKUP(A33,'Trips&amp;Operators'!$C$1:$E$10000,3,FALSE)</f>
        <v>ISHMAEL</v>
      </c>
      <c r="M33" s="6">
        <f t="shared" si="1"/>
        <v>2.5219907409336884E-2</v>
      </c>
      <c r="N33" s="7">
        <f t="shared" si="2"/>
        <v>36.316666669445112</v>
      </c>
      <c r="O33" s="7"/>
      <c r="P33" s="7"/>
      <c r="Q33" s="23"/>
      <c r="R33" s="23"/>
      <c r="S33" s="35">
        <f t="shared" si="3"/>
        <v>1</v>
      </c>
      <c r="T33" s="50" t="str">
        <f t="shared" si="4"/>
        <v>NorthBound</v>
      </c>
      <c r="U33" s="171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https://search-rtdc-monitor-bjffxe2xuh6vdkpspy63sjmuny.us-east-1.es.amazonaws.com/_plugin/kibana/#/discover/Steve-Slow-Train-Analysis-(2080s-and-2083s)?_g=(refreshInterval:(display:Off,section:0,value:0),time:(from:'2016-11-25 05:15:20-700',mode:absolute,to:'2016-11-25 07:54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33" s="52" t="str">
        <f t="shared" si="6"/>
        <v>N</v>
      </c>
      <c r="X33" s="177">
        <f t="shared" si="7"/>
        <v>1</v>
      </c>
      <c r="Y33" s="67">
        <f t="shared" si="8"/>
        <v>4.6199999999999998E-2</v>
      </c>
      <c r="Z33" s="67">
        <f t="shared" si="9"/>
        <v>23.33</v>
      </c>
      <c r="AA33" s="67">
        <f t="shared" si="10"/>
        <v>23.283799999999999</v>
      </c>
      <c r="AB33" s="64" t="e">
        <f>VLOOKUP(A33,Enforcements!$C$7:$K$20,8,0)</f>
        <v>#N/A</v>
      </c>
      <c r="AC33" s="60" t="e">
        <f>VLOOKUP(A33,Enforcements!$C$7:$E$20,3,0)</f>
        <v>#N/A</v>
      </c>
      <c r="AD33" s="61" t="str">
        <f t="shared" si="11"/>
        <v>0121-25</v>
      </c>
      <c r="AE33" s="91" t="str">
        <f t="shared" si="12"/>
        <v>aws s3 cp s3://rtdc.mdm.uploadarchive.raw/RTDC4042/ "%USERPROFILE%\AppData\Local\Temp\OnboardLogs"\RTDC4042\2016-11-25 --exclude "*" --recursive --include "*20161125*" &amp; "%USERPROFILE%\Documents\GitHub\mrs-test-scripts\Headless Mode &amp; Sideloading\WalkAndUnGZ.bat" "%USERPROFILE%\AppData\Local\Temp\OnboardLogs"\RTDC4042\2016-11-25 &amp; aws s3 cp s3://rtdc.mdm.uploadarchive.raw/RTDC4042/ "%USERPROFILE%\AppData\Local\Temp\OnboardLogs"\RTDC4042\2016-11-26 --exclude "*" --recursive --include "*20161126*" &amp; "%USERPROFILE%\Documents\GitHub\mrs-test-scripts\Headless Mode &amp; Sideloading\WalkAndUnGZ.bat" "%USERPROFILE%\AppData\Local\Temp\OnboardLogs"\RTDC4042\2016-11-26</v>
      </c>
      <c r="AF33" s="88" t="str">
        <f t="shared" si="13"/>
        <v>"C:\Program Files (x86)\AstroGrep\AstroGrep.exe" /spath="%USERPROFILE%\AppData\Local\Temp\OnboardLogs" /stypes="app*4042*20161125*" /stext=" 13:.+((SYSTEM_STATE.+slice.+state.+changed )|(ment ac)|(system.+state.+changed )|(\[timeout)|(PRM\|1\|D)|(kpr)|(kdp)|(\|lc)|(penalty))" /e /r /s</v>
      </c>
      <c r="AG33" s="1" t="str">
        <f t="shared" si="14"/>
        <v>EC</v>
      </c>
      <c r="AH33" s="92" t="str">
        <f t="shared" si="17"/>
        <v>"%USERPROFILE%\Documents\GitHub\eaglep3\Utilities\RefineRTDCRunTimes.py" --tripid 121-25 --locoid 4042 --swversion DE.1.0.8.0 --startMP 204:462 --initTime 2016-11-25T06:15:20 --startdatetime 2016-11-25T06:18:14 --delay 2 --endMP 204:233300 --enddatetime 2016-11-25T06:54:33 --enforcementcount 0 &gt;&gt;C:\Users\stu\Documents\GitHub\eaglep3-reporting\EC\2016-11-25-refined-times.txt</v>
      </c>
      <c r="AI33" s="119" t="str">
        <f t="shared" si="18"/>
        <v>echo {"issue":{"subject":"","project_id":79,"tracker_id":40,"status_id":1,"priority_id":2,"assigned_to_id":23,"start_date":"2016-11-25","description":"","custom_fields":[{"id":1,"name":"Subdivision","value":"EC"},{"id":4,"name":"Milepost","value":"23.33"},{"id":17,"name":"Train ID","value":"121-25"},{"id":16,"name":"Locomotive ID","value":"4042"},{"id":130,"name":"Impact","value":""},{"id":150,"name":"Time of Event (Mountain Time)","value":"06:54:33"},{"id":151,"name":"Denver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3"/>
      <c r="AK33" s="53"/>
      <c r="AL33" s="5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7" t="s">
        <v>495</v>
      </c>
      <c r="B34" s="7">
        <v>4041</v>
      </c>
      <c r="C34" s="22" t="s">
        <v>217</v>
      </c>
      <c r="D34" s="22" t="s">
        <v>245</v>
      </c>
      <c r="E34" s="13">
        <v>42699.293599537035</v>
      </c>
      <c r="F34" s="13">
        <v>42699.299525462964</v>
      </c>
      <c r="G34" s="7">
        <v>1</v>
      </c>
      <c r="H34" s="22" t="s">
        <v>256</v>
      </c>
      <c r="I34" s="13">
        <v>42699.326226851852</v>
      </c>
      <c r="J34" s="7">
        <v>0</v>
      </c>
      <c r="K34" s="109" t="str">
        <f t="shared" si="0"/>
        <v>4041/4042</v>
      </c>
      <c r="L34" s="22" t="str">
        <f>VLOOKUP(A34,'Trips&amp;Operators'!$C$1:$E$10000,3,FALSE)</f>
        <v>ISHMAEL</v>
      </c>
      <c r="M34" s="6">
        <f t="shared" si="1"/>
        <v>2.6701388887886424E-2</v>
      </c>
      <c r="N34" s="7">
        <f t="shared" si="2"/>
        <v>38.44999999855645</v>
      </c>
      <c r="O34" s="7"/>
      <c r="P34" s="7"/>
      <c r="Q34" s="23"/>
      <c r="R34" s="23"/>
      <c r="S34" s="35">
        <f t="shared" si="3"/>
        <v>1</v>
      </c>
      <c r="T34" s="50" t="str">
        <f t="shared" si="4"/>
        <v>Southbound</v>
      </c>
      <c r="U34" s="171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https://search-rtdc-monitor-bjffxe2xuh6vdkpspy63sjmuny.us-east-1.es.amazonaws.com/_plugin/kibana/#/discover/Steve-Slow-Train-Analysis-(2080s-and-2083s)?_g=(refreshInterval:(display:Off,section:0,value:0),time:(from:'2016-11-25 06:02:47-700',mode:absolute,to:'2016-11-25 08:49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34" s="52" t="str">
        <f t="shared" si="6"/>
        <v>N</v>
      </c>
      <c r="X34" s="177">
        <f t="shared" si="7"/>
        <v>1</v>
      </c>
      <c r="Y34" s="67">
        <f t="shared" si="8"/>
        <v>23.2987</v>
      </c>
      <c r="Z34" s="67">
        <f t="shared" si="9"/>
        <v>1.47E-2</v>
      </c>
      <c r="AA34" s="67">
        <f t="shared" si="10"/>
        <v>23.283999999999999</v>
      </c>
      <c r="AB34" s="64" t="e">
        <f>VLOOKUP(A34,Enforcements!$C$7:$K$20,8,0)</f>
        <v>#N/A</v>
      </c>
      <c r="AC34" s="60" t="e">
        <f>VLOOKUP(A34,Enforcements!$C$7:$E$20,3,0)</f>
        <v>#N/A</v>
      </c>
      <c r="AD34" s="61" t="str">
        <f t="shared" si="11"/>
        <v>0122-25</v>
      </c>
      <c r="AE34" s="91" t="str">
        <f t="shared" si="12"/>
        <v>aws s3 cp s3://rtdc.mdm.uploadarchive.raw/RTDC4041/ "%USERPROFILE%\AppData\Local\Temp\OnboardLogs"\RTDC4041\2016-11-25 --exclude "*" --recursive --include "*20161125*" &amp; "%USERPROFILE%\Documents\GitHub\mrs-test-scripts\Headless Mode &amp; Sideloading\WalkAndUnGZ.bat" "%USERPROFILE%\AppData\Local\Temp\OnboardLogs"\RTDC4041\2016-11-25 &amp; aws s3 cp s3://rtdc.mdm.uploadarchive.raw/RTDC4041/ "%USERPROFILE%\AppData\Local\Temp\OnboardLogs"\RTDC4041\2016-11-26 --exclude "*" --recursive --include "*20161126*" &amp; "%USERPROFILE%\Documents\GitHub\mrs-test-scripts\Headless Mode &amp; Sideloading\WalkAndUnGZ.bat" "%USERPROFILE%\AppData\Local\Temp\OnboardLogs"\RTDC4041\2016-11-26</v>
      </c>
      <c r="AF34" s="88" t="str">
        <f t="shared" si="13"/>
        <v>"C:\Program Files (x86)\AstroGrep\AstroGrep.exe" /spath="%USERPROFILE%\AppData\Local\Temp\OnboardLogs" /stypes="app*4041*20161125*" /stext=" 14:.+((SYSTEM_STATE.+slice.+state.+changed )|(ment ac)|(system.+state.+changed )|(\[timeout)|(PRM\|1\|D)|(kpr)|(kdp)|(\|lc)|(penalty))" /e /r /s</v>
      </c>
      <c r="AG34" s="1" t="str">
        <f t="shared" si="14"/>
        <v>EC</v>
      </c>
      <c r="AH34" s="92" t="str">
        <f t="shared" si="17"/>
        <v>"%USERPROFILE%\Documents\GitHub\eaglep3\Utilities\RefineRTDCRunTimes.py" --tripid 122-25 --locoid 4041 --swversion DE.1.0.8.0 --startMP 204:232987 --initTime 2016-11-25T07:02:47 --startdatetime 2016-11-25T07:11:19 --delay 1 --endMP 204:147 --enddatetime 2016-11-25T07:49:46 --enforcementcount 0 &gt;&gt;C:\Users\stu\Documents\GitHub\eaglep3-reporting\EC\2016-11-25-refined-times.txt</v>
      </c>
      <c r="AI34" s="119" t="str">
        <f t="shared" si="18"/>
        <v>echo {"issue":{"subject":"","project_id":79,"tracker_id":40,"status_id":1,"priority_id":2,"assigned_to_id":23,"start_date":"2016-11-25","description":"","custom_fields":[{"id":1,"name":"Subdivision","value":"EC"},{"id":4,"name":"Milepost","value":"0.0147"},{"id":17,"name":"Train ID","value":"122-25"},{"id":16,"name":"Locomotive ID","value":"4041"},{"id":130,"name":"Impact","value":""},{"id":150,"name":"Time of Event (Mountain Time)","value":"07:49:46"},{"id":151,"name":"Denver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3"/>
      <c r="AK34" s="53"/>
      <c r="AL34" s="53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7" t="s">
        <v>491</v>
      </c>
      <c r="B35" s="7">
        <v>4009</v>
      </c>
      <c r="C35" s="22" t="s">
        <v>217</v>
      </c>
      <c r="D35" s="22" t="s">
        <v>376</v>
      </c>
      <c r="E35" s="13">
        <v>42699.266041666669</v>
      </c>
      <c r="F35" s="13">
        <v>42699.271099537036</v>
      </c>
      <c r="G35" s="7">
        <v>1</v>
      </c>
      <c r="H35" s="22" t="s">
        <v>306</v>
      </c>
      <c r="I35" s="13">
        <v>42699.296631944446</v>
      </c>
      <c r="J35" s="7">
        <v>0</v>
      </c>
      <c r="K35" s="109" t="str">
        <f t="shared" si="0"/>
        <v>4009/4010</v>
      </c>
      <c r="L35" s="22" t="str">
        <f>VLOOKUP(A35,'Trips&amp;Operators'!$C$1:$E$10000,3,FALSE)</f>
        <v>OUN</v>
      </c>
      <c r="M35" s="6">
        <f t="shared" si="1"/>
        <v>2.5532407409627922E-2</v>
      </c>
      <c r="N35" s="7">
        <f t="shared" si="2"/>
        <v>36.766666669864208</v>
      </c>
      <c r="O35" s="7"/>
      <c r="P35" s="7"/>
      <c r="Q35" s="23"/>
      <c r="R35" s="23"/>
      <c r="S35" s="35">
        <f t="shared" si="3"/>
        <v>1</v>
      </c>
      <c r="T35" s="50" t="str">
        <f t="shared" si="4"/>
        <v>NorthBound</v>
      </c>
      <c r="U35" s="171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https://search-rtdc-monitor-bjffxe2xuh6vdkpspy63sjmuny.us-east-1.es.amazonaws.com/_plugin/kibana/#/discover/Steve-Slow-Train-Analysis-(2080s-and-2083s)?_g=(refreshInterval:(display:Off,section:0,value:0),time:(from:'2016-11-25 05:23:06-700',mode:absolute,to:'2016-11-25 08:07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35" s="52" t="str">
        <f t="shared" si="6"/>
        <v>N</v>
      </c>
      <c r="X35" s="177">
        <f t="shared" si="7"/>
        <v>1</v>
      </c>
      <c r="Y35" s="67">
        <f t="shared" si="8"/>
        <v>4.3700000000000003E-2</v>
      </c>
      <c r="Z35" s="67">
        <f t="shared" si="9"/>
        <v>23.330500000000001</v>
      </c>
      <c r="AA35" s="67">
        <f t="shared" si="10"/>
        <v>23.286799999999999</v>
      </c>
      <c r="AB35" s="64" t="e">
        <f>VLOOKUP(A35,Enforcements!$C$7:$K$20,8,0)</f>
        <v>#N/A</v>
      </c>
      <c r="AC35" s="60" t="e">
        <f>VLOOKUP(A35,Enforcements!$C$7:$E$20,3,0)</f>
        <v>#N/A</v>
      </c>
      <c r="AD35" s="61" t="str">
        <f t="shared" si="11"/>
        <v>0123-25</v>
      </c>
      <c r="AE35" s="91" t="str">
        <f t="shared" si="12"/>
        <v>aws s3 cp s3://rtdc.mdm.uploadarchive.raw/RTDC4009/ "%USERPROFILE%\AppData\Local\Temp\OnboardLogs"\RTDC4009\2016-11-25 --exclude "*" --recursive --include "*20161125*" &amp; "%USERPROFILE%\Documents\GitHub\mrs-test-scripts\Headless Mode &amp; Sideloading\WalkAndUnGZ.bat" "%USERPROFILE%\AppData\Local\Temp\OnboardLogs"\RTDC4009\2016-11-25 &amp; aws s3 cp s3://rtdc.mdm.uploadarchive.raw/RTDC4009/ "%USERPROFILE%\AppData\Local\Temp\OnboardLogs"\RTDC4009\2016-11-26 --exclude "*" --recursive --include "*20161126*" &amp; "%USERPROFILE%\Documents\GitHub\mrs-test-scripts\Headless Mode &amp; Sideloading\WalkAndUnGZ.bat" "%USERPROFILE%\AppData\Local\Temp\OnboardLogs"\RTDC4009\2016-11-26</v>
      </c>
      <c r="AF35" s="88" t="str">
        <f t="shared" si="13"/>
        <v>"C:\Program Files (x86)\AstroGrep\AstroGrep.exe" /spath="%USERPROFILE%\AppData\Local\Temp\OnboardLogs" /stypes="app*4009*20161125*" /stext=" 14:.+((SYSTEM_STATE.+slice.+state.+changed )|(ment ac)|(system.+state.+changed )|(\[timeout)|(PRM\|1\|D)|(kpr)|(kdp)|(\|lc)|(penalty))" /e /r /s</v>
      </c>
      <c r="AG35" s="1" t="str">
        <f t="shared" si="14"/>
        <v>EC</v>
      </c>
      <c r="AH35" s="92" t="str">
        <f t="shared" si="17"/>
        <v>"%USERPROFILE%\Documents\GitHub\eaglep3\Utilities\RefineRTDCRunTimes.py" --tripid 123-25 --locoid 4009 --swversion DE.1.0.8.0 --startMP 204:437 --initTime 2016-11-25T06:23:06 --startdatetime 2016-11-25T06:30:23 --delay 1 --endMP 204:233305 --enddatetime 2016-11-25T07:07:09 --enforcementcount 0 &gt;&gt;C:\Users\stu\Documents\GitHub\eaglep3-reporting\EC\2016-11-25-refined-times.txt</v>
      </c>
      <c r="AI35" s="119" t="str">
        <f t="shared" si="18"/>
        <v>echo {"issue":{"subject":"","project_id":79,"tracker_id":40,"status_id":1,"priority_id":2,"assigned_to_id":23,"start_date":"2016-11-25","description":"","custom_fields":[{"id":1,"name":"Subdivision","value":"EC"},{"id":4,"name":"Milepost","value":"23.3305"},{"id":17,"name":"Train ID","value":"123-25"},{"id":16,"name":"Locomotive ID","value":"4009"},{"id":130,"name":"Impact","value":""},{"id":150,"name":"Time of Event (Mountain Time)","value":"07:07:09"},{"id":151,"name":"Denver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3"/>
      <c r="AK35" s="53"/>
      <c r="AL35" s="53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7" t="s">
        <v>416</v>
      </c>
      <c r="B36" s="7">
        <v>4010</v>
      </c>
      <c r="C36" s="22" t="s">
        <v>217</v>
      </c>
      <c r="D36" s="22" t="s">
        <v>358</v>
      </c>
      <c r="E36" s="13">
        <v>42699.304224537038</v>
      </c>
      <c r="F36" s="13">
        <v>42699.309942129628</v>
      </c>
      <c r="G36" s="7">
        <v>6</v>
      </c>
      <c r="H36" s="22" t="s">
        <v>196</v>
      </c>
      <c r="I36" s="13">
        <v>42699.339629629627</v>
      </c>
      <c r="J36" s="7">
        <v>1</v>
      </c>
      <c r="K36" s="109" t="str">
        <f t="shared" si="0"/>
        <v>4009/4010</v>
      </c>
      <c r="L36" s="22" t="str">
        <f>VLOOKUP(A36,'Trips&amp;Operators'!$C$1:$E$10000,3,FALSE)</f>
        <v>OUN</v>
      </c>
      <c r="M36" s="6">
        <f t="shared" si="1"/>
        <v>2.9687499998544808E-2</v>
      </c>
      <c r="N36" s="7">
        <f t="shared" si="2"/>
        <v>42.749999997904524</v>
      </c>
      <c r="O36" s="7"/>
      <c r="P36" s="7"/>
      <c r="Q36" s="23"/>
      <c r="R36" s="23"/>
      <c r="S36" s="35">
        <f t="shared" si="3"/>
        <v>1</v>
      </c>
      <c r="T36" s="50" t="str">
        <f t="shared" si="4"/>
        <v>Southbound</v>
      </c>
      <c r="U36" s="171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https://search-rtdc-monitor-bjffxe2xuh6vdkpspy63sjmuny.us-east-1.es.amazonaws.com/_plugin/kibana/#/discover/Steve-Slow-Train-Analysis-(2080s-and-2083s)?_g=(refreshInterval:(display:Off,section:0,value:0),time:(from:'2016-11-25 06:18:05-700',mode:absolute,to:'2016-11-25 09:09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36" s="52" t="str">
        <f t="shared" si="6"/>
        <v>N</v>
      </c>
      <c r="X36" s="177">
        <f t="shared" si="7"/>
        <v>1</v>
      </c>
      <c r="Y36" s="67">
        <f t="shared" si="8"/>
        <v>23.2988</v>
      </c>
      <c r="Z36" s="67">
        <f t="shared" si="9"/>
        <v>1.49E-2</v>
      </c>
      <c r="AA36" s="67">
        <f t="shared" si="10"/>
        <v>23.283899999999999</v>
      </c>
      <c r="AB36" s="64" t="e">
        <f>VLOOKUP(A36,Enforcements!$C$7:$K$20,8,0)</f>
        <v>#N/A</v>
      </c>
      <c r="AC36" s="60" t="e">
        <f>VLOOKUP(A36,Enforcements!$C$7:$E$20,3,0)</f>
        <v>#N/A</v>
      </c>
      <c r="AD36" s="61" t="str">
        <f t="shared" si="11"/>
        <v>0124-25</v>
      </c>
      <c r="AE36" s="91" t="str">
        <f t="shared" si="12"/>
        <v>aws s3 cp s3://rtdc.mdm.uploadarchive.raw/RTDC4010/ "%USERPROFILE%\AppData\Local\Temp\OnboardLogs"\RTDC4010\2016-11-25 --exclude "*" --recursive --include "*20161125*" &amp; "%USERPROFILE%\Documents\GitHub\mrs-test-scripts\Headless Mode &amp; Sideloading\WalkAndUnGZ.bat" "%USERPROFILE%\AppData\Local\Temp\OnboardLogs"\RTDC4010\2016-11-25 &amp; aws s3 cp s3://rtdc.mdm.uploadarchive.raw/RTDC4010/ "%USERPROFILE%\AppData\Local\Temp\OnboardLogs"\RTDC4010\2016-11-26 --exclude "*" --recursive --include "*20161126*" &amp; "%USERPROFILE%\Documents\GitHub\mrs-test-scripts\Headless Mode &amp; Sideloading\WalkAndUnGZ.bat" "%USERPROFILE%\AppData\Local\Temp\OnboardLogs"\RTDC4010\2016-11-26</v>
      </c>
      <c r="AF36" s="88" t="str">
        <f t="shared" si="13"/>
        <v>"C:\Program Files (x86)\AstroGrep\AstroGrep.exe" /spath="%USERPROFILE%\AppData\Local\Temp\OnboardLogs" /stypes="app*4010*20161125*" /stext=" 15:.+((SYSTEM_STATE.+slice.+state.+changed )|(ment ac)|(system.+state.+changed )|(\[timeout)|(PRM\|1\|D)|(kpr)|(kdp)|(\|lc)|(penalty))" /e /r /s</v>
      </c>
      <c r="AG36" s="1" t="str">
        <f t="shared" si="14"/>
        <v>EC</v>
      </c>
      <c r="AH36" s="92" t="str">
        <f t="shared" si="17"/>
        <v>"%USERPROFILE%\Documents\GitHub\eaglep3\Utilities\RefineRTDCRunTimes.py" --tripid 124-25 --locoid 4010 --swversion DE.1.0.8.0 --startMP 204:232988 --initTime 2016-11-25T07:18:05 --startdatetime 2016-11-25T07:26:19 --delay 6 --endMP 204:149 --enddatetime 2016-11-25T08:09:04 --enforcementcount 1 &gt;&gt;C:\Users\stu\Documents\GitHub\eaglep3-reporting\EC\2016-11-25-refined-times.txt</v>
      </c>
      <c r="AI36" s="119" t="str">
        <f t="shared" si="18"/>
        <v>echo {"issue":{"subject":"","project_id":79,"tracker_id":40,"status_id":1,"priority_id":2,"assigned_to_id":23,"start_date":"2016-11-25","description":"","custom_fields":[{"id":1,"name":"Subdivision","value":"EC"},{"id":4,"name":"Milepost","value":"0.0149"},{"id":17,"name":"Train ID","value":"124-25"},{"id":16,"name":"Locomotive ID","value":"4010"},{"id":130,"name":"Impact","value":""},{"id":150,"name":"Time of Event (Mountain Time)","value":"08:09:04"},{"id":151,"name":"Denver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3"/>
      <c r="AK36" s="53"/>
      <c r="AL36" s="53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7" t="s">
        <v>493</v>
      </c>
      <c r="B37" s="7">
        <v>4040</v>
      </c>
      <c r="C37" s="22" t="s">
        <v>217</v>
      </c>
      <c r="D37" s="22" t="s">
        <v>265</v>
      </c>
      <c r="E37" s="13">
        <v>42699.277245370373</v>
      </c>
      <c r="F37" s="13">
        <v>42699.281435185185</v>
      </c>
      <c r="G37" s="7">
        <v>1</v>
      </c>
      <c r="H37" s="22" t="s">
        <v>325</v>
      </c>
      <c r="I37" s="13">
        <v>42699.306192129632</v>
      </c>
      <c r="J37" s="7">
        <v>0</v>
      </c>
      <c r="K37" s="109" t="str">
        <f t="shared" si="0"/>
        <v>4039/4040</v>
      </c>
      <c r="L37" s="22" t="str">
        <f>VLOOKUP(A37,'Trips&amp;Operators'!$C$1:$E$10000,3,FALSE)</f>
        <v>SPECTOR</v>
      </c>
      <c r="M37" s="6">
        <f t="shared" si="1"/>
        <v>2.4756944447290152E-2</v>
      </c>
      <c r="N37" s="7">
        <f t="shared" si="2"/>
        <v>35.650000004097819</v>
      </c>
      <c r="O37" s="7"/>
      <c r="P37" s="7"/>
      <c r="Q37" s="23"/>
      <c r="R37" s="23"/>
      <c r="S37" s="35">
        <f t="shared" si="3"/>
        <v>1</v>
      </c>
      <c r="T37" s="50" t="str">
        <f t="shared" si="4"/>
        <v>NorthBound</v>
      </c>
      <c r="U37" s="171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https://search-rtdc-monitor-bjffxe2xuh6vdkpspy63sjmuny.us-east-1.es.amazonaws.com/_plugin/kibana/#/discover/Steve-Slow-Train-Analysis-(2080s-and-2083s)?_g=(refreshInterval:(display:Off,section:0,value:0),time:(from:'2016-11-25 05:39:14-700',mode:absolute,to:'2016-11-25 08:20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37" s="52" t="str">
        <f t="shared" si="6"/>
        <v>N</v>
      </c>
      <c r="X37" s="177">
        <f t="shared" si="7"/>
        <v>1</v>
      </c>
      <c r="Y37" s="67">
        <f t="shared" si="8"/>
        <v>4.4200000000000003E-2</v>
      </c>
      <c r="Z37" s="67">
        <f t="shared" si="9"/>
        <v>23.332899999999999</v>
      </c>
      <c r="AA37" s="67">
        <f t="shared" si="10"/>
        <v>23.288699999999999</v>
      </c>
      <c r="AB37" s="64" t="e">
        <f>VLOOKUP(A37,Enforcements!$C$7:$K$20,8,0)</f>
        <v>#N/A</v>
      </c>
      <c r="AC37" s="60" t="e">
        <f>VLOOKUP(A37,Enforcements!$C$7:$E$20,3,0)</f>
        <v>#N/A</v>
      </c>
      <c r="AD37" s="61" t="str">
        <f t="shared" si="11"/>
        <v>0125-25</v>
      </c>
      <c r="AE37" s="91" t="str">
        <f t="shared" si="12"/>
        <v>aws s3 cp s3://rtdc.mdm.uploadarchive.raw/RTDC4040/ "%USERPROFILE%\AppData\Local\Temp\OnboardLogs"\RTDC4040\2016-11-25 --exclude "*" --recursive --include "*20161125*" &amp; "%USERPROFILE%\Documents\GitHub\mrs-test-scripts\Headless Mode &amp; Sideloading\WalkAndUnGZ.bat" "%USERPROFILE%\AppData\Local\Temp\OnboardLogs"\RTDC4040\2016-11-25 &amp; aws s3 cp s3://rtdc.mdm.uploadarchive.raw/RTDC4040/ "%USERPROFILE%\AppData\Local\Temp\OnboardLogs"\RTDC4040\2016-11-26 --exclude "*" --recursive --include "*20161126*" &amp; "%USERPROFILE%\Documents\GitHub\mrs-test-scripts\Headless Mode &amp; Sideloading\WalkAndUnGZ.bat" "%USERPROFILE%\AppData\Local\Temp\OnboardLogs"\RTDC4040\2016-11-26</v>
      </c>
      <c r="AF37" s="88" t="str">
        <f t="shared" si="13"/>
        <v>"C:\Program Files (x86)\AstroGrep\AstroGrep.exe" /spath="%USERPROFILE%\AppData\Local\Temp\OnboardLogs" /stypes="app*4040*20161125*" /stext=" 14:.+((SYSTEM_STATE.+slice.+state.+changed )|(ment ac)|(system.+state.+changed )|(\[timeout)|(PRM\|1\|D)|(kpr)|(kdp)|(\|lc)|(penalty))" /e /r /s</v>
      </c>
      <c r="AG37" s="1" t="str">
        <f t="shared" si="14"/>
        <v>EC</v>
      </c>
      <c r="AH37" s="92" t="str">
        <f t="shared" si="17"/>
        <v>"%USERPROFILE%\Documents\GitHub\eaglep3\Utilities\RefineRTDCRunTimes.py" --tripid 125-25 --locoid 4040 --swversion DE.1.0.8.0 --startMP 204:442 --initTime 2016-11-25T06:39:14 --startdatetime 2016-11-25T06:45:16 --delay 1 --endMP 204:233329 --enddatetime 2016-11-25T07:20:55 --enforcementcount 0 &gt;&gt;C:\Users\stu\Documents\GitHub\eaglep3-reporting\EC\2016-11-25-refined-times.txt</v>
      </c>
      <c r="AI37" s="119" t="str">
        <f t="shared" si="18"/>
        <v>echo {"issue":{"subject":"","project_id":79,"tracker_id":40,"status_id":1,"priority_id":2,"assigned_to_id":23,"start_date":"2016-11-25","description":"","custom_fields":[{"id":1,"name":"Subdivision","value":"EC"},{"id":4,"name":"Milepost","value":"23.3329"},{"id":17,"name":"Train ID","value":"125-25"},{"id":16,"name":"Locomotive ID","value":"4040"},{"id":130,"name":"Impact","value":""},{"id":150,"name":"Time of Event (Mountain Time)","value":"07:20:55"},{"id":151,"name":"Denver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3"/>
      <c r="AK37" s="53"/>
      <c r="AL37" s="53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7" t="s">
        <v>418</v>
      </c>
      <c r="B38" s="7">
        <v>4039</v>
      </c>
      <c r="C38" s="22" t="s">
        <v>217</v>
      </c>
      <c r="D38" s="22" t="s">
        <v>327</v>
      </c>
      <c r="E38" s="13">
        <v>42699.317453703705</v>
      </c>
      <c r="F38" s="13">
        <v>42699.3203125</v>
      </c>
      <c r="G38" s="7">
        <v>4</v>
      </c>
      <c r="H38" s="22" t="s">
        <v>371</v>
      </c>
      <c r="I38" s="13">
        <v>42699.347430555557</v>
      </c>
      <c r="J38" s="7">
        <v>1</v>
      </c>
      <c r="K38" s="109" t="str">
        <f t="shared" si="0"/>
        <v>4039/4040</v>
      </c>
      <c r="L38" s="22" t="str">
        <f>VLOOKUP(A38,'Trips&amp;Operators'!$C$1:$E$10000,3,FALSE)</f>
        <v>SPECTOR</v>
      </c>
      <c r="M38" s="6">
        <f t="shared" si="1"/>
        <v>2.7118055557366461E-2</v>
      </c>
      <c r="N38" s="7">
        <f t="shared" si="2"/>
        <v>39.050000002607703</v>
      </c>
      <c r="O38" s="7"/>
      <c r="P38" s="7"/>
      <c r="Q38" s="23"/>
      <c r="R38" s="23"/>
      <c r="S38" s="35">
        <f t="shared" si="3"/>
        <v>1</v>
      </c>
      <c r="T38" s="50" t="str">
        <f t="shared" si="4"/>
        <v>Southbound</v>
      </c>
      <c r="U38" s="171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https://search-rtdc-monitor-bjffxe2xuh6vdkpspy63sjmuny.us-east-1.es.amazonaws.com/_plugin/kibana/#/discover/Steve-Slow-Train-Analysis-(2080s-and-2083s)?_g=(refreshInterval:(display:Off,section:0,value:0),time:(from:'2016-11-25 06:37:08-700',mode:absolute,to:'2016-11-25 09:20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38" s="52" t="str">
        <f t="shared" si="6"/>
        <v>N</v>
      </c>
      <c r="X38" s="177">
        <f t="shared" si="7"/>
        <v>1</v>
      </c>
      <c r="Y38" s="67">
        <f t="shared" si="8"/>
        <v>23.3017</v>
      </c>
      <c r="Z38" s="67">
        <f t="shared" si="9"/>
        <v>1.83E-2</v>
      </c>
      <c r="AA38" s="67">
        <f t="shared" si="10"/>
        <v>23.2834</v>
      </c>
      <c r="AB38" s="64" t="e">
        <f>VLOOKUP(A38,Enforcements!$C$7:$K$20,8,0)</f>
        <v>#N/A</v>
      </c>
      <c r="AC38" s="60" t="e">
        <f>VLOOKUP(A38,Enforcements!$C$7:$E$20,3,0)</f>
        <v>#N/A</v>
      </c>
      <c r="AD38" s="61" t="str">
        <f t="shared" si="11"/>
        <v>0126-25</v>
      </c>
      <c r="AE38" s="91" t="str">
        <f t="shared" si="12"/>
        <v>aws s3 cp s3://rtdc.mdm.uploadarchive.raw/RTDC4039/ "%USERPROFILE%\AppData\Local\Temp\OnboardLogs"\RTDC4039\2016-11-25 --exclude "*" --recursive --include "*20161125*" &amp; "%USERPROFILE%\Documents\GitHub\mrs-test-scripts\Headless Mode &amp; Sideloading\WalkAndUnGZ.bat" "%USERPROFILE%\AppData\Local\Temp\OnboardLogs"\RTDC4039\2016-11-25 &amp; aws s3 cp s3://rtdc.mdm.uploadarchive.raw/RTDC4039/ "%USERPROFILE%\AppData\Local\Temp\OnboardLogs"\RTDC4039\2016-11-26 --exclude "*" --recursive --include "*20161126*" &amp; "%USERPROFILE%\Documents\GitHub\mrs-test-scripts\Headless Mode &amp; Sideloading\WalkAndUnGZ.bat" "%USERPROFILE%\AppData\Local\Temp\OnboardLogs"\RTDC4039\2016-11-26</v>
      </c>
      <c r="AF38" s="88" t="str">
        <f t="shared" si="13"/>
        <v>"C:\Program Files (x86)\AstroGrep\AstroGrep.exe" /spath="%USERPROFILE%\AppData\Local\Temp\OnboardLogs" /stypes="app*4039*20161125*" /stext=" 15:.+((SYSTEM_STATE.+slice.+state.+changed )|(ment ac)|(system.+state.+changed )|(\[timeout)|(PRM\|1\|D)|(kpr)|(kdp)|(\|lc)|(penalty))" /e /r /s</v>
      </c>
      <c r="AG38" s="1" t="str">
        <f t="shared" si="14"/>
        <v>EC</v>
      </c>
      <c r="AH38" s="92" t="str">
        <f t="shared" si="17"/>
        <v>"%USERPROFILE%\Documents\GitHub\eaglep3\Utilities\RefineRTDCRunTimes.py" --tripid 126-25 --locoid 4039 --swversion DE.1.0.8.0 --startMP 204:233017 --initTime 2016-11-25T07:37:08 --startdatetime 2016-11-25T07:41:15 --delay 4 --endMP 204:183 --enddatetime 2016-11-25T08:20:18 --enforcementcount 1 &gt;&gt;C:\Users\stu\Documents\GitHub\eaglep3-reporting\EC\2016-11-25-refined-times.txt</v>
      </c>
      <c r="AI38" s="119" t="str">
        <f t="shared" si="18"/>
        <v>echo {"issue":{"subject":"","project_id":79,"tracker_id":40,"status_id":1,"priority_id":2,"assigned_to_id":23,"start_date":"2016-11-25","description":"","custom_fields":[{"id":1,"name":"Subdivision","value":"EC"},{"id":4,"name":"Milepost","value":"0.0183"},{"id":17,"name":"Train ID","value":"126-25"},{"id":16,"name":"Locomotive ID","value":"4039"},{"id":130,"name":"Impact","value":""},{"id":150,"name":"Time of Event (Mountain Time)","value":"08:20:18"},{"id":151,"name":"Denver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3"/>
      <c r="AK38" s="53"/>
      <c r="AL38" s="53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7" t="s">
        <v>412</v>
      </c>
      <c r="B39" s="7">
        <v>4031</v>
      </c>
      <c r="C39" s="22" t="s">
        <v>217</v>
      </c>
      <c r="D39" s="22" t="s">
        <v>271</v>
      </c>
      <c r="E39" s="13">
        <v>42699.289386574077</v>
      </c>
      <c r="F39" s="13">
        <v>42699.291956018518</v>
      </c>
      <c r="G39" s="7">
        <v>1</v>
      </c>
      <c r="H39" s="22" t="s">
        <v>355</v>
      </c>
      <c r="I39" s="13">
        <v>42699.318113425928</v>
      </c>
      <c r="J39" s="7">
        <v>2</v>
      </c>
      <c r="K39" s="109" t="str">
        <f t="shared" si="0"/>
        <v>4031/4032</v>
      </c>
      <c r="L39" s="22" t="str">
        <f>VLOOKUP(A39,'Trips&amp;Operators'!$C$1:$E$10000,3,FALSE)</f>
        <v>MAELZER</v>
      </c>
      <c r="M39" s="6">
        <f t="shared" si="1"/>
        <v>2.6157407410209998E-2</v>
      </c>
      <c r="N39" s="7">
        <f t="shared" si="2"/>
        <v>37.666666670702398</v>
      </c>
      <c r="O39" s="7"/>
      <c r="P39" s="7"/>
      <c r="Q39" s="23"/>
      <c r="R39" s="23"/>
      <c r="S39" s="35">
        <f t="shared" si="3"/>
        <v>1</v>
      </c>
      <c r="T39" s="50" t="str">
        <f t="shared" si="4"/>
        <v>NorthBound</v>
      </c>
      <c r="U39" s="171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https://search-rtdc-monitor-bjffxe2xuh6vdkpspy63sjmuny.us-east-1.es.amazonaws.com/_plugin/kibana/#/discover/Steve-Slow-Train-Analysis-(2080s-and-2083s)?_g=(refreshInterval:(display:Off,section:0,value:0),time:(from:'2016-11-25 05:56:43-700',mode:absolute,to:'2016-11-25 08:38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39" s="52" t="str">
        <f t="shared" si="6"/>
        <v>N</v>
      </c>
      <c r="X39" s="177">
        <f t="shared" si="7"/>
        <v>1</v>
      </c>
      <c r="Y39" s="67">
        <f t="shared" si="8"/>
        <v>4.5999999999999999E-2</v>
      </c>
      <c r="Z39" s="67">
        <f t="shared" si="9"/>
        <v>23.331600000000002</v>
      </c>
      <c r="AA39" s="67">
        <f t="shared" si="10"/>
        <v>23.285600000000002</v>
      </c>
      <c r="AB39" s="64" t="str">
        <f>VLOOKUP(A39,Enforcements!$C$7:$K$20,8,0)</f>
        <v>Bulletin (2)</v>
      </c>
      <c r="AC39" s="60" t="str">
        <f>VLOOKUP(A39,Enforcements!$C$7:$E$20,3,0)</f>
        <v>GRADE CROSSING</v>
      </c>
      <c r="AD39" s="61" t="str">
        <f t="shared" si="11"/>
        <v>0127-25</v>
      </c>
      <c r="AE39" s="91" t="str">
        <f t="shared" si="12"/>
        <v>aws s3 cp s3://rtdc.mdm.uploadarchive.raw/RTDC4031/ "%USERPROFILE%\AppData\Local\Temp\OnboardLogs"\RTDC4031\2016-11-25 --exclude "*" --recursive --include "*20161125*" &amp; "%USERPROFILE%\Documents\GitHub\mrs-test-scripts\Headless Mode &amp; Sideloading\WalkAndUnGZ.bat" "%USERPROFILE%\AppData\Local\Temp\OnboardLogs"\RTDC4031\2016-11-25 &amp; aws s3 cp s3://rtdc.mdm.uploadarchive.raw/RTDC4031/ "%USERPROFILE%\AppData\Local\Temp\OnboardLogs"\RTDC4031\2016-11-26 --exclude "*" --recursive --include "*20161126*" &amp; "%USERPROFILE%\Documents\GitHub\mrs-test-scripts\Headless Mode &amp; Sideloading\WalkAndUnGZ.bat" "%USERPROFILE%\AppData\Local\Temp\OnboardLogs"\RTDC4031\2016-11-26</v>
      </c>
      <c r="AF39" s="88" t="str">
        <f t="shared" si="13"/>
        <v>"C:\Program Files (x86)\AstroGrep\AstroGrep.exe" /spath="%USERPROFILE%\AppData\Local\Temp\OnboardLogs" /stypes="app*4031*20161125*" /stext=" 14:.+((SYSTEM_STATE.+slice.+state.+changed )|(ment ac)|(system.+state.+changed )|(\[timeout)|(PRM\|1\|D)|(kpr)|(kdp)|(\|lc)|(penalty))" /e /r /s</v>
      </c>
      <c r="AG39" s="1" t="str">
        <f t="shared" si="14"/>
        <v>EC</v>
      </c>
      <c r="AH39" s="92" t="str">
        <f t="shared" si="17"/>
        <v>"%USERPROFILE%\Documents\GitHub\eaglep3\Utilities\RefineRTDCRunTimes.py" --tripid 127-25 --locoid 4031 --swversion DE.1.0.8.0 --startMP 204:460 --initTime 2016-11-25T06:56:43 --startdatetime 2016-11-25T07:00:25 --delay 1 --endMP 204:233316 --enddatetime 2016-11-25T07:38:05 --enforcementcount 2 &gt;&gt;C:\Users\stu\Documents\GitHub\eaglep3-reporting\EC\2016-11-25-refined-times.txt</v>
      </c>
      <c r="AI39" s="119" t="str">
        <f t="shared" si="18"/>
        <v>echo {"issue":{"subject":"","project_id":79,"tracker_id":40,"status_id":1,"priority_id":2,"assigned_to_id":23,"start_date":"2016-11-25","description":"","custom_fields":[{"id":1,"name":"Subdivision","value":"EC"},{"id":4,"name":"Milepost","value":"23.3316"},{"id":17,"name":"Train ID","value":"127-25"},{"id":16,"name":"Locomotive ID","value":"4031"},{"id":130,"name":"Impact","value":""},{"id":150,"name":"Time of Event (Mountain Time)","value":"07:38:05"},{"id":151,"name":"Denver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3"/>
      <c r="AK39" s="53"/>
      <c r="AL39" s="53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7" t="s">
        <v>500</v>
      </c>
      <c r="B40" s="7">
        <v>4032</v>
      </c>
      <c r="C40" s="22" t="s">
        <v>217</v>
      </c>
      <c r="D40" s="22" t="s">
        <v>305</v>
      </c>
      <c r="E40" s="13">
        <v>42699.326018518521</v>
      </c>
      <c r="F40" s="13">
        <v>42699.33085648148</v>
      </c>
      <c r="G40" s="7">
        <v>1</v>
      </c>
      <c r="H40" s="22" t="s">
        <v>197</v>
      </c>
      <c r="I40" s="13">
        <v>42699.358310185184</v>
      </c>
      <c r="J40" s="7">
        <v>0</v>
      </c>
      <c r="K40" s="109" t="str">
        <f t="shared" si="0"/>
        <v>4031/4032</v>
      </c>
      <c r="L40" s="22" t="str">
        <f>VLOOKUP(A40,'Trips&amp;Operators'!$C$1:$E$10000,3,FALSE)</f>
        <v>MAELZER</v>
      </c>
      <c r="M40" s="6">
        <f t="shared" si="1"/>
        <v>2.7453703703940846E-2</v>
      </c>
      <c r="N40" s="7">
        <f t="shared" si="2"/>
        <v>39.533333333674818</v>
      </c>
      <c r="O40" s="7"/>
      <c r="P40" s="7"/>
      <c r="Q40" s="23"/>
      <c r="R40" s="23"/>
      <c r="S40" s="35">
        <f t="shared" si="3"/>
        <v>1</v>
      </c>
      <c r="T40" s="50" t="str">
        <f t="shared" si="4"/>
        <v>Southbound</v>
      </c>
      <c r="U40" s="171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https://search-rtdc-monitor-bjffxe2xuh6vdkpspy63sjmuny.us-east-1.es.amazonaws.com/_plugin/kibana/#/discover/Steve-Slow-Train-Analysis-(2080s-and-2083s)?_g=(refreshInterval:(display:Off,section:0,value:0),time:(from:'2016-11-25 06:49:28-700',mode:absolute,to:'2016-11-25 09:35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40" s="52" t="str">
        <f t="shared" si="6"/>
        <v>N</v>
      </c>
      <c r="X40" s="177">
        <f t="shared" si="7"/>
        <v>1</v>
      </c>
      <c r="Y40" s="67">
        <f t="shared" si="8"/>
        <v>23.3</v>
      </c>
      <c r="Z40" s="67">
        <f t="shared" si="9"/>
        <v>1.43E-2</v>
      </c>
      <c r="AA40" s="67">
        <f t="shared" si="10"/>
        <v>23.285700000000002</v>
      </c>
      <c r="AB40" s="64" t="e">
        <f>VLOOKUP(A40,Enforcements!$C$7:$K$20,8,0)</f>
        <v>#N/A</v>
      </c>
      <c r="AC40" s="60" t="e">
        <f>VLOOKUP(A40,Enforcements!$C$7:$E$20,3,0)</f>
        <v>#N/A</v>
      </c>
      <c r="AD40" s="61" t="str">
        <f t="shared" si="11"/>
        <v>0128-25</v>
      </c>
      <c r="AE40" s="91" t="str">
        <f t="shared" si="12"/>
        <v>aws s3 cp s3://rtdc.mdm.uploadarchive.raw/RTDC4032/ "%USERPROFILE%\AppData\Local\Temp\OnboardLogs"\RTDC4032\2016-11-25 --exclude "*" --recursive --include "*20161125*" &amp; "%USERPROFILE%\Documents\GitHub\mrs-test-scripts\Headless Mode &amp; Sideloading\WalkAndUnGZ.bat" "%USERPROFILE%\AppData\Local\Temp\OnboardLogs"\RTDC4032\2016-11-25 &amp; aws s3 cp s3://rtdc.mdm.uploadarchive.raw/RTDC4032/ "%USERPROFILE%\AppData\Local\Temp\OnboardLogs"\RTDC4032\2016-11-26 --exclude "*" --recursive --include "*20161126*" &amp; "%USERPROFILE%\Documents\GitHub\mrs-test-scripts\Headless Mode &amp; Sideloading\WalkAndUnGZ.bat" "%USERPROFILE%\AppData\Local\Temp\OnboardLogs"\RTDC4032\2016-11-26</v>
      </c>
      <c r="AF40" s="88" t="str">
        <f t="shared" si="13"/>
        <v>"C:\Program Files (x86)\AstroGrep\AstroGrep.exe" /spath="%USERPROFILE%\AppData\Local\Temp\OnboardLogs" /stypes="app*4032*20161125*" /stext=" 15:.+((SYSTEM_STATE.+slice.+state.+changed )|(ment ac)|(system.+state.+changed )|(\[timeout)|(PRM\|1\|D)|(kpr)|(kdp)|(\|lc)|(penalty))" /e /r /s</v>
      </c>
      <c r="AG40" s="1" t="str">
        <f t="shared" si="14"/>
        <v>EC</v>
      </c>
      <c r="AH40" s="92" t="str">
        <f t="shared" si="17"/>
        <v>"%USERPROFILE%\Documents\GitHub\eaglep3\Utilities\RefineRTDCRunTimes.py" --tripid 128-25 --locoid 4032 --swversion DE.1.0.8.0 --startMP 204:233000 --initTime 2016-11-25T07:49:28 --startdatetime 2016-11-25T07:56:26 --delay 1 --endMP 204:143 --enddatetime 2016-11-25T08:35:58 --enforcementcount 0 &gt;&gt;C:\Users\stu\Documents\GitHub\eaglep3-reporting\EC\2016-11-25-refined-times.txt</v>
      </c>
      <c r="AI40" s="119" t="str">
        <f t="shared" si="18"/>
        <v>echo {"issue":{"subject":"","project_id":79,"tracker_id":40,"status_id":1,"priority_id":2,"assigned_to_id":23,"start_date":"2016-11-25","description":"","custom_fields":[{"id":1,"name":"Subdivision","value":"EC"},{"id":4,"name":"Milepost","value":"0.0143"},{"id":17,"name":"Train ID","value":"128-25"},{"id":16,"name":"Locomotive ID","value":"4032"},{"id":130,"name":"Impact","value":""},{"id":150,"name":"Time of Event (Mountain Time)","value":"08:35:58"},{"id":151,"name":"Denver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3"/>
      <c r="AK40" s="53"/>
      <c r="AL40" s="53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7" t="s">
        <v>496</v>
      </c>
      <c r="B41" s="7">
        <v>4046</v>
      </c>
      <c r="C41" s="22" t="s">
        <v>217</v>
      </c>
      <c r="D41" s="22" t="s">
        <v>201</v>
      </c>
      <c r="E41" s="13">
        <v>42699.298229166663</v>
      </c>
      <c r="F41" s="13">
        <v>42699.302314814813</v>
      </c>
      <c r="G41" s="7">
        <v>1</v>
      </c>
      <c r="H41" s="22" t="s">
        <v>364</v>
      </c>
      <c r="I41" s="13">
        <v>42699.326527777775</v>
      </c>
      <c r="J41" s="7">
        <v>0</v>
      </c>
      <c r="K41" s="109" t="str">
        <f t="shared" si="0"/>
        <v>4045/4046</v>
      </c>
      <c r="L41" s="22" t="str">
        <f>VLOOKUP(A41,'Trips&amp;Operators'!$C$1:$E$10000,3,FALSE)</f>
        <v>JOHNSON</v>
      </c>
      <c r="M41" s="6">
        <f t="shared" si="1"/>
        <v>2.421296296233777E-2</v>
      </c>
      <c r="N41" s="7">
        <f t="shared" si="2"/>
        <v>34.866666665766388</v>
      </c>
      <c r="O41" s="7"/>
      <c r="P41" s="7"/>
      <c r="Q41" s="23"/>
      <c r="R41" s="23"/>
      <c r="S41" s="35">
        <f t="shared" si="3"/>
        <v>1</v>
      </c>
      <c r="T41" s="50" t="str">
        <f t="shared" si="4"/>
        <v>NorthBound</v>
      </c>
      <c r="U41" s="171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https://search-rtdc-monitor-bjffxe2xuh6vdkpspy63sjmuny.us-east-1.es.amazonaws.com/_plugin/kibana/#/discover/Steve-Slow-Train-Analysis-(2080s-and-2083s)?_g=(refreshInterval:(display:Off,section:0,value:0),time:(from:'2016-11-25 06:09:27-700',mode:absolute,to:'2016-11-25 08:50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41" s="52" t="str">
        <f t="shared" si="6"/>
        <v>N</v>
      </c>
      <c r="X41" s="177">
        <f t="shared" si="7"/>
        <v>1</v>
      </c>
      <c r="Y41" s="67">
        <f t="shared" si="8"/>
        <v>4.5100000000000001E-2</v>
      </c>
      <c r="Z41" s="67">
        <f t="shared" si="9"/>
        <v>23.331199999999999</v>
      </c>
      <c r="AA41" s="67">
        <f t="shared" si="10"/>
        <v>23.286099999999998</v>
      </c>
      <c r="AB41" s="64" t="e">
        <f>VLOOKUP(A41,Enforcements!$C$7:$K$20,8,0)</f>
        <v>#N/A</v>
      </c>
      <c r="AC41" s="60" t="e">
        <f>VLOOKUP(A41,Enforcements!$C$7:$E$20,3,0)</f>
        <v>#N/A</v>
      </c>
      <c r="AD41" s="61" t="str">
        <f t="shared" si="11"/>
        <v>0129-25</v>
      </c>
      <c r="AE41" s="91" t="str">
        <f t="shared" si="12"/>
        <v>aws s3 cp s3://rtdc.mdm.uploadarchive.raw/RTDC4046/ "%USERPROFILE%\AppData\Local\Temp\OnboardLogs"\RTDC4046\2016-11-25 --exclude "*" --recursive --include "*20161125*" &amp; "%USERPROFILE%\Documents\GitHub\mrs-test-scripts\Headless Mode &amp; Sideloading\WalkAndUnGZ.bat" "%USERPROFILE%\AppData\Local\Temp\OnboardLogs"\RTDC4046\2016-11-25 &amp; aws s3 cp s3://rtdc.mdm.uploadarchive.raw/RTDC4046/ "%USERPROFILE%\AppData\Local\Temp\OnboardLogs"\RTDC4046\2016-11-26 --exclude "*" --recursive --include "*20161126*" &amp; "%USERPROFILE%\Documents\GitHub\mrs-test-scripts\Headless Mode &amp; Sideloading\WalkAndUnGZ.bat" "%USERPROFILE%\AppData\Local\Temp\OnboardLogs"\RTDC4046\2016-11-26</v>
      </c>
      <c r="AF41" s="88" t="str">
        <f t="shared" si="13"/>
        <v>"C:\Program Files (x86)\AstroGrep\AstroGrep.exe" /spath="%USERPROFILE%\AppData\Local\Temp\OnboardLogs" /stypes="app*4046*20161125*" /stext=" 14:.+((SYSTEM_STATE.+slice.+state.+changed )|(ment ac)|(system.+state.+changed )|(\[timeout)|(PRM\|1\|D)|(kpr)|(kdp)|(\|lc)|(penalty))" /e /r /s</v>
      </c>
      <c r="AG41" s="1" t="str">
        <f t="shared" si="14"/>
        <v>EC</v>
      </c>
      <c r="AH41" s="92" t="str">
        <f t="shared" si="17"/>
        <v>"%USERPROFILE%\Documents\GitHub\eaglep3\Utilities\RefineRTDCRunTimes.py" --tripid 129-25 --locoid 4046 --swversion DE.1.0.8.0 --startMP 204:451 --initTime 2016-11-25T07:09:27 --startdatetime 2016-11-25T07:15:20 --delay 1 --endMP 204:233312 --enddatetime 2016-11-25T07:50:12 --enforcementcount 0 &gt;&gt;C:\Users\stu\Documents\GitHub\eaglep3-reporting\EC\2016-11-25-refined-times.txt</v>
      </c>
      <c r="AI41" s="119" t="str">
        <f t="shared" si="18"/>
        <v>echo {"issue":{"subject":"","project_id":79,"tracker_id":40,"status_id":1,"priority_id":2,"assigned_to_id":23,"start_date":"2016-11-25","description":"","custom_fields":[{"id":1,"name":"Subdivision","value":"EC"},{"id":4,"name":"Milepost","value":"23.3312"},{"id":17,"name":"Train ID","value":"129-25"},{"id":16,"name":"Locomotive ID","value":"4046"},{"id":130,"name":"Impact","value":""},{"id":150,"name":"Time of Event (Mountain Time)","value":"07:50:12"},{"id":151,"name":"Denver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3"/>
      <c r="AK41" s="53"/>
      <c r="AL41" s="53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7" t="s">
        <v>503</v>
      </c>
      <c r="B42" s="7">
        <v>4045</v>
      </c>
      <c r="C42" s="22" t="s">
        <v>217</v>
      </c>
      <c r="D42" s="22" t="s">
        <v>644</v>
      </c>
      <c r="E42" s="13">
        <v>42699.339456018519</v>
      </c>
      <c r="F42" s="13">
        <v>42699.341168981482</v>
      </c>
      <c r="G42" s="7">
        <v>0</v>
      </c>
      <c r="H42" s="22" t="s">
        <v>241</v>
      </c>
      <c r="I42" s="13">
        <v>42699.367615740739</v>
      </c>
      <c r="J42" s="7">
        <v>0</v>
      </c>
      <c r="K42" s="109" t="str">
        <f t="shared" si="0"/>
        <v>4045/4046</v>
      </c>
      <c r="L42" s="22" t="str">
        <f>VLOOKUP(A42,'Trips&amp;Operators'!$C$1:$E$10000,3,FALSE)</f>
        <v>JOHNSON</v>
      </c>
      <c r="M42" s="6">
        <f t="shared" si="1"/>
        <v>2.6446759256941732E-2</v>
      </c>
      <c r="N42" s="7">
        <f t="shared" si="2"/>
        <v>38.083333329996094</v>
      </c>
      <c r="O42" s="7"/>
      <c r="P42" s="7"/>
      <c r="Q42" s="23"/>
      <c r="R42" s="23"/>
      <c r="S42" s="35">
        <f t="shared" si="3"/>
        <v>1</v>
      </c>
      <c r="T42" s="50" t="str">
        <f t="shared" si="4"/>
        <v>Southbound</v>
      </c>
      <c r="U42" s="171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https://search-rtdc-monitor-bjffxe2xuh6vdkpspy63sjmuny.us-east-1.es.amazonaws.com/_plugin/kibana/#/discover/Steve-Slow-Train-Analysis-(2080s-and-2083s)?_g=(refreshInterval:(display:Off,section:0,value:0),time:(from:'2016-11-25 07:08:49-700',mode:absolute,to:'2016-11-25 09:49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42" s="52" t="str">
        <f t="shared" si="6"/>
        <v>N</v>
      </c>
      <c r="X42" s="177">
        <f t="shared" si="7"/>
        <v>1</v>
      </c>
      <c r="Y42" s="67">
        <f t="shared" si="8"/>
        <v>23.298500000000001</v>
      </c>
      <c r="Z42" s="67">
        <f t="shared" si="9"/>
        <v>1.54E-2</v>
      </c>
      <c r="AA42" s="67">
        <f t="shared" si="10"/>
        <v>23.283100000000001</v>
      </c>
      <c r="AB42" s="64" t="e">
        <f>VLOOKUP(A42,Enforcements!$C$7:$K$20,8,0)</f>
        <v>#N/A</v>
      </c>
      <c r="AC42" s="60" t="e">
        <f>VLOOKUP(A42,Enforcements!$C$7:$E$20,3,0)</f>
        <v>#N/A</v>
      </c>
      <c r="AD42" s="61" t="str">
        <f t="shared" si="11"/>
        <v>0130-25</v>
      </c>
      <c r="AE42" s="91" t="str">
        <f t="shared" si="12"/>
        <v>aws s3 cp s3://rtdc.mdm.uploadarchive.raw/RTDC4045/ "%USERPROFILE%\AppData\Local\Temp\OnboardLogs"\RTDC4045\2016-11-25 --exclude "*" --recursive --include "*20161125*" &amp; "%USERPROFILE%\Documents\GitHub\mrs-test-scripts\Headless Mode &amp; Sideloading\WalkAndUnGZ.bat" "%USERPROFILE%\AppData\Local\Temp\OnboardLogs"\RTDC4045\2016-11-25 &amp; aws s3 cp s3://rtdc.mdm.uploadarchive.raw/RTDC4045/ "%USERPROFILE%\AppData\Local\Temp\OnboardLogs"\RTDC4045\2016-11-26 --exclude "*" --recursive --include "*20161126*" &amp; "%USERPROFILE%\Documents\GitHub\mrs-test-scripts\Headless Mode &amp; Sideloading\WalkAndUnGZ.bat" "%USERPROFILE%\AppData\Local\Temp\OnboardLogs"\RTDC4045\2016-11-26</v>
      </c>
      <c r="AF42" s="88" t="str">
        <f t="shared" si="13"/>
        <v>"C:\Program Files (x86)\AstroGrep\AstroGrep.exe" /spath="%USERPROFILE%\AppData\Local\Temp\OnboardLogs" /stypes="app*4045*20161125*" /stext=" 15:.+((SYSTEM_STATE.+slice.+state.+changed )|(ment ac)|(system.+state.+changed )|(\[timeout)|(PRM\|1\|D)|(kpr)|(kdp)|(\|lc)|(penalty))" /e /r /s</v>
      </c>
      <c r="AG42" s="1" t="str">
        <f t="shared" si="14"/>
        <v>EC</v>
      </c>
      <c r="AH42" s="92" t="str">
        <f t="shared" si="17"/>
        <v>"%USERPROFILE%\Documents\GitHub\eaglep3\Utilities\RefineRTDCRunTimes.py" --tripid 130-25 --locoid 4045 --swversion DE.1.0.8.0 --startMP 204:232985 --initTime 2016-11-25T08:08:49 --startdatetime 2016-11-25T08:11:17 --delay 0 --endMP 204:154 --enddatetime 2016-11-25T08:49:22 --enforcementcount 0 &gt;&gt;C:\Users\stu\Documents\GitHub\eaglep3-reporting\EC\2016-11-25-refined-times.txt</v>
      </c>
      <c r="AI42" s="119" t="str">
        <f t="shared" si="18"/>
        <v>echo {"issue":{"subject":"","project_id":79,"tracker_id":40,"status_id":1,"priority_id":2,"assigned_to_id":23,"start_date":"2016-11-25","description":"","custom_fields":[{"id":1,"name":"Subdivision","value":"EC"},{"id":4,"name":"Milepost","value":"0.0154"},{"id":17,"name":"Train ID","value":"130-25"},{"id":16,"name":"Locomotive ID","value":"4045"},{"id":130,"name":"Impact","value":""},{"id":150,"name":"Time of Event (Mountain Time)","value":"08:49:22"},{"id":151,"name":"Denver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3"/>
      <c r="AK42" s="53"/>
      <c r="AL42" s="53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7" t="s">
        <v>414</v>
      </c>
      <c r="B43" s="7">
        <v>4011</v>
      </c>
      <c r="C43" s="22" t="s">
        <v>217</v>
      </c>
      <c r="D43" s="22" t="s">
        <v>324</v>
      </c>
      <c r="E43" s="13">
        <v>42699.308819444443</v>
      </c>
      <c r="F43" s="13">
        <v>42699.312673611108</v>
      </c>
      <c r="G43" s="7">
        <v>1</v>
      </c>
      <c r="H43" s="22" t="s">
        <v>360</v>
      </c>
      <c r="I43" s="13">
        <v>42699.338460648149</v>
      </c>
      <c r="J43" s="7">
        <v>1</v>
      </c>
      <c r="K43" s="109" t="str">
        <f t="shared" si="0"/>
        <v>4011/4012</v>
      </c>
      <c r="L43" s="22" t="str">
        <f>VLOOKUP(A43,'Trips&amp;Operators'!$C$1:$E$10000,3,FALSE)</f>
        <v>DAVIS</v>
      </c>
      <c r="M43" s="6">
        <f t="shared" si="1"/>
        <v>2.5787037040572613E-2</v>
      </c>
      <c r="N43" s="7">
        <f t="shared" si="2"/>
        <v>37.133333338424563</v>
      </c>
      <c r="O43" s="7"/>
      <c r="P43" s="7"/>
      <c r="Q43" s="23"/>
      <c r="R43" s="23"/>
      <c r="S43" s="35">
        <f t="shared" si="3"/>
        <v>1</v>
      </c>
      <c r="T43" s="50" t="str">
        <f t="shared" si="4"/>
        <v>NorthBound</v>
      </c>
      <c r="U43" s="171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https://search-rtdc-monitor-bjffxe2xuh6vdkpspy63sjmuny.us-east-1.es.amazonaws.com/_plugin/kibana/#/discover/Steve-Slow-Train-Analysis-(2080s-and-2083s)?_g=(refreshInterval:(display:Off,section:0,value:0),time:(from:'2016-11-25 06:24:42-700',mode:absolute,to:'2016-11-25 09:07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43" s="52" t="str">
        <f t="shared" si="6"/>
        <v>N</v>
      </c>
      <c r="X43" s="177">
        <f t="shared" si="7"/>
        <v>1</v>
      </c>
      <c r="Y43" s="67">
        <f t="shared" si="8"/>
        <v>4.3099999999999999E-2</v>
      </c>
      <c r="Z43" s="67">
        <f t="shared" si="9"/>
        <v>23.332000000000001</v>
      </c>
      <c r="AA43" s="67">
        <f t="shared" si="10"/>
        <v>23.288900000000002</v>
      </c>
      <c r="AB43" s="64" t="e">
        <f>VLOOKUP(A43,Enforcements!$C$7:$K$20,8,0)</f>
        <v>#N/A</v>
      </c>
      <c r="AC43" s="60" t="e">
        <f>VLOOKUP(A43,Enforcements!$C$7:$E$20,3,0)</f>
        <v>#N/A</v>
      </c>
      <c r="AD43" s="61" t="str">
        <f t="shared" si="11"/>
        <v>0131-25</v>
      </c>
      <c r="AE43" s="91" t="str">
        <f t="shared" si="12"/>
        <v>aws s3 cp s3://rtdc.mdm.uploadarchive.raw/RTDC4011/ "%USERPROFILE%\AppData\Local\Temp\OnboardLogs"\RTDC4011\2016-11-25 --exclude "*" --recursive --include "*20161125*" &amp; "%USERPROFILE%\Documents\GitHub\mrs-test-scripts\Headless Mode &amp; Sideloading\WalkAndUnGZ.bat" "%USERPROFILE%\AppData\Local\Temp\OnboardLogs"\RTDC4011\2016-11-25 &amp; aws s3 cp s3://rtdc.mdm.uploadarchive.raw/RTDC4011/ "%USERPROFILE%\AppData\Local\Temp\OnboardLogs"\RTDC4011\2016-11-26 --exclude "*" --recursive --include "*20161126*" &amp; "%USERPROFILE%\Documents\GitHub\mrs-test-scripts\Headless Mode &amp; Sideloading\WalkAndUnGZ.bat" "%USERPROFILE%\AppData\Local\Temp\OnboardLogs"\RTDC4011\2016-11-26</v>
      </c>
      <c r="AF43" s="88" t="str">
        <f t="shared" si="13"/>
        <v>"C:\Program Files (x86)\AstroGrep\AstroGrep.exe" /spath="%USERPROFILE%\AppData\Local\Temp\OnboardLogs" /stypes="app*4011*20161125*" /stext=" 15:.+((SYSTEM_STATE.+slice.+state.+changed )|(ment ac)|(system.+state.+changed )|(\[timeout)|(PRM\|1\|D)|(kpr)|(kdp)|(\|lc)|(penalty))" /e /r /s</v>
      </c>
      <c r="AG43" s="1" t="str">
        <f t="shared" si="14"/>
        <v>EC</v>
      </c>
      <c r="AH43" s="92" t="str">
        <f t="shared" si="17"/>
        <v>"%USERPROFILE%\Documents\GitHub\eaglep3\Utilities\RefineRTDCRunTimes.py" --tripid 131-25 --locoid 4011 --swversion DE.1.0.8.0 --startMP 204:431 --initTime 2016-11-25T07:24:42 --startdatetime 2016-11-25T07:30:15 --delay 1 --endMP 204:233320 --enddatetime 2016-11-25T08:07:23 --enforcementcount 1 &gt;&gt;C:\Users\stu\Documents\GitHub\eaglep3-reporting\EC\2016-11-25-refined-times.txt</v>
      </c>
      <c r="AI43" s="119" t="str">
        <f t="shared" si="18"/>
        <v>echo {"issue":{"subject":"","project_id":79,"tracker_id":40,"status_id":1,"priority_id":2,"assigned_to_id":23,"start_date":"2016-11-25","description":"","custom_fields":[{"id":1,"name":"Subdivision","value":"EC"},{"id":4,"name":"Milepost","value":"23.332"},{"id":17,"name":"Train ID","value":"131-25"},{"id":16,"name":"Locomotive ID","value":"4011"},{"id":130,"name":"Impact","value":""},{"id":150,"name":"Time of Event (Mountain Time)","value":"08:07:23"},{"id":151,"name":"Denver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3"/>
      <c r="AK43" s="53"/>
      <c r="AL43" s="5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7" t="s">
        <v>419</v>
      </c>
      <c r="B44" s="7">
        <v>4012</v>
      </c>
      <c r="C44" s="22" t="s">
        <v>217</v>
      </c>
      <c r="D44" s="22" t="s">
        <v>358</v>
      </c>
      <c r="E44" s="13">
        <v>42699.347129629627</v>
      </c>
      <c r="F44" s="13">
        <v>42699.351597222223</v>
      </c>
      <c r="G44" s="7">
        <v>1</v>
      </c>
      <c r="H44" s="22" t="s">
        <v>256</v>
      </c>
      <c r="I44" s="13">
        <v>42699.38244212963</v>
      </c>
      <c r="J44" s="7">
        <v>1</v>
      </c>
      <c r="K44" s="109" t="str">
        <f t="shared" si="0"/>
        <v>4011/4012</v>
      </c>
      <c r="L44" s="22" t="str">
        <f>VLOOKUP(A44,'Trips&amp;Operators'!$C$1:$E$10000,3,FALSE)</f>
        <v>DAVIS</v>
      </c>
      <c r="M44" s="6">
        <f t="shared" si="1"/>
        <v>3.0844907407299615E-2</v>
      </c>
      <c r="N44" s="7">
        <f t="shared" si="2"/>
        <v>44.416666666511446</v>
      </c>
      <c r="O44" s="7"/>
      <c r="P44" s="7"/>
      <c r="Q44" s="23"/>
      <c r="R44" s="23"/>
      <c r="S44" s="35">
        <f t="shared" si="3"/>
        <v>1</v>
      </c>
      <c r="T44" s="50" t="str">
        <f t="shared" si="4"/>
        <v>Southbound</v>
      </c>
      <c r="U44" s="171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https://search-rtdc-monitor-bjffxe2xuh6vdkpspy63sjmuny.us-east-1.es.amazonaws.com/_plugin/kibana/#/discover/Steve-Slow-Train-Analysis-(2080s-and-2083s)?_g=(refreshInterval:(display:Off,section:0,value:0),time:(from:'2016-11-25 07:19:52-700',mode:absolute,to:'2016-11-25 10:10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44" s="52" t="str">
        <f t="shared" si="6"/>
        <v>N</v>
      </c>
      <c r="X44" s="177">
        <f t="shared" si="7"/>
        <v>1</v>
      </c>
      <c r="Y44" s="67">
        <f t="shared" si="8"/>
        <v>23.2988</v>
      </c>
      <c r="Z44" s="67">
        <f t="shared" si="9"/>
        <v>1.47E-2</v>
      </c>
      <c r="AA44" s="67">
        <f t="shared" si="10"/>
        <v>23.284099999999999</v>
      </c>
      <c r="AB44" s="64" t="e">
        <f>VLOOKUP(A44,Enforcements!$C$7:$K$20,8,0)</f>
        <v>#N/A</v>
      </c>
      <c r="AC44" s="60" t="e">
        <f>VLOOKUP(A44,Enforcements!$C$7:$E$20,3,0)</f>
        <v>#N/A</v>
      </c>
      <c r="AD44" s="61" t="str">
        <f t="shared" si="11"/>
        <v>0132-25</v>
      </c>
      <c r="AE44" s="91" t="str">
        <f t="shared" si="12"/>
        <v>aws s3 cp s3://rtdc.mdm.uploadarchive.raw/RTDC4012/ "%USERPROFILE%\AppData\Local\Temp\OnboardLogs"\RTDC4012\2016-11-25 --exclude "*" --recursive --include "*20161125*" &amp; "%USERPROFILE%\Documents\GitHub\mrs-test-scripts\Headless Mode &amp; Sideloading\WalkAndUnGZ.bat" "%USERPROFILE%\AppData\Local\Temp\OnboardLogs"\RTDC4012\2016-11-25 &amp; aws s3 cp s3://rtdc.mdm.uploadarchive.raw/RTDC4012/ "%USERPROFILE%\AppData\Local\Temp\OnboardLogs"\RTDC4012\2016-11-26 --exclude "*" --recursive --include "*20161126*" &amp; "%USERPROFILE%\Documents\GitHub\mrs-test-scripts\Headless Mode &amp; Sideloading\WalkAndUnGZ.bat" "%USERPROFILE%\AppData\Local\Temp\OnboardLogs"\RTDC4012\2016-11-26</v>
      </c>
      <c r="AF44" s="88" t="str">
        <f t="shared" si="13"/>
        <v>"C:\Program Files (x86)\AstroGrep\AstroGrep.exe" /spath="%USERPROFILE%\AppData\Local\Temp\OnboardLogs" /stypes="app*4012*20161125*" /stext=" 16:.+((SYSTEM_STATE.+slice.+state.+changed )|(ment ac)|(system.+state.+changed )|(\[timeout)|(PRM\|1\|D)|(kpr)|(kdp)|(\|lc)|(penalty))" /e /r /s</v>
      </c>
      <c r="AG44" s="1" t="str">
        <f t="shared" si="14"/>
        <v>EC</v>
      </c>
      <c r="AH44" s="92" t="str">
        <f t="shared" si="17"/>
        <v>"%USERPROFILE%\Documents\GitHub\eaglep3\Utilities\RefineRTDCRunTimes.py" --tripid 132-25 --locoid 4012 --swversion DE.1.0.8.0 --startMP 204:232988 --initTime 2016-11-25T08:19:52 --startdatetime 2016-11-25T08:26:18 --delay 1 --endMP 204:147 --enddatetime 2016-11-25T09:10:43 --enforcementcount 1 &gt;&gt;C:\Users\stu\Documents\GitHub\eaglep3-reporting\EC\2016-11-25-refined-times.txt</v>
      </c>
      <c r="AI44" s="119" t="str">
        <f t="shared" si="18"/>
        <v>echo {"issue":{"subject":"","project_id":79,"tracker_id":40,"status_id":1,"priority_id":2,"assigned_to_id":23,"start_date":"2016-11-25","description":"","custom_fields":[{"id":1,"name":"Subdivision","value":"EC"},{"id":4,"name":"Milepost","value":"0.0147"},{"id":17,"name":"Train ID","value":"132-25"},{"id":16,"name":"Locomotive ID","value":"4012"},{"id":130,"name":"Impact","value":""},{"id":150,"name":"Time of Event (Mountain Time)","value":"09:10:43"},{"id":151,"name":"Denver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3"/>
      <c r="AK44" s="53"/>
      <c r="AL44" s="53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7" t="s">
        <v>499</v>
      </c>
      <c r="B45" s="7">
        <v>4014</v>
      </c>
      <c r="C45" s="22" t="s">
        <v>217</v>
      </c>
      <c r="D45" s="22" t="s">
        <v>261</v>
      </c>
      <c r="E45" s="13">
        <v>42699.319722222222</v>
      </c>
      <c r="F45" s="13">
        <v>42699.323171296295</v>
      </c>
      <c r="G45" s="7">
        <v>1</v>
      </c>
      <c r="H45" s="22" t="s">
        <v>645</v>
      </c>
      <c r="I45" s="13">
        <v>42699.347685185188</v>
      </c>
      <c r="J45" s="7">
        <v>0</v>
      </c>
      <c r="K45" s="109" t="str">
        <f t="shared" si="0"/>
        <v>4013/4014</v>
      </c>
      <c r="L45" s="22" t="str">
        <f>VLOOKUP(A45,'Trips&amp;Operators'!$C$1:$E$10000,3,FALSE)</f>
        <v>ROBINSON</v>
      </c>
      <c r="M45" s="6">
        <f t="shared" si="1"/>
        <v>2.4513888893125113E-2</v>
      </c>
      <c r="N45" s="7">
        <f t="shared" si="2"/>
        <v>35.300000006100163</v>
      </c>
      <c r="O45" s="7"/>
      <c r="P45" s="7"/>
      <c r="Q45" s="23"/>
      <c r="R45" s="23"/>
      <c r="S45" s="35">
        <f t="shared" si="3"/>
        <v>1</v>
      </c>
      <c r="T45" s="50" t="str">
        <f t="shared" si="4"/>
        <v>NorthBound</v>
      </c>
      <c r="U45" s="171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https://search-rtdc-monitor-bjffxe2xuh6vdkpspy63sjmuny.us-east-1.es.amazonaws.com/_plugin/kibana/#/discover/Steve-Slow-Train-Analysis-(2080s-and-2083s)?_g=(refreshInterval:(display:Off,section:0,value:0),time:(from:'2016-11-25 06:40:24-700',mode:absolute,to:'2016-11-25 09:20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45" s="52" t="str">
        <f t="shared" si="6"/>
        <v>N</v>
      </c>
      <c r="X45" s="177">
        <f t="shared" si="7"/>
        <v>1</v>
      </c>
      <c r="Y45" s="67">
        <f t="shared" si="8"/>
        <v>4.5499999999999999E-2</v>
      </c>
      <c r="Z45" s="67">
        <f t="shared" si="9"/>
        <v>23.333100000000002</v>
      </c>
      <c r="AA45" s="67">
        <f t="shared" si="10"/>
        <v>23.287600000000001</v>
      </c>
      <c r="AB45" s="64" t="e">
        <f>VLOOKUP(A45,Enforcements!$C$7:$K$20,8,0)</f>
        <v>#N/A</v>
      </c>
      <c r="AC45" s="60" t="e">
        <f>VLOOKUP(A45,Enforcements!$C$7:$E$20,3,0)</f>
        <v>#N/A</v>
      </c>
      <c r="AD45" s="61" t="str">
        <f t="shared" si="11"/>
        <v>0133-25</v>
      </c>
      <c r="AE45" s="91" t="str">
        <f t="shared" si="12"/>
        <v>aws s3 cp s3://rtdc.mdm.uploadarchive.raw/RTDC4014/ "%USERPROFILE%\AppData\Local\Temp\OnboardLogs"\RTDC4014\2016-11-25 --exclude "*" --recursive --include "*20161125*" &amp; "%USERPROFILE%\Documents\GitHub\mrs-test-scripts\Headless Mode &amp; Sideloading\WalkAndUnGZ.bat" "%USERPROFILE%\AppData\Local\Temp\OnboardLogs"\RTDC4014\2016-11-25 &amp; aws s3 cp s3://rtdc.mdm.uploadarchive.raw/RTDC4014/ "%USERPROFILE%\AppData\Local\Temp\OnboardLogs"\RTDC4014\2016-11-26 --exclude "*" --recursive --include "*20161126*" &amp; "%USERPROFILE%\Documents\GitHub\mrs-test-scripts\Headless Mode &amp; Sideloading\WalkAndUnGZ.bat" "%USERPROFILE%\AppData\Local\Temp\OnboardLogs"\RTDC4014\2016-11-26</v>
      </c>
      <c r="AF45" s="88" t="str">
        <f t="shared" si="13"/>
        <v>"C:\Program Files (x86)\AstroGrep\AstroGrep.exe" /spath="%USERPROFILE%\AppData\Local\Temp\OnboardLogs" /stypes="app*4014*20161125*" /stext=" 15:.+((SYSTEM_STATE.+slice.+state.+changed )|(ment ac)|(system.+state.+changed )|(\[timeout)|(PRM\|1\|D)|(kpr)|(kdp)|(\|lc)|(penalty))" /e /r /s</v>
      </c>
      <c r="AG45" s="1" t="str">
        <f t="shared" si="14"/>
        <v>EC</v>
      </c>
      <c r="AH45" s="92" t="str">
        <f t="shared" si="17"/>
        <v>"%USERPROFILE%\Documents\GitHub\eaglep3\Utilities\RefineRTDCRunTimes.py" --tripid 133-25 --locoid 4014 --swversion DE.1.0.8.0 --startMP 204:455 --initTime 2016-11-25T07:40:24 --startdatetime 2016-11-25T07:45:22 --delay 1 --endMP 204:233331 --enddatetime 2016-11-25T08:20:40 --enforcementcount 0 &gt;&gt;C:\Users\stu\Documents\GitHub\eaglep3-reporting\EC\2016-11-25-refined-times.txt</v>
      </c>
      <c r="AI45" s="119" t="str">
        <f t="shared" si="18"/>
        <v>echo {"issue":{"subject":"","project_id":79,"tracker_id":40,"status_id":1,"priority_id":2,"assigned_to_id":23,"start_date":"2016-11-25","description":"","custom_fields":[{"id":1,"name":"Subdivision","value":"EC"},{"id":4,"name":"Milepost","value":"23.3331"},{"id":17,"name":"Train ID","value":"133-25"},{"id":16,"name":"Locomotive ID","value":"4014"},{"id":130,"name":"Impact","value":""},{"id":150,"name":"Time of Event (Mountain Time)","value":"08:20:40"},{"id":151,"name":"Denver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3"/>
      <c r="AK45" s="53"/>
      <c r="AL45" s="53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7" t="s">
        <v>507</v>
      </c>
      <c r="B46" s="7">
        <v>4013</v>
      </c>
      <c r="C46" s="22" t="s">
        <v>217</v>
      </c>
      <c r="D46" s="22" t="s">
        <v>646</v>
      </c>
      <c r="E46" s="13">
        <v>42699.35900462963</v>
      </c>
      <c r="F46" s="13">
        <v>42699.362256944441</v>
      </c>
      <c r="G46" s="7">
        <v>1</v>
      </c>
      <c r="H46" s="22" t="s">
        <v>362</v>
      </c>
      <c r="I46" s="13">
        <v>42699.389907407407</v>
      </c>
      <c r="J46" s="7">
        <v>0</v>
      </c>
      <c r="K46" s="109" t="str">
        <f t="shared" si="0"/>
        <v>4013/4014</v>
      </c>
      <c r="L46" s="22" t="str">
        <f>VLOOKUP(A46,'Trips&amp;Operators'!$C$1:$E$10000,3,FALSE)</f>
        <v>ROBINSON</v>
      </c>
      <c r="M46" s="6">
        <f t="shared" si="1"/>
        <v>2.7650462965539191E-2</v>
      </c>
      <c r="N46" s="7">
        <f t="shared" si="2"/>
        <v>39.816666670376435</v>
      </c>
      <c r="O46" s="7"/>
      <c r="P46" s="7"/>
      <c r="Q46" s="23"/>
      <c r="R46" s="23"/>
      <c r="S46" s="35">
        <f t="shared" si="3"/>
        <v>1</v>
      </c>
      <c r="T46" s="50" t="str">
        <f t="shared" si="4"/>
        <v>Southbound</v>
      </c>
      <c r="U46" s="171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https://search-rtdc-monitor-bjffxe2xuh6vdkpspy63sjmuny.us-east-1.es.amazonaws.com/_plugin/kibana/#/discover/Steve-Slow-Train-Analysis-(2080s-and-2083s)?_g=(refreshInterval:(display:Off,section:0,value:0),time:(from:'2016-11-25 07:36:58-700',mode:absolute,to:'2016-11-25 10:21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46" s="52" t="str">
        <f t="shared" si="6"/>
        <v>N</v>
      </c>
      <c r="X46" s="177">
        <f t="shared" si="7"/>
        <v>1</v>
      </c>
      <c r="Y46" s="67">
        <f t="shared" si="8"/>
        <v>23.300599999999999</v>
      </c>
      <c r="Z46" s="67">
        <f t="shared" si="9"/>
        <v>1.4500000000000001E-2</v>
      </c>
      <c r="AA46" s="67">
        <f t="shared" si="10"/>
        <v>23.286099999999998</v>
      </c>
      <c r="AB46" s="64" t="e">
        <f>VLOOKUP(A46,Enforcements!$C$7:$K$20,8,0)</f>
        <v>#N/A</v>
      </c>
      <c r="AC46" s="60" t="e">
        <f>VLOOKUP(A46,Enforcements!$C$7:$E$20,3,0)</f>
        <v>#N/A</v>
      </c>
      <c r="AD46" s="61" t="str">
        <f t="shared" si="11"/>
        <v>0134-25</v>
      </c>
      <c r="AE46" s="91" t="str">
        <f t="shared" si="12"/>
        <v>aws s3 cp s3://rtdc.mdm.uploadarchive.raw/RTDC4013/ "%USERPROFILE%\AppData\Local\Temp\OnboardLogs"\RTDC4013\2016-11-25 --exclude "*" --recursive --include "*20161125*" &amp; "%USERPROFILE%\Documents\GitHub\mrs-test-scripts\Headless Mode &amp; Sideloading\WalkAndUnGZ.bat" "%USERPROFILE%\AppData\Local\Temp\OnboardLogs"\RTDC4013\2016-11-25 &amp; aws s3 cp s3://rtdc.mdm.uploadarchive.raw/RTDC4013/ "%USERPROFILE%\AppData\Local\Temp\OnboardLogs"\RTDC4013\2016-11-26 --exclude "*" --recursive --include "*20161126*" &amp; "%USERPROFILE%\Documents\GitHub\mrs-test-scripts\Headless Mode &amp; Sideloading\WalkAndUnGZ.bat" "%USERPROFILE%\AppData\Local\Temp\OnboardLogs"\RTDC4013\2016-11-26</v>
      </c>
      <c r="AF46" s="88" t="str">
        <f t="shared" si="13"/>
        <v>"C:\Program Files (x86)\AstroGrep\AstroGrep.exe" /spath="%USERPROFILE%\AppData\Local\Temp\OnboardLogs" /stypes="app*4013*20161125*" /stext=" 16:.+((SYSTEM_STATE.+slice.+state.+changed )|(ment ac)|(system.+state.+changed )|(\[timeout)|(PRM\|1\|D)|(kpr)|(kdp)|(\|lc)|(penalty))" /e /r /s</v>
      </c>
      <c r="AG46" s="1" t="str">
        <f t="shared" si="14"/>
        <v>EC</v>
      </c>
      <c r="AH46" s="92" t="str">
        <f t="shared" si="17"/>
        <v>"%USERPROFILE%\Documents\GitHub\eaglep3\Utilities\RefineRTDCRunTimes.py" --tripid 134-25 --locoid 4013 --swversion DE.1.0.8.0 --startMP 204:233006 --initTime 2016-11-25T08:36:58 --startdatetime 2016-11-25T08:41:39 --delay 1 --endMP 204:145 --enddatetime 2016-11-25T09:21:28 --enforcementcount 0 &gt;&gt;C:\Users\stu\Documents\GitHub\eaglep3-reporting\EC\2016-11-25-refined-times.txt</v>
      </c>
      <c r="AI46" s="119" t="str">
        <f t="shared" si="18"/>
        <v>echo {"issue":{"subject":"","project_id":79,"tracker_id":40,"status_id":1,"priority_id":2,"assigned_to_id":23,"start_date":"2016-11-25","description":"","custom_fields":[{"id":1,"name":"Subdivision","value":"EC"},{"id":4,"name":"Milepost","value":"0.0145"},{"id":17,"name":"Train ID","value":"134-25"},{"id":16,"name":"Locomotive ID","value":"4013"},{"id":130,"name":"Impact","value":""},{"id":150,"name":"Time of Event (Mountain Time)","value":"09:21:28"},{"id":151,"name":"Denver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3"/>
      <c r="AK46" s="53"/>
      <c r="AL46" s="53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7" t="s">
        <v>501</v>
      </c>
      <c r="B47" s="7">
        <v>4042</v>
      </c>
      <c r="C47" s="22" t="s">
        <v>217</v>
      </c>
      <c r="D47" s="22" t="s">
        <v>199</v>
      </c>
      <c r="E47" s="13">
        <v>42699.327499999999</v>
      </c>
      <c r="F47" s="13">
        <v>42699.33353009259</v>
      </c>
      <c r="G47" s="7">
        <v>1</v>
      </c>
      <c r="H47" s="22" t="s">
        <v>200</v>
      </c>
      <c r="I47" s="13">
        <v>42699.359768518516</v>
      </c>
      <c r="J47" s="7">
        <v>0</v>
      </c>
      <c r="K47" s="109" t="str">
        <f t="shared" si="0"/>
        <v>4041/4042</v>
      </c>
      <c r="L47" s="22" t="str">
        <f>VLOOKUP(A47,'Trips&amp;Operators'!$C$1:$E$10000,3,FALSE)</f>
        <v>ISHMAEL</v>
      </c>
      <c r="M47" s="6">
        <f t="shared" si="1"/>
        <v>2.6238425925839692E-2</v>
      </c>
      <c r="N47" s="7">
        <f t="shared" si="2"/>
        <v>37.783333333209157</v>
      </c>
      <c r="O47" s="7"/>
      <c r="P47" s="7"/>
      <c r="Q47" s="23"/>
      <c r="R47" s="23"/>
      <c r="S47" s="35">
        <f t="shared" si="3"/>
        <v>1</v>
      </c>
      <c r="T47" s="50" t="str">
        <f t="shared" si="4"/>
        <v>NorthBound</v>
      </c>
      <c r="U47" s="171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https://search-rtdc-monitor-bjffxe2xuh6vdkpspy63sjmuny.us-east-1.es.amazonaws.com/_plugin/kibana/#/discover/Steve-Slow-Train-Analysis-(2080s-and-2083s)?_g=(refreshInterval:(display:Off,section:0,value:0),time:(from:'2016-11-25 06:51:36-700',mode:absolute,to:'2016-11-25 09:38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47" s="52" t="str">
        <f t="shared" si="6"/>
        <v>N</v>
      </c>
      <c r="X47" s="177">
        <f t="shared" si="7"/>
        <v>1</v>
      </c>
      <c r="Y47" s="67">
        <f t="shared" si="8"/>
        <v>4.53E-2</v>
      </c>
      <c r="Z47" s="67">
        <f t="shared" si="9"/>
        <v>23.329499999999999</v>
      </c>
      <c r="AA47" s="67">
        <f t="shared" si="10"/>
        <v>23.284199999999998</v>
      </c>
      <c r="AB47" s="64" t="e">
        <f>VLOOKUP(A47,Enforcements!$C$7:$K$20,8,0)</f>
        <v>#N/A</v>
      </c>
      <c r="AC47" s="60" t="e">
        <f>VLOOKUP(A47,Enforcements!$C$7:$E$20,3,0)</f>
        <v>#N/A</v>
      </c>
      <c r="AD47" s="61" t="str">
        <f t="shared" si="11"/>
        <v>0135-25</v>
      </c>
      <c r="AE47" s="91" t="str">
        <f t="shared" si="12"/>
        <v>aws s3 cp s3://rtdc.mdm.uploadarchive.raw/RTDC4042/ "%USERPROFILE%\AppData\Local\Temp\OnboardLogs"\RTDC4042\2016-11-25 --exclude "*" --recursive --include "*20161125*" &amp; "%USERPROFILE%\Documents\GitHub\mrs-test-scripts\Headless Mode &amp; Sideloading\WalkAndUnGZ.bat" "%USERPROFILE%\AppData\Local\Temp\OnboardLogs"\RTDC4042\2016-11-25 &amp; aws s3 cp s3://rtdc.mdm.uploadarchive.raw/RTDC4042/ "%USERPROFILE%\AppData\Local\Temp\OnboardLogs"\RTDC4042\2016-11-26 --exclude "*" --recursive --include "*20161126*" &amp; "%USERPROFILE%\Documents\GitHub\mrs-test-scripts\Headless Mode &amp; Sideloading\WalkAndUnGZ.bat" "%USERPROFILE%\AppData\Local\Temp\OnboardLogs"\RTDC4042\2016-11-26</v>
      </c>
      <c r="AF47" s="88" t="str">
        <f t="shared" si="13"/>
        <v>"C:\Program Files (x86)\AstroGrep\AstroGrep.exe" /spath="%USERPROFILE%\AppData\Local\Temp\OnboardLogs" /stypes="app*4042*20161125*" /stext=" 15:.+((SYSTEM_STATE.+slice.+state.+changed )|(ment ac)|(system.+state.+changed )|(\[timeout)|(PRM\|1\|D)|(kpr)|(kdp)|(\|lc)|(penalty))" /e /r /s</v>
      </c>
      <c r="AG47" s="1" t="str">
        <f t="shared" si="14"/>
        <v>EC</v>
      </c>
      <c r="AH47" s="92" t="str">
        <f t="shared" si="17"/>
        <v>"%USERPROFILE%\Documents\GitHub\eaglep3\Utilities\RefineRTDCRunTimes.py" --tripid 135-25 --locoid 4042 --swversion DE.1.0.8.0 --startMP 204:453 --initTime 2016-11-25T07:51:36 --startdatetime 2016-11-25T08:00:17 --delay 1 --endMP 204:233295 --enddatetime 2016-11-25T08:38:04 --enforcementcount 0 &gt;&gt;C:\Users\stu\Documents\GitHub\eaglep3-reporting\EC\2016-11-25-refined-times.txt</v>
      </c>
      <c r="AI47" s="119" t="str">
        <f t="shared" si="18"/>
        <v>echo {"issue":{"subject":"","project_id":79,"tracker_id":40,"status_id":1,"priority_id":2,"assigned_to_id":23,"start_date":"2016-11-25","description":"","custom_fields":[{"id":1,"name":"Subdivision","value":"EC"},{"id":4,"name":"Milepost","value":"23.3295"},{"id":17,"name":"Train ID","value":"135-25"},{"id":16,"name":"Locomotive ID","value":"4042"},{"id":130,"name":"Impact","value":""},{"id":150,"name":"Time of Event (Mountain Time)","value":"08:38:04"},{"id":151,"name":"Denver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3"/>
      <c r="AK47" s="53"/>
      <c r="AL47" s="53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7" t="s">
        <v>510</v>
      </c>
      <c r="B48" s="7">
        <v>4041</v>
      </c>
      <c r="C48" s="22" t="s">
        <v>217</v>
      </c>
      <c r="D48" s="22" t="s">
        <v>368</v>
      </c>
      <c r="E48" s="13">
        <v>42699.366215277776</v>
      </c>
      <c r="F48" s="13">
        <v>42699.372407407405</v>
      </c>
      <c r="G48" s="7">
        <v>1</v>
      </c>
      <c r="H48" s="22" t="s">
        <v>197</v>
      </c>
      <c r="I48" s="13">
        <v>42699.400787037041</v>
      </c>
      <c r="J48" s="7">
        <v>0</v>
      </c>
      <c r="K48" s="109" t="str">
        <f t="shared" si="0"/>
        <v>4041/4042</v>
      </c>
      <c r="L48" s="22" t="str">
        <f>VLOOKUP(A48,'Trips&amp;Operators'!$C$1:$E$10000,3,FALSE)</f>
        <v>ISHMAEL</v>
      </c>
      <c r="M48" s="6">
        <f t="shared" si="1"/>
        <v>2.8379629635310266E-2</v>
      </c>
      <c r="N48" s="7">
        <f t="shared" si="2"/>
        <v>40.866666674846783</v>
      </c>
      <c r="O48" s="7"/>
      <c r="P48" s="7"/>
      <c r="Q48" s="23"/>
      <c r="R48" s="23"/>
      <c r="S48" s="35">
        <f t="shared" si="3"/>
        <v>1</v>
      </c>
      <c r="T48" s="50" t="str">
        <f t="shared" si="4"/>
        <v>Southbound</v>
      </c>
      <c r="U48" s="171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https://search-rtdc-monitor-bjffxe2xuh6vdkpspy63sjmuny.us-east-1.es.amazonaws.com/_plugin/kibana/#/discover/Steve-Slow-Train-Analysis-(2080s-and-2083s)?_g=(refreshInterval:(display:Off,section:0,value:0),time:(from:'2016-11-25 07:47:21-700',mode:absolute,to:'2016-11-25 10:37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48" s="52" t="str">
        <f t="shared" si="6"/>
        <v>N</v>
      </c>
      <c r="X48" s="177">
        <f t="shared" si="7"/>
        <v>1</v>
      </c>
      <c r="Y48" s="67">
        <f t="shared" si="8"/>
        <v>23.297999999999998</v>
      </c>
      <c r="Z48" s="67">
        <f t="shared" si="9"/>
        <v>1.43E-2</v>
      </c>
      <c r="AA48" s="67">
        <f t="shared" si="10"/>
        <v>23.2837</v>
      </c>
      <c r="AB48" s="64" t="e">
        <f>VLOOKUP(A48,Enforcements!$C$7:$K$20,8,0)</f>
        <v>#N/A</v>
      </c>
      <c r="AC48" s="60" t="e">
        <f>VLOOKUP(A48,Enforcements!$C$7:$E$20,3,0)</f>
        <v>#N/A</v>
      </c>
      <c r="AD48" s="61" t="str">
        <f t="shared" si="11"/>
        <v>0136-25</v>
      </c>
      <c r="AE48" s="91" t="str">
        <f t="shared" si="12"/>
        <v>aws s3 cp s3://rtdc.mdm.uploadarchive.raw/RTDC4041/ "%USERPROFILE%\AppData\Local\Temp\OnboardLogs"\RTDC4041\2016-11-25 --exclude "*" --recursive --include "*20161125*" &amp; "%USERPROFILE%\Documents\GitHub\mrs-test-scripts\Headless Mode &amp; Sideloading\WalkAndUnGZ.bat" "%USERPROFILE%\AppData\Local\Temp\OnboardLogs"\RTDC4041\2016-11-25 &amp; aws s3 cp s3://rtdc.mdm.uploadarchive.raw/RTDC4041/ "%USERPROFILE%\AppData\Local\Temp\OnboardLogs"\RTDC4041\2016-11-26 --exclude "*" --recursive --include "*20161126*" &amp; "%USERPROFILE%\Documents\GitHub\mrs-test-scripts\Headless Mode &amp; Sideloading\WalkAndUnGZ.bat" "%USERPROFILE%\AppData\Local\Temp\OnboardLogs"\RTDC4041\2016-11-26</v>
      </c>
      <c r="AF48" s="88" t="str">
        <f t="shared" si="13"/>
        <v>"C:\Program Files (x86)\AstroGrep\AstroGrep.exe" /spath="%USERPROFILE%\AppData\Local\Temp\OnboardLogs" /stypes="app*4041*20161125*" /stext=" 16:.+((SYSTEM_STATE.+slice.+state.+changed )|(ment ac)|(system.+state.+changed )|(\[timeout)|(PRM\|1\|D)|(kpr)|(kdp)|(\|lc)|(penalty))" /e /r /s</v>
      </c>
      <c r="AG48" s="1" t="str">
        <f t="shared" si="14"/>
        <v>EC</v>
      </c>
      <c r="AH48" s="92" t="str">
        <f t="shared" si="17"/>
        <v>"%USERPROFILE%\Documents\GitHub\eaglep3\Utilities\RefineRTDCRunTimes.py" --tripid 136-25 --locoid 4041 --swversion DE.1.0.8.0 --startMP 204:232980 --initTime 2016-11-25T08:47:21 --startdatetime 2016-11-25T08:56:16 --delay 1 --endMP 204:143 --enddatetime 2016-11-25T09:37:08 --enforcementcount 0 &gt;&gt;C:\Users\stu\Documents\GitHub\eaglep3-reporting\EC\2016-11-25-refined-times.txt</v>
      </c>
      <c r="AI48" s="119" t="str">
        <f t="shared" si="18"/>
        <v>echo {"issue":{"subject":"","project_id":79,"tracker_id":40,"status_id":1,"priority_id":2,"assigned_to_id":23,"start_date":"2016-11-25","description":"","custom_fields":[{"id":1,"name":"Subdivision","value":"EC"},{"id":4,"name":"Milepost","value":"0.0143"},{"id":17,"name":"Train ID","value":"136-25"},{"id":16,"name":"Locomotive ID","value":"4041"},{"id":130,"name":"Impact","value":""},{"id":150,"name":"Time of Event (Mountain Time)","value":"09:37:08"},{"id":151,"name":"Denver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3"/>
      <c r="AK48" s="53"/>
      <c r="AL48" s="53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7" t="s">
        <v>504</v>
      </c>
      <c r="B49" s="7">
        <v>4009</v>
      </c>
      <c r="C49" s="22" t="s">
        <v>217</v>
      </c>
      <c r="D49" s="22" t="s">
        <v>242</v>
      </c>
      <c r="E49" s="13">
        <v>42699.341469907406</v>
      </c>
      <c r="F49" s="13">
        <v>42699.343993055554</v>
      </c>
      <c r="G49" s="7">
        <v>1</v>
      </c>
      <c r="H49" s="22" t="s">
        <v>307</v>
      </c>
      <c r="I49" s="13">
        <v>42699.370370370372</v>
      </c>
      <c r="J49" s="7">
        <v>0</v>
      </c>
      <c r="K49" s="109" t="str">
        <f t="shared" si="0"/>
        <v>4009/4010</v>
      </c>
      <c r="L49" s="22" t="str">
        <f>VLOOKUP(A49,'Trips&amp;Operators'!$C$1:$E$10000,3,FALSE)</f>
        <v>OUN</v>
      </c>
      <c r="M49" s="6">
        <f t="shared" si="1"/>
        <v>2.6377314818091691E-2</v>
      </c>
      <c r="N49" s="7">
        <f t="shared" si="2"/>
        <v>37.983333338052034</v>
      </c>
      <c r="O49" s="7"/>
      <c r="P49" s="7"/>
      <c r="Q49" s="23"/>
      <c r="R49" s="23"/>
      <c r="S49" s="35">
        <f t="shared" si="3"/>
        <v>1</v>
      </c>
      <c r="T49" s="50" t="str">
        <f t="shared" si="4"/>
        <v>NorthBound</v>
      </c>
      <c r="U49" s="171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https://search-rtdc-monitor-bjffxe2xuh6vdkpspy63sjmuny.us-east-1.es.amazonaws.com/_plugin/kibana/#/discover/Steve-Slow-Train-Analysis-(2080s-and-2083s)?_g=(refreshInterval:(display:Off,section:0,value:0),time:(from:'2016-11-25 07:11:43-700',mode:absolute,to:'2016-11-25 09:53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49" s="52" t="str">
        <f t="shared" si="6"/>
        <v>N</v>
      </c>
      <c r="X49" s="177">
        <f t="shared" si="7"/>
        <v>1</v>
      </c>
      <c r="Y49" s="67">
        <f t="shared" si="8"/>
        <v>4.6600000000000003E-2</v>
      </c>
      <c r="Z49" s="67">
        <f t="shared" si="9"/>
        <v>23.3308</v>
      </c>
      <c r="AA49" s="67">
        <f t="shared" si="10"/>
        <v>23.284199999999998</v>
      </c>
      <c r="AB49" s="64" t="e">
        <f>VLOOKUP(A49,Enforcements!$C$7:$K$20,8,0)</f>
        <v>#N/A</v>
      </c>
      <c r="AC49" s="60" t="e">
        <f>VLOOKUP(A49,Enforcements!$C$7:$E$20,3,0)</f>
        <v>#N/A</v>
      </c>
      <c r="AD49" s="61" t="str">
        <f t="shared" si="11"/>
        <v>0137-25</v>
      </c>
      <c r="AE49" s="91" t="str">
        <f t="shared" si="12"/>
        <v>aws s3 cp s3://rtdc.mdm.uploadarchive.raw/RTDC4009/ "%USERPROFILE%\AppData\Local\Temp\OnboardLogs"\RTDC4009\2016-11-25 --exclude "*" --recursive --include "*20161125*" &amp; "%USERPROFILE%\Documents\GitHub\mrs-test-scripts\Headless Mode &amp; Sideloading\WalkAndUnGZ.bat" "%USERPROFILE%\AppData\Local\Temp\OnboardLogs"\RTDC4009\2016-11-25 &amp; aws s3 cp s3://rtdc.mdm.uploadarchive.raw/RTDC4009/ "%USERPROFILE%\AppData\Local\Temp\OnboardLogs"\RTDC4009\2016-11-26 --exclude "*" --recursive --include "*20161126*" &amp; "%USERPROFILE%\Documents\GitHub\mrs-test-scripts\Headless Mode &amp; Sideloading\WalkAndUnGZ.bat" "%USERPROFILE%\AppData\Local\Temp\OnboardLogs"\RTDC4009\2016-11-26</v>
      </c>
      <c r="AF49" s="88" t="str">
        <f t="shared" si="13"/>
        <v>"C:\Program Files (x86)\AstroGrep\AstroGrep.exe" /spath="%USERPROFILE%\AppData\Local\Temp\OnboardLogs" /stypes="app*4009*20161125*" /stext=" 15:.+((SYSTEM_STATE.+slice.+state.+changed )|(ment ac)|(system.+state.+changed )|(\[timeout)|(PRM\|1\|D)|(kpr)|(kdp)|(\|lc)|(penalty))" /e /r /s</v>
      </c>
      <c r="AG49" s="1" t="str">
        <f t="shared" si="14"/>
        <v>EC</v>
      </c>
      <c r="AH49" s="92" t="str">
        <f t="shared" si="17"/>
        <v>"%USERPROFILE%\Documents\GitHub\eaglep3\Utilities\RefineRTDCRunTimes.py" --tripid 137-25 --locoid 4009 --swversion DE.1.0.8.0 --startMP 204:466 --initTime 2016-11-25T08:11:43 --startdatetime 2016-11-25T08:15:21 --delay 1 --endMP 204:233308 --enddatetime 2016-11-25T08:53:20 --enforcementcount 0 &gt;&gt;C:\Users\stu\Documents\GitHub\eaglep3-reporting\EC\2016-11-25-refined-times.txt</v>
      </c>
      <c r="AI49" s="119" t="str">
        <f t="shared" si="18"/>
        <v>echo {"issue":{"subject":"","project_id":79,"tracker_id":40,"status_id":1,"priority_id":2,"assigned_to_id":23,"start_date":"2016-11-25","description":"","custom_fields":[{"id":1,"name":"Subdivision","value":"EC"},{"id":4,"name":"Milepost","value":"23.3308"},{"id":17,"name":"Train ID","value":"137-25"},{"id":16,"name":"Locomotive ID","value":"4009"},{"id":130,"name":"Impact","value":""},{"id":150,"name":"Time of Event (Mountain Time)","value":"08:53:20"},{"id":151,"name":"Denver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3"/>
      <c r="AK49" s="53"/>
      <c r="AL49" s="53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7" t="s">
        <v>513</v>
      </c>
      <c r="B50" s="7">
        <v>4010</v>
      </c>
      <c r="C50" s="22" t="s">
        <v>217</v>
      </c>
      <c r="D50" s="22" t="s">
        <v>278</v>
      </c>
      <c r="E50" s="13">
        <v>42699.37767361111</v>
      </c>
      <c r="F50" s="13">
        <v>42699.3828587963</v>
      </c>
      <c r="G50" s="7">
        <v>1</v>
      </c>
      <c r="H50" s="22" t="s">
        <v>196</v>
      </c>
      <c r="I50" s="13">
        <v>42699.410405092596</v>
      </c>
      <c r="J50" s="7">
        <v>0</v>
      </c>
      <c r="K50" s="109" t="str">
        <f t="shared" si="0"/>
        <v>4009/4010</v>
      </c>
      <c r="L50" s="22" t="str">
        <f>VLOOKUP(A50,'Trips&amp;Operators'!$C$1:$E$10000,3,FALSE)</f>
        <v>OUN</v>
      </c>
      <c r="M50" s="6">
        <f t="shared" si="1"/>
        <v>2.7546296296350192E-2</v>
      </c>
      <c r="N50" s="7">
        <f t="shared" si="2"/>
        <v>39.666666666744277</v>
      </c>
      <c r="O50" s="7"/>
      <c r="P50" s="7"/>
      <c r="Q50" s="23"/>
      <c r="R50" s="23"/>
      <c r="S50" s="35">
        <f t="shared" si="3"/>
        <v>1</v>
      </c>
      <c r="T50" s="50" t="str">
        <f t="shared" si="4"/>
        <v>Southbound</v>
      </c>
      <c r="U50" s="171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https://search-rtdc-monitor-bjffxe2xuh6vdkpspy63sjmuny.us-east-1.es.amazonaws.com/_plugin/kibana/#/discover/Steve-Slow-Train-Analysis-(2080s-and-2083s)?_g=(refreshInterval:(display:Off,section:0,value:0),time:(from:'2016-11-25 08:03:51-700',mode:absolute,to:'2016-11-25 10:50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50" s="52" t="str">
        <f t="shared" si="6"/>
        <v>N</v>
      </c>
      <c r="X50" s="177">
        <f t="shared" si="7"/>
        <v>1</v>
      </c>
      <c r="Y50" s="67">
        <f t="shared" si="8"/>
        <v>23.3002</v>
      </c>
      <c r="Z50" s="67">
        <f t="shared" si="9"/>
        <v>1.49E-2</v>
      </c>
      <c r="AA50" s="67">
        <f t="shared" si="10"/>
        <v>23.285299999999999</v>
      </c>
      <c r="AB50" s="64" t="e">
        <f>VLOOKUP(A50,Enforcements!$C$7:$K$20,8,0)</f>
        <v>#N/A</v>
      </c>
      <c r="AC50" s="60" t="e">
        <f>VLOOKUP(A50,Enforcements!$C$7:$E$20,3,0)</f>
        <v>#N/A</v>
      </c>
      <c r="AD50" s="61" t="str">
        <f t="shared" si="11"/>
        <v>0138-25</v>
      </c>
      <c r="AE50" s="91" t="str">
        <f t="shared" si="12"/>
        <v>aws s3 cp s3://rtdc.mdm.uploadarchive.raw/RTDC4010/ "%USERPROFILE%\AppData\Local\Temp\OnboardLogs"\RTDC4010\2016-11-25 --exclude "*" --recursive --include "*20161125*" &amp; "%USERPROFILE%\Documents\GitHub\mrs-test-scripts\Headless Mode &amp; Sideloading\WalkAndUnGZ.bat" "%USERPROFILE%\AppData\Local\Temp\OnboardLogs"\RTDC4010\2016-11-25 &amp; aws s3 cp s3://rtdc.mdm.uploadarchive.raw/RTDC4010/ "%USERPROFILE%\AppData\Local\Temp\OnboardLogs"\RTDC4010\2016-11-26 --exclude "*" --recursive --include "*20161126*" &amp; "%USERPROFILE%\Documents\GitHub\mrs-test-scripts\Headless Mode &amp; Sideloading\WalkAndUnGZ.bat" "%USERPROFILE%\AppData\Local\Temp\OnboardLogs"\RTDC4010\2016-11-26</v>
      </c>
      <c r="AF50" s="88" t="str">
        <f t="shared" si="13"/>
        <v>"C:\Program Files (x86)\AstroGrep\AstroGrep.exe" /spath="%USERPROFILE%\AppData\Local\Temp\OnboardLogs" /stypes="app*4010*20161125*" /stext=" 16:.+((SYSTEM_STATE.+slice.+state.+changed )|(ment ac)|(system.+state.+changed )|(\[timeout)|(PRM\|1\|D)|(kpr)|(kdp)|(\|lc)|(penalty))" /e /r /s</v>
      </c>
      <c r="AG50" s="1" t="str">
        <f t="shared" si="14"/>
        <v>EC</v>
      </c>
      <c r="AH50" s="92" t="str">
        <f t="shared" si="17"/>
        <v>"%USERPROFILE%\Documents\GitHub\eaglep3\Utilities\RefineRTDCRunTimes.py" --tripid 138-25 --locoid 4010 --swversion DE.1.0.8.0 --startMP 204:233002 --initTime 2016-11-25T09:03:51 --startdatetime 2016-11-25T09:11:19 --delay 1 --endMP 204:149 --enddatetime 2016-11-25T09:50:59 --enforcementcount 0 &gt;&gt;C:\Users\stu\Documents\GitHub\eaglep3-reporting\EC\2016-11-25-refined-times.txt</v>
      </c>
      <c r="AI50" s="119" t="str">
        <f t="shared" si="18"/>
        <v>echo {"issue":{"subject":"","project_id":79,"tracker_id":40,"status_id":1,"priority_id":2,"assigned_to_id":23,"start_date":"2016-11-25","description":"","custom_fields":[{"id":1,"name":"Subdivision","value":"EC"},{"id":4,"name":"Milepost","value":"0.0149"},{"id":17,"name":"Train ID","value":"138-25"},{"id":16,"name":"Locomotive ID","value":"4010"},{"id":130,"name":"Impact","value":""},{"id":150,"name":"Time of Event (Mountain Time)","value":"09:50:59"},{"id":151,"name":"Denver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3"/>
      <c r="AK50" s="53"/>
      <c r="AL50" s="53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7" t="s">
        <v>505</v>
      </c>
      <c r="B51" s="7">
        <v>4040</v>
      </c>
      <c r="C51" s="22" t="s">
        <v>217</v>
      </c>
      <c r="D51" s="22" t="s">
        <v>647</v>
      </c>
      <c r="E51" s="13">
        <v>42699.349872685183</v>
      </c>
      <c r="F51" s="13">
        <v>42699.354351851849</v>
      </c>
      <c r="G51" s="7">
        <v>1</v>
      </c>
      <c r="H51" s="22" t="s">
        <v>329</v>
      </c>
      <c r="I51" s="13">
        <v>42699.378969907404</v>
      </c>
      <c r="J51" s="7">
        <v>0</v>
      </c>
      <c r="K51" s="109" t="str">
        <f t="shared" si="0"/>
        <v>4039/4040</v>
      </c>
      <c r="L51" s="22" t="str">
        <f>VLOOKUP(A51,'Trips&amp;Operators'!$C$1:$E$10000,3,FALSE)</f>
        <v>SPECTOR</v>
      </c>
      <c r="M51" s="6">
        <f t="shared" si="1"/>
        <v>2.4618055555038154E-2</v>
      </c>
      <c r="N51" s="7">
        <f t="shared" si="2"/>
        <v>35.449999999254942</v>
      </c>
      <c r="O51" s="7"/>
      <c r="P51" s="7"/>
      <c r="Q51" s="23"/>
      <c r="R51" s="23"/>
      <c r="S51" s="35">
        <f t="shared" si="3"/>
        <v>1</v>
      </c>
      <c r="T51" s="50" t="str">
        <f t="shared" si="4"/>
        <v>NorthBound</v>
      </c>
      <c r="U51" s="171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https://search-rtdc-monitor-bjffxe2xuh6vdkpspy63sjmuny.us-east-1.es.amazonaws.com/_plugin/kibana/#/discover/Steve-Slow-Train-Analysis-(2080s-and-2083s)?_g=(refreshInterval:(display:Off,section:0,value:0),time:(from:'2016-11-25 07:23:49-700',mode:absolute,to:'2016-11-25 10:05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51" s="52" t="str">
        <f t="shared" si="6"/>
        <v>N</v>
      </c>
      <c r="X51" s="177">
        <f t="shared" si="7"/>
        <v>1</v>
      </c>
      <c r="Y51" s="67">
        <f t="shared" si="8"/>
        <v>4.9799999999999997E-2</v>
      </c>
      <c r="Z51" s="67">
        <f t="shared" si="9"/>
        <v>23.332599999999999</v>
      </c>
      <c r="AA51" s="67">
        <f t="shared" si="10"/>
        <v>23.282799999999998</v>
      </c>
      <c r="AB51" s="64" t="e">
        <f>VLOOKUP(A51,Enforcements!$C$7:$K$20,8,0)</f>
        <v>#N/A</v>
      </c>
      <c r="AC51" s="60" t="e">
        <f>VLOOKUP(A51,Enforcements!$C$7:$E$20,3,0)</f>
        <v>#N/A</v>
      </c>
      <c r="AD51" s="61" t="str">
        <f t="shared" si="11"/>
        <v>0139-25</v>
      </c>
      <c r="AE51" s="91" t="str">
        <f t="shared" si="12"/>
        <v>aws s3 cp s3://rtdc.mdm.uploadarchive.raw/RTDC4040/ "%USERPROFILE%\AppData\Local\Temp\OnboardLogs"\RTDC4040\2016-11-25 --exclude "*" --recursive --include "*20161125*" &amp; "%USERPROFILE%\Documents\GitHub\mrs-test-scripts\Headless Mode &amp; Sideloading\WalkAndUnGZ.bat" "%USERPROFILE%\AppData\Local\Temp\OnboardLogs"\RTDC4040\2016-11-25 &amp; aws s3 cp s3://rtdc.mdm.uploadarchive.raw/RTDC4040/ "%USERPROFILE%\AppData\Local\Temp\OnboardLogs"\RTDC4040\2016-11-26 --exclude "*" --recursive --include "*20161126*" &amp; "%USERPROFILE%\Documents\GitHub\mrs-test-scripts\Headless Mode &amp; Sideloading\WalkAndUnGZ.bat" "%USERPROFILE%\AppData\Local\Temp\OnboardLogs"\RTDC4040\2016-11-26</v>
      </c>
      <c r="AF51" s="88" t="str">
        <f t="shared" si="13"/>
        <v>"C:\Program Files (x86)\AstroGrep\AstroGrep.exe" /spath="%USERPROFILE%\AppData\Local\Temp\OnboardLogs" /stypes="app*4040*20161125*" /stext=" 16:.+((SYSTEM_STATE.+slice.+state.+changed )|(ment ac)|(system.+state.+changed )|(\[timeout)|(PRM\|1\|D)|(kpr)|(kdp)|(\|lc)|(penalty))" /e /r /s</v>
      </c>
      <c r="AG51" s="1" t="str">
        <f t="shared" si="14"/>
        <v>EC</v>
      </c>
      <c r="AH51" s="92" t="str">
        <f t="shared" si="17"/>
        <v>"%USERPROFILE%\Documents\GitHub\eaglep3\Utilities\RefineRTDCRunTimes.py" --tripid 139-25 --locoid 4040 --swversion DE.1.0.8.0 --startMP 204:498 --initTime 2016-11-25T08:23:49 --startdatetime 2016-11-25T08:30:16 --delay 1 --endMP 204:233326 --enddatetime 2016-11-25T09:05:43 --enforcementcount 0 &gt;&gt;C:\Users\stu\Documents\GitHub\eaglep3-reporting\EC\2016-11-25-refined-times.txt</v>
      </c>
      <c r="AI51" s="119" t="str">
        <f t="shared" si="18"/>
        <v>echo {"issue":{"subject":"","project_id":79,"tracker_id":40,"status_id":1,"priority_id":2,"assigned_to_id":23,"start_date":"2016-11-25","description":"","custom_fields":[{"id":1,"name":"Subdivision","value":"EC"},{"id":4,"name":"Milepost","value":"23.3326"},{"id":17,"name":"Train ID","value":"139-25"},{"id":16,"name":"Locomotive ID","value":"4040"},{"id":130,"name":"Impact","value":""},{"id":150,"name":"Time of Event (Mountain Time)","value":"09:05:43"},{"id":151,"name":"Denver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3"/>
      <c r="AK51" s="53"/>
      <c r="AL51" s="53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7" t="s">
        <v>515</v>
      </c>
      <c r="B52" s="7">
        <v>4039</v>
      </c>
      <c r="C52" s="22" t="s">
        <v>217</v>
      </c>
      <c r="D52" s="22" t="s">
        <v>372</v>
      </c>
      <c r="E52" s="13">
        <v>42699.386979166666</v>
      </c>
      <c r="F52" s="13">
        <v>42699.39334490741</v>
      </c>
      <c r="G52" s="7">
        <v>1</v>
      </c>
      <c r="H52" s="22" t="s">
        <v>362</v>
      </c>
      <c r="I52" s="13">
        <v>42699.420069444444</v>
      </c>
      <c r="J52" s="7">
        <v>0</v>
      </c>
      <c r="K52" s="109" t="str">
        <f t="shared" si="0"/>
        <v>4039/4040</v>
      </c>
      <c r="L52" s="22" t="str">
        <f>VLOOKUP(A52,'Trips&amp;Operators'!$C$1:$E$10000,3,FALSE)</f>
        <v>SPECTOR</v>
      </c>
      <c r="M52" s="6">
        <f t="shared" si="1"/>
        <v>2.6724537034169771E-2</v>
      </c>
      <c r="N52" s="7">
        <f t="shared" si="2"/>
        <v>38.48333332920447</v>
      </c>
      <c r="O52" s="7"/>
      <c r="P52" s="7"/>
      <c r="Q52" s="23"/>
      <c r="R52" s="23"/>
      <c r="S52" s="35">
        <f t="shared" si="3"/>
        <v>1</v>
      </c>
      <c r="T52" s="50" t="str">
        <f t="shared" si="4"/>
        <v>Southbound</v>
      </c>
      <c r="U52" s="171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https://search-rtdc-monitor-bjffxe2xuh6vdkpspy63sjmuny.us-east-1.es.amazonaws.com/_plugin/kibana/#/discover/Steve-Slow-Train-Analysis-(2080s-and-2083s)?_g=(refreshInterval:(display:Off,section:0,value:0),time:(from:'2016-11-25 08:17:15-700',mode:absolute,to:'2016-11-25 11:04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52" s="52" t="str">
        <f t="shared" si="6"/>
        <v>N</v>
      </c>
      <c r="X52" s="177">
        <f t="shared" si="7"/>
        <v>1</v>
      </c>
      <c r="Y52" s="67">
        <f t="shared" si="8"/>
        <v>23.300699999999999</v>
      </c>
      <c r="Z52" s="67">
        <f t="shared" si="9"/>
        <v>1.4500000000000001E-2</v>
      </c>
      <c r="AA52" s="67">
        <f t="shared" si="10"/>
        <v>23.286199999999997</v>
      </c>
      <c r="AB52" s="64" t="e">
        <f>VLOOKUP(A52,Enforcements!$C$7:$K$20,8,0)</f>
        <v>#N/A</v>
      </c>
      <c r="AC52" s="60" t="e">
        <f>VLOOKUP(A52,Enforcements!$C$7:$E$20,3,0)</f>
        <v>#N/A</v>
      </c>
      <c r="AD52" s="61" t="str">
        <f t="shared" si="11"/>
        <v>0140-25</v>
      </c>
      <c r="AE52" s="91" t="str">
        <f t="shared" si="12"/>
        <v>aws s3 cp s3://rtdc.mdm.uploadarchive.raw/RTDC4039/ "%USERPROFILE%\AppData\Local\Temp\OnboardLogs"\RTDC4039\2016-11-25 --exclude "*" --recursive --include "*20161125*" &amp; "%USERPROFILE%\Documents\GitHub\mrs-test-scripts\Headless Mode &amp; Sideloading\WalkAndUnGZ.bat" "%USERPROFILE%\AppData\Local\Temp\OnboardLogs"\RTDC4039\2016-11-25 &amp; aws s3 cp s3://rtdc.mdm.uploadarchive.raw/RTDC4039/ "%USERPROFILE%\AppData\Local\Temp\OnboardLogs"\RTDC4039\2016-11-26 --exclude "*" --recursive --include "*20161126*" &amp; "%USERPROFILE%\Documents\GitHub\mrs-test-scripts\Headless Mode &amp; Sideloading\WalkAndUnGZ.bat" "%USERPROFILE%\AppData\Local\Temp\OnboardLogs"\RTDC4039\2016-11-26</v>
      </c>
      <c r="AF52" s="88" t="str">
        <f t="shared" si="13"/>
        <v>"C:\Program Files (x86)\AstroGrep\AstroGrep.exe" /spath="%USERPROFILE%\AppData\Local\Temp\OnboardLogs" /stypes="app*4039*20161125*" /stext=" 17:.+((SYSTEM_STATE.+slice.+state.+changed )|(ment ac)|(system.+state.+changed )|(\[timeout)|(PRM\|1\|D)|(kpr)|(kdp)|(\|lc)|(penalty))" /e /r /s</v>
      </c>
      <c r="AG52" s="1" t="str">
        <f t="shared" si="14"/>
        <v>EC</v>
      </c>
      <c r="AH52" s="92" t="str">
        <f t="shared" si="17"/>
        <v>"%USERPROFILE%\Documents\GitHub\eaglep3\Utilities\RefineRTDCRunTimes.py" --tripid 140-25 --locoid 4039 --swversion DE.1.0.8.0 --startMP 204:233007 --initTime 2016-11-25T09:17:15 --startdatetime 2016-11-25T09:26:25 --delay 1 --endMP 204:145 --enddatetime 2016-11-25T10:04:54 --enforcementcount 0 &gt;&gt;C:\Users\stu\Documents\GitHub\eaglep3-reporting\EC\2016-11-25-refined-times.txt</v>
      </c>
      <c r="AI52" s="119" t="str">
        <f t="shared" si="18"/>
        <v>echo {"issue":{"subject":"","project_id":79,"tracker_id":40,"status_id":1,"priority_id":2,"assigned_to_id":23,"start_date":"2016-11-25","description":"","custom_fields":[{"id":1,"name":"Subdivision","value":"EC"},{"id":4,"name":"Milepost","value":"0.0145"},{"id":17,"name":"Train ID","value":"140-25"},{"id":16,"name":"Locomotive ID","value":"4039"},{"id":130,"name":"Impact","value":""},{"id":150,"name":"Time of Event (Mountain Time)","value":"10:04:54"},{"id":151,"name":"Denver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3"/>
      <c r="AK52" s="53"/>
      <c r="AL52" s="53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7" t="s">
        <v>509</v>
      </c>
      <c r="B53" s="7">
        <v>4031</v>
      </c>
      <c r="C53" s="22" t="s">
        <v>217</v>
      </c>
      <c r="D53" s="22" t="s">
        <v>198</v>
      </c>
      <c r="E53" s="13">
        <v>42699.36142361111</v>
      </c>
      <c r="F53" s="13">
        <v>42699.364837962959</v>
      </c>
      <c r="G53" s="7">
        <v>1</v>
      </c>
      <c r="H53" s="22" t="s">
        <v>260</v>
      </c>
      <c r="I53" s="13">
        <v>42699.389641203707</v>
      </c>
      <c r="J53" s="7">
        <v>0</v>
      </c>
      <c r="K53" s="109" t="str">
        <f t="shared" si="0"/>
        <v>4031/4032</v>
      </c>
      <c r="L53" s="22" t="str">
        <f>VLOOKUP(A53,'Trips&amp;Operators'!$C$1:$E$10000,3,FALSE)</f>
        <v>MAELZER</v>
      </c>
      <c r="M53" s="6">
        <f t="shared" si="1"/>
        <v>2.4803240747132804E-2</v>
      </c>
      <c r="N53" s="7">
        <f t="shared" si="2"/>
        <v>35.716666675871238</v>
      </c>
      <c r="O53" s="7"/>
      <c r="P53" s="7"/>
      <c r="Q53" s="23"/>
      <c r="R53" s="23"/>
      <c r="S53" s="35">
        <f t="shared" si="3"/>
        <v>1</v>
      </c>
      <c r="T53" s="50" t="str">
        <f t="shared" si="4"/>
        <v>NorthBound</v>
      </c>
      <c r="U53" s="171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https://search-rtdc-monitor-bjffxe2xuh6vdkpspy63sjmuny.us-east-1.es.amazonaws.com/_plugin/kibana/#/discover/Steve-Slow-Train-Analysis-(2080s-and-2083s)?_g=(refreshInterval:(display:Off,section:0,value:0),time:(from:'2016-11-25 07:40:27-700',mode:absolute,to:'2016-11-25 10:21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53" s="52" t="str">
        <f t="shared" si="6"/>
        <v>N</v>
      </c>
      <c r="X53" s="177">
        <f t="shared" si="7"/>
        <v>1</v>
      </c>
      <c r="Y53" s="67">
        <f t="shared" si="8"/>
        <v>4.4699999999999997E-2</v>
      </c>
      <c r="Z53" s="67">
        <f t="shared" si="9"/>
        <v>23.331399999999999</v>
      </c>
      <c r="AA53" s="67">
        <f t="shared" si="10"/>
        <v>23.2867</v>
      </c>
      <c r="AB53" s="64" t="e">
        <f>VLOOKUP(A53,Enforcements!$C$7:$K$20,8,0)</f>
        <v>#N/A</v>
      </c>
      <c r="AC53" s="60" t="e">
        <f>VLOOKUP(A53,Enforcements!$C$7:$E$20,3,0)</f>
        <v>#N/A</v>
      </c>
      <c r="AD53" s="61" t="str">
        <f t="shared" si="11"/>
        <v>0141-25</v>
      </c>
      <c r="AE53" s="91" t="str">
        <f t="shared" si="12"/>
        <v>aws s3 cp s3://rtdc.mdm.uploadarchive.raw/RTDC4031/ "%USERPROFILE%\AppData\Local\Temp\OnboardLogs"\RTDC4031\2016-11-25 --exclude "*" --recursive --include "*20161125*" &amp; "%USERPROFILE%\Documents\GitHub\mrs-test-scripts\Headless Mode &amp; Sideloading\WalkAndUnGZ.bat" "%USERPROFILE%\AppData\Local\Temp\OnboardLogs"\RTDC4031\2016-11-25 &amp; aws s3 cp s3://rtdc.mdm.uploadarchive.raw/RTDC4031/ "%USERPROFILE%\AppData\Local\Temp\OnboardLogs"\RTDC4031\2016-11-26 --exclude "*" --recursive --include "*20161126*" &amp; "%USERPROFILE%\Documents\GitHub\mrs-test-scripts\Headless Mode &amp; Sideloading\WalkAndUnGZ.bat" "%USERPROFILE%\AppData\Local\Temp\OnboardLogs"\RTDC4031\2016-11-26</v>
      </c>
      <c r="AF53" s="88" t="str">
        <f t="shared" si="13"/>
        <v>"C:\Program Files (x86)\AstroGrep\AstroGrep.exe" /spath="%USERPROFILE%\AppData\Local\Temp\OnboardLogs" /stypes="app*4031*20161125*" /stext=" 16:.+((SYSTEM_STATE.+slice.+state.+changed )|(ment ac)|(system.+state.+changed )|(\[timeout)|(PRM\|1\|D)|(kpr)|(kdp)|(\|lc)|(penalty))" /e /r /s</v>
      </c>
      <c r="AG53" s="1" t="str">
        <f t="shared" si="14"/>
        <v>EC</v>
      </c>
      <c r="AH53" s="92" t="str">
        <f t="shared" si="17"/>
        <v>"%USERPROFILE%\Documents\GitHub\eaglep3\Utilities\RefineRTDCRunTimes.py" --tripid 141-25 --locoid 4031 --swversion DE.1.0.8.0 --startMP 204:447 --initTime 2016-11-25T08:40:27 --startdatetime 2016-11-25T08:45:22 --delay 1 --endMP 204:233314 --enddatetime 2016-11-25T09:21:05 --enforcementcount 0 &gt;&gt;C:\Users\stu\Documents\GitHub\eaglep3-reporting\EC\2016-11-25-refined-times.txt</v>
      </c>
      <c r="AI53" s="119" t="str">
        <f t="shared" si="18"/>
        <v>echo {"issue":{"subject":"","project_id":79,"tracker_id":40,"status_id":1,"priority_id":2,"assigned_to_id":23,"start_date":"2016-11-25","description":"","custom_fields":[{"id":1,"name":"Subdivision","value":"EC"},{"id":4,"name":"Milepost","value":"23.3314"},{"id":17,"name":"Train ID","value":"141-25"},{"id":16,"name":"Locomotive ID","value":"4031"},{"id":130,"name":"Impact","value":""},{"id":150,"name":"Time of Event (Mountain Time)","value":"09:21:05"},{"id":151,"name":"Denver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3"/>
      <c r="AK53" s="53"/>
      <c r="AL53" s="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7" t="s">
        <v>423</v>
      </c>
      <c r="B54" s="7">
        <v>4032</v>
      </c>
      <c r="C54" s="22" t="s">
        <v>217</v>
      </c>
      <c r="D54" s="22" t="s">
        <v>646</v>
      </c>
      <c r="E54" s="13">
        <v>42699.391863425924</v>
      </c>
      <c r="F54" s="13">
        <v>42699.403923611113</v>
      </c>
      <c r="G54" s="7">
        <v>1</v>
      </c>
      <c r="H54" s="22" t="s">
        <v>362</v>
      </c>
      <c r="I54" s="13">
        <v>42699.430810185186</v>
      </c>
      <c r="J54" s="7">
        <v>1</v>
      </c>
      <c r="K54" s="109" t="str">
        <f t="shared" si="0"/>
        <v>4031/4032</v>
      </c>
      <c r="L54" s="22" t="str">
        <f>VLOOKUP(A54,'Trips&amp;Operators'!$C$1:$E$10000,3,FALSE)</f>
        <v>MAELZER</v>
      </c>
      <c r="M54" s="6">
        <f t="shared" si="1"/>
        <v>2.6886574072705116E-2</v>
      </c>
      <c r="N54" s="7">
        <f t="shared" si="2"/>
        <v>38.716666664695367</v>
      </c>
      <c r="O54" s="7"/>
      <c r="P54" s="7"/>
      <c r="Q54" s="23"/>
      <c r="R54" s="23"/>
      <c r="S54" s="35">
        <f t="shared" si="3"/>
        <v>1</v>
      </c>
      <c r="T54" s="50" t="str">
        <f t="shared" si="4"/>
        <v>Southbound</v>
      </c>
      <c r="U54" s="171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https://search-rtdc-monitor-bjffxe2xuh6vdkpspy63sjmuny.us-east-1.es.amazonaws.com/_plugin/kibana/#/discover/Steve-Slow-Train-Analysis-(2080s-and-2083s)?_g=(refreshInterval:(display:Off,section:0,value:0),time:(from:'2016-11-25 08:24:17-700',mode:absolute,to:'2016-11-25 11:20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54" s="52" t="str">
        <f t="shared" si="6"/>
        <v>N</v>
      </c>
      <c r="X54" s="177">
        <f t="shared" si="7"/>
        <v>1</v>
      </c>
      <c r="Y54" s="67">
        <f t="shared" si="8"/>
        <v>23.300599999999999</v>
      </c>
      <c r="Z54" s="67">
        <f t="shared" si="9"/>
        <v>1.4500000000000001E-2</v>
      </c>
      <c r="AA54" s="67">
        <f t="shared" si="10"/>
        <v>23.286099999999998</v>
      </c>
      <c r="AB54" s="64" t="e">
        <f>VLOOKUP(A54,Enforcements!$C$7:$K$20,8,0)</f>
        <v>#N/A</v>
      </c>
      <c r="AC54" s="60" t="e">
        <f>VLOOKUP(A54,Enforcements!$C$7:$E$20,3,0)</f>
        <v>#N/A</v>
      </c>
      <c r="AD54" s="61" t="str">
        <f t="shared" si="11"/>
        <v>0142-25</v>
      </c>
      <c r="AE54" s="91" t="str">
        <f t="shared" si="12"/>
        <v>aws s3 cp s3://rtdc.mdm.uploadarchive.raw/RTDC4032/ "%USERPROFILE%\AppData\Local\Temp\OnboardLogs"\RTDC4032\2016-11-25 --exclude "*" --recursive --include "*20161125*" &amp; "%USERPROFILE%\Documents\GitHub\mrs-test-scripts\Headless Mode &amp; Sideloading\WalkAndUnGZ.bat" "%USERPROFILE%\AppData\Local\Temp\OnboardLogs"\RTDC4032\2016-11-25 &amp; aws s3 cp s3://rtdc.mdm.uploadarchive.raw/RTDC4032/ "%USERPROFILE%\AppData\Local\Temp\OnboardLogs"\RTDC4032\2016-11-26 --exclude "*" --recursive --include "*20161126*" &amp; "%USERPROFILE%\Documents\GitHub\mrs-test-scripts\Headless Mode &amp; Sideloading\WalkAndUnGZ.bat" "%USERPROFILE%\AppData\Local\Temp\OnboardLogs"\RTDC4032\2016-11-26</v>
      </c>
      <c r="AF54" s="88" t="str">
        <f t="shared" si="13"/>
        <v>"C:\Program Files (x86)\AstroGrep\AstroGrep.exe" /spath="%USERPROFILE%\AppData\Local\Temp\OnboardLogs" /stypes="app*4032*20161125*" /stext=" 17:.+((SYSTEM_STATE.+slice.+state.+changed )|(ment ac)|(system.+state.+changed )|(\[timeout)|(PRM\|1\|D)|(kpr)|(kdp)|(\|lc)|(penalty))" /e /r /s</v>
      </c>
      <c r="AG54" s="1" t="str">
        <f t="shared" si="14"/>
        <v>EC</v>
      </c>
      <c r="AH54" s="92" t="str">
        <f t="shared" si="17"/>
        <v>"%USERPROFILE%\Documents\GitHub\eaglep3\Utilities\RefineRTDCRunTimes.py" --tripid 142-25 --locoid 4032 --swversion DE.1.0.8.0 --startMP 204:233006 --initTime 2016-11-25T09:24:17 --startdatetime 2016-11-25T09:41:39 --delay 1 --endMP 204:145 --enddatetime 2016-11-25T10:20:22 --enforcementcount 1 &gt;&gt;C:\Users\stu\Documents\GitHub\eaglep3-reporting\EC\2016-11-25-refined-times.txt</v>
      </c>
      <c r="AI54" s="119" t="str">
        <f t="shared" si="18"/>
        <v>echo {"issue":{"subject":"","project_id":79,"tracker_id":40,"status_id":1,"priority_id":2,"assigned_to_id":23,"start_date":"2016-11-25","description":"","custom_fields":[{"id":1,"name":"Subdivision","value":"EC"},{"id":4,"name":"Milepost","value":"0.0145"},{"id":17,"name":"Train ID","value":"142-25"},{"id":16,"name":"Locomotive ID","value":"4032"},{"id":130,"name":"Impact","value":""},{"id":150,"name":"Time of Event (Mountain Time)","value":"10:20:22"},{"id":151,"name":"Denver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3"/>
      <c r="AK54" s="53"/>
      <c r="AL54" s="53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7" t="s">
        <v>511</v>
      </c>
      <c r="B55" s="7">
        <v>4046</v>
      </c>
      <c r="C55" s="22" t="s">
        <v>217</v>
      </c>
      <c r="D55" s="22" t="s">
        <v>243</v>
      </c>
      <c r="E55" s="13">
        <v>42699.36959490741</v>
      </c>
      <c r="F55" s="13">
        <v>42699.375185185185</v>
      </c>
      <c r="G55" s="7">
        <v>1</v>
      </c>
      <c r="H55" s="22" t="s">
        <v>200</v>
      </c>
      <c r="I55" s="13">
        <v>42699.400752314818</v>
      </c>
      <c r="J55" s="7">
        <v>0</v>
      </c>
      <c r="K55" s="109" t="str">
        <f t="shared" si="0"/>
        <v>4045/4046</v>
      </c>
      <c r="L55" s="22" t="str">
        <f>VLOOKUP(A55,'Trips&amp;Operators'!$C$1:$E$10000,3,FALSE)</f>
        <v>JOHNSON</v>
      </c>
      <c r="M55" s="6">
        <f t="shared" si="1"/>
        <v>2.5567129632690921E-2</v>
      </c>
      <c r="N55" s="7">
        <f t="shared" si="2"/>
        <v>36.816666671074927</v>
      </c>
      <c r="O55" s="7"/>
      <c r="P55" s="7"/>
      <c r="Q55" s="23"/>
      <c r="R55" s="23"/>
      <c r="S55" s="35">
        <f t="shared" si="3"/>
        <v>1</v>
      </c>
      <c r="T55" s="50" t="str">
        <f t="shared" si="4"/>
        <v>NorthBound</v>
      </c>
      <c r="U55" s="171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https://search-rtdc-monitor-bjffxe2xuh6vdkpspy63sjmuny.us-east-1.es.amazonaws.com/_plugin/kibana/#/discover/Steve-Slow-Train-Analysis-(2080s-and-2083s)?_g=(refreshInterval:(display:Off,section:0,value:0),time:(from:'2016-11-25 07:52:13-700',mode:absolute,to:'2016-11-25 10:37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55" s="52" t="str">
        <f t="shared" si="6"/>
        <v>N</v>
      </c>
      <c r="X55" s="177">
        <f t="shared" si="7"/>
        <v>1</v>
      </c>
      <c r="Y55" s="67">
        <f t="shared" si="8"/>
        <v>4.4900000000000002E-2</v>
      </c>
      <c r="Z55" s="67">
        <f t="shared" si="9"/>
        <v>23.329499999999999</v>
      </c>
      <c r="AA55" s="67">
        <f t="shared" si="10"/>
        <v>23.284600000000001</v>
      </c>
      <c r="AB55" s="64" t="e">
        <f>VLOOKUP(A55,Enforcements!$C$7:$K$20,8,0)</f>
        <v>#N/A</v>
      </c>
      <c r="AC55" s="60" t="e">
        <f>VLOOKUP(A55,Enforcements!$C$7:$E$20,3,0)</f>
        <v>#N/A</v>
      </c>
      <c r="AD55" s="61" t="str">
        <f t="shared" si="11"/>
        <v>0143-25</v>
      </c>
      <c r="AE55" s="91" t="str">
        <f t="shared" si="12"/>
        <v>aws s3 cp s3://rtdc.mdm.uploadarchive.raw/RTDC4046/ "%USERPROFILE%\AppData\Local\Temp\OnboardLogs"\RTDC4046\2016-11-25 --exclude "*" --recursive --include "*20161125*" &amp; "%USERPROFILE%\Documents\GitHub\mrs-test-scripts\Headless Mode &amp; Sideloading\WalkAndUnGZ.bat" "%USERPROFILE%\AppData\Local\Temp\OnboardLogs"\RTDC4046\2016-11-25 &amp; aws s3 cp s3://rtdc.mdm.uploadarchive.raw/RTDC4046/ "%USERPROFILE%\AppData\Local\Temp\OnboardLogs"\RTDC4046\2016-11-26 --exclude "*" --recursive --include "*20161126*" &amp; "%USERPROFILE%\Documents\GitHub\mrs-test-scripts\Headless Mode &amp; Sideloading\WalkAndUnGZ.bat" "%USERPROFILE%\AppData\Local\Temp\OnboardLogs"\RTDC4046\2016-11-26</v>
      </c>
      <c r="AF55" s="88" t="str">
        <f t="shared" si="13"/>
        <v>"C:\Program Files (x86)\AstroGrep\AstroGrep.exe" /spath="%USERPROFILE%\AppData\Local\Temp\OnboardLogs" /stypes="app*4046*20161125*" /stext=" 16:.+((SYSTEM_STATE.+slice.+state.+changed )|(ment ac)|(system.+state.+changed )|(\[timeout)|(PRM\|1\|D)|(kpr)|(kdp)|(\|lc)|(penalty))" /e /r /s</v>
      </c>
      <c r="AG55" s="1" t="str">
        <f t="shared" si="14"/>
        <v>EC</v>
      </c>
      <c r="AH55" s="92" t="str">
        <f t="shared" si="17"/>
        <v>"%USERPROFILE%\Documents\GitHub\eaglep3\Utilities\RefineRTDCRunTimes.py" --tripid 143-25 --locoid 4046 --swversion DE.1.0.8.0 --startMP 204:449 --initTime 2016-11-25T08:52:13 --startdatetime 2016-11-25T09:00:16 --delay 1 --endMP 204:233295 --enddatetime 2016-11-25T09:37:05 --enforcementcount 0 &gt;&gt;C:\Users\stu\Documents\GitHub\eaglep3-reporting\EC\2016-11-25-refined-times.txt</v>
      </c>
      <c r="AI55" s="119" t="str">
        <f t="shared" si="18"/>
        <v>echo {"issue":{"subject":"","project_id":79,"tracker_id":40,"status_id":1,"priority_id":2,"assigned_to_id":23,"start_date":"2016-11-25","description":"","custom_fields":[{"id":1,"name":"Subdivision","value":"EC"},{"id":4,"name":"Milepost","value":"23.3295"},{"id":17,"name":"Train ID","value":"143-25"},{"id":16,"name":"Locomotive ID","value":"4046"},{"id":130,"name":"Impact","value":""},{"id":150,"name":"Time of Event (Mountain Time)","value":"09:37:05"},{"id":151,"name":"Denver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3"/>
      <c r="AK55" s="53"/>
      <c r="AL55" s="53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7" t="s">
        <v>517</v>
      </c>
      <c r="B56" s="7">
        <v>4045</v>
      </c>
      <c r="C56" s="22" t="s">
        <v>217</v>
      </c>
      <c r="D56" s="22" t="s">
        <v>248</v>
      </c>
      <c r="E56" s="13">
        <v>42699.405462962961</v>
      </c>
      <c r="F56" s="13">
        <v>42699.414305555554</v>
      </c>
      <c r="G56" s="7">
        <v>1</v>
      </c>
      <c r="H56" s="22" t="s">
        <v>251</v>
      </c>
      <c r="I56" s="13">
        <v>42699.442997685182</v>
      </c>
      <c r="J56" s="7">
        <v>0</v>
      </c>
      <c r="K56" s="109" t="str">
        <f t="shared" si="0"/>
        <v>4045/4046</v>
      </c>
      <c r="L56" s="22" t="str">
        <f>VLOOKUP(A56,'Trips&amp;Operators'!$C$1:$E$10000,3,FALSE)</f>
        <v>JOHNSON</v>
      </c>
      <c r="M56" s="6">
        <f t="shared" si="1"/>
        <v>2.8692129628325347E-2</v>
      </c>
      <c r="N56" s="7">
        <f t="shared" si="2"/>
        <v>41.316666664788499</v>
      </c>
      <c r="O56" s="7"/>
      <c r="P56" s="7"/>
      <c r="Q56" s="23"/>
      <c r="R56" s="23"/>
      <c r="S56" s="35">
        <f t="shared" si="3"/>
        <v>1</v>
      </c>
      <c r="T56" s="50" t="str">
        <f t="shared" si="4"/>
        <v>Southbound</v>
      </c>
      <c r="U56" s="171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https://search-rtdc-monitor-bjffxe2xuh6vdkpspy63sjmuny.us-east-1.es.amazonaws.com/_plugin/kibana/#/discover/Steve-Slow-Train-Analysis-(2080s-and-2083s)?_g=(refreshInterval:(display:Off,section:0,value:0),time:(from:'2016-11-25 08:43:52-700',mode:absolute,to:'2016-11-25 11:37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56" s="52" t="str">
        <f t="shared" si="6"/>
        <v>N</v>
      </c>
      <c r="X56" s="177">
        <f t="shared" si="7"/>
        <v>1</v>
      </c>
      <c r="Y56" s="67">
        <f t="shared" si="8"/>
        <v>23.297499999999999</v>
      </c>
      <c r="Z56" s="67">
        <f t="shared" si="9"/>
        <v>1.32E-2</v>
      </c>
      <c r="AA56" s="67">
        <f t="shared" si="10"/>
        <v>23.284299999999998</v>
      </c>
      <c r="AB56" s="64" t="e">
        <f>VLOOKUP(A56,Enforcements!$C$7:$K$20,8,0)</f>
        <v>#N/A</v>
      </c>
      <c r="AC56" s="60" t="e">
        <f>VLOOKUP(A56,Enforcements!$C$7:$E$20,3,0)</f>
        <v>#N/A</v>
      </c>
      <c r="AD56" s="61" t="str">
        <f t="shared" si="11"/>
        <v>0144-25</v>
      </c>
      <c r="AE56" s="91" t="str">
        <f t="shared" si="12"/>
        <v>aws s3 cp s3://rtdc.mdm.uploadarchive.raw/RTDC4045/ "%USERPROFILE%\AppData\Local\Temp\OnboardLogs"\RTDC4045\2016-11-25 --exclude "*" --recursive --include "*20161125*" &amp; "%USERPROFILE%\Documents\GitHub\mrs-test-scripts\Headless Mode &amp; Sideloading\WalkAndUnGZ.bat" "%USERPROFILE%\AppData\Local\Temp\OnboardLogs"\RTDC4045\2016-11-25 &amp; aws s3 cp s3://rtdc.mdm.uploadarchive.raw/RTDC4045/ "%USERPROFILE%\AppData\Local\Temp\OnboardLogs"\RTDC4045\2016-11-26 --exclude "*" --recursive --include "*20161126*" &amp; "%USERPROFILE%\Documents\GitHub\mrs-test-scripts\Headless Mode &amp; Sideloading\WalkAndUnGZ.bat" "%USERPROFILE%\AppData\Local\Temp\OnboardLogs"\RTDC4045\2016-11-26</v>
      </c>
      <c r="AF56" s="88" t="str">
        <f t="shared" si="13"/>
        <v>"C:\Program Files (x86)\AstroGrep\AstroGrep.exe" /spath="%USERPROFILE%\AppData\Local\Temp\OnboardLogs" /stypes="app*4045*20161125*" /stext=" 17:.+((SYSTEM_STATE.+slice.+state.+changed )|(ment ac)|(system.+state.+changed )|(\[timeout)|(PRM\|1\|D)|(kpr)|(kdp)|(\|lc)|(penalty))" /e /r /s</v>
      </c>
      <c r="AG56" s="1" t="str">
        <f t="shared" si="14"/>
        <v>EC</v>
      </c>
      <c r="AH56" s="92" t="str">
        <f t="shared" si="17"/>
        <v>"%USERPROFILE%\Documents\GitHub\eaglep3\Utilities\RefineRTDCRunTimes.py" --tripid 144-25 --locoid 4045 --swversion DE.1.0.8.0 --startMP 204:232975 --initTime 2016-11-25T09:43:52 --startdatetime 2016-11-25T09:56:36 --delay 1 --endMP 204:132 --enddatetime 2016-11-25T10:37:55 --enforcementcount 0 &gt;&gt;C:\Users\stu\Documents\GitHub\eaglep3-reporting\EC\2016-11-25-refined-times.txt</v>
      </c>
      <c r="AI56" s="119" t="str">
        <f t="shared" si="18"/>
        <v>echo {"issue":{"subject":"","project_id":79,"tracker_id":40,"status_id":1,"priority_id":2,"assigned_to_id":23,"start_date":"2016-11-25","description":"","custom_fields":[{"id":1,"name":"Subdivision","value":"EC"},{"id":4,"name":"Milepost","value":"0.0132"},{"id":17,"name":"Train ID","value":"144-25"},{"id":16,"name":"Locomotive ID","value":"4045"},{"id":130,"name":"Impact","value":""},{"id":150,"name":"Time of Event (Mountain Time)","value":"10:37:55"},{"id":151,"name":"Denver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3"/>
      <c r="AK56" s="53"/>
      <c r="AL56" s="53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29" customFormat="1" x14ac:dyDescent="0.25">
      <c r="A57" s="37" t="s">
        <v>514</v>
      </c>
      <c r="B57" s="7">
        <v>4011</v>
      </c>
      <c r="C57" s="22" t="s">
        <v>217</v>
      </c>
      <c r="D57" s="22" t="s">
        <v>252</v>
      </c>
      <c r="E57" s="13">
        <v>42699.383819444447</v>
      </c>
      <c r="F57" s="13">
        <v>42699.385578703703</v>
      </c>
      <c r="G57" s="7">
        <v>1</v>
      </c>
      <c r="H57" s="22" t="s">
        <v>292</v>
      </c>
      <c r="I57" s="13">
        <v>42699.411249999997</v>
      </c>
      <c r="J57" s="7">
        <v>0</v>
      </c>
      <c r="K57" s="109" t="str">
        <f t="shared" si="0"/>
        <v>4011/4012</v>
      </c>
      <c r="L57" s="22" t="str">
        <f>VLOOKUP(A57,'Trips&amp;Operators'!$C$1:$E$10000,3,FALSE)</f>
        <v>DAVIS</v>
      </c>
      <c r="M57" s="6">
        <f t="shared" si="1"/>
        <v>2.5671296294603962E-2</v>
      </c>
      <c r="N57" s="7">
        <f t="shared" si="2"/>
        <v>36.966666664229706</v>
      </c>
      <c r="O57" s="7"/>
      <c r="P57" s="7"/>
      <c r="Q57" s="23"/>
      <c r="R57" s="23"/>
      <c r="S57" s="35">
        <f t="shared" si="3"/>
        <v>1</v>
      </c>
      <c r="T57" s="50" t="str">
        <f t="shared" si="4"/>
        <v>NorthBound</v>
      </c>
      <c r="U57" s="171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https://search-rtdc-monitor-bjffxe2xuh6vdkpspy63sjmuny.us-east-1.es.amazonaws.com/_plugin/kibana/#/discover/Steve-Slow-Train-Analysis-(2080s-and-2083s)?_g=(refreshInterval:(display:Off,section:0,value:0),time:(from:'2016-11-25 08:12:42-700',mode:absolute,to:'2016-11-25 10:52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57" s="52" t="str">
        <f t="shared" si="6"/>
        <v>N</v>
      </c>
      <c r="X57" s="177">
        <f t="shared" si="7"/>
        <v>1</v>
      </c>
      <c r="Y57" s="67">
        <f t="shared" si="8"/>
        <v>4.3999999999999997E-2</v>
      </c>
      <c r="Z57" s="67">
        <f t="shared" si="9"/>
        <v>23.3306</v>
      </c>
      <c r="AA57" s="67">
        <f t="shared" si="10"/>
        <v>23.2866</v>
      </c>
      <c r="AB57" s="64" t="e">
        <f>VLOOKUP(A57,Enforcements!$C$7:$K$20,8,0)</f>
        <v>#N/A</v>
      </c>
      <c r="AC57" s="60" t="e">
        <f>VLOOKUP(A57,Enforcements!$C$7:$E$20,3,0)</f>
        <v>#N/A</v>
      </c>
      <c r="AD57" s="61" t="str">
        <f t="shared" si="11"/>
        <v>0145-25</v>
      </c>
      <c r="AE57" s="91" t="str">
        <f t="shared" si="12"/>
        <v>aws s3 cp s3://rtdc.mdm.uploadarchive.raw/RTDC4011/ "%USERPROFILE%\AppData\Local\Temp\OnboardLogs"\RTDC4011\2016-11-25 --exclude "*" --recursive --include "*20161125*" &amp; "%USERPROFILE%\Documents\GitHub\mrs-test-scripts\Headless Mode &amp; Sideloading\WalkAndUnGZ.bat" "%USERPROFILE%\AppData\Local\Temp\OnboardLogs"\RTDC4011\2016-11-25 &amp; aws s3 cp s3://rtdc.mdm.uploadarchive.raw/RTDC4011/ "%USERPROFILE%\AppData\Local\Temp\OnboardLogs"\RTDC4011\2016-11-26 --exclude "*" --recursive --include "*20161126*" &amp; "%USERPROFILE%\Documents\GitHub\mrs-test-scripts\Headless Mode &amp; Sideloading\WalkAndUnGZ.bat" "%USERPROFILE%\AppData\Local\Temp\OnboardLogs"\RTDC4011\2016-11-26</v>
      </c>
      <c r="AF57" s="88" t="str">
        <f t="shared" si="13"/>
        <v>"C:\Program Files (x86)\AstroGrep\AstroGrep.exe" /spath="%USERPROFILE%\AppData\Local\Temp\OnboardLogs" /stypes="app*4011*20161125*" /stext=" 16:.+((SYSTEM_STATE.+slice.+state.+changed )|(ment ac)|(system.+state.+changed )|(\[timeout)|(PRM\|1\|D)|(kpr)|(kdp)|(\|lc)|(penalty))" /e /r /s</v>
      </c>
      <c r="AG57" s="1" t="str">
        <f t="shared" si="14"/>
        <v>EC</v>
      </c>
      <c r="AH57" s="92" t="str">
        <f t="shared" si="17"/>
        <v>"%USERPROFILE%\Documents\GitHub\eaglep3\Utilities\RefineRTDCRunTimes.py" --tripid 145-25 --locoid 4011 --swversion DE.1.0.8.0 --startMP 204:440 --initTime 2016-11-25T09:12:42 --startdatetime 2016-11-25T09:15:14 --delay 1 --endMP 204:233306 --enddatetime 2016-11-25T09:52:12 --enforcementcount 0 &gt;&gt;C:\Users\stu\Documents\GitHub\eaglep3-reporting\EC\2016-11-25-refined-times.txt</v>
      </c>
      <c r="AI57" s="119" t="str">
        <f t="shared" si="18"/>
        <v>echo {"issue":{"subject":"","project_id":79,"tracker_id":40,"status_id":1,"priority_id":2,"assigned_to_id":23,"start_date":"2016-11-25","description":"","custom_fields":[{"id":1,"name":"Subdivision","value":"EC"},{"id":4,"name":"Milepost","value":"23.3306"},{"id":17,"name":"Train ID","value":"145-25"},{"id":16,"name":"Locomotive ID","value":"4011"},{"id":130,"name":"Impact","value":""},{"id":150,"name":"Time of Event (Mountain Time)","value":"09:52:12"},{"id":151,"name":"Denver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3"/>
      <c r="AK57" s="53"/>
      <c r="AL57" s="53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7" t="s">
        <v>518</v>
      </c>
      <c r="B58" s="7">
        <v>4012</v>
      </c>
      <c r="C58" s="22" t="s">
        <v>217</v>
      </c>
      <c r="D58" s="22" t="s">
        <v>258</v>
      </c>
      <c r="E58" s="13">
        <v>42699.420023148145</v>
      </c>
      <c r="F58" s="13">
        <v>42699.424467592595</v>
      </c>
      <c r="G58" s="7">
        <v>1</v>
      </c>
      <c r="H58" s="22" t="s">
        <v>275</v>
      </c>
      <c r="I58" s="13">
        <v>42699.451412037037</v>
      </c>
      <c r="J58" s="7">
        <v>0</v>
      </c>
      <c r="K58" s="109" t="str">
        <f t="shared" si="0"/>
        <v>4011/4012</v>
      </c>
      <c r="L58" s="22" t="str">
        <f>VLOOKUP(A58,'Trips&amp;Operators'!$C$1:$E$10000,3,FALSE)</f>
        <v>DAVIS</v>
      </c>
      <c r="M58" s="6">
        <f t="shared" si="1"/>
        <v>2.6944444442051463E-2</v>
      </c>
      <c r="N58" s="7">
        <f t="shared" si="2"/>
        <v>38.799999996554106</v>
      </c>
      <c r="O58" s="7"/>
      <c r="P58" s="7"/>
      <c r="Q58" s="23"/>
      <c r="R58" s="23"/>
      <c r="S58" s="35">
        <f t="shared" si="3"/>
        <v>1</v>
      </c>
      <c r="T58" s="50" t="str">
        <f t="shared" si="4"/>
        <v>Southbound</v>
      </c>
      <c r="U58" s="171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https://search-rtdc-monitor-bjffxe2xuh6vdkpspy63sjmuny.us-east-1.es.amazonaws.com/_plugin/kibana/#/discover/Steve-Slow-Train-Analysis-(2080s-and-2083s)?_g=(refreshInterval:(display:Off,section:0,value:0),time:(from:'2016-11-25 09:04:50-700',mode:absolute,to:'2016-11-25 11:50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58" s="52" t="str">
        <f t="shared" si="6"/>
        <v>N</v>
      </c>
      <c r="X58" s="177">
        <f t="shared" si="7"/>
        <v>1</v>
      </c>
      <c r="Y58" s="67">
        <f t="shared" si="8"/>
        <v>23.299299999999999</v>
      </c>
      <c r="Z58" s="67">
        <f t="shared" si="9"/>
        <v>1.3899999999999999E-2</v>
      </c>
      <c r="AA58" s="67">
        <f t="shared" si="10"/>
        <v>23.285399999999999</v>
      </c>
      <c r="AB58" s="64" t="e">
        <f>VLOOKUP(A58,Enforcements!$C$7:$K$20,8,0)</f>
        <v>#N/A</v>
      </c>
      <c r="AC58" s="60" t="e">
        <f>VLOOKUP(A58,Enforcements!$C$7:$E$20,3,0)</f>
        <v>#N/A</v>
      </c>
      <c r="AD58" s="61" t="str">
        <f t="shared" si="11"/>
        <v>0146-25</v>
      </c>
      <c r="AE58" s="91" t="str">
        <f t="shared" si="12"/>
        <v>aws s3 cp s3://rtdc.mdm.uploadarchive.raw/RTDC4012/ "%USERPROFILE%\AppData\Local\Temp\OnboardLogs"\RTDC4012\2016-11-25 --exclude "*" --recursive --include "*20161125*" &amp; "%USERPROFILE%\Documents\GitHub\mrs-test-scripts\Headless Mode &amp; Sideloading\WalkAndUnGZ.bat" "%USERPROFILE%\AppData\Local\Temp\OnboardLogs"\RTDC4012\2016-11-25 &amp; aws s3 cp s3://rtdc.mdm.uploadarchive.raw/RTDC4012/ "%USERPROFILE%\AppData\Local\Temp\OnboardLogs"\RTDC4012\2016-11-26 --exclude "*" --recursive --include "*20161126*" &amp; "%USERPROFILE%\Documents\GitHub\mrs-test-scripts\Headless Mode &amp; Sideloading\WalkAndUnGZ.bat" "%USERPROFILE%\AppData\Local\Temp\OnboardLogs"\RTDC4012\2016-11-26</v>
      </c>
      <c r="AF58" s="88" t="str">
        <f t="shared" si="13"/>
        <v>"C:\Program Files (x86)\AstroGrep\AstroGrep.exe" /spath="%USERPROFILE%\AppData\Local\Temp\OnboardLogs" /stypes="app*4012*20161125*" /stext=" 17:.+((SYSTEM_STATE.+slice.+state.+changed )|(ment ac)|(system.+state.+changed )|(\[timeout)|(PRM\|1\|D)|(kpr)|(kdp)|(\|lc)|(penalty))" /e /r /s</v>
      </c>
      <c r="AG58" s="1" t="str">
        <f t="shared" si="14"/>
        <v>EC</v>
      </c>
      <c r="AH58" s="92" t="str">
        <f t="shared" si="17"/>
        <v>"%USERPROFILE%\Documents\GitHub\eaglep3\Utilities\RefineRTDCRunTimes.py" --tripid 146-25 --locoid 4012 --swversion DE.1.0.8.0 --startMP 204:232993 --initTime 2016-11-25T10:04:50 --startdatetime 2016-11-25T10:11:14 --delay 1 --endMP 204:139 --enddatetime 2016-11-25T10:50:02 --enforcementcount 0 &gt;&gt;C:\Users\stu\Documents\GitHub\eaglep3-reporting\EC\2016-11-25-refined-times.txt</v>
      </c>
      <c r="AI58" s="119" t="str">
        <f t="shared" si="18"/>
        <v>echo {"issue":{"subject":"","project_id":79,"tracker_id":40,"status_id":1,"priority_id":2,"assigned_to_id":23,"start_date":"2016-11-25","description":"","custom_fields":[{"id":1,"name":"Subdivision","value":"EC"},{"id":4,"name":"Milepost","value":"0.0139"},{"id":17,"name":"Train ID","value":"146-25"},{"id":16,"name":"Locomotive ID","value":"4012"},{"id":130,"name":"Impact","value":""},{"id":150,"name":"Time of Event (Mountain Time)","value":"10:50:02"},{"id":151,"name":"Denver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3"/>
      <c r="AK58" s="53"/>
      <c r="AL58" s="53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7" t="s">
        <v>420</v>
      </c>
      <c r="B59" s="7">
        <v>4014</v>
      </c>
      <c r="C59" s="22" t="s">
        <v>217</v>
      </c>
      <c r="D59" s="22" t="s">
        <v>294</v>
      </c>
      <c r="E59" s="13">
        <v>42699.393553240741</v>
      </c>
      <c r="F59" s="13">
        <v>42699.396562499998</v>
      </c>
      <c r="G59" s="7">
        <v>3</v>
      </c>
      <c r="H59" s="22" t="s">
        <v>364</v>
      </c>
      <c r="I59" s="13">
        <v>42699.427233796298</v>
      </c>
      <c r="J59" s="7">
        <v>2</v>
      </c>
      <c r="K59" s="109" t="str">
        <f t="shared" si="0"/>
        <v>4013/4014</v>
      </c>
      <c r="L59" s="22" t="str">
        <f>VLOOKUP(A59,'Trips&amp;Operators'!$C$1:$E$10000,3,FALSE)</f>
        <v>RICHARDSON</v>
      </c>
      <c r="M59" s="6">
        <f t="shared" si="1"/>
        <v>3.0671296299260575E-2</v>
      </c>
      <c r="N59" s="7">
        <f t="shared" si="2"/>
        <v>44.166666670935228</v>
      </c>
      <c r="O59" s="7"/>
      <c r="P59" s="7"/>
      <c r="Q59" s="23"/>
      <c r="R59" s="23"/>
      <c r="S59" s="35">
        <f t="shared" si="3"/>
        <v>1</v>
      </c>
      <c r="T59" s="50" t="str">
        <f t="shared" si="4"/>
        <v>NorthBound</v>
      </c>
      <c r="U59" s="171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https://search-rtdc-monitor-bjffxe2xuh6vdkpspy63sjmuny.us-east-1.es.amazonaws.com/_plugin/kibana/#/discover/Steve-Slow-Train-Analysis-(2080s-and-2083s)?_g=(refreshInterval:(display:Off,section:0,value:0),time:(from:'2016-11-25 08:26:43-700',mode:absolute,to:'2016-11-25 11:15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59" s="52" t="str">
        <f t="shared" si="6"/>
        <v>N</v>
      </c>
      <c r="X59" s="177">
        <f t="shared" si="7"/>
        <v>1</v>
      </c>
      <c r="Y59" s="67">
        <f t="shared" si="8"/>
        <v>4.3799999999999999E-2</v>
      </c>
      <c r="Z59" s="67">
        <f t="shared" si="9"/>
        <v>23.331199999999999</v>
      </c>
      <c r="AA59" s="67">
        <f t="shared" si="10"/>
        <v>23.287399999999998</v>
      </c>
      <c r="AB59" s="64" t="str">
        <f>VLOOKUP(A59,Enforcements!$C$7:$K$20,8,0)</f>
        <v>Speed (6)</v>
      </c>
      <c r="AC59" s="60" t="str">
        <f>VLOOKUP(A59,Enforcements!$C$7:$E$20,3,0)</f>
        <v>PERMANENT SPEED RESTRICTION</v>
      </c>
      <c r="AD59" s="61" t="str">
        <f t="shared" si="11"/>
        <v>0147-25</v>
      </c>
      <c r="AE59" s="91" t="str">
        <f t="shared" si="12"/>
        <v>aws s3 cp s3://rtdc.mdm.uploadarchive.raw/RTDC4014/ "%USERPROFILE%\AppData\Local\Temp\OnboardLogs"\RTDC4014\2016-11-25 --exclude "*" --recursive --include "*20161125*" &amp; "%USERPROFILE%\Documents\GitHub\mrs-test-scripts\Headless Mode &amp; Sideloading\WalkAndUnGZ.bat" "%USERPROFILE%\AppData\Local\Temp\OnboardLogs"\RTDC4014\2016-11-25 &amp; aws s3 cp s3://rtdc.mdm.uploadarchive.raw/RTDC4014/ "%USERPROFILE%\AppData\Local\Temp\OnboardLogs"\RTDC4014\2016-11-26 --exclude "*" --recursive --include "*20161126*" &amp; "%USERPROFILE%\Documents\GitHub\mrs-test-scripts\Headless Mode &amp; Sideloading\WalkAndUnGZ.bat" "%USERPROFILE%\AppData\Local\Temp\OnboardLogs"\RTDC4014\2016-11-26</v>
      </c>
      <c r="AF59" s="88" t="str">
        <f t="shared" si="13"/>
        <v>"C:\Program Files (x86)\AstroGrep\AstroGrep.exe" /spath="%USERPROFILE%\AppData\Local\Temp\OnboardLogs" /stypes="app*4014*20161125*" /stext=" 17:.+((SYSTEM_STATE.+slice.+state.+changed )|(ment ac)|(system.+state.+changed )|(\[timeout)|(PRM\|1\|D)|(kpr)|(kdp)|(\|lc)|(penalty))" /e /r /s</v>
      </c>
      <c r="AG59" s="1" t="str">
        <f t="shared" si="14"/>
        <v>EC</v>
      </c>
      <c r="AH59" s="92" t="str">
        <f t="shared" si="17"/>
        <v>"%USERPROFILE%\Documents\GitHub\eaglep3\Utilities\RefineRTDCRunTimes.py" --tripid 147-25 --locoid 4014 --swversion DE.1.0.8.0 --startMP 204:438 --initTime 2016-11-25T09:26:43 --startdatetime 2016-11-25T09:31:03 --delay 3 --endMP 204:233312 --enddatetime 2016-11-25T10:15:13 --enforcementcount 2 &gt;&gt;C:\Users\stu\Documents\GitHub\eaglep3-reporting\EC\2016-11-25-refined-times.txt</v>
      </c>
      <c r="AI59" s="119" t="str">
        <f t="shared" si="18"/>
        <v>echo {"issue":{"subject":"","project_id":79,"tracker_id":40,"status_id":1,"priority_id":2,"assigned_to_id":23,"start_date":"2016-11-25","description":"","custom_fields":[{"id":1,"name":"Subdivision","value":"EC"},{"id":4,"name":"Milepost","value":"23.3312"},{"id":17,"name":"Train ID","value":"147-25"},{"id":16,"name":"Locomotive ID","value":"4014"},{"id":130,"name":"Impact","value":""},{"id":150,"name":"Time of Event (Mountain Time)","value":"10:15:13"},{"id":151,"name":"Denver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3"/>
      <c r="AK59" s="53"/>
      <c r="AL59" s="53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7" t="s">
        <v>520</v>
      </c>
      <c r="B60" s="7">
        <v>4013</v>
      </c>
      <c r="C60" s="22" t="s">
        <v>217</v>
      </c>
      <c r="D60" s="22" t="s">
        <v>368</v>
      </c>
      <c r="E60" s="13">
        <v>42699.432986111111</v>
      </c>
      <c r="F60" s="13">
        <v>42699.436238425929</v>
      </c>
      <c r="G60" s="7">
        <v>4</v>
      </c>
      <c r="H60" s="22" t="s">
        <v>219</v>
      </c>
      <c r="I60" s="13">
        <v>42699.463576388887</v>
      </c>
      <c r="J60" s="7">
        <v>0</v>
      </c>
      <c r="K60" s="109" t="str">
        <f t="shared" si="0"/>
        <v>4013/4014</v>
      </c>
      <c r="L60" s="22" t="str">
        <f>VLOOKUP(A60,'Trips&amp;Operators'!$C$1:$E$10000,3,FALSE)</f>
        <v>RICHARDSON</v>
      </c>
      <c r="M60" s="6">
        <f t="shared" si="1"/>
        <v>2.7337962957972195E-2</v>
      </c>
      <c r="N60" s="7">
        <f t="shared" si="2"/>
        <v>39.366666659479961</v>
      </c>
      <c r="O60" s="7"/>
      <c r="P60" s="7"/>
      <c r="Q60" s="23"/>
      <c r="R60" s="23"/>
      <c r="S60" s="35">
        <f t="shared" si="3"/>
        <v>1</v>
      </c>
      <c r="T60" s="50" t="str">
        <f t="shared" si="4"/>
        <v>Southbound</v>
      </c>
      <c r="U60" s="171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https://search-rtdc-monitor-bjffxe2xuh6vdkpspy63sjmuny.us-east-1.es.amazonaws.com/_plugin/kibana/#/discover/Steve-Slow-Train-Analysis-(2080s-and-2083s)?_g=(refreshInterval:(display:Off,section:0,value:0),time:(from:'2016-11-25 09:23:30-700',mode:absolute,to:'2016-11-25 12:07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60" s="52" t="str">
        <f t="shared" si="6"/>
        <v>N</v>
      </c>
      <c r="X60" s="177">
        <f t="shared" si="7"/>
        <v>1</v>
      </c>
      <c r="Y60" s="67">
        <f t="shared" si="8"/>
        <v>23.297999999999998</v>
      </c>
      <c r="Z60" s="67">
        <f t="shared" si="9"/>
        <v>1.5800000000000002E-2</v>
      </c>
      <c r="AA60" s="67">
        <f t="shared" si="10"/>
        <v>23.2822</v>
      </c>
      <c r="AB60" s="64" t="e">
        <f>VLOOKUP(A60,Enforcements!$C$7:$K$20,8,0)</f>
        <v>#N/A</v>
      </c>
      <c r="AC60" s="60" t="e">
        <f>VLOOKUP(A60,Enforcements!$C$7:$E$20,3,0)</f>
        <v>#N/A</v>
      </c>
      <c r="AD60" s="61" t="str">
        <f t="shared" si="11"/>
        <v>0148-25</v>
      </c>
      <c r="AE60" s="91" t="str">
        <f t="shared" si="12"/>
        <v>aws s3 cp s3://rtdc.mdm.uploadarchive.raw/RTDC4013/ "%USERPROFILE%\AppData\Local\Temp\OnboardLogs"\RTDC4013\2016-11-25 --exclude "*" --recursive --include "*20161125*" &amp; "%USERPROFILE%\Documents\GitHub\mrs-test-scripts\Headless Mode &amp; Sideloading\WalkAndUnGZ.bat" "%USERPROFILE%\AppData\Local\Temp\OnboardLogs"\RTDC4013\2016-11-25 &amp; aws s3 cp s3://rtdc.mdm.uploadarchive.raw/RTDC4013/ "%USERPROFILE%\AppData\Local\Temp\OnboardLogs"\RTDC4013\2016-11-26 --exclude "*" --recursive --include "*20161126*" &amp; "%USERPROFILE%\Documents\GitHub\mrs-test-scripts\Headless Mode &amp; Sideloading\WalkAndUnGZ.bat" "%USERPROFILE%\AppData\Local\Temp\OnboardLogs"\RTDC4013\2016-11-26</v>
      </c>
      <c r="AF60" s="88" t="str">
        <f t="shared" si="13"/>
        <v>"C:\Program Files (x86)\AstroGrep\AstroGrep.exe" /spath="%USERPROFILE%\AppData\Local\Temp\OnboardLogs" /stypes="app*4013*20161125*" /stext=" 18:.+((SYSTEM_STATE.+slice.+state.+changed )|(ment ac)|(system.+state.+changed )|(\[timeout)|(PRM\|1\|D)|(kpr)|(kdp)|(\|lc)|(penalty))" /e /r /s</v>
      </c>
      <c r="AG60" s="1" t="str">
        <f t="shared" si="14"/>
        <v>EC</v>
      </c>
      <c r="AH60" s="92" t="str">
        <f t="shared" si="17"/>
        <v>"%USERPROFILE%\Documents\GitHub\eaglep3\Utilities\RefineRTDCRunTimes.py" --tripid 148-25 --locoid 4013 --swversion DE.1.0.8.0 --startMP 204:232980 --initTime 2016-11-25T10:23:30 --startdatetime 2016-11-25T10:28:11 --delay 4 --endMP 204:158 --enddatetime 2016-11-25T11:07:33 --enforcementcount 0 &gt;&gt;C:\Users\stu\Documents\GitHub\eaglep3-reporting\EC\2016-11-25-refined-times.txt</v>
      </c>
      <c r="AI60" s="119" t="str">
        <f t="shared" si="18"/>
        <v>echo {"issue":{"subject":"","project_id":79,"tracker_id":40,"status_id":1,"priority_id":2,"assigned_to_id":23,"start_date":"2016-11-25","description":"","custom_fields":[{"id":1,"name":"Subdivision","value":"EC"},{"id":4,"name":"Milepost","value":"0.0158"},{"id":17,"name":"Train ID","value":"148-25"},{"id":16,"name":"Locomotive ID","value":"4013"},{"id":130,"name":"Impact","value":""},{"id":150,"name":"Time of Event (Mountain Time)","value":"11:07:33"},{"id":151,"name":"Denver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3"/>
      <c r="AK60" s="53"/>
      <c r="AL60" s="53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7" t="s">
        <v>516</v>
      </c>
      <c r="B61" s="7">
        <v>4042</v>
      </c>
      <c r="C61" s="22" t="s">
        <v>217</v>
      </c>
      <c r="D61" s="22" t="s">
        <v>363</v>
      </c>
      <c r="E61" s="13">
        <v>42699.401979166665</v>
      </c>
      <c r="F61" s="13">
        <v>42699.406412037039</v>
      </c>
      <c r="G61" s="7">
        <v>2</v>
      </c>
      <c r="H61" s="22" t="s">
        <v>187</v>
      </c>
      <c r="I61" s="13">
        <v>42699.431006944447</v>
      </c>
      <c r="J61" s="7">
        <v>0</v>
      </c>
      <c r="K61" s="109" t="str">
        <f t="shared" si="0"/>
        <v>4041/4042</v>
      </c>
      <c r="L61" s="22" t="str">
        <f>VLOOKUP(A61,'Trips&amp;Operators'!$C$1:$E$10000,3,FALSE)</f>
        <v>ISHMAEL</v>
      </c>
      <c r="M61" s="6">
        <f t="shared" si="1"/>
        <v>2.4594907408754807E-2</v>
      </c>
      <c r="N61" s="7">
        <f t="shared" si="2"/>
        <v>35.416666668606922</v>
      </c>
      <c r="O61" s="7"/>
      <c r="P61" s="7"/>
      <c r="Q61" s="23"/>
      <c r="R61" s="23"/>
      <c r="S61" s="35">
        <f t="shared" si="3"/>
        <v>1</v>
      </c>
      <c r="T61" s="50" t="str">
        <f t="shared" si="4"/>
        <v>NorthBound</v>
      </c>
      <c r="U61" s="171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https://search-rtdc-monitor-bjffxe2xuh6vdkpspy63sjmuny.us-east-1.es.amazonaws.com/_plugin/kibana/#/discover/Steve-Slow-Train-Analysis-(2080s-and-2083s)?_g=(refreshInterval:(display:Off,section:0,value:0),time:(from:'2016-11-25 08:38:51-700',mode:absolute,to:'2016-11-25 11:20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61" s="52" t="str">
        <f t="shared" si="6"/>
        <v>N</v>
      </c>
      <c r="X61" s="177">
        <f t="shared" si="7"/>
        <v>1</v>
      </c>
      <c r="Y61" s="67">
        <f t="shared" si="8"/>
        <v>4.2900000000000001E-2</v>
      </c>
      <c r="Z61" s="67">
        <f t="shared" si="9"/>
        <v>23.329699999999999</v>
      </c>
      <c r="AA61" s="67">
        <f t="shared" si="10"/>
        <v>23.286799999999999</v>
      </c>
      <c r="AB61" s="64" t="e">
        <f>VLOOKUP(A61,Enforcements!$C$7:$K$20,8,0)</f>
        <v>#N/A</v>
      </c>
      <c r="AC61" s="60" t="e">
        <f>VLOOKUP(A61,Enforcements!$C$7:$E$20,3,0)</f>
        <v>#N/A</v>
      </c>
      <c r="AD61" s="61" t="str">
        <f t="shared" si="11"/>
        <v>0149-25</v>
      </c>
      <c r="AE61" s="91" t="str">
        <f t="shared" si="12"/>
        <v>aws s3 cp s3://rtdc.mdm.uploadarchive.raw/RTDC4042/ "%USERPROFILE%\AppData\Local\Temp\OnboardLogs"\RTDC4042\2016-11-25 --exclude "*" --recursive --include "*20161125*" &amp; "%USERPROFILE%\Documents\GitHub\mrs-test-scripts\Headless Mode &amp; Sideloading\WalkAndUnGZ.bat" "%USERPROFILE%\AppData\Local\Temp\OnboardLogs"\RTDC4042\2016-11-25 &amp; aws s3 cp s3://rtdc.mdm.uploadarchive.raw/RTDC4042/ "%USERPROFILE%\AppData\Local\Temp\OnboardLogs"\RTDC4042\2016-11-26 --exclude "*" --recursive --include "*20161126*" &amp; "%USERPROFILE%\Documents\GitHub\mrs-test-scripts\Headless Mode &amp; Sideloading\WalkAndUnGZ.bat" "%USERPROFILE%\AppData\Local\Temp\OnboardLogs"\RTDC4042\2016-11-26</v>
      </c>
      <c r="AF61" s="88" t="str">
        <f t="shared" si="13"/>
        <v>"C:\Program Files (x86)\AstroGrep\AstroGrep.exe" /spath="%USERPROFILE%\AppData\Local\Temp\OnboardLogs" /stypes="app*4042*20161125*" /stext=" 17:.+((SYSTEM_STATE.+slice.+state.+changed )|(ment ac)|(system.+state.+changed )|(\[timeout)|(PRM\|1\|D)|(kpr)|(kdp)|(\|lc)|(penalty))" /e /r /s</v>
      </c>
      <c r="AG61" s="1" t="str">
        <f t="shared" si="14"/>
        <v>EC</v>
      </c>
      <c r="AH61" s="92" t="str">
        <f t="shared" si="17"/>
        <v>"%USERPROFILE%\Documents\GitHub\eaglep3\Utilities\RefineRTDCRunTimes.py" --tripid 149-25 --locoid 4042 --swversion DE.1.0.8.0 --startMP 204:429 --initTime 2016-11-25T09:38:51 --startdatetime 2016-11-25T09:45:14 --delay 2 --endMP 204:233297 --enddatetime 2016-11-25T10:20:39 --enforcementcount 0 &gt;&gt;C:\Users\stu\Documents\GitHub\eaglep3-reporting\EC\2016-11-25-refined-times.txt</v>
      </c>
      <c r="AI61" s="119" t="str">
        <f t="shared" si="18"/>
        <v>echo {"issue":{"subject":"","project_id":79,"tracker_id":40,"status_id":1,"priority_id":2,"assigned_to_id":23,"start_date":"2016-11-25","description":"","custom_fields":[{"id":1,"name":"Subdivision","value":"EC"},{"id":4,"name":"Milepost","value":"23.3297"},{"id":17,"name":"Train ID","value":"149-25"},{"id":16,"name":"Locomotive ID","value":"4042"},{"id":130,"name":"Impact","value":""},{"id":150,"name":"Time of Event (Mountain Time)","value":"10:20:39"},{"id":151,"name":"Denver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3"/>
      <c r="AK61" s="53"/>
      <c r="AL61" s="53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7" t="s">
        <v>521</v>
      </c>
      <c r="B62" s="7">
        <v>4041</v>
      </c>
      <c r="C62" s="22" t="s">
        <v>217</v>
      </c>
      <c r="D62" s="22" t="s">
        <v>648</v>
      </c>
      <c r="E62" s="13">
        <v>42699.438819444447</v>
      </c>
      <c r="F62" s="13">
        <v>42699.445486111108</v>
      </c>
      <c r="G62" s="7">
        <v>1</v>
      </c>
      <c r="H62" s="22" t="s">
        <v>326</v>
      </c>
      <c r="I62" s="13">
        <v>42699.47142361111</v>
      </c>
      <c r="J62" s="7">
        <v>0</v>
      </c>
      <c r="K62" s="109" t="str">
        <f t="shared" si="0"/>
        <v>4041/4042</v>
      </c>
      <c r="L62" s="22" t="str">
        <f>VLOOKUP(A62,'Trips&amp;Operators'!$C$1:$E$10000,3,FALSE)</f>
        <v>ISHMAEL</v>
      </c>
      <c r="M62" s="6">
        <f t="shared" si="1"/>
        <v>2.5937500002328306E-2</v>
      </c>
      <c r="N62" s="7">
        <f t="shared" si="2"/>
        <v>37.350000003352761</v>
      </c>
      <c r="O62" s="7"/>
      <c r="P62" s="7"/>
      <c r="Q62" s="23"/>
      <c r="R62" s="23"/>
      <c r="S62" s="35">
        <f t="shared" si="3"/>
        <v>1</v>
      </c>
      <c r="T62" s="50" t="str">
        <f t="shared" si="4"/>
        <v>Southbound</v>
      </c>
      <c r="U62" s="171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https://search-rtdc-monitor-bjffxe2xuh6vdkpspy63sjmuny.us-east-1.es.amazonaws.com/_plugin/kibana/#/discover/Steve-Slow-Train-Analysis-(2080s-and-2083s)?_g=(refreshInterval:(display:Off,section:0,value:0),time:(from:'2016-11-25 09:31:54-700',mode:absolute,to:'2016-11-25 12:18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62" s="52" t="str">
        <f t="shared" si="6"/>
        <v>N</v>
      </c>
      <c r="X62" s="177">
        <f t="shared" si="7"/>
        <v>1</v>
      </c>
      <c r="Y62" s="67">
        <f t="shared" si="8"/>
        <v>23.296600000000002</v>
      </c>
      <c r="Z62" s="67">
        <f t="shared" si="9"/>
        <v>1.72E-2</v>
      </c>
      <c r="AA62" s="67">
        <f t="shared" si="10"/>
        <v>23.279400000000003</v>
      </c>
      <c r="AB62" s="64" t="e">
        <f>VLOOKUP(A62,Enforcements!$C$7:$K$20,8,0)</f>
        <v>#N/A</v>
      </c>
      <c r="AC62" s="60" t="e">
        <f>VLOOKUP(A62,Enforcements!$C$7:$E$20,3,0)</f>
        <v>#N/A</v>
      </c>
      <c r="AD62" s="61" t="str">
        <f t="shared" si="11"/>
        <v>0150-25</v>
      </c>
      <c r="AE62" s="91" t="str">
        <f t="shared" si="12"/>
        <v>aws s3 cp s3://rtdc.mdm.uploadarchive.raw/RTDC4041/ "%USERPROFILE%\AppData\Local\Temp\OnboardLogs"\RTDC4041\2016-11-25 --exclude "*" --recursive --include "*20161125*" &amp; "%USERPROFILE%\Documents\GitHub\mrs-test-scripts\Headless Mode &amp; Sideloading\WalkAndUnGZ.bat" "%USERPROFILE%\AppData\Local\Temp\OnboardLogs"\RTDC4041\2016-11-25 &amp; aws s3 cp s3://rtdc.mdm.uploadarchive.raw/RTDC4041/ "%USERPROFILE%\AppData\Local\Temp\OnboardLogs"\RTDC4041\2016-11-26 --exclude "*" --recursive --include "*20161126*" &amp; "%USERPROFILE%\Documents\GitHub\mrs-test-scripts\Headless Mode &amp; Sideloading\WalkAndUnGZ.bat" "%USERPROFILE%\AppData\Local\Temp\OnboardLogs"\RTDC4041\2016-11-26</v>
      </c>
      <c r="AF62" s="88" t="str">
        <f t="shared" si="13"/>
        <v>"C:\Program Files (x86)\AstroGrep\AstroGrep.exe" /spath="%USERPROFILE%\AppData\Local\Temp\OnboardLogs" /stypes="app*4041*20161125*" /stext=" 18:.+((SYSTEM_STATE.+slice.+state.+changed )|(ment ac)|(system.+state.+changed )|(\[timeout)|(PRM\|1\|D)|(kpr)|(kdp)|(\|lc)|(penalty))" /e /r /s</v>
      </c>
      <c r="AG62" s="1" t="str">
        <f t="shared" si="14"/>
        <v>EC</v>
      </c>
      <c r="AH62" s="92" t="str">
        <f t="shared" si="17"/>
        <v>"%USERPROFILE%\Documents\GitHub\eaglep3\Utilities\RefineRTDCRunTimes.py" --tripid 150-25 --locoid 4041 --swversion DE.1.0.8.0 --startMP 204:232966 --initTime 2016-11-25T10:31:54 --startdatetime 2016-11-25T10:41:30 --delay 1 --endMP 204:172 --enddatetime 2016-11-25T11:18:51 --enforcementcount 0 &gt;&gt;C:\Users\stu\Documents\GitHub\eaglep3-reporting\EC\2016-11-25-refined-times.txt</v>
      </c>
      <c r="AI62" s="119" t="str">
        <f t="shared" si="18"/>
        <v>echo {"issue":{"subject":"","project_id":79,"tracker_id":40,"status_id":1,"priority_id":2,"assigned_to_id":23,"start_date":"2016-11-25","description":"","custom_fields":[{"id":1,"name":"Subdivision","value":"EC"},{"id":4,"name":"Milepost","value":"0.0172"},{"id":17,"name":"Train ID","value":"150-25"},{"id":16,"name":"Locomotive ID","value":"4041"},{"id":130,"name":"Impact","value":""},{"id":150,"name":"Time of Event (Mountain Time)","value":"11:18:51"},{"id":151,"name":"Denver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3"/>
      <c r="AK62" s="53"/>
      <c r="AL62" s="53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7" t="s">
        <v>425</v>
      </c>
      <c r="B63" s="7">
        <v>4009</v>
      </c>
      <c r="C63" s="22" t="s">
        <v>217</v>
      </c>
      <c r="D63" s="22" t="s">
        <v>293</v>
      </c>
      <c r="E63" s="13">
        <v>42699.41196759259</v>
      </c>
      <c r="F63" s="13">
        <v>42699.416921296295</v>
      </c>
      <c r="G63" s="7">
        <v>1</v>
      </c>
      <c r="H63" s="22" t="s">
        <v>649</v>
      </c>
      <c r="I63" s="13">
        <v>42699.443472222221</v>
      </c>
      <c r="J63" s="7">
        <v>1</v>
      </c>
      <c r="K63" s="109" t="str">
        <f t="shared" si="0"/>
        <v>4009/4010</v>
      </c>
      <c r="L63" s="22" t="str">
        <f>VLOOKUP(A63,'Trips&amp;Operators'!$C$1:$E$10000,3,FALSE)</f>
        <v>OUN</v>
      </c>
      <c r="M63" s="6">
        <f t="shared" si="1"/>
        <v>2.6550925926130731E-2</v>
      </c>
      <c r="N63" s="7">
        <f t="shared" si="2"/>
        <v>38.233333333628252</v>
      </c>
      <c r="O63" s="7"/>
      <c r="P63" s="7"/>
      <c r="Q63" s="23"/>
      <c r="R63" s="23"/>
      <c r="S63" s="35">
        <f t="shared" si="3"/>
        <v>1</v>
      </c>
      <c r="T63" s="50" t="str">
        <f t="shared" si="4"/>
        <v>NorthBound</v>
      </c>
      <c r="U63" s="171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https://search-rtdc-monitor-bjffxe2xuh6vdkpspy63sjmuny.us-east-1.es.amazonaws.com/_plugin/kibana/#/discover/Steve-Slow-Train-Analysis-(2080s-and-2083s)?_g=(refreshInterval:(display:Off,section:0,value:0),time:(from:'2016-11-25 08:53:14-700',mode:absolute,to:'2016-11-25 11:38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63" s="52" t="str">
        <f t="shared" si="6"/>
        <v>N</v>
      </c>
      <c r="X63" s="177">
        <f t="shared" si="7"/>
        <v>1</v>
      </c>
      <c r="Y63" s="67">
        <f t="shared" si="8"/>
        <v>4.4400000000000002E-2</v>
      </c>
      <c r="Z63" s="67">
        <f t="shared" si="9"/>
        <v>23.330100000000002</v>
      </c>
      <c r="AA63" s="67">
        <f t="shared" si="10"/>
        <v>23.285700000000002</v>
      </c>
      <c r="AB63" s="64" t="e">
        <f>VLOOKUP(A63,Enforcements!$C$7:$K$20,8,0)</f>
        <v>#N/A</v>
      </c>
      <c r="AC63" s="60" t="e">
        <f>VLOOKUP(A63,Enforcements!$C$7:$E$20,3,0)</f>
        <v>#N/A</v>
      </c>
      <c r="AD63" s="61" t="str">
        <f t="shared" si="11"/>
        <v>0151-25</v>
      </c>
      <c r="AE63" s="91" t="str">
        <f t="shared" si="12"/>
        <v>aws s3 cp s3://rtdc.mdm.uploadarchive.raw/RTDC4009/ "%USERPROFILE%\AppData\Local\Temp\OnboardLogs"\RTDC4009\2016-11-25 --exclude "*" --recursive --include "*20161125*" &amp; "%USERPROFILE%\Documents\GitHub\mrs-test-scripts\Headless Mode &amp; Sideloading\WalkAndUnGZ.bat" "%USERPROFILE%\AppData\Local\Temp\OnboardLogs"\RTDC4009\2016-11-25 &amp; aws s3 cp s3://rtdc.mdm.uploadarchive.raw/RTDC4009/ "%USERPROFILE%\AppData\Local\Temp\OnboardLogs"\RTDC4009\2016-11-26 --exclude "*" --recursive --include "*20161126*" &amp; "%USERPROFILE%\Documents\GitHub\mrs-test-scripts\Headless Mode &amp; Sideloading\WalkAndUnGZ.bat" "%USERPROFILE%\AppData\Local\Temp\OnboardLogs"\RTDC4009\2016-11-26</v>
      </c>
      <c r="AF63" s="88" t="str">
        <f t="shared" si="13"/>
        <v>"C:\Program Files (x86)\AstroGrep\AstroGrep.exe" /spath="%USERPROFILE%\AppData\Local\Temp\OnboardLogs" /stypes="app*4009*20161125*" /stext=" 17:.+((SYSTEM_STATE.+slice.+state.+changed )|(ment ac)|(system.+state.+changed )|(\[timeout)|(PRM\|1\|D)|(kpr)|(kdp)|(\|lc)|(penalty))" /e /r /s</v>
      </c>
      <c r="AG63" s="1" t="str">
        <f t="shared" si="14"/>
        <v>EC</v>
      </c>
      <c r="AH63" s="92" t="str">
        <f t="shared" si="17"/>
        <v>"%USERPROFILE%\Documents\GitHub\eaglep3\Utilities\RefineRTDCRunTimes.py" --tripid 151-25 --locoid 4009 --swversion DE.1.0.8.0 --startMP 204:444 --initTime 2016-11-25T09:53:14 --startdatetime 2016-11-25T10:00:22 --delay 1 --endMP 204:233301 --enddatetime 2016-11-25T10:38:36 --enforcementcount 1 &gt;&gt;C:\Users\stu\Documents\GitHub\eaglep3-reporting\EC\2016-11-25-refined-times.txt</v>
      </c>
      <c r="AI63" s="119" t="str">
        <f t="shared" si="18"/>
        <v>echo {"issue":{"subject":"","project_id":79,"tracker_id":40,"status_id":1,"priority_id":2,"assigned_to_id":23,"start_date":"2016-11-25","description":"","custom_fields":[{"id":1,"name":"Subdivision","value":"EC"},{"id":4,"name":"Milepost","value":"23.3301"},{"id":17,"name":"Train ID","value":"151-25"},{"id":16,"name":"Locomotive ID","value":"4009"},{"id":130,"name":"Impact","value":""},{"id":150,"name":"Time of Event (Mountain Time)","value":"10:38:36"},{"id":151,"name":"Denver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3"/>
      <c r="AK63" s="53"/>
      <c r="AL63" s="5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7" t="s">
        <v>523</v>
      </c>
      <c r="B64" s="7">
        <v>4010</v>
      </c>
      <c r="C64" s="22" t="s">
        <v>217</v>
      </c>
      <c r="D64" s="22" t="s">
        <v>368</v>
      </c>
      <c r="E64" s="13">
        <v>42699.450486111113</v>
      </c>
      <c r="F64" s="13">
        <v>42699.455763888887</v>
      </c>
      <c r="G64" s="7">
        <v>1</v>
      </c>
      <c r="H64" s="22" t="s">
        <v>219</v>
      </c>
      <c r="I64" s="13">
        <v>42699.483622685184</v>
      </c>
      <c r="J64" s="7">
        <v>0</v>
      </c>
      <c r="K64" s="109" t="str">
        <f t="shared" si="0"/>
        <v>4009/4010</v>
      </c>
      <c r="L64" s="22" t="str">
        <f>VLOOKUP(A64,'Trips&amp;Operators'!$C$1:$E$10000,3,FALSE)</f>
        <v>OUN</v>
      </c>
      <c r="M64" s="6">
        <f t="shared" si="1"/>
        <v>2.7858796296641231E-2</v>
      </c>
      <c r="N64" s="7">
        <f t="shared" si="2"/>
        <v>40.116666667163372</v>
      </c>
      <c r="O64" s="7"/>
      <c r="P64" s="7"/>
      <c r="Q64" s="23"/>
      <c r="R64" s="23"/>
      <c r="S64" s="35">
        <f t="shared" si="3"/>
        <v>1</v>
      </c>
      <c r="T64" s="50" t="str">
        <f t="shared" si="4"/>
        <v>Southbound</v>
      </c>
      <c r="U64" s="171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https://search-rtdc-monitor-bjffxe2xuh6vdkpspy63sjmuny.us-east-1.es.amazonaws.com/_plugin/kibana/#/discover/Steve-Slow-Train-Analysis-(2080s-and-2083s)?_g=(refreshInterval:(display:Off,section:0,value:0),time:(from:'2016-11-25 09:48:42-700',mode:absolute,to:'2016-11-25 12:36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64" s="52" t="str">
        <f t="shared" si="6"/>
        <v>N</v>
      </c>
      <c r="X64" s="177">
        <f t="shared" si="7"/>
        <v>1</v>
      </c>
      <c r="Y64" s="67">
        <f t="shared" si="8"/>
        <v>23.297999999999998</v>
      </c>
      <c r="Z64" s="67">
        <f t="shared" si="9"/>
        <v>1.5800000000000002E-2</v>
      </c>
      <c r="AA64" s="67">
        <f t="shared" si="10"/>
        <v>23.2822</v>
      </c>
      <c r="AB64" s="64" t="e">
        <f>VLOOKUP(A64,Enforcements!$C$7:$K$20,8,0)</f>
        <v>#N/A</v>
      </c>
      <c r="AC64" s="60" t="e">
        <f>VLOOKUP(A64,Enforcements!$C$7:$E$20,3,0)</f>
        <v>#N/A</v>
      </c>
      <c r="AD64" s="61" t="str">
        <f t="shared" si="11"/>
        <v>0152-25</v>
      </c>
      <c r="AE64" s="91" t="str">
        <f t="shared" si="12"/>
        <v>aws s3 cp s3://rtdc.mdm.uploadarchive.raw/RTDC4010/ "%USERPROFILE%\AppData\Local\Temp\OnboardLogs"\RTDC4010\2016-11-25 --exclude "*" --recursive --include "*20161125*" &amp; "%USERPROFILE%\Documents\GitHub\mrs-test-scripts\Headless Mode &amp; Sideloading\WalkAndUnGZ.bat" "%USERPROFILE%\AppData\Local\Temp\OnboardLogs"\RTDC4010\2016-11-25 &amp; aws s3 cp s3://rtdc.mdm.uploadarchive.raw/RTDC4010/ "%USERPROFILE%\AppData\Local\Temp\OnboardLogs"\RTDC4010\2016-11-26 --exclude "*" --recursive --include "*20161126*" &amp; "%USERPROFILE%\Documents\GitHub\mrs-test-scripts\Headless Mode &amp; Sideloading\WalkAndUnGZ.bat" "%USERPROFILE%\AppData\Local\Temp\OnboardLogs"\RTDC4010\2016-11-26</v>
      </c>
      <c r="AF64" s="88" t="str">
        <f t="shared" si="13"/>
        <v>"C:\Program Files (x86)\AstroGrep\AstroGrep.exe" /spath="%USERPROFILE%\AppData\Local\Temp\OnboardLogs" /stypes="app*4010*20161125*" /stext=" 18:.+((SYSTEM_STATE.+slice.+state.+changed )|(ment ac)|(system.+state.+changed )|(\[timeout)|(PRM\|1\|D)|(kpr)|(kdp)|(\|lc)|(penalty))" /e /r /s</v>
      </c>
      <c r="AG64" s="1" t="str">
        <f t="shared" si="14"/>
        <v>EC</v>
      </c>
      <c r="AH64" s="92" t="str">
        <f t="shared" si="17"/>
        <v>"%USERPROFILE%\Documents\GitHub\eaglep3\Utilities\RefineRTDCRunTimes.py" --tripid 152-25 --locoid 4010 --swversion DE.1.0.8.0 --startMP 204:232980 --initTime 2016-11-25T10:48:42 --startdatetime 2016-11-25T10:56:18 --delay 1 --endMP 204:158 --enddatetime 2016-11-25T11:36:25 --enforcementcount 0 &gt;&gt;C:\Users\stu\Documents\GitHub\eaglep3-reporting\EC\2016-11-25-refined-times.txt</v>
      </c>
      <c r="AI64" s="119" t="str">
        <f t="shared" si="18"/>
        <v>echo {"issue":{"subject":"","project_id":79,"tracker_id":40,"status_id":1,"priority_id":2,"assigned_to_id":23,"start_date":"2016-11-25","description":"","custom_fields":[{"id":1,"name":"Subdivision","value":"EC"},{"id":4,"name":"Milepost","value":"0.0158"},{"id":17,"name":"Train ID","value":"152-25"},{"id":16,"name":"Locomotive ID","value":"4010"},{"id":130,"name":"Impact","value":""},{"id":150,"name":"Time of Event (Mountain Time)","value":"11:36:25"},{"id":151,"name":"Denver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3"/>
      <c r="AK64" s="53"/>
      <c r="AL64" s="53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7" t="s">
        <v>519</v>
      </c>
      <c r="B65" s="7">
        <v>4040</v>
      </c>
      <c r="C65" s="22" t="s">
        <v>217</v>
      </c>
      <c r="D65" s="22" t="s">
        <v>276</v>
      </c>
      <c r="E65" s="13">
        <v>42699.42386574074</v>
      </c>
      <c r="F65" s="13">
        <v>42699.42728009259</v>
      </c>
      <c r="G65" s="7">
        <v>2</v>
      </c>
      <c r="H65" s="22" t="s">
        <v>650</v>
      </c>
      <c r="I65" s="13">
        <v>42699.451956018522</v>
      </c>
      <c r="J65" s="7">
        <v>0</v>
      </c>
      <c r="K65" s="109" t="str">
        <f t="shared" si="0"/>
        <v>4039/4040</v>
      </c>
      <c r="L65" s="22" t="str">
        <f>VLOOKUP(A65,'Trips&amp;Operators'!$C$1:$E$10000,3,FALSE)</f>
        <v>SPECTOR</v>
      </c>
      <c r="M65" s="6">
        <f t="shared" si="1"/>
        <v>2.4675925931660458E-2</v>
      </c>
      <c r="N65" s="7">
        <f t="shared" si="2"/>
        <v>35.53333334159106</v>
      </c>
      <c r="O65" s="7"/>
      <c r="P65" s="7"/>
      <c r="Q65" s="23"/>
      <c r="R65" s="23"/>
      <c r="S65" s="35">
        <f t="shared" si="3"/>
        <v>1</v>
      </c>
      <c r="T65" s="50" t="str">
        <f t="shared" si="4"/>
        <v>NorthBound</v>
      </c>
      <c r="U65" s="171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https://search-rtdc-monitor-bjffxe2xuh6vdkpspy63sjmuny.us-east-1.es.amazonaws.com/_plugin/kibana/#/discover/Steve-Slow-Train-Analysis-(2080s-and-2083s)?_g=(refreshInterval:(display:Off,section:0,value:0),time:(from:'2016-11-25 09:10:22-700',mode:absolute,to:'2016-11-25 11:50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65" s="52" t="str">
        <f t="shared" si="6"/>
        <v>N</v>
      </c>
      <c r="X65" s="177">
        <f t="shared" si="7"/>
        <v>1</v>
      </c>
      <c r="Y65" s="67">
        <f t="shared" si="8"/>
        <v>4.5699999999999998E-2</v>
      </c>
      <c r="Z65" s="67">
        <f t="shared" si="9"/>
        <v>23.332699999999999</v>
      </c>
      <c r="AA65" s="67">
        <f t="shared" si="10"/>
        <v>23.286999999999999</v>
      </c>
      <c r="AB65" s="64" t="e">
        <f>VLOOKUP(A65,Enforcements!$C$7:$K$20,8,0)</f>
        <v>#N/A</v>
      </c>
      <c r="AC65" s="60" t="e">
        <f>VLOOKUP(A65,Enforcements!$C$7:$E$20,3,0)</f>
        <v>#N/A</v>
      </c>
      <c r="AD65" s="61" t="str">
        <f t="shared" si="11"/>
        <v>0153-25</v>
      </c>
      <c r="AE65" s="91" t="str">
        <f t="shared" si="12"/>
        <v>aws s3 cp s3://rtdc.mdm.uploadarchive.raw/RTDC4040/ "%USERPROFILE%\AppData\Local\Temp\OnboardLogs"\RTDC4040\2016-11-25 --exclude "*" --recursive --include "*20161125*" &amp; "%USERPROFILE%\Documents\GitHub\mrs-test-scripts\Headless Mode &amp; Sideloading\WalkAndUnGZ.bat" "%USERPROFILE%\AppData\Local\Temp\OnboardLogs"\RTDC4040\2016-11-25 &amp; aws s3 cp s3://rtdc.mdm.uploadarchive.raw/RTDC4040/ "%USERPROFILE%\AppData\Local\Temp\OnboardLogs"\RTDC4040\2016-11-26 --exclude "*" --recursive --include "*20161126*" &amp; "%USERPROFILE%\Documents\GitHub\mrs-test-scripts\Headless Mode &amp; Sideloading\WalkAndUnGZ.bat" "%USERPROFILE%\AppData\Local\Temp\OnboardLogs"\RTDC4040\2016-11-26</v>
      </c>
      <c r="AF65" s="88" t="str">
        <f t="shared" si="13"/>
        <v>"C:\Program Files (x86)\AstroGrep\AstroGrep.exe" /spath="%USERPROFILE%\AppData\Local\Temp\OnboardLogs" /stypes="app*4040*20161125*" /stext=" 17:.+((SYSTEM_STATE.+slice.+state.+changed )|(ment ac)|(system.+state.+changed )|(\[timeout)|(PRM\|1\|D)|(kpr)|(kdp)|(\|lc)|(penalty))" /e /r /s</v>
      </c>
      <c r="AG65" s="1" t="str">
        <f t="shared" si="14"/>
        <v>EC</v>
      </c>
      <c r="AH65" s="92" t="str">
        <f t="shared" si="17"/>
        <v>"%USERPROFILE%\Documents\GitHub\eaglep3\Utilities\RefineRTDCRunTimes.py" --tripid 153-25 --locoid 4040 --swversion DE.1.0.8.0 --startMP 204:457 --initTime 2016-11-25T10:10:22 --startdatetime 2016-11-25T10:15:17 --delay 2 --endMP 204:233327 --enddatetime 2016-11-25T10:50:49 --enforcementcount 0 &gt;&gt;C:\Users\stu\Documents\GitHub\eaglep3-reporting\EC\2016-11-25-refined-times.txt</v>
      </c>
      <c r="AI65" s="119" t="str">
        <f t="shared" si="18"/>
        <v>echo {"issue":{"subject":"","project_id":79,"tracker_id":40,"status_id":1,"priority_id":2,"assigned_to_id":23,"start_date":"2016-11-25","description":"","custom_fields":[{"id":1,"name":"Subdivision","value":"EC"},{"id":4,"name":"Milepost","value":"23.3327"},{"id":17,"name":"Train ID","value":"153-25"},{"id":16,"name":"Locomotive ID","value":"4040"},{"id":130,"name":"Impact","value":""},{"id":150,"name":"Time of Event (Mountain Time)","value":"10:50:49"},{"id":151,"name":"Denver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3"/>
      <c r="AK65" s="53"/>
      <c r="AL65" s="53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7" t="s">
        <v>525</v>
      </c>
      <c r="B66" s="7">
        <v>4039</v>
      </c>
      <c r="C66" s="22" t="s">
        <v>217</v>
      </c>
      <c r="D66" s="22" t="s">
        <v>651</v>
      </c>
      <c r="E66" s="13">
        <v>42699.461608796293</v>
      </c>
      <c r="F66" s="13">
        <v>42699.46634259259</v>
      </c>
      <c r="G66" s="7">
        <v>6</v>
      </c>
      <c r="H66" s="22" t="s">
        <v>362</v>
      </c>
      <c r="I66" s="13">
        <v>42699.493692129632</v>
      </c>
      <c r="J66" s="7">
        <v>0</v>
      </c>
      <c r="K66" s="109" t="str">
        <f t="shared" si="0"/>
        <v>4039/4040</v>
      </c>
      <c r="L66" s="22" t="str">
        <f>VLOOKUP(A66,'Trips&amp;Operators'!$C$1:$E$10000,3,FALSE)</f>
        <v>SPECTOR</v>
      </c>
      <c r="M66" s="6">
        <f t="shared" si="1"/>
        <v>2.7349537042027805E-2</v>
      </c>
      <c r="N66" s="7">
        <f t="shared" si="2"/>
        <v>39.383333340520039</v>
      </c>
      <c r="O66" s="7"/>
      <c r="P66" s="7"/>
      <c r="Q66" s="23"/>
      <c r="R66" s="23"/>
      <c r="S66" s="35">
        <f t="shared" si="3"/>
        <v>1</v>
      </c>
      <c r="T66" s="50" t="str">
        <f t="shared" si="4"/>
        <v>Southbound</v>
      </c>
      <c r="U66" s="171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https://search-rtdc-monitor-bjffxe2xuh6vdkpspy63sjmuny.us-east-1.es.amazonaws.com/_plugin/kibana/#/discover/Steve-Slow-Train-Analysis-(2080s-and-2083s)?_g=(refreshInterval:(display:Off,section:0,value:0),time:(from:'2016-11-25 10:04:43-700',mode:absolute,to:'2016-11-25 12:50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66" s="52" t="str">
        <f t="shared" si="6"/>
        <v>N</v>
      </c>
      <c r="X66" s="177">
        <f t="shared" si="7"/>
        <v>1</v>
      </c>
      <c r="Y66" s="67">
        <f t="shared" si="8"/>
        <v>23.300799999999999</v>
      </c>
      <c r="Z66" s="67">
        <f t="shared" si="9"/>
        <v>1.4500000000000001E-2</v>
      </c>
      <c r="AA66" s="67">
        <f t="shared" si="10"/>
        <v>23.286299999999997</v>
      </c>
      <c r="AB66" s="64" t="e">
        <f>VLOOKUP(A66,Enforcements!$C$7:$K$20,8,0)</f>
        <v>#N/A</v>
      </c>
      <c r="AC66" s="60" t="e">
        <f>VLOOKUP(A66,Enforcements!$C$7:$E$20,3,0)</f>
        <v>#N/A</v>
      </c>
      <c r="AD66" s="61" t="str">
        <f t="shared" si="11"/>
        <v>0154-25</v>
      </c>
      <c r="AE66" s="91" t="str">
        <f t="shared" si="12"/>
        <v>aws s3 cp s3://rtdc.mdm.uploadarchive.raw/RTDC4039/ "%USERPROFILE%\AppData\Local\Temp\OnboardLogs"\RTDC4039\2016-11-25 --exclude "*" --recursive --include "*20161125*" &amp; "%USERPROFILE%\Documents\GitHub\mrs-test-scripts\Headless Mode &amp; Sideloading\WalkAndUnGZ.bat" "%USERPROFILE%\AppData\Local\Temp\OnboardLogs"\RTDC4039\2016-11-25 &amp; aws s3 cp s3://rtdc.mdm.uploadarchive.raw/RTDC4039/ "%USERPROFILE%\AppData\Local\Temp\OnboardLogs"\RTDC4039\2016-11-26 --exclude "*" --recursive --include "*20161126*" &amp; "%USERPROFILE%\Documents\GitHub\mrs-test-scripts\Headless Mode &amp; Sideloading\WalkAndUnGZ.bat" "%USERPROFILE%\AppData\Local\Temp\OnboardLogs"\RTDC4039\2016-11-26</v>
      </c>
      <c r="AF66" s="88" t="str">
        <f t="shared" si="13"/>
        <v>"C:\Program Files (x86)\AstroGrep\AstroGrep.exe" /spath="%USERPROFILE%\AppData\Local\Temp\OnboardLogs" /stypes="app*4039*20161125*" /stext=" 18:.+((SYSTEM_STATE.+slice.+state.+changed )|(ment ac)|(system.+state.+changed )|(\[timeout)|(PRM\|1\|D)|(kpr)|(kdp)|(\|lc)|(penalty))" /e /r /s</v>
      </c>
      <c r="AG66" s="1" t="str">
        <f t="shared" si="14"/>
        <v>EC</v>
      </c>
      <c r="AH66" s="92" t="str">
        <f t="shared" si="17"/>
        <v>"%USERPROFILE%\Documents\GitHub\eaglep3\Utilities\RefineRTDCRunTimes.py" --tripid 154-25 --locoid 4039 --swversion DE.1.0.8.0 --startMP 204:233008 --initTime 2016-11-25T11:04:43 --startdatetime 2016-11-25T11:11:32 --delay 6 --endMP 204:145 --enddatetime 2016-11-25T11:50:55 --enforcementcount 0 &gt;&gt;C:\Users\stu\Documents\GitHub\eaglep3-reporting\EC\2016-11-25-refined-times.txt</v>
      </c>
      <c r="AI66" s="119" t="str">
        <f t="shared" si="18"/>
        <v>echo {"issue":{"subject":"","project_id":79,"tracker_id":40,"status_id":1,"priority_id":2,"assigned_to_id":23,"start_date":"2016-11-25","description":"","custom_fields":[{"id":1,"name":"Subdivision","value":"EC"},{"id":4,"name":"Milepost","value":"0.0145"},{"id":17,"name":"Train ID","value":"154-25"},{"id":16,"name":"Locomotive ID","value":"4039"},{"id":130,"name":"Impact","value":""},{"id":150,"name":"Time of Event (Mountain Time)","value":"11:50:55"},{"id":151,"name":"Denver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3"/>
      <c r="AK66" s="53"/>
      <c r="AL66" s="53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7" t="s">
        <v>427</v>
      </c>
      <c r="B67" s="7">
        <v>4031</v>
      </c>
      <c r="C67" s="22" t="s">
        <v>217</v>
      </c>
      <c r="D67" s="22" t="s">
        <v>271</v>
      </c>
      <c r="E67" s="13">
        <v>42699.432627314818</v>
      </c>
      <c r="F67" s="13">
        <v>42699.437731481485</v>
      </c>
      <c r="G67" s="7">
        <v>3</v>
      </c>
      <c r="H67" s="22" t="s">
        <v>355</v>
      </c>
      <c r="I67" s="13">
        <v>42699.464328703703</v>
      </c>
      <c r="J67" s="7">
        <v>1</v>
      </c>
      <c r="K67" s="109" t="str">
        <f t="shared" si="0"/>
        <v>4031/4032</v>
      </c>
      <c r="L67" s="22" t="str">
        <f>VLOOKUP(A67,'Trips&amp;Operators'!$C$1:$E$10000,3,FALSE)</f>
        <v>STRICKLAND</v>
      </c>
      <c r="M67" s="6">
        <f t="shared" si="1"/>
        <v>2.6597222218697425E-2</v>
      </c>
      <c r="N67" s="7">
        <f t="shared" si="2"/>
        <v>38.299999994924292</v>
      </c>
      <c r="O67" s="7"/>
      <c r="P67" s="7"/>
      <c r="Q67" s="23"/>
      <c r="R67" s="23"/>
      <c r="S67" s="35">
        <f t="shared" si="3"/>
        <v>1</v>
      </c>
      <c r="T67" s="50" t="str">
        <f t="shared" si="4"/>
        <v>NorthBound</v>
      </c>
      <c r="U67" s="171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https://search-rtdc-monitor-bjffxe2xuh6vdkpspy63sjmuny.us-east-1.es.amazonaws.com/_plugin/kibana/#/discover/Steve-Slow-Train-Analysis-(2080s-and-2083s)?_g=(refreshInterval:(display:Off,section:0,value:0),time:(from:'2016-11-25 09:22:59-700',mode:absolute,to:'2016-11-25 12:08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67" s="52" t="str">
        <f t="shared" si="6"/>
        <v>N</v>
      </c>
      <c r="X67" s="177">
        <f t="shared" si="7"/>
        <v>1</v>
      </c>
      <c r="Y67" s="67">
        <f t="shared" si="8"/>
        <v>4.5999999999999999E-2</v>
      </c>
      <c r="Z67" s="67">
        <f t="shared" si="9"/>
        <v>23.331600000000002</v>
      </c>
      <c r="AA67" s="67">
        <f t="shared" si="10"/>
        <v>23.285600000000002</v>
      </c>
      <c r="AB67" s="64" t="str">
        <f>VLOOKUP(A67,Enforcements!$C$7:$K$20,8,0)</f>
        <v>Speed (6)</v>
      </c>
      <c r="AC67" s="60" t="str">
        <f>VLOOKUP(A67,Enforcements!$C$7:$E$20,3,0)</f>
        <v>PERMANENT SPEED RESTRICTION</v>
      </c>
      <c r="AD67" s="61" t="str">
        <f t="shared" si="11"/>
        <v>0155-25</v>
      </c>
      <c r="AE67" s="91" t="str">
        <f t="shared" si="12"/>
        <v>aws s3 cp s3://rtdc.mdm.uploadarchive.raw/RTDC4031/ "%USERPROFILE%\AppData\Local\Temp\OnboardLogs"\RTDC4031\2016-11-25 --exclude "*" --recursive --include "*20161125*" &amp; "%USERPROFILE%\Documents\GitHub\mrs-test-scripts\Headless Mode &amp; Sideloading\WalkAndUnGZ.bat" "%USERPROFILE%\AppData\Local\Temp\OnboardLogs"\RTDC4031\2016-11-25 &amp; aws s3 cp s3://rtdc.mdm.uploadarchive.raw/RTDC4031/ "%USERPROFILE%\AppData\Local\Temp\OnboardLogs"\RTDC4031\2016-11-26 --exclude "*" --recursive --include "*20161126*" &amp; "%USERPROFILE%\Documents\GitHub\mrs-test-scripts\Headless Mode &amp; Sideloading\WalkAndUnGZ.bat" "%USERPROFILE%\AppData\Local\Temp\OnboardLogs"\RTDC4031\2016-11-26</v>
      </c>
      <c r="AF67" s="88" t="str">
        <f t="shared" si="13"/>
        <v>"C:\Program Files (x86)\AstroGrep\AstroGrep.exe" /spath="%USERPROFILE%\AppData\Local\Temp\OnboardLogs" /stypes="app*4031*20161125*" /stext=" 18:.+((SYSTEM_STATE.+slice.+state.+changed )|(ment ac)|(system.+state.+changed )|(\[timeout)|(PRM\|1\|D)|(kpr)|(kdp)|(\|lc)|(penalty))" /e /r /s</v>
      </c>
      <c r="AG67" s="1" t="str">
        <f t="shared" si="14"/>
        <v>EC</v>
      </c>
      <c r="AH67" s="92" t="str">
        <f t="shared" si="17"/>
        <v>"%USERPROFILE%\Documents\GitHub\eaglep3\Utilities\RefineRTDCRunTimes.py" --tripid 155-25 --locoid 4031 --swversion DE.1.0.8.0 --startMP 204:460 --initTime 2016-11-25T10:22:59 --startdatetime 2016-11-25T10:30:20 --delay 3 --endMP 204:233316 --enddatetime 2016-11-25T11:08:38 --enforcementcount 1 &gt;&gt;C:\Users\stu\Documents\GitHub\eaglep3-reporting\EC\2016-11-25-refined-times.txt</v>
      </c>
      <c r="AI67" s="119" t="str">
        <f t="shared" si="18"/>
        <v>echo {"issue":{"subject":"","project_id":79,"tracker_id":40,"status_id":1,"priority_id":2,"assigned_to_id":23,"start_date":"2016-11-25","description":"","custom_fields":[{"id":1,"name":"Subdivision","value":"EC"},{"id":4,"name":"Milepost","value":"23.3316"},{"id":17,"name":"Train ID","value":"155-25"},{"id":16,"name":"Locomotive ID","value":"4031"},{"id":130,"name":"Impact","value":""},{"id":150,"name":"Time of Event (Mountain Time)","value":"11:08:38"},{"id":151,"name":"Denver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3"/>
      <c r="AK67" s="53"/>
      <c r="AL67" s="53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7" t="s">
        <v>527</v>
      </c>
      <c r="B68" s="7">
        <v>4032</v>
      </c>
      <c r="C68" s="22" t="s">
        <v>217</v>
      </c>
      <c r="D68" s="22" t="s">
        <v>652</v>
      </c>
      <c r="E68" s="13">
        <v>42699.471446759257</v>
      </c>
      <c r="F68" s="13">
        <v>42699.476550925923</v>
      </c>
      <c r="G68" s="7">
        <v>1</v>
      </c>
      <c r="H68" s="22" t="s">
        <v>241</v>
      </c>
      <c r="I68" s="13">
        <v>42699.507372685184</v>
      </c>
      <c r="J68" s="7">
        <v>0</v>
      </c>
      <c r="K68" s="109" t="str">
        <f t="shared" si="0"/>
        <v>4031/4032</v>
      </c>
      <c r="L68" s="22" t="str">
        <f>VLOOKUP(A68,'Trips&amp;Operators'!$C$1:$E$10000,3,FALSE)</f>
        <v>STRICKLAND</v>
      </c>
      <c r="M68" s="6">
        <f t="shared" si="1"/>
        <v>3.0821759261016268E-2</v>
      </c>
      <c r="N68" s="7">
        <f t="shared" si="2"/>
        <v>44.383333335863426</v>
      </c>
      <c r="O68" s="7"/>
      <c r="P68" s="7"/>
      <c r="Q68" s="23"/>
      <c r="R68" s="23"/>
      <c r="S68" s="35">
        <f t="shared" si="3"/>
        <v>1</v>
      </c>
      <c r="T68" s="50" t="str">
        <f t="shared" si="4"/>
        <v>Southbound</v>
      </c>
      <c r="U68" s="171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https://search-rtdc-monitor-bjffxe2xuh6vdkpspy63sjmuny.us-east-1.es.amazonaws.com/_plugin/kibana/#/discover/Steve-Slow-Train-Analysis-(2080s-and-2083s)?_g=(refreshInterval:(display:Off,section:0,value:0),time:(from:'2016-11-25 10:18:53-700',mode:absolute,to:'2016-11-25 13:10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68" s="52" t="str">
        <f t="shared" si="6"/>
        <v>N</v>
      </c>
      <c r="X68" s="177">
        <f t="shared" si="7"/>
        <v>1</v>
      </c>
      <c r="Y68" s="67">
        <f t="shared" si="8"/>
        <v>23.2986</v>
      </c>
      <c r="Z68" s="67">
        <f t="shared" si="9"/>
        <v>1.54E-2</v>
      </c>
      <c r="AA68" s="67">
        <f t="shared" si="10"/>
        <v>23.283200000000001</v>
      </c>
      <c r="AB68" s="64" t="e">
        <f>VLOOKUP(A68,Enforcements!$C$7:$K$20,8,0)</f>
        <v>#N/A</v>
      </c>
      <c r="AC68" s="60" t="e">
        <f>VLOOKUP(A68,Enforcements!$C$7:$E$20,3,0)</f>
        <v>#N/A</v>
      </c>
      <c r="AD68" s="61" t="str">
        <f t="shared" si="11"/>
        <v>0156-25</v>
      </c>
      <c r="AE68" s="91" t="str">
        <f t="shared" si="12"/>
        <v>aws s3 cp s3://rtdc.mdm.uploadarchive.raw/RTDC4032/ "%USERPROFILE%\AppData\Local\Temp\OnboardLogs"\RTDC4032\2016-11-25 --exclude "*" --recursive --include "*20161125*" &amp; "%USERPROFILE%\Documents\GitHub\mrs-test-scripts\Headless Mode &amp; Sideloading\WalkAndUnGZ.bat" "%USERPROFILE%\AppData\Local\Temp\OnboardLogs"\RTDC4032\2016-11-25 &amp; aws s3 cp s3://rtdc.mdm.uploadarchive.raw/RTDC4032/ "%USERPROFILE%\AppData\Local\Temp\OnboardLogs"\RTDC4032\2016-11-26 --exclude "*" --recursive --include "*20161126*" &amp; "%USERPROFILE%\Documents\GitHub\mrs-test-scripts\Headless Mode &amp; Sideloading\WalkAndUnGZ.bat" "%USERPROFILE%\AppData\Local\Temp\OnboardLogs"\RTDC4032\2016-11-26</v>
      </c>
      <c r="AF68" s="88" t="str">
        <f t="shared" si="13"/>
        <v>"C:\Program Files (x86)\AstroGrep\AstroGrep.exe" /spath="%USERPROFILE%\AppData\Local\Temp\OnboardLogs" /stypes="app*4032*20161125*" /stext=" 19:.+((SYSTEM_STATE.+slice.+state.+changed )|(ment ac)|(system.+state.+changed )|(\[timeout)|(PRM\|1\|D)|(kpr)|(kdp)|(\|lc)|(penalty))" /e /r /s</v>
      </c>
      <c r="AG68" s="1" t="str">
        <f t="shared" si="14"/>
        <v>EC</v>
      </c>
      <c r="AH68" s="92" t="str">
        <f t="shared" si="17"/>
        <v>"%USERPROFILE%\Documents\GitHub\eaglep3\Utilities\RefineRTDCRunTimes.py" --tripid 156-25 --locoid 4032 --swversion DE.1.0.8.0 --startMP 204:232986 --initTime 2016-11-25T11:18:53 --startdatetime 2016-11-25T11:26:14 --delay 1 --endMP 204:154 --enddatetime 2016-11-25T12:10:37 --enforcementcount 0 &gt;&gt;C:\Users\stu\Documents\GitHub\eaglep3-reporting\EC\2016-11-25-refined-times.txt</v>
      </c>
      <c r="AI68" s="119" t="str">
        <f t="shared" si="18"/>
        <v>echo {"issue":{"subject":"","project_id":79,"tracker_id":40,"status_id":1,"priority_id":2,"assigned_to_id":23,"start_date":"2016-11-25","description":"","custom_fields":[{"id":1,"name":"Subdivision","value":"EC"},{"id":4,"name":"Milepost","value":"0.0154"},{"id":17,"name":"Train ID","value":"156-25"},{"id":16,"name":"Locomotive ID","value":"4032"},{"id":130,"name":"Impact","value":""},{"id":150,"name":"Time of Event (Mountain Time)","value":"12:10:37"},{"id":151,"name":"Denver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3"/>
      <c r="AK68" s="53"/>
      <c r="AL68" s="53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7" t="s">
        <v>522</v>
      </c>
      <c r="B69" s="7">
        <v>4046</v>
      </c>
      <c r="C69" s="22" t="s">
        <v>217</v>
      </c>
      <c r="D69" s="22" t="s">
        <v>266</v>
      </c>
      <c r="E69" s="13">
        <v>42699.446180555555</v>
      </c>
      <c r="F69" s="13">
        <v>42699.448321759257</v>
      </c>
      <c r="G69" s="7">
        <v>1</v>
      </c>
      <c r="H69" s="22" t="s">
        <v>281</v>
      </c>
      <c r="I69" s="13">
        <v>42699.472199074073</v>
      </c>
      <c r="J69" s="7">
        <v>0</v>
      </c>
      <c r="K69" s="109" t="str">
        <f t="shared" si="0"/>
        <v>4045/4046</v>
      </c>
      <c r="L69" s="22" t="str">
        <f>VLOOKUP(A69,'Trips&amp;Operators'!$C$1:$E$10000,3,FALSE)</f>
        <v>JOHNSON</v>
      </c>
      <c r="M69" s="6">
        <f t="shared" si="1"/>
        <v>2.3877314815763384E-2</v>
      </c>
      <c r="N69" s="7">
        <f t="shared" si="2"/>
        <v>34.383333334699273</v>
      </c>
      <c r="O69" s="7"/>
      <c r="P69" s="7"/>
      <c r="Q69" s="23"/>
      <c r="R69" s="23"/>
      <c r="S69" s="35">
        <f t="shared" si="3"/>
        <v>1</v>
      </c>
      <c r="T69" s="50" t="str">
        <f t="shared" si="4"/>
        <v>NorthBound</v>
      </c>
      <c r="U69" s="171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https://search-rtdc-monitor-bjffxe2xuh6vdkpspy63sjmuny.us-east-1.es.amazonaws.com/_plugin/kibana/#/discover/Steve-Slow-Train-Analysis-(2080s-and-2083s)?_g=(refreshInterval:(display:Off,section:0,value:0),time:(from:'2016-11-25 09:42:30-700',mode:absolute,to:'2016-11-25 12:19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69" s="52" t="str">
        <f t="shared" si="6"/>
        <v>N</v>
      </c>
      <c r="X69" s="177">
        <f t="shared" si="7"/>
        <v>1</v>
      </c>
      <c r="Y69" s="67">
        <f t="shared" si="8"/>
        <v>4.4600000000000001E-2</v>
      </c>
      <c r="Z69" s="67">
        <f t="shared" si="9"/>
        <v>23.331700000000001</v>
      </c>
      <c r="AA69" s="67">
        <f t="shared" si="10"/>
        <v>23.287100000000002</v>
      </c>
      <c r="AB69" s="64" t="e">
        <f>VLOOKUP(A69,Enforcements!$C$7:$K$20,8,0)</f>
        <v>#N/A</v>
      </c>
      <c r="AC69" s="60" t="e">
        <f>VLOOKUP(A69,Enforcements!$C$7:$E$20,3,0)</f>
        <v>#N/A</v>
      </c>
      <c r="AD69" s="61" t="str">
        <f t="shared" si="11"/>
        <v>0157-25</v>
      </c>
      <c r="AE69" s="91" t="str">
        <f t="shared" si="12"/>
        <v>aws s3 cp s3://rtdc.mdm.uploadarchive.raw/RTDC4046/ "%USERPROFILE%\AppData\Local\Temp\OnboardLogs"\RTDC4046\2016-11-25 --exclude "*" --recursive --include "*20161125*" &amp; "%USERPROFILE%\Documents\GitHub\mrs-test-scripts\Headless Mode &amp; Sideloading\WalkAndUnGZ.bat" "%USERPROFILE%\AppData\Local\Temp\OnboardLogs"\RTDC4046\2016-11-25 &amp; aws s3 cp s3://rtdc.mdm.uploadarchive.raw/RTDC4046/ "%USERPROFILE%\AppData\Local\Temp\OnboardLogs"\RTDC4046\2016-11-26 --exclude "*" --recursive --include "*20161126*" &amp; "%USERPROFILE%\Documents\GitHub\mrs-test-scripts\Headless Mode &amp; Sideloading\WalkAndUnGZ.bat" "%USERPROFILE%\AppData\Local\Temp\OnboardLogs"\RTDC4046\2016-11-26</v>
      </c>
      <c r="AF69" s="88" t="str">
        <f t="shared" si="13"/>
        <v>"C:\Program Files (x86)\AstroGrep\AstroGrep.exe" /spath="%USERPROFILE%\AppData\Local\Temp\OnboardLogs" /stypes="app*4046*20161125*" /stext=" 18:.+((SYSTEM_STATE.+slice.+state.+changed )|(ment ac)|(system.+state.+changed )|(\[timeout)|(PRM\|1\|D)|(kpr)|(kdp)|(\|lc)|(penalty))" /e /r /s</v>
      </c>
      <c r="AG69" s="1" t="str">
        <f t="shared" si="14"/>
        <v>EC</v>
      </c>
      <c r="AH69" s="92" t="str">
        <f t="shared" si="17"/>
        <v>"%USERPROFILE%\Documents\GitHub\eaglep3\Utilities\RefineRTDCRunTimes.py" --tripid 157-25 --locoid 4046 --swversion DE.1.0.8.0 --startMP 204:446 --initTime 2016-11-25T10:42:30 --startdatetime 2016-11-25T10:45:35 --delay 1 --endMP 204:233317 --enddatetime 2016-11-25T11:19:58 --enforcementcount 0 &gt;&gt;C:\Users\stu\Documents\GitHub\eaglep3-reporting\EC\2016-11-25-refined-times.txt</v>
      </c>
      <c r="AI69" s="119" t="str">
        <f t="shared" si="18"/>
        <v>echo {"issue":{"subject":"","project_id":79,"tracker_id":40,"status_id":1,"priority_id":2,"assigned_to_id":23,"start_date":"2016-11-25","description":"","custom_fields":[{"id":1,"name":"Subdivision","value":"EC"},{"id":4,"name":"Milepost","value":"23.3317"},{"id":17,"name":"Train ID","value":"157-25"},{"id":16,"name":"Locomotive ID","value":"4046"},{"id":130,"name":"Impact","value":""},{"id":150,"name":"Time of Event (Mountain Time)","value":"11:19:58"},{"id":151,"name":"Denver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3"/>
      <c r="AK69" s="53"/>
      <c r="AL69" s="53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7" t="s">
        <v>528</v>
      </c>
      <c r="B70" s="7">
        <v>4045</v>
      </c>
      <c r="C70" s="22" t="s">
        <v>217</v>
      </c>
      <c r="D70" s="22" t="s">
        <v>644</v>
      </c>
      <c r="E70" s="13">
        <v>42699.47457175926</v>
      </c>
      <c r="F70" s="13">
        <v>42699.486990740741</v>
      </c>
      <c r="G70" s="7">
        <v>1</v>
      </c>
      <c r="H70" s="22" t="s">
        <v>241</v>
      </c>
      <c r="I70" s="13">
        <v>42699.512858796297</v>
      </c>
      <c r="J70" s="7">
        <v>0</v>
      </c>
      <c r="K70" s="109" t="str">
        <f t="shared" si="0"/>
        <v>4045/4046</v>
      </c>
      <c r="L70" s="22" t="str">
        <f>VLOOKUP(A70,'Trips&amp;Operators'!$C$1:$E$10000,3,FALSE)</f>
        <v>JOHNSON</v>
      </c>
      <c r="M70" s="6">
        <f t="shared" si="1"/>
        <v>2.5868055556202307E-2</v>
      </c>
      <c r="N70" s="7">
        <f t="shared" si="2"/>
        <v>37.250000000931323</v>
      </c>
      <c r="O70" s="7"/>
      <c r="P70" s="7"/>
      <c r="Q70" s="23"/>
      <c r="R70" s="23"/>
      <c r="S70" s="35">
        <f t="shared" si="3"/>
        <v>1</v>
      </c>
      <c r="T70" s="50" t="str">
        <f t="shared" si="4"/>
        <v>Southbound</v>
      </c>
      <c r="U70" s="171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https://search-rtdc-monitor-bjffxe2xuh6vdkpspy63sjmuny.us-east-1.es.amazonaws.com/_plugin/kibana/#/discover/Steve-Slow-Train-Analysis-(2080s-and-2083s)?_g=(refreshInterval:(display:Off,section:0,value:0),time:(from:'2016-11-25 10:23:23-700',mode:absolute,to:'2016-11-25 13:18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70" s="52" t="str">
        <f t="shared" si="6"/>
        <v>N</v>
      </c>
      <c r="X70" s="177">
        <f t="shared" si="7"/>
        <v>1</v>
      </c>
      <c r="Y70" s="67">
        <f t="shared" si="8"/>
        <v>23.298500000000001</v>
      </c>
      <c r="Z70" s="67">
        <f t="shared" si="9"/>
        <v>1.54E-2</v>
      </c>
      <c r="AA70" s="67">
        <f t="shared" si="10"/>
        <v>23.283100000000001</v>
      </c>
      <c r="AB70" s="64" t="e">
        <f>VLOOKUP(A70,Enforcements!$C$7:$K$20,8,0)</f>
        <v>#N/A</v>
      </c>
      <c r="AC70" s="60" t="e">
        <f>VLOOKUP(A70,Enforcements!$C$7:$E$20,3,0)</f>
        <v>#N/A</v>
      </c>
      <c r="AD70" s="61" t="str">
        <f t="shared" si="11"/>
        <v>0158-25</v>
      </c>
      <c r="AE70" s="91" t="str">
        <f t="shared" si="12"/>
        <v>aws s3 cp s3://rtdc.mdm.uploadarchive.raw/RTDC4045/ "%USERPROFILE%\AppData\Local\Temp\OnboardLogs"\RTDC4045\2016-11-25 --exclude "*" --recursive --include "*20161125*" &amp; "%USERPROFILE%\Documents\GitHub\mrs-test-scripts\Headless Mode &amp; Sideloading\WalkAndUnGZ.bat" "%USERPROFILE%\AppData\Local\Temp\OnboardLogs"\RTDC4045\2016-11-25 &amp; aws s3 cp s3://rtdc.mdm.uploadarchive.raw/RTDC4045/ "%USERPROFILE%\AppData\Local\Temp\OnboardLogs"\RTDC4045\2016-11-26 --exclude "*" --recursive --include "*20161126*" &amp; "%USERPROFILE%\Documents\GitHub\mrs-test-scripts\Headless Mode &amp; Sideloading\WalkAndUnGZ.bat" "%USERPROFILE%\AppData\Local\Temp\OnboardLogs"\RTDC4045\2016-11-26</v>
      </c>
      <c r="AF70" s="88" t="str">
        <f t="shared" si="13"/>
        <v>"C:\Program Files (x86)\AstroGrep\AstroGrep.exe" /spath="%USERPROFILE%\AppData\Local\Temp\OnboardLogs" /stypes="app*4045*20161125*" /stext=" 19:.+((SYSTEM_STATE.+slice.+state.+changed )|(ment ac)|(system.+state.+changed )|(\[timeout)|(PRM\|1\|D)|(kpr)|(kdp)|(\|lc)|(penalty))" /e /r /s</v>
      </c>
      <c r="AG70" s="1" t="str">
        <f t="shared" si="14"/>
        <v>EC</v>
      </c>
      <c r="AH70" s="92" t="str">
        <f t="shared" si="17"/>
        <v>"%USERPROFILE%\Documents\GitHub\eaglep3\Utilities\RefineRTDCRunTimes.py" --tripid 158-25 --locoid 4045 --swversion DE.1.0.8.0 --startMP 204:232985 --initTime 2016-11-25T11:23:23 --startdatetime 2016-11-25T11:41:16 --delay 1 --endMP 204:154 --enddatetime 2016-11-25T12:18:31 --enforcementcount 0 &gt;&gt;C:\Users\stu\Documents\GitHub\eaglep3-reporting\EC\2016-11-25-refined-times.txt</v>
      </c>
      <c r="AI70" s="119" t="str">
        <f t="shared" si="18"/>
        <v>echo {"issue":{"subject":"","project_id":79,"tracker_id":40,"status_id":1,"priority_id":2,"assigned_to_id":23,"start_date":"2016-11-25","description":"","custom_fields":[{"id":1,"name":"Subdivision","value":"EC"},{"id":4,"name":"Milepost","value":"0.0154"},{"id":17,"name":"Train ID","value":"158-25"},{"id":16,"name":"Locomotive ID","value":"4045"},{"id":130,"name":"Impact","value":""},{"id":150,"name":"Time of Event (Mountain Time)","value":"12:18:31"},{"id":151,"name":"Denver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3"/>
      <c r="AK70" s="53"/>
      <c r="AL70" s="53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7" t="s">
        <v>429</v>
      </c>
      <c r="B71" s="7">
        <v>4011</v>
      </c>
      <c r="C71" s="22" t="s">
        <v>217</v>
      </c>
      <c r="D71" s="22" t="s">
        <v>265</v>
      </c>
      <c r="E71" s="13">
        <v>42699.458287037036</v>
      </c>
      <c r="F71" s="13">
        <v>42699.460370370369</v>
      </c>
      <c r="G71" s="7">
        <v>1</v>
      </c>
      <c r="H71" s="22" t="s">
        <v>352</v>
      </c>
      <c r="I71" s="13">
        <v>42699.487511574072</v>
      </c>
      <c r="J71" s="7">
        <v>1</v>
      </c>
      <c r="K71" s="109" t="str">
        <f t="shared" si="0"/>
        <v>4011/4012</v>
      </c>
      <c r="L71" s="22" t="str">
        <f>VLOOKUP(A71,'Trips&amp;Operators'!$C$1:$E$10000,3,FALSE)</f>
        <v>DAVIS</v>
      </c>
      <c r="M71" s="6">
        <f t="shared" si="1"/>
        <v>2.7141203703649808E-2</v>
      </c>
      <c r="N71" s="7">
        <f t="shared" si="2"/>
        <v>39.083333333255723</v>
      </c>
      <c r="O71" s="7"/>
      <c r="P71" s="7"/>
      <c r="Q71" s="23"/>
      <c r="R71" s="23"/>
      <c r="S71" s="35">
        <f t="shared" si="3"/>
        <v>1</v>
      </c>
      <c r="T71" s="50" t="str">
        <f t="shared" si="4"/>
        <v>NorthBound</v>
      </c>
      <c r="U71" s="171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https://search-rtdc-monitor-bjffxe2xuh6vdkpspy63sjmuny.us-east-1.es.amazonaws.com/_plugin/kibana/#/discover/Steve-Slow-Train-Analysis-(2080s-and-2083s)?_g=(refreshInterval:(display:Off,section:0,value:0),time:(from:'2016-11-25 09:59:56-700',mode:absolute,to:'2016-11-25 12:42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71" s="52" t="str">
        <f t="shared" si="6"/>
        <v>N</v>
      </c>
      <c r="X71" s="177">
        <f t="shared" si="7"/>
        <v>1</v>
      </c>
      <c r="Y71" s="67">
        <f t="shared" si="8"/>
        <v>4.4200000000000003E-2</v>
      </c>
      <c r="Z71" s="67">
        <f t="shared" si="9"/>
        <v>23.3276</v>
      </c>
      <c r="AA71" s="67">
        <f t="shared" si="10"/>
        <v>23.2834</v>
      </c>
      <c r="AB71" s="64" t="e">
        <f>VLOOKUP(A71,Enforcements!$C$7:$K$20,8,0)</f>
        <v>#N/A</v>
      </c>
      <c r="AC71" s="60" t="e">
        <f>VLOOKUP(A71,Enforcements!$C$7:$E$20,3,0)</f>
        <v>#N/A</v>
      </c>
      <c r="AD71" s="61" t="str">
        <f t="shared" si="11"/>
        <v>0159-25</v>
      </c>
      <c r="AE71" s="91" t="str">
        <f t="shared" si="12"/>
        <v>aws s3 cp s3://rtdc.mdm.uploadarchive.raw/RTDC4011/ "%USERPROFILE%\AppData\Local\Temp\OnboardLogs"\RTDC4011\2016-11-25 --exclude "*" --recursive --include "*20161125*" &amp; "%USERPROFILE%\Documents\GitHub\mrs-test-scripts\Headless Mode &amp; Sideloading\WalkAndUnGZ.bat" "%USERPROFILE%\AppData\Local\Temp\OnboardLogs"\RTDC4011\2016-11-25 &amp; aws s3 cp s3://rtdc.mdm.uploadarchive.raw/RTDC4011/ "%USERPROFILE%\AppData\Local\Temp\OnboardLogs"\RTDC4011\2016-11-26 --exclude "*" --recursive --include "*20161126*" &amp; "%USERPROFILE%\Documents\GitHub\mrs-test-scripts\Headless Mode &amp; Sideloading\WalkAndUnGZ.bat" "%USERPROFILE%\AppData\Local\Temp\OnboardLogs"\RTDC4011\2016-11-26</v>
      </c>
      <c r="AF71" s="88" t="str">
        <f t="shared" si="13"/>
        <v>"C:\Program Files (x86)\AstroGrep\AstroGrep.exe" /spath="%USERPROFILE%\AppData\Local\Temp\OnboardLogs" /stypes="app*4011*20161125*" /stext=" 18:.+((SYSTEM_STATE.+slice.+state.+changed )|(ment ac)|(system.+state.+changed )|(\[timeout)|(PRM\|1\|D)|(kpr)|(kdp)|(\|lc)|(penalty))" /e /r /s</v>
      </c>
      <c r="AG71" s="1" t="str">
        <f t="shared" si="14"/>
        <v>EC</v>
      </c>
      <c r="AH71" s="92" t="str">
        <f t="shared" si="17"/>
        <v>"%USERPROFILE%\Documents\GitHub\eaglep3\Utilities\RefineRTDCRunTimes.py" --tripid 159-25 --locoid 4011 --swversion DE.1.0.8.0 --startMP 204:442 --initTime 2016-11-25T10:59:56 --startdatetime 2016-11-25T11:02:56 --delay 1 --endMP 204:233276 --enddatetime 2016-11-25T11:42:01 --enforcementcount 1 &gt;&gt;C:\Users\stu\Documents\GitHub\eaglep3-reporting\EC\2016-11-25-refined-times.txt</v>
      </c>
      <c r="AI71" s="119" t="str">
        <f t="shared" si="18"/>
        <v>echo {"issue":{"subject":"","project_id":79,"tracker_id":40,"status_id":1,"priority_id":2,"assigned_to_id":23,"start_date":"2016-11-25","description":"","custom_fields":[{"id":1,"name":"Subdivision","value":"EC"},{"id":4,"name":"Milepost","value":"23.3276"},{"id":17,"name":"Train ID","value":"159-25"},{"id":16,"name":"Locomotive ID","value":"4011"},{"id":130,"name":"Impact","value":""},{"id":150,"name":"Time of Event (Mountain Time)","value":"11:42:01"},{"id":151,"name":"Denver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3"/>
      <c r="AK71" s="53"/>
      <c r="AL71" s="53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7" t="s">
        <v>432</v>
      </c>
      <c r="B72" s="7">
        <v>4012</v>
      </c>
      <c r="C72" s="22" t="s">
        <v>217</v>
      </c>
      <c r="D72" s="22" t="s">
        <v>296</v>
      </c>
      <c r="E72" s="13">
        <v>42699.495625000003</v>
      </c>
      <c r="F72" s="13">
        <v>42699.500636574077</v>
      </c>
      <c r="G72" s="7">
        <v>2</v>
      </c>
      <c r="H72" s="22" t="s">
        <v>270</v>
      </c>
      <c r="I72" s="13">
        <v>42699.529074074075</v>
      </c>
      <c r="J72" s="7">
        <v>2</v>
      </c>
      <c r="K72" s="109" t="str">
        <f t="shared" si="0"/>
        <v>4011/4012</v>
      </c>
      <c r="L72" s="22" t="str">
        <f>VLOOKUP(A72,'Trips&amp;Operators'!$C$1:$E$10000,3,FALSE)</f>
        <v>DAVIS</v>
      </c>
      <c r="M72" s="6">
        <f t="shared" si="1"/>
        <v>2.8437499997380655E-2</v>
      </c>
      <c r="N72" s="7">
        <f t="shared" si="2"/>
        <v>40.949999996228144</v>
      </c>
      <c r="O72" s="7"/>
      <c r="P72" s="7"/>
      <c r="Q72" s="23"/>
      <c r="R72" s="23"/>
      <c r="S72" s="35">
        <f t="shared" si="3"/>
        <v>1</v>
      </c>
      <c r="T72" s="50" t="str">
        <f t="shared" si="4"/>
        <v>Southbound</v>
      </c>
      <c r="U72" s="171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https://search-rtdc-monitor-bjffxe2xuh6vdkpspy63sjmuny.us-east-1.es.amazonaws.com/_plugin/kibana/#/discover/Steve-Slow-Train-Analysis-(2080s-and-2083s)?_g=(refreshInterval:(display:Off,section:0,value:0),time:(from:'2016-11-25 10:53:42-700',mode:absolute,to:'2016-11-25 13:41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72" s="52" t="str">
        <f t="shared" si="6"/>
        <v>N</v>
      </c>
      <c r="X72" s="177">
        <f t="shared" si="7"/>
        <v>1</v>
      </c>
      <c r="Y72" s="67">
        <f t="shared" si="8"/>
        <v>23.297799999999999</v>
      </c>
      <c r="Z72" s="67">
        <f t="shared" si="9"/>
        <v>1.61E-2</v>
      </c>
      <c r="AA72" s="67">
        <f t="shared" si="10"/>
        <v>23.281699999999997</v>
      </c>
      <c r="AB72" s="64" t="str">
        <f>VLOOKUP(A72,Enforcements!$C$7:$K$20,8,0)</f>
        <v>Speed (6)</v>
      </c>
      <c r="AC72" s="60" t="str">
        <f>VLOOKUP(A72,Enforcements!$C$7:$E$20,3,0)</f>
        <v>PERMANENT SPEED RESTRICTION</v>
      </c>
      <c r="AD72" s="61" t="str">
        <f t="shared" si="11"/>
        <v>0160-25</v>
      </c>
      <c r="AE72" s="91" t="str">
        <f t="shared" si="12"/>
        <v>aws s3 cp s3://rtdc.mdm.uploadarchive.raw/RTDC4012/ "%USERPROFILE%\AppData\Local\Temp\OnboardLogs"\RTDC4012\2016-11-25 --exclude "*" --recursive --include "*20161125*" &amp; "%USERPROFILE%\Documents\GitHub\mrs-test-scripts\Headless Mode &amp; Sideloading\WalkAndUnGZ.bat" "%USERPROFILE%\AppData\Local\Temp\OnboardLogs"\RTDC4012\2016-11-25 &amp; aws s3 cp s3://rtdc.mdm.uploadarchive.raw/RTDC4012/ "%USERPROFILE%\AppData\Local\Temp\OnboardLogs"\RTDC4012\2016-11-26 --exclude "*" --recursive --include "*20161126*" &amp; "%USERPROFILE%\Documents\GitHub\mrs-test-scripts\Headless Mode &amp; Sideloading\WalkAndUnGZ.bat" "%USERPROFILE%\AppData\Local\Temp\OnboardLogs"\RTDC4012\2016-11-26</v>
      </c>
      <c r="AF72" s="88" t="str">
        <f t="shared" si="13"/>
        <v>"C:\Program Files (x86)\AstroGrep\AstroGrep.exe" /spath="%USERPROFILE%\AppData\Local\Temp\OnboardLogs" /stypes="app*4012*20161125*" /stext=" 19:.+((SYSTEM_STATE.+slice.+state.+changed )|(ment ac)|(system.+state.+changed )|(\[timeout)|(PRM\|1\|D)|(kpr)|(kdp)|(\|lc)|(penalty))" /e /r /s</v>
      </c>
      <c r="AG72" s="1" t="str">
        <f t="shared" si="14"/>
        <v>EC</v>
      </c>
      <c r="AH72" s="92" t="str">
        <f t="shared" si="17"/>
        <v>"%USERPROFILE%\Documents\GitHub\eaglep3\Utilities\RefineRTDCRunTimes.py" --tripid 160-25 --locoid 4012 --swversion DE.1.0.8.0 --startMP 204:232978 --initTime 2016-11-25T11:53:42 --startdatetime 2016-11-25T12:00:55 --delay 2 --endMP 204:161 --enddatetime 2016-11-25T12:41:52 --enforcementcount 2 &gt;&gt;C:\Users\stu\Documents\GitHub\eaglep3-reporting\EC\2016-11-25-refined-times.txt</v>
      </c>
      <c r="AI72" s="119" t="str">
        <f t="shared" si="18"/>
        <v>echo {"issue":{"subject":"","project_id":79,"tracker_id":40,"status_id":1,"priority_id":2,"assigned_to_id":23,"start_date":"2016-11-25","description":"","custom_fields":[{"id":1,"name":"Subdivision","value":"EC"},{"id":4,"name":"Milepost","value":"0.0161"},{"id":17,"name":"Train ID","value":"160-25"},{"id":16,"name":"Locomotive ID","value":"4012"},{"id":130,"name":"Impact","value":""},{"id":150,"name":"Time of Event (Mountain Time)","value":"12:41:52"},{"id":151,"name":"Denver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3"/>
      <c r="AK72" s="53"/>
      <c r="AL72" s="53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7" t="s">
        <v>526</v>
      </c>
      <c r="B73" s="7">
        <v>4014</v>
      </c>
      <c r="C73" s="22" t="s">
        <v>217</v>
      </c>
      <c r="D73" s="22" t="s">
        <v>653</v>
      </c>
      <c r="E73" s="13">
        <v>42699.467268518521</v>
      </c>
      <c r="F73" s="13">
        <v>42699.469375000001</v>
      </c>
      <c r="G73" s="7">
        <v>1</v>
      </c>
      <c r="H73" s="22" t="s">
        <v>307</v>
      </c>
      <c r="I73" s="13">
        <v>42699.500173611108</v>
      </c>
      <c r="J73" s="7">
        <v>0</v>
      </c>
      <c r="K73" s="109" t="str">
        <f t="shared" si="0"/>
        <v>4013/4014</v>
      </c>
      <c r="L73" s="22" t="str">
        <f>VLOOKUP(A73,'Trips&amp;Operators'!$C$1:$E$10000,3,FALSE)</f>
        <v>SMITH</v>
      </c>
      <c r="M73" s="6">
        <f t="shared" si="1"/>
        <v>3.0798611107456964E-2</v>
      </c>
      <c r="N73" s="7">
        <f t="shared" si="2"/>
        <v>44.349999994738027</v>
      </c>
      <c r="O73" s="7"/>
      <c r="P73" s="7"/>
      <c r="Q73" s="23"/>
      <c r="R73" s="23"/>
      <c r="S73" s="35">
        <f t="shared" si="3"/>
        <v>1</v>
      </c>
      <c r="T73" s="50" t="str">
        <f t="shared" si="4"/>
        <v>NorthBound</v>
      </c>
      <c r="U73" s="171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https://search-rtdc-monitor-bjffxe2xuh6vdkpspy63sjmuny.us-east-1.es.amazonaws.com/_plugin/kibana/#/discover/Steve-Slow-Train-Analysis-(2080s-and-2083s)?_g=(refreshInterval:(display:Off,section:0,value:0),time:(from:'2016-11-25 10:12:52-700',mode:absolute,to:'2016-11-25 13:00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73" s="52" t="str">
        <f t="shared" si="6"/>
        <v>N</v>
      </c>
      <c r="X73" s="177">
        <f t="shared" si="7"/>
        <v>1</v>
      </c>
      <c r="Y73" s="67">
        <f t="shared" si="8"/>
        <v>4.9099999999999998E-2</v>
      </c>
      <c r="Z73" s="67">
        <f t="shared" si="9"/>
        <v>23.3308</v>
      </c>
      <c r="AA73" s="67">
        <f t="shared" si="10"/>
        <v>23.281700000000001</v>
      </c>
      <c r="AB73" s="64" t="e">
        <f>VLOOKUP(A73,Enforcements!$C$7:$K$20,8,0)</f>
        <v>#N/A</v>
      </c>
      <c r="AC73" s="60" t="e">
        <f>VLOOKUP(A73,Enforcements!$C$7:$E$20,3,0)</f>
        <v>#N/A</v>
      </c>
      <c r="AD73" s="61" t="str">
        <f t="shared" si="11"/>
        <v>0161-25</v>
      </c>
      <c r="AE73" s="91" t="str">
        <f t="shared" si="12"/>
        <v>aws s3 cp s3://rtdc.mdm.uploadarchive.raw/RTDC4014/ "%USERPROFILE%\AppData\Local\Temp\OnboardLogs"\RTDC4014\2016-11-25 --exclude "*" --recursive --include "*20161125*" &amp; "%USERPROFILE%\Documents\GitHub\mrs-test-scripts\Headless Mode &amp; Sideloading\WalkAndUnGZ.bat" "%USERPROFILE%\AppData\Local\Temp\OnboardLogs"\RTDC4014\2016-11-25 &amp; aws s3 cp s3://rtdc.mdm.uploadarchive.raw/RTDC4014/ "%USERPROFILE%\AppData\Local\Temp\OnboardLogs"\RTDC4014\2016-11-26 --exclude "*" --recursive --include "*20161126*" &amp; "%USERPROFILE%\Documents\GitHub\mrs-test-scripts\Headless Mode &amp; Sideloading\WalkAndUnGZ.bat" "%USERPROFILE%\AppData\Local\Temp\OnboardLogs"\RTDC4014\2016-11-26</v>
      </c>
      <c r="AF73" s="88" t="str">
        <f t="shared" si="13"/>
        <v>"C:\Program Files (x86)\AstroGrep\AstroGrep.exe" /spath="%USERPROFILE%\AppData\Local\Temp\OnboardLogs" /stypes="app*4014*20161125*" /stext=" 19:.+((SYSTEM_STATE.+slice.+state.+changed )|(ment ac)|(system.+state.+changed )|(\[timeout)|(PRM\|1\|D)|(kpr)|(kdp)|(\|lc)|(penalty))" /e /r /s</v>
      </c>
      <c r="AG73" s="1" t="str">
        <f t="shared" si="14"/>
        <v>EC</v>
      </c>
      <c r="AH73" s="92" t="str">
        <f t="shared" si="17"/>
        <v>"%USERPROFILE%\Documents\GitHub\eaglep3\Utilities\RefineRTDCRunTimes.py" --tripid 161-25 --locoid 4014 --swversion DE.1.0.8.0 --startMP 204:491 --initTime 2016-11-25T11:12:52 --startdatetime 2016-11-25T11:15:54 --delay 1 --endMP 204:233308 --enddatetime 2016-11-25T12:00:15 --enforcementcount 0 &gt;&gt;C:\Users\stu\Documents\GitHub\eaglep3-reporting\EC\2016-11-25-refined-times.txt</v>
      </c>
      <c r="AI73" s="119" t="str">
        <f t="shared" si="18"/>
        <v>echo {"issue":{"subject":"","project_id":79,"tracker_id":40,"status_id":1,"priority_id":2,"assigned_to_id":23,"start_date":"2016-11-25","description":"","custom_fields":[{"id":1,"name":"Subdivision","value":"EC"},{"id":4,"name":"Milepost","value":"23.3308"},{"id":17,"name":"Train ID","value":"161-25"},{"id":16,"name":"Locomotive ID","value":"4014"},{"id":130,"name":"Impact","value":""},{"id":150,"name":"Time of Event (Mountain Time)","value":"12:00:15"},{"id":151,"name":"Denver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3"/>
      <c r="AK73" s="53"/>
      <c r="AL73" s="5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7" t="s">
        <v>537</v>
      </c>
      <c r="B74" s="7">
        <v>4013</v>
      </c>
      <c r="C74" s="22" t="s">
        <v>217</v>
      </c>
      <c r="D74" s="22" t="s">
        <v>245</v>
      </c>
      <c r="E74" s="13">
        <v>42699.503912037035</v>
      </c>
      <c r="F74" s="13">
        <v>42699.507974537039</v>
      </c>
      <c r="G74" s="7">
        <v>2</v>
      </c>
      <c r="H74" s="22" t="s">
        <v>175</v>
      </c>
      <c r="I74" s="13">
        <v>42699.535185185188</v>
      </c>
      <c r="J74" s="7">
        <v>0</v>
      </c>
      <c r="K74" s="109" t="str">
        <f t="shared" si="0"/>
        <v>4013/4014</v>
      </c>
      <c r="L74" s="22" t="str">
        <f>VLOOKUP(A74,'Trips&amp;Operators'!$C$1:$E$10000,3,FALSE)</f>
        <v>SMITH</v>
      </c>
      <c r="M74" s="6">
        <f t="shared" si="1"/>
        <v>2.7210648149775807E-2</v>
      </c>
      <c r="N74" s="7">
        <f t="shared" si="2"/>
        <v>39.183333335677162</v>
      </c>
      <c r="O74" s="7"/>
      <c r="P74" s="7"/>
      <c r="Q74" s="23"/>
      <c r="R74" s="23"/>
      <c r="S74" s="35">
        <f t="shared" si="3"/>
        <v>1</v>
      </c>
      <c r="T74" s="50" t="str">
        <f t="shared" si="4"/>
        <v>Southbound</v>
      </c>
      <c r="U74" s="171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https://search-rtdc-monitor-bjffxe2xuh6vdkpspy63sjmuny.us-east-1.es.amazonaws.com/_plugin/kibana/#/discover/Steve-Slow-Train-Analysis-(2080s-and-2083s)?_g=(refreshInterval:(display:Off,section:0,value:0),time:(from:'2016-11-25 11:05:38-700',mode:absolute,to:'2016-11-25 13:50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74" s="52" t="str">
        <f t="shared" si="6"/>
        <v>N</v>
      </c>
      <c r="X74" s="177">
        <f t="shared" si="7"/>
        <v>1</v>
      </c>
      <c r="Y74" s="67">
        <f t="shared" si="8"/>
        <v>23.2987</v>
      </c>
      <c r="Z74" s="67">
        <f t="shared" si="9"/>
        <v>1.52E-2</v>
      </c>
      <c r="AA74" s="67">
        <f t="shared" si="10"/>
        <v>23.2835</v>
      </c>
      <c r="AB74" s="64" t="e">
        <f>VLOOKUP(A74,Enforcements!$C$7:$K$20,8,0)</f>
        <v>#N/A</v>
      </c>
      <c r="AC74" s="60" t="e">
        <f>VLOOKUP(A74,Enforcements!$C$7:$E$20,3,0)</f>
        <v>#N/A</v>
      </c>
      <c r="AD74" s="61" t="str">
        <f t="shared" si="11"/>
        <v>0162-25</v>
      </c>
      <c r="AE74" s="91" t="str">
        <f t="shared" si="12"/>
        <v>aws s3 cp s3://rtdc.mdm.uploadarchive.raw/RTDC4013/ "%USERPROFILE%\AppData\Local\Temp\OnboardLogs"\RTDC4013\2016-11-25 --exclude "*" --recursive --include "*20161125*" &amp; "%USERPROFILE%\Documents\GitHub\mrs-test-scripts\Headless Mode &amp; Sideloading\WalkAndUnGZ.bat" "%USERPROFILE%\AppData\Local\Temp\OnboardLogs"\RTDC4013\2016-11-25 &amp; aws s3 cp s3://rtdc.mdm.uploadarchive.raw/RTDC4013/ "%USERPROFILE%\AppData\Local\Temp\OnboardLogs"\RTDC4013\2016-11-26 --exclude "*" --recursive --include "*20161126*" &amp; "%USERPROFILE%\Documents\GitHub\mrs-test-scripts\Headless Mode &amp; Sideloading\WalkAndUnGZ.bat" "%USERPROFILE%\AppData\Local\Temp\OnboardLogs"\RTDC4013\2016-11-26</v>
      </c>
      <c r="AF74" s="88" t="str">
        <f t="shared" si="13"/>
        <v>"C:\Program Files (x86)\AstroGrep\AstroGrep.exe" /spath="%USERPROFILE%\AppData\Local\Temp\OnboardLogs" /stypes="app*4013*20161125*" /stext=" 19:.+((SYSTEM_STATE.+slice.+state.+changed )|(ment ac)|(system.+state.+changed )|(\[timeout)|(PRM\|1\|D)|(kpr)|(kdp)|(\|lc)|(penalty))" /e /r /s</v>
      </c>
      <c r="AG74" s="1" t="str">
        <f t="shared" si="14"/>
        <v>EC</v>
      </c>
      <c r="AH74" s="92" t="str">
        <f t="shared" si="17"/>
        <v>"%USERPROFILE%\Documents\GitHub\eaglep3\Utilities\RefineRTDCRunTimes.py" --tripid 162-25 --locoid 4013 --swversion DE.1.0.8.0 --startMP 204:232987 --initTime 2016-11-25T12:05:38 --startdatetime 2016-11-25T12:11:29 --delay 2 --endMP 204:152 --enddatetime 2016-11-25T12:50:40 --enforcementcount 0 &gt;&gt;C:\Users\stu\Documents\GitHub\eaglep3-reporting\EC\2016-11-25-refined-times.txt</v>
      </c>
      <c r="AI74" s="119" t="str">
        <f t="shared" si="18"/>
        <v>echo {"issue":{"subject":"","project_id":79,"tracker_id":40,"status_id":1,"priority_id":2,"assigned_to_id":23,"start_date":"2016-11-25","description":"","custom_fields":[{"id":1,"name":"Subdivision","value":"EC"},{"id":4,"name":"Milepost","value":"0.0152"},{"id":17,"name":"Train ID","value":"162-25"},{"id":16,"name":"Locomotive ID","value":"4013"},{"id":130,"name":"Impact","value":""},{"id":150,"name":"Time of Event (Mountain Time)","value":"12:50:40"},{"id":151,"name":"Denver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3"/>
      <c r="AK74" s="53"/>
      <c r="AL74" s="53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7" t="s">
        <v>529</v>
      </c>
      <c r="B75" s="7">
        <v>4042</v>
      </c>
      <c r="C75" s="22" t="s">
        <v>217</v>
      </c>
      <c r="D75" s="22" t="s">
        <v>330</v>
      </c>
      <c r="E75" s="13">
        <v>42699.474490740744</v>
      </c>
      <c r="F75" s="13">
        <v>42699.479571759257</v>
      </c>
      <c r="G75" s="7">
        <v>2</v>
      </c>
      <c r="H75" s="22" t="s">
        <v>200</v>
      </c>
      <c r="I75" s="13">
        <v>42699.509155092594</v>
      </c>
      <c r="J75" s="7">
        <v>0</v>
      </c>
      <c r="K75" s="109" t="str">
        <f t="shared" si="0"/>
        <v>4041/4042</v>
      </c>
      <c r="L75" s="22" t="str">
        <f>VLOOKUP(A75,'Trips&amp;Operators'!$C$1:$E$10000,3,FALSE)</f>
        <v>BRANDNER</v>
      </c>
      <c r="M75" s="6">
        <f t="shared" si="1"/>
        <v>2.9583333336631767E-2</v>
      </c>
      <c r="N75" s="7">
        <f t="shared" si="2"/>
        <v>42.600000004749745</v>
      </c>
      <c r="O75" s="7"/>
      <c r="P75" s="7"/>
      <c r="Q75" s="23"/>
      <c r="R75" s="23"/>
      <c r="S75" s="35">
        <f t="shared" si="3"/>
        <v>1</v>
      </c>
      <c r="T75" s="50" t="str">
        <f t="shared" si="4"/>
        <v>NorthBound</v>
      </c>
      <c r="U75" s="171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https://search-rtdc-monitor-bjffxe2xuh6vdkpspy63sjmuny.us-east-1.es.amazonaws.com/_plugin/kibana/#/discover/Steve-Slow-Train-Analysis-(2080s-and-2083s)?_g=(refreshInterval:(display:Off,section:0,value:0),time:(from:'2016-11-25 10:23:16-700',mode:absolute,to:'2016-11-25 13:13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75" s="52" t="str">
        <f t="shared" si="6"/>
        <v>N</v>
      </c>
      <c r="X75" s="177">
        <f t="shared" si="7"/>
        <v>1</v>
      </c>
      <c r="Y75" s="67">
        <f t="shared" si="8"/>
        <v>4.8000000000000001E-2</v>
      </c>
      <c r="Z75" s="67">
        <f t="shared" si="9"/>
        <v>23.329499999999999</v>
      </c>
      <c r="AA75" s="67">
        <f t="shared" si="10"/>
        <v>23.281500000000001</v>
      </c>
      <c r="AB75" s="64" t="e">
        <f>VLOOKUP(A75,Enforcements!$C$7:$K$20,8,0)</f>
        <v>#N/A</v>
      </c>
      <c r="AC75" s="60" t="e">
        <f>VLOOKUP(A75,Enforcements!$C$7:$E$20,3,0)</f>
        <v>#N/A</v>
      </c>
      <c r="AD75" s="61" t="str">
        <f t="shared" si="11"/>
        <v>0163-25</v>
      </c>
      <c r="AE75" s="91" t="str">
        <f t="shared" si="12"/>
        <v>aws s3 cp s3://rtdc.mdm.uploadarchive.raw/RTDC4042/ "%USERPROFILE%\AppData\Local\Temp\OnboardLogs"\RTDC4042\2016-11-25 --exclude "*" --recursive --include "*20161125*" &amp; "%USERPROFILE%\Documents\GitHub\mrs-test-scripts\Headless Mode &amp; Sideloading\WalkAndUnGZ.bat" "%USERPROFILE%\AppData\Local\Temp\OnboardLogs"\RTDC4042\2016-11-25 &amp; aws s3 cp s3://rtdc.mdm.uploadarchive.raw/RTDC4042/ "%USERPROFILE%\AppData\Local\Temp\OnboardLogs"\RTDC4042\2016-11-26 --exclude "*" --recursive --include "*20161126*" &amp; "%USERPROFILE%\Documents\GitHub\mrs-test-scripts\Headless Mode &amp; Sideloading\WalkAndUnGZ.bat" "%USERPROFILE%\AppData\Local\Temp\OnboardLogs"\RTDC4042\2016-11-26</v>
      </c>
      <c r="AF75" s="88" t="str">
        <f t="shared" si="13"/>
        <v>"C:\Program Files (x86)\AstroGrep\AstroGrep.exe" /spath="%USERPROFILE%\AppData\Local\Temp\OnboardLogs" /stypes="app*4042*20161125*" /stext=" 19:.+((SYSTEM_STATE.+slice.+state.+changed )|(ment ac)|(system.+state.+changed )|(\[timeout)|(PRM\|1\|D)|(kpr)|(kdp)|(\|lc)|(penalty))" /e /r /s</v>
      </c>
      <c r="AG75" s="1" t="str">
        <f t="shared" si="14"/>
        <v>EC</v>
      </c>
      <c r="AH75" s="92" t="str">
        <f t="shared" si="17"/>
        <v>"%USERPROFILE%\Documents\GitHub\eaglep3\Utilities\RefineRTDCRunTimes.py" --tripid 163-25 --locoid 4042 --swversion DE.1.0.8.0 --startMP 204:480 --initTime 2016-11-25T11:23:16 --startdatetime 2016-11-25T11:30:35 --delay 2 --endMP 204:233295 --enddatetime 2016-11-25T12:13:11 --enforcementcount 0 &gt;&gt;C:\Users\stu\Documents\GitHub\eaglep3-reporting\EC\2016-11-25-refined-times.txt</v>
      </c>
      <c r="AI75" s="119" t="str">
        <f t="shared" si="18"/>
        <v>echo {"issue":{"subject":"","project_id":79,"tracker_id":40,"status_id":1,"priority_id":2,"assigned_to_id":23,"start_date":"2016-11-25","description":"","custom_fields":[{"id":1,"name":"Subdivision","value":"EC"},{"id":4,"name":"Milepost","value":"23.3295"},{"id":17,"name":"Train ID","value":"163-25"},{"id":16,"name":"Locomotive ID","value":"4042"},{"id":130,"name":"Impact","value":""},{"id":150,"name":"Time of Event (Mountain Time)","value":"12:13:11"},{"id":151,"name":"Denver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3"/>
      <c r="AK75" s="53"/>
      <c r="AL75" s="53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7" t="s">
        <v>539</v>
      </c>
      <c r="B76" s="7">
        <v>4041</v>
      </c>
      <c r="C76" s="22" t="s">
        <v>217</v>
      </c>
      <c r="D76" s="22" t="s">
        <v>320</v>
      </c>
      <c r="E76" s="13">
        <v>42699.515752314815</v>
      </c>
      <c r="F76" s="13">
        <v>42699.518414351849</v>
      </c>
      <c r="G76" s="7">
        <v>1</v>
      </c>
      <c r="H76" s="22" t="s">
        <v>244</v>
      </c>
      <c r="I76" s="13">
        <v>42699.547384259262</v>
      </c>
      <c r="J76" s="7">
        <v>0</v>
      </c>
      <c r="K76" s="109" t="str">
        <f t="shared" si="0"/>
        <v>4041/4042</v>
      </c>
      <c r="L76" s="22" t="str">
        <f>VLOOKUP(A76,'Trips&amp;Operators'!$C$1:$E$10000,3,FALSE)</f>
        <v>BRANDNER</v>
      </c>
      <c r="M76" s="6">
        <f t="shared" si="1"/>
        <v>2.8969907412829343E-2</v>
      </c>
      <c r="N76" s="7">
        <f t="shared" si="2"/>
        <v>41.716666674474254</v>
      </c>
      <c r="O76" s="7"/>
      <c r="P76" s="7"/>
      <c r="Q76" s="23"/>
      <c r="R76" s="23"/>
      <c r="S76" s="35">
        <f t="shared" si="3"/>
        <v>1</v>
      </c>
      <c r="T76" s="50" t="str">
        <f t="shared" si="4"/>
        <v>Southbound</v>
      </c>
      <c r="U76" s="171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https://search-rtdc-monitor-bjffxe2xuh6vdkpspy63sjmuny.us-east-1.es.amazonaws.com/_plugin/kibana/#/discover/Steve-Slow-Train-Analysis-(2080s-and-2083s)?_g=(refreshInterval:(display:Off,section:0,value:0),time:(from:'2016-11-25 11:22:41-700',mode:absolute,to:'2016-11-25 14:08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76" s="52" t="str">
        <f t="shared" si="6"/>
        <v>N</v>
      </c>
      <c r="X76" s="177">
        <f t="shared" si="7"/>
        <v>1</v>
      </c>
      <c r="Y76" s="67">
        <f t="shared" si="8"/>
        <v>23.2971</v>
      </c>
      <c r="Z76" s="67">
        <f t="shared" si="9"/>
        <v>1.41E-2</v>
      </c>
      <c r="AA76" s="67">
        <f t="shared" si="10"/>
        <v>23.283000000000001</v>
      </c>
      <c r="AB76" s="64" t="e">
        <f>VLOOKUP(A76,Enforcements!$C$7:$K$20,8,0)</f>
        <v>#N/A</v>
      </c>
      <c r="AC76" s="60" t="e">
        <f>VLOOKUP(A76,Enforcements!$C$7:$E$20,3,0)</f>
        <v>#N/A</v>
      </c>
      <c r="AD76" s="61" t="str">
        <f t="shared" si="11"/>
        <v>0164-25</v>
      </c>
      <c r="AE76" s="91" t="str">
        <f t="shared" si="12"/>
        <v>aws s3 cp s3://rtdc.mdm.uploadarchive.raw/RTDC4041/ "%USERPROFILE%\AppData\Local\Temp\OnboardLogs"\RTDC4041\2016-11-25 --exclude "*" --recursive --include "*20161125*" &amp; "%USERPROFILE%\Documents\GitHub\mrs-test-scripts\Headless Mode &amp; Sideloading\WalkAndUnGZ.bat" "%USERPROFILE%\AppData\Local\Temp\OnboardLogs"\RTDC4041\2016-11-25 &amp; aws s3 cp s3://rtdc.mdm.uploadarchive.raw/RTDC4041/ "%USERPROFILE%\AppData\Local\Temp\OnboardLogs"\RTDC4041\2016-11-26 --exclude "*" --recursive --include "*20161126*" &amp; "%USERPROFILE%\Documents\GitHub\mrs-test-scripts\Headless Mode &amp; Sideloading\WalkAndUnGZ.bat" "%USERPROFILE%\AppData\Local\Temp\OnboardLogs"\RTDC4041\2016-11-26</v>
      </c>
      <c r="AF76" s="88" t="str">
        <f t="shared" si="13"/>
        <v>"C:\Program Files (x86)\AstroGrep\AstroGrep.exe" /spath="%USERPROFILE%\AppData\Local\Temp\OnboardLogs" /stypes="app*4041*20161125*" /stext=" 20:.+((SYSTEM_STATE.+slice.+state.+changed )|(ment ac)|(system.+state.+changed )|(\[timeout)|(PRM\|1\|D)|(kpr)|(kdp)|(\|lc)|(penalty))" /e /r /s</v>
      </c>
      <c r="AG76" s="1" t="str">
        <f t="shared" si="14"/>
        <v>EC</v>
      </c>
      <c r="AH76" s="92" t="str">
        <f t="shared" si="17"/>
        <v>"%USERPROFILE%\Documents\GitHub\eaglep3\Utilities\RefineRTDCRunTimes.py" --tripid 164-25 --locoid 4041 --swversion DE.1.0.8.0 --startMP 204:232971 --initTime 2016-11-25T12:22:41 --startdatetime 2016-11-25T12:26:31 --delay 1 --endMP 204:141 --enddatetime 2016-11-25T13:08:14 --enforcementcount 0 &gt;&gt;C:\Users\stu\Documents\GitHub\eaglep3-reporting\EC\2016-11-25-refined-times.txt</v>
      </c>
      <c r="AI76" s="119" t="str">
        <f t="shared" si="18"/>
        <v>echo {"issue":{"subject":"","project_id":79,"tracker_id":40,"status_id":1,"priority_id":2,"assigned_to_id":23,"start_date":"2016-11-25","description":"","custom_fields":[{"id":1,"name":"Subdivision","value":"EC"},{"id":4,"name":"Milepost","value":"0.0141"},{"id":17,"name":"Train ID","value":"164-25"},{"id":16,"name":"Locomotive ID","value":"4041"},{"id":130,"name":"Impact","value":""},{"id":150,"name":"Time of Event (Mountain Time)","value":"13:08:14"},{"id":151,"name":"Denver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3"/>
      <c r="AK76" s="53"/>
      <c r="AL76" s="53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7" t="s">
        <v>533</v>
      </c>
      <c r="B77" s="7">
        <v>4009</v>
      </c>
      <c r="C77" s="22" t="s">
        <v>217</v>
      </c>
      <c r="D77" s="22" t="s">
        <v>293</v>
      </c>
      <c r="E77" s="13">
        <v>42699.486770833333</v>
      </c>
      <c r="F77" s="13">
        <v>42699.489814814813</v>
      </c>
      <c r="G77" s="7">
        <v>1</v>
      </c>
      <c r="H77" s="22" t="s">
        <v>260</v>
      </c>
      <c r="I77" s="13">
        <v>42699.515381944446</v>
      </c>
      <c r="J77" s="7">
        <v>0</v>
      </c>
      <c r="K77" s="109" t="str">
        <f t="shared" ref="K77:K140" si="35">IF(ISEVEN(B77),(B77-1)&amp;"/"&amp;B77,B77&amp;"/"&amp;(B77+1))</f>
        <v>4009/4010</v>
      </c>
      <c r="L77" s="22" t="str">
        <f>VLOOKUP(A77,'Trips&amp;Operators'!$C$1:$E$10000,3,FALSE)</f>
        <v>MOSES</v>
      </c>
      <c r="M77" s="6">
        <f t="shared" ref="M77:M140" si="36">I77-F77</f>
        <v>2.5567129632690921E-2</v>
      </c>
      <c r="N77" s="7">
        <f t="shared" ref="N77:N140" si="37">24*60*SUM($M77:$M77)</f>
        <v>36.816666671074927</v>
      </c>
      <c r="O77" s="7"/>
      <c r="P77" s="7"/>
      <c r="Q77" s="23"/>
      <c r="R77" s="23"/>
      <c r="S77" s="35">
        <f t="shared" ref="S77:S140" si="38">SUM(U77:U77)/IF(AG77="EC",12,1)</f>
        <v>1</v>
      </c>
      <c r="T77" s="50" t="str">
        <f t="shared" ref="T77:T140" si="39">IF(ISEVEN(LEFT(AD77,4)),"Southbound","NorthBound")</f>
        <v>NorthBound</v>
      </c>
      <c r="U77" s="171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98" t="str">
        <f t="shared" ref="V77:V140" si="40">"https://search-rtdc-monitor-bjffxe2xuh6vdkpspy63sjmuny.us-east-1.es.amazonaws.com/_plugin/kibana/#/discover/Steve-Slow-Train-Analysis-(2080s-and-2083s)?_g=(refreshInterval:(display:Off,section:0,value:0),time:(from:'"&amp;TEXT(E77-1/24,"yyyy-MM-DD hh:mm:ss")&amp;utc_offset&amp;"00',mode:absolute,to:'"&amp;TEXT(I77+1/24,"yyyy-MM-DD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https://search-rtdc-monitor-bjffxe2xuh6vdkpspy63sjmuny.us-east-1.es.amazonaws.com/_plugin/kibana/#/discover/Steve-Slow-Train-Analysis-(2080s-and-2083s)?_g=(refreshInterval:(display:Off,section:0,value:0),time:(from:'2016-11-25 10:40:57-700',mode:absolute,to:'2016-11-25 13:22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77" s="52" t="str">
        <f t="shared" ref="W77:W140" si="41">IF(AA77&lt;IF(AG77="EC",23,5.65),"Y","N")</f>
        <v>N</v>
      </c>
      <c r="X77" s="177">
        <f t="shared" ref="X77:X140" si="42">VALUE(LEFT(AD77,4))-VALUE(LEFT(AD76,4))</f>
        <v>1</v>
      </c>
      <c r="Y77" s="67">
        <f t="shared" ref="Y77:Y140" si="43">RIGHT(D77,LEN(D77)-4)/10000</f>
        <v>4.4400000000000002E-2</v>
      </c>
      <c r="Z77" s="67">
        <f t="shared" ref="Z77:Z140" si="44">RIGHT(H77,LEN(H77)-4)/10000</f>
        <v>23.331399999999999</v>
      </c>
      <c r="AA77" s="67">
        <f t="shared" ref="AA77:AA140" si="45">ABS(Z77-Y77)</f>
        <v>23.286999999999999</v>
      </c>
      <c r="AB77" s="64" t="e">
        <f>VLOOKUP(A77,Enforcements!$C$7:$K$20,8,0)</f>
        <v>#N/A</v>
      </c>
      <c r="AC77" s="60" t="e">
        <f>VLOOKUP(A77,Enforcements!$C$7:$E$20,3,0)</f>
        <v>#N/A</v>
      </c>
      <c r="AD77" s="61" t="str">
        <f t="shared" ref="AD77:AD140" si="46">IF(LEN(A77)=6,"0"&amp;A77,A77)</f>
        <v>0165-25</v>
      </c>
      <c r="AE77" s="91" t="str">
        <f t="shared" ref="AE77:AE140" si="47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s3://rtdc.mdm.uploadarchive.raw/RTDC4009/ "%USERPROFILE%\AppData\Local\Temp\OnboardLogs"\RTDC4009\2016-11-25 --exclude "*" --recursive --include "*20161125*" &amp; "%USERPROFILE%\Documents\GitHub\mrs-test-scripts\Headless Mode &amp; Sideloading\WalkAndUnGZ.bat" "%USERPROFILE%\AppData\Local\Temp\OnboardLogs"\RTDC4009\2016-11-25 &amp; aws s3 cp s3://rtdc.mdm.uploadarchive.raw/RTDC4009/ "%USERPROFILE%\AppData\Local\Temp\OnboardLogs"\RTDC4009\2016-11-26 --exclude "*" --recursive --include "*20161126*" &amp; "%USERPROFILE%\Documents\GitHub\mrs-test-scripts\Headless Mode &amp; Sideloading\WalkAndUnGZ.bat" "%USERPROFILE%\AppData\Local\Temp\OnboardLogs"\RTDC4009\2016-11-26</v>
      </c>
      <c r="AF77" s="88" t="str">
        <f t="shared" ref="AF77:AF140" si="48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/stypes="app*4009*20161125*" /stext=" 19:.+((SYSTEM_STATE.+slice.+state.+changed )|(ment ac)|(system.+state.+changed )|(\[timeout)|(PRM\|1\|D)|(kpr)|(kdp)|(\|lc)|(penalty))" /e /r /s</v>
      </c>
      <c r="AG77" s="1" t="str">
        <f t="shared" ref="AG77:AG140" si="49">IFERROR(IF(VALUE(LEFT(AD77,2))&lt;=2,"EC",IF(OR(VALUE(LEFT(AD77,2))=8,VALUE(LEFT(AD77,2))=18),"NW","Other")),"Other")</f>
        <v>EC</v>
      </c>
      <c r="AH77" s="92" t="str">
        <f t="shared" si="17"/>
        <v>"%USERPROFILE%\Documents\GitHub\eaglep3\Utilities\RefineRTDCRunTimes.py" --tripid 165-25 --locoid 4009 --swversion DE.1.0.8.0 --startMP 204:444 --initTime 2016-11-25T11:40:57 --startdatetime 2016-11-25T11:45:20 --delay 1 --endMP 204:233314 --enddatetime 2016-11-25T12:22:09 --enforcementcount 0 &gt;&gt;C:\Users\stu\Documents\GitHub\eaglep3-reporting\EC\2016-11-25-refined-times.txt</v>
      </c>
      <c r="AI77" s="119" t="str">
        <f t="shared" si="18"/>
        <v>echo {"issue":{"subject":"","project_id":79,"tracker_id":40,"status_id":1,"priority_id":2,"assigned_to_id":23,"start_date":"2016-11-25","description":"","custom_fields":[{"id":1,"name":"Subdivision","value":"EC"},{"id":4,"name":"Milepost","value":"23.3314"},{"id":17,"name":"Train ID","value":"165-25"},{"id":16,"name":"Locomotive ID","value":"4009"},{"id":130,"name":"Impact","value":""},{"id":150,"name":"Time of Event (Mountain Time)","value":"12:22:09"},{"id":151,"name":"Denver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3"/>
      <c r="AK77" s="53"/>
      <c r="AL77" s="53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7" t="s">
        <v>541</v>
      </c>
      <c r="B78" s="7">
        <v>4010</v>
      </c>
      <c r="C78" s="22" t="s">
        <v>217</v>
      </c>
      <c r="D78" s="22" t="s">
        <v>254</v>
      </c>
      <c r="E78" s="13">
        <v>42699.524756944447</v>
      </c>
      <c r="F78" s="13">
        <v>42699.528703703705</v>
      </c>
      <c r="G78" s="7">
        <v>1</v>
      </c>
      <c r="H78" s="22" t="s">
        <v>175</v>
      </c>
      <c r="I78" s="13">
        <v>42699.55605324074</v>
      </c>
      <c r="J78" s="7">
        <v>0</v>
      </c>
      <c r="K78" s="109" t="str">
        <f t="shared" si="35"/>
        <v>4009/4010</v>
      </c>
      <c r="L78" s="22" t="str">
        <f>VLOOKUP(A78,'Trips&amp;Operators'!$C$1:$E$10000,3,FALSE)</f>
        <v>MOSES</v>
      </c>
      <c r="M78" s="6">
        <f t="shared" si="36"/>
        <v>2.7349537034751847E-2</v>
      </c>
      <c r="N78" s="7">
        <f t="shared" si="37"/>
        <v>39.38333333004266</v>
      </c>
      <c r="O78" s="7"/>
      <c r="P78" s="7"/>
      <c r="Q78" s="23"/>
      <c r="R78" s="23"/>
      <c r="S78" s="35">
        <f t="shared" si="38"/>
        <v>1</v>
      </c>
      <c r="T78" s="50" t="str">
        <f t="shared" si="39"/>
        <v>Southbound</v>
      </c>
      <c r="U78" s="171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https://search-rtdc-monitor-bjffxe2xuh6vdkpspy63sjmuny.us-east-1.es.amazonaws.com/_plugin/kibana/#/discover/Steve-Slow-Train-Analysis-(2080s-and-2083s)?_g=(refreshInterval:(display:Off,section:0,value:0),time:(from:'2016-11-25 11:35:39-700',mode:absolute,to:'2016-11-25 14:20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78" s="52" t="str">
        <f t="shared" si="41"/>
        <v>N</v>
      </c>
      <c r="X78" s="177">
        <f t="shared" si="42"/>
        <v>1</v>
      </c>
      <c r="Y78" s="67">
        <f t="shared" si="43"/>
        <v>23.299800000000001</v>
      </c>
      <c r="Z78" s="67">
        <f t="shared" si="44"/>
        <v>1.52E-2</v>
      </c>
      <c r="AA78" s="67">
        <f t="shared" si="45"/>
        <v>23.284600000000001</v>
      </c>
      <c r="AB78" s="64" t="e">
        <f>VLOOKUP(A78,Enforcements!$C$7:$K$20,8,0)</f>
        <v>#N/A</v>
      </c>
      <c r="AC78" s="60" t="e">
        <f>VLOOKUP(A78,Enforcements!$C$7:$E$20,3,0)</f>
        <v>#N/A</v>
      </c>
      <c r="AD78" s="61" t="str">
        <f t="shared" si="46"/>
        <v>0166-25</v>
      </c>
      <c r="AE78" s="91" t="str">
        <f t="shared" si="47"/>
        <v>aws s3 cp s3://rtdc.mdm.uploadarchive.raw/RTDC4010/ "%USERPROFILE%\AppData\Local\Temp\OnboardLogs"\RTDC4010\2016-11-25 --exclude "*" --recursive --include "*20161125*" &amp; "%USERPROFILE%\Documents\GitHub\mrs-test-scripts\Headless Mode &amp; Sideloading\WalkAndUnGZ.bat" "%USERPROFILE%\AppData\Local\Temp\OnboardLogs"\RTDC4010\2016-11-25 &amp; aws s3 cp s3://rtdc.mdm.uploadarchive.raw/RTDC4010/ "%USERPROFILE%\AppData\Local\Temp\OnboardLogs"\RTDC4010\2016-11-26 --exclude "*" --recursive --include "*20161126*" &amp; "%USERPROFILE%\Documents\GitHub\mrs-test-scripts\Headless Mode &amp; Sideloading\WalkAndUnGZ.bat" "%USERPROFILE%\AppData\Local\Temp\OnboardLogs"\RTDC4010\2016-11-26</v>
      </c>
      <c r="AF78" s="88" t="str">
        <f t="shared" si="48"/>
        <v>"C:\Program Files (x86)\AstroGrep\AstroGrep.exe" /spath="%USERPROFILE%\AppData\Local\Temp\OnboardLogs" /stypes="app*4010*20161125*" /stext=" 20:.+((SYSTEM_STATE.+slice.+state.+changed )|(ment ac)|(system.+state.+changed )|(\[timeout)|(PRM\|1\|D)|(kpr)|(kdp)|(\|lc)|(penalty))" /e /r /s</v>
      </c>
      <c r="AG78" s="1" t="str">
        <f t="shared" si="49"/>
        <v>EC</v>
      </c>
      <c r="AH78" s="92" t="str">
        <f t="shared" ref="AH78:AH141" si="50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166-25 --locoid 4010 --swversion DE.1.0.8.0 --startMP 204:232998 --initTime 2016-11-25T12:35:39 --startdatetime 2016-11-25T12:41:20 --delay 1 --endMP 204:152 --enddatetime 2016-11-25T13:20:43 --enforcementcount 0 &gt;&gt;C:\Users\stu\Documents\GitHub\eaglep3-reporting\EC\2016-11-25-refined-times.txt</v>
      </c>
      <c r="AI78" s="119" t="str">
        <f t="shared" ref="AI78:AI141" si="51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{"issue":{"subject":"","project_id":79,"tracker_id":40,"status_id":1,"priority_id":2,"assigned_to_id":23,"start_date":"2016-11-25","description":"","custom_fields":[{"id":1,"name":"Subdivision","value":"EC"},{"id":4,"name":"Milepost","value":"0.0152"},{"id":17,"name":"Train ID","value":"166-25"},{"id":16,"name":"Locomotive ID","value":"4010"},{"id":130,"name":"Impact","value":""},{"id":150,"name":"Time of Event (Mountain Time)","value":"13:20:43"},{"id":151,"name":"Denver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3"/>
      <c r="AK78" s="53"/>
      <c r="AL78" s="53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7" t="s">
        <v>535</v>
      </c>
      <c r="B79" s="7">
        <v>4040</v>
      </c>
      <c r="C79" s="22" t="s">
        <v>217</v>
      </c>
      <c r="D79" s="22" t="s">
        <v>654</v>
      </c>
      <c r="E79" s="13">
        <v>42699.497314814813</v>
      </c>
      <c r="F79" s="13">
        <v>42699.500671296293</v>
      </c>
      <c r="G79" s="7">
        <v>2</v>
      </c>
      <c r="H79" s="22" t="s">
        <v>649</v>
      </c>
      <c r="I79" s="13">
        <v>42699.526064814818</v>
      </c>
      <c r="J79" s="7">
        <v>0</v>
      </c>
      <c r="K79" s="109" t="str">
        <f t="shared" si="35"/>
        <v>4039/4040</v>
      </c>
      <c r="L79" s="22" t="str">
        <f>VLOOKUP(A79,'Trips&amp;Operators'!$C$1:$E$10000,3,FALSE)</f>
        <v>ADANE</v>
      </c>
      <c r="M79" s="6">
        <f t="shared" si="36"/>
        <v>2.5393518524651881E-2</v>
      </c>
      <c r="N79" s="7">
        <f t="shared" si="37"/>
        <v>36.566666675498709</v>
      </c>
      <c r="O79" s="7"/>
      <c r="P79" s="7"/>
      <c r="Q79" s="23"/>
      <c r="R79" s="23"/>
      <c r="S79" s="35">
        <f t="shared" si="38"/>
        <v>1</v>
      </c>
      <c r="T79" s="50" t="str">
        <f t="shared" si="39"/>
        <v>NorthBound</v>
      </c>
      <c r="U79" s="171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https://search-rtdc-monitor-bjffxe2xuh6vdkpspy63sjmuny.us-east-1.es.amazonaws.com/_plugin/kibana/#/discover/Steve-Slow-Train-Analysis-(2080s-and-2083s)?_g=(refreshInterval:(display:Off,section:0,value:0),time:(from:'2016-11-25 10:56:08-700',mode:absolute,to:'2016-11-25 13:37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79" s="52" t="str">
        <f t="shared" si="41"/>
        <v>N</v>
      </c>
      <c r="X79" s="177">
        <f t="shared" si="42"/>
        <v>1</v>
      </c>
      <c r="Y79" s="67">
        <f t="shared" si="43"/>
        <v>4.3499999999999997E-2</v>
      </c>
      <c r="Z79" s="67">
        <f t="shared" si="44"/>
        <v>23.330100000000002</v>
      </c>
      <c r="AA79" s="67">
        <f t="shared" si="45"/>
        <v>23.2866</v>
      </c>
      <c r="AB79" s="64" t="e">
        <f>VLOOKUP(A79,Enforcements!$C$7:$K$20,8,0)</f>
        <v>#N/A</v>
      </c>
      <c r="AC79" s="60" t="e">
        <f>VLOOKUP(A79,Enforcements!$C$7:$E$20,3,0)</f>
        <v>#N/A</v>
      </c>
      <c r="AD79" s="61" t="str">
        <f t="shared" si="46"/>
        <v>0167-25</v>
      </c>
      <c r="AE79" s="91" t="str">
        <f t="shared" si="47"/>
        <v>aws s3 cp s3://rtdc.mdm.uploadarchive.raw/RTDC4040/ "%USERPROFILE%\AppData\Local\Temp\OnboardLogs"\RTDC4040\2016-11-25 --exclude "*" --recursive --include "*20161125*" &amp; "%USERPROFILE%\Documents\GitHub\mrs-test-scripts\Headless Mode &amp; Sideloading\WalkAndUnGZ.bat" "%USERPROFILE%\AppData\Local\Temp\OnboardLogs"\RTDC4040\2016-11-25 &amp; aws s3 cp s3://rtdc.mdm.uploadarchive.raw/RTDC4040/ "%USERPROFILE%\AppData\Local\Temp\OnboardLogs"\RTDC4040\2016-11-26 --exclude "*" --recursive --include "*20161126*" &amp; "%USERPROFILE%\Documents\GitHub\mrs-test-scripts\Headless Mode &amp; Sideloading\WalkAndUnGZ.bat" "%USERPROFILE%\AppData\Local\Temp\OnboardLogs"\RTDC4040\2016-11-26</v>
      </c>
      <c r="AF79" s="88" t="str">
        <f t="shared" si="48"/>
        <v>"C:\Program Files (x86)\AstroGrep\AstroGrep.exe" /spath="%USERPROFILE%\AppData\Local\Temp\OnboardLogs" /stypes="app*4040*20161125*" /stext=" 19:.+((SYSTEM_STATE.+slice.+state.+changed )|(ment ac)|(system.+state.+changed )|(\[timeout)|(PRM\|1\|D)|(kpr)|(kdp)|(\|lc)|(penalty))" /e /r /s</v>
      </c>
      <c r="AG79" s="1" t="str">
        <f t="shared" si="49"/>
        <v>EC</v>
      </c>
      <c r="AH79" s="92" t="str">
        <f t="shared" si="50"/>
        <v>"%USERPROFILE%\Documents\GitHub\eaglep3\Utilities\RefineRTDCRunTimes.py" --tripid 167-25 --locoid 4040 --swversion DE.1.0.8.0 --startMP 204:435 --initTime 2016-11-25T11:56:08 --startdatetime 2016-11-25T12:00:58 --delay 2 --endMP 204:233301 --enddatetime 2016-11-25T12:37:32 --enforcementcount 0 &gt;&gt;C:\Users\stu\Documents\GitHub\eaglep3-reporting\EC\2016-11-25-refined-times.txt</v>
      </c>
      <c r="AI79" s="119" t="str">
        <f t="shared" si="51"/>
        <v>echo {"issue":{"subject":"","project_id":79,"tracker_id":40,"status_id":1,"priority_id":2,"assigned_to_id":23,"start_date":"2016-11-25","description":"","custom_fields":[{"id":1,"name":"Subdivision","value":"EC"},{"id":4,"name":"Milepost","value":"23.3301"},{"id":17,"name":"Train ID","value":"167-25"},{"id":16,"name":"Locomotive ID","value":"4040"},{"id":130,"name":"Impact","value":""},{"id":150,"name":"Time of Event (Mountain Time)","value":"12:37:32"},{"id":151,"name":"Denver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3"/>
      <c r="AK79" s="53"/>
      <c r="AL79" s="53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7" t="s">
        <v>543</v>
      </c>
      <c r="B80" s="7">
        <v>4039</v>
      </c>
      <c r="C80" s="22" t="s">
        <v>217</v>
      </c>
      <c r="D80" s="22" t="s">
        <v>272</v>
      </c>
      <c r="E80" s="13">
        <v>42699.528564814813</v>
      </c>
      <c r="F80" s="13">
        <v>42699.5393287037</v>
      </c>
      <c r="G80" s="7">
        <v>1</v>
      </c>
      <c r="H80" s="22" t="s">
        <v>175</v>
      </c>
      <c r="I80" s="13">
        <v>42699.566435185188</v>
      </c>
      <c r="J80" s="7">
        <v>0</v>
      </c>
      <c r="K80" s="109" t="str">
        <f t="shared" si="35"/>
        <v>4039/4040</v>
      </c>
      <c r="L80" s="22" t="str">
        <f>VLOOKUP(A80,'Trips&amp;Operators'!$C$1:$E$10000,3,FALSE)</f>
        <v>ADANE</v>
      </c>
      <c r="M80" s="6">
        <f t="shared" si="36"/>
        <v>2.7106481487862766E-2</v>
      </c>
      <c r="N80" s="7">
        <f t="shared" si="37"/>
        <v>39.033333342522383</v>
      </c>
      <c r="O80" s="7"/>
      <c r="P80" s="7"/>
      <c r="Q80" s="23"/>
      <c r="R80" s="23"/>
      <c r="S80" s="35">
        <f t="shared" si="38"/>
        <v>1</v>
      </c>
      <c r="T80" s="50" t="str">
        <f t="shared" si="39"/>
        <v>Southbound</v>
      </c>
      <c r="U80" s="171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https://search-rtdc-monitor-bjffxe2xuh6vdkpspy63sjmuny.us-east-1.es.amazonaws.com/_plugin/kibana/#/discover/Steve-Slow-Train-Analysis-(2080s-and-2083s)?_g=(refreshInterval:(display:Off,section:0,value:0),time:(from:'2016-11-25 11:41:08-700',mode:absolute,to:'2016-11-25 14:35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80" s="52" t="str">
        <f t="shared" si="41"/>
        <v>N</v>
      </c>
      <c r="X80" s="177">
        <f t="shared" si="42"/>
        <v>1</v>
      </c>
      <c r="Y80" s="67">
        <f t="shared" si="43"/>
        <v>23.2973</v>
      </c>
      <c r="Z80" s="67">
        <f t="shared" si="44"/>
        <v>1.52E-2</v>
      </c>
      <c r="AA80" s="67">
        <f t="shared" si="45"/>
        <v>23.2821</v>
      </c>
      <c r="AB80" s="64" t="e">
        <f>VLOOKUP(A80,Enforcements!$C$7:$K$20,8,0)</f>
        <v>#N/A</v>
      </c>
      <c r="AC80" s="60" t="e">
        <f>VLOOKUP(A80,Enforcements!$C$7:$E$20,3,0)</f>
        <v>#N/A</v>
      </c>
      <c r="AD80" s="61" t="str">
        <f t="shared" si="46"/>
        <v>0168-25</v>
      </c>
      <c r="AE80" s="91" t="str">
        <f t="shared" si="47"/>
        <v>aws s3 cp s3://rtdc.mdm.uploadarchive.raw/RTDC4039/ "%USERPROFILE%\AppData\Local\Temp\OnboardLogs"\RTDC4039\2016-11-25 --exclude "*" --recursive --include "*20161125*" &amp; "%USERPROFILE%\Documents\GitHub\mrs-test-scripts\Headless Mode &amp; Sideloading\WalkAndUnGZ.bat" "%USERPROFILE%\AppData\Local\Temp\OnboardLogs"\RTDC4039\2016-11-25 &amp; aws s3 cp s3://rtdc.mdm.uploadarchive.raw/RTDC4039/ "%USERPROFILE%\AppData\Local\Temp\OnboardLogs"\RTDC4039\2016-11-26 --exclude "*" --recursive --include "*20161126*" &amp; "%USERPROFILE%\Documents\GitHub\mrs-test-scripts\Headless Mode &amp; Sideloading\WalkAndUnGZ.bat" "%USERPROFILE%\AppData\Local\Temp\OnboardLogs"\RTDC4039\2016-11-26</v>
      </c>
      <c r="AF80" s="88" t="str">
        <f t="shared" si="48"/>
        <v>"C:\Program Files (x86)\AstroGrep\AstroGrep.exe" /spath="%USERPROFILE%\AppData\Local\Temp\OnboardLogs" /stypes="app*4039*20161125*" /stext=" 20:.+((SYSTEM_STATE.+slice.+state.+changed )|(ment ac)|(system.+state.+changed )|(\[timeout)|(PRM\|1\|D)|(kpr)|(kdp)|(\|lc)|(penalty))" /e /r /s</v>
      </c>
      <c r="AG80" s="1" t="str">
        <f t="shared" si="49"/>
        <v>EC</v>
      </c>
      <c r="AH80" s="92" t="str">
        <f t="shared" si="50"/>
        <v>"%USERPROFILE%\Documents\GitHub\eaglep3\Utilities\RefineRTDCRunTimes.py" --tripid 168-25 --locoid 4039 --swversion DE.1.0.8.0 --startMP 204:232973 --initTime 2016-11-25T12:41:08 --startdatetime 2016-11-25T12:56:38 --delay 1 --endMP 204:152 --enddatetime 2016-11-25T13:35:40 --enforcementcount 0 &gt;&gt;C:\Users\stu\Documents\GitHub\eaglep3-reporting\EC\2016-11-25-refined-times.txt</v>
      </c>
      <c r="AI80" s="119" t="str">
        <f t="shared" si="51"/>
        <v>echo {"issue":{"subject":"","project_id":79,"tracker_id":40,"status_id":1,"priority_id":2,"assigned_to_id":23,"start_date":"2016-11-25","description":"","custom_fields":[{"id":1,"name":"Subdivision","value":"EC"},{"id":4,"name":"Milepost","value":"0.0152"},{"id":17,"name":"Train ID","value":"168-25"},{"id":16,"name":"Locomotive ID","value":"4039"},{"id":130,"name":"Impact","value":""},{"id":150,"name":"Time of Event (Mountain Time)","value":"13:35:40"},{"id":151,"name":"Denver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3"/>
      <c r="AK80" s="53"/>
      <c r="AL80" s="53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7" t="s">
        <v>538</v>
      </c>
      <c r="B81" s="7">
        <v>4031</v>
      </c>
      <c r="C81" s="22" t="s">
        <v>217</v>
      </c>
      <c r="D81" s="22" t="s">
        <v>271</v>
      </c>
      <c r="E81" s="13">
        <v>42699.508958333332</v>
      </c>
      <c r="F81" s="13">
        <v>42699.511562500003</v>
      </c>
      <c r="G81" s="7">
        <v>2</v>
      </c>
      <c r="H81" s="22" t="s">
        <v>260</v>
      </c>
      <c r="I81" s="13">
        <v>42699.537060185183</v>
      </c>
      <c r="J81" s="7">
        <v>0</v>
      </c>
      <c r="K81" s="109" t="str">
        <f t="shared" si="35"/>
        <v>4031/4032</v>
      </c>
      <c r="L81" s="22" t="str">
        <f>VLOOKUP(A81,'Trips&amp;Operators'!$C$1:$E$10000,3,FALSE)</f>
        <v>HOLCOMB</v>
      </c>
      <c r="M81" s="6">
        <f t="shared" si="36"/>
        <v>2.5497685179288965E-2</v>
      </c>
      <c r="N81" s="7">
        <f t="shared" si="37"/>
        <v>36.716666658176109</v>
      </c>
      <c r="O81" s="7"/>
      <c r="P81" s="7"/>
      <c r="Q81" s="23"/>
      <c r="R81" s="23"/>
      <c r="S81" s="35">
        <f t="shared" si="38"/>
        <v>1</v>
      </c>
      <c r="T81" s="50" t="str">
        <f t="shared" si="39"/>
        <v>NorthBound</v>
      </c>
      <c r="U81" s="171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https://search-rtdc-monitor-bjffxe2xuh6vdkpspy63sjmuny.us-east-1.es.amazonaws.com/_plugin/kibana/#/discover/Steve-Slow-Train-Analysis-(2080s-and-2083s)?_g=(refreshInterval:(display:Off,section:0,value:0),time:(from:'2016-11-25 11:12:54-700',mode:absolute,to:'2016-11-25 13:53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81" s="52" t="str">
        <f t="shared" si="41"/>
        <v>N</v>
      </c>
      <c r="X81" s="177">
        <f t="shared" si="42"/>
        <v>1</v>
      </c>
      <c r="Y81" s="67">
        <f t="shared" si="43"/>
        <v>4.5999999999999999E-2</v>
      </c>
      <c r="Z81" s="67">
        <f t="shared" si="44"/>
        <v>23.331399999999999</v>
      </c>
      <c r="AA81" s="67">
        <f t="shared" si="45"/>
        <v>23.285399999999999</v>
      </c>
      <c r="AB81" s="64" t="e">
        <f>VLOOKUP(A81,Enforcements!$C$7:$K$20,8,0)</f>
        <v>#N/A</v>
      </c>
      <c r="AC81" s="60" t="e">
        <f>VLOOKUP(A81,Enforcements!$C$7:$E$20,3,0)</f>
        <v>#N/A</v>
      </c>
      <c r="AD81" s="61" t="str">
        <f t="shared" si="46"/>
        <v>0169-25</v>
      </c>
      <c r="AE81" s="91" t="str">
        <f t="shared" si="47"/>
        <v>aws s3 cp s3://rtdc.mdm.uploadarchive.raw/RTDC4031/ "%USERPROFILE%\AppData\Local\Temp\OnboardLogs"\RTDC4031\2016-11-25 --exclude "*" --recursive --include "*20161125*" &amp; "%USERPROFILE%\Documents\GitHub\mrs-test-scripts\Headless Mode &amp; Sideloading\WalkAndUnGZ.bat" "%USERPROFILE%\AppData\Local\Temp\OnboardLogs"\RTDC4031\2016-11-25 &amp; aws s3 cp s3://rtdc.mdm.uploadarchive.raw/RTDC4031/ "%USERPROFILE%\AppData\Local\Temp\OnboardLogs"\RTDC4031\2016-11-26 --exclude "*" --recursive --include "*20161126*" &amp; "%USERPROFILE%\Documents\GitHub\mrs-test-scripts\Headless Mode &amp; Sideloading\WalkAndUnGZ.bat" "%USERPROFILE%\AppData\Local\Temp\OnboardLogs"\RTDC4031\2016-11-26</v>
      </c>
      <c r="AF81" s="88" t="str">
        <f t="shared" si="48"/>
        <v>"C:\Program Files (x86)\AstroGrep\AstroGrep.exe" /spath="%USERPROFILE%\AppData\Local\Temp\OnboardLogs" /stypes="app*4031*20161125*" /stext=" 19:.+((SYSTEM_STATE.+slice.+state.+changed )|(ment ac)|(system.+state.+changed )|(\[timeout)|(PRM\|1\|D)|(kpr)|(kdp)|(\|lc)|(penalty))" /e /r /s</v>
      </c>
      <c r="AG81" s="1" t="str">
        <f t="shared" si="49"/>
        <v>EC</v>
      </c>
      <c r="AH81" s="92" t="str">
        <f t="shared" si="50"/>
        <v>"%USERPROFILE%\Documents\GitHub\eaglep3\Utilities\RefineRTDCRunTimes.py" --tripid 169-25 --locoid 4031 --swversion DE.1.0.8.0 --startMP 204:460 --initTime 2016-11-25T12:12:54 --startdatetime 2016-11-25T12:16:39 --delay 2 --endMP 204:233314 --enddatetime 2016-11-25T12:53:22 --enforcementcount 0 &gt;&gt;C:\Users\stu\Documents\GitHub\eaglep3-reporting\EC\2016-11-25-refined-times.txt</v>
      </c>
      <c r="AI81" s="119" t="str">
        <f t="shared" si="51"/>
        <v>echo {"issue":{"subject":"","project_id":79,"tracker_id":40,"status_id":1,"priority_id":2,"assigned_to_id":23,"start_date":"2016-11-25","description":"","custom_fields":[{"id":1,"name":"Subdivision","value":"EC"},{"id":4,"name":"Milepost","value":"23.3314"},{"id":17,"name":"Train ID","value":"169-25"},{"id":16,"name":"Locomotive ID","value":"4031"},{"id":130,"name":"Impact","value":""},{"id":150,"name":"Time of Event (Mountain Time)","value":"12:53:22"},{"id":151,"name":"Denver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3"/>
      <c r="AK81" s="53"/>
      <c r="AL81" s="53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7" t="s">
        <v>546</v>
      </c>
      <c r="B82" s="7">
        <v>4032</v>
      </c>
      <c r="C82" s="22" t="s">
        <v>217</v>
      </c>
      <c r="D82" s="22" t="s">
        <v>264</v>
      </c>
      <c r="E82" s="13">
        <v>42699.544745370367</v>
      </c>
      <c r="F82" s="13">
        <v>42699.54954861111</v>
      </c>
      <c r="G82" s="7">
        <v>1</v>
      </c>
      <c r="H82" s="22" t="s">
        <v>655</v>
      </c>
      <c r="I82" s="13">
        <v>42699.579224537039</v>
      </c>
      <c r="J82" s="7">
        <v>0</v>
      </c>
      <c r="K82" s="109" t="str">
        <f t="shared" si="35"/>
        <v>4031/4032</v>
      </c>
      <c r="L82" s="22" t="str">
        <f>VLOOKUP(A82,'Trips&amp;Operators'!$C$1:$E$10000,3,FALSE)</f>
        <v>HOLCOMB</v>
      </c>
      <c r="M82" s="6">
        <f t="shared" si="36"/>
        <v>2.9675925929041114E-2</v>
      </c>
      <c r="N82" s="7">
        <f t="shared" si="37"/>
        <v>42.733333337819204</v>
      </c>
      <c r="O82" s="7"/>
      <c r="P82" s="7"/>
      <c r="Q82" s="23"/>
      <c r="R82" s="23"/>
      <c r="S82" s="35">
        <f t="shared" si="38"/>
        <v>1</v>
      </c>
      <c r="T82" s="50" t="str">
        <f t="shared" si="39"/>
        <v>Southbound</v>
      </c>
      <c r="U82" s="171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https://search-rtdc-monitor-bjffxe2xuh6vdkpspy63sjmuny.us-east-1.es.amazonaws.com/_plugin/kibana/#/discover/Steve-Slow-Train-Analysis-(2080s-and-2083s)?_g=(refreshInterval:(display:Off,section:0,value:0),time:(from:'2016-11-25 12:04:26-700',mode:absolute,to:'2016-11-25 14:54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82" s="52" t="str">
        <f t="shared" si="41"/>
        <v>N</v>
      </c>
      <c r="X82" s="177">
        <f t="shared" si="42"/>
        <v>1</v>
      </c>
      <c r="Y82" s="67">
        <f t="shared" si="43"/>
        <v>23.299099999999999</v>
      </c>
      <c r="Z82" s="67">
        <f t="shared" si="44"/>
        <v>1.2999999999999999E-2</v>
      </c>
      <c r="AA82" s="67">
        <f t="shared" si="45"/>
        <v>23.286099999999998</v>
      </c>
      <c r="AB82" s="64" t="e">
        <f>VLOOKUP(A82,Enforcements!$C$7:$K$20,8,0)</f>
        <v>#N/A</v>
      </c>
      <c r="AC82" s="60" t="e">
        <f>VLOOKUP(A82,Enforcements!$C$7:$E$20,3,0)</f>
        <v>#N/A</v>
      </c>
      <c r="AD82" s="61" t="str">
        <f t="shared" si="46"/>
        <v>0170-25</v>
      </c>
      <c r="AE82" s="91" t="str">
        <f t="shared" si="47"/>
        <v>aws s3 cp s3://rtdc.mdm.uploadarchive.raw/RTDC4032/ "%USERPROFILE%\AppData\Local\Temp\OnboardLogs"\RTDC4032\2016-11-25 --exclude "*" --recursive --include "*20161125*" &amp; "%USERPROFILE%\Documents\GitHub\mrs-test-scripts\Headless Mode &amp; Sideloading\WalkAndUnGZ.bat" "%USERPROFILE%\AppData\Local\Temp\OnboardLogs"\RTDC4032\2016-11-25 &amp; aws s3 cp s3://rtdc.mdm.uploadarchive.raw/RTDC4032/ "%USERPROFILE%\AppData\Local\Temp\OnboardLogs"\RTDC4032\2016-11-26 --exclude "*" --recursive --include "*20161126*" &amp; "%USERPROFILE%\Documents\GitHub\mrs-test-scripts\Headless Mode &amp; Sideloading\WalkAndUnGZ.bat" "%USERPROFILE%\AppData\Local\Temp\OnboardLogs"\RTDC4032\2016-11-26</v>
      </c>
      <c r="AF82" s="88" t="str">
        <f t="shared" si="48"/>
        <v>"C:\Program Files (x86)\AstroGrep\AstroGrep.exe" /spath="%USERPROFILE%\AppData\Local\Temp\OnboardLogs" /stypes="app*4032*20161125*" /stext=" 20:.+((SYSTEM_STATE.+slice.+state.+changed )|(ment ac)|(system.+state.+changed )|(\[timeout)|(PRM\|1\|D)|(kpr)|(kdp)|(\|lc)|(penalty))" /e /r /s</v>
      </c>
      <c r="AG82" s="1" t="str">
        <f t="shared" si="49"/>
        <v>EC</v>
      </c>
      <c r="AH82" s="92" t="str">
        <f t="shared" si="50"/>
        <v>"%USERPROFILE%\Documents\GitHub\eaglep3\Utilities\RefineRTDCRunTimes.py" --tripid 170-25 --locoid 4032 --swversion DE.1.0.8.0 --startMP 204:232991 --initTime 2016-11-25T13:04:26 --startdatetime 2016-11-25T13:11:21 --delay 1 --endMP 204:130 --enddatetime 2016-11-25T13:54:05 --enforcementcount 0 &gt;&gt;C:\Users\stu\Documents\GitHub\eaglep3-reporting\EC\2016-11-25-refined-times.txt</v>
      </c>
      <c r="AI82" s="119" t="str">
        <f t="shared" si="51"/>
        <v>echo {"issue":{"subject":"","project_id":79,"tracker_id":40,"status_id":1,"priority_id":2,"assigned_to_id":23,"start_date":"2016-11-25","description":"","custom_fields":[{"id":1,"name":"Subdivision","value":"EC"},{"id":4,"name":"Milepost","value":"0.013"},{"id":17,"name":"Train ID","value":"170-25"},{"id":16,"name":"Locomotive ID","value":"4032"},{"id":130,"name":"Impact","value":""},{"id":150,"name":"Time of Event (Mountain Time)","value":"13:54:05"},{"id":151,"name":"Denver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3"/>
      <c r="AK82" s="53"/>
      <c r="AL82" s="53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7" t="s">
        <v>540</v>
      </c>
      <c r="B83" s="7">
        <v>4046</v>
      </c>
      <c r="C83" s="22" t="s">
        <v>217</v>
      </c>
      <c r="D83" s="22" t="s">
        <v>369</v>
      </c>
      <c r="E83" s="13">
        <v>42699.517430555556</v>
      </c>
      <c r="F83" s="13">
        <v>42699.521284722221</v>
      </c>
      <c r="G83" s="7">
        <v>5</v>
      </c>
      <c r="H83" s="22" t="s">
        <v>649</v>
      </c>
      <c r="I83" s="13">
        <v>42699.546238425923</v>
      </c>
      <c r="J83" s="7">
        <v>0</v>
      </c>
      <c r="K83" s="109" t="str">
        <f t="shared" si="35"/>
        <v>4045/4046</v>
      </c>
      <c r="L83" s="22" t="str">
        <f>VLOOKUP(A83,'Trips&amp;Operators'!$C$1:$E$10000,3,FALSE)</f>
        <v>STORY</v>
      </c>
      <c r="M83" s="6">
        <f t="shared" si="36"/>
        <v>2.495370370161254E-2</v>
      </c>
      <c r="N83" s="7">
        <f t="shared" si="37"/>
        <v>35.933333330322057</v>
      </c>
      <c r="O83" s="7"/>
      <c r="P83" s="7"/>
      <c r="Q83" s="23"/>
      <c r="R83" s="23"/>
      <c r="S83" s="35">
        <f t="shared" si="38"/>
        <v>1</v>
      </c>
      <c r="T83" s="50" t="str">
        <f t="shared" si="39"/>
        <v>NorthBound</v>
      </c>
      <c r="U83" s="171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https://search-rtdc-monitor-bjffxe2xuh6vdkpspy63sjmuny.us-east-1.es.amazonaws.com/_plugin/kibana/#/discover/Steve-Slow-Train-Analysis-(2080s-and-2083s)?_g=(refreshInterval:(display:Off,section:0,value:0),time:(from:'2016-11-25 11:25:06-700',mode:absolute,to:'2016-11-25 14:06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83" s="52" t="str">
        <f t="shared" si="41"/>
        <v>N</v>
      </c>
      <c r="X83" s="177">
        <f t="shared" si="42"/>
        <v>1</v>
      </c>
      <c r="Y83" s="67">
        <f t="shared" si="43"/>
        <v>4.6699999999999998E-2</v>
      </c>
      <c r="Z83" s="67">
        <f t="shared" si="44"/>
        <v>23.330100000000002</v>
      </c>
      <c r="AA83" s="67">
        <f t="shared" si="45"/>
        <v>23.2834</v>
      </c>
      <c r="AB83" s="64" t="e">
        <f>VLOOKUP(A83,Enforcements!$C$7:$K$20,8,0)</f>
        <v>#N/A</v>
      </c>
      <c r="AC83" s="60" t="e">
        <f>VLOOKUP(A83,Enforcements!$C$7:$E$20,3,0)</f>
        <v>#N/A</v>
      </c>
      <c r="AD83" s="61" t="str">
        <f t="shared" si="46"/>
        <v>0171-25</v>
      </c>
      <c r="AE83" s="91" t="str">
        <f t="shared" si="47"/>
        <v>aws s3 cp s3://rtdc.mdm.uploadarchive.raw/RTDC4046/ "%USERPROFILE%\AppData\Local\Temp\OnboardLogs"\RTDC4046\2016-11-25 --exclude "*" --recursive --include "*20161125*" &amp; "%USERPROFILE%\Documents\GitHub\mrs-test-scripts\Headless Mode &amp; Sideloading\WalkAndUnGZ.bat" "%USERPROFILE%\AppData\Local\Temp\OnboardLogs"\RTDC4046\2016-11-25 &amp; aws s3 cp s3://rtdc.mdm.uploadarchive.raw/RTDC4046/ "%USERPROFILE%\AppData\Local\Temp\OnboardLogs"\RTDC4046\2016-11-26 --exclude "*" --recursive --include "*20161126*" &amp; "%USERPROFILE%\Documents\GitHub\mrs-test-scripts\Headless Mode &amp; Sideloading\WalkAndUnGZ.bat" "%USERPROFILE%\AppData\Local\Temp\OnboardLogs"\RTDC4046\2016-11-26</v>
      </c>
      <c r="AF83" s="88" t="str">
        <f t="shared" si="48"/>
        <v>"C:\Program Files (x86)\AstroGrep\AstroGrep.exe" /spath="%USERPROFILE%\AppData\Local\Temp\OnboardLogs" /stypes="app*4046*20161125*" /stext=" 20:.+((SYSTEM_STATE.+slice.+state.+changed )|(ment ac)|(system.+state.+changed )|(\[timeout)|(PRM\|1\|D)|(kpr)|(kdp)|(\|lc)|(penalty))" /e /r /s</v>
      </c>
      <c r="AG83" s="1" t="str">
        <f t="shared" si="49"/>
        <v>EC</v>
      </c>
      <c r="AH83" s="92" t="str">
        <f t="shared" si="50"/>
        <v>"%USERPROFILE%\Documents\GitHub\eaglep3\Utilities\RefineRTDCRunTimes.py" --tripid 171-25 --locoid 4046 --swversion DE.1.0.8.0 --startMP 204:467 --initTime 2016-11-25T12:25:06 --startdatetime 2016-11-25T12:30:39 --delay 5 --endMP 204:233301 --enddatetime 2016-11-25T13:06:35 --enforcementcount 0 &gt;&gt;C:\Users\stu\Documents\GitHub\eaglep3-reporting\EC\2016-11-25-refined-times.txt</v>
      </c>
      <c r="AI83" s="119" t="str">
        <f t="shared" si="51"/>
        <v>echo {"issue":{"subject":"","project_id":79,"tracker_id":40,"status_id":1,"priority_id":2,"assigned_to_id":23,"start_date":"2016-11-25","description":"","custom_fields":[{"id":1,"name":"Subdivision","value":"EC"},{"id":4,"name":"Milepost","value":"23.3301"},{"id":17,"name":"Train ID","value":"171-25"},{"id":16,"name":"Locomotive ID","value":"4046"},{"id":130,"name":"Impact","value":""},{"id":150,"name":"Time of Event (Mountain Time)","value":"13:06:35"},{"id":151,"name":"Denver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3"/>
      <c r="AK83" s="53"/>
      <c r="AL83" s="5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7" t="s">
        <v>549</v>
      </c>
      <c r="B84" s="7">
        <v>4045</v>
      </c>
      <c r="C84" s="22" t="s">
        <v>217</v>
      </c>
      <c r="D84" s="22" t="s">
        <v>296</v>
      </c>
      <c r="E84" s="13">
        <v>42699.556921296295</v>
      </c>
      <c r="F84" s="13">
        <v>42699.560578703706</v>
      </c>
      <c r="G84" s="7">
        <v>2</v>
      </c>
      <c r="H84" s="22" t="s">
        <v>656</v>
      </c>
      <c r="I84" s="13">
        <v>42699.587951388887</v>
      </c>
      <c r="J84" s="7">
        <v>0</v>
      </c>
      <c r="K84" s="109" t="str">
        <f t="shared" si="35"/>
        <v>4045/4046</v>
      </c>
      <c r="L84" s="22" t="str">
        <f>VLOOKUP(A84,'Trips&amp;Operators'!$C$1:$E$10000,3,FALSE)</f>
        <v>STORY</v>
      </c>
      <c r="M84" s="6">
        <f t="shared" si="36"/>
        <v>2.7372685181035195E-2</v>
      </c>
      <c r="N84" s="7">
        <f t="shared" si="37"/>
        <v>39.41666666069068</v>
      </c>
      <c r="O84" s="7"/>
      <c r="P84" s="7"/>
      <c r="Q84" s="23"/>
      <c r="R84" s="23"/>
      <c r="S84" s="35">
        <f t="shared" si="38"/>
        <v>1</v>
      </c>
      <c r="T84" s="50" t="str">
        <f t="shared" si="39"/>
        <v>Southbound</v>
      </c>
      <c r="U84" s="171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https://search-rtdc-monitor-bjffxe2xuh6vdkpspy63sjmuny.us-east-1.es.amazonaws.com/_plugin/kibana/#/discover/Steve-Slow-Train-Analysis-(2080s-and-2083s)?_g=(refreshInterval:(display:Off,section:0,value:0),time:(from:'2016-11-25 12:21:58-700',mode:absolute,to:'2016-11-25 15:06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84" s="52" t="str">
        <f t="shared" si="41"/>
        <v>N</v>
      </c>
      <c r="X84" s="177">
        <f t="shared" si="42"/>
        <v>1</v>
      </c>
      <c r="Y84" s="67">
        <f t="shared" si="43"/>
        <v>23.297799999999999</v>
      </c>
      <c r="Z84" s="67">
        <f t="shared" si="44"/>
        <v>1.6899999999999998E-2</v>
      </c>
      <c r="AA84" s="67">
        <f t="shared" si="45"/>
        <v>23.280899999999999</v>
      </c>
      <c r="AB84" s="64" t="e">
        <f>VLOOKUP(A84,Enforcements!$C$7:$K$20,8,0)</f>
        <v>#N/A</v>
      </c>
      <c r="AC84" s="60" t="e">
        <f>VLOOKUP(A84,Enforcements!$C$7:$E$20,3,0)</f>
        <v>#N/A</v>
      </c>
      <c r="AD84" s="61" t="str">
        <f t="shared" si="46"/>
        <v>0172-25</v>
      </c>
      <c r="AE84" s="91" t="str">
        <f t="shared" si="47"/>
        <v>aws s3 cp s3://rtdc.mdm.uploadarchive.raw/RTDC4045/ "%USERPROFILE%\AppData\Local\Temp\OnboardLogs"\RTDC4045\2016-11-25 --exclude "*" --recursive --include "*20161125*" &amp; "%USERPROFILE%\Documents\GitHub\mrs-test-scripts\Headless Mode &amp; Sideloading\WalkAndUnGZ.bat" "%USERPROFILE%\AppData\Local\Temp\OnboardLogs"\RTDC4045\2016-11-25 &amp; aws s3 cp s3://rtdc.mdm.uploadarchive.raw/RTDC4045/ "%USERPROFILE%\AppData\Local\Temp\OnboardLogs"\RTDC4045\2016-11-26 --exclude "*" --recursive --include "*20161126*" &amp; "%USERPROFILE%\Documents\GitHub\mrs-test-scripts\Headless Mode &amp; Sideloading\WalkAndUnGZ.bat" "%USERPROFILE%\AppData\Local\Temp\OnboardLogs"\RTDC4045\2016-11-26</v>
      </c>
      <c r="AF84" s="88" t="str">
        <f t="shared" si="48"/>
        <v>"C:\Program Files (x86)\AstroGrep\AstroGrep.exe" /spath="%USERPROFILE%\AppData\Local\Temp\OnboardLogs" /stypes="app*4045*20161125*" /stext=" 21:.+((SYSTEM_STATE.+slice.+state.+changed )|(ment ac)|(system.+state.+changed )|(\[timeout)|(PRM\|1\|D)|(kpr)|(kdp)|(\|lc)|(penalty))" /e /r /s</v>
      </c>
      <c r="AG84" s="1" t="str">
        <f t="shared" si="49"/>
        <v>EC</v>
      </c>
      <c r="AH84" s="92" t="str">
        <f t="shared" si="50"/>
        <v>"%USERPROFILE%\Documents\GitHub\eaglep3\Utilities\RefineRTDCRunTimes.py" --tripid 172-25 --locoid 4045 --swversion DE.1.0.8.0 --startMP 204:232978 --initTime 2016-11-25T13:21:58 --startdatetime 2016-11-25T13:27:14 --delay 2 --endMP 204:169 --enddatetime 2016-11-25T14:06:39 --enforcementcount 0 &gt;&gt;C:\Users\stu\Documents\GitHub\eaglep3-reporting\EC\2016-11-25-refined-times.txt</v>
      </c>
      <c r="AI84" s="119" t="str">
        <f t="shared" si="51"/>
        <v>echo {"issue":{"subject":"","project_id":79,"tracker_id":40,"status_id":1,"priority_id":2,"assigned_to_id":23,"start_date":"2016-11-25","description":"","custom_fields":[{"id":1,"name":"Subdivision","value":"EC"},{"id":4,"name":"Milepost","value":"0.0169"},{"id":17,"name":"Train ID","value":"172-25"},{"id":16,"name":"Locomotive ID","value":"4045"},{"id":130,"name":"Impact","value":""},{"id":150,"name":"Time of Event (Mountain Time)","value":"14:06:39"},{"id":151,"name":"Denver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3"/>
      <c r="AK84" s="53"/>
      <c r="AL84" s="53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7" t="s">
        <v>544</v>
      </c>
      <c r="B85" s="7">
        <v>4011</v>
      </c>
      <c r="C85" s="22" t="s">
        <v>217</v>
      </c>
      <c r="D85" s="22" t="s">
        <v>356</v>
      </c>
      <c r="E85" s="13">
        <v>42699.530185185184</v>
      </c>
      <c r="F85" s="13">
        <v>42699.532719907409</v>
      </c>
      <c r="G85" s="7">
        <v>1</v>
      </c>
      <c r="H85" s="22" t="s">
        <v>373</v>
      </c>
      <c r="I85" s="13">
        <v>42699.559502314813</v>
      </c>
      <c r="J85" s="7">
        <v>0</v>
      </c>
      <c r="K85" s="109" t="str">
        <f t="shared" si="35"/>
        <v>4011/4012</v>
      </c>
      <c r="L85" s="22" t="str">
        <f>VLOOKUP(A85,'Trips&amp;Operators'!$C$1:$E$10000,3,FALSE)</f>
        <v>DAVIS</v>
      </c>
      <c r="M85" s="6">
        <f t="shared" si="36"/>
        <v>2.6782407403516117E-2</v>
      </c>
      <c r="N85" s="7">
        <f t="shared" si="37"/>
        <v>38.566666661063209</v>
      </c>
      <c r="O85" s="7"/>
      <c r="P85" s="7"/>
      <c r="Q85" s="23"/>
      <c r="R85" s="23"/>
      <c r="S85" s="35">
        <f t="shared" si="38"/>
        <v>1</v>
      </c>
      <c r="T85" s="50" t="str">
        <f t="shared" si="39"/>
        <v>NorthBound</v>
      </c>
      <c r="U85" s="171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https://search-rtdc-monitor-bjffxe2xuh6vdkpspy63sjmuny.us-east-1.es.amazonaws.com/_plugin/kibana/#/discover/Steve-Slow-Train-Analysis-(2080s-and-2083s)?_g=(refreshInterval:(display:Off,section:0,value:0),time:(from:'2016-11-25 11:43:28-700',mode:absolute,to:'2016-11-25 14:25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85" s="52" t="str">
        <f t="shared" si="41"/>
        <v>N</v>
      </c>
      <c r="X85" s="177">
        <f t="shared" si="42"/>
        <v>1</v>
      </c>
      <c r="Y85" s="67">
        <f t="shared" si="43"/>
        <v>4.7800000000000002E-2</v>
      </c>
      <c r="Z85" s="67">
        <f t="shared" si="44"/>
        <v>23.329799999999999</v>
      </c>
      <c r="AA85" s="67">
        <f t="shared" si="45"/>
        <v>23.282</v>
      </c>
      <c r="AB85" s="64" t="e">
        <f>VLOOKUP(A85,Enforcements!$C$7:$K$20,8,0)</f>
        <v>#N/A</v>
      </c>
      <c r="AC85" s="60" t="e">
        <f>VLOOKUP(A85,Enforcements!$C$7:$E$20,3,0)</f>
        <v>#N/A</v>
      </c>
      <c r="AD85" s="61" t="str">
        <f t="shared" si="46"/>
        <v>0173-25</v>
      </c>
      <c r="AE85" s="91" t="str">
        <f t="shared" si="47"/>
        <v>aws s3 cp s3://rtdc.mdm.uploadarchive.raw/RTDC4011/ "%USERPROFILE%\AppData\Local\Temp\OnboardLogs"\RTDC4011\2016-11-25 --exclude "*" --recursive --include "*20161125*" &amp; "%USERPROFILE%\Documents\GitHub\mrs-test-scripts\Headless Mode &amp; Sideloading\WalkAndUnGZ.bat" "%USERPROFILE%\AppData\Local\Temp\OnboardLogs"\RTDC4011\2016-11-25 &amp; aws s3 cp s3://rtdc.mdm.uploadarchive.raw/RTDC4011/ "%USERPROFILE%\AppData\Local\Temp\OnboardLogs"\RTDC4011\2016-11-26 --exclude "*" --recursive --include "*20161126*" &amp; "%USERPROFILE%\Documents\GitHub\mrs-test-scripts\Headless Mode &amp; Sideloading\WalkAndUnGZ.bat" "%USERPROFILE%\AppData\Local\Temp\OnboardLogs"\RTDC4011\2016-11-26</v>
      </c>
      <c r="AF85" s="88" t="str">
        <f t="shared" si="48"/>
        <v>"C:\Program Files (x86)\AstroGrep\AstroGrep.exe" /spath="%USERPROFILE%\AppData\Local\Temp\OnboardLogs" /stypes="app*4011*20161125*" /stext=" 20:.+((SYSTEM_STATE.+slice.+state.+changed )|(ment ac)|(system.+state.+changed )|(\[timeout)|(PRM\|1\|D)|(kpr)|(kdp)|(\|lc)|(penalty))" /e /r /s</v>
      </c>
      <c r="AG85" s="1" t="str">
        <f t="shared" si="49"/>
        <v>EC</v>
      </c>
      <c r="AH85" s="92" t="str">
        <f t="shared" si="50"/>
        <v>"%USERPROFILE%\Documents\GitHub\eaglep3\Utilities\RefineRTDCRunTimes.py" --tripid 173-25 --locoid 4011 --swversion DE.1.0.8.0 --startMP 204:478 --initTime 2016-11-25T12:43:28 --startdatetime 2016-11-25T12:47:07 --delay 1 --endMP 204:233298 --enddatetime 2016-11-25T13:25:41 --enforcementcount 0 &gt;&gt;C:\Users\stu\Documents\GitHub\eaglep3-reporting\EC\2016-11-25-refined-times.txt</v>
      </c>
      <c r="AI85" s="119" t="str">
        <f t="shared" si="51"/>
        <v>echo {"issue":{"subject":"","project_id":79,"tracker_id":40,"status_id":1,"priority_id":2,"assigned_to_id":23,"start_date":"2016-11-25","description":"","custom_fields":[{"id":1,"name":"Subdivision","value":"EC"},{"id":4,"name":"Milepost","value":"23.3298"},{"id":17,"name":"Train ID","value":"173-25"},{"id":16,"name":"Locomotive ID","value":"4011"},{"id":130,"name":"Impact","value":""},{"id":150,"name":"Time of Event (Mountain Time)","value":"13:25:41"},{"id":151,"name":"Denver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3"/>
      <c r="AK85" s="53"/>
      <c r="AL85" s="53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7" t="s">
        <v>433</v>
      </c>
      <c r="B86" s="7">
        <v>4012</v>
      </c>
      <c r="C86" s="22" t="s">
        <v>217</v>
      </c>
      <c r="D86" s="22" t="s">
        <v>319</v>
      </c>
      <c r="E86" s="13">
        <v>42699.566527777781</v>
      </c>
      <c r="F86" s="13">
        <v>42699.570567129631</v>
      </c>
      <c r="G86" s="7">
        <v>2</v>
      </c>
      <c r="H86" s="22" t="s">
        <v>224</v>
      </c>
      <c r="I86" s="13">
        <v>42699.59883101852</v>
      </c>
      <c r="J86" s="7">
        <v>2</v>
      </c>
      <c r="K86" s="109" t="str">
        <f t="shared" si="35"/>
        <v>4011/4012</v>
      </c>
      <c r="L86" s="22" t="str">
        <f>VLOOKUP(A86,'Trips&amp;Operators'!$C$1:$E$10000,3,FALSE)</f>
        <v>DAVIS</v>
      </c>
      <c r="M86" s="6">
        <f t="shared" si="36"/>
        <v>2.8263888889341615E-2</v>
      </c>
      <c r="N86" s="7">
        <f t="shared" si="37"/>
        <v>40.700000000651926</v>
      </c>
      <c r="O86" s="7"/>
      <c r="P86" s="7"/>
      <c r="Q86" s="23"/>
      <c r="R86" s="23"/>
      <c r="S86" s="35">
        <f t="shared" si="38"/>
        <v>1</v>
      </c>
      <c r="T86" s="50" t="str">
        <f t="shared" si="39"/>
        <v>Southbound</v>
      </c>
      <c r="U86" s="171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https://search-rtdc-monitor-bjffxe2xuh6vdkpspy63sjmuny.us-east-1.es.amazonaws.com/_plugin/kibana/#/discover/Steve-Slow-Train-Analysis-(2080s-and-2083s)?_g=(refreshInterval:(display:Off,section:0,value:0),time:(from:'2016-11-25 12:35:48-700',mode:absolute,to:'2016-11-25 15:22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86" s="52" t="str">
        <f t="shared" si="41"/>
        <v>N</v>
      </c>
      <c r="X86" s="177">
        <f t="shared" si="42"/>
        <v>1</v>
      </c>
      <c r="Y86" s="67">
        <f t="shared" si="43"/>
        <v>23.298100000000002</v>
      </c>
      <c r="Z86" s="67">
        <f t="shared" si="44"/>
        <v>1.4999999999999999E-2</v>
      </c>
      <c r="AA86" s="67">
        <f t="shared" si="45"/>
        <v>23.283100000000001</v>
      </c>
      <c r="AB86" s="64" t="str">
        <f>VLOOKUP(A86,Enforcements!$C$7:$K$20,8,0)</f>
        <v>Speed (6)</v>
      </c>
      <c r="AC86" s="60" t="str">
        <f>VLOOKUP(A86,Enforcements!$C$7:$E$20,3,0)</f>
        <v>PERMANENT SPEED RESTRICTION</v>
      </c>
      <c r="AD86" s="61" t="str">
        <f t="shared" si="46"/>
        <v>0174-25</v>
      </c>
      <c r="AE86" s="91" t="str">
        <f t="shared" si="47"/>
        <v>aws s3 cp s3://rtdc.mdm.uploadarchive.raw/RTDC4012/ "%USERPROFILE%\AppData\Local\Temp\OnboardLogs"\RTDC4012\2016-11-25 --exclude "*" --recursive --include "*20161125*" &amp; "%USERPROFILE%\Documents\GitHub\mrs-test-scripts\Headless Mode &amp; Sideloading\WalkAndUnGZ.bat" "%USERPROFILE%\AppData\Local\Temp\OnboardLogs"\RTDC4012\2016-11-25 &amp; aws s3 cp s3://rtdc.mdm.uploadarchive.raw/RTDC4012/ "%USERPROFILE%\AppData\Local\Temp\OnboardLogs"\RTDC4012\2016-11-26 --exclude "*" --recursive --include "*20161126*" &amp; "%USERPROFILE%\Documents\GitHub\mrs-test-scripts\Headless Mode &amp; Sideloading\WalkAndUnGZ.bat" "%USERPROFILE%\AppData\Local\Temp\OnboardLogs"\RTDC4012\2016-11-26</v>
      </c>
      <c r="AF86" s="88" t="str">
        <f t="shared" si="48"/>
        <v>"C:\Program Files (x86)\AstroGrep\AstroGrep.exe" /spath="%USERPROFILE%\AppData\Local\Temp\OnboardLogs" /stypes="app*4012*20161125*" /stext=" 21:.+((SYSTEM_STATE.+slice.+state.+changed )|(ment ac)|(system.+state.+changed )|(\[timeout)|(PRM\|1\|D)|(kpr)|(kdp)|(\|lc)|(penalty))" /e /r /s</v>
      </c>
      <c r="AG86" s="1" t="str">
        <f t="shared" si="49"/>
        <v>EC</v>
      </c>
      <c r="AH86" s="92" t="str">
        <f t="shared" si="50"/>
        <v>"%USERPROFILE%\Documents\GitHub\eaglep3\Utilities\RefineRTDCRunTimes.py" --tripid 174-25 --locoid 4012 --swversion DE.1.0.8.0 --startMP 204:232981 --initTime 2016-11-25T13:35:48 --startdatetime 2016-11-25T13:41:37 --delay 2 --endMP 204:150 --enddatetime 2016-11-25T14:22:19 --enforcementcount 2 &gt;&gt;C:\Users\stu\Documents\GitHub\eaglep3-reporting\EC\2016-11-25-refined-times.txt</v>
      </c>
      <c r="AI86" s="119" t="str">
        <f t="shared" si="51"/>
        <v>echo {"issue":{"subject":"","project_id":79,"tracker_id":40,"status_id":1,"priority_id":2,"assigned_to_id":23,"start_date":"2016-11-25","description":"","custom_fields":[{"id":1,"name":"Subdivision","value":"EC"},{"id":4,"name":"Milepost","value":"0.015"},{"id":17,"name":"Train ID","value":"174-25"},{"id":16,"name":"Locomotive ID","value":"4012"},{"id":130,"name":"Impact","value":""},{"id":150,"name":"Time of Event (Mountain Time)","value":"14:22:19"},{"id":151,"name":"Denver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3"/>
      <c r="AK86" s="53"/>
      <c r="AL86" s="53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7" t="s">
        <v>545</v>
      </c>
      <c r="B87" s="7">
        <v>4014</v>
      </c>
      <c r="C87" s="22" t="s">
        <v>217</v>
      </c>
      <c r="D87" s="22" t="s">
        <v>266</v>
      </c>
      <c r="E87" s="13">
        <v>42699.537569444445</v>
      </c>
      <c r="F87" s="13">
        <v>42699.542129629626</v>
      </c>
      <c r="G87" s="7">
        <v>1</v>
      </c>
      <c r="H87" s="22" t="s">
        <v>200</v>
      </c>
      <c r="I87" s="13">
        <v>42699.567928240744</v>
      </c>
      <c r="J87" s="7">
        <v>0</v>
      </c>
      <c r="K87" s="109" t="str">
        <f t="shared" si="35"/>
        <v>4013/4014</v>
      </c>
      <c r="L87" s="22" t="str">
        <f>VLOOKUP(A87,'Trips&amp;Operators'!$C$1:$E$10000,3,FALSE)</f>
        <v>SMITH</v>
      </c>
      <c r="M87" s="6">
        <f t="shared" si="36"/>
        <v>2.5798611117352266E-2</v>
      </c>
      <c r="N87" s="7">
        <f t="shared" si="37"/>
        <v>37.150000008987263</v>
      </c>
      <c r="O87" s="7"/>
      <c r="P87" s="7"/>
      <c r="Q87" s="23"/>
      <c r="R87" s="23"/>
      <c r="S87" s="35">
        <f t="shared" si="38"/>
        <v>1</v>
      </c>
      <c r="T87" s="50" t="str">
        <f t="shared" si="39"/>
        <v>NorthBound</v>
      </c>
      <c r="U87" s="171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https://search-rtdc-monitor-bjffxe2xuh6vdkpspy63sjmuny.us-east-1.es.amazonaws.com/_plugin/kibana/#/discover/Steve-Slow-Train-Analysis-(2080s-and-2083s)?_g=(refreshInterval:(display:Off,section:0,value:0),time:(from:'2016-11-25 11:54:06-700',mode:absolute,to:'2016-11-25 14:37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87" s="52" t="str">
        <f t="shared" si="41"/>
        <v>N</v>
      </c>
      <c r="X87" s="177">
        <f t="shared" si="42"/>
        <v>1</v>
      </c>
      <c r="Y87" s="67">
        <f t="shared" si="43"/>
        <v>4.4600000000000001E-2</v>
      </c>
      <c r="Z87" s="67">
        <f t="shared" si="44"/>
        <v>23.329499999999999</v>
      </c>
      <c r="AA87" s="67">
        <f t="shared" si="45"/>
        <v>23.2849</v>
      </c>
      <c r="AB87" s="64" t="e">
        <f>VLOOKUP(A87,Enforcements!$C$7:$K$20,8,0)</f>
        <v>#N/A</v>
      </c>
      <c r="AC87" s="60" t="e">
        <f>VLOOKUP(A87,Enforcements!$C$7:$E$20,3,0)</f>
        <v>#N/A</v>
      </c>
      <c r="AD87" s="61" t="str">
        <f t="shared" si="46"/>
        <v>0175-25</v>
      </c>
      <c r="AE87" s="91" t="str">
        <f t="shared" si="47"/>
        <v>aws s3 cp s3://rtdc.mdm.uploadarchive.raw/RTDC4014/ "%USERPROFILE%\AppData\Local\Temp\OnboardLogs"\RTDC4014\2016-11-25 --exclude "*" --recursive --include "*20161125*" &amp; "%USERPROFILE%\Documents\GitHub\mrs-test-scripts\Headless Mode &amp; Sideloading\WalkAndUnGZ.bat" "%USERPROFILE%\AppData\Local\Temp\OnboardLogs"\RTDC4014\2016-11-25 &amp; aws s3 cp s3://rtdc.mdm.uploadarchive.raw/RTDC4014/ "%USERPROFILE%\AppData\Local\Temp\OnboardLogs"\RTDC4014\2016-11-26 --exclude "*" --recursive --include "*20161126*" &amp; "%USERPROFILE%\Documents\GitHub\mrs-test-scripts\Headless Mode &amp; Sideloading\WalkAndUnGZ.bat" "%USERPROFILE%\AppData\Local\Temp\OnboardLogs"\RTDC4014\2016-11-26</v>
      </c>
      <c r="AF87" s="88" t="str">
        <f t="shared" si="48"/>
        <v>"C:\Program Files (x86)\AstroGrep\AstroGrep.exe" /spath="%USERPROFILE%\AppData\Local\Temp\OnboardLogs" /stypes="app*4014*20161125*" /stext=" 20:.+((SYSTEM_STATE.+slice.+state.+changed )|(ment ac)|(system.+state.+changed )|(\[timeout)|(PRM\|1\|D)|(kpr)|(kdp)|(\|lc)|(penalty))" /e /r /s</v>
      </c>
      <c r="AG87" s="1" t="str">
        <f t="shared" si="49"/>
        <v>EC</v>
      </c>
      <c r="AH87" s="92" t="str">
        <f t="shared" si="50"/>
        <v>"%USERPROFILE%\Documents\GitHub\eaglep3\Utilities\RefineRTDCRunTimes.py" --tripid 175-25 --locoid 4014 --swversion DE.1.0.8.0 --startMP 204:446 --initTime 2016-11-25T12:54:06 --startdatetime 2016-11-25T13:00:40 --delay 1 --endMP 204:233295 --enddatetime 2016-11-25T13:37:49 --enforcementcount 0 &gt;&gt;C:\Users\stu\Documents\GitHub\eaglep3-reporting\EC\2016-11-25-refined-times.txt</v>
      </c>
      <c r="AI87" s="119" t="str">
        <f t="shared" si="51"/>
        <v>echo {"issue":{"subject":"","project_id":79,"tracker_id":40,"status_id":1,"priority_id":2,"assigned_to_id":23,"start_date":"2016-11-25","description":"","custom_fields":[{"id":1,"name":"Subdivision","value":"EC"},{"id":4,"name":"Milepost","value":"23.3295"},{"id":17,"name":"Train ID","value":"175-25"},{"id":16,"name":"Locomotive ID","value":"4014"},{"id":130,"name":"Impact","value":""},{"id":150,"name":"Time of Event (Mountain Time)","value":"13:37:49"},{"id":151,"name":"Denver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3"/>
      <c r="AK87" s="53"/>
      <c r="AL87" s="53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7" t="s">
        <v>552</v>
      </c>
      <c r="B88" s="7">
        <v>4013</v>
      </c>
      <c r="C88" s="22" t="s">
        <v>217</v>
      </c>
      <c r="D88" s="22" t="s">
        <v>353</v>
      </c>
      <c r="E88" s="13">
        <v>42699.572453703702</v>
      </c>
      <c r="F88" s="13">
        <v>42699.58084490741</v>
      </c>
      <c r="G88" s="7">
        <v>1</v>
      </c>
      <c r="H88" s="22" t="s">
        <v>283</v>
      </c>
      <c r="I88" s="13">
        <v>42699.607453703706</v>
      </c>
      <c r="J88" s="7">
        <v>0</v>
      </c>
      <c r="K88" s="109" t="str">
        <f t="shared" si="35"/>
        <v>4013/4014</v>
      </c>
      <c r="L88" s="22" t="str">
        <f>VLOOKUP(A88,'Trips&amp;Operators'!$C$1:$E$10000,3,FALSE)</f>
        <v>SMITH</v>
      </c>
      <c r="M88" s="6">
        <f t="shared" si="36"/>
        <v>2.6608796295477077E-2</v>
      </c>
      <c r="N88" s="7">
        <f t="shared" si="37"/>
        <v>38.316666665486991</v>
      </c>
      <c r="O88" s="7"/>
      <c r="P88" s="7"/>
      <c r="Q88" s="23"/>
      <c r="R88" s="23"/>
      <c r="S88" s="35">
        <f t="shared" si="38"/>
        <v>1</v>
      </c>
      <c r="T88" s="50" t="str">
        <f t="shared" si="39"/>
        <v>Southbound</v>
      </c>
      <c r="U88" s="171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https://search-rtdc-monitor-bjffxe2xuh6vdkpspy63sjmuny.us-east-1.es.amazonaws.com/_plugin/kibana/#/discover/Steve-Slow-Train-Analysis-(2080s-and-2083s)?_g=(refreshInterval:(display:Off,section:0,value:0),time:(from:'2016-11-25 12:44:20-700',mode:absolute,to:'2016-11-25 15:34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88" s="52" t="str">
        <f t="shared" si="41"/>
        <v>N</v>
      </c>
      <c r="X88" s="177">
        <f t="shared" si="42"/>
        <v>1</v>
      </c>
      <c r="Y88" s="67">
        <f t="shared" si="43"/>
        <v>23.298400000000001</v>
      </c>
      <c r="Z88" s="67">
        <f t="shared" si="44"/>
        <v>1.67E-2</v>
      </c>
      <c r="AA88" s="67">
        <f t="shared" si="45"/>
        <v>23.281700000000001</v>
      </c>
      <c r="AB88" s="64" t="e">
        <f>VLOOKUP(A88,Enforcements!$C$7:$K$20,8,0)</f>
        <v>#N/A</v>
      </c>
      <c r="AC88" s="60" t="e">
        <f>VLOOKUP(A88,Enforcements!$C$7:$E$20,3,0)</f>
        <v>#N/A</v>
      </c>
      <c r="AD88" s="61" t="str">
        <f t="shared" si="46"/>
        <v>0176-25</v>
      </c>
      <c r="AE88" s="91" t="str">
        <f t="shared" si="47"/>
        <v>aws s3 cp s3://rtdc.mdm.uploadarchive.raw/RTDC4013/ "%USERPROFILE%\AppData\Local\Temp\OnboardLogs"\RTDC4013\2016-11-25 --exclude "*" --recursive --include "*20161125*" &amp; "%USERPROFILE%\Documents\GitHub\mrs-test-scripts\Headless Mode &amp; Sideloading\WalkAndUnGZ.bat" "%USERPROFILE%\AppData\Local\Temp\OnboardLogs"\RTDC4013\2016-11-25 &amp; aws s3 cp s3://rtdc.mdm.uploadarchive.raw/RTDC4013/ "%USERPROFILE%\AppData\Local\Temp\OnboardLogs"\RTDC4013\2016-11-26 --exclude "*" --recursive --include "*20161126*" &amp; "%USERPROFILE%\Documents\GitHub\mrs-test-scripts\Headless Mode &amp; Sideloading\WalkAndUnGZ.bat" "%USERPROFILE%\AppData\Local\Temp\OnboardLogs"\RTDC4013\2016-11-26</v>
      </c>
      <c r="AF88" s="88" t="str">
        <f t="shared" si="48"/>
        <v>"C:\Program Files (x86)\AstroGrep\AstroGrep.exe" /spath="%USERPROFILE%\AppData\Local\Temp\OnboardLogs" /stypes="app*4013*20161125*" /stext=" 21:.+((SYSTEM_STATE.+slice.+state.+changed )|(ment ac)|(system.+state.+changed )|(\[timeout)|(PRM\|1\|D)|(kpr)|(kdp)|(\|lc)|(penalty))" /e /r /s</v>
      </c>
      <c r="AG88" s="1" t="str">
        <f t="shared" si="49"/>
        <v>EC</v>
      </c>
      <c r="AH88" s="92" t="str">
        <f t="shared" si="50"/>
        <v>"%USERPROFILE%\Documents\GitHub\eaglep3\Utilities\RefineRTDCRunTimes.py" --tripid 176-25 --locoid 4013 --swversion DE.1.0.8.0 --startMP 204:232984 --initTime 2016-11-25T13:44:20 --startdatetime 2016-11-25T13:56:25 --delay 1 --endMP 204:167 --enddatetime 2016-11-25T14:34:44 --enforcementcount 0 &gt;&gt;C:\Users\stu\Documents\GitHub\eaglep3-reporting\EC\2016-11-25-refined-times.txt</v>
      </c>
      <c r="AI88" s="119" t="str">
        <f t="shared" si="51"/>
        <v>echo {"issue":{"subject":"","project_id":79,"tracker_id":40,"status_id":1,"priority_id":2,"assigned_to_id":23,"start_date":"2016-11-25","description":"","custom_fields":[{"id":1,"name":"Subdivision","value":"EC"},{"id":4,"name":"Milepost","value":"0.0167"},{"id":17,"name":"Train ID","value":"176-25"},{"id":16,"name":"Locomotive ID","value":"4013"},{"id":130,"name":"Impact","value":""},{"id":150,"name":"Time of Event (Mountain Time)","value":"14:34:44"},{"id":151,"name":"Denver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3"/>
      <c r="AK88" s="53"/>
      <c r="AL88" s="53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7" t="s">
        <v>548</v>
      </c>
      <c r="B89" s="7">
        <v>4042</v>
      </c>
      <c r="C89" s="22" t="s">
        <v>217</v>
      </c>
      <c r="D89" s="22" t="s">
        <v>243</v>
      </c>
      <c r="E89" s="13">
        <v>42699.549270833333</v>
      </c>
      <c r="F89" s="13">
        <v>42699.552245370367</v>
      </c>
      <c r="G89" s="7">
        <v>1</v>
      </c>
      <c r="H89" s="22" t="s">
        <v>200</v>
      </c>
      <c r="I89" s="13">
        <v>42699.578113425923</v>
      </c>
      <c r="J89" s="7">
        <v>0</v>
      </c>
      <c r="K89" s="109" t="str">
        <f t="shared" si="35"/>
        <v>4041/4042</v>
      </c>
      <c r="L89" s="22" t="str">
        <f>VLOOKUP(A89,'Trips&amp;Operators'!$C$1:$E$10000,3,FALSE)</f>
        <v>BRANDNER</v>
      </c>
      <c r="M89" s="6">
        <f t="shared" si="36"/>
        <v>2.5868055556202307E-2</v>
      </c>
      <c r="N89" s="7">
        <f t="shared" si="37"/>
        <v>37.250000000931323</v>
      </c>
      <c r="O89" s="7"/>
      <c r="P89" s="7"/>
      <c r="Q89" s="23"/>
      <c r="R89" s="23"/>
      <c r="S89" s="35">
        <f t="shared" si="38"/>
        <v>1</v>
      </c>
      <c r="T89" s="50" t="str">
        <f t="shared" si="39"/>
        <v>NorthBound</v>
      </c>
      <c r="U89" s="171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https://search-rtdc-monitor-bjffxe2xuh6vdkpspy63sjmuny.us-east-1.es.amazonaws.com/_plugin/kibana/#/discover/Steve-Slow-Train-Analysis-(2080s-and-2083s)?_g=(refreshInterval:(display:Off,section:0,value:0),time:(from:'2016-11-25 12:10:57-700',mode:absolute,to:'2016-11-25 14:52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89" s="52" t="str">
        <f t="shared" si="41"/>
        <v>N</v>
      </c>
      <c r="X89" s="177">
        <f t="shared" si="42"/>
        <v>1</v>
      </c>
      <c r="Y89" s="67">
        <f t="shared" si="43"/>
        <v>4.4900000000000002E-2</v>
      </c>
      <c r="Z89" s="67">
        <f t="shared" si="44"/>
        <v>23.329499999999999</v>
      </c>
      <c r="AA89" s="67">
        <f t="shared" si="45"/>
        <v>23.284600000000001</v>
      </c>
      <c r="AB89" s="64" t="e">
        <f>VLOOKUP(A89,Enforcements!$C$7:$K$20,8,0)</f>
        <v>#N/A</v>
      </c>
      <c r="AC89" s="60" t="e">
        <f>VLOOKUP(A89,Enforcements!$C$7:$E$20,3,0)</f>
        <v>#N/A</v>
      </c>
      <c r="AD89" s="61" t="str">
        <f t="shared" si="46"/>
        <v>0177-25</v>
      </c>
      <c r="AE89" s="91" t="str">
        <f t="shared" si="47"/>
        <v>aws s3 cp s3://rtdc.mdm.uploadarchive.raw/RTDC4042/ "%USERPROFILE%\AppData\Local\Temp\OnboardLogs"\RTDC4042\2016-11-25 --exclude "*" --recursive --include "*20161125*" &amp; "%USERPROFILE%\Documents\GitHub\mrs-test-scripts\Headless Mode &amp; Sideloading\WalkAndUnGZ.bat" "%USERPROFILE%\AppData\Local\Temp\OnboardLogs"\RTDC4042\2016-11-25 &amp; aws s3 cp s3://rtdc.mdm.uploadarchive.raw/RTDC4042/ "%USERPROFILE%\AppData\Local\Temp\OnboardLogs"\RTDC4042\2016-11-26 --exclude "*" --recursive --include "*20161126*" &amp; "%USERPROFILE%\Documents\GitHub\mrs-test-scripts\Headless Mode &amp; Sideloading\WalkAndUnGZ.bat" "%USERPROFILE%\AppData\Local\Temp\OnboardLogs"\RTDC4042\2016-11-26</v>
      </c>
      <c r="AF89" s="88" t="str">
        <f t="shared" si="48"/>
        <v>"C:\Program Files (x86)\AstroGrep\AstroGrep.exe" /spath="%USERPROFILE%\AppData\Local\Temp\OnboardLogs" /stypes="app*4042*20161125*" /stext=" 20:.+((SYSTEM_STATE.+slice.+state.+changed )|(ment ac)|(system.+state.+changed )|(\[timeout)|(PRM\|1\|D)|(kpr)|(kdp)|(\|lc)|(penalty))" /e /r /s</v>
      </c>
      <c r="AG89" s="1" t="str">
        <f t="shared" si="49"/>
        <v>EC</v>
      </c>
      <c r="AH89" s="92" t="str">
        <f t="shared" si="50"/>
        <v>"%USERPROFILE%\Documents\GitHub\eaglep3\Utilities\RefineRTDCRunTimes.py" --tripid 177-25 --locoid 4042 --swversion DE.1.0.8.0 --startMP 204:449 --initTime 2016-11-25T13:10:57 --startdatetime 2016-11-25T13:15:14 --delay 1 --endMP 204:233295 --enddatetime 2016-11-25T13:52:29 --enforcementcount 0 &gt;&gt;C:\Users\stu\Documents\GitHub\eaglep3-reporting\EC\2016-11-25-refined-times.txt</v>
      </c>
      <c r="AI89" s="119" t="str">
        <f t="shared" si="51"/>
        <v>echo {"issue":{"subject":"","project_id":79,"tracker_id":40,"status_id":1,"priority_id":2,"assigned_to_id":23,"start_date":"2016-11-25","description":"","custom_fields":[{"id":1,"name":"Subdivision","value":"EC"},{"id":4,"name":"Milepost","value":"23.3295"},{"id":17,"name":"Train ID","value":"177-25"},{"id":16,"name":"Locomotive ID","value":"4042"},{"id":130,"name":"Impact","value":""},{"id":150,"name":"Time of Event (Mountain Time)","value":"13:52:29"},{"id":151,"name":"Denver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3"/>
      <c r="AK89" s="53"/>
      <c r="AL89" s="53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7" t="s">
        <v>554</v>
      </c>
      <c r="B90" s="7">
        <v>4041</v>
      </c>
      <c r="C90" s="22" t="s">
        <v>217</v>
      </c>
      <c r="D90" s="22" t="s">
        <v>657</v>
      </c>
      <c r="E90" s="13">
        <v>42699.581585648149</v>
      </c>
      <c r="F90" s="13">
        <v>42699.591261574074</v>
      </c>
      <c r="G90" s="7">
        <v>1</v>
      </c>
      <c r="H90" s="22" t="s">
        <v>224</v>
      </c>
      <c r="I90" s="13">
        <v>42699.618194444447</v>
      </c>
      <c r="J90" s="7">
        <v>0</v>
      </c>
      <c r="K90" s="109" t="str">
        <f t="shared" si="35"/>
        <v>4041/4042</v>
      </c>
      <c r="L90" s="22" t="str">
        <f>VLOOKUP(A90,'Trips&amp;Operators'!$C$1:$E$10000,3,FALSE)</f>
        <v>BRANDNER</v>
      </c>
      <c r="M90" s="6">
        <f t="shared" si="36"/>
        <v>2.6932870372547768E-2</v>
      </c>
      <c r="N90" s="7">
        <f t="shared" si="37"/>
        <v>38.783333336468786</v>
      </c>
      <c r="O90" s="7"/>
      <c r="P90" s="7"/>
      <c r="Q90" s="23"/>
      <c r="R90" s="23"/>
      <c r="S90" s="35">
        <f t="shared" si="38"/>
        <v>1</v>
      </c>
      <c r="T90" s="50" t="str">
        <f t="shared" si="39"/>
        <v>Southbound</v>
      </c>
      <c r="U90" s="171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https://search-rtdc-monitor-bjffxe2xuh6vdkpspy63sjmuny.us-east-1.es.amazonaws.com/_plugin/kibana/#/discover/Steve-Slow-Train-Analysis-(2080s-and-2083s)?_g=(refreshInterval:(display:Off,section:0,value:0),time:(from:'2016-11-25 12:57:29-700',mode:absolute,to:'2016-11-25 15:50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90" s="52" t="str">
        <f t="shared" si="41"/>
        <v>N</v>
      </c>
      <c r="X90" s="177">
        <f t="shared" si="42"/>
        <v>1</v>
      </c>
      <c r="Y90" s="67">
        <f t="shared" si="43"/>
        <v>23.2974</v>
      </c>
      <c r="Z90" s="67">
        <f t="shared" si="44"/>
        <v>1.4999999999999999E-2</v>
      </c>
      <c r="AA90" s="67">
        <f t="shared" si="45"/>
        <v>23.282399999999999</v>
      </c>
      <c r="AB90" s="64" t="e">
        <f>VLOOKUP(A90,Enforcements!$C$7:$K$20,8,0)</f>
        <v>#N/A</v>
      </c>
      <c r="AC90" s="60" t="e">
        <f>VLOOKUP(A90,Enforcements!$C$7:$E$20,3,0)</f>
        <v>#N/A</v>
      </c>
      <c r="AD90" s="61" t="str">
        <f t="shared" si="46"/>
        <v>0178-25</v>
      </c>
      <c r="AE90" s="91" t="str">
        <f t="shared" si="47"/>
        <v>aws s3 cp s3://rtdc.mdm.uploadarchive.raw/RTDC4041/ "%USERPROFILE%\AppData\Local\Temp\OnboardLogs"\RTDC4041\2016-11-25 --exclude "*" --recursive --include "*20161125*" &amp; "%USERPROFILE%\Documents\GitHub\mrs-test-scripts\Headless Mode &amp; Sideloading\WalkAndUnGZ.bat" "%USERPROFILE%\AppData\Local\Temp\OnboardLogs"\RTDC4041\2016-11-25 &amp; aws s3 cp s3://rtdc.mdm.uploadarchive.raw/RTDC4041/ "%USERPROFILE%\AppData\Local\Temp\OnboardLogs"\RTDC4041\2016-11-26 --exclude "*" --recursive --include "*20161126*" &amp; "%USERPROFILE%\Documents\GitHub\mrs-test-scripts\Headless Mode &amp; Sideloading\WalkAndUnGZ.bat" "%USERPROFILE%\AppData\Local\Temp\OnboardLogs"\RTDC4041\2016-11-26</v>
      </c>
      <c r="AF90" s="88" t="str">
        <f t="shared" si="48"/>
        <v>"C:\Program Files (x86)\AstroGrep\AstroGrep.exe" /spath="%USERPROFILE%\AppData\Local\Temp\OnboardLogs" /stypes="app*4041*20161125*" /stext=" 21:.+((SYSTEM_STATE.+slice.+state.+changed )|(ment ac)|(system.+state.+changed )|(\[timeout)|(PRM\|1\|D)|(kpr)|(kdp)|(\|lc)|(penalty))" /e /r /s</v>
      </c>
      <c r="AG90" s="1" t="str">
        <f t="shared" si="49"/>
        <v>EC</v>
      </c>
      <c r="AH90" s="92" t="str">
        <f t="shared" si="50"/>
        <v>"%USERPROFILE%\Documents\GitHub\eaglep3\Utilities\RefineRTDCRunTimes.py" --tripid 178-25 --locoid 4041 --swversion DE.1.0.8.0 --startMP 204:232974 --initTime 2016-11-25T13:57:29 --startdatetime 2016-11-25T14:11:25 --delay 1 --endMP 204:150 --enddatetime 2016-11-25T14:50:12 --enforcementcount 0 &gt;&gt;C:\Users\stu\Documents\GitHub\eaglep3-reporting\EC\2016-11-25-refined-times.txt</v>
      </c>
      <c r="AI90" s="119" t="str">
        <f t="shared" si="51"/>
        <v>echo {"issue":{"subject":"","project_id":79,"tracker_id":40,"status_id":1,"priority_id":2,"assigned_to_id":23,"start_date":"2016-11-25","description":"","custom_fields":[{"id":1,"name":"Subdivision","value":"EC"},{"id":4,"name":"Milepost","value":"0.015"},{"id":17,"name":"Train ID","value":"178-25"},{"id":16,"name":"Locomotive ID","value":"4041"},{"id":130,"name":"Impact","value":""},{"id":150,"name":"Time of Event (Mountain Time)","value":"14:50:12"},{"id":151,"name":"Denver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3"/>
      <c r="AK90" s="53"/>
      <c r="AL90" s="53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7" t="s">
        <v>550</v>
      </c>
      <c r="B91" s="7">
        <v>4009</v>
      </c>
      <c r="C91" s="22" t="s">
        <v>217</v>
      </c>
      <c r="D91" s="22" t="s">
        <v>276</v>
      </c>
      <c r="E91" s="13">
        <v>42699.55940972222</v>
      </c>
      <c r="F91" s="13">
        <v>42699.562777777777</v>
      </c>
      <c r="G91" s="7">
        <v>1</v>
      </c>
      <c r="H91" s="22" t="s">
        <v>306</v>
      </c>
      <c r="I91" s="13">
        <v>42699.587326388886</v>
      </c>
      <c r="J91" s="7">
        <v>0</v>
      </c>
      <c r="K91" s="109" t="str">
        <f t="shared" si="35"/>
        <v>4009/4010</v>
      </c>
      <c r="L91" s="22" t="str">
        <f>VLOOKUP(A91,'Trips&amp;Operators'!$C$1:$E$10000,3,FALSE)</f>
        <v>MOSES</v>
      </c>
      <c r="M91" s="6">
        <f t="shared" si="36"/>
        <v>2.4548611108912155E-2</v>
      </c>
      <c r="N91" s="7">
        <f t="shared" si="37"/>
        <v>35.349999996833503</v>
      </c>
      <c r="O91" s="7"/>
      <c r="P91" s="7"/>
      <c r="Q91" s="23"/>
      <c r="R91" s="23"/>
      <c r="S91" s="35">
        <f t="shared" si="38"/>
        <v>1</v>
      </c>
      <c r="T91" s="50" t="str">
        <f t="shared" si="39"/>
        <v>NorthBound</v>
      </c>
      <c r="U91" s="171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https://search-rtdc-monitor-bjffxe2xuh6vdkpspy63sjmuny.us-east-1.es.amazonaws.com/_plugin/kibana/#/discover/Steve-Slow-Train-Analysis-(2080s-and-2083s)?_g=(refreshInterval:(display:Off,section:0,value:0),time:(from:'2016-11-25 12:25:33-700',mode:absolute,to:'2016-11-25 15:05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91" s="52" t="str">
        <f t="shared" si="41"/>
        <v>N</v>
      </c>
      <c r="X91" s="177">
        <f t="shared" si="42"/>
        <v>1</v>
      </c>
      <c r="Y91" s="67">
        <f t="shared" si="43"/>
        <v>4.5699999999999998E-2</v>
      </c>
      <c r="Z91" s="67">
        <f t="shared" si="44"/>
        <v>23.330500000000001</v>
      </c>
      <c r="AA91" s="67">
        <f t="shared" si="45"/>
        <v>23.284800000000001</v>
      </c>
      <c r="AB91" s="64" t="e">
        <f>VLOOKUP(A91,Enforcements!$C$7:$K$20,8,0)</f>
        <v>#N/A</v>
      </c>
      <c r="AC91" s="60" t="e">
        <f>VLOOKUP(A91,Enforcements!$C$7:$E$20,3,0)</f>
        <v>#N/A</v>
      </c>
      <c r="AD91" s="61" t="str">
        <f t="shared" si="46"/>
        <v>0179-25</v>
      </c>
      <c r="AE91" s="91" t="str">
        <f t="shared" si="47"/>
        <v>aws s3 cp s3://rtdc.mdm.uploadarchive.raw/RTDC4009/ "%USERPROFILE%\AppData\Local\Temp\OnboardLogs"\RTDC4009\2016-11-25 --exclude "*" --recursive --include "*20161125*" &amp; "%USERPROFILE%\Documents\GitHub\mrs-test-scripts\Headless Mode &amp; Sideloading\WalkAndUnGZ.bat" "%USERPROFILE%\AppData\Local\Temp\OnboardLogs"\RTDC4009\2016-11-25 &amp; aws s3 cp s3://rtdc.mdm.uploadarchive.raw/RTDC4009/ "%USERPROFILE%\AppData\Local\Temp\OnboardLogs"\RTDC4009\2016-11-26 --exclude "*" --recursive --include "*20161126*" &amp; "%USERPROFILE%\Documents\GitHub\mrs-test-scripts\Headless Mode &amp; Sideloading\WalkAndUnGZ.bat" "%USERPROFILE%\AppData\Local\Temp\OnboardLogs"\RTDC4009\2016-11-26</v>
      </c>
      <c r="AF91" s="88" t="str">
        <f t="shared" si="48"/>
        <v>"C:\Program Files (x86)\AstroGrep\AstroGrep.exe" /spath="%USERPROFILE%\AppData\Local\Temp\OnboardLogs" /stypes="app*4009*20161125*" /stext=" 21:.+((SYSTEM_STATE.+slice.+state.+changed )|(ment ac)|(system.+state.+changed )|(\[timeout)|(PRM\|1\|D)|(kpr)|(kdp)|(\|lc)|(penalty))" /e /r /s</v>
      </c>
      <c r="AG91" s="1" t="str">
        <f t="shared" si="49"/>
        <v>EC</v>
      </c>
      <c r="AH91" s="92" t="str">
        <f t="shared" si="50"/>
        <v>"%USERPROFILE%\Documents\GitHub\eaglep3\Utilities\RefineRTDCRunTimes.py" --tripid 179-25 --locoid 4009 --swversion DE.1.0.8.0 --startMP 204:457 --initTime 2016-11-25T13:25:33 --startdatetime 2016-11-25T13:30:24 --delay 1 --endMP 204:233305 --enddatetime 2016-11-25T14:05:45 --enforcementcount 0 &gt;&gt;C:\Users\stu\Documents\GitHub\eaglep3-reporting\EC\2016-11-25-refined-times.txt</v>
      </c>
      <c r="AI91" s="119" t="str">
        <f t="shared" si="51"/>
        <v>echo {"issue":{"subject":"","project_id":79,"tracker_id":40,"status_id":1,"priority_id":2,"assigned_to_id":23,"start_date":"2016-11-25","description":"","custom_fields":[{"id":1,"name":"Subdivision","value":"EC"},{"id":4,"name":"Milepost","value":"23.3305"},{"id":17,"name":"Train ID","value":"179-25"},{"id":16,"name":"Locomotive ID","value":"4009"},{"id":130,"name":"Impact","value":""},{"id":150,"name":"Time of Event (Mountain Time)","value":"14:05:45"},{"id":151,"name":"Denver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3"/>
      <c r="AK91" s="53"/>
      <c r="AL91" s="53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7" t="s">
        <v>555</v>
      </c>
      <c r="B92" s="7">
        <v>4010</v>
      </c>
      <c r="C92" s="22" t="s">
        <v>217</v>
      </c>
      <c r="D92" s="22" t="s">
        <v>652</v>
      </c>
      <c r="E92" s="13">
        <v>42699.596712962964</v>
      </c>
      <c r="F92" s="13">
        <v>42699.601666666669</v>
      </c>
      <c r="G92" s="7">
        <v>1</v>
      </c>
      <c r="H92" s="22" t="s">
        <v>241</v>
      </c>
      <c r="I92" s="13">
        <v>42699.630219907405</v>
      </c>
      <c r="J92" s="7">
        <v>0</v>
      </c>
      <c r="K92" s="109" t="str">
        <f t="shared" si="35"/>
        <v>4009/4010</v>
      </c>
      <c r="L92" s="22" t="str">
        <f>VLOOKUP(A92,'Trips&amp;Operators'!$C$1:$E$10000,3,FALSE)</f>
        <v>MOSES</v>
      </c>
      <c r="M92" s="6">
        <f t="shared" si="36"/>
        <v>2.8553240736073349E-2</v>
      </c>
      <c r="N92" s="7">
        <f t="shared" si="37"/>
        <v>41.116666659945622</v>
      </c>
      <c r="O92" s="7"/>
      <c r="P92" s="7"/>
      <c r="Q92" s="23"/>
      <c r="R92" s="23"/>
      <c r="S92" s="35">
        <f t="shared" si="38"/>
        <v>1</v>
      </c>
      <c r="T92" s="50" t="str">
        <f t="shared" si="39"/>
        <v>Southbound</v>
      </c>
      <c r="U92" s="171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https://search-rtdc-monitor-bjffxe2xuh6vdkpspy63sjmuny.us-east-1.es.amazonaws.com/_plugin/kibana/#/discover/Steve-Slow-Train-Analysis-(2080s-and-2083s)?_g=(refreshInterval:(display:Off,section:0,value:0),time:(from:'2016-11-25 13:19:16-700',mode:absolute,to:'2016-11-25 16:07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92" s="52" t="str">
        <f t="shared" si="41"/>
        <v>N</v>
      </c>
      <c r="X92" s="177">
        <f t="shared" si="42"/>
        <v>1</v>
      </c>
      <c r="Y92" s="67">
        <f t="shared" si="43"/>
        <v>23.2986</v>
      </c>
      <c r="Z92" s="67">
        <f t="shared" si="44"/>
        <v>1.54E-2</v>
      </c>
      <c r="AA92" s="67">
        <f t="shared" si="45"/>
        <v>23.283200000000001</v>
      </c>
      <c r="AB92" s="64" t="e">
        <f>VLOOKUP(A92,Enforcements!$C$7:$K$20,8,0)</f>
        <v>#N/A</v>
      </c>
      <c r="AC92" s="60" t="e">
        <f>VLOOKUP(A92,Enforcements!$C$7:$E$20,3,0)</f>
        <v>#N/A</v>
      </c>
      <c r="AD92" s="61" t="str">
        <f t="shared" si="46"/>
        <v>0180-25</v>
      </c>
      <c r="AE92" s="91" t="str">
        <f t="shared" si="47"/>
        <v>aws s3 cp s3://rtdc.mdm.uploadarchive.raw/RTDC4010/ "%USERPROFILE%\AppData\Local\Temp\OnboardLogs"\RTDC4010\2016-11-25 --exclude "*" --recursive --include "*20161125*" &amp; "%USERPROFILE%\Documents\GitHub\mrs-test-scripts\Headless Mode &amp; Sideloading\WalkAndUnGZ.bat" "%USERPROFILE%\AppData\Local\Temp\OnboardLogs"\RTDC4010\2016-11-25 &amp; aws s3 cp s3://rtdc.mdm.uploadarchive.raw/RTDC4010/ "%USERPROFILE%\AppData\Local\Temp\OnboardLogs"\RTDC4010\2016-11-26 --exclude "*" --recursive --include "*20161126*" &amp; "%USERPROFILE%\Documents\GitHub\mrs-test-scripts\Headless Mode &amp; Sideloading\WalkAndUnGZ.bat" "%USERPROFILE%\AppData\Local\Temp\OnboardLogs"\RTDC4010\2016-11-26</v>
      </c>
      <c r="AF92" s="88" t="str">
        <f t="shared" si="48"/>
        <v>"C:\Program Files (x86)\AstroGrep\AstroGrep.exe" /spath="%USERPROFILE%\AppData\Local\Temp\OnboardLogs" /stypes="app*4010*20161125*" /stext=" 22:.+((SYSTEM_STATE.+slice.+state.+changed )|(ment ac)|(system.+state.+changed )|(\[timeout)|(PRM\|1\|D)|(kpr)|(kdp)|(\|lc)|(penalty))" /e /r /s</v>
      </c>
      <c r="AG92" s="1" t="str">
        <f t="shared" si="49"/>
        <v>EC</v>
      </c>
      <c r="AH92" s="92" t="str">
        <f t="shared" si="50"/>
        <v>"%USERPROFILE%\Documents\GitHub\eaglep3\Utilities\RefineRTDCRunTimes.py" --tripid 180-25 --locoid 4010 --swversion DE.1.0.8.0 --startMP 204:232986 --initTime 2016-11-25T14:19:16 --startdatetime 2016-11-25T14:26:24 --delay 1 --endMP 204:154 --enddatetime 2016-11-25T15:07:31 --enforcementcount 0 &gt;&gt;C:\Users\stu\Documents\GitHub\eaglep3-reporting\EC\2016-11-25-refined-times.txt</v>
      </c>
      <c r="AI92" s="119" t="str">
        <f t="shared" si="51"/>
        <v>echo {"issue":{"subject":"","project_id":79,"tracker_id":40,"status_id":1,"priority_id":2,"assigned_to_id":23,"start_date":"2016-11-25","description":"","custom_fields":[{"id":1,"name":"Subdivision","value":"EC"},{"id":4,"name":"Milepost","value":"0.0154"},{"id":17,"name":"Train ID","value":"180-25"},{"id":16,"name":"Locomotive ID","value":"4010"},{"id":130,"name":"Impact","value":""},{"id":150,"name":"Time of Event (Mountain Time)","value":"15:07:31"},{"id":151,"name":"Denver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3"/>
      <c r="AK92" s="53"/>
      <c r="AL92" s="53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1" customFormat="1" x14ac:dyDescent="0.25">
      <c r="A93" s="37" t="s">
        <v>551</v>
      </c>
      <c r="B93" s="7">
        <v>4040</v>
      </c>
      <c r="C93" s="22" t="s">
        <v>217</v>
      </c>
      <c r="D93" s="22" t="s">
        <v>265</v>
      </c>
      <c r="E93" s="13">
        <v>42699.56962962963</v>
      </c>
      <c r="F93" s="13">
        <v>42699.573240740741</v>
      </c>
      <c r="G93" s="7">
        <v>2</v>
      </c>
      <c r="H93" s="22" t="s">
        <v>274</v>
      </c>
      <c r="I93" s="13">
        <v>42699.59752314815</v>
      </c>
      <c r="J93" s="7">
        <v>0</v>
      </c>
      <c r="K93" s="109" t="str">
        <f t="shared" si="35"/>
        <v>4039/4040</v>
      </c>
      <c r="L93" s="22" t="str">
        <f>VLOOKUP(A93,'Trips&amp;Operators'!$C$1:$E$10000,3,FALSE)</f>
        <v>ADANE</v>
      </c>
      <c r="M93" s="6">
        <f t="shared" si="36"/>
        <v>2.4282407408463769E-2</v>
      </c>
      <c r="N93" s="7">
        <f t="shared" si="37"/>
        <v>34.966666668187827</v>
      </c>
      <c r="O93" s="7"/>
      <c r="P93" s="7"/>
      <c r="Q93" s="23"/>
      <c r="R93" s="23"/>
      <c r="S93" s="35">
        <f t="shared" si="38"/>
        <v>1</v>
      </c>
      <c r="T93" s="50" t="str">
        <f t="shared" si="39"/>
        <v>NorthBound</v>
      </c>
      <c r="U93" s="171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https://search-rtdc-monitor-bjffxe2xuh6vdkpspy63sjmuny.us-east-1.es.amazonaws.com/_plugin/kibana/#/discover/Steve-Slow-Train-Analysis-(2080s-and-2083s)?_g=(refreshInterval:(display:Off,section:0,value:0),time:(from:'2016-11-25 12:40:16-700',mode:absolute,to:'2016-11-25 15:20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93" s="52" t="str">
        <f t="shared" si="41"/>
        <v>N</v>
      </c>
      <c r="X93" s="177">
        <f t="shared" si="42"/>
        <v>1</v>
      </c>
      <c r="Y93" s="67">
        <f t="shared" si="43"/>
        <v>4.4200000000000003E-2</v>
      </c>
      <c r="Z93" s="67">
        <f t="shared" si="44"/>
        <v>23.330200000000001</v>
      </c>
      <c r="AA93" s="67">
        <f t="shared" si="45"/>
        <v>23.286000000000001</v>
      </c>
      <c r="AB93" s="64" t="e">
        <f>VLOOKUP(A93,Enforcements!$C$7:$K$20,8,0)</f>
        <v>#N/A</v>
      </c>
      <c r="AC93" s="60" t="e">
        <f>VLOOKUP(A93,Enforcements!$C$7:$E$20,3,0)</f>
        <v>#N/A</v>
      </c>
      <c r="AD93" s="61" t="str">
        <f t="shared" si="46"/>
        <v>0181-25</v>
      </c>
      <c r="AE93" s="91" t="str">
        <f t="shared" si="47"/>
        <v>aws s3 cp s3://rtdc.mdm.uploadarchive.raw/RTDC4040/ "%USERPROFILE%\AppData\Local\Temp\OnboardLogs"\RTDC4040\2016-11-25 --exclude "*" --recursive --include "*20161125*" &amp; "%USERPROFILE%\Documents\GitHub\mrs-test-scripts\Headless Mode &amp; Sideloading\WalkAndUnGZ.bat" "%USERPROFILE%\AppData\Local\Temp\OnboardLogs"\RTDC4040\2016-11-25 &amp; aws s3 cp s3://rtdc.mdm.uploadarchive.raw/RTDC4040/ "%USERPROFILE%\AppData\Local\Temp\OnboardLogs"\RTDC4040\2016-11-26 --exclude "*" --recursive --include "*20161126*" &amp; "%USERPROFILE%\Documents\GitHub\mrs-test-scripts\Headless Mode &amp; Sideloading\WalkAndUnGZ.bat" "%USERPROFILE%\AppData\Local\Temp\OnboardLogs"\RTDC4040\2016-11-26</v>
      </c>
      <c r="AF93" s="88" t="str">
        <f t="shared" si="48"/>
        <v>"C:\Program Files (x86)\AstroGrep\AstroGrep.exe" /spath="%USERPROFILE%\AppData\Local\Temp\OnboardLogs" /stypes="app*4040*20161125*" /stext=" 21:.+((SYSTEM_STATE.+slice.+state.+changed )|(ment ac)|(system.+state.+changed )|(\[timeout)|(PRM\|1\|D)|(kpr)|(kdp)|(\|lc)|(penalty))" /e /r /s</v>
      </c>
      <c r="AG93" s="1" t="str">
        <f t="shared" si="49"/>
        <v>EC</v>
      </c>
      <c r="AH93" s="92" t="str">
        <f t="shared" si="50"/>
        <v>"%USERPROFILE%\Documents\GitHub\eaglep3\Utilities\RefineRTDCRunTimes.py" --tripid 181-25 --locoid 4040 --swversion DE.1.0.8.0 --startMP 204:442 --initTime 2016-11-25T13:40:16 --startdatetime 2016-11-25T13:45:28 --delay 2 --endMP 204:233302 --enddatetime 2016-11-25T14:20:26 --enforcementcount 0 &gt;&gt;C:\Users\stu\Documents\GitHub\eaglep3-reporting\EC\2016-11-25-refined-times.txt</v>
      </c>
      <c r="AI93" s="119" t="str">
        <f t="shared" si="51"/>
        <v>echo {"issue":{"subject":"","project_id":79,"tracker_id":40,"status_id":1,"priority_id":2,"assigned_to_id":23,"start_date":"2016-11-25","description":"","custom_fields":[{"id":1,"name":"Subdivision","value":"EC"},{"id":4,"name":"Milepost","value":"23.3302"},{"id":17,"name":"Train ID","value":"181-25"},{"id":16,"name":"Locomotive ID","value":"4040"},{"id":130,"name":"Impact","value":""},{"id":150,"name":"Time of Event (Mountain Time)","value":"14:20:26"},{"id":151,"name":"Denver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3"/>
      <c r="AK93" s="53"/>
      <c r="AL93" s="5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1" customFormat="1" x14ac:dyDescent="0.25">
      <c r="A94" s="37" t="s">
        <v>556</v>
      </c>
      <c r="B94" s="7">
        <v>4039</v>
      </c>
      <c r="C94" s="22" t="s">
        <v>217</v>
      </c>
      <c r="D94" s="22" t="s">
        <v>365</v>
      </c>
      <c r="E94" s="13">
        <v>42699.599062499998</v>
      </c>
      <c r="F94" s="13">
        <v>42699.612210648149</v>
      </c>
      <c r="G94" s="7">
        <v>1</v>
      </c>
      <c r="H94" s="22" t="s">
        <v>241</v>
      </c>
      <c r="I94" s="13">
        <v>42699.640231481484</v>
      </c>
      <c r="J94" s="7">
        <v>0</v>
      </c>
      <c r="K94" s="109" t="str">
        <f t="shared" si="35"/>
        <v>4039/4040</v>
      </c>
      <c r="L94" s="22" t="str">
        <f>VLOOKUP(A94,'Trips&amp;Operators'!$C$1:$E$10000,3,FALSE)</f>
        <v>ADANE</v>
      </c>
      <c r="M94" s="6">
        <f t="shared" si="36"/>
        <v>2.8020833335176576E-2</v>
      </c>
      <c r="N94" s="7">
        <f t="shared" si="37"/>
        <v>40.350000002654269</v>
      </c>
      <c r="O94" s="7"/>
      <c r="P94" s="7"/>
      <c r="Q94" s="23"/>
      <c r="R94" s="23"/>
      <c r="S94" s="35">
        <f t="shared" si="38"/>
        <v>1</v>
      </c>
      <c r="T94" s="50" t="str">
        <f t="shared" si="39"/>
        <v>Southbound</v>
      </c>
      <c r="U94" s="171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https://search-rtdc-monitor-bjffxe2xuh6vdkpspy63sjmuny.us-east-1.es.amazonaws.com/_plugin/kibana/#/discover/Steve-Slow-Train-Analysis-(2080s-and-2083s)?_g=(refreshInterval:(display:Off,section:0,value:0),time:(from:'2016-11-25 13:22:39-700',mode:absolute,to:'2016-11-25 16:21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94" s="52" t="str">
        <f t="shared" si="41"/>
        <v>N</v>
      </c>
      <c r="X94" s="177">
        <f t="shared" si="42"/>
        <v>1</v>
      </c>
      <c r="Y94" s="67">
        <f t="shared" si="43"/>
        <v>23.299600000000002</v>
      </c>
      <c r="Z94" s="67">
        <f t="shared" si="44"/>
        <v>1.54E-2</v>
      </c>
      <c r="AA94" s="67">
        <f t="shared" si="45"/>
        <v>23.284200000000002</v>
      </c>
      <c r="AB94" s="64" t="e">
        <f>VLOOKUP(A94,Enforcements!$C$7:$K$20,8,0)</f>
        <v>#N/A</v>
      </c>
      <c r="AC94" s="60" t="e">
        <f>VLOOKUP(A94,Enforcements!$C$7:$E$20,3,0)</f>
        <v>#N/A</v>
      </c>
      <c r="AD94" s="61" t="str">
        <f t="shared" si="46"/>
        <v>0182-25</v>
      </c>
      <c r="AE94" s="91" t="str">
        <f t="shared" si="47"/>
        <v>aws s3 cp s3://rtdc.mdm.uploadarchive.raw/RTDC4039/ "%USERPROFILE%\AppData\Local\Temp\OnboardLogs"\RTDC4039\2016-11-25 --exclude "*" --recursive --include "*20161125*" &amp; "%USERPROFILE%\Documents\GitHub\mrs-test-scripts\Headless Mode &amp; Sideloading\WalkAndUnGZ.bat" "%USERPROFILE%\AppData\Local\Temp\OnboardLogs"\RTDC4039\2016-11-25 &amp; aws s3 cp s3://rtdc.mdm.uploadarchive.raw/RTDC4039/ "%USERPROFILE%\AppData\Local\Temp\OnboardLogs"\RTDC4039\2016-11-26 --exclude "*" --recursive --include "*20161126*" &amp; "%USERPROFILE%\Documents\GitHub\mrs-test-scripts\Headless Mode &amp; Sideloading\WalkAndUnGZ.bat" "%USERPROFILE%\AppData\Local\Temp\OnboardLogs"\RTDC4039\2016-11-26</v>
      </c>
      <c r="AF94" s="88" t="str">
        <f t="shared" si="48"/>
        <v>"C:\Program Files (x86)\AstroGrep\AstroGrep.exe" /spath="%USERPROFILE%\AppData\Local\Temp\OnboardLogs" /stypes="app*4039*20161125*" /stext=" 22:.+((SYSTEM_STATE.+slice.+state.+changed )|(ment ac)|(system.+state.+changed )|(\[timeout)|(PRM\|1\|D)|(kpr)|(kdp)|(\|lc)|(penalty))" /e /r /s</v>
      </c>
      <c r="AG94" s="1" t="str">
        <f t="shared" si="49"/>
        <v>EC</v>
      </c>
      <c r="AH94" s="92" t="str">
        <f t="shared" si="50"/>
        <v>"%USERPROFILE%\Documents\GitHub\eaglep3\Utilities\RefineRTDCRunTimes.py" --tripid 182-25 --locoid 4039 --swversion DE.1.0.8.0 --startMP 204:232996 --initTime 2016-11-25T14:22:39 --startdatetime 2016-11-25T14:41:35 --delay 1 --endMP 204:154 --enddatetime 2016-11-25T15:21:56 --enforcementcount 0 &gt;&gt;C:\Users\stu\Documents\GitHub\eaglep3-reporting\EC\2016-11-25-refined-times.txt</v>
      </c>
      <c r="AI94" s="119" t="str">
        <f t="shared" si="51"/>
        <v>echo {"issue":{"subject":"","project_id":79,"tracker_id":40,"status_id":1,"priority_id":2,"assigned_to_id":23,"start_date":"2016-11-25","description":"","custom_fields":[{"id":1,"name":"Subdivision","value":"EC"},{"id":4,"name":"Milepost","value":"0.0154"},{"id":17,"name":"Train ID","value":"182-25"},{"id":16,"name":"Locomotive ID","value":"4039"},{"id":130,"name":"Impact","value":""},{"id":150,"name":"Time of Event (Mountain Time)","value":"15:21:56"},{"id":151,"name":"Denver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3"/>
      <c r="AK94" s="53"/>
      <c r="AL94" s="53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1" customFormat="1" x14ac:dyDescent="0.25">
      <c r="A95" s="37" t="s">
        <v>553</v>
      </c>
      <c r="B95" s="7">
        <v>4031</v>
      </c>
      <c r="C95" s="22" t="s">
        <v>217</v>
      </c>
      <c r="D95" s="22" t="s">
        <v>265</v>
      </c>
      <c r="E95" s="13">
        <v>42699.581307870372</v>
      </c>
      <c r="F95" s="13">
        <v>42699.584039351852</v>
      </c>
      <c r="G95" s="7">
        <v>1</v>
      </c>
      <c r="H95" s="22" t="s">
        <v>355</v>
      </c>
      <c r="I95" s="13">
        <v>42699.609131944446</v>
      </c>
      <c r="J95" s="7">
        <v>0</v>
      </c>
      <c r="K95" s="109" t="str">
        <f t="shared" si="35"/>
        <v>4031/4032</v>
      </c>
      <c r="L95" s="22" t="str">
        <f>VLOOKUP(A95,'Trips&amp;Operators'!$C$1:$E$10000,3,FALSE)</f>
        <v>HOLCOMB</v>
      </c>
      <c r="M95" s="6">
        <f t="shared" si="36"/>
        <v>2.5092592593864538E-2</v>
      </c>
      <c r="N95" s="7">
        <f t="shared" si="37"/>
        <v>36.133333335164934</v>
      </c>
      <c r="O95" s="7"/>
      <c r="P95" s="7"/>
      <c r="Q95" s="23"/>
      <c r="R95" s="23"/>
      <c r="S95" s="35">
        <f t="shared" si="38"/>
        <v>1</v>
      </c>
      <c r="T95" s="50" t="str">
        <f t="shared" si="39"/>
        <v>NorthBound</v>
      </c>
      <c r="U95" s="171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https://search-rtdc-monitor-bjffxe2xuh6vdkpspy63sjmuny.us-east-1.es.amazonaws.com/_plugin/kibana/#/discover/Steve-Slow-Train-Analysis-(2080s-and-2083s)?_g=(refreshInterval:(display:Off,section:0,value:0),time:(from:'2016-11-25 12:57:05-700',mode:absolute,to:'2016-11-25 15:37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95" s="52" t="str">
        <f t="shared" si="41"/>
        <v>N</v>
      </c>
      <c r="X95" s="177">
        <f t="shared" si="42"/>
        <v>1</v>
      </c>
      <c r="Y95" s="67">
        <f t="shared" si="43"/>
        <v>4.4200000000000003E-2</v>
      </c>
      <c r="Z95" s="67">
        <f t="shared" si="44"/>
        <v>23.331600000000002</v>
      </c>
      <c r="AA95" s="67">
        <f t="shared" si="45"/>
        <v>23.287400000000002</v>
      </c>
      <c r="AB95" s="64" t="e">
        <f>VLOOKUP(A95,Enforcements!$C$7:$K$20,8,0)</f>
        <v>#N/A</v>
      </c>
      <c r="AC95" s="60" t="e">
        <f>VLOOKUP(A95,Enforcements!$C$7:$E$20,3,0)</f>
        <v>#N/A</v>
      </c>
      <c r="AD95" s="61" t="str">
        <f t="shared" si="46"/>
        <v>0183-25</v>
      </c>
      <c r="AE95" s="91" t="str">
        <f t="shared" si="47"/>
        <v>aws s3 cp s3://rtdc.mdm.uploadarchive.raw/RTDC4031/ "%USERPROFILE%\AppData\Local\Temp\OnboardLogs"\RTDC4031\2016-11-25 --exclude "*" --recursive --include "*20161125*" &amp; "%USERPROFILE%\Documents\GitHub\mrs-test-scripts\Headless Mode &amp; Sideloading\WalkAndUnGZ.bat" "%USERPROFILE%\AppData\Local\Temp\OnboardLogs"\RTDC4031\2016-11-25 &amp; aws s3 cp s3://rtdc.mdm.uploadarchive.raw/RTDC4031/ "%USERPROFILE%\AppData\Local\Temp\OnboardLogs"\RTDC4031\2016-11-26 --exclude "*" --recursive --include "*20161126*" &amp; "%USERPROFILE%\Documents\GitHub\mrs-test-scripts\Headless Mode &amp; Sideloading\WalkAndUnGZ.bat" "%USERPROFILE%\AppData\Local\Temp\OnboardLogs"\RTDC4031\2016-11-26</v>
      </c>
      <c r="AF95" s="88" t="str">
        <f t="shared" si="48"/>
        <v>"C:\Program Files (x86)\AstroGrep\AstroGrep.exe" /spath="%USERPROFILE%\AppData\Local\Temp\OnboardLogs" /stypes="app*4031*20161125*" /stext=" 21:.+((SYSTEM_STATE.+slice.+state.+changed )|(ment ac)|(system.+state.+changed )|(\[timeout)|(PRM\|1\|D)|(kpr)|(kdp)|(\|lc)|(penalty))" /e /r /s</v>
      </c>
      <c r="AG95" s="1" t="str">
        <f t="shared" si="49"/>
        <v>EC</v>
      </c>
      <c r="AH95" s="92" t="str">
        <f t="shared" si="50"/>
        <v>"%USERPROFILE%\Documents\GitHub\eaglep3\Utilities\RefineRTDCRunTimes.py" --tripid 183-25 --locoid 4031 --swversion DE.1.0.8.0 --startMP 204:442 --initTime 2016-11-25T13:57:05 --startdatetime 2016-11-25T14:01:01 --delay 1 --endMP 204:233316 --enddatetime 2016-11-25T14:37:09 --enforcementcount 0 &gt;&gt;C:\Users\stu\Documents\GitHub\eaglep3-reporting\EC\2016-11-25-refined-times.txt</v>
      </c>
      <c r="AI95" s="119" t="str">
        <f t="shared" si="51"/>
        <v>echo {"issue":{"subject":"","project_id":79,"tracker_id":40,"status_id":1,"priority_id":2,"assigned_to_id":23,"start_date":"2016-11-25","description":"","custom_fields":[{"id":1,"name":"Subdivision","value":"EC"},{"id":4,"name":"Milepost","value":"23.3316"},{"id":17,"name":"Train ID","value":"183-25"},{"id":16,"name":"Locomotive ID","value":"4031"},{"id":130,"name":"Impact","value":""},{"id":150,"name":"Time of Event (Mountain Time)","value":"14:37:09"},{"id":151,"name":"Denver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3"/>
      <c r="AK95" s="53"/>
      <c r="AL95" s="53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1" customFormat="1" x14ac:dyDescent="0.25">
      <c r="A96" s="37" t="s">
        <v>437</v>
      </c>
      <c r="B96" s="7">
        <v>4032</v>
      </c>
      <c r="C96" s="22" t="s">
        <v>217</v>
      </c>
      <c r="D96" s="22" t="s">
        <v>652</v>
      </c>
      <c r="E96" s="13">
        <v>42699.616550925923</v>
      </c>
      <c r="F96" s="13">
        <v>42699.62259259259</v>
      </c>
      <c r="G96" s="7">
        <v>1</v>
      </c>
      <c r="H96" s="22" t="s">
        <v>658</v>
      </c>
      <c r="I96" s="13">
        <v>42699.649571759262</v>
      </c>
      <c r="J96" s="7">
        <v>2</v>
      </c>
      <c r="K96" s="109" t="str">
        <f t="shared" si="35"/>
        <v>4031/4032</v>
      </c>
      <c r="L96" s="22" t="str">
        <f>VLOOKUP(A96,'Trips&amp;Operators'!$C$1:$E$10000,3,FALSE)</f>
        <v>HOLCOMB</v>
      </c>
      <c r="M96" s="6">
        <f t="shared" si="36"/>
        <v>2.697916667239042E-2</v>
      </c>
      <c r="N96" s="7">
        <f t="shared" si="37"/>
        <v>38.850000008242205</v>
      </c>
      <c r="O96" s="7"/>
      <c r="P96" s="7"/>
      <c r="Q96" s="23"/>
      <c r="R96" s="23"/>
      <c r="S96" s="35">
        <f t="shared" si="38"/>
        <v>1</v>
      </c>
      <c r="T96" s="50" t="str">
        <f t="shared" si="39"/>
        <v>Southbound</v>
      </c>
      <c r="U96" s="171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https://search-rtdc-monitor-bjffxe2xuh6vdkpspy63sjmuny.us-east-1.es.amazonaws.com/_plugin/kibana/#/discover/Steve-Slow-Train-Analysis-(2080s-and-2083s)?_g=(refreshInterval:(display:Off,section:0,value:0),time:(from:'2016-11-25 13:47:50-700',mode:absolute,to:'2016-11-25 16:35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96" s="52" t="str">
        <f t="shared" si="41"/>
        <v>N</v>
      </c>
      <c r="X96" s="177">
        <f t="shared" si="42"/>
        <v>1</v>
      </c>
      <c r="Y96" s="67">
        <f t="shared" si="43"/>
        <v>23.2986</v>
      </c>
      <c r="Z96" s="67">
        <f t="shared" si="44"/>
        <v>1.8700000000000001E-2</v>
      </c>
      <c r="AA96" s="67">
        <f t="shared" si="45"/>
        <v>23.279900000000001</v>
      </c>
      <c r="AB96" s="64" t="str">
        <f>VLOOKUP(A96,Enforcements!$C$7:$K$20,8,0)</f>
        <v>Speed (6)</v>
      </c>
      <c r="AC96" s="60" t="str">
        <f>VLOOKUP(A96,Enforcements!$C$7:$E$20,3,0)</f>
        <v>PERMANENT SPEED RESTRICTION</v>
      </c>
      <c r="AD96" s="61" t="str">
        <f t="shared" si="46"/>
        <v>0184-25</v>
      </c>
      <c r="AE96" s="91" t="str">
        <f t="shared" si="47"/>
        <v>aws s3 cp s3://rtdc.mdm.uploadarchive.raw/RTDC4032/ "%USERPROFILE%\AppData\Local\Temp\OnboardLogs"\RTDC4032\2016-11-25 --exclude "*" --recursive --include "*20161125*" &amp; "%USERPROFILE%\Documents\GitHub\mrs-test-scripts\Headless Mode &amp; Sideloading\WalkAndUnGZ.bat" "%USERPROFILE%\AppData\Local\Temp\OnboardLogs"\RTDC4032\2016-11-25 &amp; aws s3 cp s3://rtdc.mdm.uploadarchive.raw/RTDC4032/ "%USERPROFILE%\AppData\Local\Temp\OnboardLogs"\RTDC4032\2016-11-26 --exclude "*" --recursive --include "*20161126*" &amp; "%USERPROFILE%\Documents\GitHub\mrs-test-scripts\Headless Mode &amp; Sideloading\WalkAndUnGZ.bat" "%USERPROFILE%\AppData\Local\Temp\OnboardLogs"\RTDC4032\2016-11-26</v>
      </c>
      <c r="AF96" s="88" t="str">
        <f t="shared" si="48"/>
        <v>"C:\Program Files (x86)\AstroGrep\AstroGrep.exe" /spath="%USERPROFILE%\AppData\Local\Temp\OnboardLogs" /stypes="app*4032*20161125*" /stext=" 22:.+((SYSTEM_STATE.+slice.+state.+changed )|(ment ac)|(system.+state.+changed )|(\[timeout)|(PRM\|1\|D)|(kpr)|(kdp)|(\|lc)|(penalty))" /e /r /s</v>
      </c>
      <c r="AG96" s="1" t="str">
        <f t="shared" si="49"/>
        <v>EC</v>
      </c>
      <c r="AH96" s="92" t="str">
        <f t="shared" si="50"/>
        <v>"%USERPROFILE%\Documents\GitHub\eaglep3\Utilities\RefineRTDCRunTimes.py" --tripid 184-25 --locoid 4032 --swversion DE.1.0.8.0 --startMP 204:232986 --initTime 2016-11-25T14:47:50 --startdatetime 2016-11-25T14:56:32 --delay 1 --endMP 204:187 --enddatetime 2016-11-25T15:35:23 --enforcementcount 2 &gt;&gt;C:\Users\stu\Documents\GitHub\eaglep3-reporting\EC\2016-11-25-refined-times.txt</v>
      </c>
      <c r="AI96" s="119" t="str">
        <f t="shared" si="51"/>
        <v>echo {"issue":{"subject":"","project_id":79,"tracker_id":40,"status_id":1,"priority_id":2,"assigned_to_id":23,"start_date":"2016-11-25","description":"","custom_fields":[{"id":1,"name":"Subdivision","value":"EC"},{"id":4,"name":"Milepost","value":"0.0187"},{"id":17,"name":"Train ID","value":"184-25"},{"id":16,"name":"Locomotive ID","value":"4032"},{"id":130,"name":"Impact","value":""},{"id":150,"name":"Time of Event (Mountain Time)","value":"15:35:23"},{"id":151,"name":"Denver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3"/>
      <c r="AK96" s="53"/>
      <c r="AL96" s="53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1" customFormat="1" x14ac:dyDescent="0.25">
      <c r="A97" s="37" t="s">
        <v>435</v>
      </c>
      <c r="B97" s="7">
        <v>4046</v>
      </c>
      <c r="C97" s="22" t="s">
        <v>217</v>
      </c>
      <c r="D97" s="22" t="s">
        <v>374</v>
      </c>
      <c r="E97" s="13">
        <v>42699.589571759258</v>
      </c>
      <c r="F97" s="13">
        <v>42699.60565972222</v>
      </c>
      <c r="G97" s="7">
        <v>6</v>
      </c>
      <c r="H97" s="22" t="s">
        <v>659</v>
      </c>
      <c r="I97" s="13">
        <v>42699.606423611112</v>
      </c>
      <c r="J97" s="7">
        <v>1</v>
      </c>
      <c r="K97" s="109" t="str">
        <f t="shared" si="35"/>
        <v>4045/4046</v>
      </c>
      <c r="L97" s="22" t="str">
        <f>VLOOKUP(A97,'Trips&amp;Operators'!$C$1:$E$10000,3,FALSE)</f>
        <v>STORY</v>
      </c>
      <c r="M97" s="6">
        <f t="shared" si="36"/>
        <v>7.638888928340748E-4</v>
      </c>
      <c r="N97" s="7"/>
      <c r="O97" s="7"/>
      <c r="P97" s="7">
        <f>24*60*SUM($M97:$M98)</f>
        <v>2.2000000113621354</v>
      </c>
      <c r="Q97" s="23"/>
      <c r="R97" s="23" t="s">
        <v>790</v>
      </c>
      <c r="S97" s="35">
        <f>SUM(U97:U98)/IF(AG97="EC",12,1)</f>
        <v>0.58333333333333337</v>
      </c>
      <c r="T97" s="50" t="str">
        <f t="shared" si="39"/>
        <v>NorthBound</v>
      </c>
      <c r="U97" s="171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6</v>
      </c>
      <c r="V97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https://search-rtdc-monitor-bjffxe2xuh6vdkpspy63sjmuny.us-east-1.es.amazonaws.com/_plugin/kibana/#/discover/Steve-Slow-Train-Analysis-(2080s-and-2083s)?_g=(refreshInterval:(display:Off,section:0,value:0),time:(from:'2016-11-25 13:08:59-700',mode:absolute,to:'2016-11-25 15:33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97" s="52" t="str">
        <f t="shared" si="41"/>
        <v>Y</v>
      </c>
      <c r="X97" s="177">
        <f t="shared" si="42"/>
        <v>1</v>
      </c>
      <c r="Y97" s="67">
        <f t="shared" si="43"/>
        <v>4.7500000000000001E-2</v>
      </c>
      <c r="Z97" s="67">
        <f t="shared" si="44"/>
        <v>5.4806999999999997</v>
      </c>
      <c r="AA97" s="67">
        <f t="shared" si="45"/>
        <v>5.4331999999999994</v>
      </c>
      <c r="AB97" s="64" t="str">
        <f>VLOOKUP(A97,Enforcements!$C$7:$K$20,8,0)</f>
        <v>Bulletin (2)</v>
      </c>
      <c r="AC97" s="60" t="str">
        <f>VLOOKUP(A97,Enforcements!$C$7:$E$20,3,0)</f>
        <v>GRADE CROSSING</v>
      </c>
      <c r="AD97" s="61" t="str">
        <f t="shared" si="46"/>
        <v>0185-25</v>
      </c>
      <c r="AE97" s="91" t="str">
        <f t="shared" si="47"/>
        <v>aws s3 cp s3://rtdc.mdm.uploadarchive.raw/RTDC4046/ "%USERPROFILE%\AppData\Local\Temp\OnboardLogs"\RTDC4046\2016-11-25 --exclude "*" --recursive --include "*20161125*" &amp; "%USERPROFILE%\Documents\GitHub\mrs-test-scripts\Headless Mode &amp; Sideloading\WalkAndUnGZ.bat" "%USERPROFILE%\AppData\Local\Temp\OnboardLogs"\RTDC4046\2016-11-25 &amp; aws s3 cp s3://rtdc.mdm.uploadarchive.raw/RTDC4046/ "%USERPROFILE%\AppData\Local\Temp\OnboardLogs"\RTDC4046\2016-11-26 --exclude "*" --recursive --include "*20161126*" &amp; "%USERPROFILE%\Documents\GitHub\mrs-test-scripts\Headless Mode &amp; Sideloading\WalkAndUnGZ.bat" "%USERPROFILE%\AppData\Local\Temp\OnboardLogs"\RTDC4046\2016-11-26</v>
      </c>
      <c r="AF97" s="88" t="str">
        <f t="shared" si="48"/>
        <v>"C:\Program Files (x86)\AstroGrep\AstroGrep.exe" /spath="%USERPROFILE%\AppData\Local\Temp\OnboardLogs" /stypes="app*4046*20161125*" /stext=" 21:.+((SYSTEM_STATE.+slice.+state.+changed )|(ment ac)|(system.+state.+changed )|(\[timeout)|(PRM\|1\|D)|(kpr)|(kdp)|(\|lc)|(penalty))" /e /r /s</v>
      </c>
      <c r="AG97" s="1" t="str">
        <f t="shared" si="49"/>
        <v>EC</v>
      </c>
      <c r="AH97" s="92" t="str">
        <f t="shared" si="50"/>
        <v>"%USERPROFILE%\Documents\GitHub\eaglep3\Utilities\RefineRTDCRunTimes.py" --tripid 185-25 --locoid 4046 --swversion DE.1.0.8.0 --startMP 204:475 --initTime 2016-11-25T14:08:59 --startdatetime 2016-11-25T14:32:09 --delay 6 --endMP 204:54807 --enddatetime 2016-11-25T14:33:15 --enforcementcount 1 &gt;&gt;C:\Users\stu\Documents\GitHub\eaglep3-reporting\EC\2016-11-25-refined-times.txt</v>
      </c>
      <c r="AI97" s="119" t="str">
        <f t="shared" si="51"/>
        <v>echo {"issue":{"subject":"Wi-MAX data drop","project_id":79,"tracker_id":40,"status_id":1,"priority_id":2,"assigned_to_id":23,"start_date":"2016-11-25","description":"","custom_fields":[{"id":1,"name":"Subdivision","value":"EC"},{"id":4,"name":"Milepost","value":"5.4807"},{"id":17,"name":"Train ID","value":"185-25"},{"id":16,"name":"Locomotive ID","value":"4046"},{"id":130,"name":"Impact","value":""},{"id":150,"name":"Time of Event (Mountain Time)","value":"14:33:15"},{"id":151,"name":"Denver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3"/>
      <c r="AK97" s="53"/>
      <c r="AL97" s="53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x14ac:dyDescent="0.25">
      <c r="A98" s="37" t="s">
        <v>435</v>
      </c>
      <c r="B98" s="7">
        <v>4046</v>
      </c>
      <c r="C98" s="22" t="s">
        <v>217</v>
      </c>
      <c r="D98" s="22" t="s">
        <v>660</v>
      </c>
      <c r="E98" s="13">
        <v>42699.604166666664</v>
      </c>
      <c r="F98" s="13">
        <v>42699.60565972222</v>
      </c>
      <c r="G98" s="7">
        <v>1</v>
      </c>
      <c r="H98" s="22" t="s">
        <v>661</v>
      </c>
      <c r="I98" s="13">
        <v>42699.606423611112</v>
      </c>
      <c r="J98" s="7">
        <v>0</v>
      </c>
      <c r="K98" s="109" t="str">
        <f t="shared" si="35"/>
        <v>4045/4046</v>
      </c>
      <c r="L98" s="22" t="str">
        <f>VLOOKUP(A98,'Trips&amp;Operators'!$C$1:$E$10000,3,FALSE)</f>
        <v>STORY</v>
      </c>
      <c r="M98" s="6">
        <f t="shared" si="36"/>
        <v>7.638888928340748E-4</v>
      </c>
      <c r="N98" s="7"/>
      <c r="O98" s="7"/>
      <c r="P98" s="7"/>
      <c r="Q98" s="23"/>
      <c r="R98" s="23"/>
      <c r="S98" s="35"/>
      <c r="T98" s="50" t="str">
        <f t="shared" si="39"/>
        <v>NorthBound</v>
      </c>
      <c r="U98" s="171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</v>
      </c>
      <c r="V98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https://search-rtdc-monitor-bjffxe2xuh6vdkpspy63sjmuny.us-east-1.es.amazonaws.com/_plugin/kibana/#/discover/Steve-Slow-Train-Analysis-(2080s-and-2083s)?_g=(refreshInterval:(display:Off,section:0,value:0),time:(from:'2016-11-25 13:30:00-700',mode:absolute,to:'2016-11-25 15:33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98" s="52" t="str">
        <f t="shared" si="41"/>
        <v>Y</v>
      </c>
      <c r="X98" s="177">
        <f t="shared" si="42"/>
        <v>0</v>
      </c>
      <c r="Y98" s="67">
        <f t="shared" si="43"/>
        <v>6.0593000000000004</v>
      </c>
      <c r="Z98" s="67">
        <f t="shared" si="44"/>
        <v>6.3482000000000003</v>
      </c>
      <c r="AA98" s="67">
        <f t="shared" si="45"/>
        <v>0.28889999999999993</v>
      </c>
      <c r="AB98" s="64" t="str">
        <f>VLOOKUP(A98,Enforcements!$C$7:$K$20,8,0)</f>
        <v>Bulletin (2)</v>
      </c>
      <c r="AC98" s="60" t="str">
        <f>VLOOKUP(A98,Enforcements!$C$7:$E$20,3,0)</f>
        <v>GRADE CROSSING</v>
      </c>
      <c r="AD98" s="61" t="str">
        <f t="shared" si="46"/>
        <v>0185-25</v>
      </c>
      <c r="AE98" s="91" t="str">
        <f t="shared" si="47"/>
        <v>aws s3 cp s3://rtdc.mdm.uploadarchive.raw/RTDC4046/ "%USERPROFILE%\AppData\Local\Temp\OnboardLogs"\RTDC4046\2016-11-25 --exclude "*" --recursive --include "*20161125*" &amp; "%USERPROFILE%\Documents\GitHub\mrs-test-scripts\Headless Mode &amp; Sideloading\WalkAndUnGZ.bat" "%USERPROFILE%\AppData\Local\Temp\OnboardLogs"\RTDC4046\2016-11-25 &amp; aws s3 cp s3://rtdc.mdm.uploadarchive.raw/RTDC4046/ "%USERPROFILE%\AppData\Local\Temp\OnboardLogs"\RTDC4046\2016-11-26 --exclude "*" --recursive --include "*20161126*" &amp; "%USERPROFILE%\Documents\GitHub\mrs-test-scripts\Headless Mode &amp; Sideloading\WalkAndUnGZ.bat" "%USERPROFILE%\AppData\Local\Temp\OnboardLogs"\RTDC4046\2016-11-26</v>
      </c>
      <c r="AF98" s="88" t="str">
        <f t="shared" si="48"/>
        <v>"C:\Program Files (x86)\AstroGrep\AstroGrep.exe" /spath="%USERPROFILE%\AppData\Local\Temp\OnboardLogs" /stypes="app*4046*20161125*" /stext=" 21:.+((SYSTEM_STATE.+slice.+state.+changed )|(ment ac)|(system.+state.+changed )|(\[timeout)|(PRM\|1\|D)|(kpr)|(kdp)|(\|lc)|(penalty))" /e /r /s</v>
      </c>
      <c r="AG98" s="1" t="str">
        <f t="shared" si="49"/>
        <v>EC</v>
      </c>
      <c r="AH98" s="92" t="str">
        <f t="shared" si="50"/>
        <v>"%USERPROFILE%\Documents\GitHub\eaglep3\Utilities\RefineRTDCRunTimes.py" --tripid 185-25 --locoid 4046 --swversion DE.1.0.8.0 --startMP 204:60593 --initTime 2016-11-25T14:30:00 --startdatetime 2016-11-25T14:32:09 --delay 1 --endMP 204:63482 --enddatetime 2016-11-25T14:33:15 --enforcementcount 0 &gt;&gt;C:\Users\stu\Documents\GitHub\eaglep3-reporting\EC\2016-11-25-refined-times.txt</v>
      </c>
      <c r="AI98" s="119" t="str">
        <f t="shared" si="51"/>
        <v>echo {"issue":{"subject":"","project_id":79,"tracker_id":40,"status_id":1,"priority_id":2,"assigned_to_id":23,"start_date":"2016-11-25","description":"","custom_fields":[{"id":1,"name":"Subdivision","value":"EC"},{"id":4,"name":"Milepost","value":"6.3482"},{"id":17,"name":"Train ID","value":"185-25"},{"id":16,"name":"Locomotive ID","value":"4046"},{"id":130,"name":"Impact","value":""},{"id":150,"name":"Time of Event (Mountain Time)","value":"14:33:15"},{"id":151,"name":"Denver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3"/>
      <c r="AK98" s="53"/>
      <c r="AL98" s="53"/>
    </row>
    <row r="99" spans="1:91" x14ac:dyDescent="0.25">
      <c r="A99" s="37" t="s">
        <v>439</v>
      </c>
      <c r="B99" s="7">
        <v>4045</v>
      </c>
      <c r="C99" s="22" t="s">
        <v>217</v>
      </c>
      <c r="D99" s="22" t="s">
        <v>305</v>
      </c>
      <c r="E99" s="13">
        <v>42699.630578703705</v>
      </c>
      <c r="F99" s="13">
        <v>42699.632986111108</v>
      </c>
      <c r="G99" s="7">
        <v>1</v>
      </c>
      <c r="H99" s="22" t="s">
        <v>224</v>
      </c>
      <c r="I99" s="13">
        <v>42699.660902777781</v>
      </c>
      <c r="J99" s="7">
        <v>1</v>
      </c>
      <c r="K99" s="109" t="str">
        <f t="shared" si="35"/>
        <v>4045/4046</v>
      </c>
      <c r="L99" s="22" t="str">
        <f>VLOOKUP(A99,'Trips&amp;Operators'!$C$1:$E$10000,3,FALSE)</f>
        <v>STORY</v>
      </c>
      <c r="M99" s="6">
        <f t="shared" si="36"/>
        <v>2.7916666673263535E-2</v>
      </c>
      <c r="N99" s="7">
        <f t="shared" si="37"/>
        <v>40.20000000949949</v>
      </c>
      <c r="O99" s="7"/>
      <c r="P99" s="7"/>
      <c r="Q99" s="23"/>
      <c r="R99" s="23"/>
      <c r="S99" s="35">
        <f t="shared" si="38"/>
        <v>1</v>
      </c>
      <c r="T99" s="50" t="str">
        <f t="shared" si="39"/>
        <v>Southbound</v>
      </c>
      <c r="U99" s="171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https://search-rtdc-monitor-bjffxe2xuh6vdkpspy63sjmuny.us-east-1.es.amazonaws.com/_plugin/kibana/#/discover/Steve-Slow-Train-Analysis-(2080s-and-2083s)?_g=(refreshInterval:(display:Off,section:0,value:0),time:(from:'2016-11-25 14:08:02-700',mode:absolute,to:'2016-11-25 16:51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99" s="52" t="str">
        <f t="shared" si="41"/>
        <v>N</v>
      </c>
      <c r="X99" s="177">
        <f t="shared" si="42"/>
        <v>1</v>
      </c>
      <c r="Y99" s="67">
        <f t="shared" si="43"/>
        <v>23.3</v>
      </c>
      <c r="Z99" s="67">
        <f t="shared" si="44"/>
        <v>1.4999999999999999E-2</v>
      </c>
      <c r="AA99" s="67">
        <f t="shared" si="45"/>
        <v>23.285</v>
      </c>
      <c r="AB99" s="64" t="str">
        <f>VLOOKUP(A99,Enforcements!$C$7:$K$20,8,0)</f>
        <v>Signal based authority (5)</v>
      </c>
      <c r="AC99" s="60" t="str">
        <f>VLOOKUP(A99,Enforcements!$C$7:$E$20,3,0)</f>
        <v>SIGNAL</v>
      </c>
      <c r="AD99" s="61" t="str">
        <f t="shared" si="46"/>
        <v>0186-25</v>
      </c>
      <c r="AE99" s="91" t="str">
        <f t="shared" si="47"/>
        <v>aws s3 cp s3://rtdc.mdm.uploadarchive.raw/RTDC4045/ "%USERPROFILE%\AppData\Local\Temp\OnboardLogs"\RTDC4045\2016-11-25 --exclude "*" --recursive --include "*20161125*" &amp; "%USERPROFILE%\Documents\GitHub\mrs-test-scripts\Headless Mode &amp; Sideloading\WalkAndUnGZ.bat" "%USERPROFILE%\AppData\Local\Temp\OnboardLogs"\RTDC4045\2016-11-25 &amp; aws s3 cp s3://rtdc.mdm.uploadarchive.raw/RTDC4045/ "%USERPROFILE%\AppData\Local\Temp\OnboardLogs"\RTDC4045\2016-11-26 --exclude "*" --recursive --include "*20161126*" &amp; "%USERPROFILE%\Documents\GitHub\mrs-test-scripts\Headless Mode &amp; Sideloading\WalkAndUnGZ.bat" "%USERPROFILE%\AppData\Local\Temp\OnboardLogs"\RTDC4045\2016-11-26</v>
      </c>
      <c r="AF99" s="88" t="str">
        <f t="shared" si="48"/>
        <v>"C:\Program Files (x86)\AstroGrep\AstroGrep.exe" /spath="%USERPROFILE%\AppData\Local\Temp\OnboardLogs" /stypes="app*4045*20161125*" /stext=" 22:.+((SYSTEM_STATE.+slice.+state.+changed )|(ment ac)|(system.+state.+changed )|(\[timeout)|(PRM\|1\|D)|(kpr)|(kdp)|(\|lc)|(penalty))" /e /r /s</v>
      </c>
      <c r="AG99" s="1" t="str">
        <f t="shared" si="49"/>
        <v>EC</v>
      </c>
      <c r="AH99" s="92" t="str">
        <f t="shared" si="50"/>
        <v>"%USERPROFILE%\Documents\GitHub\eaglep3\Utilities\RefineRTDCRunTimes.py" --tripid 186-25 --locoid 4045 --swversion DE.1.0.8.0 --startMP 204:233000 --initTime 2016-11-25T15:08:02 --startdatetime 2016-11-25T15:11:30 --delay 1 --endMP 204:150 --enddatetime 2016-11-25T15:51:42 --enforcementcount 1 &gt;&gt;C:\Users\stu\Documents\GitHub\eaglep3-reporting\EC\2016-11-25-refined-times.txt</v>
      </c>
      <c r="AI99" s="119" t="str">
        <f t="shared" si="51"/>
        <v>echo {"issue":{"subject":"","project_id":79,"tracker_id":40,"status_id":1,"priority_id":2,"assigned_to_id":23,"start_date":"2016-11-25","description":"","custom_fields":[{"id":1,"name":"Subdivision","value":"EC"},{"id":4,"name":"Milepost","value":"0.015"},{"id":17,"name":"Train ID","value":"186-25"},{"id":16,"name":"Locomotive ID","value":"4045"},{"id":130,"name":"Impact","value":""},{"id":150,"name":"Time of Event (Mountain Time)","value":"15:51:42"},{"id":151,"name":"Denver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3"/>
      <c r="AK99" s="53"/>
      <c r="AL99" s="53"/>
    </row>
    <row r="100" spans="1:91" x14ac:dyDescent="0.25">
      <c r="A100" s="37" t="s">
        <v>557</v>
      </c>
      <c r="B100" s="7">
        <v>4011</v>
      </c>
      <c r="C100" s="22" t="s">
        <v>217</v>
      </c>
      <c r="D100" s="22" t="s">
        <v>243</v>
      </c>
      <c r="E100" s="13">
        <v>42699.600671296299</v>
      </c>
      <c r="F100" s="13">
        <v>42699.604675925926</v>
      </c>
      <c r="G100" s="7">
        <v>1</v>
      </c>
      <c r="H100" s="22" t="s">
        <v>662</v>
      </c>
      <c r="I100" s="13">
        <v>42699.629513888889</v>
      </c>
      <c r="J100" s="7">
        <v>0</v>
      </c>
      <c r="K100" s="109" t="str">
        <f t="shared" si="35"/>
        <v>4011/4012</v>
      </c>
      <c r="L100" s="22" t="str">
        <f>VLOOKUP(A100,'Trips&amp;Operators'!$C$1:$E$10000,3,FALSE)</f>
        <v>DAVIS</v>
      </c>
      <c r="M100" s="6">
        <f t="shared" si="36"/>
        <v>2.4837962962919846E-2</v>
      </c>
      <c r="N100" s="7">
        <f t="shared" si="37"/>
        <v>35.766666666604578</v>
      </c>
      <c r="O100" s="7"/>
      <c r="P100" s="7"/>
      <c r="Q100" s="23"/>
      <c r="R100" s="23"/>
      <c r="S100" s="35">
        <f t="shared" si="38"/>
        <v>1</v>
      </c>
      <c r="T100" s="50" t="str">
        <f t="shared" si="39"/>
        <v>NorthBound</v>
      </c>
      <c r="U100" s="171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https://search-rtdc-monitor-bjffxe2xuh6vdkpspy63sjmuny.us-east-1.es.amazonaws.com/_plugin/kibana/#/discover/Steve-Slow-Train-Analysis-(2080s-and-2083s)?_g=(refreshInterval:(display:Off,section:0,value:0),time:(from:'2016-11-25 13:24:58-700',mode:absolute,to:'2016-11-25 16:06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00" s="52" t="str">
        <f t="shared" si="41"/>
        <v>N</v>
      </c>
      <c r="X100" s="177">
        <f t="shared" si="42"/>
        <v>1</v>
      </c>
      <c r="Y100" s="67">
        <f t="shared" si="43"/>
        <v>4.4900000000000002E-2</v>
      </c>
      <c r="Z100" s="67">
        <f t="shared" si="44"/>
        <v>23.3324</v>
      </c>
      <c r="AA100" s="67">
        <f t="shared" si="45"/>
        <v>23.287500000000001</v>
      </c>
      <c r="AB100" s="64" t="e">
        <f>VLOOKUP(A100,Enforcements!$C$7:$K$20,8,0)</f>
        <v>#N/A</v>
      </c>
      <c r="AC100" s="60" t="e">
        <f>VLOOKUP(A100,Enforcements!$C$7:$E$20,3,0)</f>
        <v>#N/A</v>
      </c>
      <c r="AD100" s="61" t="str">
        <f t="shared" si="46"/>
        <v>0187-25</v>
      </c>
      <c r="AE100" s="91" t="str">
        <f t="shared" si="47"/>
        <v>aws s3 cp s3://rtdc.mdm.uploadarchive.raw/RTDC4011/ "%USERPROFILE%\AppData\Local\Temp\OnboardLogs"\RTDC4011\2016-11-25 --exclude "*" --recursive --include "*20161125*" &amp; "%USERPROFILE%\Documents\GitHub\mrs-test-scripts\Headless Mode &amp; Sideloading\WalkAndUnGZ.bat" "%USERPROFILE%\AppData\Local\Temp\OnboardLogs"\RTDC4011\2016-11-25 &amp; aws s3 cp s3://rtdc.mdm.uploadarchive.raw/RTDC4011/ "%USERPROFILE%\AppData\Local\Temp\OnboardLogs"\RTDC4011\2016-11-26 --exclude "*" --recursive --include "*20161126*" &amp; "%USERPROFILE%\Documents\GitHub\mrs-test-scripts\Headless Mode &amp; Sideloading\WalkAndUnGZ.bat" "%USERPROFILE%\AppData\Local\Temp\OnboardLogs"\RTDC4011\2016-11-26</v>
      </c>
      <c r="AF100" s="88" t="str">
        <f t="shared" si="48"/>
        <v>"C:\Program Files (x86)\AstroGrep\AstroGrep.exe" /spath="%USERPROFILE%\AppData\Local\Temp\OnboardLogs" /stypes="app*4011*20161125*" /stext=" 22:.+((SYSTEM_STATE.+slice.+state.+changed )|(ment ac)|(system.+state.+changed )|(\[timeout)|(PRM\|1\|D)|(kpr)|(kdp)|(\|lc)|(penalty))" /e /r /s</v>
      </c>
      <c r="AG100" s="1" t="str">
        <f t="shared" si="49"/>
        <v>EC</v>
      </c>
      <c r="AH100" s="92" t="str">
        <f t="shared" si="50"/>
        <v>"%USERPROFILE%\Documents\GitHub\eaglep3\Utilities\RefineRTDCRunTimes.py" --tripid 187-25 --locoid 4011 --swversion DE.1.0.8.0 --startMP 204:449 --initTime 2016-11-25T14:24:58 --startdatetime 2016-11-25T14:30:44 --delay 1 --endMP 204:233324 --enddatetime 2016-11-25T15:06:30 --enforcementcount 0 &gt;&gt;C:\Users\stu\Documents\GitHub\eaglep3-reporting\EC\2016-11-25-refined-times.txt</v>
      </c>
      <c r="AI100" s="119" t="str">
        <f t="shared" si="51"/>
        <v>echo {"issue":{"subject":"","project_id":79,"tracker_id":40,"status_id":1,"priority_id":2,"assigned_to_id":23,"start_date":"2016-11-25","description":"","custom_fields":[{"id":1,"name":"Subdivision","value":"EC"},{"id":4,"name":"Milepost","value":"23.3324"},{"id":17,"name":"Train ID","value":"187-25"},{"id":16,"name":"Locomotive ID","value":"4011"},{"id":130,"name":"Impact","value":""},{"id":150,"name":"Time of Event (Mountain Time)","value":"15:06:30"},{"id":151,"name":"Denver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3"/>
      <c r="AK100" s="53"/>
      <c r="AL100" s="53"/>
    </row>
    <row r="101" spans="1:91" s="21" customFormat="1" x14ac:dyDescent="0.25">
      <c r="A101" s="37" t="s">
        <v>443</v>
      </c>
      <c r="B101" s="7">
        <v>4012</v>
      </c>
      <c r="C101" s="22" t="s">
        <v>217</v>
      </c>
      <c r="D101" s="22" t="s">
        <v>296</v>
      </c>
      <c r="E101" s="13">
        <v>42699.639374999999</v>
      </c>
      <c r="F101" s="13">
        <v>42699.643611111111</v>
      </c>
      <c r="G101" s="7">
        <v>1</v>
      </c>
      <c r="H101" s="22" t="s">
        <v>663</v>
      </c>
      <c r="I101" s="13">
        <v>42699.673298611109</v>
      </c>
      <c r="J101" s="7">
        <v>1</v>
      </c>
      <c r="K101" s="109" t="str">
        <f t="shared" si="35"/>
        <v>4011/4012</v>
      </c>
      <c r="L101" s="22" t="str">
        <f>VLOOKUP(A101,'Trips&amp;Operators'!$C$1:$E$10000,3,FALSE)</f>
        <v>DAVIS</v>
      </c>
      <c r="M101" s="6">
        <f t="shared" si="36"/>
        <v>2.9687499998544808E-2</v>
      </c>
      <c r="N101" s="7">
        <f t="shared" si="37"/>
        <v>42.749999997904524</v>
      </c>
      <c r="O101" s="7"/>
      <c r="P101" s="7"/>
      <c r="Q101" s="23"/>
      <c r="R101" s="23"/>
      <c r="S101" s="35">
        <f t="shared" si="38"/>
        <v>1</v>
      </c>
      <c r="T101" s="50" t="str">
        <f t="shared" si="39"/>
        <v>Southbound</v>
      </c>
      <c r="U101" s="171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https://search-rtdc-monitor-bjffxe2xuh6vdkpspy63sjmuny.us-east-1.es.amazonaws.com/_plugin/kibana/#/discover/Steve-Slow-Train-Analysis-(2080s-and-2083s)?_g=(refreshInterval:(display:Off,section:0,value:0),time:(from:'2016-11-25 14:20:42-700',mode:absolute,to:'2016-11-25 17:09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01" s="52" t="str">
        <f t="shared" si="41"/>
        <v>N</v>
      </c>
      <c r="X101" s="177">
        <f t="shared" si="42"/>
        <v>1</v>
      </c>
      <c r="Y101" s="67">
        <f t="shared" si="43"/>
        <v>23.297799999999999</v>
      </c>
      <c r="Z101" s="67">
        <f t="shared" si="44"/>
        <v>2.01E-2</v>
      </c>
      <c r="AA101" s="67">
        <f t="shared" si="45"/>
        <v>23.277699999999999</v>
      </c>
      <c r="AB101" s="64" t="e">
        <f>VLOOKUP(A101,Enforcements!$C$7:$K$20,8,0)</f>
        <v>#N/A</v>
      </c>
      <c r="AC101" s="60" t="e">
        <f>VLOOKUP(A101,Enforcements!$C$7:$E$20,3,0)</f>
        <v>#N/A</v>
      </c>
      <c r="AD101" s="61" t="str">
        <f t="shared" si="46"/>
        <v>0188-25</v>
      </c>
      <c r="AE101" s="91" t="str">
        <f t="shared" si="47"/>
        <v>aws s3 cp s3://rtdc.mdm.uploadarchive.raw/RTDC4012/ "%USERPROFILE%\AppData\Local\Temp\OnboardLogs"\RTDC4012\2016-11-25 --exclude "*" --recursive --include "*20161125*" &amp; "%USERPROFILE%\Documents\GitHub\mrs-test-scripts\Headless Mode &amp; Sideloading\WalkAndUnGZ.bat" "%USERPROFILE%\AppData\Local\Temp\OnboardLogs"\RTDC4012\2016-11-25 &amp; aws s3 cp s3://rtdc.mdm.uploadarchive.raw/RTDC4012/ "%USERPROFILE%\AppData\Local\Temp\OnboardLogs"\RTDC4012\2016-11-26 --exclude "*" --recursive --include "*20161126*" &amp; "%USERPROFILE%\Documents\GitHub\mrs-test-scripts\Headless Mode &amp; Sideloading\WalkAndUnGZ.bat" "%USERPROFILE%\AppData\Local\Temp\OnboardLogs"\RTDC4012\2016-11-26</v>
      </c>
      <c r="AF101" s="88" t="str">
        <f t="shared" si="48"/>
        <v>"C:\Program Files (x86)\AstroGrep\AstroGrep.exe" /spath="%USERPROFILE%\AppData\Local\Temp\OnboardLogs" /stypes="app*4012*20161125*" /stext=" 23:.+((SYSTEM_STATE.+slice.+state.+changed )|(ment ac)|(system.+state.+changed )|(\[timeout)|(PRM\|1\|D)|(kpr)|(kdp)|(\|lc)|(penalty))" /e /r /s</v>
      </c>
      <c r="AG101" s="1" t="str">
        <f t="shared" si="49"/>
        <v>EC</v>
      </c>
      <c r="AH101" s="92" t="str">
        <f t="shared" si="50"/>
        <v>"%USERPROFILE%\Documents\GitHub\eaglep3\Utilities\RefineRTDCRunTimes.py" --tripid 188-25 --locoid 4012 --swversion DE.1.0.8.0 --startMP 204:232978 --initTime 2016-11-25T15:20:42 --startdatetime 2016-11-25T15:26:48 --delay 1 --endMP 204:201 --enddatetime 2016-11-25T16:09:33 --enforcementcount 1 &gt;&gt;C:\Users\stu\Documents\GitHub\eaglep3-reporting\EC\2016-11-25-refined-times.txt</v>
      </c>
      <c r="AI101" s="119" t="str">
        <f t="shared" si="51"/>
        <v>echo {"issue":{"subject":"","project_id":79,"tracker_id":40,"status_id":1,"priority_id":2,"assigned_to_id":23,"start_date":"2016-11-25","description":"","custom_fields":[{"id":1,"name":"Subdivision","value":"EC"},{"id":4,"name":"Milepost","value":"0.0201"},{"id":17,"name":"Train ID","value":"188-25"},{"id":16,"name":"Locomotive ID","value":"4012"},{"id":130,"name":"Impact","value":""},{"id":150,"name":"Time of Event (Mountain Time)","value":"16:09:33"},{"id":151,"name":"Denver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3"/>
      <c r="AK101" s="53"/>
      <c r="AL101" s="53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1" customFormat="1" x14ac:dyDescent="0.25">
      <c r="A102" s="37" t="s">
        <v>559</v>
      </c>
      <c r="B102" s="7">
        <v>4014</v>
      </c>
      <c r="C102" s="22" t="s">
        <v>217</v>
      </c>
      <c r="D102" s="22" t="s">
        <v>330</v>
      </c>
      <c r="E102" s="13">
        <v>42699.609872685185</v>
      </c>
      <c r="F102" s="13">
        <v>42699.615011574075</v>
      </c>
      <c r="G102" s="7">
        <v>1</v>
      </c>
      <c r="H102" s="22" t="s">
        <v>274</v>
      </c>
      <c r="I102" s="13">
        <v>42699.640057870369</v>
      </c>
      <c r="J102" s="7">
        <v>0</v>
      </c>
      <c r="K102" s="109" t="str">
        <f t="shared" si="35"/>
        <v>4013/4014</v>
      </c>
      <c r="L102" s="22" t="str">
        <f>VLOOKUP(A102,'Trips&amp;Operators'!$C$1:$E$10000,3,FALSE)</f>
        <v>SMITH</v>
      </c>
      <c r="M102" s="6">
        <f t="shared" si="36"/>
        <v>2.5046296294021886E-2</v>
      </c>
      <c r="N102" s="7">
        <f t="shared" si="37"/>
        <v>36.066666663391516</v>
      </c>
      <c r="O102" s="7"/>
      <c r="P102" s="7"/>
      <c r="Q102" s="23"/>
      <c r="R102" s="23"/>
      <c r="S102" s="35">
        <f t="shared" si="38"/>
        <v>1</v>
      </c>
      <c r="T102" s="50" t="str">
        <f t="shared" si="39"/>
        <v>NorthBound</v>
      </c>
      <c r="U102" s="171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https://search-rtdc-monitor-bjffxe2xuh6vdkpspy63sjmuny.us-east-1.es.amazonaws.com/_plugin/kibana/#/discover/Steve-Slow-Train-Analysis-(2080s-and-2083s)?_g=(refreshInterval:(display:Off,section:0,value:0),time:(from:'2016-11-25 13:38:13-700',mode:absolute,to:'2016-11-25 16:21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02" s="52" t="str">
        <f t="shared" si="41"/>
        <v>N</v>
      </c>
      <c r="X102" s="177">
        <f t="shared" si="42"/>
        <v>1</v>
      </c>
      <c r="Y102" s="67">
        <f t="shared" si="43"/>
        <v>4.8000000000000001E-2</v>
      </c>
      <c r="Z102" s="67">
        <f t="shared" si="44"/>
        <v>23.330200000000001</v>
      </c>
      <c r="AA102" s="67">
        <f t="shared" si="45"/>
        <v>23.282200000000003</v>
      </c>
      <c r="AB102" s="64" t="e">
        <f>VLOOKUP(A102,Enforcements!$C$7:$K$20,8,0)</f>
        <v>#N/A</v>
      </c>
      <c r="AC102" s="60" t="e">
        <f>VLOOKUP(A102,Enforcements!$C$7:$E$20,3,0)</f>
        <v>#N/A</v>
      </c>
      <c r="AD102" s="61" t="str">
        <f t="shared" si="46"/>
        <v>0189-25</v>
      </c>
      <c r="AE102" s="91" t="str">
        <f t="shared" si="47"/>
        <v>aws s3 cp s3://rtdc.mdm.uploadarchive.raw/RTDC4014/ "%USERPROFILE%\AppData\Local\Temp\OnboardLogs"\RTDC4014\2016-11-25 --exclude "*" --recursive --include "*20161125*" &amp; "%USERPROFILE%\Documents\GitHub\mrs-test-scripts\Headless Mode &amp; Sideloading\WalkAndUnGZ.bat" "%USERPROFILE%\AppData\Local\Temp\OnboardLogs"\RTDC4014\2016-11-25 &amp; aws s3 cp s3://rtdc.mdm.uploadarchive.raw/RTDC4014/ "%USERPROFILE%\AppData\Local\Temp\OnboardLogs"\RTDC4014\2016-11-26 --exclude "*" --recursive --include "*20161126*" &amp; "%USERPROFILE%\Documents\GitHub\mrs-test-scripts\Headless Mode &amp; Sideloading\WalkAndUnGZ.bat" "%USERPROFILE%\AppData\Local\Temp\OnboardLogs"\RTDC4014\2016-11-26</v>
      </c>
      <c r="AF102" s="88" t="str">
        <f t="shared" si="48"/>
        <v>"C:\Program Files (x86)\AstroGrep\AstroGrep.exe" /spath="%USERPROFILE%\AppData\Local\Temp\OnboardLogs" /stypes="app*4014*20161125*" /stext=" 22:.+((SYSTEM_STATE.+slice.+state.+changed )|(ment ac)|(system.+state.+changed )|(\[timeout)|(PRM\|1\|D)|(kpr)|(kdp)|(\|lc)|(penalty))" /e /r /s</v>
      </c>
      <c r="AG102" s="1" t="str">
        <f t="shared" si="49"/>
        <v>EC</v>
      </c>
      <c r="AH102" s="92" t="str">
        <f t="shared" si="50"/>
        <v>"%USERPROFILE%\Documents\GitHub\eaglep3\Utilities\RefineRTDCRunTimes.py" --tripid 189-25 --locoid 4014 --swversion DE.1.0.8.0 --startMP 204:480 --initTime 2016-11-25T14:38:13 --startdatetime 2016-11-25T14:45:37 --delay 1 --endMP 204:233302 --enddatetime 2016-11-25T15:21:41 --enforcementcount 0 &gt;&gt;C:\Users\stu\Documents\GitHub\eaglep3-reporting\EC\2016-11-25-refined-times.txt</v>
      </c>
      <c r="AI102" s="119" t="str">
        <f t="shared" si="51"/>
        <v>echo {"issue":{"subject":"","project_id":79,"tracker_id":40,"status_id":1,"priority_id":2,"assigned_to_id":23,"start_date":"2016-11-25","description":"","custom_fields":[{"id":1,"name":"Subdivision","value":"EC"},{"id":4,"name":"Milepost","value":"23.3302"},{"id":17,"name":"Train ID","value":"189-25"},{"id":16,"name":"Locomotive ID","value":"4014"},{"id":130,"name":"Impact","value":""},{"id":150,"name":"Time of Event (Mountain Time)","value":"15:21:41"},{"id":151,"name":"Denver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3"/>
      <c r="AK102" s="53"/>
      <c r="AL102" s="53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1" customFormat="1" x14ac:dyDescent="0.25">
      <c r="A103" s="37" t="s">
        <v>444</v>
      </c>
      <c r="B103" s="7">
        <v>4013</v>
      </c>
      <c r="C103" s="22" t="s">
        <v>217</v>
      </c>
      <c r="D103" s="22" t="s">
        <v>644</v>
      </c>
      <c r="E103" s="13">
        <v>42699.647152777776</v>
      </c>
      <c r="F103" s="13">
        <v>42699.653773148151</v>
      </c>
      <c r="G103" s="7">
        <v>1</v>
      </c>
      <c r="H103" s="22" t="s">
        <v>219</v>
      </c>
      <c r="I103" s="13">
        <v>42699.680462962962</v>
      </c>
      <c r="J103" s="7">
        <v>1</v>
      </c>
      <c r="K103" s="109" t="str">
        <f t="shared" si="35"/>
        <v>4013/4014</v>
      </c>
      <c r="L103" s="22" t="str">
        <f>VLOOKUP(A103,'Trips&amp;Operators'!$C$1:$E$10000,3,FALSE)</f>
        <v>SMITH</v>
      </c>
      <c r="M103" s="6">
        <f t="shared" si="36"/>
        <v>2.6689814811106771E-2</v>
      </c>
      <c r="N103" s="7">
        <f t="shared" si="37"/>
        <v>38.433333327993751</v>
      </c>
      <c r="O103" s="7"/>
      <c r="P103" s="7"/>
      <c r="Q103" s="23"/>
      <c r="R103" s="23"/>
      <c r="S103" s="35">
        <f t="shared" si="38"/>
        <v>1</v>
      </c>
      <c r="T103" s="50" t="str">
        <f t="shared" si="39"/>
        <v>Southbound</v>
      </c>
      <c r="U103" s="171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https://search-rtdc-monitor-bjffxe2xuh6vdkpspy63sjmuny.us-east-1.es.amazonaws.com/_plugin/kibana/#/discover/Steve-Slow-Train-Analysis-(2080s-and-2083s)?_g=(refreshInterval:(display:Off,section:0,value:0),time:(from:'2016-11-25 14:31:54-700',mode:absolute,to:'2016-11-25 17:19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03" s="52" t="str">
        <f t="shared" si="41"/>
        <v>N</v>
      </c>
      <c r="X103" s="177">
        <f t="shared" si="42"/>
        <v>1</v>
      </c>
      <c r="Y103" s="67">
        <f t="shared" si="43"/>
        <v>23.298500000000001</v>
      </c>
      <c r="Z103" s="67">
        <f t="shared" si="44"/>
        <v>1.5800000000000002E-2</v>
      </c>
      <c r="AA103" s="67">
        <f t="shared" si="45"/>
        <v>23.282700000000002</v>
      </c>
      <c r="AB103" s="64" t="e">
        <f>VLOOKUP(A103,Enforcements!$C$7:$K$20,8,0)</f>
        <v>#N/A</v>
      </c>
      <c r="AC103" s="60" t="e">
        <f>VLOOKUP(A103,Enforcements!$C$7:$E$20,3,0)</f>
        <v>#N/A</v>
      </c>
      <c r="AD103" s="61" t="str">
        <f t="shared" si="46"/>
        <v>0190-25</v>
      </c>
      <c r="AE103" s="91" t="str">
        <f t="shared" si="47"/>
        <v>aws s3 cp s3://rtdc.mdm.uploadarchive.raw/RTDC4013/ "%USERPROFILE%\AppData\Local\Temp\OnboardLogs"\RTDC4013\2016-11-25 --exclude "*" --recursive --include "*20161125*" &amp; "%USERPROFILE%\Documents\GitHub\mrs-test-scripts\Headless Mode &amp; Sideloading\WalkAndUnGZ.bat" "%USERPROFILE%\AppData\Local\Temp\OnboardLogs"\RTDC4013\2016-11-25 &amp; aws s3 cp s3://rtdc.mdm.uploadarchive.raw/RTDC4013/ "%USERPROFILE%\AppData\Local\Temp\OnboardLogs"\RTDC4013\2016-11-26 --exclude "*" --recursive --include "*20161126*" &amp; "%USERPROFILE%\Documents\GitHub\mrs-test-scripts\Headless Mode &amp; Sideloading\WalkAndUnGZ.bat" "%USERPROFILE%\AppData\Local\Temp\OnboardLogs"\RTDC4013\2016-11-26</v>
      </c>
      <c r="AF103" s="88" t="str">
        <f t="shared" si="48"/>
        <v>"C:\Program Files (x86)\AstroGrep\AstroGrep.exe" /spath="%USERPROFILE%\AppData\Local\Temp\OnboardLogs" /stypes="app*4013*20161125*" /stext=" 23:.+((SYSTEM_STATE.+slice.+state.+changed )|(ment ac)|(system.+state.+changed )|(\[timeout)|(PRM\|1\|D)|(kpr)|(kdp)|(\|lc)|(penalty))" /e /r /s</v>
      </c>
      <c r="AG103" s="1" t="str">
        <f t="shared" si="49"/>
        <v>EC</v>
      </c>
      <c r="AH103" s="92" t="str">
        <f t="shared" si="50"/>
        <v>"%USERPROFILE%\Documents\GitHub\eaglep3\Utilities\RefineRTDCRunTimes.py" --tripid 190-25 --locoid 4013 --swversion DE.1.0.8.0 --startMP 204:232985 --initTime 2016-11-25T15:31:54 --startdatetime 2016-11-25T15:41:26 --delay 1 --endMP 204:158 --enddatetime 2016-11-25T16:19:52 --enforcementcount 1 &gt;&gt;C:\Users\stu\Documents\GitHub\eaglep3-reporting\EC\2016-11-25-refined-times.txt</v>
      </c>
      <c r="AI103" s="119" t="str">
        <f t="shared" si="51"/>
        <v>echo {"issue":{"subject":"","project_id":79,"tracker_id":40,"status_id":1,"priority_id":2,"assigned_to_id":23,"start_date":"2016-11-25","description":"","custom_fields":[{"id":1,"name":"Subdivision","value":"EC"},{"id":4,"name":"Milepost","value":"0.0158"},{"id":17,"name":"Train ID","value":"190-25"},{"id":16,"name":"Locomotive ID","value":"4013"},{"id":130,"name":"Impact","value":""},{"id":150,"name":"Time of Event (Mountain Time)","value":"16:19:52"},{"id":151,"name":"Denver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3"/>
      <c r="AK103" s="53"/>
      <c r="AL103" s="5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1" customFormat="1" x14ac:dyDescent="0.25">
      <c r="A104" s="37" t="s">
        <v>440</v>
      </c>
      <c r="B104" s="7">
        <v>4042</v>
      </c>
      <c r="C104" s="22" t="s">
        <v>217</v>
      </c>
      <c r="D104" s="22" t="s">
        <v>199</v>
      </c>
      <c r="E104" s="13">
        <v>42699.620393518519</v>
      </c>
      <c r="F104" s="13">
        <v>42699.625219907408</v>
      </c>
      <c r="G104" s="7">
        <v>5</v>
      </c>
      <c r="H104" s="22" t="s">
        <v>321</v>
      </c>
      <c r="I104" s="13">
        <v>42699.652430555558</v>
      </c>
      <c r="J104" s="7">
        <v>1</v>
      </c>
      <c r="K104" s="109" t="str">
        <f t="shared" si="35"/>
        <v>4041/4042</v>
      </c>
      <c r="L104" s="22" t="str">
        <f>VLOOKUP(A104,'Trips&amp;Operators'!$C$1:$E$10000,3,FALSE)</f>
        <v>BRANDNER</v>
      </c>
      <c r="M104" s="6">
        <f t="shared" si="36"/>
        <v>2.7210648149775807E-2</v>
      </c>
      <c r="N104" s="7">
        <f t="shared" si="37"/>
        <v>39.183333335677162</v>
      </c>
      <c r="O104" s="7"/>
      <c r="P104" s="7"/>
      <c r="Q104" s="23"/>
      <c r="R104" s="23"/>
      <c r="S104" s="35">
        <f t="shared" si="38"/>
        <v>1</v>
      </c>
      <c r="T104" s="50" t="str">
        <f t="shared" si="39"/>
        <v>NorthBound</v>
      </c>
      <c r="U104" s="171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https://search-rtdc-monitor-bjffxe2xuh6vdkpspy63sjmuny.us-east-1.es.amazonaws.com/_plugin/kibana/#/discover/Steve-Slow-Train-Analysis-(2080s-and-2083s)?_g=(refreshInterval:(display:Off,section:0,value:0),time:(from:'2016-11-25 13:53:22-700',mode:absolute,to:'2016-11-25 16:39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04" s="52" t="str">
        <f t="shared" si="41"/>
        <v>N</v>
      </c>
      <c r="X104" s="177">
        <f t="shared" si="42"/>
        <v>1</v>
      </c>
      <c r="Y104" s="67">
        <f t="shared" si="43"/>
        <v>4.53E-2</v>
      </c>
      <c r="Z104" s="67">
        <f t="shared" si="44"/>
        <v>23.330300000000001</v>
      </c>
      <c r="AA104" s="67">
        <f t="shared" si="45"/>
        <v>23.285</v>
      </c>
      <c r="AB104" s="64" t="e">
        <f>VLOOKUP(A104,Enforcements!$C$7:$K$20,8,0)</f>
        <v>#N/A</v>
      </c>
      <c r="AC104" s="60" t="e">
        <f>VLOOKUP(A104,Enforcements!$C$7:$E$20,3,0)</f>
        <v>#N/A</v>
      </c>
      <c r="AD104" s="61" t="str">
        <f t="shared" si="46"/>
        <v>0191-25</v>
      </c>
      <c r="AE104" s="91" t="str">
        <f t="shared" si="47"/>
        <v>aws s3 cp s3://rtdc.mdm.uploadarchive.raw/RTDC4042/ "%USERPROFILE%\AppData\Local\Temp\OnboardLogs"\RTDC4042\2016-11-25 --exclude "*" --recursive --include "*20161125*" &amp; "%USERPROFILE%\Documents\GitHub\mrs-test-scripts\Headless Mode &amp; Sideloading\WalkAndUnGZ.bat" "%USERPROFILE%\AppData\Local\Temp\OnboardLogs"\RTDC4042\2016-11-25 &amp; aws s3 cp s3://rtdc.mdm.uploadarchive.raw/RTDC4042/ "%USERPROFILE%\AppData\Local\Temp\OnboardLogs"\RTDC4042\2016-11-26 --exclude "*" --recursive --include "*20161126*" &amp; "%USERPROFILE%\Documents\GitHub\mrs-test-scripts\Headless Mode &amp; Sideloading\WalkAndUnGZ.bat" "%USERPROFILE%\AppData\Local\Temp\OnboardLogs"\RTDC4042\2016-11-26</v>
      </c>
      <c r="AF104" s="88" t="str">
        <f t="shared" si="48"/>
        <v>"C:\Program Files (x86)\AstroGrep\AstroGrep.exe" /spath="%USERPROFILE%\AppData\Local\Temp\OnboardLogs" /stypes="app*4042*20161125*" /stext=" 22:.+((SYSTEM_STATE.+slice.+state.+changed )|(ment ac)|(system.+state.+changed )|(\[timeout)|(PRM\|1\|D)|(kpr)|(kdp)|(\|lc)|(penalty))" /e /r /s</v>
      </c>
      <c r="AG104" s="1" t="str">
        <f t="shared" si="49"/>
        <v>EC</v>
      </c>
      <c r="AH104" s="92" t="str">
        <f t="shared" si="50"/>
        <v>"%USERPROFILE%\Documents\GitHub\eaglep3\Utilities\RefineRTDCRunTimes.py" --tripid 191-25 --locoid 4042 --swversion DE.1.0.8.0 --startMP 204:453 --initTime 2016-11-25T14:53:22 --startdatetime 2016-11-25T15:00:19 --delay 5 --endMP 204:233303 --enddatetime 2016-11-25T15:39:30 --enforcementcount 1 &gt;&gt;C:\Users\stu\Documents\GitHub\eaglep3-reporting\EC\2016-11-25-refined-times.txt</v>
      </c>
      <c r="AI104" s="119" t="str">
        <f t="shared" si="51"/>
        <v>echo {"issue":{"subject":"","project_id":79,"tracker_id":40,"status_id":1,"priority_id":2,"assigned_to_id":23,"start_date":"2016-11-25","description":"","custom_fields":[{"id":1,"name":"Subdivision","value":"EC"},{"id":4,"name":"Milepost","value":"23.3303"},{"id":17,"name":"Train ID","value":"191-25"},{"id":16,"name":"Locomotive ID","value":"4042"},{"id":130,"name":"Impact","value":""},{"id":150,"name":"Time of Event (Mountain Time)","value":"15:39:30"},{"id":151,"name":"Denver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3"/>
      <c r="AK104" s="53"/>
      <c r="AL104" s="53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1" customFormat="1" x14ac:dyDescent="0.25">
      <c r="A105" s="37" t="s">
        <v>565</v>
      </c>
      <c r="B105" s="7">
        <v>4041</v>
      </c>
      <c r="C105" s="22" t="s">
        <v>217</v>
      </c>
      <c r="D105" s="22" t="s">
        <v>210</v>
      </c>
      <c r="E105" s="13">
        <v>42699.658622685187</v>
      </c>
      <c r="F105" s="13">
        <v>42699.664513888885</v>
      </c>
      <c r="G105" s="7">
        <v>1</v>
      </c>
      <c r="H105" s="22" t="s">
        <v>275</v>
      </c>
      <c r="I105" s="13">
        <v>42699.691851851851</v>
      </c>
      <c r="J105" s="7">
        <v>0</v>
      </c>
      <c r="K105" s="109" t="str">
        <f t="shared" si="35"/>
        <v>4041/4042</v>
      </c>
      <c r="L105" s="22" t="str">
        <f>VLOOKUP(A105,'Trips&amp;Operators'!$C$1:$E$10000,3,FALSE)</f>
        <v>BRANDNER</v>
      </c>
      <c r="M105" s="6">
        <f t="shared" si="36"/>
        <v>2.7337962965248153E-2</v>
      </c>
      <c r="N105" s="7">
        <f t="shared" si="37"/>
        <v>39.36666666995734</v>
      </c>
      <c r="O105" s="7"/>
      <c r="P105" s="7"/>
      <c r="Q105" s="23"/>
      <c r="R105" s="23"/>
      <c r="S105" s="35">
        <f t="shared" si="38"/>
        <v>1</v>
      </c>
      <c r="T105" s="50" t="str">
        <f t="shared" si="39"/>
        <v>Southbound</v>
      </c>
      <c r="U105" s="171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https://search-rtdc-monitor-bjffxe2xuh6vdkpspy63sjmuny.us-east-1.es.amazonaws.com/_plugin/kibana/#/discover/Steve-Slow-Train-Analysis-(2080s-and-2083s)?_g=(refreshInterval:(display:Off,section:0,value:0),time:(from:'2016-11-25 14:48:25-700',mode:absolute,to:'2016-11-25 17:36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05" s="52" t="str">
        <f t="shared" si="41"/>
        <v>N</v>
      </c>
      <c r="X105" s="177">
        <f t="shared" si="42"/>
        <v>1</v>
      </c>
      <c r="Y105" s="67">
        <f t="shared" si="43"/>
        <v>23.297699999999999</v>
      </c>
      <c r="Z105" s="67">
        <f t="shared" si="44"/>
        <v>1.3899999999999999E-2</v>
      </c>
      <c r="AA105" s="67">
        <f t="shared" si="45"/>
        <v>23.283799999999999</v>
      </c>
      <c r="AB105" s="64" t="e">
        <f>VLOOKUP(A105,Enforcements!$C$7:$K$20,8,0)</f>
        <v>#N/A</v>
      </c>
      <c r="AC105" s="60" t="e">
        <f>VLOOKUP(A105,Enforcements!$C$7:$E$20,3,0)</f>
        <v>#N/A</v>
      </c>
      <c r="AD105" s="61" t="str">
        <f t="shared" si="46"/>
        <v>0192-25</v>
      </c>
      <c r="AE105" s="91" t="str">
        <f t="shared" si="47"/>
        <v>aws s3 cp s3://rtdc.mdm.uploadarchive.raw/RTDC4041/ "%USERPROFILE%\AppData\Local\Temp\OnboardLogs"\RTDC4041\2016-11-25 --exclude "*" --recursive --include "*20161125*" &amp; "%USERPROFILE%\Documents\GitHub\mrs-test-scripts\Headless Mode &amp; Sideloading\WalkAndUnGZ.bat" "%USERPROFILE%\AppData\Local\Temp\OnboardLogs"\RTDC4041\2016-11-25 &amp; aws s3 cp s3://rtdc.mdm.uploadarchive.raw/RTDC4041/ "%USERPROFILE%\AppData\Local\Temp\OnboardLogs"\RTDC4041\2016-11-26 --exclude "*" --recursive --include "*20161126*" &amp; "%USERPROFILE%\Documents\GitHub\mrs-test-scripts\Headless Mode &amp; Sideloading\WalkAndUnGZ.bat" "%USERPROFILE%\AppData\Local\Temp\OnboardLogs"\RTDC4041\2016-11-26</v>
      </c>
      <c r="AF105" s="88" t="str">
        <f t="shared" si="48"/>
        <v>"C:\Program Files (x86)\AstroGrep\AstroGrep.exe" /spath="%USERPROFILE%\AppData\Local\Temp\OnboardLogs" /stypes="app*4041*20161125*" /stext=" 23:.+((SYSTEM_STATE.+slice.+state.+changed )|(ment ac)|(system.+state.+changed )|(\[timeout)|(PRM\|1\|D)|(kpr)|(kdp)|(\|lc)|(penalty))" /e /r /s</v>
      </c>
      <c r="AG105" s="1" t="str">
        <f t="shared" si="49"/>
        <v>EC</v>
      </c>
      <c r="AH105" s="92" t="str">
        <f t="shared" si="50"/>
        <v>"%USERPROFILE%\Documents\GitHub\eaglep3\Utilities\RefineRTDCRunTimes.py" --tripid 192-25 --locoid 4041 --swversion DE.1.0.8.0 --startMP 204:232977 --initTime 2016-11-25T15:48:25 --startdatetime 2016-11-25T15:56:54 --delay 1 --endMP 204:139 --enddatetime 2016-11-25T16:36:16 --enforcementcount 0 &gt;&gt;C:\Users\stu\Documents\GitHub\eaglep3-reporting\EC\2016-11-25-refined-times.txt</v>
      </c>
      <c r="AI105" s="119" t="str">
        <f t="shared" si="51"/>
        <v>echo {"issue":{"subject":"","project_id":79,"tracker_id":40,"status_id":1,"priority_id":2,"assigned_to_id":23,"start_date":"2016-11-25","description":"","custom_fields":[{"id":1,"name":"Subdivision","value":"EC"},{"id":4,"name":"Milepost","value":"0.0139"},{"id":17,"name":"Train ID","value":"192-25"},{"id":16,"name":"Locomotive ID","value":"4041"},{"id":130,"name":"Impact","value":""},{"id":150,"name":"Time of Event (Mountain Time)","value":"16:36:16"},{"id":151,"name":"Denver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3"/>
      <c r="AK105" s="53"/>
      <c r="AL105" s="53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1" customFormat="1" x14ac:dyDescent="0.25">
      <c r="A106" s="37" t="s">
        <v>560</v>
      </c>
      <c r="B106" s="7">
        <v>4009</v>
      </c>
      <c r="C106" s="22" t="s">
        <v>217</v>
      </c>
      <c r="D106" s="22" t="s">
        <v>295</v>
      </c>
      <c r="E106" s="13">
        <v>42699.632048611114</v>
      </c>
      <c r="F106" s="13">
        <v>42699.635891203703</v>
      </c>
      <c r="G106" s="7">
        <v>2</v>
      </c>
      <c r="H106" s="22" t="s">
        <v>664</v>
      </c>
      <c r="I106" s="13">
        <v>42699.660636574074</v>
      </c>
      <c r="J106" s="7">
        <v>0</v>
      </c>
      <c r="K106" s="109" t="str">
        <f t="shared" si="35"/>
        <v>4009/4010</v>
      </c>
      <c r="L106" s="22" t="str">
        <f>VLOOKUP(A106,'Trips&amp;Operators'!$C$1:$E$10000,3,FALSE)</f>
        <v>MOSES</v>
      </c>
      <c r="M106" s="6">
        <f t="shared" si="36"/>
        <v>2.47453703705105E-2</v>
      </c>
      <c r="N106" s="7">
        <f t="shared" si="37"/>
        <v>35.63333333353512</v>
      </c>
      <c r="O106" s="7"/>
      <c r="P106" s="7"/>
      <c r="Q106" s="23"/>
      <c r="R106" s="23"/>
      <c r="S106" s="35">
        <f t="shared" si="38"/>
        <v>1</v>
      </c>
      <c r="T106" s="50" t="str">
        <f t="shared" si="39"/>
        <v>NorthBound</v>
      </c>
      <c r="U106" s="171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https://search-rtdc-monitor-bjffxe2xuh6vdkpspy63sjmuny.us-east-1.es.amazonaws.com/_plugin/kibana/#/discover/Steve-Slow-Train-Analysis-(2080s-and-2083s)?_g=(refreshInterval:(display:Off,section:0,value:0),time:(from:'2016-11-25 14:10:09-700',mode:absolute,to:'2016-11-25 16:51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06" s="52" t="str">
        <f t="shared" si="41"/>
        <v>N</v>
      </c>
      <c r="X106" s="177">
        <f t="shared" si="42"/>
        <v>1</v>
      </c>
      <c r="Y106" s="67">
        <f t="shared" si="43"/>
        <v>4.6899999999999997E-2</v>
      </c>
      <c r="Z106" s="67">
        <f t="shared" si="44"/>
        <v>23.3323</v>
      </c>
      <c r="AA106" s="67">
        <f t="shared" si="45"/>
        <v>23.285399999999999</v>
      </c>
      <c r="AB106" s="64" t="e">
        <f>VLOOKUP(A106,Enforcements!$C$7:$K$20,8,0)</f>
        <v>#N/A</v>
      </c>
      <c r="AC106" s="60" t="e">
        <f>VLOOKUP(A106,Enforcements!$C$7:$E$20,3,0)</f>
        <v>#N/A</v>
      </c>
      <c r="AD106" s="61" t="str">
        <f t="shared" si="46"/>
        <v>0193-25</v>
      </c>
      <c r="AE106" s="91" t="str">
        <f t="shared" si="47"/>
        <v>aws s3 cp s3://rtdc.mdm.uploadarchive.raw/RTDC4009/ "%USERPROFILE%\AppData\Local\Temp\OnboardLogs"\RTDC4009\2016-11-25 --exclude "*" --recursive --include "*20161125*" &amp; "%USERPROFILE%\Documents\GitHub\mrs-test-scripts\Headless Mode &amp; Sideloading\WalkAndUnGZ.bat" "%USERPROFILE%\AppData\Local\Temp\OnboardLogs"\RTDC4009\2016-11-25 &amp; aws s3 cp s3://rtdc.mdm.uploadarchive.raw/RTDC4009/ "%USERPROFILE%\AppData\Local\Temp\OnboardLogs"\RTDC4009\2016-11-26 --exclude "*" --recursive --include "*20161126*" &amp; "%USERPROFILE%\Documents\GitHub\mrs-test-scripts\Headless Mode &amp; Sideloading\WalkAndUnGZ.bat" "%USERPROFILE%\AppData\Local\Temp\OnboardLogs"\RTDC4009\2016-11-26</v>
      </c>
      <c r="AF106" s="88" t="str">
        <f t="shared" si="48"/>
        <v>"C:\Program Files (x86)\AstroGrep\AstroGrep.exe" /spath="%USERPROFILE%\AppData\Local\Temp\OnboardLogs" /stypes="app*4009*20161125*" /stext=" 22:.+((SYSTEM_STATE.+slice.+state.+changed )|(ment ac)|(system.+state.+changed )|(\[timeout)|(PRM\|1\|D)|(kpr)|(kdp)|(\|lc)|(penalty))" /e /r /s</v>
      </c>
      <c r="AG106" s="1" t="str">
        <f t="shared" si="49"/>
        <v>EC</v>
      </c>
      <c r="AH106" s="92" t="str">
        <f t="shared" si="50"/>
        <v>"%USERPROFILE%\Documents\GitHub\eaglep3\Utilities\RefineRTDCRunTimes.py" --tripid 193-25 --locoid 4009 --swversion DE.1.0.8.0 --startMP 204:469 --initTime 2016-11-25T15:10:09 --startdatetime 2016-11-25T15:15:41 --delay 2 --endMP 204:233323 --enddatetime 2016-11-25T15:51:19 --enforcementcount 0 &gt;&gt;C:\Users\stu\Documents\GitHub\eaglep3-reporting\EC\2016-11-25-refined-times.txt</v>
      </c>
      <c r="AI106" s="119" t="str">
        <f t="shared" si="51"/>
        <v>echo {"issue":{"subject":"","project_id":79,"tracker_id":40,"status_id":1,"priority_id":2,"assigned_to_id":23,"start_date":"2016-11-25","description":"","custom_fields":[{"id":1,"name":"Subdivision","value":"EC"},{"id":4,"name":"Milepost","value":"23.3323"},{"id":17,"name":"Train ID","value":"193-25"},{"id":16,"name":"Locomotive ID","value":"4009"},{"id":130,"name":"Impact","value":""},{"id":150,"name":"Time of Event (Mountain Time)","value":"15:51:19"},{"id":151,"name":"Denver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3"/>
      <c r="AK106" s="53"/>
      <c r="AL106" s="53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1" customFormat="1" x14ac:dyDescent="0.25">
      <c r="A107" s="37" t="s">
        <v>566</v>
      </c>
      <c r="B107" s="7">
        <v>4010</v>
      </c>
      <c r="C107" s="22" t="s">
        <v>217</v>
      </c>
      <c r="D107" s="22" t="s">
        <v>305</v>
      </c>
      <c r="E107" s="13">
        <v>42699.670231481483</v>
      </c>
      <c r="F107" s="13">
        <v>42699.674675925926</v>
      </c>
      <c r="G107" s="7">
        <v>2</v>
      </c>
      <c r="H107" s="22" t="s">
        <v>270</v>
      </c>
      <c r="I107" s="13">
        <v>42699.702118055553</v>
      </c>
      <c r="J107" s="7">
        <v>0</v>
      </c>
      <c r="K107" s="109" t="str">
        <f t="shared" si="35"/>
        <v>4009/4010</v>
      </c>
      <c r="L107" s="22" t="str">
        <f>VLOOKUP(A107,'Trips&amp;Operators'!$C$1:$E$10000,3,FALSE)</f>
        <v>MOSES</v>
      </c>
      <c r="M107" s="6">
        <f t="shared" si="36"/>
        <v>2.7442129627161194E-2</v>
      </c>
      <c r="N107" s="7">
        <f t="shared" si="37"/>
        <v>39.516666663112119</v>
      </c>
      <c r="O107" s="7"/>
      <c r="P107" s="7"/>
      <c r="Q107" s="23"/>
      <c r="R107" s="23"/>
      <c r="S107" s="35">
        <f t="shared" si="38"/>
        <v>1</v>
      </c>
      <c r="T107" s="50" t="str">
        <f t="shared" si="39"/>
        <v>Southbound</v>
      </c>
      <c r="U107" s="171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https://search-rtdc-monitor-bjffxe2xuh6vdkpspy63sjmuny.us-east-1.es.amazonaws.com/_plugin/kibana/#/discover/Steve-Slow-Train-Analysis-(2080s-and-2083s)?_g=(refreshInterval:(display:Off,section:0,value:0),time:(from:'2016-11-25 15:05:08-700',mode:absolute,to:'2016-11-25 17:51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07" s="52" t="str">
        <f t="shared" si="41"/>
        <v>N</v>
      </c>
      <c r="X107" s="177">
        <f t="shared" si="42"/>
        <v>1</v>
      </c>
      <c r="Y107" s="67">
        <f t="shared" si="43"/>
        <v>23.3</v>
      </c>
      <c r="Z107" s="67">
        <f t="shared" si="44"/>
        <v>1.61E-2</v>
      </c>
      <c r="AA107" s="67">
        <f t="shared" si="45"/>
        <v>23.283899999999999</v>
      </c>
      <c r="AB107" s="64" t="e">
        <f>VLOOKUP(A107,Enforcements!$C$7:$K$20,8,0)</f>
        <v>#N/A</v>
      </c>
      <c r="AC107" s="60" t="e">
        <f>VLOOKUP(A107,Enforcements!$C$7:$E$20,3,0)</f>
        <v>#N/A</v>
      </c>
      <c r="AD107" s="61" t="str">
        <f t="shared" si="46"/>
        <v>0194-25</v>
      </c>
      <c r="AE107" s="91" t="str">
        <f t="shared" si="47"/>
        <v>aws s3 cp s3://rtdc.mdm.uploadarchive.raw/RTDC4010/ "%USERPROFILE%\AppData\Local\Temp\OnboardLogs"\RTDC4010\2016-11-25 --exclude "*" --recursive --include "*20161125*" &amp; "%USERPROFILE%\Documents\GitHub\mrs-test-scripts\Headless Mode &amp; Sideloading\WalkAndUnGZ.bat" "%USERPROFILE%\AppData\Local\Temp\OnboardLogs"\RTDC4010\2016-11-25 &amp; aws s3 cp s3://rtdc.mdm.uploadarchive.raw/RTDC4010/ "%USERPROFILE%\AppData\Local\Temp\OnboardLogs"\RTDC4010\2016-11-26 --exclude "*" --recursive --include "*20161126*" &amp; "%USERPROFILE%\Documents\GitHub\mrs-test-scripts\Headless Mode &amp; Sideloading\WalkAndUnGZ.bat" "%USERPROFILE%\AppData\Local\Temp\OnboardLogs"\RTDC4010\2016-11-26</v>
      </c>
      <c r="AF107" s="88" t="str">
        <f t="shared" si="48"/>
        <v>"C:\Program Files (x86)\AstroGrep\AstroGrep.exe" /spath="%USERPROFILE%\AppData\Local\Temp\OnboardLogs" /stypes="app*4010*20161125*" /stext=" 23:.+((SYSTEM_STATE.+slice.+state.+changed )|(ment ac)|(system.+state.+changed )|(\[timeout)|(PRM\|1\|D)|(kpr)|(kdp)|(\|lc)|(penalty))" /e /r /s</v>
      </c>
      <c r="AG107" s="1" t="str">
        <f t="shared" si="49"/>
        <v>EC</v>
      </c>
      <c r="AH107" s="92" t="str">
        <f t="shared" si="50"/>
        <v>"%USERPROFILE%\Documents\GitHub\eaglep3\Utilities\RefineRTDCRunTimes.py" --tripid 194-25 --locoid 4010 --swversion DE.1.0.8.0 --startMP 204:233000 --initTime 2016-11-25T16:05:08 --startdatetime 2016-11-25T16:11:32 --delay 2 --endMP 204:161 --enddatetime 2016-11-25T16:51:03 --enforcementcount 0 &gt;&gt;C:\Users\stu\Documents\GitHub\eaglep3-reporting\EC\2016-11-25-refined-times.txt</v>
      </c>
      <c r="AI107" s="119" t="str">
        <f t="shared" si="51"/>
        <v>echo {"issue":{"subject":"","project_id":79,"tracker_id":40,"status_id":1,"priority_id":2,"assigned_to_id":23,"start_date":"2016-11-25","description":"","custom_fields":[{"id":1,"name":"Subdivision","value":"EC"},{"id":4,"name":"Milepost","value":"0.0161"},{"id":17,"name":"Train ID","value":"194-25"},{"id":16,"name":"Locomotive ID","value":"4010"},{"id":130,"name":"Impact","value":""},{"id":150,"name":"Time of Event (Mountain Time)","value":"16:51:03"},{"id":151,"name":"Denver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3"/>
      <c r="AK107" s="53"/>
      <c r="AL107" s="53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x14ac:dyDescent="0.25">
      <c r="A108" s="37" t="s">
        <v>562</v>
      </c>
      <c r="B108" s="7">
        <v>4040</v>
      </c>
      <c r="C108" s="22" t="s">
        <v>217</v>
      </c>
      <c r="D108" s="22" t="s">
        <v>277</v>
      </c>
      <c r="E108" s="13">
        <v>42699.642245370371</v>
      </c>
      <c r="F108" s="13">
        <v>42699.64634259259</v>
      </c>
      <c r="G108" s="7">
        <v>1</v>
      </c>
      <c r="H108" s="22" t="s">
        <v>321</v>
      </c>
      <c r="I108" s="13">
        <v>42699.672696759262</v>
      </c>
      <c r="J108" s="7">
        <v>0</v>
      </c>
      <c r="K108" s="109" t="str">
        <f t="shared" si="35"/>
        <v>4039/4040</v>
      </c>
      <c r="L108" s="22" t="str">
        <f>VLOOKUP(A108,'Trips&amp;Operators'!$C$1:$E$10000,3,FALSE)</f>
        <v>ADANE</v>
      </c>
      <c r="M108" s="6">
        <f t="shared" si="36"/>
        <v>2.6354166671808343E-2</v>
      </c>
      <c r="N108" s="7">
        <f t="shared" si="37"/>
        <v>37.950000007404014</v>
      </c>
      <c r="O108" s="7"/>
      <c r="P108" s="7"/>
      <c r="Q108" s="23"/>
      <c r="R108" s="23"/>
      <c r="S108" s="35">
        <f t="shared" si="38"/>
        <v>1</v>
      </c>
      <c r="T108" s="50" t="str">
        <f t="shared" si="39"/>
        <v>NorthBound</v>
      </c>
      <c r="U108" s="171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https://search-rtdc-monitor-bjffxe2xuh6vdkpspy63sjmuny.us-east-1.es.amazonaws.com/_plugin/kibana/#/discover/Steve-Slow-Train-Analysis-(2080s-and-2083s)?_g=(refreshInterval:(display:Off,section:0,value:0),time:(from:'2016-11-25 14:24:50-700',mode:absolute,to:'2016-11-25 17:08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08" s="52" t="str">
        <f t="shared" si="41"/>
        <v>N</v>
      </c>
      <c r="X108" s="177">
        <f t="shared" si="42"/>
        <v>1</v>
      </c>
      <c r="Y108" s="67">
        <f t="shared" si="43"/>
        <v>4.7100000000000003E-2</v>
      </c>
      <c r="Z108" s="67">
        <f t="shared" si="44"/>
        <v>23.330300000000001</v>
      </c>
      <c r="AA108" s="67">
        <f t="shared" si="45"/>
        <v>23.283200000000001</v>
      </c>
      <c r="AB108" s="64" t="e">
        <f>VLOOKUP(A108,Enforcements!$C$7:$K$20,8,0)</f>
        <v>#N/A</v>
      </c>
      <c r="AC108" s="60" t="e">
        <f>VLOOKUP(A108,Enforcements!$C$7:$E$20,3,0)</f>
        <v>#N/A</v>
      </c>
      <c r="AD108" s="61" t="str">
        <f t="shared" si="46"/>
        <v>0195-25</v>
      </c>
      <c r="AE108" s="91" t="str">
        <f t="shared" si="47"/>
        <v>aws s3 cp s3://rtdc.mdm.uploadarchive.raw/RTDC4040/ "%USERPROFILE%\AppData\Local\Temp\OnboardLogs"\RTDC4040\2016-11-25 --exclude "*" --recursive --include "*20161125*" &amp; "%USERPROFILE%\Documents\GitHub\mrs-test-scripts\Headless Mode &amp; Sideloading\WalkAndUnGZ.bat" "%USERPROFILE%\AppData\Local\Temp\OnboardLogs"\RTDC4040\2016-11-25 &amp; aws s3 cp s3://rtdc.mdm.uploadarchive.raw/RTDC4040/ "%USERPROFILE%\AppData\Local\Temp\OnboardLogs"\RTDC4040\2016-11-26 --exclude "*" --recursive --include "*20161126*" &amp; "%USERPROFILE%\Documents\GitHub\mrs-test-scripts\Headless Mode &amp; Sideloading\WalkAndUnGZ.bat" "%USERPROFILE%\AppData\Local\Temp\OnboardLogs"\RTDC4040\2016-11-26</v>
      </c>
      <c r="AF108" s="88" t="str">
        <f t="shared" si="48"/>
        <v>"C:\Program Files (x86)\AstroGrep\AstroGrep.exe" /spath="%USERPROFILE%\AppData\Local\Temp\OnboardLogs" /stypes="app*4040*20161125*" /stext=" 23:.+((SYSTEM_STATE.+slice.+state.+changed )|(ment ac)|(system.+state.+changed )|(\[timeout)|(PRM\|1\|D)|(kpr)|(kdp)|(\|lc)|(penalty))" /e /r /s</v>
      </c>
      <c r="AG108" s="1" t="str">
        <f t="shared" si="49"/>
        <v>EC</v>
      </c>
      <c r="AH108" s="92" t="str">
        <f t="shared" si="50"/>
        <v>"%USERPROFILE%\Documents\GitHub\eaglep3\Utilities\RefineRTDCRunTimes.py" --tripid 195-25 --locoid 4040 --swversion DE.1.0.8.0 --startMP 204:471 --initTime 2016-11-25T15:24:50 --startdatetime 2016-11-25T15:30:44 --delay 1 --endMP 204:233303 --enddatetime 2016-11-25T16:08:41 --enforcementcount 0 &gt;&gt;C:\Users\stu\Documents\GitHub\eaglep3-reporting\EC\2016-11-25-refined-times.txt</v>
      </c>
      <c r="AI108" s="119" t="str">
        <f t="shared" si="51"/>
        <v>echo {"issue":{"subject":"","project_id":79,"tracker_id":40,"status_id":1,"priority_id":2,"assigned_to_id":23,"start_date":"2016-11-25","description":"","custom_fields":[{"id":1,"name":"Subdivision","value":"EC"},{"id":4,"name":"Milepost","value":"23.3303"},{"id":17,"name":"Train ID","value":"195-25"},{"id":16,"name":"Locomotive ID","value":"4040"},{"id":130,"name":"Impact","value":""},{"id":150,"name":"Time of Event (Mountain Time)","value":"16:08:41"},{"id":151,"name":"Denver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3"/>
      <c r="AK108" s="53"/>
      <c r="AL108" s="53"/>
    </row>
    <row r="109" spans="1:91" s="21" customFormat="1" x14ac:dyDescent="0.25">
      <c r="A109" s="37" t="s">
        <v>446</v>
      </c>
      <c r="B109" s="7">
        <v>4039</v>
      </c>
      <c r="C109" s="22" t="s">
        <v>217</v>
      </c>
      <c r="D109" s="22" t="s">
        <v>210</v>
      </c>
      <c r="E109" s="13">
        <v>42699.67396990741</v>
      </c>
      <c r="F109" s="13">
        <v>42699.68509259259</v>
      </c>
      <c r="G109" s="7">
        <v>1</v>
      </c>
      <c r="H109" s="22" t="s">
        <v>175</v>
      </c>
      <c r="I109" s="13">
        <v>42699.711331018516</v>
      </c>
      <c r="J109" s="7">
        <v>1</v>
      </c>
      <c r="K109" s="109" t="str">
        <f t="shared" si="35"/>
        <v>4039/4040</v>
      </c>
      <c r="L109" s="22" t="str">
        <f>VLOOKUP(A109,'Trips&amp;Operators'!$C$1:$E$10000,3,FALSE)</f>
        <v>ADANE</v>
      </c>
      <c r="M109" s="6">
        <f t="shared" si="36"/>
        <v>2.6238425925839692E-2</v>
      </c>
      <c r="N109" s="7">
        <f t="shared" si="37"/>
        <v>37.783333333209157</v>
      </c>
      <c r="O109" s="7"/>
      <c r="P109" s="7"/>
      <c r="Q109" s="23"/>
      <c r="R109" s="23"/>
      <c r="S109" s="35">
        <f t="shared" si="38"/>
        <v>1</v>
      </c>
      <c r="T109" s="50" t="str">
        <f t="shared" si="39"/>
        <v>Southbound</v>
      </c>
      <c r="U109" s="171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https://search-rtdc-monitor-bjffxe2xuh6vdkpspy63sjmuny.us-east-1.es.amazonaws.com/_plugin/kibana/#/discover/Steve-Slow-Train-Analysis-(2080s-and-2083s)?_g=(refreshInterval:(display:Off,section:0,value:0),time:(from:'2016-11-25 15:10:31-700',mode:absolute,to:'2016-11-25 18:04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09" s="52" t="str">
        <f t="shared" si="41"/>
        <v>N</v>
      </c>
      <c r="X109" s="177">
        <f t="shared" si="42"/>
        <v>1</v>
      </c>
      <c r="Y109" s="67">
        <f t="shared" si="43"/>
        <v>23.297699999999999</v>
      </c>
      <c r="Z109" s="67">
        <f t="shared" si="44"/>
        <v>1.52E-2</v>
      </c>
      <c r="AA109" s="67">
        <f t="shared" si="45"/>
        <v>23.282499999999999</v>
      </c>
      <c r="AB109" s="64" t="e">
        <f>VLOOKUP(A109,Enforcements!$C$7:$K$20,8,0)</f>
        <v>#N/A</v>
      </c>
      <c r="AC109" s="60" t="e">
        <f>VLOOKUP(A109,Enforcements!$C$7:$E$20,3,0)</f>
        <v>#N/A</v>
      </c>
      <c r="AD109" s="61" t="str">
        <f t="shared" si="46"/>
        <v>0196-25</v>
      </c>
      <c r="AE109" s="91" t="str">
        <f t="shared" si="47"/>
        <v>aws s3 cp s3://rtdc.mdm.uploadarchive.raw/RTDC4039/ "%USERPROFILE%\AppData\Local\Temp\OnboardLogs"\RTDC4039\2016-11-25 --exclude "*" --recursive --include "*20161125*" &amp; "%USERPROFILE%\Documents\GitHub\mrs-test-scripts\Headless Mode &amp; Sideloading\WalkAndUnGZ.bat" "%USERPROFILE%\AppData\Local\Temp\OnboardLogs"\RTDC4039\2016-11-25 &amp; aws s3 cp s3://rtdc.mdm.uploadarchive.raw/RTDC4039/ "%USERPROFILE%\AppData\Local\Temp\OnboardLogs"\RTDC4039\2016-11-26 --exclude "*" --recursive --include "*20161126*" &amp; "%USERPROFILE%\Documents\GitHub\mrs-test-scripts\Headless Mode &amp; Sideloading\WalkAndUnGZ.bat" "%USERPROFILE%\AppData\Local\Temp\OnboardLogs"\RTDC4039\2016-11-26</v>
      </c>
      <c r="AF109" s="88" t="str">
        <f t="shared" si="48"/>
        <v>"C:\Program Files (x86)\AstroGrep\AstroGrep.exe" /spath="%USERPROFILE%\AppData\Local\Temp\OnboardLogs" /stypes="app*4039*20161126*" /stext=" 00:.+((SYSTEM_STATE.+slice.+state.+changed )|(ment ac)|(system.+state.+changed )|(\[timeout)|(PRM\|1\|D)|(kpr)|(kdp)|(\|lc)|(penalty))" /e /r /s</v>
      </c>
      <c r="AG109" s="1" t="str">
        <f t="shared" si="49"/>
        <v>EC</v>
      </c>
      <c r="AH109" s="92" t="str">
        <f t="shared" si="50"/>
        <v>"%USERPROFILE%\Documents\GitHub\eaglep3\Utilities\RefineRTDCRunTimes.py" --tripid 196-25 --locoid 4039 --swversion DE.1.0.8.0 --startMP 204:232977 --initTime 2016-11-25T16:10:31 --startdatetime 2016-11-25T16:26:32 --delay 1 --endMP 204:152 --enddatetime 2016-11-25T17:04:19 --enforcementcount 1 &gt;&gt;C:\Users\stu\Documents\GitHub\eaglep3-reporting\EC\2016-11-25-refined-times.txt</v>
      </c>
      <c r="AI109" s="119" t="str">
        <f t="shared" si="51"/>
        <v>echo {"issue":{"subject":"","project_id":79,"tracker_id":40,"status_id":1,"priority_id":2,"assigned_to_id":23,"start_date":"2016-11-25","description":"","custom_fields":[{"id":1,"name":"Subdivision","value":"EC"},{"id":4,"name":"Milepost","value":"0.0152"},{"id":17,"name":"Train ID","value":"196-25"},{"id":16,"name":"Locomotive ID","value":"4039"},{"id":130,"name":"Impact","value":""},{"id":150,"name":"Time of Event (Mountain Time)","value":"17:04:19"},{"id":151,"name":"Denver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3"/>
      <c r="AK109" s="53"/>
      <c r="AL109" s="53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1" customFormat="1" x14ac:dyDescent="0.25">
      <c r="A110" s="37" t="s">
        <v>563</v>
      </c>
      <c r="B110" s="7">
        <v>4031</v>
      </c>
      <c r="C110" s="22" t="s">
        <v>217</v>
      </c>
      <c r="D110" s="22" t="s">
        <v>653</v>
      </c>
      <c r="E110" s="13">
        <v>42699.651435185187</v>
      </c>
      <c r="F110" s="13">
        <v>42699.656458333331</v>
      </c>
      <c r="G110" s="7">
        <v>1</v>
      </c>
      <c r="H110" s="22" t="s">
        <v>292</v>
      </c>
      <c r="I110" s="13">
        <v>42699.682291666664</v>
      </c>
      <c r="J110" s="7">
        <v>0</v>
      </c>
      <c r="K110" s="109" t="str">
        <f t="shared" si="35"/>
        <v>4031/4032</v>
      </c>
      <c r="L110" s="22" t="str">
        <f>VLOOKUP(A110,'Trips&amp;Operators'!$C$1:$E$10000,3,FALSE)</f>
        <v>HOLCOMB</v>
      </c>
      <c r="M110" s="6">
        <f t="shared" si="36"/>
        <v>2.5833333333139308E-2</v>
      </c>
      <c r="N110" s="7">
        <f t="shared" si="37"/>
        <v>37.199999999720603</v>
      </c>
      <c r="O110" s="7"/>
      <c r="P110" s="7"/>
      <c r="Q110" s="23"/>
      <c r="R110" s="23"/>
      <c r="S110" s="35">
        <f t="shared" si="38"/>
        <v>1</v>
      </c>
      <c r="T110" s="50" t="str">
        <f t="shared" si="39"/>
        <v>NorthBound</v>
      </c>
      <c r="U110" s="171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https://search-rtdc-monitor-bjffxe2xuh6vdkpspy63sjmuny.us-east-1.es.amazonaws.com/_plugin/kibana/#/discover/Steve-Slow-Train-Analysis-(2080s-and-2083s)?_g=(refreshInterval:(display:Off,section:0,value:0),time:(from:'2016-11-25 14:38:04-700',mode:absolute,to:'2016-11-25 17:22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10" s="52" t="str">
        <f t="shared" si="41"/>
        <v>N</v>
      </c>
      <c r="X110" s="177">
        <f t="shared" si="42"/>
        <v>1</v>
      </c>
      <c r="Y110" s="67">
        <f t="shared" si="43"/>
        <v>4.9099999999999998E-2</v>
      </c>
      <c r="Z110" s="67">
        <f t="shared" si="44"/>
        <v>23.3306</v>
      </c>
      <c r="AA110" s="67">
        <f t="shared" si="45"/>
        <v>23.281500000000001</v>
      </c>
      <c r="AB110" s="64" t="e">
        <f>VLOOKUP(A110,Enforcements!$C$7:$K$20,8,0)</f>
        <v>#N/A</v>
      </c>
      <c r="AC110" s="60" t="e">
        <f>VLOOKUP(A110,Enforcements!$C$7:$E$20,3,0)</f>
        <v>#N/A</v>
      </c>
      <c r="AD110" s="61" t="str">
        <f t="shared" si="46"/>
        <v>0197-25</v>
      </c>
      <c r="AE110" s="91" t="str">
        <f t="shared" si="47"/>
        <v>aws s3 cp s3://rtdc.mdm.uploadarchive.raw/RTDC4031/ "%USERPROFILE%\AppData\Local\Temp\OnboardLogs"\RTDC4031\2016-11-25 --exclude "*" --recursive --include "*20161125*" &amp; "%USERPROFILE%\Documents\GitHub\mrs-test-scripts\Headless Mode &amp; Sideloading\WalkAndUnGZ.bat" "%USERPROFILE%\AppData\Local\Temp\OnboardLogs"\RTDC4031\2016-11-25 &amp; aws s3 cp s3://rtdc.mdm.uploadarchive.raw/RTDC4031/ "%USERPROFILE%\AppData\Local\Temp\OnboardLogs"\RTDC4031\2016-11-26 --exclude "*" --recursive --include "*20161126*" &amp; "%USERPROFILE%\Documents\GitHub\mrs-test-scripts\Headless Mode &amp; Sideloading\WalkAndUnGZ.bat" "%USERPROFILE%\AppData\Local\Temp\OnboardLogs"\RTDC4031\2016-11-26</v>
      </c>
      <c r="AF110" s="88" t="str">
        <f t="shared" si="48"/>
        <v>"C:\Program Files (x86)\AstroGrep\AstroGrep.exe" /spath="%USERPROFILE%\AppData\Local\Temp\OnboardLogs" /stypes="app*4031*20161125*" /stext=" 23:.+((SYSTEM_STATE.+slice.+state.+changed )|(ment ac)|(system.+state.+changed )|(\[timeout)|(PRM\|1\|D)|(kpr)|(kdp)|(\|lc)|(penalty))" /e /r /s</v>
      </c>
      <c r="AG110" s="1" t="str">
        <f t="shared" si="49"/>
        <v>EC</v>
      </c>
      <c r="AH110" s="92" t="str">
        <f t="shared" si="50"/>
        <v>"%USERPROFILE%\Documents\GitHub\eaglep3\Utilities\RefineRTDCRunTimes.py" --tripid 197-25 --locoid 4031 --swversion DE.1.0.8.0 --startMP 204:491 --initTime 2016-11-25T15:38:04 --startdatetime 2016-11-25T15:45:18 --delay 1 --endMP 204:233306 --enddatetime 2016-11-25T16:22:30 --enforcementcount 0 &gt;&gt;C:\Users\stu\Documents\GitHub\eaglep3-reporting\EC\2016-11-25-refined-times.txt</v>
      </c>
      <c r="AI110" s="119" t="str">
        <f t="shared" si="51"/>
        <v>echo {"issue":{"subject":"","project_id":79,"tracker_id":40,"status_id":1,"priority_id":2,"assigned_to_id":23,"start_date":"2016-11-25","description":"","custom_fields":[{"id":1,"name":"Subdivision","value":"EC"},{"id":4,"name":"Milepost","value":"23.3306"},{"id":17,"name":"Train ID","value":"197-25"},{"id":16,"name":"Locomotive ID","value":"4031"},{"id":130,"name":"Impact","value":""},{"id":150,"name":"Time of Event (Mountain Time)","value":"16:22:30"},{"id":151,"name":"Denver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3"/>
      <c r="AK110" s="53"/>
      <c r="AL110" s="53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1" customFormat="1" x14ac:dyDescent="0.25">
      <c r="A111" s="37" t="s">
        <v>449</v>
      </c>
      <c r="B111" s="7">
        <v>4032</v>
      </c>
      <c r="C111" s="22" t="s">
        <v>217</v>
      </c>
      <c r="D111" s="22" t="s">
        <v>254</v>
      </c>
      <c r="E111" s="13">
        <v>42699.683703703704</v>
      </c>
      <c r="F111" s="13">
        <v>42699.695601851854</v>
      </c>
      <c r="G111" s="7">
        <v>1</v>
      </c>
      <c r="H111" s="22" t="s">
        <v>283</v>
      </c>
      <c r="I111" s="13">
        <v>42699.724236111113</v>
      </c>
      <c r="J111" s="7">
        <v>0</v>
      </c>
      <c r="K111" s="109" t="str">
        <f t="shared" si="35"/>
        <v>4031/4032</v>
      </c>
      <c r="L111" s="22" t="str">
        <f>VLOOKUP(A111,'Trips&amp;Operators'!$C$1:$E$10000,3,FALSE)</f>
        <v>HOLCOMB</v>
      </c>
      <c r="M111" s="6">
        <f t="shared" si="36"/>
        <v>2.8634259258979E-2</v>
      </c>
      <c r="N111" s="7">
        <f t="shared" si="37"/>
        <v>41.23333333292976</v>
      </c>
      <c r="O111" s="7"/>
      <c r="P111" s="7"/>
      <c r="Q111" s="23"/>
      <c r="R111" s="23"/>
      <c r="S111" s="35">
        <f t="shared" si="38"/>
        <v>1</v>
      </c>
      <c r="T111" s="50" t="str">
        <f t="shared" si="39"/>
        <v>Southbound</v>
      </c>
      <c r="U111" s="171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https://search-rtdc-monitor-bjffxe2xuh6vdkpspy63sjmuny.us-east-1.es.amazonaws.com/_plugin/kibana/#/discover/Steve-Slow-Train-Analysis-(2080s-and-2083s)?_g=(refreshInterval:(display:Off,section:0,value:0),time:(from:'2016-11-25 15:24:32-700',mode:absolute,to:'2016-11-25 18:22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11" s="52" t="str">
        <f t="shared" si="41"/>
        <v>N</v>
      </c>
      <c r="X111" s="177">
        <f t="shared" si="42"/>
        <v>1</v>
      </c>
      <c r="Y111" s="67">
        <f t="shared" si="43"/>
        <v>23.299800000000001</v>
      </c>
      <c r="Z111" s="67">
        <f t="shared" si="44"/>
        <v>1.67E-2</v>
      </c>
      <c r="AA111" s="67">
        <f t="shared" si="45"/>
        <v>23.283100000000001</v>
      </c>
      <c r="AB111" s="64" t="e">
        <f>VLOOKUP(A111,Enforcements!$C$7:$K$20,8,0)</f>
        <v>#N/A</v>
      </c>
      <c r="AC111" s="60" t="e">
        <f>VLOOKUP(A111,Enforcements!$C$7:$E$20,3,0)</f>
        <v>#N/A</v>
      </c>
      <c r="AD111" s="61" t="str">
        <f t="shared" si="46"/>
        <v>0198-25</v>
      </c>
      <c r="AE111" s="91" t="str">
        <f t="shared" si="47"/>
        <v>aws s3 cp s3://rtdc.mdm.uploadarchive.raw/RTDC4032/ "%USERPROFILE%\AppData\Local\Temp\OnboardLogs"\RTDC4032\2016-11-25 --exclude "*" --recursive --include "*20161125*" &amp; "%USERPROFILE%\Documents\GitHub\mrs-test-scripts\Headless Mode &amp; Sideloading\WalkAndUnGZ.bat" "%USERPROFILE%\AppData\Local\Temp\OnboardLogs"\RTDC4032\2016-11-25 &amp; aws s3 cp s3://rtdc.mdm.uploadarchive.raw/RTDC4032/ "%USERPROFILE%\AppData\Local\Temp\OnboardLogs"\RTDC4032\2016-11-26 --exclude "*" --recursive --include "*20161126*" &amp; "%USERPROFILE%\Documents\GitHub\mrs-test-scripts\Headless Mode &amp; Sideloading\WalkAndUnGZ.bat" "%USERPROFILE%\AppData\Local\Temp\OnboardLogs"\RTDC4032\2016-11-26</v>
      </c>
      <c r="AF111" s="88" t="str">
        <f t="shared" si="48"/>
        <v>"C:\Program Files (x86)\AstroGrep\AstroGrep.exe" /spath="%USERPROFILE%\AppData\Local\Temp\OnboardLogs" /stypes="app*4032*20161126*" /stext=" 00:.+((SYSTEM_STATE.+slice.+state.+changed )|(ment ac)|(system.+state.+changed )|(\[timeout)|(PRM\|1\|D)|(kpr)|(kdp)|(\|lc)|(penalty))" /e /r /s</v>
      </c>
      <c r="AG111" s="1" t="str">
        <f t="shared" si="49"/>
        <v>EC</v>
      </c>
      <c r="AH111" s="92" t="str">
        <f t="shared" si="50"/>
        <v>"%USERPROFILE%\Documents\GitHub\eaglep3\Utilities\RefineRTDCRunTimes.py" --tripid 198-25 --locoid 4032 --swversion DE.1.0.8.0 --startMP 204:232998 --initTime 2016-11-25T16:24:32 --startdatetime 2016-11-25T16:41:40 --delay 1 --endMP 204:167 --enddatetime 2016-11-25T17:22:54 --enforcementcount 0 &gt;&gt;C:\Users\stu\Documents\GitHub\eaglep3-reporting\EC\2016-11-25-refined-times.txt</v>
      </c>
      <c r="AI111" s="119" t="str">
        <f t="shared" si="51"/>
        <v>echo {"issue":{"subject":"","project_id":79,"tracker_id":40,"status_id":1,"priority_id":2,"assigned_to_id":23,"start_date":"2016-11-25","description":"","custom_fields":[{"id":1,"name":"Subdivision","value":"EC"},{"id":4,"name":"Milepost","value":"0.0167"},{"id":17,"name":"Train ID","value":"198-25"},{"id":16,"name":"Locomotive ID","value":"4032"},{"id":130,"name":"Impact","value":""},{"id":150,"name":"Time of Event (Mountain Time)","value":"17:22:54"},{"id":151,"name":"Denver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3"/>
      <c r="AK111" s="53"/>
      <c r="AL111" s="53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1" customFormat="1" x14ac:dyDescent="0.25">
      <c r="A112" s="37" t="s">
        <v>442</v>
      </c>
      <c r="B112" s="7">
        <v>4046</v>
      </c>
      <c r="C112" s="22" t="s">
        <v>217</v>
      </c>
      <c r="D112" s="22" t="s">
        <v>369</v>
      </c>
      <c r="E112" s="13">
        <v>42699.663298611114</v>
      </c>
      <c r="F112" s="13">
        <v>42699.666932870372</v>
      </c>
      <c r="G112" s="7">
        <v>2</v>
      </c>
      <c r="H112" s="22" t="s">
        <v>200</v>
      </c>
      <c r="I112" s="13">
        <v>42699.692141203705</v>
      </c>
      <c r="J112" s="7">
        <v>1</v>
      </c>
      <c r="K112" s="109" t="str">
        <f t="shared" si="35"/>
        <v>4045/4046</v>
      </c>
      <c r="L112" s="22" t="str">
        <f>VLOOKUP(A112,'Trips&amp;Operators'!$C$1:$E$10000,3,FALSE)</f>
        <v>STORY</v>
      </c>
      <c r="M112" s="6">
        <f t="shared" si="36"/>
        <v>2.5208333332557231E-2</v>
      </c>
      <c r="N112" s="7">
        <f t="shared" si="37"/>
        <v>36.299999998882413</v>
      </c>
      <c r="O112" s="7"/>
      <c r="P112" s="7"/>
      <c r="Q112" s="23"/>
      <c r="R112" s="23"/>
      <c r="S112" s="35">
        <f t="shared" si="38"/>
        <v>1</v>
      </c>
      <c r="T112" s="50" t="str">
        <f t="shared" si="39"/>
        <v>NorthBound</v>
      </c>
      <c r="U112" s="171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https://search-rtdc-monitor-bjffxe2xuh6vdkpspy63sjmuny.us-east-1.es.amazonaws.com/_plugin/kibana/#/discover/Steve-Slow-Train-Analysis-(2080s-and-2083s)?_g=(refreshInterval:(display:Off,section:0,value:0),time:(from:'2016-11-25 14:55:09-700',mode:absolute,to:'2016-11-25 17:36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12" s="52" t="str">
        <f t="shared" si="41"/>
        <v>N</v>
      </c>
      <c r="X112" s="177">
        <f t="shared" si="42"/>
        <v>1</v>
      </c>
      <c r="Y112" s="67">
        <f t="shared" si="43"/>
        <v>4.6699999999999998E-2</v>
      </c>
      <c r="Z112" s="67">
        <f t="shared" si="44"/>
        <v>23.329499999999999</v>
      </c>
      <c r="AA112" s="67">
        <f t="shared" si="45"/>
        <v>23.282799999999998</v>
      </c>
      <c r="AB112" s="64" t="str">
        <f>VLOOKUP(A112,Enforcements!$C$7:$K$20,8,0)</f>
        <v>Bulletin (2)</v>
      </c>
      <c r="AC112" s="60" t="str">
        <f>VLOOKUP(A112,Enforcements!$C$7:$E$20,3,0)</f>
        <v>GRADE CROSSING</v>
      </c>
      <c r="AD112" s="61" t="str">
        <f t="shared" si="46"/>
        <v>0199-25</v>
      </c>
      <c r="AE112" s="91" t="str">
        <f t="shared" si="47"/>
        <v>aws s3 cp s3://rtdc.mdm.uploadarchive.raw/RTDC4046/ "%USERPROFILE%\AppData\Local\Temp\OnboardLogs"\RTDC4046\2016-11-25 --exclude "*" --recursive --include "*20161125*" &amp; "%USERPROFILE%\Documents\GitHub\mrs-test-scripts\Headless Mode &amp; Sideloading\WalkAndUnGZ.bat" "%USERPROFILE%\AppData\Local\Temp\OnboardLogs"\RTDC4046\2016-11-25 &amp; aws s3 cp s3://rtdc.mdm.uploadarchive.raw/RTDC4046/ "%USERPROFILE%\AppData\Local\Temp\OnboardLogs"\RTDC4046\2016-11-26 --exclude "*" --recursive --include "*20161126*" &amp; "%USERPROFILE%\Documents\GitHub\mrs-test-scripts\Headless Mode &amp; Sideloading\WalkAndUnGZ.bat" "%USERPROFILE%\AppData\Local\Temp\OnboardLogs"\RTDC4046\2016-11-26</v>
      </c>
      <c r="AF112" s="88" t="str">
        <f t="shared" si="48"/>
        <v>"C:\Program Files (x86)\AstroGrep\AstroGrep.exe" /spath="%USERPROFILE%\AppData\Local\Temp\OnboardLogs" /stypes="app*4046*20161125*" /stext=" 23:.+((SYSTEM_STATE.+slice.+state.+changed )|(ment ac)|(system.+state.+changed )|(\[timeout)|(PRM\|1\|D)|(kpr)|(kdp)|(\|lc)|(penalty))" /e /r /s</v>
      </c>
      <c r="AG112" s="1" t="str">
        <f t="shared" si="49"/>
        <v>EC</v>
      </c>
      <c r="AH112" s="92" t="str">
        <f t="shared" si="50"/>
        <v>"%USERPROFILE%\Documents\GitHub\eaglep3\Utilities\RefineRTDCRunTimes.py" --tripid 199-25 --locoid 4046 --swversion DE.1.0.8.0 --startMP 204:467 --initTime 2016-11-25T15:55:09 --startdatetime 2016-11-25T16:00:23 --delay 2 --endMP 204:233295 --enddatetime 2016-11-25T16:36:41 --enforcementcount 1 &gt;&gt;C:\Users\stu\Documents\GitHub\eaglep3-reporting\EC\2016-11-25-refined-times.txt</v>
      </c>
      <c r="AI112" s="119" t="str">
        <f t="shared" si="51"/>
        <v>echo {"issue":{"subject":"","project_id":79,"tracker_id":40,"status_id":1,"priority_id":2,"assigned_to_id":23,"start_date":"2016-11-25","description":"","custom_fields":[{"id":1,"name":"Subdivision","value":"EC"},{"id":4,"name":"Milepost","value":"23.3295"},{"id":17,"name":"Train ID","value":"199-25"},{"id":16,"name":"Locomotive ID","value":"4046"},{"id":130,"name":"Impact","value":""},{"id":150,"name":"Time of Event (Mountain Time)","value":"16:36:41"},{"id":151,"name":"Denver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3"/>
      <c r="AK112" s="53"/>
      <c r="AL112" s="53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1" customFormat="1" x14ac:dyDescent="0.25">
      <c r="A113" s="37" t="s">
        <v>572</v>
      </c>
      <c r="B113" s="7">
        <v>4045</v>
      </c>
      <c r="C113" s="22" t="s">
        <v>217</v>
      </c>
      <c r="D113" s="22" t="s">
        <v>210</v>
      </c>
      <c r="E113" s="13">
        <v>42699.699293981481</v>
      </c>
      <c r="F113" s="13">
        <v>42699.70584490741</v>
      </c>
      <c r="G113" s="7">
        <v>1</v>
      </c>
      <c r="H113" s="22" t="s">
        <v>259</v>
      </c>
      <c r="I113" s="13">
        <v>42699.734409722223</v>
      </c>
      <c r="J113" s="7">
        <v>0</v>
      </c>
      <c r="K113" s="109" t="str">
        <f t="shared" si="35"/>
        <v>4045/4046</v>
      </c>
      <c r="L113" s="22" t="str">
        <f>VLOOKUP(A113,'Trips&amp;Operators'!$C$1:$E$10000,3,FALSE)</f>
        <v>STORY</v>
      </c>
      <c r="M113" s="6">
        <f t="shared" si="36"/>
        <v>2.8564814812853001E-2</v>
      </c>
      <c r="N113" s="7">
        <f t="shared" si="37"/>
        <v>41.133333330508322</v>
      </c>
      <c r="O113" s="7"/>
      <c r="P113" s="7"/>
      <c r="Q113" s="23"/>
      <c r="R113" s="23"/>
      <c r="S113" s="35">
        <f t="shared" si="38"/>
        <v>1</v>
      </c>
      <c r="T113" s="50" t="str">
        <f t="shared" si="39"/>
        <v>Southbound</v>
      </c>
      <c r="U113" s="171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https://search-rtdc-monitor-bjffxe2xuh6vdkpspy63sjmuny.us-east-1.es.amazonaws.com/_plugin/kibana/#/discover/Steve-Slow-Train-Analysis-(2080s-and-2083s)?_g=(refreshInterval:(display:Off,section:0,value:0),time:(from:'2016-11-25 15:46:59-700',mode:absolute,to:'2016-11-25 18:37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13" s="52" t="str">
        <f t="shared" si="41"/>
        <v>N</v>
      </c>
      <c r="X113" s="177">
        <f t="shared" si="42"/>
        <v>1</v>
      </c>
      <c r="Y113" s="67">
        <f t="shared" si="43"/>
        <v>23.297699999999999</v>
      </c>
      <c r="Z113" s="67">
        <f t="shared" si="44"/>
        <v>1.6500000000000001E-2</v>
      </c>
      <c r="AA113" s="67">
        <f t="shared" si="45"/>
        <v>23.281199999999998</v>
      </c>
      <c r="AB113" s="64" t="e">
        <f>VLOOKUP(A113,Enforcements!$C$7:$K$20,8,0)</f>
        <v>#N/A</v>
      </c>
      <c r="AC113" s="60" t="e">
        <f>VLOOKUP(A113,Enforcements!$C$7:$E$20,3,0)</f>
        <v>#N/A</v>
      </c>
      <c r="AD113" s="61" t="str">
        <f t="shared" si="46"/>
        <v>0200-25</v>
      </c>
      <c r="AE113" s="91" t="str">
        <f t="shared" si="47"/>
        <v>aws s3 cp s3://rtdc.mdm.uploadarchive.raw/RTDC4045/ "%USERPROFILE%\AppData\Local\Temp\OnboardLogs"\RTDC4045\2016-11-25 --exclude "*" --recursive --include "*20161125*" &amp; "%USERPROFILE%\Documents\GitHub\mrs-test-scripts\Headless Mode &amp; Sideloading\WalkAndUnGZ.bat" "%USERPROFILE%\AppData\Local\Temp\OnboardLogs"\RTDC4045\2016-11-25 &amp; aws s3 cp s3://rtdc.mdm.uploadarchive.raw/RTDC4045/ "%USERPROFILE%\AppData\Local\Temp\OnboardLogs"\RTDC4045\2016-11-26 --exclude "*" --recursive --include "*20161126*" &amp; "%USERPROFILE%\Documents\GitHub\mrs-test-scripts\Headless Mode &amp; Sideloading\WalkAndUnGZ.bat" "%USERPROFILE%\AppData\Local\Temp\OnboardLogs"\RTDC4045\2016-11-26</v>
      </c>
      <c r="AF113" s="88" t="str">
        <f t="shared" si="48"/>
        <v>"C:\Program Files (x86)\AstroGrep\AstroGrep.exe" /spath="%USERPROFILE%\AppData\Local\Temp\OnboardLogs" /stypes="app*4045*20161126*" /stext=" 00:.+((SYSTEM_STATE.+slice.+state.+changed )|(ment ac)|(system.+state.+changed )|(\[timeout)|(PRM\|1\|D)|(kpr)|(kdp)|(\|lc)|(penalty))" /e /r /s</v>
      </c>
      <c r="AG113" s="1" t="str">
        <f t="shared" si="49"/>
        <v>EC</v>
      </c>
      <c r="AH113" s="92" t="str">
        <f t="shared" si="50"/>
        <v>"%USERPROFILE%\Documents\GitHub\eaglep3\Utilities\RefineRTDCRunTimes.py" --tripid 200-25 --locoid 4045 --swversion DE.1.0.8.0 --startMP 204:232977 --initTime 2016-11-25T16:46:59 --startdatetime 2016-11-25T16:56:25 --delay 1 --endMP 204:165 --enddatetime 2016-11-25T17:37:33 --enforcementcount 0 &gt;&gt;C:\Users\stu\Documents\GitHub\eaglep3-reporting\EC\2016-11-25-refined-times.txt</v>
      </c>
      <c r="AI113" s="119" t="str">
        <f t="shared" si="51"/>
        <v>echo {"issue":{"subject":"","project_id":79,"tracker_id":40,"status_id":1,"priority_id":2,"assigned_to_id":23,"start_date":"2016-11-25","description":"","custom_fields":[{"id":1,"name":"Subdivision","value":"EC"},{"id":4,"name":"Milepost","value":"0.0165"},{"id":17,"name":"Train ID","value":"200-25"},{"id":16,"name":"Locomotive ID","value":"4045"},{"id":130,"name":"Impact","value":""},{"id":150,"name":"Time of Event (Mountain Time)","value":"17:37:33"},{"id":151,"name":"Denver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3"/>
      <c r="AK113" s="53"/>
      <c r="AL113" s="5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1" customFormat="1" x14ac:dyDescent="0.25">
      <c r="A114" s="37" t="s">
        <v>568</v>
      </c>
      <c r="B114" s="7">
        <v>4011</v>
      </c>
      <c r="C114" s="22" t="s">
        <v>217</v>
      </c>
      <c r="D114" s="22" t="s">
        <v>647</v>
      </c>
      <c r="E114" s="13">
        <v>42699.675370370373</v>
      </c>
      <c r="F114" s="13">
        <v>42699.677754629629</v>
      </c>
      <c r="G114" s="7">
        <v>1</v>
      </c>
      <c r="H114" s="22" t="s">
        <v>292</v>
      </c>
      <c r="I114" s="13">
        <v>42699.704699074071</v>
      </c>
      <c r="J114" s="7">
        <v>0</v>
      </c>
      <c r="K114" s="109" t="str">
        <f t="shared" si="35"/>
        <v>4011/4012</v>
      </c>
      <c r="L114" s="22" t="str">
        <f>VLOOKUP(A114,'Trips&amp;Operators'!$C$1:$E$10000,3,FALSE)</f>
        <v>DAVIS</v>
      </c>
      <c r="M114" s="6">
        <f t="shared" si="36"/>
        <v>2.6944444442051463E-2</v>
      </c>
      <c r="N114" s="7">
        <f t="shared" si="37"/>
        <v>38.799999996554106</v>
      </c>
      <c r="O114" s="7"/>
      <c r="P114" s="7"/>
      <c r="Q114" s="23"/>
      <c r="R114" s="23"/>
      <c r="S114" s="35">
        <f t="shared" si="38"/>
        <v>1</v>
      </c>
      <c r="T114" s="50" t="str">
        <f t="shared" si="39"/>
        <v>NorthBound</v>
      </c>
      <c r="U114" s="171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https://search-rtdc-monitor-bjffxe2xuh6vdkpspy63sjmuny.us-east-1.es.amazonaws.com/_plugin/kibana/#/discover/Steve-Slow-Train-Analysis-(2080s-and-2083s)?_g=(refreshInterval:(display:Off,section:0,value:0),time:(from:'2016-11-25 15:12:32-700',mode:absolute,to:'2016-11-25 17:54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14" s="52" t="str">
        <f t="shared" si="41"/>
        <v>N</v>
      </c>
      <c r="X114" s="177">
        <f t="shared" si="42"/>
        <v>1</v>
      </c>
      <c r="Y114" s="67">
        <f t="shared" si="43"/>
        <v>4.9799999999999997E-2</v>
      </c>
      <c r="Z114" s="67">
        <f t="shared" si="44"/>
        <v>23.3306</v>
      </c>
      <c r="AA114" s="67">
        <f t="shared" si="45"/>
        <v>23.280799999999999</v>
      </c>
      <c r="AB114" s="64" t="e">
        <f>VLOOKUP(A114,Enforcements!$C$7:$K$20,8,0)</f>
        <v>#N/A</v>
      </c>
      <c r="AC114" s="60" t="e">
        <f>VLOOKUP(A114,Enforcements!$C$7:$E$20,3,0)</f>
        <v>#N/A</v>
      </c>
      <c r="AD114" s="61" t="str">
        <f t="shared" si="46"/>
        <v>0201-25</v>
      </c>
      <c r="AE114" s="91" t="str">
        <f t="shared" si="47"/>
        <v>aws s3 cp s3://rtdc.mdm.uploadarchive.raw/RTDC4011/ "%USERPROFILE%\AppData\Local\Temp\OnboardLogs"\RTDC4011\2016-11-25 --exclude "*" --recursive --include "*20161125*" &amp; "%USERPROFILE%\Documents\GitHub\mrs-test-scripts\Headless Mode &amp; Sideloading\WalkAndUnGZ.bat" "%USERPROFILE%\AppData\Local\Temp\OnboardLogs"\RTDC4011\2016-11-25 &amp; aws s3 cp s3://rtdc.mdm.uploadarchive.raw/RTDC4011/ "%USERPROFILE%\AppData\Local\Temp\OnboardLogs"\RTDC4011\2016-11-26 --exclude "*" --recursive --include "*20161126*" &amp; "%USERPROFILE%\Documents\GitHub\mrs-test-scripts\Headless Mode &amp; Sideloading\WalkAndUnGZ.bat" "%USERPROFILE%\AppData\Local\Temp\OnboardLogs"\RTDC4011\2016-11-26</v>
      </c>
      <c r="AF114" s="88" t="str">
        <f t="shared" si="48"/>
        <v>"C:\Program Files (x86)\AstroGrep\AstroGrep.exe" /spath="%USERPROFILE%\AppData\Local\Temp\OnboardLogs" /stypes="app*4011*20161125*" /stext=" 23:.+((SYSTEM_STATE.+slice.+state.+changed )|(ment ac)|(system.+state.+changed )|(\[timeout)|(PRM\|1\|D)|(kpr)|(kdp)|(\|lc)|(penalty))" /e /r /s</v>
      </c>
      <c r="AG114" s="1" t="str">
        <f t="shared" si="49"/>
        <v>EC</v>
      </c>
      <c r="AH114" s="92" t="str">
        <f t="shared" si="50"/>
        <v>"%USERPROFILE%\Documents\GitHub\eaglep3\Utilities\RefineRTDCRunTimes.py" --tripid 201-25 --locoid 4011 --swversion DE.1.0.8.0 --startMP 204:498 --initTime 2016-11-25T16:12:32 --startdatetime 2016-11-25T16:15:58 --delay 1 --endMP 204:233306 --enddatetime 2016-11-25T16:54:46 --enforcementcount 0 &gt;&gt;C:\Users\stu\Documents\GitHub\eaglep3-reporting\EC\2016-11-25-refined-times.txt</v>
      </c>
      <c r="AI114" s="119" t="str">
        <f t="shared" si="51"/>
        <v>echo {"issue":{"subject":"","project_id":79,"tracker_id":40,"status_id":1,"priority_id":2,"assigned_to_id":23,"start_date":"2016-11-25","description":"","custom_fields":[{"id":1,"name":"Subdivision","value":"EC"},{"id":4,"name":"Milepost","value":"23.3306"},{"id":17,"name":"Train ID","value":"201-25"},{"id":16,"name":"Locomotive ID","value":"4011"},{"id":130,"name":"Impact","value":""},{"id":150,"name":"Time of Event (Mountain Time)","value":"16:54:46"},{"id":151,"name":"Denver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3"/>
      <c r="AK114" s="53"/>
      <c r="AL114" s="53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1" customFormat="1" x14ac:dyDescent="0.25">
      <c r="A115" s="37" t="s">
        <v>448</v>
      </c>
      <c r="B115" s="7">
        <v>4012</v>
      </c>
      <c r="C115" s="22" t="s">
        <v>217</v>
      </c>
      <c r="D115" s="22" t="s">
        <v>644</v>
      </c>
      <c r="E115" s="13">
        <v>42699.713437500002</v>
      </c>
      <c r="F115" s="13">
        <v>42699.716493055559</v>
      </c>
      <c r="G115" s="7">
        <v>1</v>
      </c>
      <c r="H115" s="22" t="s">
        <v>212</v>
      </c>
      <c r="I115" s="13">
        <v>42699.747349537036</v>
      </c>
      <c r="J115" s="7">
        <v>1</v>
      </c>
      <c r="K115" s="109" t="str">
        <f t="shared" si="35"/>
        <v>4011/4012</v>
      </c>
      <c r="L115" s="22" t="str">
        <f>VLOOKUP(A115,'Trips&amp;Operators'!$C$1:$E$10000,3,FALSE)</f>
        <v>DAVIS</v>
      </c>
      <c r="M115" s="6">
        <f t="shared" si="36"/>
        <v>3.085648147680331E-2</v>
      </c>
      <c r="N115" s="7">
        <f t="shared" si="37"/>
        <v>44.433333326596767</v>
      </c>
      <c r="O115" s="7"/>
      <c r="P115" s="7"/>
      <c r="Q115" s="23"/>
      <c r="R115" s="23"/>
      <c r="S115" s="35">
        <f t="shared" si="38"/>
        <v>1</v>
      </c>
      <c r="T115" s="50" t="str">
        <f t="shared" si="39"/>
        <v>Southbound</v>
      </c>
      <c r="U115" s="171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https://search-rtdc-monitor-bjffxe2xuh6vdkpspy63sjmuny.us-east-1.es.amazonaws.com/_plugin/kibana/#/discover/Steve-Slow-Train-Analysis-(2080s-and-2083s)?_g=(refreshInterval:(display:Off,section:0,value:0),time:(from:'2016-11-25 16:07:21-700',mode:absolute,to:'2016-11-25 18:56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15" s="52" t="str">
        <f t="shared" si="41"/>
        <v>N</v>
      </c>
      <c r="X115" s="177">
        <f t="shared" si="42"/>
        <v>1</v>
      </c>
      <c r="Y115" s="67">
        <f t="shared" si="43"/>
        <v>23.298500000000001</v>
      </c>
      <c r="Z115" s="67">
        <f t="shared" si="44"/>
        <v>1.5599999999999999E-2</v>
      </c>
      <c r="AA115" s="67">
        <f t="shared" si="45"/>
        <v>23.282900000000001</v>
      </c>
      <c r="AB115" s="64" t="str">
        <f>VLOOKUP(A115,Enforcements!$C$7:$K$20,8,0)</f>
        <v>Speed (6)</v>
      </c>
      <c r="AC115" s="60" t="str">
        <f>VLOOKUP(A115,Enforcements!$C$7:$E$20,3,0)</f>
        <v>PERMANENT SPEED RESTRICTION</v>
      </c>
      <c r="AD115" s="61" t="str">
        <f t="shared" si="46"/>
        <v>0202-25</v>
      </c>
      <c r="AE115" s="91" t="str">
        <f t="shared" si="47"/>
        <v>aws s3 cp s3://rtdc.mdm.uploadarchive.raw/RTDC4012/ "%USERPROFILE%\AppData\Local\Temp\OnboardLogs"\RTDC4012\2016-11-25 --exclude "*" --recursive --include "*20161125*" &amp; "%USERPROFILE%\Documents\GitHub\mrs-test-scripts\Headless Mode &amp; Sideloading\WalkAndUnGZ.bat" "%USERPROFILE%\AppData\Local\Temp\OnboardLogs"\RTDC4012\2016-11-25 &amp; aws s3 cp s3://rtdc.mdm.uploadarchive.raw/RTDC4012/ "%USERPROFILE%\AppData\Local\Temp\OnboardLogs"\RTDC4012\2016-11-26 --exclude "*" --recursive --include "*20161126*" &amp; "%USERPROFILE%\Documents\GitHub\mrs-test-scripts\Headless Mode &amp; Sideloading\WalkAndUnGZ.bat" "%USERPROFILE%\AppData\Local\Temp\OnboardLogs"\RTDC4012\2016-11-26</v>
      </c>
      <c r="AF115" s="88" t="str">
        <f t="shared" si="48"/>
        <v>"C:\Program Files (x86)\AstroGrep\AstroGrep.exe" /spath="%USERPROFILE%\AppData\Local\Temp\OnboardLogs" /stypes="app*4012*20161126*" /stext=" 00:.+((SYSTEM_STATE.+slice.+state.+changed )|(ment ac)|(system.+state.+changed )|(\[timeout)|(PRM\|1\|D)|(kpr)|(kdp)|(\|lc)|(penalty))" /e /r /s</v>
      </c>
      <c r="AG115" s="1" t="str">
        <f t="shared" si="49"/>
        <v>EC</v>
      </c>
      <c r="AH115" s="92" t="str">
        <f t="shared" si="50"/>
        <v>"%USERPROFILE%\Documents\GitHub\eaglep3\Utilities\RefineRTDCRunTimes.py" --tripid 202-25 --locoid 4012 --swversion DE.1.0.8.0 --startMP 204:232985 --initTime 2016-11-25T17:07:21 --startdatetime 2016-11-25T17:11:45 --delay 1 --endMP 204:156 --enddatetime 2016-11-25T17:56:11 --enforcementcount 1 &gt;&gt;C:\Users\stu\Documents\GitHub\eaglep3-reporting\EC\2016-11-25-refined-times.txt</v>
      </c>
      <c r="AI115" s="119" t="str">
        <f t="shared" si="51"/>
        <v>echo {"issue":{"subject":"","project_id":79,"tracker_id":40,"status_id":1,"priority_id":2,"assigned_to_id":23,"start_date":"2016-11-25","description":"","custom_fields":[{"id":1,"name":"Subdivision","value":"EC"},{"id":4,"name":"Milepost","value":"0.0156"},{"id":17,"name":"Train ID","value":"202-25"},{"id":16,"name":"Locomotive ID","value":"4012"},{"id":130,"name":"Impact","value":""},{"id":150,"name":"Time of Event (Mountain Time)","value":"17:56:11"},{"id":151,"name":"Denver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3"/>
      <c r="AK115" s="53"/>
      <c r="AL115" s="53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1" customFormat="1" x14ac:dyDescent="0.25">
      <c r="A116" s="37" t="s">
        <v>569</v>
      </c>
      <c r="B116" s="7">
        <v>4014</v>
      </c>
      <c r="C116" s="22" t="s">
        <v>217</v>
      </c>
      <c r="D116" s="22" t="s">
        <v>201</v>
      </c>
      <c r="E116" s="13">
        <v>42699.682766203703</v>
      </c>
      <c r="F116" s="13">
        <v>42699.687835648147</v>
      </c>
      <c r="G116" s="7">
        <v>1</v>
      </c>
      <c r="H116" s="22" t="s">
        <v>323</v>
      </c>
      <c r="I116" s="13">
        <v>42699.713923611111</v>
      </c>
      <c r="J116" s="7">
        <v>0</v>
      </c>
      <c r="K116" s="109" t="str">
        <f t="shared" si="35"/>
        <v>4013/4014</v>
      </c>
      <c r="L116" s="22" t="str">
        <f>VLOOKUP(A116,'Trips&amp;Operators'!$C$1:$E$10000,3,FALSE)</f>
        <v>SMITH</v>
      </c>
      <c r="M116" s="6">
        <f t="shared" si="36"/>
        <v>2.6087962964083999E-2</v>
      </c>
      <c r="N116" s="7">
        <f t="shared" si="37"/>
        <v>37.566666668280959</v>
      </c>
      <c r="O116" s="7"/>
      <c r="P116" s="7"/>
      <c r="Q116" s="23"/>
      <c r="R116" s="23"/>
      <c r="S116" s="35">
        <f t="shared" si="38"/>
        <v>1</v>
      </c>
      <c r="T116" s="50" t="str">
        <f t="shared" si="39"/>
        <v>NorthBound</v>
      </c>
      <c r="U116" s="171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https://search-rtdc-monitor-bjffxe2xuh6vdkpspy63sjmuny.us-east-1.es.amazonaws.com/_plugin/kibana/#/discover/Steve-Slow-Train-Analysis-(2080s-and-2083s)?_g=(refreshInterval:(display:Off,section:0,value:0),time:(from:'2016-11-25 15:23:11-700',mode:absolute,to:'2016-11-25 18:08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16" s="52" t="str">
        <f t="shared" si="41"/>
        <v>N</v>
      </c>
      <c r="X116" s="177">
        <f t="shared" si="42"/>
        <v>1</v>
      </c>
      <c r="Y116" s="67">
        <f t="shared" si="43"/>
        <v>4.5100000000000001E-2</v>
      </c>
      <c r="Z116" s="67">
        <f t="shared" si="44"/>
        <v>23.327999999999999</v>
      </c>
      <c r="AA116" s="67">
        <f t="shared" si="45"/>
        <v>23.282899999999998</v>
      </c>
      <c r="AB116" s="64" t="e">
        <f>VLOOKUP(A116,Enforcements!$C$7:$K$20,8,0)</f>
        <v>#N/A</v>
      </c>
      <c r="AC116" s="60" t="e">
        <f>VLOOKUP(A116,Enforcements!$C$7:$E$20,3,0)</f>
        <v>#N/A</v>
      </c>
      <c r="AD116" s="61" t="str">
        <f t="shared" si="46"/>
        <v>0203-25</v>
      </c>
      <c r="AE116" s="91" t="str">
        <f t="shared" si="47"/>
        <v>aws s3 cp s3://rtdc.mdm.uploadarchive.raw/RTDC4014/ "%USERPROFILE%\AppData\Local\Temp\OnboardLogs"\RTDC4014\2016-11-25 --exclude "*" --recursive --include "*20161125*" &amp; "%USERPROFILE%\Documents\GitHub\mrs-test-scripts\Headless Mode &amp; Sideloading\WalkAndUnGZ.bat" "%USERPROFILE%\AppData\Local\Temp\OnboardLogs"\RTDC4014\2016-11-25 &amp; aws s3 cp s3://rtdc.mdm.uploadarchive.raw/RTDC4014/ "%USERPROFILE%\AppData\Local\Temp\OnboardLogs"\RTDC4014\2016-11-26 --exclude "*" --recursive --include "*20161126*" &amp; "%USERPROFILE%\Documents\GitHub\mrs-test-scripts\Headless Mode &amp; Sideloading\WalkAndUnGZ.bat" "%USERPROFILE%\AppData\Local\Temp\OnboardLogs"\RTDC4014\2016-11-26</v>
      </c>
      <c r="AF116" s="88" t="str">
        <f t="shared" si="48"/>
        <v>"C:\Program Files (x86)\AstroGrep\AstroGrep.exe" /spath="%USERPROFILE%\AppData\Local\Temp\OnboardLogs" /stypes="app*4014*20161126*" /stext=" 00:.+((SYSTEM_STATE.+slice.+state.+changed )|(ment ac)|(system.+state.+changed )|(\[timeout)|(PRM\|1\|D)|(kpr)|(kdp)|(\|lc)|(penalty))" /e /r /s</v>
      </c>
      <c r="AG116" s="1" t="str">
        <f t="shared" si="49"/>
        <v>EC</v>
      </c>
      <c r="AH116" s="92" t="str">
        <f t="shared" si="50"/>
        <v>"%USERPROFILE%\Documents\GitHub\eaglep3\Utilities\RefineRTDCRunTimes.py" --tripid 203-25 --locoid 4014 --swversion DE.1.0.8.0 --startMP 204:451 --initTime 2016-11-25T16:23:11 --startdatetime 2016-11-25T16:30:29 --delay 1 --endMP 204:233280 --enddatetime 2016-11-25T17:08:03 --enforcementcount 0 &gt;&gt;C:\Users\stu\Documents\GitHub\eaglep3-reporting\EC\2016-11-25-refined-times.txt</v>
      </c>
      <c r="AI116" s="119" t="str">
        <f t="shared" si="51"/>
        <v>echo {"issue":{"subject":"","project_id":79,"tracker_id":40,"status_id":1,"priority_id":2,"assigned_to_id":23,"start_date":"2016-11-25","description":"","custom_fields":[{"id":1,"name":"Subdivision","value":"EC"},{"id":4,"name":"Milepost","value":"23.328"},{"id":17,"name":"Train ID","value":"203-25"},{"id":16,"name":"Locomotive ID","value":"4014"},{"id":130,"name":"Impact","value":""},{"id":150,"name":"Time of Event (Mountain Time)","value":"17:08:03"},{"id":151,"name":"Denver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3"/>
      <c r="AK116" s="53"/>
      <c r="AL116" s="53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1" customFormat="1" x14ac:dyDescent="0.25">
      <c r="A117" s="37" t="s">
        <v>575</v>
      </c>
      <c r="B117" s="7">
        <v>4013</v>
      </c>
      <c r="C117" s="22" t="s">
        <v>217</v>
      </c>
      <c r="D117" s="22" t="s">
        <v>296</v>
      </c>
      <c r="E117" s="13">
        <v>42699.718692129631</v>
      </c>
      <c r="F117" s="13">
        <v>42699.726678240739</v>
      </c>
      <c r="G117" s="7">
        <v>1</v>
      </c>
      <c r="H117" s="22" t="s">
        <v>241</v>
      </c>
      <c r="I117" s="13">
        <v>42699.754467592589</v>
      </c>
      <c r="J117" s="7">
        <v>0</v>
      </c>
      <c r="K117" s="109" t="str">
        <f t="shared" si="35"/>
        <v>4013/4014</v>
      </c>
      <c r="L117" s="22" t="str">
        <f>VLOOKUP(A117,'Trips&amp;Operators'!$C$1:$E$10000,3,FALSE)</f>
        <v>SMITH</v>
      </c>
      <c r="M117" s="6">
        <f t="shared" si="36"/>
        <v>2.7789351850515231E-2</v>
      </c>
      <c r="N117" s="7">
        <f t="shared" si="37"/>
        <v>40.016666664741933</v>
      </c>
      <c r="O117" s="7"/>
      <c r="P117" s="7"/>
      <c r="Q117" s="23"/>
      <c r="R117" s="23"/>
      <c r="S117" s="35">
        <f t="shared" si="38"/>
        <v>1</v>
      </c>
      <c r="T117" s="50" t="str">
        <f t="shared" si="39"/>
        <v>Southbound</v>
      </c>
      <c r="U117" s="171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https://search-rtdc-monitor-bjffxe2xuh6vdkpspy63sjmuny.us-east-1.es.amazonaws.com/_plugin/kibana/#/discover/Steve-Slow-Train-Analysis-(2080s-and-2083s)?_g=(refreshInterval:(display:Off,section:0,value:0),time:(from:'2016-11-25 16:14:55-700',mode:absolute,to:'2016-11-25 19:06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17" s="52" t="str">
        <f t="shared" si="41"/>
        <v>N</v>
      </c>
      <c r="X117" s="177">
        <f t="shared" si="42"/>
        <v>1</v>
      </c>
      <c r="Y117" s="67">
        <f t="shared" si="43"/>
        <v>23.297799999999999</v>
      </c>
      <c r="Z117" s="67">
        <f t="shared" si="44"/>
        <v>1.54E-2</v>
      </c>
      <c r="AA117" s="67">
        <f t="shared" si="45"/>
        <v>23.282399999999999</v>
      </c>
      <c r="AB117" s="64" t="e">
        <f>VLOOKUP(A117,Enforcements!$C$7:$K$20,8,0)</f>
        <v>#N/A</v>
      </c>
      <c r="AC117" s="60" t="e">
        <f>VLOOKUP(A117,Enforcements!$C$7:$E$20,3,0)</f>
        <v>#N/A</v>
      </c>
      <c r="AD117" s="61" t="str">
        <f t="shared" si="46"/>
        <v>0204-25</v>
      </c>
      <c r="AE117" s="91" t="str">
        <f t="shared" si="47"/>
        <v>aws s3 cp s3://rtdc.mdm.uploadarchive.raw/RTDC4013/ "%USERPROFILE%\AppData\Local\Temp\OnboardLogs"\RTDC4013\2016-11-25 --exclude "*" --recursive --include "*20161125*" &amp; "%USERPROFILE%\Documents\GitHub\mrs-test-scripts\Headless Mode &amp; Sideloading\WalkAndUnGZ.bat" "%USERPROFILE%\AppData\Local\Temp\OnboardLogs"\RTDC4013\2016-11-25 &amp; aws s3 cp s3://rtdc.mdm.uploadarchive.raw/RTDC4013/ "%USERPROFILE%\AppData\Local\Temp\OnboardLogs"\RTDC4013\2016-11-26 --exclude "*" --recursive --include "*20161126*" &amp; "%USERPROFILE%\Documents\GitHub\mrs-test-scripts\Headless Mode &amp; Sideloading\WalkAndUnGZ.bat" "%USERPROFILE%\AppData\Local\Temp\OnboardLogs"\RTDC4013\2016-11-26</v>
      </c>
      <c r="AF117" s="88" t="str">
        <f t="shared" si="48"/>
        <v>"C:\Program Files (x86)\AstroGrep\AstroGrep.exe" /spath="%USERPROFILE%\AppData\Local\Temp\OnboardLogs" /stypes="app*4013*20161126*" /stext=" 01:.+((SYSTEM_STATE.+slice.+state.+changed )|(ment ac)|(system.+state.+changed )|(\[timeout)|(PRM\|1\|D)|(kpr)|(kdp)|(\|lc)|(penalty))" /e /r /s</v>
      </c>
      <c r="AG117" s="1" t="str">
        <f t="shared" si="49"/>
        <v>EC</v>
      </c>
      <c r="AH117" s="92" t="str">
        <f t="shared" si="50"/>
        <v>"%USERPROFILE%\Documents\GitHub\eaglep3\Utilities\RefineRTDCRunTimes.py" --tripid 204-25 --locoid 4013 --swversion DE.1.0.8.0 --startMP 204:232978 --initTime 2016-11-25T17:14:55 --startdatetime 2016-11-25T17:26:25 --delay 1 --endMP 204:154 --enddatetime 2016-11-25T18:06:26 --enforcementcount 0 &gt;&gt;C:\Users\stu\Documents\GitHub\eaglep3-reporting\EC\2016-11-25-refined-times.txt</v>
      </c>
      <c r="AI117" s="119" t="str">
        <f t="shared" si="51"/>
        <v>echo {"issue":{"subject":"","project_id":79,"tracker_id":40,"status_id":1,"priority_id":2,"assigned_to_id":23,"start_date":"2016-11-25","description":"","custom_fields":[{"id":1,"name":"Subdivision","value":"EC"},{"id":4,"name":"Milepost","value":"0.0154"},{"id":17,"name":"Train ID","value":"204-25"},{"id":16,"name":"Locomotive ID","value":"4013"},{"id":130,"name":"Impact","value":""},{"id":150,"name":"Time of Event (Mountain Time)","value":"18:06:26"},{"id":151,"name":"Denver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3"/>
      <c r="AK117" s="53"/>
      <c r="AL117" s="53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1" customFormat="1" x14ac:dyDescent="0.25">
      <c r="A118" s="37" t="s">
        <v>570</v>
      </c>
      <c r="B118" s="7">
        <v>4042</v>
      </c>
      <c r="C118" s="22" t="s">
        <v>217</v>
      </c>
      <c r="D118" s="22" t="s">
        <v>294</v>
      </c>
      <c r="E118" s="13">
        <v>42699.694247685184</v>
      </c>
      <c r="F118" s="13">
        <v>42699.69835648148</v>
      </c>
      <c r="G118" s="7">
        <v>1</v>
      </c>
      <c r="H118" s="22" t="s">
        <v>373</v>
      </c>
      <c r="I118" s="13">
        <v>42699.725057870368</v>
      </c>
      <c r="J118" s="7">
        <v>0</v>
      </c>
      <c r="K118" s="109" t="str">
        <f t="shared" si="35"/>
        <v>4041/4042</v>
      </c>
      <c r="L118" s="22" t="str">
        <f>VLOOKUP(A118,'Trips&amp;Operators'!$C$1:$E$10000,3,FALSE)</f>
        <v>BRANDNER</v>
      </c>
      <c r="M118" s="6">
        <f t="shared" si="36"/>
        <v>2.6701388887886424E-2</v>
      </c>
      <c r="N118" s="7">
        <f t="shared" si="37"/>
        <v>38.44999999855645</v>
      </c>
      <c r="O118" s="7"/>
      <c r="P118" s="7"/>
      <c r="Q118" s="23"/>
      <c r="R118" s="23"/>
      <c r="S118" s="35">
        <f t="shared" si="38"/>
        <v>1</v>
      </c>
      <c r="T118" s="50" t="str">
        <f t="shared" si="39"/>
        <v>NorthBound</v>
      </c>
      <c r="U118" s="171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https://search-rtdc-monitor-bjffxe2xuh6vdkpspy63sjmuny.us-east-1.es.amazonaws.com/_plugin/kibana/#/discover/Steve-Slow-Train-Analysis-(2080s-and-2083s)?_g=(refreshInterval:(display:Off,section:0,value:0),time:(from:'2016-11-25 15:39:43-700',mode:absolute,to:'2016-11-25 18:24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18" s="52" t="str">
        <f t="shared" si="41"/>
        <v>N</v>
      </c>
      <c r="X118" s="177">
        <f t="shared" si="42"/>
        <v>1</v>
      </c>
      <c r="Y118" s="67">
        <f t="shared" si="43"/>
        <v>4.3799999999999999E-2</v>
      </c>
      <c r="Z118" s="67">
        <f t="shared" si="44"/>
        <v>23.329799999999999</v>
      </c>
      <c r="AA118" s="67">
        <f t="shared" si="45"/>
        <v>23.285999999999998</v>
      </c>
      <c r="AB118" s="64" t="e">
        <f>VLOOKUP(A118,Enforcements!$C$7:$K$20,8,0)</f>
        <v>#N/A</v>
      </c>
      <c r="AC118" s="60" t="e">
        <f>VLOOKUP(A118,Enforcements!$C$7:$E$20,3,0)</f>
        <v>#N/A</v>
      </c>
      <c r="AD118" s="61" t="str">
        <f t="shared" si="46"/>
        <v>0205-25</v>
      </c>
      <c r="AE118" s="91" t="str">
        <f t="shared" si="47"/>
        <v>aws s3 cp s3://rtdc.mdm.uploadarchive.raw/RTDC4042/ "%USERPROFILE%\AppData\Local\Temp\OnboardLogs"\RTDC4042\2016-11-25 --exclude "*" --recursive --include "*20161125*" &amp; "%USERPROFILE%\Documents\GitHub\mrs-test-scripts\Headless Mode &amp; Sideloading\WalkAndUnGZ.bat" "%USERPROFILE%\AppData\Local\Temp\OnboardLogs"\RTDC4042\2016-11-25 &amp; aws s3 cp s3://rtdc.mdm.uploadarchive.raw/RTDC4042/ "%USERPROFILE%\AppData\Local\Temp\OnboardLogs"\RTDC4042\2016-11-26 --exclude "*" --recursive --include "*20161126*" &amp; "%USERPROFILE%\Documents\GitHub\mrs-test-scripts\Headless Mode &amp; Sideloading\WalkAndUnGZ.bat" "%USERPROFILE%\AppData\Local\Temp\OnboardLogs"\RTDC4042\2016-11-26</v>
      </c>
      <c r="AF118" s="88" t="str">
        <f t="shared" si="48"/>
        <v>"C:\Program Files (x86)\AstroGrep\AstroGrep.exe" /spath="%USERPROFILE%\AppData\Local\Temp\OnboardLogs" /stypes="app*4042*20161126*" /stext=" 00:.+((SYSTEM_STATE.+slice.+state.+changed )|(ment ac)|(system.+state.+changed )|(\[timeout)|(PRM\|1\|D)|(kpr)|(kdp)|(\|lc)|(penalty))" /e /r /s</v>
      </c>
      <c r="AG118" s="1" t="str">
        <f t="shared" si="49"/>
        <v>EC</v>
      </c>
      <c r="AH118" s="92" t="str">
        <f t="shared" si="50"/>
        <v>"%USERPROFILE%\Documents\GitHub\eaglep3\Utilities\RefineRTDCRunTimes.py" --tripid 205-25 --locoid 4042 --swversion DE.1.0.8.0 --startMP 204:438 --initTime 2016-11-25T16:39:43 --startdatetime 2016-11-25T16:45:38 --delay 1 --endMP 204:233298 --enddatetime 2016-11-25T17:24:05 --enforcementcount 0 &gt;&gt;C:\Users\stu\Documents\GitHub\eaglep3-reporting\EC\2016-11-25-refined-times.txt</v>
      </c>
      <c r="AI118" s="119" t="str">
        <f t="shared" si="51"/>
        <v>echo {"issue":{"subject":"","project_id":79,"tracker_id":40,"status_id":1,"priority_id":2,"assigned_to_id":23,"start_date":"2016-11-25","description":"","custom_fields":[{"id":1,"name":"Subdivision","value":"EC"},{"id":4,"name":"Milepost","value":"23.3298"},{"id":17,"name":"Train ID","value":"205-25"},{"id":16,"name":"Locomotive ID","value":"4042"},{"id":130,"name":"Impact","value":""},{"id":150,"name":"Time of Event (Mountain Time)","value":"17:24:05"},{"id":151,"name":"Denver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3"/>
      <c r="AK118" s="53"/>
      <c r="AL118" s="53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1" customFormat="1" x14ac:dyDescent="0.25">
      <c r="A119" s="37" t="s">
        <v>455</v>
      </c>
      <c r="B119" s="7">
        <v>4041</v>
      </c>
      <c r="C119" s="22" t="s">
        <v>217</v>
      </c>
      <c r="D119" s="22" t="s">
        <v>648</v>
      </c>
      <c r="E119" s="13">
        <v>42699.732268518521</v>
      </c>
      <c r="F119" s="13">
        <v>42699.736979166664</v>
      </c>
      <c r="G119" s="7">
        <v>1</v>
      </c>
      <c r="H119" s="22" t="s">
        <v>283</v>
      </c>
      <c r="I119" s="13">
        <v>42699.769305555557</v>
      </c>
      <c r="J119" s="7">
        <v>1</v>
      </c>
      <c r="K119" s="109" t="str">
        <f t="shared" si="35"/>
        <v>4041/4042</v>
      </c>
      <c r="L119" s="22" t="str">
        <f>VLOOKUP(A119,'Trips&amp;Operators'!$C$1:$E$10000,3,FALSE)</f>
        <v>BRANDNER</v>
      </c>
      <c r="M119" s="6">
        <f t="shared" si="36"/>
        <v>3.2326388893125113E-2</v>
      </c>
      <c r="N119" s="7">
        <f t="shared" si="37"/>
        <v>46.550000006100163</v>
      </c>
      <c r="O119" s="7"/>
      <c r="P119" s="7"/>
      <c r="Q119" s="23"/>
      <c r="R119" s="23"/>
      <c r="S119" s="35">
        <f t="shared" si="38"/>
        <v>1</v>
      </c>
      <c r="T119" s="50" t="str">
        <f t="shared" si="39"/>
        <v>Southbound</v>
      </c>
      <c r="U119" s="171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https://search-rtdc-monitor-bjffxe2xuh6vdkpspy63sjmuny.us-east-1.es.amazonaws.com/_plugin/kibana/#/discover/Steve-Slow-Train-Analysis-(2080s-and-2083s)?_g=(refreshInterval:(display:Off,section:0,value:0),time:(from:'2016-11-25 16:34:28-700',mode:absolute,to:'2016-11-25 19:27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19" s="52" t="str">
        <f t="shared" si="41"/>
        <v>N</v>
      </c>
      <c r="X119" s="177">
        <f t="shared" si="42"/>
        <v>1</v>
      </c>
      <c r="Y119" s="67">
        <f t="shared" si="43"/>
        <v>23.296600000000002</v>
      </c>
      <c r="Z119" s="67">
        <f t="shared" si="44"/>
        <v>1.67E-2</v>
      </c>
      <c r="AA119" s="67">
        <f t="shared" si="45"/>
        <v>23.279900000000001</v>
      </c>
      <c r="AB119" s="64" t="e">
        <f>VLOOKUP(A119,Enforcements!$C$7:$K$20,8,0)</f>
        <v>#N/A</v>
      </c>
      <c r="AC119" s="60" t="e">
        <f>VLOOKUP(A119,Enforcements!$C$7:$E$20,3,0)</f>
        <v>#N/A</v>
      </c>
      <c r="AD119" s="61" t="str">
        <f t="shared" si="46"/>
        <v>0206-25</v>
      </c>
      <c r="AE119" s="91" t="str">
        <f t="shared" si="47"/>
        <v>aws s3 cp s3://rtdc.mdm.uploadarchive.raw/RTDC4041/ "%USERPROFILE%\AppData\Local\Temp\OnboardLogs"\RTDC4041\2016-11-25 --exclude "*" --recursive --include "*20161125*" &amp; "%USERPROFILE%\Documents\GitHub\mrs-test-scripts\Headless Mode &amp; Sideloading\WalkAndUnGZ.bat" "%USERPROFILE%\AppData\Local\Temp\OnboardLogs"\RTDC4041\2016-11-25 &amp; aws s3 cp s3://rtdc.mdm.uploadarchive.raw/RTDC4041/ "%USERPROFILE%\AppData\Local\Temp\OnboardLogs"\RTDC4041\2016-11-26 --exclude "*" --recursive --include "*20161126*" &amp; "%USERPROFILE%\Documents\GitHub\mrs-test-scripts\Headless Mode &amp; Sideloading\WalkAndUnGZ.bat" "%USERPROFILE%\AppData\Local\Temp\OnboardLogs"\RTDC4041\2016-11-26</v>
      </c>
      <c r="AF119" s="88" t="str">
        <f t="shared" si="48"/>
        <v>"C:\Program Files (x86)\AstroGrep\AstroGrep.exe" /spath="%USERPROFILE%\AppData\Local\Temp\OnboardLogs" /stypes="app*4041*20161126*" /stext=" 01:.+((SYSTEM_STATE.+slice.+state.+changed )|(ment ac)|(system.+state.+changed )|(\[timeout)|(PRM\|1\|D)|(kpr)|(kdp)|(\|lc)|(penalty))" /e /r /s</v>
      </c>
      <c r="AG119" s="1" t="str">
        <f t="shared" si="49"/>
        <v>EC</v>
      </c>
      <c r="AH119" s="92" t="str">
        <f t="shared" si="50"/>
        <v>"%USERPROFILE%\Documents\GitHub\eaglep3\Utilities\RefineRTDCRunTimes.py" --tripid 206-25 --locoid 4041 --swversion DE.1.0.8.0 --startMP 204:232966 --initTime 2016-11-25T17:34:28 --startdatetime 2016-11-25T17:41:15 --delay 1 --endMP 204:167 --enddatetime 2016-11-25T18:27:48 --enforcementcount 1 &gt;&gt;C:\Users\stu\Documents\GitHub\eaglep3-reporting\EC\2016-11-25-refined-times.txt</v>
      </c>
      <c r="AI119" s="119" t="str">
        <f t="shared" si="51"/>
        <v>echo {"issue":{"subject":"","project_id":79,"tracker_id":40,"status_id":1,"priority_id":2,"assigned_to_id":23,"start_date":"2016-11-25","description":"","custom_fields":[{"id":1,"name":"Subdivision","value":"EC"},{"id":4,"name":"Milepost","value":"0.0167"},{"id":17,"name":"Train ID","value":"206-25"},{"id":16,"name":"Locomotive ID","value":"4041"},{"id":130,"name":"Impact","value":""},{"id":150,"name":"Time of Event (Mountain Time)","value":"18:27:48"},{"id":151,"name":"Denver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3"/>
      <c r="AK119" s="53"/>
      <c r="AL119" s="53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1" customFormat="1" x14ac:dyDescent="0.25">
      <c r="A120" s="37" t="s">
        <v>573</v>
      </c>
      <c r="B120" s="7">
        <v>4009</v>
      </c>
      <c r="C120" s="22" t="s">
        <v>217</v>
      </c>
      <c r="D120" s="22" t="s">
        <v>295</v>
      </c>
      <c r="E120" s="13">
        <v>42699.706076388888</v>
      </c>
      <c r="F120" s="13">
        <v>42699.708645833336</v>
      </c>
      <c r="G120" s="7">
        <v>1</v>
      </c>
      <c r="H120" s="22" t="s">
        <v>649</v>
      </c>
      <c r="I120" s="13">
        <v>42699.734039351853</v>
      </c>
      <c r="J120" s="7">
        <v>0</v>
      </c>
      <c r="K120" s="109" t="str">
        <f t="shared" si="35"/>
        <v>4009/4010</v>
      </c>
      <c r="L120" s="22" t="str">
        <f>VLOOKUP(A120,'Trips&amp;Operators'!$C$1:$E$10000,3,FALSE)</f>
        <v>MOSES</v>
      </c>
      <c r="M120" s="6">
        <f t="shared" si="36"/>
        <v>2.5393518517375924E-2</v>
      </c>
      <c r="N120" s="7">
        <f t="shared" si="37"/>
        <v>36.56666666502133</v>
      </c>
      <c r="O120" s="7"/>
      <c r="P120" s="7"/>
      <c r="Q120" s="23"/>
      <c r="R120" s="23"/>
      <c r="S120" s="35">
        <f t="shared" si="38"/>
        <v>1</v>
      </c>
      <c r="T120" s="50" t="str">
        <f t="shared" si="39"/>
        <v>NorthBound</v>
      </c>
      <c r="U120" s="171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https://search-rtdc-monitor-bjffxe2xuh6vdkpspy63sjmuny.us-east-1.es.amazonaws.com/_plugin/kibana/#/discover/Steve-Slow-Train-Analysis-(2080s-and-2083s)?_g=(refreshInterval:(display:Off,section:0,value:0),time:(from:'2016-11-25 15:56:45-700',mode:absolute,to:'2016-11-25 18:37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20" s="52" t="str">
        <f t="shared" si="41"/>
        <v>N</v>
      </c>
      <c r="X120" s="177">
        <f t="shared" si="42"/>
        <v>1</v>
      </c>
      <c r="Y120" s="67">
        <f t="shared" si="43"/>
        <v>4.6899999999999997E-2</v>
      </c>
      <c r="Z120" s="67">
        <f t="shared" si="44"/>
        <v>23.330100000000002</v>
      </c>
      <c r="AA120" s="67">
        <f t="shared" si="45"/>
        <v>23.283200000000001</v>
      </c>
      <c r="AB120" s="64" t="e">
        <f>VLOOKUP(A120,Enforcements!$C$7:$K$20,8,0)</f>
        <v>#N/A</v>
      </c>
      <c r="AC120" s="60" t="e">
        <f>VLOOKUP(A120,Enforcements!$C$7:$E$20,3,0)</f>
        <v>#N/A</v>
      </c>
      <c r="AD120" s="61" t="str">
        <f t="shared" si="46"/>
        <v>0207-25</v>
      </c>
      <c r="AE120" s="91" t="str">
        <f t="shared" si="47"/>
        <v>aws s3 cp s3://rtdc.mdm.uploadarchive.raw/RTDC4009/ "%USERPROFILE%\AppData\Local\Temp\OnboardLogs"\RTDC4009\2016-11-25 --exclude "*" --recursive --include "*20161125*" &amp; "%USERPROFILE%\Documents\GitHub\mrs-test-scripts\Headless Mode &amp; Sideloading\WalkAndUnGZ.bat" "%USERPROFILE%\AppData\Local\Temp\OnboardLogs"\RTDC4009\2016-11-25 &amp; aws s3 cp s3://rtdc.mdm.uploadarchive.raw/RTDC4009/ "%USERPROFILE%\AppData\Local\Temp\OnboardLogs"\RTDC4009\2016-11-26 --exclude "*" --recursive --include "*20161126*" &amp; "%USERPROFILE%\Documents\GitHub\mrs-test-scripts\Headless Mode &amp; Sideloading\WalkAndUnGZ.bat" "%USERPROFILE%\AppData\Local\Temp\OnboardLogs"\RTDC4009\2016-11-26</v>
      </c>
      <c r="AF120" s="88" t="str">
        <f t="shared" si="48"/>
        <v>"C:\Program Files (x86)\AstroGrep\AstroGrep.exe" /spath="%USERPROFILE%\AppData\Local\Temp\OnboardLogs" /stypes="app*4009*20161126*" /stext=" 00:.+((SYSTEM_STATE.+slice.+state.+changed )|(ment ac)|(system.+state.+changed )|(\[timeout)|(PRM\|1\|D)|(kpr)|(kdp)|(\|lc)|(penalty))" /e /r /s</v>
      </c>
      <c r="AG120" s="1" t="str">
        <f t="shared" si="49"/>
        <v>EC</v>
      </c>
      <c r="AH120" s="92" t="str">
        <f t="shared" si="50"/>
        <v>"%USERPROFILE%\Documents\GitHub\eaglep3\Utilities\RefineRTDCRunTimes.py" --tripid 207-25 --locoid 4009 --swversion DE.1.0.8.0 --startMP 204:469 --initTime 2016-11-25T16:56:45 --startdatetime 2016-11-25T17:00:27 --delay 1 --endMP 204:233301 --enddatetime 2016-11-25T17:37:01 --enforcementcount 0 &gt;&gt;C:\Users\stu\Documents\GitHub\eaglep3-reporting\EC\2016-11-25-refined-times.txt</v>
      </c>
      <c r="AI120" s="119" t="str">
        <f t="shared" si="51"/>
        <v>echo {"issue":{"subject":"","project_id":79,"tracker_id":40,"status_id":1,"priority_id":2,"assigned_to_id":23,"start_date":"2016-11-25","description":"","custom_fields":[{"id":1,"name":"Subdivision","value":"EC"},{"id":4,"name":"Milepost","value":"23.3301"},{"id":17,"name":"Train ID","value":"207-25"},{"id":16,"name":"Locomotive ID","value":"4009"},{"id":130,"name":"Impact","value":""},{"id":150,"name":"Time of Event (Mountain Time)","value":"17:37:01"},{"id":151,"name":"Denver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3"/>
      <c r="AK120" s="53"/>
      <c r="AL120" s="53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1" customFormat="1" x14ac:dyDescent="0.25">
      <c r="A121" s="37" t="s">
        <v>581</v>
      </c>
      <c r="B121" s="7">
        <v>4010</v>
      </c>
      <c r="C121" s="22" t="s">
        <v>217</v>
      </c>
      <c r="D121" s="22" t="s">
        <v>272</v>
      </c>
      <c r="E121" s="13">
        <v>42699.743807870371</v>
      </c>
      <c r="F121" s="13">
        <v>42699.747395833336</v>
      </c>
      <c r="G121" s="7">
        <v>1</v>
      </c>
      <c r="H121" s="22" t="s">
        <v>665</v>
      </c>
      <c r="I121" s="13">
        <v>42699.779988425929</v>
      </c>
      <c r="J121" s="7">
        <v>0</v>
      </c>
      <c r="K121" s="109" t="str">
        <f t="shared" si="35"/>
        <v>4009/4010</v>
      </c>
      <c r="L121" s="22" t="str">
        <f>VLOOKUP(A121,'Trips&amp;Operators'!$C$1:$E$10000,3,FALSE)</f>
        <v>MOSES</v>
      </c>
      <c r="M121" s="6">
        <f t="shared" si="36"/>
        <v>3.2592592593573499E-2</v>
      </c>
      <c r="N121" s="7">
        <f t="shared" si="37"/>
        <v>46.933333334745839</v>
      </c>
      <c r="O121" s="7"/>
      <c r="P121" s="7"/>
      <c r="Q121" s="23"/>
      <c r="R121" s="23"/>
      <c r="S121" s="35">
        <f t="shared" si="38"/>
        <v>1</v>
      </c>
      <c r="T121" s="50" t="str">
        <f t="shared" si="39"/>
        <v>Southbound</v>
      </c>
      <c r="U121" s="171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https://search-rtdc-monitor-bjffxe2xuh6vdkpspy63sjmuny.us-east-1.es.amazonaws.com/_plugin/kibana/#/discover/Steve-Slow-Train-Analysis-(2080s-and-2083s)?_g=(refreshInterval:(display:Off,section:0,value:0),time:(from:'2016-11-25 16:51:05-700',mode:absolute,to:'2016-11-25 19:43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21" s="52" t="str">
        <f t="shared" si="41"/>
        <v>N</v>
      </c>
      <c r="X121" s="177">
        <f t="shared" si="42"/>
        <v>1</v>
      </c>
      <c r="Y121" s="67">
        <f t="shared" si="43"/>
        <v>23.2973</v>
      </c>
      <c r="Z121" s="67">
        <f t="shared" si="44"/>
        <v>1.7399999999999999E-2</v>
      </c>
      <c r="AA121" s="67">
        <f t="shared" si="45"/>
        <v>23.279900000000001</v>
      </c>
      <c r="AB121" s="64" t="e">
        <f>VLOOKUP(A121,Enforcements!$C$7:$K$20,8,0)</f>
        <v>#N/A</v>
      </c>
      <c r="AC121" s="60" t="e">
        <f>VLOOKUP(A121,Enforcements!$C$7:$E$20,3,0)</f>
        <v>#N/A</v>
      </c>
      <c r="AD121" s="61" t="str">
        <f t="shared" si="46"/>
        <v>0208-25</v>
      </c>
      <c r="AE121" s="91" t="str">
        <f t="shared" si="47"/>
        <v>aws s3 cp s3://rtdc.mdm.uploadarchive.raw/RTDC4010/ "%USERPROFILE%\AppData\Local\Temp\OnboardLogs"\RTDC4010\2016-11-25 --exclude "*" --recursive --include "*20161125*" &amp; "%USERPROFILE%\Documents\GitHub\mrs-test-scripts\Headless Mode &amp; Sideloading\WalkAndUnGZ.bat" "%USERPROFILE%\AppData\Local\Temp\OnboardLogs"\RTDC4010\2016-11-25 &amp; aws s3 cp s3://rtdc.mdm.uploadarchive.raw/RTDC4010/ "%USERPROFILE%\AppData\Local\Temp\OnboardLogs"\RTDC4010\2016-11-26 --exclude "*" --recursive --include "*20161126*" &amp; "%USERPROFILE%\Documents\GitHub\mrs-test-scripts\Headless Mode &amp; Sideloading\WalkAndUnGZ.bat" "%USERPROFILE%\AppData\Local\Temp\OnboardLogs"\RTDC4010\2016-11-26</v>
      </c>
      <c r="AF121" s="88" t="str">
        <f t="shared" si="48"/>
        <v>"C:\Program Files (x86)\AstroGrep\AstroGrep.exe" /spath="%USERPROFILE%\AppData\Local\Temp\OnboardLogs" /stypes="app*4010*20161126*" /stext=" 01:.+((SYSTEM_STATE.+slice.+state.+changed )|(ment ac)|(system.+state.+changed )|(\[timeout)|(PRM\|1\|D)|(kpr)|(kdp)|(\|lc)|(penalty))" /e /r /s</v>
      </c>
      <c r="AG121" s="1" t="str">
        <f t="shared" si="49"/>
        <v>EC</v>
      </c>
      <c r="AH121" s="92" t="str">
        <f t="shared" si="50"/>
        <v>"%USERPROFILE%\Documents\GitHub\eaglep3\Utilities\RefineRTDCRunTimes.py" --tripid 208-25 --locoid 4010 --swversion DE.1.0.8.0 --startMP 204:232973 --initTime 2016-11-25T17:51:05 --startdatetime 2016-11-25T17:56:15 --delay 1 --endMP 204:174 --enddatetime 2016-11-25T18:43:11 --enforcementcount 0 &gt;&gt;C:\Users\stu\Documents\GitHub\eaglep3-reporting\EC\2016-11-25-refined-times.txt</v>
      </c>
      <c r="AI121" s="119" t="str">
        <f t="shared" si="51"/>
        <v>echo {"issue":{"subject":"","project_id":79,"tracker_id":40,"status_id":1,"priority_id":2,"assigned_to_id":23,"start_date":"2016-11-25","description":"","custom_fields":[{"id":1,"name":"Subdivision","value":"EC"},{"id":4,"name":"Milepost","value":"0.0174"},{"id":17,"name":"Train ID","value":"208-25"},{"id":16,"name":"Locomotive ID","value":"4010"},{"id":130,"name":"Impact","value":""},{"id":150,"name":"Time of Event (Mountain Time)","value":"18:43:11"},{"id":151,"name":"Denver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3"/>
      <c r="AK121" s="53"/>
      <c r="AL121" s="53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1" customFormat="1" x14ac:dyDescent="0.25">
      <c r="A122" s="37" t="s">
        <v>574</v>
      </c>
      <c r="B122" s="7">
        <v>4040</v>
      </c>
      <c r="C122" s="22" t="s">
        <v>217</v>
      </c>
      <c r="D122" s="22" t="s">
        <v>199</v>
      </c>
      <c r="E122" s="13">
        <v>42699.715289351851</v>
      </c>
      <c r="F122" s="13">
        <v>42699.719351851854</v>
      </c>
      <c r="G122" s="7">
        <v>1</v>
      </c>
      <c r="H122" s="22" t="s">
        <v>292</v>
      </c>
      <c r="I122" s="13">
        <v>42699.744108796294</v>
      </c>
      <c r="J122" s="7">
        <v>0</v>
      </c>
      <c r="K122" s="109" t="str">
        <f t="shared" si="35"/>
        <v>4039/4040</v>
      </c>
      <c r="L122" s="22" t="str">
        <f>VLOOKUP(A122,'Trips&amp;Operators'!$C$1:$E$10000,3,FALSE)</f>
        <v>ADANE</v>
      </c>
      <c r="M122" s="6">
        <f t="shared" si="36"/>
        <v>2.4756944440014195E-2</v>
      </c>
      <c r="N122" s="7">
        <f t="shared" si="37"/>
        <v>35.64999999362044</v>
      </c>
      <c r="O122" s="7"/>
      <c r="P122" s="7"/>
      <c r="Q122" s="23"/>
      <c r="R122" s="23"/>
      <c r="S122" s="35">
        <f t="shared" si="38"/>
        <v>1</v>
      </c>
      <c r="T122" s="50" t="str">
        <f t="shared" si="39"/>
        <v>NorthBound</v>
      </c>
      <c r="U122" s="171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https://search-rtdc-monitor-bjffxe2xuh6vdkpspy63sjmuny.us-east-1.es.amazonaws.com/_plugin/kibana/#/discover/Steve-Slow-Train-Analysis-(2080s-and-2083s)?_g=(refreshInterval:(display:Off,section:0,value:0),time:(from:'2016-11-25 16:10:01-700',mode:absolute,to:'2016-11-25 18:51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22" s="52" t="str">
        <f t="shared" si="41"/>
        <v>N</v>
      </c>
      <c r="X122" s="177">
        <f t="shared" si="42"/>
        <v>1</v>
      </c>
      <c r="Y122" s="67">
        <f t="shared" si="43"/>
        <v>4.53E-2</v>
      </c>
      <c r="Z122" s="67">
        <f t="shared" si="44"/>
        <v>23.3306</v>
      </c>
      <c r="AA122" s="67">
        <f t="shared" si="45"/>
        <v>23.285299999999999</v>
      </c>
      <c r="AB122" s="64" t="e">
        <f>VLOOKUP(A122,Enforcements!$C$7:$K$20,8,0)</f>
        <v>#N/A</v>
      </c>
      <c r="AC122" s="60" t="e">
        <f>VLOOKUP(A122,Enforcements!$C$7:$E$20,3,0)</f>
        <v>#N/A</v>
      </c>
      <c r="AD122" s="61" t="str">
        <f t="shared" si="46"/>
        <v>0209-25</v>
      </c>
      <c r="AE122" s="91" t="str">
        <f t="shared" si="47"/>
        <v>aws s3 cp s3://rtdc.mdm.uploadarchive.raw/RTDC4040/ "%USERPROFILE%\AppData\Local\Temp\OnboardLogs"\RTDC4040\2016-11-25 --exclude "*" --recursive --include "*20161125*" &amp; "%USERPROFILE%\Documents\GitHub\mrs-test-scripts\Headless Mode &amp; Sideloading\WalkAndUnGZ.bat" "%USERPROFILE%\AppData\Local\Temp\OnboardLogs"\RTDC4040\2016-11-25 &amp; aws s3 cp s3://rtdc.mdm.uploadarchive.raw/RTDC4040/ "%USERPROFILE%\AppData\Local\Temp\OnboardLogs"\RTDC4040\2016-11-26 --exclude "*" --recursive --include "*20161126*" &amp; "%USERPROFILE%\Documents\GitHub\mrs-test-scripts\Headless Mode &amp; Sideloading\WalkAndUnGZ.bat" "%USERPROFILE%\AppData\Local\Temp\OnboardLogs"\RTDC4040\2016-11-26</v>
      </c>
      <c r="AF122" s="88" t="str">
        <f t="shared" si="48"/>
        <v>"C:\Program Files (x86)\AstroGrep\AstroGrep.exe" /spath="%USERPROFILE%\AppData\Local\Temp\OnboardLogs" /stypes="app*4040*20161126*" /stext=" 00:.+((SYSTEM_STATE.+slice.+state.+changed )|(ment ac)|(system.+state.+changed )|(\[timeout)|(PRM\|1\|D)|(kpr)|(kdp)|(\|lc)|(penalty))" /e /r /s</v>
      </c>
      <c r="AG122" s="1" t="str">
        <f t="shared" si="49"/>
        <v>EC</v>
      </c>
      <c r="AH122" s="92" t="str">
        <f t="shared" si="50"/>
        <v>"%USERPROFILE%\Documents\GitHub\eaglep3\Utilities\RefineRTDCRunTimes.py" --tripid 209-25 --locoid 4040 --swversion DE.1.0.8.0 --startMP 204:453 --initTime 2016-11-25T17:10:01 --startdatetime 2016-11-25T17:15:52 --delay 1 --endMP 204:233306 --enddatetime 2016-11-25T17:51:31 --enforcementcount 0 &gt;&gt;C:\Users\stu\Documents\GitHub\eaglep3-reporting\EC\2016-11-25-refined-times.txt</v>
      </c>
      <c r="AI122" s="119" t="str">
        <f t="shared" si="51"/>
        <v>echo {"issue":{"subject":"","project_id":79,"tracker_id":40,"status_id":1,"priority_id":2,"assigned_to_id":23,"start_date":"2016-11-25","description":"","custom_fields":[{"id":1,"name":"Subdivision","value":"EC"},{"id":4,"name":"Milepost","value":"23.3306"},{"id":17,"name":"Train ID","value":"209-25"},{"id":16,"name":"Locomotive ID","value":"4040"},{"id":130,"name":"Impact","value":""},{"id":150,"name":"Time of Event (Mountain Time)","value":"17:51:31"},{"id":151,"name":"Denver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3"/>
      <c r="AK122" s="53"/>
      <c r="AL122" s="53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1" customFormat="1" x14ac:dyDescent="0.25">
      <c r="A123" s="37" t="s">
        <v>582</v>
      </c>
      <c r="B123" s="7">
        <v>4039</v>
      </c>
      <c r="C123" s="22" t="s">
        <v>217</v>
      </c>
      <c r="D123" s="22" t="s">
        <v>254</v>
      </c>
      <c r="E123" s="13">
        <v>42699.745254629626</v>
      </c>
      <c r="F123" s="13">
        <v>42699.758750000001</v>
      </c>
      <c r="G123" s="7">
        <v>1</v>
      </c>
      <c r="H123" s="22" t="s">
        <v>219</v>
      </c>
      <c r="I123" s="13">
        <v>42699.786932870367</v>
      </c>
      <c r="J123" s="7">
        <v>0</v>
      </c>
      <c r="K123" s="109" t="str">
        <f t="shared" si="35"/>
        <v>4039/4040</v>
      </c>
      <c r="L123" s="22" t="str">
        <f>VLOOKUP(A123,'Trips&amp;Operators'!$C$1:$E$10000,3,FALSE)</f>
        <v>ADANE</v>
      </c>
      <c r="M123" s="6">
        <f t="shared" si="36"/>
        <v>2.8182870366435964E-2</v>
      </c>
      <c r="N123" s="7">
        <f t="shared" si="37"/>
        <v>40.583333327667788</v>
      </c>
      <c r="O123" s="7"/>
      <c r="P123" s="7"/>
      <c r="Q123" s="23"/>
      <c r="R123" s="23"/>
      <c r="S123" s="35">
        <f t="shared" si="38"/>
        <v>1</v>
      </c>
      <c r="T123" s="50" t="str">
        <f t="shared" si="39"/>
        <v>Southbound</v>
      </c>
      <c r="U123" s="171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https://search-rtdc-monitor-bjffxe2xuh6vdkpspy63sjmuny.us-east-1.es.amazonaws.com/_plugin/kibana/#/discover/Steve-Slow-Train-Analysis-(2080s-and-2083s)?_g=(refreshInterval:(display:Off,section:0,value:0),time:(from:'2016-11-25 16:53:10-700',mode:absolute,to:'2016-11-25 19:53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23" s="52" t="str">
        <f t="shared" si="41"/>
        <v>N</v>
      </c>
      <c r="X123" s="177">
        <f t="shared" si="42"/>
        <v>1</v>
      </c>
      <c r="Y123" s="67">
        <f t="shared" si="43"/>
        <v>23.299800000000001</v>
      </c>
      <c r="Z123" s="67">
        <f t="shared" si="44"/>
        <v>1.5800000000000002E-2</v>
      </c>
      <c r="AA123" s="67">
        <f t="shared" si="45"/>
        <v>23.284000000000002</v>
      </c>
      <c r="AB123" s="64" t="e">
        <f>VLOOKUP(A123,Enforcements!$C$7:$K$20,8,0)</f>
        <v>#N/A</v>
      </c>
      <c r="AC123" s="60" t="e">
        <f>VLOOKUP(A123,Enforcements!$C$7:$E$20,3,0)</f>
        <v>#N/A</v>
      </c>
      <c r="AD123" s="61" t="str">
        <f t="shared" si="46"/>
        <v>0210-25</v>
      </c>
      <c r="AE123" s="91" t="str">
        <f t="shared" si="47"/>
        <v>aws s3 cp s3://rtdc.mdm.uploadarchive.raw/RTDC4039/ "%USERPROFILE%\AppData\Local\Temp\OnboardLogs"\RTDC4039\2016-11-25 --exclude "*" --recursive --include "*20161125*" &amp; "%USERPROFILE%\Documents\GitHub\mrs-test-scripts\Headless Mode &amp; Sideloading\WalkAndUnGZ.bat" "%USERPROFILE%\AppData\Local\Temp\OnboardLogs"\RTDC4039\2016-11-25 &amp; aws s3 cp s3://rtdc.mdm.uploadarchive.raw/RTDC4039/ "%USERPROFILE%\AppData\Local\Temp\OnboardLogs"\RTDC4039\2016-11-26 --exclude "*" --recursive --include "*20161126*" &amp; "%USERPROFILE%\Documents\GitHub\mrs-test-scripts\Headless Mode &amp; Sideloading\WalkAndUnGZ.bat" "%USERPROFILE%\AppData\Local\Temp\OnboardLogs"\RTDC4039\2016-11-26</v>
      </c>
      <c r="AF123" s="88" t="str">
        <f t="shared" si="48"/>
        <v>"C:\Program Files (x86)\AstroGrep\AstroGrep.exe" /spath="%USERPROFILE%\AppData\Local\Temp\OnboardLogs" /stypes="app*4039*20161126*" /stext=" 01:.+((SYSTEM_STATE.+slice.+state.+changed )|(ment ac)|(system.+state.+changed )|(\[timeout)|(PRM\|1\|D)|(kpr)|(kdp)|(\|lc)|(penalty))" /e /r /s</v>
      </c>
      <c r="AG123" s="1" t="str">
        <f t="shared" si="49"/>
        <v>EC</v>
      </c>
      <c r="AH123" s="92" t="str">
        <f t="shared" si="50"/>
        <v>"%USERPROFILE%\Documents\GitHub\eaglep3\Utilities\RefineRTDCRunTimes.py" --tripid 210-25 --locoid 4039 --swversion DE.1.0.8.0 --startMP 204:232998 --initTime 2016-11-25T17:53:10 --startdatetime 2016-11-25T18:12:36 --delay 1 --endMP 204:158 --enddatetime 2016-11-25T18:53:11 --enforcementcount 0 &gt;&gt;C:\Users\stu\Documents\GitHub\eaglep3-reporting\EC\2016-11-25-refined-times.txt</v>
      </c>
      <c r="AI123" s="119" t="str">
        <f t="shared" si="51"/>
        <v>echo {"issue":{"subject":"","project_id":79,"tracker_id":40,"status_id":1,"priority_id":2,"assigned_to_id":23,"start_date":"2016-11-25","description":"","custom_fields":[{"id":1,"name":"Subdivision","value":"EC"},{"id":4,"name":"Milepost","value":"0.0158"},{"id":17,"name":"Train ID","value":"210-25"},{"id":16,"name":"Locomotive ID","value":"4039"},{"id":130,"name":"Impact","value":""},{"id":150,"name":"Time of Event (Mountain Time)","value":"18:53:11"},{"id":151,"name":"Denver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3"/>
      <c r="AK123" s="53"/>
      <c r="AL123" s="5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1" customFormat="1" x14ac:dyDescent="0.25">
      <c r="A124" s="37" t="s">
        <v>579</v>
      </c>
      <c r="B124" s="7">
        <v>4031</v>
      </c>
      <c r="C124" s="22" t="s">
        <v>217</v>
      </c>
      <c r="D124" s="22" t="s">
        <v>214</v>
      </c>
      <c r="E124" s="13">
        <v>42699.728020833332</v>
      </c>
      <c r="F124" s="13">
        <v>42699.730208333334</v>
      </c>
      <c r="G124" s="7">
        <v>1</v>
      </c>
      <c r="H124" s="22" t="s">
        <v>280</v>
      </c>
      <c r="I124" s="13">
        <v>42699.758530092593</v>
      </c>
      <c r="J124" s="7">
        <v>0</v>
      </c>
      <c r="K124" s="109" t="str">
        <f t="shared" si="35"/>
        <v>4031/4032</v>
      </c>
      <c r="L124" s="22" t="str">
        <f>VLOOKUP(A124,'Trips&amp;Operators'!$C$1:$E$10000,3,FALSE)</f>
        <v>HOLCOMB</v>
      </c>
      <c r="M124" s="6">
        <f t="shared" si="36"/>
        <v>2.8321759258687962E-2</v>
      </c>
      <c r="N124" s="7">
        <f t="shared" si="37"/>
        <v>40.783333332510665</v>
      </c>
      <c r="O124" s="7"/>
      <c r="P124" s="7"/>
      <c r="Q124" s="23"/>
      <c r="R124" s="23"/>
      <c r="S124" s="35">
        <f t="shared" si="38"/>
        <v>1</v>
      </c>
      <c r="T124" s="50" t="str">
        <f t="shared" si="39"/>
        <v>NorthBound</v>
      </c>
      <c r="U124" s="171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https://search-rtdc-monitor-bjffxe2xuh6vdkpspy63sjmuny.us-east-1.es.amazonaws.com/_plugin/kibana/#/discover/Steve-Slow-Train-Analysis-(2080s-and-2083s)?_g=(refreshInterval:(display:Off,section:0,value:0),time:(from:'2016-11-25 16:28:21-700',mode:absolute,to:'2016-11-25 19:12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24" s="52" t="str">
        <f t="shared" si="41"/>
        <v>N</v>
      </c>
      <c r="X124" s="177">
        <f t="shared" si="42"/>
        <v>1</v>
      </c>
      <c r="Y124" s="67">
        <f t="shared" si="43"/>
        <v>4.6199999999999998E-2</v>
      </c>
      <c r="Z124" s="67">
        <f t="shared" si="44"/>
        <v>23.3293</v>
      </c>
      <c r="AA124" s="67">
        <f t="shared" si="45"/>
        <v>23.283100000000001</v>
      </c>
      <c r="AB124" s="64" t="e">
        <f>VLOOKUP(A124,Enforcements!$C$7:$K$20,8,0)</f>
        <v>#N/A</v>
      </c>
      <c r="AC124" s="60" t="e">
        <f>VLOOKUP(A124,Enforcements!$C$7:$E$20,3,0)</f>
        <v>#N/A</v>
      </c>
      <c r="AD124" s="61" t="str">
        <f t="shared" si="46"/>
        <v>0211-25</v>
      </c>
      <c r="AE124" s="91" t="str">
        <f t="shared" si="47"/>
        <v>aws s3 cp s3://rtdc.mdm.uploadarchive.raw/RTDC4031/ "%USERPROFILE%\AppData\Local\Temp\OnboardLogs"\RTDC4031\2016-11-25 --exclude "*" --recursive --include "*20161125*" &amp; "%USERPROFILE%\Documents\GitHub\mrs-test-scripts\Headless Mode &amp; Sideloading\WalkAndUnGZ.bat" "%USERPROFILE%\AppData\Local\Temp\OnboardLogs"\RTDC4031\2016-11-25 &amp; aws s3 cp s3://rtdc.mdm.uploadarchive.raw/RTDC4031/ "%USERPROFILE%\AppData\Local\Temp\OnboardLogs"\RTDC4031\2016-11-26 --exclude "*" --recursive --include "*20161126*" &amp; "%USERPROFILE%\Documents\GitHub\mrs-test-scripts\Headless Mode &amp; Sideloading\WalkAndUnGZ.bat" "%USERPROFILE%\AppData\Local\Temp\OnboardLogs"\RTDC4031\2016-11-26</v>
      </c>
      <c r="AF124" s="88" t="str">
        <f t="shared" si="48"/>
        <v>"C:\Program Files (x86)\AstroGrep\AstroGrep.exe" /spath="%USERPROFILE%\AppData\Local\Temp\OnboardLogs" /stypes="app*4031*20161126*" /stext=" 01:.+((SYSTEM_STATE.+slice.+state.+changed )|(ment ac)|(system.+state.+changed )|(\[timeout)|(PRM\|1\|D)|(kpr)|(kdp)|(\|lc)|(penalty))" /e /r /s</v>
      </c>
      <c r="AG124" s="1" t="str">
        <f t="shared" si="49"/>
        <v>EC</v>
      </c>
      <c r="AH124" s="92" t="str">
        <f t="shared" si="50"/>
        <v>"%USERPROFILE%\Documents\GitHub\eaglep3\Utilities\RefineRTDCRunTimes.py" --tripid 211-25 --locoid 4031 --swversion DE.1.0.8.0 --startMP 204:462 --initTime 2016-11-25T17:28:21 --startdatetime 2016-11-25T17:31:30 --delay 1 --endMP 204:233293 --enddatetime 2016-11-25T18:12:17 --enforcementcount 0 &gt;&gt;C:\Users\stu\Documents\GitHub\eaglep3-reporting\EC\2016-11-25-refined-times.txt</v>
      </c>
      <c r="AI124" s="119" t="str">
        <f t="shared" si="51"/>
        <v>echo {"issue":{"subject":"","project_id":79,"tracker_id":40,"status_id":1,"priority_id":2,"assigned_to_id":23,"start_date":"2016-11-25","description":"","custom_fields":[{"id":1,"name":"Subdivision","value":"EC"},{"id":4,"name":"Milepost","value":"23.3293"},{"id":17,"name":"Train ID","value":"211-25"},{"id":16,"name":"Locomotive ID","value":"4031"},{"id":130,"name":"Impact","value":""},{"id":150,"name":"Time of Event (Mountain Time)","value":"18:12:17"},{"id":151,"name":"Denver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3"/>
      <c r="AK124" s="53"/>
      <c r="AL124" s="53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x14ac:dyDescent="0.25">
      <c r="A125" s="37" t="s">
        <v>587</v>
      </c>
      <c r="B125" s="7">
        <v>4032</v>
      </c>
      <c r="C125" s="22" t="s">
        <v>217</v>
      </c>
      <c r="D125" s="22" t="s">
        <v>367</v>
      </c>
      <c r="E125" s="13">
        <v>42699.76457175926</v>
      </c>
      <c r="F125" s="13">
        <v>42699.768472222226</v>
      </c>
      <c r="G125" s="7">
        <v>1</v>
      </c>
      <c r="H125" s="22" t="s">
        <v>244</v>
      </c>
      <c r="I125" s="13">
        <v>42699.798888888887</v>
      </c>
      <c r="J125" s="7">
        <v>0</v>
      </c>
      <c r="K125" s="109" t="str">
        <f t="shared" si="35"/>
        <v>4031/4032</v>
      </c>
      <c r="L125" s="22" t="str">
        <f>VLOOKUP(A125,'Trips&amp;Operators'!$C$1:$E$10000,3,FALSE)</f>
        <v>HOLCOMB</v>
      </c>
      <c r="M125" s="6">
        <f t="shared" si="36"/>
        <v>3.0416666661039926E-2</v>
      </c>
      <c r="N125" s="7">
        <f t="shared" si="37"/>
        <v>43.799999991897494</v>
      </c>
      <c r="O125" s="7"/>
      <c r="P125" s="7"/>
      <c r="Q125" s="23"/>
      <c r="R125" s="23"/>
      <c r="S125" s="35">
        <f t="shared" si="38"/>
        <v>1</v>
      </c>
      <c r="T125" s="50" t="str">
        <f t="shared" si="39"/>
        <v>Southbound</v>
      </c>
      <c r="U125" s="171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https://search-rtdc-monitor-bjffxe2xuh6vdkpspy63sjmuny.us-east-1.es.amazonaws.com/_plugin/kibana/#/discover/Steve-Slow-Train-Analysis-(2080s-and-2083s)?_g=(refreshInterval:(display:Off,section:0,value:0),time:(from:'2016-11-25 17:20:59-700',mode:absolute,to:'2016-11-25 20:10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25" s="52" t="str">
        <f t="shared" si="41"/>
        <v>N</v>
      </c>
      <c r="X125" s="177">
        <f t="shared" si="42"/>
        <v>1</v>
      </c>
      <c r="Y125" s="67">
        <f t="shared" si="43"/>
        <v>23.299199999999999</v>
      </c>
      <c r="Z125" s="67">
        <f t="shared" si="44"/>
        <v>1.41E-2</v>
      </c>
      <c r="AA125" s="67">
        <f t="shared" si="45"/>
        <v>23.2851</v>
      </c>
      <c r="AB125" s="64" t="e">
        <f>VLOOKUP(A125,Enforcements!$C$7:$K$20,8,0)</f>
        <v>#N/A</v>
      </c>
      <c r="AC125" s="60" t="e">
        <f>VLOOKUP(A125,Enforcements!$C$7:$E$20,3,0)</f>
        <v>#N/A</v>
      </c>
      <c r="AD125" s="61" t="str">
        <f t="shared" si="46"/>
        <v>0212-25</v>
      </c>
      <c r="AE125" s="91" t="str">
        <f t="shared" si="47"/>
        <v>aws s3 cp s3://rtdc.mdm.uploadarchive.raw/RTDC4032/ "%USERPROFILE%\AppData\Local\Temp\OnboardLogs"\RTDC4032\2016-11-25 --exclude "*" --recursive --include "*20161125*" &amp; "%USERPROFILE%\Documents\GitHub\mrs-test-scripts\Headless Mode &amp; Sideloading\WalkAndUnGZ.bat" "%USERPROFILE%\AppData\Local\Temp\OnboardLogs"\RTDC4032\2016-11-25 &amp; aws s3 cp s3://rtdc.mdm.uploadarchive.raw/RTDC4032/ "%USERPROFILE%\AppData\Local\Temp\OnboardLogs"\RTDC4032\2016-11-26 --exclude "*" --recursive --include "*20161126*" &amp; "%USERPROFILE%\Documents\GitHub\mrs-test-scripts\Headless Mode &amp; Sideloading\WalkAndUnGZ.bat" "%USERPROFILE%\AppData\Local\Temp\OnboardLogs"\RTDC4032\2016-11-26</v>
      </c>
      <c r="AF125" s="88" t="str">
        <f t="shared" si="48"/>
        <v>"C:\Program Files (x86)\AstroGrep\AstroGrep.exe" /spath="%USERPROFILE%\AppData\Local\Temp\OnboardLogs" /stypes="app*4032*20161126*" /stext=" 02:.+((SYSTEM_STATE.+slice.+state.+changed )|(ment ac)|(system.+state.+changed )|(\[timeout)|(PRM\|1\|D)|(kpr)|(kdp)|(\|lc)|(penalty))" /e /r /s</v>
      </c>
      <c r="AG125" s="1" t="str">
        <f t="shared" si="49"/>
        <v>EC</v>
      </c>
      <c r="AH125" s="92" t="str">
        <f t="shared" si="50"/>
        <v>"%USERPROFILE%\Documents\GitHub\eaglep3\Utilities\RefineRTDCRunTimes.py" --tripid 212-25 --locoid 4032 --swversion DE.1.0.8.0 --startMP 204:232992 --initTime 2016-11-25T18:20:59 --startdatetime 2016-11-25T18:26:36 --delay 1 --endMP 204:141 --enddatetime 2016-11-25T19:10:24 --enforcementcount 0 &gt;&gt;C:\Users\stu\Documents\GitHub\eaglep3-reporting\EC\2016-11-25-refined-times.txt</v>
      </c>
      <c r="AI125" s="119" t="str">
        <f t="shared" si="51"/>
        <v>echo {"issue":{"subject":"","project_id":79,"tracker_id":40,"status_id":1,"priority_id":2,"assigned_to_id":23,"start_date":"2016-11-25","description":"","custom_fields":[{"id":1,"name":"Subdivision","value":"EC"},{"id":4,"name":"Milepost","value":"0.0141"},{"id":17,"name":"Train ID","value":"212-25"},{"id":16,"name":"Locomotive ID","value":"4032"},{"id":130,"name":"Impact","value":""},{"id":150,"name":"Time of Event (Mountain Time)","value":"19:10:24"},{"id":151,"name":"Denver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3"/>
      <c r="AK125" s="53"/>
      <c r="AL125" s="53"/>
    </row>
    <row r="126" spans="1:91" s="21" customFormat="1" x14ac:dyDescent="0.25">
      <c r="A126" s="37" t="s">
        <v>580</v>
      </c>
      <c r="B126" s="7">
        <v>4046</v>
      </c>
      <c r="C126" s="22" t="s">
        <v>217</v>
      </c>
      <c r="D126" s="22" t="s">
        <v>328</v>
      </c>
      <c r="E126" s="13">
        <v>42699.735856481479</v>
      </c>
      <c r="F126" s="13">
        <v>42699.739942129629</v>
      </c>
      <c r="G126" s="7">
        <v>2</v>
      </c>
      <c r="H126" s="22" t="s">
        <v>645</v>
      </c>
      <c r="I126" s="13">
        <v>42699.765879629631</v>
      </c>
      <c r="J126" s="7">
        <v>0</v>
      </c>
      <c r="K126" s="109" t="str">
        <f t="shared" si="35"/>
        <v>4045/4046</v>
      </c>
      <c r="L126" s="22" t="str">
        <f>VLOOKUP(A126,'Trips&amp;Operators'!$C$1:$E$10000,3,FALSE)</f>
        <v>SAFIEF</v>
      </c>
      <c r="M126" s="6">
        <f t="shared" si="36"/>
        <v>2.5937500002328306E-2</v>
      </c>
      <c r="N126" s="7">
        <f t="shared" si="37"/>
        <v>37.350000003352761</v>
      </c>
      <c r="O126" s="7"/>
      <c r="P126" s="7"/>
      <c r="Q126" s="23"/>
      <c r="R126" s="23"/>
      <c r="S126" s="35">
        <f t="shared" si="38"/>
        <v>1</v>
      </c>
      <c r="T126" s="50" t="str">
        <f t="shared" si="39"/>
        <v>NorthBound</v>
      </c>
      <c r="U126" s="171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https://search-rtdc-monitor-bjffxe2xuh6vdkpspy63sjmuny.us-east-1.es.amazonaws.com/_plugin/kibana/#/discover/Steve-Slow-Train-Analysis-(2080s-and-2083s)?_g=(refreshInterval:(display:Off,section:0,value:0),time:(from:'2016-11-25 16:39:38-700',mode:absolute,to:'2016-11-25 19:22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26" s="52" t="str">
        <f t="shared" si="41"/>
        <v>N</v>
      </c>
      <c r="X126" s="177">
        <f t="shared" si="42"/>
        <v>1</v>
      </c>
      <c r="Y126" s="67">
        <f t="shared" si="43"/>
        <v>4.8399999999999999E-2</v>
      </c>
      <c r="Z126" s="67">
        <f t="shared" si="44"/>
        <v>23.333100000000002</v>
      </c>
      <c r="AA126" s="67">
        <f t="shared" si="45"/>
        <v>23.284700000000001</v>
      </c>
      <c r="AB126" s="64" t="e">
        <f>VLOOKUP(A126,Enforcements!$C$7:$K$20,8,0)</f>
        <v>#N/A</v>
      </c>
      <c r="AC126" s="60" t="e">
        <f>VLOOKUP(A126,Enforcements!$C$7:$E$20,3,0)</f>
        <v>#N/A</v>
      </c>
      <c r="AD126" s="61" t="str">
        <f t="shared" si="46"/>
        <v>0213-25</v>
      </c>
      <c r="AE126" s="91" t="str">
        <f t="shared" si="47"/>
        <v>aws s3 cp s3://rtdc.mdm.uploadarchive.raw/RTDC4046/ "%USERPROFILE%\AppData\Local\Temp\OnboardLogs"\RTDC4046\2016-11-25 --exclude "*" --recursive --include "*20161125*" &amp; "%USERPROFILE%\Documents\GitHub\mrs-test-scripts\Headless Mode &amp; Sideloading\WalkAndUnGZ.bat" "%USERPROFILE%\AppData\Local\Temp\OnboardLogs"\RTDC4046\2016-11-25 &amp; aws s3 cp s3://rtdc.mdm.uploadarchive.raw/RTDC4046/ "%USERPROFILE%\AppData\Local\Temp\OnboardLogs"\RTDC4046\2016-11-26 --exclude "*" --recursive --include "*20161126*" &amp; "%USERPROFILE%\Documents\GitHub\mrs-test-scripts\Headless Mode &amp; Sideloading\WalkAndUnGZ.bat" "%USERPROFILE%\AppData\Local\Temp\OnboardLogs"\RTDC4046\2016-11-26</v>
      </c>
      <c r="AF126" s="88" t="str">
        <f t="shared" si="48"/>
        <v>"C:\Program Files (x86)\AstroGrep\AstroGrep.exe" /spath="%USERPROFILE%\AppData\Local\Temp\OnboardLogs" /stypes="app*4046*20161126*" /stext=" 01:.+((SYSTEM_STATE.+slice.+state.+changed )|(ment ac)|(system.+state.+changed )|(\[timeout)|(PRM\|1\|D)|(kpr)|(kdp)|(\|lc)|(penalty))" /e /r /s</v>
      </c>
      <c r="AG126" s="1" t="str">
        <f t="shared" si="49"/>
        <v>EC</v>
      </c>
      <c r="AH126" s="92" t="str">
        <f t="shared" si="50"/>
        <v>"%USERPROFILE%\Documents\GitHub\eaglep3\Utilities\RefineRTDCRunTimes.py" --tripid 213-25 --locoid 4046 --swversion DE.1.0.8.0 --startMP 204:484 --initTime 2016-11-25T17:39:38 --startdatetime 2016-11-25T17:45:31 --delay 2 --endMP 204:233331 --enddatetime 2016-11-25T18:22:52 --enforcementcount 0 &gt;&gt;C:\Users\stu\Documents\GitHub\eaglep3-reporting\EC\2016-11-25-refined-times.txt</v>
      </c>
      <c r="AI126" s="119" t="str">
        <f t="shared" si="51"/>
        <v>echo {"issue":{"subject":"","project_id":79,"tracker_id":40,"status_id":1,"priority_id":2,"assigned_to_id":23,"start_date":"2016-11-25","description":"","custom_fields":[{"id":1,"name":"Subdivision","value":"EC"},{"id":4,"name":"Milepost","value":"23.3331"},{"id":17,"name":"Train ID","value":"213-25"},{"id":16,"name":"Locomotive ID","value":"4046"},{"id":130,"name":"Impact","value":""},{"id":150,"name":"Time of Event (Mountain Time)","value":"18:22:52"},{"id":151,"name":"Denver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3"/>
      <c r="AK126" s="53"/>
      <c r="AL126" s="53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1" customFormat="1" x14ac:dyDescent="0.25">
      <c r="A127" s="37" t="s">
        <v>590</v>
      </c>
      <c r="B127" s="7">
        <v>4045</v>
      </c>
      <c r="C127" s="22" t="s">
        <v>217</v>
      </c>
      <c r="D127" s="22" t="s">
        <v>254</v>
      </c>
      <c r="E127" s="13">
        <v>42699.76966435185</v>
      </c>
      <c r="F127" s="13">
        <v>42699.778773148151</v>
      </c>
      <c r="G127" s="7">
        <v>1</v>
      </c>
      <c r="H127" s="22" t="s">
        <v>366</v>
      </c>
      <c r="I127" s="13">
        <v>42699.805520833332</v>
      </c>
      <c r="J127" s="7">
        <v>0</v>
      </c>
      <c r="K127" s="109" t="str">
        <f t="shared" si="35"/>
        <v>4045/4046</v>
      </c>
      <c r="L127" s="22" t="str">
        <f>VLOOKUP(A127,'Trips&amp;Operators'!$C$1:$E$10000,3,FALSE)</f>
        <v>SAFIEF</v>
      </c>
      <c r="M127" s="6">
        <f t="shared" si="36"/>
        <v>2.6747685180453118E-2</v>
      </c>
      <c r="N127" s="7">
        <f t="shared" si="37"/>
        <v>38.51666665985249</v>
      </c>
      <c r="O127" s="7"/>
      <c r="P127" s="7"/>
      <c r="Q127" s="23"/>
      <c r="R127" s="23"/>
      <c r="S127" s="35">
        <f t="shared" si="38"/>
        <v>1</v>
      </c>
      <c r="T127" s="50" t="str">
        <f t="shared" si="39"/>
        <v>Southbound</v>
      </c>
      <c r="U127" s="171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https://search-rtdc-monitor-bjffxe2xuh6vdkpspy63sjmuny.us-east-1.es.amazonaws.com/_plugin/kibana/#/discover/Steve-Slow-Train-Analysis-(2080s-and-2083s)?_g=(refreshInterval:(display:Off,section:0,value:0),time:(from:'2016-11-25 17:28:19-700',mode:absolute,to:'2016-11-25 20:19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27" s="52" t="str">
        <f t="shared" si="41"/>
        <v>N</v>
      </c>
      <c r="X127" s="177">
        <f t="shared" si="42"/>
        <v>1</v>
      </c>
      <c r="Y127" s="67">
        <f t="shared" si="43"/>
        <v>23.299800000000001</v>
      </c>
      <c r="Z127" s="67">
        <f t="shared" si="44"/>
        <v>1.29E-2</v>
      </c>
      <c r="AA127" s="67">
        <f t="shared" si="45"/>
        <v>23.286900000000003</v>
      </c>
      <c r="AB127" s="64" t="e">
        <f>VLOOKUP(A127,Enforcements!$C$7:$K$20,8,0)</f>
        <v>#N/A</v>
      </c>
      <c r="AC127" s="60" t="e">
        <f>VLOOKUP(A127,Enforcements!$C$7:$E$20,3,0)</f>
        <v>#N/A</v>
      </c>
      <c r="AD127" s="61" t="str">
        <f t="shared" si="46"/>
        <v>0214-25</v>
      </c>
      <c r="AE127" s="91" t="str">
        <f t="shared" si="47"/>
        <v>aws s3 cp s3://rtdc.mdm.uploadarchive.raw/RTDC4045/ "%USERPROFILE%\AppData\Local\Temp\OnboardLogs"\RTDC4045\2016-11-25 --exclude "*" --recursive --include "*20161125*" &amp; "%USERPROFILE%\Documents\GitHub\mrs-test-scripts\Headless Mode &amp; Sideloading\WalkAndUnGZ.bat" "%USERPROFILE%\AppData\Local\Temp\OnboardLogs"\RTDC4045\2016-11-25 &amp; aws s3 cp s3://rtdc.mdm.uploadarchive.raw/RTDC4045/ "%USERPROFILE%\AppData\Local\Temp\OnboardLogs"\RTDC4045\2016-11-26 --exclude "*" --recursive --include "*20161126*" &amp; "%USERPROFILE%\Documents\GitHub\mrs-test-scripts\Headless Mode &amp; Sideloading\WalkAndUnGZ.bat" "%USERPROFILE%\AppData\Local\Temp\OnboardLogs"\RTDC4045\2016-11-26</v>
      </c>
      <c r="AF127" s="88" t="str">
        <f t="shared" si="48"/>
        <v>"C:\Program Files (x86)\AstroGrep\AstroGrep.exe" /spath="%USERPROFILE%\AppData\Local\Temp\OnboardLogs" /stypes="app*4045*20161126*" /stext=" 02:.+((SYSTEM_STATE.+slice.+state.+changed )|(ment ac)|(system.+state.+changed )|(\[timeout)|(PRM\|1\|D)|(kpr)|(kdp)|(\|lc)|(penalty))" /e /r /s</v>
      </c>
      <c r="AG127" s="1" t="str">
        <f t="shared" si="49"/>
        <v>EC</v>
      </c>
      <c r="AH127" s="92" t="str">
        <f t="shared" si="50"/>
        <v>"%USERPROFILE%\Documents\GitHub\eaglep3\Utilities\RefineRTDCRunTimes.py" --tripid 214-25 --locoid 4045 --swversion DE.1.0.8.0 --startMP 204:232998 --initTime 2016-11-25T18:28:19 --startdatetime 2016-11-25T18:41:26 --delay 1 --endMP 204:129 --enddatetime 2016-11-25T19:19:57 --enforcementcount 0 &gt;&gt;C:\Users\stu\Documents\GitHub\eaglep3-reporting\EC\2016-11-25-refined-times.txt</v>
      </c>
      <c r="AI127" s="119" t="str">
        <f t="shared" si="51"/>
        <v>echo {"issue":{"subject":"","project_id":79,"tracker_id":40,"status_id":1,"priority_id":2,"assigned_to_id":23,"start_date":"2016-11-25","description":"","custom_fields":[{"id":1,"name":"Subdivision","value":"EC"},{"id":4,"name":"Milepost","value":"0.0129"},{"id":17,"name":"Train ID","value":"214-25"},{"id":16,"name":"Locomotive ID","value":"4045"},{"id":130,"name":"Impact","value":""},{"id":150,"name":"Time of Event (Mountain Time)","value":"19:19:57"},{"id":151,"name":"Denver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3"/>
      <c r="AK127" s="53"/>
      <c r="AL127" s="53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1" customFormat="1" x14ac:dyDescent="0.25">
      <c r="A128" s="37" t="s">
        <v>584</v>
      </c>
      <c r="B128" s="7">
        <v>4011</v>
      </c>
      <c r="C128" s="22" t="s">
        <v>217</v>
      </c>
      <c r="D128" s="22" t="s">
        <v>201</v>
      </c>
      <c r="E128" s="13">
        <v>42699.751712962963</v>
      </c>
      <c r="F128" s="13">
        <v>42699.753032407411</v>
      </c>
      <c r="G128" s="7">
        <v>1</v>
      </c>
      <c r="H128" s="22" t="s">
        <v>666</v>
      </c>
      <c r="I128" s="13">
        <v>42699.779097222221</v>
      </c>
      <c r="J128" s="7">
        <v>0</v>
      </c>
      <c r="K128" s="109" t="str">
        <f t="shared" si="35"/>
        <v>4011/4012</v>
      </c>
      <c r="L128" s="22" t="str">
        <f>VLOOKUP(A128,'Trips&amp;Operators'!$C$1:$E$10000,3,FALSE)</f>
        <v>STORY</v>
      </c>
      <c r="M128" s="6">
        <f t="shared" si="36"/>
        <v>2.6064814810524695E-2</v>
      </c>
      <c r="N128" s="7">
        <f t="shared" si="37"/>
        <v>37.53333332715556</v>
      </c>
      <c r="O128" s="7"/>
      <c r="P128" s="7"/>
      <c r="Q128" s="23"/>
      <c r="R128" s="23"/>
      <c r="S128" s="35">
        <f t="shared" si="38"/>
        <v>1</v>
      </c>
      <c r="T128" s="50" t="str">
        <f t="shared" si="39"/>
        <v>NorthBound</v>
      </c>
      <c r="U128" s="171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https://search-rtdc-monitor-bjffxe2xuh6vdkpspy63sjmuny.us-east-1.es.amazonaws.com/_plugin/kibana/#/discover/Steve-Slow-Train-Analysis-(2080s-and-2083s)?_g=(refreshInterval:(display:Off,section:0,value:0),time:(from:'2016-11-25 17:02:28-700',mode:absolute,to:'2016-11-25 19:41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28" s="52" t="str">
        <f t="shared" si="41"/>
        <v>N</v>
      </c>
      <c r="X128" s="177">
        <f t="shared" si="42"/>
        <v>1</v>
      </c>
      <c r="Y128" s="67">
        <v>0.06</v>
      </c>
      <c r="Z128" s="67">
        <v>23.2</v>
      </c>
      <c r="AA128" s="67">
        <f t="shared" si="45"/>
        <v>23.14</v>
      </c>
      <c r="AB128" s="64" t="e">
        <f>VLOOKUP(A128,Enforcements!$C$7:$K$20,8,0)</f>
        <v>#N/A</v>
      </c>
      <c r="AC128" s="60" t="e">
        <f>VLOOKUP(A128,Enforcements!$C$7:$E$20,3,0)</f>
        <v>#N/A</v>
      </c>
      <c r="AD128" s="61" t="str">
        <f t="shared" si="46"/>
        <v>0215-25</v>
      </c>
      <c r="AE128" s="91" t="str">
        <f t="shared" si="47"/>
        <v>aws s3 cp s3://rtdc.mdm.uploadarchive.raw/RTDC4011/ "%USERPROFILE%\AppData\Local\Temp\OnboardLogs"\RTDC4011\2016-11-25 --exclude "*" --recursive --include "*20161125*" &amp; "%USERPROFILE%\Documents\GitHub\mrs-test-scripts\Headless Mode &amp; Sideloading\WalkAndUnGZ.bat" "%USERPROFILE%\AppData\Local\Temp\OnboardLogs"\RTDC4011\2016-11-25 &amp; aws s3 cp s3://rtdc.mdm.uploadarchive.raw/RTDC4011/ "%USERPROFILE%\AppData\Local\Temp\OnboardLogs"\RTDC4011\2016-11-26 --exclude "*" --recursive --include "*20161126*" &amp; "%USERPROFILE%\Documents\GitHub\mrs-test-scripts\Headless Mode &amp; Sideloading\WalkAndUnGZ.bat" "%USERPROFILE%\AppData\Local\Temp\OnboardLogs"\RTDC4011\2016-11-26</v>
      </c>
      <c r="AF128" s="88" t="str">
        <f t="shared" si="48"/>
        <v>"C:\Program Files (x86)\AstroGrep\AstroGrep.exe" /spath="%USERPROFILE%\AppData\Local\Temp\OnboardLogs" /stypes="app*4011*20161126*" /stext=" 01:.+((SYSTEM_STATE.+slice.+state.+changed )|(ment ac)|(system.+state.+changed )|(\[timeout)|(PRM\|1\|D)|(kpr)|(kdp)|(\|lc)|(penalty))" /e /r /s</v>
      </c>
      <c r="AG128" s="1" t="str">
        <f t="shared" si="49"/>
        <v>EC</v>
      </c>
      <c r="AH128" s="92" t="str">
        <f t="shared" si="50"/>
        <v>"%USERPROFILE%\Documents\GitHub\eaglep3\Utilities\RefineRTDCRunTimes.py" --tripid 215-25 --locoid 4011 --swversion DE.1.0.8.0 --startMP 204:451 --initTime 2016-11-25T18:02:28 --startdatetime 2016-11-25T18:04:22 --delay 1 --endMP 204:1847 --enddatetime 2016-11-25T18:41:54 --enforcementcount 0 &gt;&gt;C:\Users\stu\Documents\GitHub\eaglep3-reporting\EC\2016-11-25-refined-times.txt</v>
      </c>
      <c r="AI128" s="119" t="str">
        <f t="shared" si="51"/>
        <v>echo {"issue":{"subject":"","project_id":79,"tracker_id":40,"status_id":1,"priority_id":2,"assigned_to_id":23,"start_date":"2016-11-25","description":"","custom_fields":[{"id":1,"name":"Subdivision","value":"EC"},{"id":4,"name":"Milepost","value":"23.2"},{"id":17,"name":"Train ID","value":"215-25"},{"id":16,"name":"Locomotive ID","value":"4011"},{"id":130,"name":"Impact","value":""},{"id":150,"name":"Time of Event (Mountain Time)","value":"18:41:54"},{"id":151,"name":"Denver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3"/>
      <c r="AK128" s="53"/>
      <c r="AL128" s="53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1" customFormat="1" x14ac:dyDescent="0.25">
      <c r="A129" s="37" t="s">
        <v>595</v>
      </c>
      <c r="B129" s="7">
        <v>4012</v>
      </c>
      <c r="C129" s="22" t="s">
        <v>217</v>
      </c>
      <c r="D129" s="22" t="s">
        <v>667</v>
      </c>
      <c r="E129" s="13">
        <v>42699.783819444441</v>
      </c>
      <c r="F129" s="13">
        <v>42699.789421296293</v>
      </c>
      <c r="G129" s="7">
        <v>1</v>
      </c>
      <c r="H129" s="22" t="s">
        <v>196</v>
      </c>
      <c r="I129" s="13">
        <v>42699.816828703704</v>
      </c>
      <c r="J129" s="7">
        <v>0</v>
      </c>
      <c r="K129" s="109" t="str">
        <f t="shared" si="35"/>
        <v>4011/4012</v>
      </c>
      <c r="L129" s="22" t="str">
        <f>VLOOKUP(A129,'Trips&amp;Operators'!$C$1:$E$10000,3,FALSE)</f>
        <v>STORY</v>
      </c>
      <c r="M129" s="6">
        <f t="shared" si="36"/>
        <v>2.7407407411374152E-2</v>
      </c>
      <c r="N129" s="7">
        <f t="shared" si="37"/>
        <v>39.466666672378778</v>
      </c>
      <c r="O129" s="7"/>
      <c r="P129" s="7"/>
      <c r="Q129" s="23"/>
      <c r="R129" s="23"/>
      <c r="S129" s="35">
        <f t="shared" si="38"/>
        <v>1</v>
      </c>
      <c r="T129" s="50" t="str">
        <f t="shared" si="39"/>
        <v>Southbound</v>
      </c>
      <c r="U129" s="171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https://search-rtdc-monitor-bjffxe2xuh6vdkpspy63sjmuny.us-east-1.es.amazonaws.com/_plugin/kibana/#/discover/Steve-Slow-Train-Analysis-(2080s-and-2083s)?_g=(refreshInterval:(display:Off,section:0,value:0),time:(from:'2016-11-25 17:48:42-700',mode:absolute,to:'2016-11-25 20:36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29" s="52" t="str">
        <f t="shared" si="41"/>
        <v>N</v>
      </c>
      <c r="X129" s="177">
        <f t="shared" si="42"/>
        <v>1</v>
      </c>
      <c r="Y129" s="67">
        <f t="shared" si="43"/>
        <v>23.296900000000001</v>
      </c>
      <c r="Z129" s="67">
        <f t="shared" si="44"/>
        <v>1.49E-2</v>
      </c>
      <c r="AA129" s="67">
        <f t="shared" si="45"/>
        <v>23.282</v>
      </c>
      <c r="AB129" s="64" t="e">
        <f>VLOOKUP(A129,Enforcements!$C$7:$K$20,8,0)</f>
        <v>#N/A</v>
      </c>
      <c r="AC129" s="60" t="e">
        <f>VLOOKUP(A129,Enforcements!$C$7:$E$20,3,0)</f>
        <v>#N/A</v>
      </c>
      <c r="AD129" s="61" t="str">
        <f t="shared" si="46"/>
        <v>0216-25</v>
      </c>
      <c r="AE129" s="91" t="str">
        <f t="shared" si="47"/>
        <v>aws s3 cp s3://rtdc.mdm.uploadarchive.raw/RTDC4012/ "%USERPROFILE%\AppData\Local\Temp\OnboardLogs"\RTDC4012\2016-11-25 --exclude "*" --recursive --include "*20161125*" &amp; "%USERPROFILE%\Documents\GitHub\mrs-test-scripts\Headless Mode &amp; Sideloading\WalkAndUnGZ.bat" "%USERPROFILE%\AppData\Local\Temp\OnboardLogs"\RTDC4012\2016-11-25 &amp; aws s3 cp s3://rtdc.mdm.uploadarchive.raw/RTDC4012/ "%USERPROFILE%\AppData\Local\Temp\OnboardLogs"\RTDC4012\2016-11-26 --exclude "*" --recursive --include "*20161126*" &amp; "%USERPROFILE%\Documents\GitHub\mrs-test-scripts\Headless Mode &amp; Sideloading\WalkAndUnGZ.bat" "%USERPROFILE%\AppData\Local\Temp\OnboardLogs"\RTDC4012\2016-11-26</v>
      </c>
      <c r="AF129" s="88" t="str">
        <f t="shared" si="48"/>
        <v>"C:\Program Files (x86)\AstroGrep\AstroGrep.exe" /spath="%USERPROFILE%\AppData\Local\Temp\OnboardLogs" /stypes="app*4012*20161126*" /stext=" 02:.+((SYSTEM_STATE.+slice.+state.+changed )|(ment ac)|(system.+state.+changed )|(\[timeout)|(PRM\|1\|D)|(kpr)|(kdp)|(\|lc)|(penalty))" /e /r /s</v>
      </c>
      <c r="AG129" s="1" t="str">
        <f t="shared" si="49"/>
        <v>EC</v>
      </c>
      <c r="AH129" s="92" t="str">
        <f t="shared" si="50"/>
        <v>"%USERPROFILE%\Documents\GitHub\eaglep3\Utilities\RefineRTDCRunTimes.py" --tripid 216-25 --locoid 4012 --swversion DE.1.0.8.0 --startMP 204:232969 --initTime 2016-11-25T18:48:42 --startdatetime 2016-11-25T18:56:46 --delay 1 --endMP 204:149 --enddatetime 2016-11-25T19:36:14 --enforcementcount 0 &gt;&gt;C:\Users\stu\Documents\GitHub\eaglep3-reporting\EC\2016-11-25-refined-times.txt</v>
      </c>
      <c r="AI129" s="119" t="str">
        <f t="shared" si="51"/>
        <v>echo {"issue":{"subject":"","project_id":79,"tracker_id":40,"status_id":1,"priority_id":2,"assigned_to_id":23,"start_date":"2016-11-25","description":"","custom_fields":[{"id":1,"name":"Subdivision","value":"EC"},{"id":4,"name":"Milepost","value":"0.0149"},{"id":17,"name":"Train ID","value":"216-25"},{"id":16,"name":"Locomotive ID","value":"4012"},{"id":130,"name":"Impact","value":""},{"id":150,"name":"Time of Event (Mountain Time)","value":"19:36:14"},{"id":151,"name":"Denver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3"/>
      <c r="AK129" s="53"/>
      <c r="AL129" s="53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1" customFormat="1" x14ac:dyDescent="0.25">
      <c r="A130" s="37" t="s">
        <v>585</v>
      </c>
      <c r="B130" s="7">
        <v>4014</v>
      </c>
      <c r="C130" s="22" t="s">
        <v>217</v>
      </c>
      <c r="D130" s="22" t="s">
        <v>297</v>
      </c>
      <c r="E130" s="13">
        <v>42699.75986111111</v>
      </c>
      <c r="F130" s="13">
        <v>42699.760983796295</v>
      </c>
      <c r="G130" s="7">
        <v>1</v>
      </c>
      <c r="H130" s="22" t="s">
        <v>370</v>
      </c>
      <c r="I130" s="13">
        <v>42699.786435185182</v>
      </c>
      <c r="J130" s="7">
        <v>0</v>
      </c>
      <c r="K130" s="109" t="str">
        <f t="shared" si="35"/>
        <v>4013/4014</v>
      </c>
      <c r="L130" s="22" t="str">
        <f>VLOOKUP(A130,'Trips&amp;Operators'!$C$1:$E$10000,3,FALSE)</f>
        <v>CHANDLER</v>
      </c>
      <c r="M130" s="6">
        <f t="shared" si="36"/>
        <v>2.545138888672227E-2</v>
      </c>
      <c r="N130" s="7">
        <f t="shared" si="37"/>
        <v>36.649999996880069</v>
      </c>
      <c r="O130" s="7"/>
      <c r="P130" s="7"/>
      <c r="Q130" s="23"/>
      <c r="R130" s="23"/>
      <c r="S130" s="35">
        <f t="shared" si="38"/>
        <v>1</v>
      </c>
      <c r="T130" s="50" t="str">
        <f t="shared" si="39"/>
        <v>NorthBound</v>
      </c>
      <c r="U130" s="171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https://search-rtdc-monitor-bjffxe2xuh6vdkpspy63sjmuny.us-east-1.es.amazonaws.com/_plugin/kibana/#/discover/Steve-Slow-Train-Analysis-(2080s-and-2083s)?_g=(refreshInterval:(display:Off,section:0,value:0),time:(from:'2016-11-25 17:14:12-700',mode:absolute,to:'2016-11-25 19:52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30" s="52" t="str">
        <f t="shared" si="41"/>
        <v>N</v>
      </c>
      <c r="X130" s="177">
        <f t="shared" si="42"/>
        <v>1</v>
      </c>
      <c r="Y130" s="67">
        <f t="shared" si="43"/>
        <v>4.3299999999999998E-2</v>
      </c>
      <c r="Z130" s="67">
        <f t="shared" si="44"/>
        <v>23.331499999999998</v>
      </c>
      <c r="AA130" s="67">
        <f t="shared" si="45"/>
        <v>23.2882</v>
      </c>
      <c r="AB130" s="64" t="e">
        <f>VLOOKUP(A130,Enforcements!$C$7:$K$20,8,0)</f>
        <v>#N/A</v>
      </c>
      <c r="AC130" s="60" t="e">
        <f>VLOOKUP(A130,Enforcements!$C$7:$E$20,3,0)</f>
        <v>#N/A</v>
      </c>
      <c r="AD130" s="61" t="str">
        <f t="shared" si="46"/>
        <v>0217-25</v>
      </c>
      <c r="AE130" s="91" t="str">
        <f t="shared" si="47"/>
        <v>aws s3 cp s3://rtdc.mdm.uploadarchive.raw/RTDC4014/ "%USERPROFILE%\AppData\Local\Temp\OnboardLogs"\RTDC4014\2016-11-25 --exclude "*" --recursive --include "*20161125*" &amp; "%USERPROFILE%\Documents\GitHub\mrs-test-scripts\Headless Mode &amp; Sideloading\WalkAndUnGZ.bat" "%USERPROFILE%\AppData\Local\Temp\OnboardLogs"\RTDC4014\2016-11-25 &amp; aws s3 cp s3://rtdc.mdm.uploadarchive.raw/RTDC4014/ "%USERPROFILE%\AppData\Local\Temp\OnboardLogs"\RTDC4014\2016-11-26 --exclude "*" --recursive --include "*20161126*" &amp; "%USERPROFILE%\Documents\GitHub\mrs-test-scripts\Headless Mode &amp; Sideloading\WalkAndUnGZ.bat" "%USERPROFILE%\AppData\Local\Temp\OnboardLogs"\RTDC4014\2016-11-26</v>
      </c>
      <c r="AF130" s="88" t="str">
        <f t="shared" si="48"/>
        <v>"C:\Program Files (x86)\AstroGrep\AstroGrep.exe" /spath="%USERPROFILE%\AppData\Local\Temp\OnboardLogs" /stypes="app*4014*20161126*" /stext=" 01:.+((SYSTEM_STATE.+slice.+state.+changed )|(ment ac)|(system.+state.+changed )|(\[timeout)|(PRM\|1\|D)|(kpr)|(kdp)|(\|lc)|(penalty))" /e /r /s</v>
      </c>
      <c r="AG130" s="1" t="str">
        <f t="shared" si="49"/>
        <v>EC</v>
      </c>
      <c r="AH130" s="92" t="str">
        <f t="shared" si="50"/>
        <v>"%USERPROFILE%\Documents\GitHub\eaglep3\Utilities\RefineRTDCRunTimes.py" --tripid 217-25 --locoid 4014 --swversion DE.1.0.8.0 --startMP 204:433 --initTime 2016-11-25T18:14:12 --startdatetime 2016-11-25T18:15:49 --delay 1 --endMP 204:233315 --enddatetime 2016-11-25T18:52:28 --enforcementcount 0 &gt;&gt;C:\Users\stu\Documents\GitHub\eaglep3-reporting\EC\2016-11-25-refined-times.txt</v>
      </c>
      <c r="AI130" s="119" t="str">
        <f t="shared" si="51"/>
        <v>echo {"issue":{"subject":"","project_id":79,"tracker_id":40,"status_id":1,"priority_id":2,"assigned_to_id":23,"start_date":"2016-11-25","description":"","custom_fields":[{"id":1,"name":"Subdivision","value":"EC"},{"id":4,"name":"Milepost","value":"23.3315"},{"id":17,"name":"Train ID","value":"217-25"},{"id":16,"name":"Locomotive ID","value":"4014"},{"id":130,"name":"Impact","value":""},{"id":150,"name":"Time of Event (Mountain Time)","value":"18:52:28"},{"id":151,"name":"Denver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3"/>
      <c r="AK130" s="53"/>
      <c r="AL130" s="53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1" customFormat="1" x14ac:dyDescent="0.25">
      <c r="A131" s="37" t="s">
        <v>598</v>
      </c>
      <c r="B131" s="7">
        <v>4013</v>
      </c>
      <c r="C131" s="22" t="s">
        <v>217</v>
      </c>
      <c r="D131" s="22" t="s">
        <v>249</v>
      </c>
      <c r="E131" s="13">
        <v>42699.79724537037</v>
      </c>
      <c r="F131" s="13">
        <v>42699.799618055556</v>
      </c>
      <c r="G131" s="7">
        <v>1</v>
      </c>
      <c r="H131" s="22" t="s">
        <v>275</v>
      </c>
      <c r="I131" s="13">
        <v>42699.829270833332</v>
      </c>
      <c r="J131" s="7">
        <v>0</v>
      </c>
      <c r="K131" s="109" t="str">
        <f t="shared" si="35"/>
        <v>4013/4014</v>
      </c>
      <c r="L131" s="22" t="str">
        <f>VLOOKUP(A131,'Trips&amp;Operators'!$C$1:$E$10000,3,FALSE)</f>
        <v>CHANDLER</v>
      </c>
      <c r="M131" s="6">
        <f t="shared" si="36"/>
        <v>2.9652777775481809E-2</v>
      </c>
      <c r="N131" s="7">
        <f t="shared" si="37"/>
        <v>42.699999996693805</v>
      </c>
      <c r="O131" s="7"/>
      <c r="P131" s="7"/>
      <c r="Q131" s="23"/>
      <c r="R131" s="23"/>
      <c r="S131" s="35">
        <f t="shared" si="38"/>
        <v>1</v>
      </c>
      <c r="T131" s="50" t="str">
        <f t="shared" si="39"/>
        <v>Southbound</v>
      </c>
      <c r="U131" s="171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https://search-rtdc-monitor-bjffxe2xuh6vdkpspy63sjmuny.us-east-1.es.amazonaws.com/_plugin/kibana/#/discover/Steve-Slow-Train-Analysis-(2080s-and-2083s)?_g=(refreshInterval:(display:Off,section:0,value:0),time:(from:'2016-11-25 18:08:02-700',mode:absolute,to:'2016-11-25 20:54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31" s="52" t="str">
        <f t="shared" si="41"/>
        <v>N</v>
      </c>
      <c r="X131" s="177">
        <f t="shared" si="42"/>
        <v>1</v>
      </c>
      <c r="Y131" s="67">
        <f t="shared" si="43"/>
        <v>23.299399999999999</v>
      </c>
      <c r="Z131" s="67">
        <f t="shared" si="44"/>
        <v>1.3899999999999999E-2</v>
      </c>
      <c r="AA131" s="67">
        <f t="shared" si="45"/>
        <v>23.285499999999999</v>
      </c>
      <c r="AB131" s="64" t="e">
        <f>VLOOKUP(A131,Enforcements!$C$7:$K$20,8,0)</f>
        <v>#N/A</v>
      </c>
      <c r="AC131" s="60" t="e">
        <f>VLOOKUP(A131,Enforcements!$C$7:$E$20,3,0)</f>
        <v>#N/A</v>
      </c>
      <c r="AD131" s="61" t="str">
        <f t="shared" si="46"/>
        <v>0218-25</v>
      </c>
      <c r="AE131" s="91" t="str">
        <f t="shared" si="47"/>
        <v>aws s3 cp s3://rtdc.mdm.uploadarchive.raw/RTDC4013/ "%USERPROFILE%\AppData\Local\Temp\OnboardLogs"\RTDC4013\2016-11-25 --exclude "*" --recursive --include "*20161125*" &amp; "%USERPROFILE%\Documents\GitHub\mrs-test-scripts\Headless Mode &amp; Sideloading\WalkAndUnGZ.bat" "%USERPROFILE%\AppData\Local\Temp\OnboardLogs"\RTDC4013\2016-11-25 &amp; aws s3 cp s3://rtdc.mdm.uploadarchive.raw/RTDC4013/ "%USERPROFILE%\AppData\Local\Temp\OnboardLogs"\RTDC4013\2016-11-26 --exclude "*" --recursive --include "*20161126*" &amp; "%USERPROFILE%\Documents\GitHub\mrs-test-scripts\Headless Mode &amp; Sideloading\WalkAndUnGZ.bat" "%USERPROFILE%\AppData\Local\Temp\OnboardLogs"\RTDC4013\2016-11-26</v>
      </c>
      <c r="AF131" s="88" t="str">
        <f t="shared" si="48"/>
        <v>"C:\Program Files (x86)\AstroGrep\AstroGrep.exe" /spath="%USERPROFILE%\AppData\Local\Temp\OnboardLogs" /stypes="app*4013*20161126*" /stext=" 02:.+((SYSTEM_STATE.+slice.+state.+changed )|(ment ac)|(system.+state.+changed )|(\[timeout)|(PRM\|1\|D)|(kpr)|(kdp)|(\|lc)|(penalty))" /e /r /s</v>
      </c>
      <c r="AG131" s="1" t="str">
        <f t="shared" si="49"/>
        <v>EC</v>
      </c>
      <c r="AH131" s="92" t="str">
        <f t="shared" si="50"/>
        <v>"%USERPROFILE%\Documents\GitHub\eaglep3\Utilities\RefineRTDCRunTimes.py" --tripid 218-25 --locoid 4013 --swversion DE.1.0.8.0 --startMP 204:232994 --initTime 2016-11-25T19:08:02 --startdatetime 2016-11-25T19:11:27 --delay 1 --endMP 204:139 --enddatetime 2016-11-25T19:54:09 --enforcementcount 0 &gt;&gt;C:\Users\stu\Documents\GitHub\eaglep3-reporting\EC\2016-11-25-refined-times.txt</v>
      </c>
      <c r="AI131" s="119" t="str">
        <f t="shared" si="51"/>
        <v>echo {"issue":{"subject":"","project_id":79,"tracker_id":40,"status_id":1,"priority_id":2,"assigned_to_id":23,"start_date":"2016-11-25","description":"","custom_fields":[{"id":1,"name":"Subdivision","value":"EC"},{"id":4,"name":"Milepost","value":"0.0139"},{"id":17,"name":"Train ID","value":"218-25"},{"id":16,"name":"Locomotive ID","value":"4013"},{"id":130,"name":"Impact","value":""},{"id":150,"name":"Time of Event (Mountain Time)","value":"19:54:09"},{"id":151,"name":"Denver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3"/>
      <c r="AK131" s="53"/>
      <c r="AL131" s="53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1" customFormat="1" x14ac:dyDescent="0.25">
      <c r="A132" s="37" t="s">
        <v>591</v>
      </c>
      <c r="B132" s="7">
        <v>4042</v>
      </c>
      <c r="C132" s="22" t="s">
        <v>217</v>
      </c>
      <c r="D132" s="22" t="s">
        <v>653</v>
      </c>
      <c r="E132" s="13">
        <v>42699.770925925928</v>
      </c>
      <c r="F132" s="13">
        <v>42699.773495370369</v>
      </c>
      <c r="G132" s="7">
        <v>1</v>
      </c>
      <c r="H132" s="22" t="s">
        <v>668</v>
      </c>
      <c r="I132" s="13">
        <v>42699.796840277777</v>
      </c>
      <c r="J132" s="7">
        <v>0</v>
      </c>
      <c r="K132" s="109" t="str">
        <f t="shared" si="35"/>
        <v>4041/4042</v>
      </c>
      <c r="L132" s="22" t="str">
        <f>VLOOKUP(A132,'Trips&amp;Operators'!$C$1:$E$10000,3,FALSE)</f>
        <v>STAMBAUGH</v>
      </c>
      <c r="M132" s="6">
        <f t="shared" si="36"/>
        <v>2.3344907407590654E-2</v>
      </c>
      <c r="N132" s="7">
        <f t="shared" si="37"/>
        <v>33.616666666930541</v>
      </c>
      <c r="O132" s="7"/>
      <c r="P132" s="7"/>
      <c r="Q132" s="23"/>
      <c r="R132" s="23"/>
      <c r="S132" s="35">
        <f t="shared" si="38"/>
        <v>1</v>
      </c>
      <c r="T132" s="50" t="str">
        <f t="shared" si="39"/>
        <v>NorthBound</v>
      </c>
      <c r="U132" s="171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https://search-rtdc-monitor-bjffxe2xuh6vdkpspy63sjmuny.us-east-1.es.amazonaws.com/_plugin/kibana/#/discover/Steve-Slow-Train-Analysis-(2080s-and-2083s)?_g=(refreshInterval:(display:Off,section:0,value:0),time:(from:'2016-11-25 17:30:08-700',mode:absolute,to:'2016-11-25 20:07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32" s="52" t="str">
        <f t="shared" si="41"/>
        <v>N</v>
      </c>
      <c r="X132" s="177">
        <f t="shared" si="42"/>
        <v>1</v>
      </c>
      <c r="Y132" s="67">
        <f t="shared" si="43"/>
        <v>4.9099999999999998E-2</v>
      </c>
      <c r="Z132" s="67">
        <f t="shared" si="44"/>
        <v>23.329899999999999</v>
      </c>
      <c r="AA132" s="67">
        <f t="shared" si="45"/>
        <v>23.280799999999999</v>
      </c>
      <c r="AB132" s="64" t="e">
        <f>VLOOKUP(A132,Enforcements!$C$7:$K$20,8,0)</f>
        <v>#N/A</v>
      </c>
      <c r="AC132" s="60" t="e">
        <f>VLOOKUP(A132,Enforcements!$C$7:$E$20,3,0)</f>
        <v>#N/A</v>
      </c>
      <c r="AD132" s="61" t="str">
        <f t="shared" si="46"/>
        <v>0219-25</v>
      </c>
      <c r="AE132" s="91" t="str">
        <f t="shared" si="47"/>
        <v>aws s3 cp s3://rtdc.mdm.uploadarchive.raw/RTDC4042/ "%USERPROFILE%\AppData\Local\Temp\OnboardLogs"\RTDC4042\2016-11-25 --exclude "*" --recursive --include "*20161125*" &amp; "%USERPROFILE%\Documents\GitHub\mrs-test-scripts\Headless Mode &amp; Sideloading\WalkAndUnGZ.bat" "%USERPROFILE%\AppData\Local\Temp\OnboardLogs"\RTDC4042\2016-11-25 &amp; aws s3 cp s3://rtdc.mdm.uploadarchive.raw/RTDC4042/ "%USERPROFILE%\AppData\Local\Temp\OnboardLogs"\RTDC4042\2016-11-26 --exclude "*" --recursive --include "*20161126*" &amp; "%USERPROFILE%\Documents\GitHub\mrs-test-scripts\Headless Mode &amp; Sideloading\WalkAndUnGZ.bat" "%USERPROFILE%\AppData\Local\Temp\OnboardLogs"\RTDC4042\2016-11-26</v>
      </c>
      <c r="AF132" s="88" t="str">
        <f t="shared" si="48"/>
        <v>"C:\Program Files (x86)\AstroGrep\AstroGrep.exe" /spath="%USERPROFILE%\AppData\Local\Temp\OnboardLogs" /stypes="app*4042*20161126*" /stext=" 02:.+((SYSTEM_STATE.+slice.+state.+changed )|(ment ac)|(system.+state.+changed )|(\[timeout)|(PRM\|1\|D)|(kpr)|(kdp)|(\|lc)|(penalty))" /e /r /s</v>
      </c>
      <c r="AG132" s="1" t="str">
        <f t="shared" si="49"/>
        <v>EC</v>
      </c>
      <c r="AH132" s="92" t="str">
        <f t="shared" si="50"/>
        <v>"%USERPROFILE%\Documents\GitHub\eaglep3\Utilities\RefineRTDCRunTimes.py" --tripid 219-25 --locoid 4042 --swversion DE.1.0.8.0 --startMP 204:491 --initTime 2016-11-25T18:30:08 --startdatetime 2016-11-25T18:33:50 --delay 1 --endMP 204:233299 --enddatetime 2016-11-25T19:07:27 --enforcementcount 0 &gt;&gt;C:\Users\stu\Documents\GitHub\eaglep3-reporting\EC\2016-11-25-refined-times.txt</v>
      </c>
      <c r="AI132" s="119" t="str">
        <f t="shared" si="51"/>
        <v>echo {"issue":{"subject":"","project_id":79,"tracker_id":40,"status_id":1,"priority_id":2,"assigned_to_id":23,"start_date":"2016-11-25","description":"","custom_fields":[{"id":1,"name":"Subdivision","value":"EC"},{"id":4,"name":"Milepost","value":"23.3299"},{"id":17,"name":"Train ID","value":"219-25"},{"id":16,"name":"Locomotive ID","value":"4042"},{"id":130,"name":"Impact","value":""},{"id":150,"name":"Time of Event (Mountain Time)","value":"19:07:27"},{"id":151,"name":"Denver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3"/>
      <c r="AK132" s="53"/>
      <c r="AL132" s="53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1" customFormat="1" x14ac:dyDescent="0.25">
      <c r="A133" s="37" t="s">
        <v>458</v>
      </c>
      <c r="B133" s="7">
        <v>4041</v>
      </c>
      <c r="C133" s="22" t="s">
        <v>217</v>
      </c>
      <c r="D133" s="22" t="s">
        <v>248</v>
      </c>
      <c r="E133" s="13">
        <v>42699.806793981479</v>
      </c>
      <c r="F133" s="13">
        <v>42699.810520833336</v>
      </c>
      <c r="G133" s="7">
        <v>1</v>
      </c>
      <c r="H133" s="22" t="s">
        <v>196</v>
      </c>
      <c r="I133" s="13">
        <v>42699.837453703702</v>
      </c>
      <c r="J133" s="7">
        <v>1</v>
      </c>
      <c r="K133" s="109" t="str">
        <f t="shared" si="35"/>
        <v>4041/4042</v>
      </c>
      <c r="L133" s="22" t="str">
        <f>VLOOKUP(A133,'Trips&amp;Operators'!$C$1:$E$10000,3,FALSE)</f>
        <v>STAMBAUGH</v>
      </c>
      <c r="M133" s="6">
        <f t="shared" si="36"/>
        <v>2.693287036527181E-2</v>
      </c>
      <c r="N133" s="7">
        <f t="shared" si="37"/>
        <v>38.783333325991407</v>
      </c>
      <c r="O133" s="7"/>
      <c r="P133" s="7"/>
      <c r="Q133" s="23"/>
      <c r="R133" s="23"/>
      <c r="S133" s="35">
        <f t="shared" si="38"/>
        <v>1</v>
      </c>
      <c r="T133" s="50" t="str">
        <f t="shared" si="39"/>
        <v>Southbound</v>
      </c>
      <c r="U133" s="171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https://search-rtdc-monitor-bjffxe2xuh6vdkpspy63sjmuny.us-east-1.es.amazonaws.com/_plugin/kibana/#/discover/Steve-Slow-Train-Analysis-(2080s-and-2083s)?_g=(refreshInterval:(display:Off,section:0,value:0),time:(from:'2016-11-25 18:21:47-700',mode:absolute,to:'2016-11-25 21:05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33" s="52" t="str">
        <f t="shared" si="41"/>
        <v>N</v>
      </c>
      <c r="X133" s="177">
        <f t="shared" si="42"/>
        <v>1</v>
      </c>
      <c r="Y133" s="67">
        <f t="shared" si="43"/>
        <v>23.297499999999999</v>
      </c>
      <c r="Z133" s="67">
        <f t="shared" si="44"/>
        <v>1.49E-2</v>
      </c>
      <c r="AA133" s="67">
        <f t="shared" si="45"/>
        <v>23.282599999999999</v>
      </c>
      <c r="AB133" s="64" t="e">
        <f>VLOOKUP(A133,Enforcements!$C$7:$K$20,8,0)</f>
        <v>#N/A</v>
      </c>
      <c r="AC133" s="60" t="e">
        <f>VLOOKUP(A133,Enforcements!$C$7:$E$20,3,0)</f>
        <v>#N/A</v>
      </c>
      <c r="AD133" s="61" t="str">
        <f t="shared" si="46"/>
        <v>0220-25</v>
      </c>
      <c r="AE133" s="91" t="str">
        <f t="shared" si="47"/>
        <v>aws s3 cp s3://rtdc.mdm.uploadarchive.raw/RTDC4041/ "%USERPROFILE%\AppData\Local\Temp\OnboardLogs"\RTDC4041\2016-11-25 --exclude "*" --recursive --include "*20161125*" &amp; "%USERPROFILE%\Documents\GitHub\mrs-test-scripts\Headless Mode &amp; Sideloading\WalkAndUnGZ.bat" "%USERPROFILE%\AppData\Local\Temp\OnboardLogs"\RTDC4041\2016-11-25 &amp; aws s3 cp s3://rtdc.mdm.uploadarchive.raw/RTDC4041/ "%USERPROFILE%\AppData\Local\Temp\OnboardLogs"\RTDC4041\2016-11-26 --exclude "*" --recursive --include "*20161126*" &amp; "%USERPROFILE%\Documents\GitHub\mrs-test-scripts\Headless Mode &amp; Sideloading\WalkAndUnGZ.bat" "%USERPROFILE%\AppData\Local\Temp\OnboardLogs"\RTDC4041\2016-11-26</v>
      </c>
      <c r="AF133" s="88" t="str">
        <f t="shared" si="48"/>
        <v>"C:\Program Files (x86)\AstroGrep\AstroGrep.exe" /spath="%USERPROFILE%\AppData\Local\Temp\OnboardLogs" /stypes="app*4041*20161126*" /stext=" 03:.+((SYSTEM_STATE.+slice.+state.+changed )|(ment ac)|(system.+state.+changed )|(\[timeout)|(PRM\|1\|D)|(kpr)|(kdp)|(\|lc)|(penalty))" /e /r /s</v>
      </c>
      <c r="AG133" s="1" t="str">
        <f t="shared" si="49"/>
        <v>EC</v>
      </c>
      <c r="AH133" s="92" t="str">
        <f t="shared" si="50"/>
        <v>"%USERPROFILE%\Documents\GitHub\eaglep3\Utilities\RefineRTDCRunTimes.py" --tripid 220-25 --locoid 4041 --swversion DE.1.0.8.0 --startMP 204:232975 --initTime 2016-11-25T19:21:47 --startdatetime 2016-11-25T19:27:09 --delay 1 --endMP 204:149 --enddatetime 2016-11-25T20:05:56 --enforcementcount 1 &gt;&gt;C:\Users\stu\Documents\GitHub\eaglep3-reporting\EC\2016-11-25-refined-times.txt</v>
      </c>
      <c r="AI133" s="119" t="str">
        <f t="shared" si="51"/>
        <v>echo {"issue":{"subject":"","project_id":79,"tracker_id":40,"status_id":1,"priority_id":2,"assigned_to_id":23,"start_date":"2016-11-25","description":"","custom_fields":[{"id":1,"name":"Subdivision","value":"EC"},{"id":4,"name":"Milepost","value":"0.0149"},{"id":17,"name":"Train ID","value":"220-25"},{"id":16,"name":"Locomotive ID","value":"4041"},{"id":130,"name":"Impact","value":""},{"id":150,"name":"Time of Event (Mountain Time)","value":"20:05:56"},{"id":151,"name":"Denver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3"/>
      <c r="AK133" s="53"/>
      <c r="AL133" s="5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1" customFormat="1" x14ac:dyDescent="0.25">
      <c r="A134" s="37" t="s">
        <v>596</v>
      </c>
      <c r="B134" s="7">
        <v>4040</v>
      </c>
      <c r="C134" s="22" t="s">
        <v>217</v>
      </c>
      <c r="D134" s="22" t="s">
        <v>369</v>
      </c>
      <c r="E134" s="13">
        <v>42699.789120370369</v>
      </c>
      <c r="F134" s="13">
        <v>42699.792893518519</v>
      </c>
      <c r="G134" s="7">
        <v>4</v>
      </c>
      <c r="H134" s="22" t="s">
        <v>257</v>
      </c>
      <c r="I134" s="13">
        <v>42699.818298611113</v>
      </c>
      <c r="J134" s="7">
        <v>0</v>
      </c>
      <c r="K134" s="109" t="str">
        <f t="shared" si="35"/>
        <v>4039/4040</v>
      </c>
      <c r="L134" s="22" t="str">
        <f>VLOOKUP(A134,'Trips&amp;Operators'!$C$1:$E$10000,3,FALSE)</f>
        <v>DAVIDSON</v>
      </c>
      <c r="M134" s="6">
        <f t="shared" si="36"/>
        <v>2.5405092594155576E-2</v>
      </c>
      <c r="N134" s="7">
        <f t="shared" si="37"/>
        <v>36.58333333558403</v>
      </c>
      <c r="O134" s="7"/>
      <c r="P134" s="7"/>
      <c r="Q134" s="23"/>
      <c r="R134" s="23"/>
      <c r="S134" s="35">
        <f t="shared" si="38"/>
        <v>1</v>
      </c>
      <c r="T134" s="50" t="str">
        <f t="shared" si="39"/>
        <v>NorthBound</v>
      </c>
      <c r="U134" s="171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https://search-rtdc-monitor-bjffxe2xuh6vdkpspy63sjmuny.us-east-1.es.amazonaws.com/_plugin/kibana/#/discover/Steve-Slow-Train-Analysis-(2080s-and-2083s)?_g=(refreshInterval:(display:Off,section:0,value:0),time:(from:'2016-11-25 17:56:20-700',mode:absolute,to:'2016-11-25 20:38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34" s="52" t="str">
        <f t="shared" si="41"/>
        <v>N</v>
      </c>
      <c r="X134" s="177">
        <f t="shared" si="42"/>
        <v>1</v>
      </c>
      <c r="Y134" s="67">
        <f t="shared" si="43"/>
        <v>4.6699999999999998E-2</v>
      </c>
      <c r="Z134" s="67">
        <f t="shared" si="44"/>
        <v>23.330400000000001</v>
      </c>
      <c r="AA134" s="67">
        <f t="shared" si="45"/>
        <v>23.2837</v>
      </c>
      <c r="AB134" s="64" t="e">
        <f>VLOOKUP(A134,Enforcements!$C$7:$K$20,8,0)</f>
        <v>#N/A</v>
      </c>
      <c r="AC134" s="60" t="e">
        <f>VLOOKUP(A134,Enforcements!$C$7:$E$20,3,0)</f>
        <v>#N/A</v>
      </c>
      <c r="AD134" s="61" t="str">
        <f t="shared" si="46"/>
        <v>0221-25</v>
      </c>
      <c r="AE134" s="91" t="str">
        <f t="shared" si="47"/>
        <v>aws s3 cp s3://rtdc.mdm.uploadarchive.raw/RTDC4040/ "%USERPROFILE%\AppData\Local\Temp\OnboardLogs"\RTDC4040\2016-11-25 --exclude "*" --recursive --include "*20161125*" &amp; "%USERPROFILE%\Documents\GitHub\mrs-test-scripts\Headless Mode &amp; Sideloading\WalkAndUnGZ.bat" "%USERPROFILE%\AppData\Local\Temp\OnboardLogs"\RTDC4040\2016-11-25 &amp; aws s3 cp s3://rtdc.mdm.uploadarchive.raw/RTDC4040/ "%USERPROFILE%\AppData\Local\Temp\OnboardLogs"\RTDC4040\2016-11-26 --exclude "*" --recursive --include "*20161126*" &amp; "%USERPROFILE%\Documents\GitHub\mrs-test-scripts\Headless Mode &amp; Sideloading\WalkAndUnGZ.bat" "%USERPROFILE%\AppData\Local\Temp\OnboardLogs"\RTDC4040\2016-11-26</v>
      </c>
      <c r="AF134" s="88" t="str">
        <f t="shared" si="48"/>
        <v>"C:\Program Files (x86)\AstroGrep\AstroGrep.exe" /spath="%USERPROFILE%\AppData\Local\Temp\OnboardLogs" /stypes="app*4040*20161126*" /stext=" 02:.+((SYSTEM_STATE.+slice.+state.+changed )|(ment ac)|(system.+state.+changed )|(\[timeout)|(PRM\|1\|D)|(kpr)|(kdp)|(\|lc)|(penalty))" /e /r /s</v>
      </c>
      <c r="AG134" s="1" t="str">
        <f t="shared" si="49"/>
        <v>EC</v>
      </c>
      <c r="AH134" s="92" t="str">
        <f t="shared" si="50"/>
        <v>"%USERPROFILE%\Documents\GitHub\eaglep3\Utilities\RefineRTDCRunTimes.py" --tripid 221-25 --locoid 4040 --swversion DE.1.0.8.0 --startMP 204:467 --initTime 2016-11-25T18:56:20 --startdatetime 2016-11-25T19:01:46 --delay 4 --endMP 204:233304 --enddatetime 2016-11-25T19:38:21 --enforcementcount 0 &gt;&gt;C:\Users\stu\Documents\GitHub\eaglep3-reporting\EC\2016-11-25-refined-times.txt</v>
      </c>
      <c r="AI134" s="119" t="str">
        <f t="shared" si="51"/>
        <v>echo {"issue":{"subject":"","project_id":79,"tracker_id":40,"status_id":1,"priority_id":2,"assigned_to_id":23,"start_date":"2016-11-25","description":"","custom_fields":[{"id":1,"name":"Subdivision","value":"EC"},{"id":4,"name":"Milepost","value":"23.3304"},{"id":17,"name":"Train ID","value":"221-25"},{"id":16,"name":"Locomotive ID","value":"4040"},{"id":130,"name":"Impact","value":""},{"id":150,"name":"Time of Event (Mountain Time)","value":"19:38:21"},{"id":151,"name":"Denver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3"/>
      <c r="AK134" s="53"/>
      <c r="AL134" s="53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x14ac:dyDescent="0.25">
      <c r="A135" s="37" t="s">
        <v>603</v>
      </c>
      <c r="B135" s="7">
        <v>4039</v>
      </c>
      <c r="C135" s="22" t="s">
        <v>217</v>
      </c>
      <c r="D135" s="22" t="s">
        <v>322</v>
      </c>
      <c r="E135" s="13">
        <v>42699.826157407406</v>
      </c>
      <c r="F135" s="13">
        <v>42699.830810185187</v>
      </c>
      <c r="G135" s="7">
        <v>1</v>
      </c>
      <c r="H135" s="22" t="s">
        <v>256</v>
      </c>
      <c r="I135" s="13">
        <v>42699.857118055559</v>
      </c>
      <c r="J135" s="7">
        <v>0</v>
      </c>
      <c r="K135" s="109" t="str">
        <f t="shared" si="35"/>
        <v>4039/4040</v>
      </c>
      <c r="L135" s="22" t="str">
        <f>VLOOKUP(A135,'Trips&amp;Operators'!$C$1:$E$10000,3,FALSE)</f>
        <v>DAVIDSON</v>
      </c>
      <c r="M135" s="6">
        <f t="shared" si="36"/>
        <v>2.6307870371965691E-2</v>
      </c>
      <c r="N135" s="7">
        <f t="shared" si="37"/>
        <v>37.883333335630596</v>
      </c>
      <c r="O135" s="7"/>
      <c r="P135" s="7"/>
      <c r="Q135" s="23"/>
      <c r="R135" s="23"/>
      <c r="S135" s="35">
        <f t="shared" si="38"/>
        <v>1</v>
      </c>
      <c r="T135" s="50" t="str">
        <f t="shared" si="39"/>
        <v>Southbound</v>
      </c>
      <c r="U135" s="171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https://search-rtdc-monitor-bjffxe2xuh6vdkpspy63sjmuny.us-east-1.es.amazonaws.com/_plugin/kibana/#/discover/Steve-Slow-Train-Analysis-(2080s-and-2083s)?_g=(refreshInterval:(display:Off,section:0,value:0),time:(from:'2016-11-25 18:49:40-700',mode:absolute,to:'2016-11-25 21:34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35" s="52" t="str">
        <f t="shared" si="41"/>
        <v>N</v>
      </c>
      <c r="X135" s="177">
        <f t="shared" si="42"/>
        <v>1</v>
      </c>
      <c r="Y135" s="67">
        <f t="shared" si="43"/>
        <v>23.2989</v>
      </c>
      <c r="Z135" s="67">
        <f t="shared" si="44"/>
        <v>1.47E-2</v>
      </c>
      <c r="AA135" s="67">
        <f t="shared" si="45"/>
        <v>23.284199999999998</v>
      </c>
      <c r="AB135" s="64" t="e">
        <f>VLOOKUP(A135,Enforcements!$C$7:$K$20,8,0)</f>
        <v>#N/A</v>
      </c>
      <c r="AC135" s="60" t="e">
        <f>VLOOKUP(A135,Enforcements!$C$7:$E$20,3,0)</f>
        <v>#N/A</v>
      </c>
      <c r="AD135" s="61" t="str">
        <f t="shared" si="46"/>
        <v>0222-25</v>
      </c>
      <c r="AE135" s="91" t="str">
        <f t="shared" si="47"/>
        <v>aws s3 cp s3://rtdc.mdm.uploadarchive.raw/RTDC4039/ "%USERPROFILE%\AppData\Local\Temp\OnboardLogs"\RTDC4039\2016-11-25 --exclude "*" --recursive --include "*20161125*" &amp; "%USERPROFILE%\Documents\GitHub\mrs-test-scripts\Headless Mode &amp; Sideloading\WalkAndUnGZ.bat" "%USERPROFILE%\AppData\Local\Temp\OnboardLogs"\RTDC4039\2016-11-25 &amp; aws s3 cp s3://rtdc.mdm.uploadarchive.raw/RTDC4039/ "%USERPROFILE%\AppData\Local\Temp\OnboardLogs"\RTDC4039\2016-11-26 --exclude "*" --recursive --include "*20161126*" &amp; "%USERPROFILE%\Documents\GitHub\mrs-test-scripts\Headless Mode &amp; Sideloading\WalkAndUnGZ.bat" "%USERPROFILE%\AppData\Local\Temp\OnboardLogs"\RTDC4039\2016-11-26</v>
      </c>
      <c r="AF135" s="88" t="str">
        <f t="shared" si="48"/>
        <v>"C:\Program Files (x86)\AstroGrep\AstroGrep.exe" /spath="%USERPROFILE%\AppData\Local\Temp\OnboardLogs" /stypes="app*4039*20161126*" /stext=" 03:.+((SYSTEM_STATE.+slice.+state.+changed )|(ment ac)|(system.+state.+changed )|(\[timeout)|(PRM\|1\|D)|(kpr)|(kdp)|(\|lc)|(penalty))" /e /r /s</v>
      </c>
      <c r="AG135" s="1" t="str">
        <f t="shared" si="49"/>
        <v>EC</v>
      </c>
      <c r="AH135" s="92" t="str">
        <f t="shared" si="50"/>
        <v>"%USERPROFILE%\Documents\GitHub\eaglep3\Utilities\RefineRTDCRunTimes.py" --tripid 222-25 --locoid 4039 --swversion DE.1.0.8.0 --startMP 204:232989 --initTime 2016-11-25T19:49:40 --startdatetime 2016-11-25T19:56:22 --delay 1 --endMP 204:147 --enddatetime 2016-11-25T20:34:15 --enforcementcount 0 &gt;&gt;C:\Users\stu\Documents\GitHub\eaglep3-reporting\EC\2016-11-25-refined-times.txt</v>
      </c>
      <c r="AI135" s="119" t="str">
        <f t="shared" si="51"/>
        <v>echo {"issue":{"subject":"","project_id":79,"tracker_id":40,"status_id":1,"priority_id":2,"assigned_to_id":23,"start_date":"2016-11-25","description":"","custom_fields":[{"id":1,"name":"Subdivision","value":"EC"},{"id":4,"name":"Milepost","value":"0.0147"},{"id":17,"name":"Train ID","value":"222-25"},{"id":16,"name":"Locomotive ID","value":"4039"},{"id":130,"name":"Impact","value":""},{"id":150,"name":"Time of Event (Mountain Time)","value":"20:34:15"},{"id":151,"name":"Denver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3"/>
      <c r="AK135" s="53"/>
      <c r="AL135" s="53"/>
    </row>
    <row r="136" spans="1:91" x14ac:dyDescent="0.25">
      <c r="A136" s="37" t="s">
        <v>600</v>
      </c>
      <c r="B136" s="7">
        <v>4046</v>
      </c>
      <c r="C136" s="22" t="s">
        <v>217</v>
      </c>
      <c r="D136" s="22" t="s">
        <v>669</v>
      </c>
      <c r="E136" s="13">
        <v>42699.808888888889</v>
      </c>
      <c r="F136" s="13">
        <v>42699.8127662037</v>
      </c>
      <c r="G136" s="7">
        <v>1</v>
      </c>
      <c r="H136" s="22" t="s">
        <v>640</v>
      </c>
      <c r="I136" s="13">
        <v>42699.837534722225</v>
      </c>
      <c r="J136" s="7">
        <v>0</v>
      </c>
      <c r="K136" s="109" t="str">
        <f t="shared" si="35"/>
        <v>4045/4046</v>
      </c>
      <c r="L136" s="22" t="str">
        <f>VLOOKUP(A136,'Trips&amp;Operators'!$C$1:$E$10000,3,FALSE)</f>
        <v>SAFIEF</v>
      </c>
      <c r="M136" s="6">
        <f t="shared" si="36"/>
        <v>2.4768518524069805E-2</v>
      </c>
      <c r="N136" s="7">
        <f t="shared" si="37"/>
        <v>35.666666674660519</v>
      </c>
      <c r="O136" s="7"/>
      <c r="P136" s="7"/>
      <c r="Q136" s="23"/>
      <c r="R136" s="23"/>
      <c r="S136" s="35">
        <f t="shared" si="38"/>
        <v>1</v>
      </c>
      <c r="T136" s="50" t="str">
        <f t="shared" si="39"/>
        <v>NorthBound</v>
      </c>
      <c r="U136" s="171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https://search-rtdc-monitor-bjffxe2xuh6vdkpspy63sjmuny.us-east-1.es.amazonaws.com/_plugin/kibana/#/discover/Steve-Slow-Train-Analysis-(2080s-and-2083s)?_g=(refreshInterval:(display:Off,section:0,value:0),time:(from:'2016-11-25 18:24:48-700',mode:absolute,to:'2016-11-25 21:06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36" s="52" t="str">
        <f t="shared" si="41"/>
        <v>N</v>
      </c>
      <c r="X136" s="177">
        <f t="shared" si="42"/>
        <v>1</v>
      </c>
      <c r="Y136" s="67">
        <f t="shared" si="43"/>
        <v>4.7300000000000002E-2</v>
      </c>
      <c r="Z136" s="67">
        <f t="shared" si="44"/>
        <v>23.3291</v>
      </c>
      <c r="AA136" s="67">
        <f t="shared" si="45"/>
        <v>23.2818</v>
      </c>
      <c r="AB136" s="64" t="e">
        <f>VLOOKUP(A136,Enforcements!$C$7:$K$20,8,0)</f>
        <v>#N/A</v>
      </c>
      <c r="AC136" s="60" t="e">
        <f>VLOOKUP(A136,Enforcements!$C$7:$E$20,3,0)</f>
        <v>#N/A</v>
      </c>
      <c r="AD136" s="61" t="str">
        <f t="shared" si="46"/>
        <v>0223-25</v>
      </c>
      <c r="AE136" s="91" t="str">
        <f t="shared" si="47"/>
        <v>aws s3 cp s3://rtdc.mdm.uploadarchive.raw/RTDC4046/ "%USERPROFILE%\AppData\Local\Temp\OnboardLogs"\RTDC4046\2016-11-25 --exclude "*" --recursive --include "*20161125*" &amp; "%USERPROFILE%\Documents\GitHub\mrs-test-scripts\Headless Mode &amp; Sideloading\WalkAndUnGZ.bat" "%USERPROFILE%\AppData\Local\Temp\OnboardLogs"\RTDC4046\2016-11-25 &amp; aws s3 cp s3://rtdc.mdm.uploadarchive.raw/RTDC4046/ "%USERPROFILE%\AppData\Local\Temp\OnboardLogs"\RTDC4046\2016-11-26 --exclude "*" --recursive --include "*20161126*" &amp; "%USERPROFILE%\Documents\GitHub\mrs-test-scripts\Headless Mode &amp; Sideloading\WalkAndUnGZ.bat" "%USERPROFILE%\AppData\Local\Temp\OnboardLogs"\RTDC4046\2016-11-26</v>
      </c>
      <c r="AF136" s="88" t="str">
        <f t="shared" si="48"/>
        <v>"C:\Program Files (x86)\AstroGrep\AstroGrep.exe" /spath="%USERPROFILE%\AppData\Local\Temp\OnboardLogs" /stypes="app*4046*20161126*" /stext=" 03:.+((SYSTEM_STATE.+slice.+state.+changed )|(ment ac)|(system.+state.+changed )|(\[timeout)|(PRM\|1\|D)|(kpr)|(kdp)|(\|lc)|(penalty))" /e /r /s</v>
      </c>
      <c r="AG136" s="1" t="str">
        <f t="shared" si="49"/>
        <v>EC</v>
      </c>
      <c r="AH136" s="92" t="str">
        <f t="shared" si="50"/>
        <v>"%USERPROFILE%\Documents\GitHub\eaglep3\Utilities\RefineRTDCRunTimes.py" --tripid 223-25 --locoid 4046 --swversion DE.1.0.8.0 --startMP 204:473 --initTime 2016-11-25T19:24:48 --startdatetime 2016-11-25T19:30:23 --delay 1 --endMP 204:233291 --enddatetime 2016-11-25T20:06:03 --enforcementcount 0 &gt;&gt;C:\Users\stu\Documents\GitHub\eaglep3-reporting\EC\2016-11-25-refined-times.txt</v>
      </c>
      <c r="AI136" s="119" t="str">
        <f t="shared" si="51"/>
        <v>echo {"issue":{"subject":"","project_id":79,"tracker_id":40,"status_id":1,"priority_id":2,"assigned_to_id":23,"start_date":"2016-11-25","description":"","custom_fields":[{"id":1,"name":"Subdivision","value":"EC"},{"id":4,"name":"Milepost","value":"23.3291"},{"id":17,"name":"Train ID","value":"223-25"},{"id":16,"name":"Locomotive ID","value":"4046"},{"id":130,"name":"Impact","value":""},{"id":150,"name":"Time of Event (Mountain Time)","value":"20:06:03"},{"id":151,"name":"Denver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3"/>
      <c r="AK136" s="53"/>
      <c r="AL136" s="53"/>
    </row>
    <row r="137" spans="1:91" x14ac:dyDescent="0.25">
      <c r="A137" s="37" t="s">
        <v>605</v>
      </c>
      <c r="B137" s="7">
        <v>4045</v>
      </c>
      <c r="C137" s="22" t="s">
        <v>217</v>
      </c>
      <c r="D137" s="22" t="s">
        <v>272</v>
      </c>
      <c r="E137" s="13">
        <v>42699.839143518519</v>
      </c>
      <c r="F137" s="13">
        <v>42699.851805555554</v>
      </c>
      <c r="G137" s="7">
        <v>1</v>
      </c>
      <c r="H137" s="22" t="s">
        <v>275</v>
      </c>
      <c r="I137" s="13">
        <v>42699.881469907406</v>
      </c>
      <c r="J137" s="7">
        <v>0</v>
      </c>
      <c r="K137" s="109" t="str">
        <f t="shared" si="35"/>
        <v>4045/4046</v>
      </c>
      <c r="L137" s="22" t="str">
        <f>VLOOKUP(A137,'Trips&amp;Operators'!$C$1:$E$10000,3,FALSE)</f>
        <v>SAFIEF</v>
      </c>
      <c r="M137" s="6">
        <f t="shared" si="36"/>
        <v>2.9664351852261461E-2</v>
      </c>
      <c r="N137" s="7">
        <f t="shared" si="37"/>
        <v>42.716666667256504</v>
      </c>
      <c r="O137" s="7"/>
      <c r="P137" s="7"/>
      <c r="Q137" s="23"/>
      <c r="R137" s="23"/>
      <c r="S137" s="35">
        <f t="shared" si="38"/>
        <v>1</v>
      </c>
      <c r="T137" s="50" t="str">
        <f t="shared" si="39"/>
        <v>Southbound</v>
      </c>
      <c r="U137" s="171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https://search-rtdc-monitor-bjffxe2xuh6vdkpspy63sjmuny.us-east-1.es.amazonaws.com/_plugin/kibana/#/discover/Steve-Slow-Train-Analysis-(2080s-and-2083s)?_g=(refreshInterval:(display:Off,section:0,value:0),time:(from:'2016-11-25 19:08:22-700',mode:absolute,to:'2016-11-25 22:09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37" s="52" t="str">
        <f t="shared" si="41"/>
        <v>N</v>
      </c>
      <c r="X137" s="177">
        <f t="shared" si="42"/>
        <v>1</v>
      </c>
      <c r="Y137" s="67">
        <f t="shared" si="43"/>
        <v>23.2973</v>
      </c>
      <c r="Z137" s="67">
        <f t="shared" si="44"/>
        <v>1.3899999999999999E-2</v>
      </c>
      <c r="AA137" s="67">
        <f t="shared" si="45"/>
        <v>23.2834</v>
      </c>
      <c r="AB137" s="64" t="e">
        <f>VLOOKUP(A137,Enforcements!$C$7:$K$20,8,0)</f>
        <v>#N/A</v>
      </c>
      <c r="AC137" s="60" t="e">
        <f>VLOOKUP(A137,Enforcements!$C$7:$E$20,3,0)</f>
        <v>#N/A</v>
      </c>
      <c r="AD137" s="61" t="str">
        <f t="shared" si="46"/>
        <v>0224-25</v>
      </c>
      <c r="AE137" s="91" t="str">
        <f t="shared" si="47"/>
        <v>aws s3 cp s3://rtdc.mdm.uploadarchive.raw/RTDC4045/ "%USERPROFILE%\AppData\Local\Temp\OnboardLogs"\RTDC4045\2016-11-25 --exclude "*" --recursive --include "*20161125*" &amp; "%USERPROFILE%\Documents\GitHub\mrs-test-scripts\Headless Mode &amp; Sideloading\WalkAndUnGZ.bat" "%USERPROFILE%\AppData\Local\Temp\OnboardLogs"\RTDC4045\2016-11-25 &amp; aws s3 cp s3://rtdc.mdm.uploadarchive.raw/RTDC4045/ "%USERPROFILE%\AppData\Local\Temp\OnboardLogs"\RTDC4045\2016-11-26 --exclude "*" --recursive --include "*20161126*" &amp; "%USERPROFILE%\Documents\GitHub\mrs-test-scripts\Headless Mode &amp; Sideloading\WalkAndUnGZ.bat" "%USERPROFILE%\AppData\Local\Temp\OnboardLogs"\RTDC4045\2016-11-26</v>
      </c>
      <c r="AF137" s="88" t="str">
        <f t="shared" si="48"/>
        <v>"C:\Program Files (x86)\AstroGrep\AstroGrep.exe" /spath="%USERPROFILE%\AppData\Local\Temp\OnboardLogs" /stypes="app*4045*20161126*" /stext=" 04:.+((SYSTEM_STATE.+slice.+state.+changed )|(ment ac)|(system.+state.+changed )|(\[timeout)|(PRM\|1\|D)|(kpr)|(kdp)|(\|lc)|(penalty))" /e /r /s</v>
      </c>
      <c r="AG137" s="1" t="str">
        <f t="shared" si="49"/>
        <v>EC</v>
      </c>
      <c r="AH137" s="92" t="str">
        <f t="shared" si="50"/>
        <v>"%USERPROFILE%\Documents\GitHub\eaglep3\Utilities\RefineRTDCRunTimes.py" --tripid 224-25 --locoid 4045 --swversion DE.1.0.8.0 --startMP 204:232973 --initTime 2016-11-25T20:08:22 --startdatetime 2016-11-25T20:26:36 --delay 1 --endMP 204:139 --enddatetime 2016-11-25T21:09:19 --enforcementcount 0 &gt;&gt;C:\Users\stu\Documents\GitHub\eaglep3-reporting\EC\2016-11-25-refined-times.txt</v>
      </c>
      <c r="AI137" s="119" t="str">
        <f t="shared" si="51"/>
        <v>echo {"issue":{"subject":"","project_id":79,"tracker_id":40,"status_id":1,"priority_id":2,"assigned_to_id":23,"start_date":"2016-11-25","description":"","custom_fields":[{"id":1,"name":"Subdivision","value":"EC"},{"id":4,"name":"Milepost","value":"0.0139"},{"id":17,"name":"Train ID","value":"224-25"},{"id":16,"name":"Locomotive ID","value":"4045"},{"id":130,"name":"Impact","value":""},{"id":150,"name":"Time of Event (Mountain Time)","value":"21:09:19"},{"id":151,"name":"Denver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3"/>
      <c r="AK137" s="53"/>
      <c r="AL137" s="53"/>
    </row>
    <row r="138" spans="1:91" s="21" customFormat="1" x14ac:dyDescent="0.25">
      <c r="A138" s="37" t="s">
        <v>604</v>
      </c>
      <c r="B138" s="7">
        <v>4014</v>
      </c>
      <c r="C138" s="22" t="s">
        <v>217</v>
      </c>
      <c r="D138" s="22" t="s">
        <v>328</v>
      </c>
      <c r="E138" s="13">
        <v>42699.832592592589</v>
      </c>
      <c r="F138" s="13">
        <v>42699.833831018521</v>
      </c>
      <c r="G138" s="7">
        <v>1</v>
      </c>
      <c r="H138" s="22" t="s">
        <v>640</v>
      </c>
      <c r="I138" s="13">
        <v>42699.859733796293</v>
      </c>
      <c r="J138" s="7">
        <v>0</v>
      </c>
      <c r="K138" s="109" t="str">
        <f t="shared" si="35"/>
        <v>4013/4014</v>
      </c>
      <c r="L138" s="22" t="str">
        <f>VLOOKUP(A138,'Trips&amp;Operators'!$C$1:$E$10000,3,FALSE)</f>
        <v>CHANDLER</v>
      </c>
      <c r="M138" s="6">
        <f t="shared" si="36"/>
        <v>2.5902777771989349E-2</v>
      </c>
      <c r="N138" s="7">
        <f t="shared" si="37"/>
        <v>37.299999991664663</v>
      </c>
      <c r="O138" s="7"/>
      <c r="P138" s="7"/>
      <c r="Q138" s="23"/>
      <c r="R138" s="23"/>
      <c r="S138" s="35">
        <f t="shared" si="38"/>
        <v>1</v>
      </c>
      <c r="T138" s="50" t="str">
        <f t="shared" si="39"/>
        <v>NorthBound</v>
      </c>
      <c r="U138" s="171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https://search-rtdc-monitor-bjffxe2xuh6vdkpspy63sjmuny.us-east-1.es.amazonaws.com/_plugin/kibana/#/discover/Steve-Slow-Train-Analysis-(2080s-and-2083s)?_g=(refreshInterval:(display:Off,section:0,value:0),time:(from:'2016-11-25 18:58:56-700',mode:absolute,to:'2016-11-25 21:38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38" s="52" t="str">
        <f t="shared" si="41"/>
        <v>N</v>
      </c>
      <c r="X138" s="177">
        <f t="shared" si="42"/>
        <v>1</v>
      </c>
      <c r="Y138" s="67">
        <f t="shared" si="43"/>
        <v>4.8399999999999999E-2</v>
      </c>
      <c r="Z138" s="67">
        <f t="shared" si="44"/>
        <v>23.3291</v>
      </c>
      <c r="AA138" s="67">
        <f t="shared" si="45"/>
        <v>23.2807</v>
      </c>
      <c r="AB138" s="64" t="e">
        <f>VLOOKUP(A138,Enforcements!$C$7:$K$20,8,0)</f>
        <v>#N/A</v>
      </c>
      <c r="AC138" s="60" t="e">
        <f>VLOOKUP(A138,Enforcements!$C$7:$E$20,3,0)</f>
        <v>#N/A</v>
      </c>
      <c r="AD138" s="61" t="str">
        <f t="shared" si="46"/>
        <v>0225-25</v>
      </c>
      <c r="AE138" s="91" t="str">
        <f t="shared" si="47"/>
        <v>aws s3 cp s3://rtdc.mdm.uploadarchive.raw/RTDC4014/ "%USERPROFILE%\AppData\Local\Temp\OnboardLogs"\RTDC4014\2016-11-25 --exclude "*" --recursive --include "*20161125*" &amp; "%USERPROFILE%\Documents\GitHub\mrs-test-scripts\Headless Mode &amp; Sideloading\WalkAndUnGZ.bat" "%USERPROFILE%\AppData\Local\Temp\OnboardLogs"\RTDC4014\2016-11-25 &amp; aws s3 cp s3://rtdc.mdm.uploadarchive.raw/RTDC4014/ "%USERPROFILE%\AppData\Local\Temp\OnboardLogs"\RTDC4014\2016-11-26 --exclude "*" --recursive --include "*20161126*" &amp; "%USERPROFILE%\Documents\GitHub\mrs-test-scripts\Headless Mode &amp; Sideloading\WalkAndUnGZ.bat" "%USERPROFILE%\AppData\Local\Temp\OnboardLogs"\RTDC4014\2016-11-26</v>
      </c>
      <c r="AF138" s="88" t="str">
        <f t="shared" si="48"/>
        <v>"C:\Program Files (x86)\AstroGrep\AstroGrep.exe" /spath="%USERPROFILE%\AppData\Local\Temp\OnboardLogs" /stypes="app*4014*20161126*" /stext=" 03:.+((SYSTEM_STATE.+slice.+state.+changed )|(ment ac)|(system.+state.+changed )|(\[timeout)|(PRM\|1\|D)|(kpr)|(kdp)|(\|lc)|(penalty))" /e /r /s</v>
      </c>
      <c r="AG138" s="1" t="str">
        <f t="shared" si="49"/>
        <v>EC</v>
      </c>
      <c r="AH138" s="92" t="str">
        <f t="shared" si="50"/>
        <v>"%USERPROFILE%\Documents\GitHub\eaglep3\Utilities\RefineRTDCRunTimes.py" --tripid 225-25 --locoid 4014 --swversion DE.1.0.8.0 --startMP 204:484 --initTime 2016-11-25T19:58:56 --startdatetime 2016-11-25T20:00:43 --delay 1 --endMP 204:233291 --enddatetime 2016-11-25T20:38:01 --enforcementcount 0 &gt;&gt;C:\Users\stu\Documents\GitHub\eaglep3-reporting\EC\2016-11-25-refined-times.txt</v>
      </c>
      <c r="AI138" s="119" t="str">
        <f t="shared" si="51"/>
        <v>echo {"issue":{"subject":"","project_id":79,"tracker_id":40,"status_id":1,"priority_id":2,"assigned_to_id":23,"start_date":"2016-11-25","description":"","custom_fields":[{"id":1,"name":"Subdivision","value":"EC"},{"id":4,"name":"Milepost","value":"23.3291"},{"id":17,"name":"Train ID","value":"225-25"},{"id":16,"name":"Locomotive ID","value":"4014"},{"id":130,"name":"Impact","value":""},{"id":150,"name":"Time of Event (Mountain Time)","value":"20:38:01"},{"id":151,"name":"Denver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3"/>
      <c r="AK138" s="53"/>
      <c r="AL138" s="53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1" customFormat="1" x14ac:dyDescent="0.25">
      <c r="A139" s="37" t="s">
        <v>609</v>
      </c>
      <c r="B139" s="7">
        <v>4013</v>
      </c>
      <c r="C139" s="22" t="s">
        <v>217</v>
      </c>
      <c r="D139" s="22" t="s">
        <v>670</v>
      </c>
      <c r="E139" s="13">
        <v>42699.867569444446</v>
      </c>
      <c r="F139" s="13">
        <v>42699.872731481482</v>
      </c>
      <c r="G139" s="7">
        <v>1</v>
      </c>
      <c r="H139" s="22" t="s">
        <v>326</v>
      </c>
      <c r="I139" s="13">
        <v>42699.904351851852</v>
      </c>
      <c r="J139" s="7">
        <v>0</v>
      </c>
      <c r="K139" s="109" t="str">
        <f t="shared" si="35"/>
        <v>4013/4014</v>
      </c>
      <c r="L139" s="22" t="str">
        <f>VLOOKUP(A139,'Trips&amp;Operators'!$C$1:$E$10000,3,FALSE)</f>
        <v>CHANDLER</v>
      </c>
      <c r="M139" s="6">
        <f t="shared" si="36"/>
        <v>3.1620370369637385E-2</v>
      </c>
      <c r="N139" s="7">
        <f t="shared" si="37"/>
        <v>45.533333332277834</v>
      </c>
      <c r="O139" s="7"/>
      <c r="P139" s="7"/>
      <c r="Q139" s="23"/>
      <c r="R139" s="23"/>
      <c r="S139" s="35">
        <f t="shared" si="38"/>
        <v>1</v>
      </c>
      <c r="T139" s="50" t="str">
        <f t="shared" si="39"/>
        <v>Southbound</v>
      </c>
      <c r="U139" s="171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https://search-rtdc-monitor-bjffxe2xuh6vdkpspy63sjmuny.us-east-1.es.amazonaws.com/_plugin/kibana/#/discover/Steve-Slow-Train-Analysis-(2080s-and-2083s)?_g=(refreshInterval:(display:Off,section:0,value:0),time:(from:'2016-11-25 19:49:18-700',mode:absolute,to:'2016-11-25 22:42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39" s="52" t="str">
        <f t="shared" si="41"/>
        <v>N</v>
      </c>
      <c r="X139" s="177">
        <f t="shared" si="42"/>
        <v>1</v>
      </c>
      <c r="Y139" s="67">
        <f t="shared" si="43"/>
        <v>23.296500000000002</v>
      </c>
      <c r="Z139" s="67">
        <f t="shared" si="44"/>
        <v>1.72E-2</v>
      </c>
      <c r="AA139" s="67">
        <f t="shared" si="45"/>
        <v>23.279300000000003</v>
      </c>
      <c r="AB139" s="64" t="e">
        <f>VLOOKUP(A139,Enforcements!$C$7:$K$20,8,0)</f>
        <v>#N/A</v>
      </c>
      <c r="AC139" s="60" t="e">
        <f>VLOOKUP(A139,Enforcements!$C$7:$E$20,3,0)</f>
        <v>#N/A</v>
      </c>
      <c r="AD139" s="61" t="str">
        <f t="shared" si="46"/>
        <v>0226-25</v>
      </c>
      <c r="AE139" s="91" t="str">
        <f t="shared" si="47"/>
        <v>aws s3 cp s3://rtdc.mdm.uploadarchive.raw/RTDC4013/ "%USERPROFILE%\AppData\Local\Temp\OnboardLogs"\RTDC4013\2016-11-25 --exclude "*" --recursive --include "*20161125*" &amp; "%USERPROFILE%\Documents\GitHub\mrs-test-scripts\Headless Mode &amp; Sideloading\WalkAndUnGZ.bat" "%USERPROFILE%\AppData\Local\Temp\OnboardLogs"\RTDC4013\2016-11-25 &amp; aws s3 cp s3://rtdc.mdm.uploadarchive.raw/RTDC4013/ "%USERPROFILE%\AppData\Local\Temp\OnboardLogs"\RTDC4013\2016-11-26 --exclude "*" --recursive --include "*20161126*" &amp; "%USERPROFILE%\Documents\GitHub\mrs-test-scripts\Headless Mode &amp; Sideloading\WalkAndUnGZ.bat" "%USERPROFILE%\AppData\Local\Temp\OnboardLogs"\RTDC4013\2016-11-26</v>
      </c>
      <c r="AF139" s="88" t="str">
        <f t="shared" si="48"/>
        <v>"C:\Program Files (x86)\AstroGrep\AstroGrep.exe" /spath="%USERPROFILE%\AppData\Local\Temp\OnboardLogs" /stypes="app*4013*20161126*" /stext=" 04:.+((SYSTEM_STATE.+slice.+state.+changed )|(ment ac)|(system.+state.+changed )|(\[timeout)|(PRM\|1\|D)|(kpr)|(kdp)|(\|lc)|(penalty))" /e /r /s</v>
      </c>
      <c r="AG139" s="1" t="str">
        <f t="shared" si="49"/>
        <v>EC</v>
      </c>
      <c r="AH139" s="92" t="str">
        <f t="shared" si="50"/>
        <v>"%USERPROFILE%\Documents\GitHub\eaglep3\Utilities\RefineRTDCRunTimes.py" --tripid 226-25 --locoid 4013 --swversion DE.1.0.8.0 --startMP 204:232965 --initTime 2016-11-25T20:49:18 --startdatetime 2016-11-25T20:56:44 --delay 1 --endMP 204:172 --enddatetime 2016-11-25T21:42:16 --enforcementcount 0 &gt;&gt;C:\Users\stu\Documents\GitHub\eaglep3-reporting\EC\2016-11-25-refined-times.txt</v>
      </c>
      <c r="AI139" s="119" t="str">
        <f t="shared" si="51"/>
        <v>echo {"issue":{"subject":"","project_id":79,"tracker_id":40,"status_id":1,"priority_id":2,"assigned_to_id":23,"start_date":"2016-11-25","description":"","custom_fields":[{"id":1,"name":"Subdivision","value":"EC"},{"id":4,"name":"Milepost","value":"0.0172"},{"id":17,"name":"Train ID","value":"226-25"},{"id":16,"name":"Locomotive ID","value":"4013"},{"id":130,"name":"Impact","value":""},{"id":150,"name":"Time of Event (Mountain Time)","value":"21:42:16"},{"id":151,"name":"Denver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3"/>
      <c r="AK139" s="53"/>
      <c r="AL139" s="53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1" customFormat="1" x14ac:dyDescent="0.25">
      <c r="A140" s="37" t="s">
        <v>606</v>
      </c>
      <c r="B140" s="7">
        <v>4042</v>
      </c>
      <c r="C140" s="22" t="s">
        <v>217</v>
      </c>
      <c r="D140" s="22" t="s">
        <v>276</v>
      </c>
      <c r="E140" s="13">
        <v>42699.839525462965</v>
      </c>
      <c r="F140" s="13">
        <v>42699.854710648149</v>
      </c>
      <c r="G140" s="7">
        <v>1</v>
      </c>
      <c r="H140" s="22" t="s">
        <v>280</v>
      </c>
      <c r="I140" s="13">
        <v>42699.879074074073</v>
      </c>
      <c r="J140" s="7">
        <v>0</v>
      </c>
      <c r="K140" s="109" t="str">
        <f t="shared" si="35"/>
        <v>4041/4042</v>
      </c>
      <c r="L140" s="22" t="str">
        <f>VLOOKUP(A140,'Trips&amp;Operators'!$C$1:$E$10000,3,FALSE)</f>
        <v>STAMBAUGH</v>
      </c>
      <c r="M140" s="6">
        <f t="shared" si="36"/>
        <v>2.4363425924093463E-2</v>
      </c>
      <c r="N140" s="7">
        <f t="shared" si="37"/>
        <v>35.083333330694586</v>
      </c>
      <c r="O140" s="7"/>
      <c r="P140" s="7"/>
      <c r="Q140" s="23"/>
      <c r="R140" s="23"/>
      <c r="S140" s="35">
        <f t="shared" si="38"/>
        <v>1</v>
      </c>
      <c r="T140" s="50" t="str">
        <f t="shared" si="39"/>
        <v>NorthBound</v>
      </c>
      <c r="U140" s="171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https://search-rtdc-monitor-bjffxe2xuh6vdkpspy63sjmuny.us-east-1.es.amazonaws.com/_plugin/kibana/#/discover/Steve-Slow-Train-Analysis-(2080s-and-2083s)?_g=(refreshInterval:(display:Off,section:0,value:0),time:(from:'2016-11-25 19:08:55-700',mode:absolute,to:'2016-11-25 22:05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40" s="52" t="str">
        <f t="shared" si="41"/>
        <v>N</v>
      </c>
      <c r="X140" s="177">
        <f t="shared" si="42"/>
        <v>1</v>
      </c>
      <c r="Y140" s="67">
        <f t="shared" si="43"/>
        <v>4.5699999999999998E-2</v>
      </c>
      <c r="Z140" s="67">
        <f t="shared" si="44"/>
        <v>23.3293</v>
      </c>
      <c r="AA140" s="67">
        <f t="shared" si="45"/>
        <v>23.2836</v>
      </c>
      <c r="AB140" s="64" t="e">
        <f>VLOOKUP(A140,Enforcements!$C$7:$K$20,8,0)</f>
        <v>#N/A</v>
      </c>
      <c r="AC140" s="60" t="e">
        <f>VLOOKUP(A140,Enforcements!$C$7:$E$20,3,0)</f>
        <v>#N/A</v>
      </c>
      <c r="AD140" s="61" t="str">
        <f t="shared" si="46"/>
        <v>0227-25</v>
      </c>
      <c r="AE140" s="91" t="str">
        <f t="shared" si="47"/>
        <v>aws s3 cp s3://rtdc.mdm.uploadarchive.raw/RTDC4042/ "%USERPROFILE%\AppData\Local\Temp\OnboardLogs"\RTDC4042\2016-11-25 --exclude "*" --recursive --include "*20161125*" &amp; "%USERPROFILE%\Documents\GitHub\mrs-test-scripts\Headless Mode &amp; Sideloading\WalkAndUnGZ.bat" "%USERPROFILE%\AppData\Local\Temp\OnboardLogs"\RTDC4042\2016-11-25 &amp; aws s3 cp s3://rtdc.mdm.uploadarchive.raw/RTDC4042/ "%USERPROFILE%\AppData\Local\Temp\OnboardLogs"\RTDC4042\2016-11-26 --exclude "*" --recursive --include "*20161126*" &amp; "%USERPROFILE%\Documents\GitHub\mrs-test-scripts\Headless Mode &amp; Sideloading\WalkAndUnGZ.bat" "%USERPROFILE%\AppData\Local\Temp\OnboardLogs"\RTDC4042\2016-11-26</v>
      </c>
      <c r="AF140" s="88" t="str">
        <f t="shared" si="48"/>
        <v>"C:\Program Files (x86)\AstroGrep\AstroGrep.exe" /spath="%USERPROFILE%\AppData\Local\Temp\OnboardLogs" /stypes="app*4042*20161126*" /stext=" 04:.+((SYSTEM_STATE.+slice.+state.+changed )|(ment ac)|(system.+state.+changed )|(\[timeout)|(PRM\|1\|D)|(kpr)|(kdp)|(\|lc)|(penalty))" /e /r /s</v>
      </c>
      <c r="AG140" s="1" t="str">
        <f t="shared" si="49"/>
        <v>EC</v>
      </c>
      <c r="AH140" s="92" t="str">
        <f t="shared" si="50"/>
        <v>"%USERPROFILE%\Documents\GitHub\eaglep3\Utilities\RefineRTDCRunTimes.py" --tripid 227-25 --locoid 4042 --swversion DE.1.0.8.0 --startMP 204:457 --initTime 2016-11-25T20:08:55 --startdatetime 2016-11-25T20:30:47 --delay 1 --endMP 204:233293 --enddatetime 2016-11-25T21:05:52 --enforcementcount 0 &gt;&gt;C:\Users\stu\Documents\GitHub\eaglep3-reporting\EC\2016-11-25-refined-times.txt</v>
      </c>
      <c r="AI140" s="119" t="str">
        <f t="shared" si="51"/>
        <v>echo {"issue":{"subject":"","project_id":79,"tracker_id":40,"status_id":1,"priority_id":2,"assigned_to_id":23,"start_date":"2016-11-25","description":"","custom_fields":[{"id":1,"name":"Subdivision","value":"EC"},{"id":4,"name":"Milepost","value":"23.3293"},{"id":17,"name":"Train ID","value":"227-25"},{"id":16,"name":"Locomotive ID","value":"4042"},{"id":130,"name":"Impact","value":""},{"id":150,"name":"Time of Event (Mountain Time)","value":"21:05:52"},{"id":151,"name":"Denver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3"/>
      <c r="AK140" s="53"/>
      <c r="AL140" s="53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1" customFormat="1" x14ac:dyDescent="0.25">
      <c r="A141" s="37" t="s">
        <v>462</v>
      </c>
      <c r="B141" s="7">
        <v>4041</v>
      </c>
      <c r="C141" s="22" t="s">
        <v>217</v>
      </c>
      <c r="D141" s="22" t="s">
        <v>322</v>
      </c>
      <c r="E141" s="13">
        <v>42699.88890046296</v>
      </c>
      <c r="F141" s="13">
        <v>42699.893703703703</v>
      </c>
      <c r="G141" s="7">
        <v>1</v>
      </c>
      <c r="H141" s="22" t="s">
        <v>241</v>
      </c>
      <c r="I141" s="13">
        <v>42699.923356481479</v>
      </c>
      <c r="J141" s="7">
        <v>1</v>
      </c>
      <c r="K141" s="109" t="str">
        <f t="shared" ref="K141:K204" si="52">IF(ISEVEN(B141),(B141-1)&amp;"/"&amp;B141,B141&amp;"/"&amp;(B141+1))</f>
        <v>4041/4042</v>
      </c>
      <c r="L141" s="22" t="str">
        <f>VLOOKUP(A141,'Trips&amp;Operators'!$C$1:$E$10000,3,FALSE)</f>
        <v>STAMBAUGH</v>
      </c>
      <c r="M141" s="6">
        <f t="shared" ref="M141:M204" si="53">I141-F141</f>
        <v>2.9652777775481809E-2</v>
      </c>
      <c r="N141" s="7">
        <f t="shared" ref="N141:N204" si="54">24*60*SUM($M141:$M141)</f>
        <v>42.699999996693805</v>
      </c>
      <c r="O141" s="7"/>
      <c r="P141" s="7"/>
      <c r="Q141" s="23"/>
      <c r="R141" s="23"/>
      <c r="S141" s="35">
        <f t="shared" ref="S141:S204" si="55">SUM(U141:U141)/IF(AG141="EC",12,1)</f>
        <v>1</v>
      </c>
      <c r="T141" s="50" t="str">
        <f t="shared" ref="T141:T204" si="56">IF(ISEVEN(LEFT(AD141,4)),"Southbound","NorthBound")</f>
        <v>Southbound</v>
      </c>
      <c r="U141" s="171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98" t="str">
        <f t="shared" ref="V141:V204" si="57">"https://search-rtdc-monitor-bjffxe2xuh6vdkpspy63sjmuny.us-east-1.es.amazonaws.com/_plugin/kibana/#/discover/Steve-Slow-Train-Analysis-(2080s-and-2083s)?_g=(refreshInterval:(display:Off,section:0,value:0),time:(from:'"&amp;TEXT(E141-1/24,"yyyy-MM-DD hh:mm:ss")&amp;utc_offset&amp;"00',mode:absolute,to:'"&amp;TEXT(I141+1/24,"yyyy-MM-DD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141&amp;"%22')),sort:!(Time,asc))"</f>
        <v>https://search-rtdc-monitor-bjffxe2xuh6vdkpspy63sjmuny.us-east-1.es.amazonaws.com/_plugin/kibana/#/discover/Steve-Slow-Train-Analysis-(2080s-and-2083s)?_g=(refreshInterval:(display:Off,section:0,value:0),time:(from:'2016-11-25 20:20:01-700',mode:absolute,to:'2016-11-25 23:09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41" s="52" t="str">
        <f t="shared" ref="W141:W204" si="58">IF(AA141&lt;IF(AG141="EC",23,5.65),"Y","N")</f>
        <v>N</v>
      </c>
      <c r="X141" s="177">
        <f t="shared" ref="X141:X204" si="59">VALUE(LEFT(AD141,4))-VALUE(LEFT(AD140,4))</f>
        <v>1</v>
      </c>
      <c r="Y141" s="67">
        <f t="shared" ref="Y141:Y204" si="60">RIGHT(D141,LEN(D141)-4)/10000</f>
        <v>23.2989</v>
      </c>
      <c r="Z141" s="67">
        <f t="shared" ref="Z141:Z204" si="61">RIGHT(H141,LEN(H141)-4)/10000</f>
        <v>1.54E-2</v>
      </c>
      <c r="AA141" s="67">
        <f t="shared" ref="AA141:AA204" si="62">ABS(Z141-Y141)</f>
        <v>23.2835</v>
      </c>
      <c r="AB141" s="64" t="str">
        <f>VLOOKUP(A141,Enforcements!$C$7:$K$20,8,0)</f>
        <v>Speed (6)</v>
      </c>
      <c r="AC141" s="60" t="str">
        <f>VLOOKUP(A141,Enforcements!$C$7:$E$20,3,0)</f>
        <v>PERMANENT SPEED RESTRICTION</v>
      </c>
      <c r="AD141" s="61" t="str">
        <f t="shared" ref="AD141:AD204" si="63">IF(LEN(A141)=6,"0"&amp;A141,A141)</f>
        <v>0228-25</v>
      </c>
      <c r="AE141" s="91" t="str">
        <f t="shared" ref="AE141:AE204" si="64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s3://rtdc.mdm.uploadarchive.raw/RTDC4041/ "%USERPROFILE%\AppData\Local\Temp\OnboardLogs"\RTDC4041\2016-11-25 --exclude "*" --recursive --include "*20161125*" &amp; "%USERPROFILE%\Documents\GitHub\mrs-test-scripts\Headless Mode &amp; Sideloading\WalkAndUnGZ.bat" "%USERPROFILE%\AppData\Local\Temp\OnboardLogs"\RTDC4041\2016-11-25 &amp; aws s3 cp s3://rtdc.mdm.uploadarchive.raw/RTDC4041/ "%USERPROFILE%\AppData\Local\Temp\OnboardLogs"\RTDC4041\2016-11-26 --exclude "*" --recursive --include "*20161126*" &amp; "%USERPROFILE%\Documents\GitHub\mrs-test-scripts\Headless Mode &amp; Sideloading\WalkAndUnGZ.bat" "%USERPROFILE%\AppData\Local\Temp\OnboardLogs"\RTDC4041\2016-11-26</v>
      </c>
      <c r="AF141" s="88" t="str">
        <f t="shared" ref="AF141:AF204" si="65"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/stypes="app*4041*20161126*" /stext=" 05:.+((SYSTEM_STATE.+slice.+state.+changed )|(ment ac)|(system.+state.+changed )|(\[timeout)|(PRM\|1\|D)|(kpr)|(kdp)|(\|lc)|(penalty))" /e /r /s</v>
      </c>
      <c r="AG141" s="1" t="str">
        <f t="shared" ref="AG141:AG204" si="66">IFERROR(IF(VALUE(LEFT(AD141,2))&lt;=2,"EC",IF(OR(VALUE(LEFT(AD141,2))=8,VALUE(LEFT(AD141,2))=18),"NW","Other")),"Other")</f>
        <v>EC</v>
      </c>
      <c r="AH141" s="92" t="str">
        <f t="shared" si="50"/>
        <v>"%USERPROFILE%\Documents\GitHub\eaglep3\Utilities\RefineRTDCRunTimes.py" --tripid 228-25 --locoid 4041 --swversion DE.1.0.8.0 --startMP 204:232989 --initTime 2016-11-25T21:20:01 --startdatetime 2016-11-25T21:26:56 --delay 1 --endMP 204:154 --enddatetime 2016-11-25T22:09:38 --enforcementcount 1 &gt;&gt;C:\Users\stu\Documents\GitHub\eaglep3-reporting\EC\2016-11-25-refined-times.txt</v>
      </c>
      <c r="AI141" s="119" t="str">
        <f t="shared" si="51"/>
        <v>echo {"issue":{"subject":"","project_id":79,"tracker_id":40,"status_id":1,"priority_id":2,"assigned_to_id":23,"start_date":"2016-11-25","description":"","custom_fields":[{"id":1,"name":"Subdivision","value":"EC"},{"id":4,"name":"Milepost","value":"0.0154"},{"id":17,"name":"Train ID","value":"228-25"},{"id":16,"name":"Locomotive ID","value":"4041"},{"id":130,"name":"Impact","value":""},{"id":150,"name":"Time of Event (Mountain Time)","value":"22:09:38"},{"id":151,"name":"Denver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3"/>
      <c r="AK141" s="53"/>
      <c r="AL141" s="53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1" customFormat="1" x14ac:dyDescent="0.25">
      <c r="A142" s="37" t="s">
        <v>460</v>
      </c>
      <c r="B142" s="7">
        <v>4040</v>
      </c>
      <c r="C142" s="22" t="s">
        <v>217</v>
      </c>
      <c r="D142" s="22" t="s">
        <v>324</v>
      </c>
      <c r="E142" s="13">
        <v>42699.86996527778</v>
      </c>
      <c r="F142" s="13">
        <v>42699.875254629631</v>
      </c>
      <c r="G142" s="7">
        <v>1</v>
      </c>
      <c r="H142" s="22" t="s">
        <v>304</v>
      </c>
      <c r="I142" s="13">
        <v>42699.90315972222</v>
      </c>
      <c r="J142" s="7">
        <v>1</v>
      </c>
      <c r="K142" s="109" t="str">
        <f t="shared" si="52"/>
        <v>4039/4040</v>
      </c>
      <c r="L142" s="22" t="str">
        <f>VLOOKUP(A142,'Trips&amp;Operators'!$C$1:$E$10000,3,FALSE)</f>
        <v>DAVIDSON</v>
      </c>
      <c r="M142" s="6">
        <f t="shared" si="53"/>
        <v>2.7905092589207925E-2</v>
      </c>
      <c r="N142" s="7">
        <f t="shared" si="54"/>
        <v>40.183333328459412</v>
      </c>
      <c r="O142" s="7"/>
      <c r="P142" s="7"/>
      <c r="Q142" s="23"/>
      <c r="R142" s="23"/>
      <c r="S142" s="35">
        <f t="shared" si="55"/>
        <v>1</v>
      </c>
      <c r="T142" s="50" t="str">
        <f t="shared" si="56"/>
        <v>NorthBound</v>
      </c>
      <c r="U142" s="171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https://search-rtdc-monitor-bjffxe2xuh6vdkpspy63sjmuny.us-east-1.es.amazonaws.com/_plugin/kibana/#/discover/Steve-Slow-Train-Analysis-(2080s-and-2083s)?_g=(refreshInterval:(display:Off,section:0,value:0),time:(from:'2016-11-25 19:52:45-700',mode:absolute,to:'2016-11-25 22:40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42" s="52" t="str">
        <f t="shared" si="58"/>
        <v>N</v>
      </c>
      <c r="X142" s="177">
        <f t="shared" si="59"/>
        <v>1</v>
      </c>
      <c r="Y142" s="67">
        <f t="shared" si="60"/>
        <v>4.3099999999999999E-2</v>
      </c>
      <c r="Z142" s="67">
        <f t="shared" si="61"/>
        <v>23.3307</v>
      </c>
      <c r="AA142" s="67">
        <f t="shared" si="62"/>
        <v>23.287600000000001</v>
      </c>
      <c r="AB142" s="64" t="str">
        <f>VLOOKUP(A142,Enforcements!$C$7:$K$20,8,0)</f>
        <v>Signal based authority (5)</v>
      </c>
      <c r="AC142" s="60" t="str">
        <f>VLOOKUP(A142,Enforcements!$C$7:$E$20,3,0)</f>
        <v>SIGNAL</v>
      </c>
      <c r="AD142" s="61" t="str">
        <f t="shared" si="63"/>
        <v>0229-25</v>
      </c>
      <c r="AE142" s="91" t="str">
        <f t="shared" si="64"/>
        <v>aws s3 cp s3://rtdc.mdm.uploadarchive.raw/RTDC4040/ "%USERPROFILE%\AppData\Local\Temp\OnboardLogs"\RTDC4040\2016-11-25 --exclude "*" --recursive --include "*20161125*" &amp; "%USERPROFILE%\Documents\GitHub\mrs-test-scripts\Headless Mode &amp; Sideloading\WalkAndUnGZ.bat" "%USERPROFILE%\AppData\Local\Temp\OnboardLogs"\RTDC4040\2016-11-25 &amp; aws s3 cp s3://rtdc.mdm.uploadarchive.raw/RTDC4040/ "%USERPROFILE%\AppData\Local\Temp\OnboardLogs"\RTDC4040\2016-11-26 --exclude "*" --recursive --include "*20161126*" &amp; "%USERPROFILE%\Documents\GitHub\mrs-test-scripts\Headless Mode &amp; Sideloading\WalkAndUnGZ.bat" "%USERPROFILE%\AppData\Local\Temp\OnboardLogs"\RTDC4040\2016-11-26</v>
      </c>
      <c r="AF142" s="88" t="str">
        <f t="shared" si="65"/>
        <v>"C:\Program Files (x86)\AstroGrep\AstroGrep.exe" /spath="%USERPROFILE%\AppData\Local\Temp\OnboardLogs" /stypes="app*4040*20161126*" /stext=" 04:.+((SYSTEM_STATE.+slice.+state.+changed )|(ment ac)|(system.+state.+changed )|(\[timeout)|(PRM\|1\|D)|(kpr)|(kdp)|(\|lc)|(penalty))" /e /r /s</v>
      </c>
      <c r="AG142" s="1" t="str">
        <f t="shared" si="66"/>
        <v>EC</v>
      </c>
      <c r="AH142" s="92" t="str">
        <f t="shared" ref="AH142:AH205" si="67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229-25 --locoid 4040 --swversion DE.1.0.8.0 --startMP 204:431 --initTime 2016-11-25T20:52:45 --startdatetime 2016-11-25T21:00:22 --delay 1 --endMP 204:233307 --enddatetime 2016-11-25T21:40:33 --enforcementcount 1 &gt;&gt;C:\Users\stu\Documents\GitHub\eaglep3-reporting\EC\2016-11-25-refined-times.txt</v>
      </c>
      <c r="AI142" s="119" t="str">
        <f t="shared" ref="AI142:AI205" si="68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{"issue":{"subject":"","project_id":79,"tracker_id":40,"status_id":1,"priority_id":2,"assigned_to_id":23,"start_date":"2016-11-25","description":"","custom_fields":[{"id":1,"name":"Subdivision","value":"EC"},{"id":4,"name":"Milepost","value":"23.3307"},{"id":17,"name":"Train ID","value":"229-25"},{"id":16,"name":"Locomotive ID","value":"4040"},{"id":130,"name":"Impact","value":""},{"id":150,"name":"Time of Event (Mountain Time)","value":"21:40:33"},{"id":151,"name":"Denver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3"/>
      <c r="AK142" s="53"/>
      <c r="AL142" s="53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1" customFormat="1" x14ac:dyDescent="0.25">
      <c r="A143" s="37" t="s">
        <v>613</v>
      </c>
      <c r="B143" s="7">
        <v>4039</v>
      </c>
      <c r="C143" s="22" t="s">
        <v>217</v>
      </c>
      <c r="D143" s="22" t="s">
        <v>254</v>
      </c>
      <c r="E143" s="13">
        <v>42699.909768518519</v>
      </c>
      <c r="F143" s="13">
        <v>42699.9141087963</v>
      </c>
      <c r="G143" s="7">
        <v>1</v>
      </c>
      <c r="H143" s="22" t="s">
        <v>361</v>
      </c>
      <c r="I143" s="13">
        <v>42699.942453703705</v>
      </c>
      <c r="J143" s="7">
        <v>0</v>
      </c>
      <c r="K143" s="109" t="str">
        <f t="shared" si="52"/>
        <v>4039/4040</v>
      </c>
      <c r="L143" s="22" t="str">
        <f>VLOOKUP(A143,'Trips&amp;Operators'!$C$1:$E$10000,3,FALSE)</f>
        <v>DAVIDSON</v>
      </c>
      <c r="M143" s="6">
        <f t="shared" si="53"/>
        <v>2.8344907404971309E-2</v>
      </c>
      <c r="N143" s="7">
        <f t="shared" si="54"/>
        <v>40.816666663158685</v>
      </c>
      <c r="O143" s="7"/>
      <c r="P143" s="7"/>
      <c r="Q143" s="23"/>
      <c r="R143" s="23"/>
      <c r="S143" s="35">
        <f t="shared" si="55"/>
        <v>1</v>
      </c>
      <c r="T143" s="50" t="str">
        <f t="shared" si="56"/>
        <v>Southbound</v>
      </c>
      <c r="U143" s="171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https://search-rtdc-monitor-bjffxe2xuh6vdkpspy63sjmuny.us-east-1.es.amazonaws.com/_plugin/kibana/#/discover/Steve-Slow-Train-Analysis-(2080s-and-2083s)?_g=(refreshInterval:(display:Off,section:0,value:0),time:(from:'2016-11-25 20:50:04-700',mode:absolute,to:'2016-11-25 23:37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43" s="52" t="str">
        <f t="shared" si="58"/>
        <v>N</v>
      </c>
      <c r="X143" s="177">
        <f t="shared" si="59"/>
        <v>1</v>
      </c>
      <c r="Y143" s="67">
        <f t="shared" si="60"/>
        <v>23.299800000000001</v>
      </c>
      <c r="Z143" s="67">
        <f t="shared" si="61"/>
        <v>1.3599999999999999E-2</v>
      </c>
      <c r="AA143" s="67">
        <f t="shared" si="62"/>
        <v>23.286200000000001</v>
      </c>
      <c r="AB143" s="64" t="e">
        <f>VLOOKUP(A143,Enforcements!$C$7:$K$20,8,0)</f>
        <v>#N/A</v>
      </c>
      <c r="AC143" s="60" t="e">
        <f>VLOOKUP(A143,Enforcements!$C$7:$E$20,3,0)</f>
        <v>#N/A</v>
      </c>
      <c r="AD143" s="61" t="str">
        <f t="shared" si="63"/>
        <v>0230-25</v>
      </c>
      <c r="AE143" s="91" t="str">
        <f t="shared" si="64"/>
        <v>aws s3 cp s3://rtdc.mdm.uploadarchive.raw/RTDC4039/ "%USERPROFILE%\AppData\Local\Temp\OnboardLogs"\RTDC4039\2016-11-25 --exclude "*" --recursive --include "*20161125*" &amp; "%USERPROFILE%\Documents\GitHub\mrs-test-scripts\Headless Mode &amp; Sideloading\WalkAndUnGZ.bat" "%USERPROFILE%\AppData\Local\Temp\OnboardLogs"\RTDC4039\2016-11-25 &amp; aws s3 cp s3://rtdc.mdm.uploadarchive.raw/RTDC4039/ "%USERPROFILE%\AppData\Local\Temp\OnboardLogs"\RTDC4039\2016-11-26 --exclude "*" --recursive --include "*20161126*" &amp; "%USERPROFILE%\Documents\GitHub\mrs-test-scripts\Headless Mode &amp; Sideloading\WalkAndUnGZ.bat" "%USERPROFILE%\AppData\Local\Temp\OnboardLogs"\RTDC4039\2016-11-26</v>
      </c>
      <c r="AF143" s="88" t="str">
        <f t="shared" si="65"/>
        <v>"C:\Program Files (x86)\AstroGrep\AstroGrep.exe" /spath="%USERPROFILE%\AppData\Local\Temp\OnboardLogs" /stypes="app*4039*20161126*" /stext=" 05:.+((SYSTEM_STATE.+slice.+state.+changed )|(ment ac)|(system.+state.+changed )|(\[timeout)|(PRM\|1\|D)|(kpr)|(kdp)|(\|lc)|(penalty))" /e /r /s</v>
      </c>
      <c r="AG143" s="1" t="str">
        <f t="shared" si="66"/>
        <v>EC</v>
      </c>
      <c r="AH143" s="92" t="str">
        <f t="shared" si="67"/>
        <v>"%USERPROFILE%\Documents\GitHub\eaglep3\Utilities\RefineRTDCRunTimes.py" --tripid 230-25 --locoid 4039 --swversion DE.1.0.8.0 --startMP 204:232998 --initTime 2016-11-25T21:50:04 --startdatetime 2016-11-25T21:56:19 --delay 1 --endMP 204:136 --enddatetime 2016-11-25T22:37:08 --enforcementcount 0 &gt;&gt;C:\Users\stu\Documents\GitHub\eaglep3-reporting\EC\2016-11-25-refined-times.txt</v>
      </c>
      <c r="AI143" s="119" t="str">
        <f t="shared" si="68"/>
        <v>echo {"issue":{"subject":"","project_id":79,"tracker_id":40,"status_id":1,"priority_id":2,"assigned_to_id":23,"start_date":"2016-11-25","description":"","custom_fields":[{"id":1,"name":"Subdivision","value":"EC"},{"id":4,"name":"Milepost","value":"0.0136"},{"id":17,"name":"Train ID","value":"230-25"},{"id":16,"name":"Locomotive ID","value":"4039"},{"id":130,"name":"Impact","value":""},{"id":150,"name":"Time of Event (Mountain Time)","value":"22:37:08"},{"id":151,"name":"Denver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3"/>
      <c r="AK143" s="53"/>
      <c r="AL143" s="5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1" customFormat="1" x14ac:dyDescent="0.25">
      <c r="A144" s="37" t="s">
        <v>612</v>
      </c>
      <c r="B144" s="7">
        <v>4046</v>
      </c>
      <c r="C144" s="22" t="s">
        <v>217</v>
      </c>
      <c r="D144" s="22" t="s">
        <v>271</v>
      </c>
      <c r="E144" s="13">
        <v>42699.88385416667</v>
      </c>
      <c r="F144" s="13">
        <v>42699.896018518521</v>
      </c>
      <c r="G144" s="7">
        <v>0</v>
      </c>
      <c r="H144" s="22" t="s">
        <v>664</v>
      </c>
      <c r="I144" s="13">
        <v>42699.920810185184</v>
      </c>
      <c r="J144" s="7">
        <v>0</v>
      </c>
      <c r="K144" s="109" t="str">
        <f t="shared" si="52"/>
        <v>4045/4046</v>
      </c>
      <c r="L144" s="22" t="str">
        <f>VLOOKUP(A144,'Trips&amp;Operators'!$C$1:$E$10000,3,FALSE)</f>
        <v>SAFIEF</v>
      </c>
      <c r="M144" s="6">
        <f t="shared" si="53"/>
        <v>2.4791666663077194E-2</v>
      </c>
      <c r="N144" s="7">
        <f t="shared" si="54"/>
        <v>35.69999999483116</v>
      </c>
      <c r="O144" s="7"/>
      <c r="P144" s="7"/>
      <c r="Q144" s="23"/>
      <c r="R144" s="23"/>
      <c r="S144" s="35">
        <f t="shared" si="55"/>
        <v>1</v>
      </c>
      <c r="T144" s="50" t="str">
        <f t="shared" si="56"/>
        <v>NorthBound</v>
      </c>
      <c r="U144" s="171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https://search-rtdc-monitor-bjffxe2xuh6vdkpspy63sjmuny.us-east-1.es.amazonaws.com/_plugin/kibana/#/discover/Steve-Slow-Train-Analysis-(2080s-and-2083s)?_g=(refreshInterval:(display:Off,section:0,value:0),time:(from:'2016-11-25 20:12:45-700',mode:absolute,to:'2016-11-25 23:05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44" s="52" t="str">
        <f t="shared" si="58"/>
        <v>N</v>
      </c>
      <c r="X144" s="177">
        <f t="shared" si="59"/>
        <v>1</v>
      </c>
      <c r="Y144" s="67">
        <f t="shared" si="60"/>
        <v>4.5999999999999999E-2</v>
      </c>
      <c r="Z144" s="67">
        <f t="shared" si="61"/>
        <v>23.3323</v>
      </c>
      <c r="AA144" s="67">
        <f t="shared" si="62"/>
        <v>23.286300000000001</v>
      </c>
      <c r="AB144" s="64" t="e">
        <f>VLOOKUP(A144,Enforcements!$C$7:$K$20,8,0)</f>
        <v>#N/A</v>
      </c>
      <c r="AC144" s="60" t="e">
        <f>VLOOKUP(A144,Enforcements!$C$7:$E$20,3,0)</f>
        <v>#N/A</v>
      </c>
      <c r="AD144" s="61" t="str">
        <f t="shared" si="63"/>
        <v>0231-25</v>
      </c>
      <c r="AE144" s="91" t="str">
        <f t="shared" si="64"/>
        <v>aws s3 cp s3://rtdc.mdm.uploadarchive.raw/RTDC4046/ "%USERPROFILE%\AppData\Local\Temp\OnboardLogs"\RTDC4046\2016-11-25 --exclude "*" --recursive --include "*20161125*" &amp; "%USERPROFILE%\Documents\GitHub\mrs-test-scripts\Headless Mode &amp; Sideloading\WalkAndUnGZ.bat" "%USERPROFILE%\AppData\Local\Temp\OnboardLogs"\RTDC4046\2016-11-25 &amp; aws s3 cp s3://rtdc.mdm.uploadarchive.raw/RTDC4046/ "%USERPROFILE%\AppData\Local\Temp\OnboardLogs"\RTDC4046\2016-11-26 --exclude "*" --recursive --include "*20161126*" &amp; "%USERPROFILE%\Documents\GitHub\mrs-test-scripts\Headless Mode &amp; Sideloading\WalkAndUnGZ.bat" "%USERPROFILE%\AppData\Local\Temp\OnboardLogs"\RTDC4046\2016-11-26</v>
      </c>
      <c r="AF144" s="88" t="str">
        <f t="shared" si="65"/>
        <v>"C:\Program Files (x86)\AstroGrep\AstroGrep.exe" /spath="%USERPROFILE%\AppData\Local\Temp\OnboardLogs" /stypes="app*4046*20161126*" /stext=" 05:.+((SYSTEM_STATE.+slice.+state.+changed )|(ment ac)|(system.+state.+changed )|(\[timeout)|(PRM\|1\|D)|(kpr)|(kdp)|(\|lc)|(penalty))" /e /r /s</v>
      </c>
      <c r="AG144" s="1" t="str">
        <f t="shared" si="66"/>
        <v>EC</v>
      </c>
      <c r="AH144" s="92" t="str">
        <f t="shared" si="67"/>
        <v>"%USERPROFILE%\Documents\GitHub\eaglep3\Utilities\RefineRTDCRunTimes.py" --tripid 231-25 --locoid 4046 --swversion DE.1.0.8.0 --startMP 204:460 --initTime 2016-11-25T21:12:45 --startdatetime 2016-11-25T21:30:16 --delay 0 --endMP 204:233323 --enddatetime 2016-11-25T22:05:58 --enforcementcount 0 &gt;&gt;C:\Users\stu\Documents\GitHub\eaglep3-reporting\EC\2016-11-25-refined-times.txt</v>
      </c>
      <c r="AI144" s="119" t="str">
        <f t="shared" si="68"/>
        <v>echo {"issue":{"subject":"","project_id":79,"tracker_id":40,"status_id":1,"priority_id":2,"assigned_to_id":23,"start_date":"2016-11-25","description":"","custom_fields":[{"id":1,"name":"Subdivision","value":"EC"},{"id":4,"name":"Milepost","value":"23.3323"},{"id":17,"name":"Train ID","value":"231-25"},{"id":16,"name":"Locomotive ID","value":"4046"},{"id":130,"name":"Impact","value":""},{"id":150,"name":"Time of Event (Mountain Time)","value":"22:05:58"},{"id":151,"name":"Denver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3"/>
      <c r="AK144" s="53"/>
      <c r="AL144" s="53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1" customFormat="1" x14ac:dyDescent="0.25">
      <c r="A145" s="37" t="s">
        <v>616</v>
      </c>
      <c r="B145" s="7">
        <v>4045</v>
      </c>
      <c r="C145" s="22" t="s">
        <v>217</v>
      </c>
      <c r="D145" s="22" t="s">
        <v>249</v>
      </c>
      <c r="E145" s="13">
        <v>42699.922384259262</v>
      </c>
      <c r="F145" s="13">
        <v>42699.934918981482</v>
      </c>
      <c r="G145" s="7">
        <v>0</v>
      </c>
      <c r="H145" s="22" t="s">
        <v>175</v>
      </c>
      <c r="I145" s="13">
        <v>42699.962337962963</v>
      </c>
      <c r="J145" s="7">
        <v>0</v>
      </c>
      <c r="K145" s="109" t="str">
        <f t="shared" si="52"/>
        <v>4045/4046</v>
      </c>
      <c r="L145" s="22" t="str">
        <f>VLOOKUP(A145,'Trips&amp;Operators'!$C$1:$E$10000,3,FALSE)</f>
        <v>SAFIEF</v>
      </c>
      <c r="M145" s="6">
        <f t="shared" si="53"/>
        <v>2.7418981480877846E-2</v>
      </c>
      <c r="N145" s="7">
        <f t="shared" si="54"/>
        <v>39.483333332464099</v>
      </c>
      <c r="O145" s="7"/>
      <c r="P145" s="7"/>
      <c r="Q145" s="23"/>
      <c r="R145" s="23"/>
      <c r="S145" s="35">
        <f t="shared" si="55"/>
        <v>1</v>
      </c>
      <c r="T145" s="50" t="str">
        <f t="shared" si="56"/>
        <v>Southbound</v>
      </c>
      <c r="U145" s="171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https://search-rtdc-monitor-bjffxe2xuh6vdkpspy63sjmuny.us-east-1.es.amazonaws.com/_plugin/kibana/#/discover/Steve-Slow-Train-Analysis-(2080s-and-2083s)?_g=(refreshInterval:(display:Off,section:0,value:0),time:(from:'2016-11-25 21:08:14-700',mode:absolute,to:'2016-11-26 00:05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45" s="52" t="str">
        <f t="shared" si="58"/>
        <v>N</v>
      </c>
      <c r="X145" s="177">
        <f t="shared" si="59"/>
        <v>1</v>
      </c>
      <c r="Y145" s="67">
        <f t="shared" si="60"/>
        <v>23.299399999999999</v>
      </c>
      <c r="Z145" s="67">
        <f t="shared" si="61"/>
        <v>1.52E-2</v>
      </c>
      <c r="AA145" s="67">
        <f t="shared" si="62"/>
        <v>23.284199999999998</v>
      </c>
      <c r="AB145" s="64" t="e">
        <f>VLOOKUP(A145,Enforcements!$C$7:$K$20,8,0)</f>
        <v>#N/A</v>
      </c>
      <c r="AC145" s="60" t="e">
        <f>VLOOKUP(A145,Enforcements!$C$7:$E$20,3,0)</f>
        <v>#N/A</v>
      </c>
      <c r="AD145" s="61" t="str">
        <f t="shared" si="63"/>
        <v>0232-25</v>
      </c>
      <c r="AE145" s="91" t="str">
        <f t="shared" si="64"/>
        <v>aws s3 cp s3://rtdc.mdm.uploadarchive.raw/RTDC4045/ "%USERPROFILE%\AppData\Local\Temp\OnboardLogs"\RTDC4045\2016-11-25 --exclude "*" --recursive --include "*20161125*" &amp; "%USERPROFILE%\Documents\GitHub\mrs-test-scripts\Headless Mode &amp; Sideloading\WalkAndUnGZ.bat" "%USERPROFILE%\AppData\Local\Temp\OnboardLogs"\RTDC4045\2016-11-25 &amp; aws s3 cp s3://rtdc.mdm.uploadarchive.raw/RTDC4045/ "%USERPROFILE%\AppData\Local\Temp\OnboardLogs"\RTDC4045\2016-11-26 --exclude "*" --recursive --include "*20161126*" &amp; "%USERPROFILE%\Documents\GitHub\mrs-test-scripts\Headless Mode &amp; Sideloading\WalkAndUnGZ.bat" "%USERPROFILE%\AppData\Local\Temp\OnboardLogs"\RTDC4045\2016-11-26</v>
      </c>
      <c r="AF145" s="88" t="str">
        <f t="shared" si="65"/>
        <v>"C:\Program Files (x86)\AstroGrep\AstroGrep.exe" /spath="%USERPROFILE%\AppData\Local\Temp\OnboardLogs" /stypes="app*4045*20161126*" /stext=" 06:.+((SYSTEM_STATE.+slice.+state.+changed )|(ment ac)|(system.+state.+changed )|(\[timeout)|(PRM\|1\|D)|(kpr)|(kdp)|(\|lc)|(penalty))" /e /r /s</v>
      </c>
      <c r="AG145" s="1" t="str">
        <f t="shared" si="66"/>
        <v>EC</v>
      </c>
      <c r="AH145" s="92" t="str">
        <f t="shared" si="67"/>
        <v>"%USERPROFILE%\Documents\GitHub\eaglep3\Utilities\RefineRTDCRunTimes.py" --tripid 232-25 --locoid 4045 --swversion DE.1.0.8.0 --startMP 204:232994 --initTime 2016-11-25T22:08:14 --startdatetime 2016-11-25T22:26:17 --delay 0 --endMP 204:152 --enddatetime 2016-11-25T23:05:46 --enforcementcount 0 &gt;&gt;C:\Users\stu\Documents\GitHub\eaglep3-reporting\EC\2016-11-25-refined-times.txt</v>
      </c>
      <c r="AI145" s="119" t="str">
        <f t="shared" si="68"/>
        <v>echo {"issue":{"subject":"","project_id":79,"tracker_id":40,"status_id":1,"priority_id":2,"assigned_to_id":23,"start_date":"2016-11-25","description":"","custom_fields":[{"id":1,"name":"Subdivision","value":"EC"},{"id":4,"name":"Milepost","value":"0.0152"},{"id":17,"name":"Train ID","value":"232-25"},{"id":16,"name":"Locomotive ID","value":"4045"},{"id":130,"name":"Impact","value":""},{"id":150,"name":"Time of Event (Mountain Time)","value":"23:05:46"},{"id":151,"name":"Denver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3"/>
      <c r="AK145" s="53"/>
      <c r="AL145" s="53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1" customFormat="1" x14ac:dyDescent="0.25">
      <c r="A146" s="37" t="s">
        <v>614</v>
      </c>
      <c r="B146" s="7">
        <v>4014</v>
      </c>
      <c r="C146" s="22" t="s">
        <v>217</v>
      </c>
      <c r="D146" s="22" t="s">
        <v>261</v>
      </c>
      <c r="E146" s="13">
        <v>42699.915717592594</v>
      </c>
      <c r="F146" s="13">
        <v>42699.917442129627</v>
      </c>
      <c r="G146" s="7">
        <v>1</v>
      </c>
      <c r="H146" s="22" t="s">
        <v>373</v>
      </c>
      <c r="I146" s="13">
        <v>42699.944722222222</v>
      </c>
      <c r="J146" s="7">
        <v>0</v>
      </c>
      <c r="K146" s="109" t="str">
        <f t="shared" si="52"/>
        <v>4013/4014</v>
      </c>
      <c r="L146" s="22" t="str">
        <f>VLOOKUP(A146,'Trips&amp;Operators'!$C$1:$E$10000,3,FALSE)</f>
        <v>CHANDLER</v>
      </c>
      <c r="M146" s="6">
        <f t="shared" si="53"/>
        <v>2.7280092595901806E-2</v>
      </c>
      <c r="N146" s="7">
        <f t="shared" si="54"/>
        <v>39.283333338098601</v>
      </c>
      <c r="O146" s="7"/>
      <c r="P146" s="7"/>
      <c r="Q146" s="23"/>
      <c r="R146" s="23"/>
      <c r="S146" s="35">
        <f t="shared" si="55"/>
        <v>1</v>
      </c>
      <c r="T146" s="50" t="str">
        <f t="shared" si="56"/>
        <v>NorthBound</v>
      </c>
      <c r="U146" s="171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https://search-rtdc-monitor-bjffxe2xuh6vdkpspy63sjmuny.us-east-1.es.amazonaws.com/_plugin/kibana/#/discover/Steve-Slow-Train-Analysis-(2080s-and-2083s)?_g=(refreshInterval:(display:Off,section:0,value:0),time:(from:'2016-11-25 20:58:38-700',mode:absolute,to:'2016-11-25 23:40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46" s="52" t="str">
        <f t="shared" si="58"/>
        <v>N</v>
      </c>
      <c r="X146" s="177">
        <f t="shared" si="59"/>
        <v>1</v>
      </c>
      <c r="Y146" s="67">
        <f t="shared" si="60"/>
        <v>4.5499999999999999E-2</v>
      </c>
      <c r="Z146" s="67">
        <f t="shared" si="61"/>
        <v>23.329799999999999</v>
      </c>
      <c r="AA146" s="67">
        <f t="shared" si="62"/>
        <v>23.284299999999998</v>
      </c>
      <c r="AB146" s="64" t="e">
        <f>VLOOKUP(A146,Enforcements!$C$7:$K$20,8,0)</f>
        <v>#N/A</v>
      </c>
      <c r="AC146" s="60" t="e">
        <f>VLOOKUP(A146,Enforcements!$C$7:$E$20,3,0)</f>
        <v>#N/A</v>
      </c>
      <c r="AD146" s="61" t="str">
        <f t="shared" si="63"/>
        <v>0233-25</v>
      </c>
      <c r="AE146" s="91" t="str">
        <f t="shared" si="64"/>
        <v>aws s3 cp s3://rtdc.mdm.uploadarchive.raw/RTDC4014/ "%USERPROFILE%\AppData\Local\Temp\OnboardLogs"\RTDC4014\2016-11-25 --exclude "*" --recursive --include "*20161125*" &amp; "%USERPROFILE%\Documents\GitHub\mrs-test-scripts\Headless Mode &amp; Sideloading\WalkAndUnGZ.bat" "%USERPROFILE%\AppData\Local\Temp\OnboardLogs"\RTDC4014\2016-11-25 &amp; aws s3 cp s3://rtdc.mdm.uploadarchive.raw/RTDC4014/ "%USERPROFILE%\AppData\Local\Temp\OnboardLogs"\RTDC4014\2016-11-26 --exclude "*" --recursive --include "*20161126*" &amp; "%USERPROFILE%\Documents\GitHub\mrs-test-scripts\Headless Mode &amp; Sideloading\WalkAndUnGZ.bat" "%USERPROFILE%\AppData\Local\Temp\OnboardLogs"\RTDC4014\2016-11-26</v>
      </c>
      <c r="AF146" s="88" t="str">
        <f t="shared" si="65"/>
        <v>"C:\Program Files (x86)\AstroGrep\AstroGrep.exe" /spath="%USERPROFILE%\AppData\Local\Temp\OnboardLogs" /stypes="app*4014*20161126*" /stext=" 05:.+((SYSTEM_STATE.+slice.+state.+changed )|(ment ac)|(system.+state.+changed )|(\[timeout)|(PRM\|1\|D)|(kpr)|(kdp)|(\|lc)|(penalty))" /e /r /s</v>
      </c>
      <c r="AG146" s="1" t="str">
        <f t="shared" si="66"/>
        <v>EC</v>
      </c>
      <c r="AH146" s="92" t="str">
        <f t="shared" si="67"/>
        <v>"%USERPROFILE%\Documents\GitHub\eaglep3\Utilities\RefineRTDCRunTimes.py" --tripid 233-25 --locoid 4014 --swversion DE.1.0.8.0 --startMP 204:455 --initTime 2016-11-25T21:58:38 --startdatetime 2016-11-25T22:01:07 --delay 1 --endMP 204:233298 --enddatetime 2016-11-25T22:40:24 --enforcementcount 0 &gt;&gt;C:\Users\stu\Documents\GitHub\eaglep3-reporting\EC\2016-11-25-refined-times.txt</v>
      </c>
      <c r="AI146" s="119" t="str">
        <f t="shared" si="68"/>
        <v>echo {"issue":{"subject":"","project_id":79,"tracker_id":40,"status_id":1,"priority_id":2,"assigned_to_id":23,"start_date":"2016-11-25","description":"","custom_fields":[{"id":1,"name":"Subdivision","value":"EC"},{"id":4,"name":"Milepost","value":"23.3298"},{"id":17,"name":"Train ID","value":"233-25"},{"id":16,"name":"Locomotive ID","value":"4014"},{"id":130,"name":"Impact","value":""},{"id":150,"name":"Time of Event (Mountain Time)","value":"22:40:24"},{"id":151,"name":"Denver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3"/>
      <c r="AK146" s="53"/>
      <c r="AL146" s="53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1" customFormat="1" x14ac:dyDescent="0.25">
      <c r="A147" s="37" t="s">
        <v>619</v>
      </c>
      <c r="B147" s="7">
        <v>4013</v>
      </c>
      <c r="C147" s="22" t="s">
        <v>217</v>
      </c>
      <c r="D147" s="22" t="s">
        <v>375</v>
      </c>
      <c r="E147" s="13">
        <v>42699.951180555552</v>
      </c>
      <c r="F147" s="13">
        <v>42699.955787037034</v>
      </c>
      <c r="G147" s="7">
        <v>1</v>
      </c>
      <c r="H147" s="22" t="s">
        <v>361</v>
      </c>
      <c r="I147" s="13">
        <v>42699.9840625</v>
      </c>
      <c r="J147" s="7">
        <v>0</v>
      </c>
      <c r="K147" s="109" t="str">
        <f t="shared" si="52"/>
        <v>4013/4014</v>
      </c>
      <c r="L147" s="22" t="str">
        <f>VLOOKUP(A147,'Trips&amp;Operators'!$C$1:$E$10000,3,FALSE)</f>
        <v>CHANDLER</v>
      </c>
      <c r="M147" s="6">
        <f t="shared" si="53"/>
        <v>2.8275462966121268E-2</v>
      </c>
      <c r="N147" s="7">
        <f t="shared" si="54"/>
        <v>40.716666671214625</v>
      </c>
      <c r="O147" s="7"/>
      <c r="P147" s="7"/>
      <c r="Q147" s="23"/>
      <c r="R147" s="23"/>
      <c r="S147" s="35">
        <f t="shared" si="55"/>
        <v>1</v>
      </c>
      <c r="T147" s="50" t="str">
        <f t="shared" si="56"/>
        <v>Southbound</v>
      </c>
      <c r="U147" s="171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https://search-rtdc-monitor-bjffxe2xuh6vdkpspy63sjmuny.us-east-1.es.amazonaws.com/_plugin/kibana/#/discover/Steve-Slow-Train-Analysis-(2080s-and-2083s)?_g=(refreshInterval:(display:Off,section:0,value:0),time:(from:'2016-11-25 21:49:42-700',mode:absolute,to:'2016-11-26 00:37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47" s="52" t="str">
        <f t="shared" si="58"/>
        <v>N</v>
      </c>
      <c r="X147" s="177">
        <f t="shared" si="59"/>
        <v>1</v>
      </c>
      <c r="Y147" s="67">
        <f t="shared" si="60"/>
        <v>23.297599999999999</v>
      </c>
      <c r="Z147" s="67">
        <f t="shared" si="61"/>
        <v>1.3599999999999999E-2</v>
      </c>
      <c r="AA147" s="67">
        <f t="shared" si="62"/>
        <v>23.283999999999999</v>
      </c>
      <c r="AB147" s="64" t="e">
        <f>VLOOKUP(A147,Enforcements!$C$7:$K$20,8,0)</f>
        <v>#N/A</v>
      </c>
      <c r="AC147" s="60" t="e">
        <f>VLOOKUP(A147,Enforcements!$C$7:$E$20,3,0)</f>
        <v>#N/A</v>
      </c>
      <c r="AD147" s="61" t="str">
        <f t="shared" si="63"/>
        <v>0234-25</v>
      </c>
      <c r="AE147" s="91" t="str">
        <f t="shared" si="64"/>
        <v>aws s3 cp s3://rtdc.mdm.uploadarchive.raw/RTDC4013/ "%USERPROFILE%\AppData\Local\Temp\OnboardLogs"\RTDC4013\2016-11-25 --exclude "*" --recursive --include "*20161125*" &amp; "%USERPROFILE%\Documents\GitHub\mrs-test-scripts\Headless Mode &amp; Sideloading\WalkAndUnGZ.bat" "%USERPROFILE%\AppData\Local\Temp\OnboardLogs"\RTDC4013\2016-11-25 &amp; aws s3 cp s3://rtdc.mdm.uploadarchive.raw/RTDC4013/ "%USERPROFILE%\AppData\Local\Temp\OnboardLogs"\RTDC4013\2016-11-26 --exclude "*" --recursive --include "*20161126*" &amp; "%USERPROFILE%\Documents\GitHub\mrs-test-scripts\Headless Mode &amp; Sideloading\WalkAndUnGZ.bat" "%USERPROFILE%\AppData\Local\Temp\OnboardLogs"\RTDC4013\2016-11-26</v>
      </c>
      <c r="AF147" s="88" t="str">
        <f t="shared" si="65"/>
        <v>"C:\Program Files (x86)\AstroGrep\AstroGrep.exe" /spath="%USERPROFILE%\AppData\Local\Temp\OnboardLogs" /stypes="app*4013*20161126*" /stext=" 06:.+((SYSTEM_STATE.+slice.+state.+changed )|(ment ac)|(system.+state.+changed )|(\[timeout)|(PRM\|1\|D)|(kpr)|(kdp)|(\|lc)|(penalty))" /e /r /s</v>
      </c>
      <c r="AG147" s="1" t="str">
        <f t="shared" si="66"/>
        <v>EC</v>
      </c>
      <c r="AH147" s="92" t="str">
        <f t="shared" si="67"/>
        <v>"%USERPROFILE%\Documents\GitHub\eaglep3\Utilities\RefineRTDCRunTimes.py" --tripid 234-25 --locoid 4013 --swversion DE.1.0.8.0 --startMP 204:232976 --initTime 2016-11-25T22:49:42 --startdatetime 2016-11-25T22:56:20 --delay 1 --endMP 204:136 --enddatetime 2016-11-25T23:37:03 --enforcementcount 0 &gt;&gt;C:\Users\stu\Documents\GitHub\eaglep3-reporting\EC\2016-11-25-refined-times.txt</v>
      </c>
      <c r="AI147" s="119" t="str">
        <f t="shared" si="68"/>
        <v>echo {"issue":{"subject":"","project_id":79,"tracker_id":40,"status_id":1,"priority_id":2,"assigned_to_id":23,"start_date":"2016-11-25","description":"","custom_fields":[{"id":1,"name":"Subdivision","value":"EC"},{"id":4,"name":"Milepost","value":"0.0136"},{"id":17,"name":"Train ID","value":"234-25"},{"id":16,"name":"Locomotive ID","value":"4013"},{"id":130,"name":"Impact","value":""},{"id":150,"name":"Time of Event (Mountain Time)","value":"23:37:03"},{"id":151,"name":"Denver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3"/>
      <c r="AK147" s="53"/>
      <c r="AL147" s="53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1" customFormat="1" x14ac:dyDescent="0.25">
      <c r="A148" s="37" t="s">
        <v>617</v>
      </c>
      <c r="B148" s="7">
        <v>4042</v>
      </c>
      <c r="C148" s="22" t="s">
        <v>217</v>
      </c>
      <c r="D148" s="22" t="s">
        <v>271</v>
      </c>
      <c r="E148" s="13">
        <v>42699.925405092596</v>
      </c>
      <c r="F148" s="13">
        <v>42699.937939814816</v>
      </c>
      <c r="G148" s="7">
        <v>2</v>
      </c>
      <c r="H148" s="22" t="s">
        <v>671</v>
      </c>
      <c r="I148" s="13">
        <v>42699.96234953704</v>
      </c>
      <c r="J148" s="7">
        <v>0</v>
      </c>
      <c r="K148" s="109" t="str">
        <f t="shared" si="52"/>
        <v>4041/4042</v>
      </c>
      <c r="L148" s="22" t="str">
        <f>VLOOKUP(A148,'Trips&amp;Operators'!$C$1:$E$10000,3,FALSE)</f>
        <v>STAMBAUGH</v>
      </c>
      <c r="M148" s="6">
        <f t="shared" si="53"/>
        <v>2.4409722223936114E-2</v>
      </c>
      <c r="N148" s="7">
        <f t="shared" si="54"/>
        <v>35.150000002468005</v>
      </c>
      <c r="O148" s="7"/>
      <c r="P148" s="7"/>
      <c r="Q148" s="23"/>
      <c r="R148" s="23"/>
      <c r="S148" s="35">
        <f t="shared" si="55"/>
        <v>1</v>
      </c>
      <c r="T148" s="50" t="str">
        <f t="shared" si="56"/>
        <v>NorthBound</v>
      </c>
      <c r="U148" s="171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https://search-rtdc-monitor-bjffxe2xuh6vdkpspy63sjmuny.us-east-1.es.amazonaws.com/_plugin/kibana/#/discover/Steve-Slow-Train-Analysis-(2080s-and-2083s)?_g=(refreshInterval:(display:Off,section:0,value:0),time:(from:'2016-11-25 21:12:35-700',mode:absolute,to:'2016-11-26 00:05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48" s="52" t="str">
        <f t="shared" si="58"/>
        <v>N</v>
      </c>
      <c r="X148" s="177">
        <f t="shared" si="59"/>
        <v>1</v>
      </c>
      <c r="Y148" s="67">
        <f t="shared" si="60"/>
        <v>4.5999999999999999E-2</v>
      </c>
      <c r="Z148" s="67">
        <f t="shared" si="61"/>
        <v>23.328499999999998</v>
      </c>
      <c r="AA148" s="67">
        <f t="shared" si="62"/>
        <v>23.282499999999999</v>
      </c>
      <c r="AB148" s="64" t="e">
        <f>VLOOKUP(A148,Enforcements!$C$7:$K$20,8,0)</f>
        <v>#N/A</v>
      </c>
      <c r="AC148" s="60" t="e">
        <f>VLOOKUP(A148,Enforcements!$C$7:$E$20,3,0)</f>
        <v>#N/A</v>
      </c>
      <c r="AD148" s="61" t="str">
        <f t="shared" si="63"/>
        <v>0235-25</v>
      </c>
      <c r="AE148" s="91" t="str">
        <f t="shared" si="64"/>
        <v>aws s3 cp s3://rtdc.mdm.uploadarchive.raw/RTDC4042/ "%USERPROFILE%\AppData\Local\Temp\OnboardLogs"\RTDC4042\2016-11-25 --exclude "*" --recursive --include "*20161125*" &amp; "%USERPROFILE%\Documents\GitHub\mrs-test-scripts\Headless Mode &amp; Sideloading\WalkAndUnGZ.bat" "%USERPROFILE%\AppData\Local\Temp\OnboardLogs"\RTDC4042\2016-11-25 &amp; aws s3 cp s3://rtdc.mdm.uploadarchive.raw/RTDC4042/ "%USERPROFILE%\AppData\Local\Temp\OnboardLogs"\RTDC4042\2016-11-26 --exclude "*" --recursive --include "*20161126*" &amp; "%USERPROFILE%\Documents\GitHub\mrs-test-scripts\Headless Mode &amp; Sideloading\WalkAndUnGZ.bat" "%USERPROFILE%\AppData\Local\Temp\OnboardLogs"\RTDC4042\2016-11-26</v>
      </c>
      <c r="AF148" s="88" t="str">
        <f t="shared" si="65"/>
        <v>"C:\Program Files (x86)\AstroGrep\AstroGrep.exe" /spath="%USERPROFILE%\AppData\Local\Temp\OnboardLogs" /stypes="app*4042*20161126*" /stext=" 06:.+((SYSTEM_STATE.+slice.+state.+changed )|(ment ac)|(system.+state.+changed )|(\[timeout)|(PRM\|1\|D)|(kpr)|(kdp)|(\|lc)|(penalty))" /e /r /s</v>
      </c>
      <c r="AG148" s="1" t="str">
        <f t="shared" si="66"/>
        <v>EC</v>
      </c>
      <c r="AH148" s="92" t="str">
        <f t="shared" si="67"/>
        <v>"%USERPROFILE%\Documents\GitHub\eaglep3\Utilities\RefineRTDCRunTimes.py" --tripid 235-25 --locoid 4042 --swversion DE.1.0.8.0 --startMP 204:460 --initTime 2016-11-25T22:12:35 --startdatetime 2016-11-25T22:30:38 --delay 2 --endMP 204:233285 --enddatetime 2016-11-25T23:05:47 --enforcementcount 0 &gt;&gt;C:\Users\stu\Documents\GitHub\eaglep3-reporting\EC\2016-11-25-refined-times.txt</v>
      </c>
      <c r="AI148" s="119" t="str">
        <f t="shared" si="68"/>
        <v>echo {"issue":{"subject":"","project_id":79,"tracker_id":40,"status_id":1,"priority_id":2,"assigned_to_id":23,"start_date":"2016-11-25","description":"","custom_fields":[{"id":1,"name":"Subdivision","value":"EC"},{"id":4,"name":"Milepost","value":"23.3285"},{"id":17,"name":"Train ID","value":"235-25"},{"id":16,"name":"Locomotive ID","value":"4042"},{"id":130,"name":"Impact","value":""},{"id":150,"name":"Time of Event (Mountain Time)","value":"23:05:47"},{"id":151,"name":"Denver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3"/>
      <c r="AK148" s="53"/>
      <c r="AL148" s="53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x14ac:dyDescent="0.25">
      <c r="A149" s="37" t="s">
        <v>622</v>
      </c>
      <c r="B149" s="7">
        <v>4041</v>
      </c>
      <c r="C149" s="22" t="s">
        <v>217</v>
      </c>
      <c r="D149" s="22" t="s">
        <v>273</v>
      </c>
      <c r="E149" s="13">
        <v>42699.970636574071</v>
      </c>
      <c r="F149" s="13">
        <v>42699.976840277777</v>
      </c>
      <c r="G149" s="7">
        <v>2</v>
      </c>
      <c r="H149" s="22" t="s">
        <v>357</v>
      </c>
      <c r="I149" s="13">
        <v>42700.002280092594</v>
      </c>
      <c r="J149" s="7">
        <v>0</v>
      </c>
      <c r="K149" s="109" t="str">
        <f t="shared" si="52"/>
        <v>4041/4042</v>
      </c>
      <c r="L149" s="22" t="str">
        <f>VLOOKUP(A149,'Trips&amp;Operators'!$C$1:$E$10000,3,FALSE)</f>
        <v>STAMBAUGH</v>
      </c>
      <c r="M149" s="6">
        <f t="shared" si="53"/>
        <v>2.5439814817218576E-2</v>
      </c>
      <c r="N149" s="7">
        <f t="shared" si="54"/>
        <v>36.633333336794749</v>
      </c>
      <c r="O149" s="7"/>
      <c r="P149" s="7"/>
      <c r="Q149" s="23"/>
      <c r="R149" s="23"/>
      <c r="S149" s="35">
        <f t="shared" si="55"/>
        <v>1</v>
      </c>
      <c r="T149" s="50" t="str">
        <f t="shared" si="56"/>
        <v>Southbound</v>
      </c>
      <c r="U149" s="171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https://search-rtdc-monitor-bjffxe2xuh6vdkpspy63sjmuny.us-east-1.es.amazonaws.com/_plugin/kibana/#/discover/Steve-Slow-Train-Analysis-(2080s-and-2083s)?_g=(refreshInterval:(display:Off,section:0,value:0),time:(from:'2016-11-25 22:17:43-700',mode:absolute,to:'2016-11-26 01:03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49" s="52" t="str">
        <f t="shared" si="58"/>
        <v>N</v>
      </c>
      <c r="X149" s="177">
        <f t="shared" si="59"/>
        <v>1</v>
      </c>
      <c r="Y149" s="67">
        <f t="shared" si="60"/>
        <v>23.297899999999998</v>
      </c>
      <c r="Z149" s="67">
        <f t="shared" si="61"/>
        <v>1.6299999999999999E-2</v>
      </c>
      <c r="AA149" s="67">
        <f t="shared" si="62"/>
        <v>23.281599999999997</v>
      </c>
      <c r="AB149" s="64" t="e">
        <f>VLOOKUP(A149,Enforcements!$C$7:$K$20,8,0)</f>
        <v>#N/A</v>
      </c>
      <c r="AC149" s="60" t="e">
        <f>VLOOKUP(A149,Enforcements!$C$7:$E$20,3,0)</f>
        <v>#N/A</v>
      </c>
      <c r="AD149" s="61" t="str">
        <f t="shared" si="63"/>
        <v>0236-25</v>
      </c>
      <c r="AE149" s="91" t="str">
        <f t="shared" si="64"/>
        <v>aws s3 cp s3://rtdc.mdm.uploadarchive.raw/RTDC4041/ "%USERPROFILE%\AppData\Local\Temp\OnboardLogs"\RTDC4041\2016-11-25 --exclude "*" --recursive --include "*20161125*" &amp; "%USERPROFILE%\Documents\GitHub\mrs-test-scripts\Headless Mode &amp; Sideloading\WalkAndUnGZ.bat" "%USERPROFILE%\AppData\Local\Temp\OnboardLogs"\RTDC4041\2016-11-25 &amp; aws s3 cp s3://rtdc.mdm.uploadarchive.raw/RTDC4041/ "%USERPROFILE%\AppData\Local\Temp\OnboardLogs"\RTDC4041\2016-11-26 --exclude "*" --recursive --include "*20161126*" &amp; "%USERPROFILE%\Documents\GitHub\mrs-test-scripts\Headless Mode &amp; Sideloading\WalkAndUnGZ.bat" "%USERPROFILE%\AppData\Local\Temp\OnboardLogs"\RTDC4041\2016-11-26</v>
      </c>
      <c r="AF149" s="88" t="str">
        <f t="shared" si="65"/>
        <v>"C:\Program Files (x86)\AstroGrep\AstroGrep.exe" /spath="%USERPROFILE%\AppData\Local\Temp\OnboardLogs" /stypes="app*4041*20161126*" /stext=" 07:.+((SYSTEM_STATE.+slice.+state.+changed )|(ment ac)|(system.+state.+changed )|(\[timeout)|(PRM\|1\|D)|(kpr)|(kdp)|(\|lc)|(penalty))" /e /r /s</v>
      </c>
      <c r="AG149" s="1" t="str">
        <f t="shared" si="66"/>
        <v>EC</v>
      </c>
      <c r="AH149" s="92" t="str">
        <f t="shared" si="67"/>
        <v>"%USERPROFILE%\Documents\GitHub\eaglep3\Utilities\RefineRTDCRunTimes.py" --tripid 236-25 --locoid 4041 --swversion DE.1.0.8.0 --startMP 204:232979 --initTime 2016-11-25T23:17:43 --startdatetime 2016-11-25T23:26:39 --delay 2 --endMP 204:163 --enddatetime 2016-11-26T00:03:17 --enforcementcount 0 &gt;&gt;C:\Users\stu\Documents\GitHub\eaglep3-reporting\EC\2016-11-25-refined-times.txt</v>
      </c>
      <c r="AI149" s="119" t="str">
        <f t="shared" si="68"/>
        <v>echo {"issue":{"subject":"","project_id":79,"tracker_id":40,"status_id":1,"priority_id":2,"assigned_to_id":23,"start_date":"2016-11-26","description":"","custom_fields":[{"id":1,"name":"Subdivision","value":"EC"},{"id":4,"name":"Milepost","value":"0.0163"},{"id":17,"name":"Train ID","value":"236-25"},{"id":16,"name":"Locomotive ID","value":"4041"},{"id":130,"name":"Impact","value":""},{"id":150,"name":"Time of Event (Mountain Time)","value":"00:03:17"},{"id":151,"name":"Denver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3"/>
      <c r="AK149" s="53"/>
      <c r="AL149" s="53"/>
    </row>
    <row r="150" spans="1:91" s="21" customFormat="1" x14ac:dyDescent="0.25">
      <c r="A150" s="37" t="s">
        <v>620</v>
      </c>
      <c r="B150" s="7">
        <v>4040</v>
      </c>
      <c r="C150" s="22" t="s">
        <v>217</v>
      </c>
      <c r="D150" s="22" t="s">
        <v>214</v>
      </c>
      <c r="E150" s="13">
        <v>42699.95239583333</v>
      </c>
      <c r="F150" s="13">
        <v>42699.958506944444</v>
      </c>
      <c r="G150" s="7">
        <v>1</v>
      </c>
      <c r="H150" s="22" t="s">
        <v>672</v>
      </c>
      <c r="I150" s="13">
        <v>42699.983506944445</v>
      </c>
      <c r="J150" s="7">
        <v>0</v>
      </c>
      <c r="K150" s="109" t="str">
        <f t="shared" si="52"/>
        <v>4039/4040</v>
      </c>
      <c r="L150" s="22" t="str">
        <f>VLOOKUP(A150,'Trips&amp;Operators'!$C$1:$E$10000,3,FALSE)</f>
        <v>DAVIDSON</v>
      </c>
      <c r="M150" s="6">
        <f t="shared" si="53"/>
        <v>2.5000000001455192E-2</v>
      </c>
      <c r="N150" s="7">
        <f t="shared" si="54"/>
        <v>36.000000002095476</v>
      </c>
      <c r="O150" s="7"/>
      <c r="P150" s="7"/>
      <c r="Q150" s="23"/>
      <c r="R150" s="23"/>
      <c r="S150" s="35">
        <f t="shared" si="55"/>
        <v>1</v>
      </c>
      <c r="T150" s="50" t="str">
        <f t="shared" si="56"/>
        <v>NorthBound</v>
      </c>
      <c r="U150" s="171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https://search-rtdc-monitor-bjffxe2xuh6vdkpspy63sjmuny.us-east-1.es.amazonaws.com/_plugin/kibana/#/discover/Steve-Slow-Train-Analysis-(2080s-and-2083s)?_g=(refreshInterval:(display:Off,section:0,value:0),time:(from:'2016-11-25 21:51:27-700',mode:absolute,to:'2016-11-26 00:36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50" s="52" t="str">
        <f t="shared" si="58"/>
        <v>N</v>
      </c>
      <c r="X150" s="177">
        <f t="shared" si="59"/>
        <v>1</v>
      </c>
      <c r="Y150" s="67">
        <f t="shared" si="60"/>
        <v>4.6199999999999998E-2</v>
      </c>
      <c r="Z150" s="67">
        <f t="shared" si="61"/>
        <v>23.328700000000001</v>
      </c>
      <c r="AA150" s="67">
        <f t="shared" si="62"/>
        <v>23.282500000000002</v>
      </c>
      <c r="AB150" s="64" t="e">
        <f>VLOOKUP(A150,Enforcements!$C$7:$K$20,8,0)</f>
        <v>#N/A</v>
      </c>
      <c r="AC150" s="60" t="e">
        <f>VLOOKUP(A150,Enforcements!$C$7:$E$20,3,0)</f>
        <v>#N/A</v>
      </c>
      <c r="AD150" s="61" t="str">
        <f t="shared" si="63"/>
        <v>0237-25</v>
      </c>
      <c r="AE150" s="91" t="str">
        <f t="shared" si="64"/>
        <v>aws s3 cp s3://rtdc.mdm.uploadarchive.raw/RTDC4040/ "%USERPROFILE%\AppData\Local\Temp\OnboardLogs"\RTDC4040\2016-11-25 --exclude "*" --recursive --include "*20161125*" &amp; "%USERPROFILE%\Documents\GitHub\mrs-test-scripts\Headless Mode &amp; Sideloading\WalkAndUnGZ.bat" "%USERPROFILE%\AppData\Local\Temp\OnboardLogs"\RTDC4040\2016-11-25 &amp; aws s3 cp s3://rtdc.mdm.uploadarchive.raw/RTDC4040/ "%USERPROFILE%\AppData\Local\Temp\OnboardLogs"\RTDC4040\2016-11-26 --exclude "*" --recursive --include "*20161126*" &amp; "%USERPROFILE%\Documents\GitHub\mrs-test-scripts\Headless Mode &amp; Sideloading\WalkAndUnGZ.bat" "%USERPROFILE%\AppData\Local\Temp\OnboardLogs"\RTDC4040\2016-11-26</v>
      </c>
      <c r="AF150" s="88" t="str">
        <f t="shared" si="65"/>
        <v>"C:\Program Files (x86)\AstroGrep\AstroGrep.exe" /spath="%USERPROFILE%\AppData\Local\Temp\OnboardLogs" /stypes="app*4040*20161126*" /stext=" 06:.+((SYSTEM_STATE.+slice.+state.+changed )|(ment ac)|(system.+state.+changed )|(\[timeout)|(PRM\|1\|D)|(kpr)|(kdp)|(\|lc)|(penalty))" /e /r /s</v>
      </c>
      <c r="AG150" s="1" t="str">
        <f t="shared" si="66"/>
        <v>EC</v>
      </c>
      <c r="AH150" s="92" t="str">
        <f t="shared" si="67"/>
        <v>"%USERPROFILE%\Documents\GitHub\eaglep3\Utilities\RefineRTDCRunTimes.py" --tripid 237-25 --locoid 4040 --swversion DE.1.0.8.0 --startMP 204:462 --initTime 2016-11-25T22:51:27 --startdatetime 2016-11-25T23:00:15 --delay 1 --endMP 204:233287 --enddatetime 2016-11-25T23:36:15 --enforcementcount 0 &gt;&gt;C:\Users\stu\Documents\GitHub\eaglep3-reporting\EC\2016-11-25-refined-times.txt</v>
      </c>
      <c r="AI150" s="119" t="str">
        <f t="shared" si="68"/>
        <v>echo {"issue":{"subject":"","project_id":79,"tracker_id":40,"status_id":1,"priority_id":2,"assigned_to_id":23,"start_date":"2016-11-25","description":"","custom_fields":[{"id":1,"name":"Subdivision","value":"EC"},{"id":4,"name":"Milepost","value":"23.3287"},{"id":17,"name":"Train ID","value":"237-25"},{"id":16,"name":"Locomotive ID","value":"4040"},{"id":130,"name":"Impact","value":""},{"id":150,"name":"Time of Event (Mountain Time)","value":"23:36:15"},{"id":151,"name":"Denver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3"/>
      <c r="AK150" s="53"/>
      <c r="AL150" s="53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x14ac:dyDescent="0.25">
      <c r="A151" s="37" t="s">
        <v>624</v>
      </c>
      <c r="B151" s="7">
        <v>4039</v>
      </c>
      <c r="C151" s="22" t="s">
        <v>217</v>
      </c>
      <c r="D151" s="22" t="s">
        <v>644</v>
      </c>
      <c r="E151" s="13">
        <v>42699.993935185186</v>
      </c>
      <c r="F151" s="13">
        <v>42699.997407407405</v>
      </c>
      <c r="G151" s="7">
        <v>1</v>
      </c>
      <c r="H151" s="22" t="s">
        <v>357</v>
      </c>
      <c r="I151" s="13">
        <v>42700.023472222223</v>
      </c>
      <c r="J151" s="7">
        <v>0</v>
      </c>
      <c r="K151" s="109" t="str">
        <f t="shared" si="52"/>
        <v>4039/4040</v>
      </c>
      <c r="L151" s="22" t="str">
        <f>VLOOKUP(A151,'Trips&amp;Operators'!$C$1:$E$10000,3,FALSE)</f>
        <v>DAVIDSON</v>
      </c>
      <c r="M151" s="6">
        <f t="shared" si="53"/>
        <v>2.6064814817800652E-2</v>
      </c>
      <c r="N151" s="7">
        <f t="shared" si="54"/>
        <v>37.533333337632939</v>
      </c>
      <c r="O151" s="7"/>
      <c r="P151" s="7"/>
      <c r="Q151" s="23"/>
      <c r="R151" s="23"/>
      <c r="S151" s="35">
        <f t="shared" si="55"/>
        <v>1</v>
      </c>
      <c r="T151" s="50" t="str">
        <f t="shared" si="56"/>
        <v>Southbound</v>
      </c>
      <c r="U151" s="171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https://search-rtdc-monitor-bjffxe2xuh6vdkpspy63sjmuny.us-east-1.es.amazonaws.com/_plugin/kibana/#/discover/Steve-Slow-Train-Analysis-(2080s-and-2083s)?_g=(refreshInterval:(display:Off,section:0,value:0),time:(from:'2016-11-25 22:51:16-700',mode:absolute,to:'2016-11-26 01:33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51" s="52" t="str">
        <f t="shared" si="58"/>
        <v>N</v>
      </c>
      <c r="X151" s="177">
        <f t="shared" si="59"/>
        <v>1</v>
      </c>
      <c r="Y151" s="67">
        <f t="shared" si="60"/>
        <v>23.298500000000001</v>
      </c>
      <c r="Z151" s="67">
        <f t="shared" si="61"/>
        <v>1.6299999999999999E-2</v>
      </c>
      <c r="AA151" s="67">
        <f t="shared" si="62"/>
        <v>23.2822</v>
      </c>
      <c r="AB151" s="64" t="e">
        <f>VLOOKUP(A151,Enforcements!$C$7:$K$20,8,0)</f>
        <v>#N/A</v>
      </c>
      <c r="AC151" s="60" t="e">
        <f>VLOOKUP(A151,Enforcements!$C$7:$E$20,3,0)</f>
        <v>#N/A</v>
      </c>
      <c r="AD151" s="61" t="str">
        <f t="shared" si="63"/>
        <v>0238-25</v>
      </c>
      <c r="AE151" s="91" t="str">
        <f t="shared" si="64"/>
        <v>aws s3 cp s3://rtdc.mdm.uploadarchive.raw/RTDC4039/ "%USERPROFILE%\AppData\Local\Temp\OnboardLogs"\RTDC4039\2016-11-25 --exclude "*" --recursive --include "*20161125*" &amp; "%USERPROFILE%\Documents\GitHub\mrs-test-scripts\Headless Mode &amp; Sideloading\WalkAndUnGZ.bat" "%USERPROFILE%\AppData\Local\Temp\OnboardLogs"\RTDC4039\2016-11-25 &amp; aws s3 cp s3://rtdc.mdm.uploadarchive.raw/RTDC4039/ "%USERPROFILE%\AppData\Local\Temp\OnboardLogs"\RTDC4039\2016-11-26 --exclude "*" --recursive --include "*20161126*" &amp; "%USERPROFILE%\Documents\GitHub\mrs-test-scripts\Headless Mode &amp; Sideloading\WalkAndUnGZ.bat" "%USERPROFILE%\AppData\Local\Temp\OnboardLogs"\RTDC4039\2016-11-26</v>
      </c>
      <c r="AF151" s="88" t="str">
        <f t="shared" si="65"/>
        <v>"C:\Program Files (x86)\AstroGrep\AstroGrep.exe" /spath="%USERPROFILE%\AppData\Local\Temp\OnboardLogs" /stypes="app*4039*20161126*" /stext=" 07:.+((SYSTEM_STATE.+slice.+state.+changed )|(ment ac)|(system.+state.+changed )|(\[timeout)|(PRM\|1\|D)|(kpr)|(kdp)|(\|lc)|(penalty))" /e /r /s</v>
      </c>
      <c r="AG151" s="1" t="str">
        <f t="shared" si="66"/>
        <v>EC</v>
      </c>
      <c r="AH151" s="92" t="str">
        <f t="shared" si="67"/>
        <v>"%USERPROFILE%\Documents\GitHub\eaglep3\Utilities\RefineRTDCRunTimes.py" --tripid 238-25 --locoid 4039 --swversion DE.1.0.8.0 --startMP 204:232985 --initTime 2016-11-25T23:51:16 --startdatetime 2016-11-25T23:56:16 --delay 1 --endMP 204:163 --enddatetime 2016-11-26T00:33:48 --enforcementcount 0 &gt;&gt;C:\Users\stu\Documents\GitHub\eaglep3-reporting\EC\2016-11-25-refined-times.txt</v>
      </c>
      <c r="AI151" s="119" t="str">
        <f t="shared" si="68"/>
        <v>echo {"issue":{"subject":"","project_id":79,"tracker_id":40,"status_id":1,"priority_id":2,"assigned_to_id":23,"start_date":"2016-11-26","description":"","custom_fields":[{"id":1,"name":"Subdivision","value":"EC"},{"id":4,"name":"Milepost","value":"0.0163"},{"id":17,"name":"Train ID","value":"238-25"},{"id":16,"name":"Locomotive ID","value":"4039"},{"id":130,"name":"Impact","value":""},{"id":150,"name":"Time of Event (Mountain Time)","value":"00:33:48"},{"id":151,"name":"Denver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3"/>
      <c r="AK151" s="53"/>
      <c r="AL151" s="53"/>
    </row>
    <row r="152" spans="1:91" x14ac:dyDescent="0.25">
      <c r="A152" s="37" t="s">
        <v>621</v>
      </c>
      <c r="B152" s="7">
        <v>4046</v>
      </c>
      <c r="C152" s="22" t="s">
        <v>217</v>
      </c>
      <c r="D152" s="22" t="s">
        <v>295</v>
      </c>
      <c r="E152" s="13">
        <v>42699.977916666663</v>
      </c>
      <c r="F152" s="13">
        <v>42699.979328703703</v>
      </c>
      <c r="G152" s="7">
        <v>1</v>
      </c>
      <c r="H152" s="22" t="s">
        <v>257</v>
      </c>
      <c r="I152" s="13">
        <v>42700.003703703704</v>
      </c>
      <c r="J152" s="7">
        <v>0</v>
      </c>
      <c r="K152" s="109" t="str">
        <f t="shared" si="52"/>
        <v>4045/4046</v>
      </c>
      <c r="L152" s="22" t="str">
        <f>VLOOKUP(A152,'Trips&amp;Operators'!$C$1:$E$10000,3,FALSE)</f>
        <v>SAFIEF</v>
      </c>
      <c r="M152" s="6">
        <f t="shared" si="53"/>
        <v>2.4375000000873115E-2</v>
      </c>
      <c r="N152" s="7">
        <f t="shared" si="54"/>
        <v>35.100000001257285</v>
      </c>
      <c r="O152" s="7"/>
      <c r="P152" s="7"/>
      <c r="Q152" s="23"/>
      <c r="R152" s="23"/>
      <c r="S152" s="35">
        <f t="shared" si="55"/>
        <v>1</v>
      </c>
      <c r="T152" s="50" t="str">
        <f t="shared" si="56"/>
        <v>NorthBound</v>
      </c>
      <c r="U152" s="171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https://search-rtdc-monitor-bjffxe2xuh6vdkpspy63sjmuny.us-east-1.es.amazonaws.com/_plugin/kibana/#/discover/Steve-Slow-Train-Analysis-(2080s-and-2083s)?_g=(refreshInterval:(display:Off,section:0,value:0),time:(from:'2016-11-25 22:28:12-700',mode:absolute,to:'2016-11-26 01:05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52" s="52" t="str">
        <f t="shared" si="58"/>
        <v>N</v>
      </c>
      <c r="X152" s="177">
        <f t="shared" si="59"/>
        <v>1</v>
      </c>
      <c r="Y152" s="67">
        <f t="shared" si="60"/>
        <v>4.6899999999999997E-2</v>
      </c>
      <c r="Z152" s="67">
        <f t="shared" si="61"/>
        <v>23.330400000000001</v>
      </c>
      <c r="AA152" s="67">
        <f t="shared" si="62"/>
        <v>23.2835</v>
      </c>
      <c r="AB152" s="64" t="e">
        <f>VLOOKUP(A152,Enforcements!$C$7:$K$20,8,0)</f>
        <v>#N/A</v>
      </c>
      <c r="AC152" s="60" t="e">
        <f>VLOOKUP(A152,Enforcements!$C$7:$E$20,3,0)</f>
        <v>#N/A</v>
      </c>
      <c r="AD152" s="61" t="str">
        <f t="shared" si="63"/>
        <v>0239-25</v>
      </c>
      <c r="AE152" s="91" t="str">
        <f t="shared" si="64"/>
        <v>aws s3 cp s3://rtdc.mdm.uploadarchive.raw/RTDC4046/ "%USERPROFILE%\AppData\Local\Temp\OnboardLogs"\RTDC4046\2016-11-25 --exclude "*" --recursive --include "*20161125*" &amp; "%USERPROFILE%\Documents\GitHub\mrs-test-scripts\Headless Mode &amp; Sideloading\WalkAndUnGZ.bat" "%USERPROFILE%\AppData\Local\Temp\OnboardLogs"\RTDC4046\2016-11-25 &amp; aws s3 cp s3://rtdc.mdm.uploadarchive.raw/RTDC4046/ "%USERPROFILE%\AppData\Local\Temp\OnboardLogs"\RTDC4046\2016-11-26 --exclude "*" --recursive --include "*20161126*" &amp; "%USERPROFILE%\Documents\GitHub\mrs-test-scripts\Headless Mode &amp; Sideloading\WalkAndUnGZ.bat" "%USERPROFILE%\AppData\Local\Temp\OnboardLogs"\RTDC4046\2016-11-26</v>
      </c>
      <c r="AF152" s="88" t="str">
        <f t="shared" si="65"/>
        <v>"C:\Program Files (x86)\AstroGrep\AstroGrep.exe" /spath="%USERPROFILE%\AppData\Local\Temp\OnboardLogs" /stypes="app*4046*20161126*" /stext=" 07:.+((SYSTEM_STATE.+slice.+state.+changed )|(ment ac)|(system.+state.+changed )|(\[timeout)|(PRM\|1\|D)|(kpr)|(kdp)|(\|lc)|(penalty))" /e /r /s</v>
      </c>
      <c r="AG152" s="1" t="str">
        <f t="shared" si="66"/>
        <v>EC</v>
      </c>
      <c r="AH152" s="92" t="str">
        <f t="shared" si="67"/>
        <v>"%USERPROFILE%\Documents\GitHub\eaglep3\Utilities\RefineRTDCRunTimes.py" --tripid 239-25 --locoid 4046 --swversion DE.1.0.8.0 --startMP 204:469 --initTime 2016-11-25T23:28:12 --startdatetime 2016-11-25T23:30:14 --delay 1 --endMP 204:233304 --enddatetime 2016-11-26T00:05:20 --enforcementcount 0 &gt;&gt;C:\Users\stu\Documents\GitHub\eaglep3-reporting\EC\2016-11-25-refined-times.txt</v>
      </c>
      <c r="AI152" s="119" t="str">
        <f t="shared" si="68"/>
        <v>echo {"issue":{"subject":"","project_id":79,"tracker_id":40,"status_id":1,"priority_id":2,"assigned_to_id":23,"start_date":"2016-11-26","description":"","custom_fields":[{"id":1,"name":"Subdivision","value":"EC"},{"id":4,"name":"Milepost","value":"23.3304"},{"id":17,"name":"Train ID","value":"239-25"},{"id":16,"name":"Locomotive ID","value":"4046"},{"id":130,"name":"Impact","value":""},{"id":150,"name":"Time of Event (Mountain Time)","value":"00:05:20"},{"id":151,"name":"Denver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3"/>
      <c r="AK152" s="53"/>
      <c r="AL152" s="53"/>
    </row>
    <row r="153" spans="1:91" s="21" customFormat="1" x14ac:dyDescent="0.25">
      <c r="A153" s="37" t="s">
        <v>626</v>
      </c>
      <c r="B153" s="7">
        <v>4045</v>
      </c>
      <c r="C153" s="22" t="s">
        <v>217</v>
      </c>
      <c r="D153" s="22" t="s">
        <v>264</v>
      </c>
      <c r="E153" s="13">
        <v>42700.015162037038</v>
      </c>
      <c r="F153" s="13">
        <v>42700.01829861111</v>
      </c>
      <c r="G153" s="7">
        <v>1</v>
      </c>
      <c r="H153" s="22" t="s">
        <v>224</v>
      </c>
      <c r="I153" s="13">
        <v>42700.043796296297</v>
      </c>
      <c r="J153" s="7">
        <v>0</v>
      </c>
      <c r="K153" s="109" t="str">
        <f t="shared" si="52"/>
        <v>4045/4046</v>
      </c>
      <c r="L153" s="22" t="str">
        <f>VLOOKUP(A153,'Trips&amp;Operators'!$C$1:$E$10000,3,FALSE)</f>
        <v>SAFIEF</v>
      </c>
      <c r="M153" s="6">
        <f t="shared" si="53"/>
        <v>2.5497685186564922E-2</v>
      </c>
      <c r="N153" s="7">
        <f t="shared" si="54"/>
        <v>36.716666668653488</v>
      </c>
      <c r="O153" s="7"/>
      <c r="P153" s="7"/>
      <c r="Q153" s="23"/>
      <c r="R153" s="23"/>
      <c r="S153" s="35">
        <f t="shared" si="55"/>
        <v>1</v>
      </c>
      <c r="T153" s="50" t="str">
        <f t="shared" si="56"/>
        <v>Southbound</v>
      </c>
      <c r="U153" s="171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https://search-rtdc-monitor-bjffxe2xuh6vdkpspy63sjmuny.us-east-1.es.amazonaws.com/_plugin/kibana/#/discover/Steve-Slow-Train-Analysis-(2080s-and-2083s)?_g=(refreshInterval:(display:Off,section:0,value:0),time:(from:'2016-11-25 23:21:50-700',mode:absolute,to:'2016-11-26 02:03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53" s="52" t="str">
        <f t="shared" si="58"/>
        <v>N</v>
      </c>
      <c r="X153" s="177">
        <f t="shared" si="59"/>
        <v>1</v>
      </c>
      <c r="Y153" s="67">
        <f t="shared" si="60"/>
        <v>23.299099999999999</v>
      </c>
      <c r="Z153" s="67">
        <f t="shared" si="61"/>
        <v>1.4999999999999999E-2</v>
      </c>
      <c r="AA153" s="67">
        <f t="shared" si="62"/>
        <v>23.284099999999999</v>
      </c>
      <c r="AB153" s="64" t="e">
        <f>VLOOKUP(A153,Enforcements!$C$7:$K$20,8,0)</f>
        <v>#N/A</v>
      </c>
      <c r="AC153" s="60" t="e">
        <f>VLOOKUP(A153,Enforcements!$C$7:$E$20,3,0)</f>
        <v>#N/A</v>
      </c>
      <c r="AD153" s="61" t="str">
        <f t="shared" si="63"/>
        <v>0240-25</v>
      </c>
      <c r="AE153" s="91" t="str">
        <f t="shared" si="64"/>
        <v>aws s3 cp s3://rtdc.mdm.uploadarchive.raw/RTDC4045/ "%USERPROFILE%\AppData\Local\Temp\OnboardLogs"\RTDC4045\2016-11-26 --exclude "*" --recursive --include "*20161126*" &amp; "%USERPROFILE%\Documents\GitHub\mrs-test-scripts\Headless Mode &amp; Sideloading\WalkAndUnGZ.bat" "%USERPROFILE%\AppData\Local\Temp\OnboardLogs"\RTDC4045\2016-11-26 &amp; aws s3 cp s3://rtdc.mdm.uploadarchive.raw/RTDC4045/ "%USERPROFILE%\AppData\Local\Temp\OnboardLogs"\RTDC4045\2016-11-27 --exclude "*" --recursive --include "*20161127*" &amp; "%USERPROFILE%\Documents\GitHub\mrs-test-scripts\Headless Mode &amp; Sideloading\WalkAndUnGZ.bat" "%USERPROFILE%\AppData\Local\Temp\OnboardLogs"\RTDC4045\2016-11-27</v>
      </c>
      <c r="AF153" s="88" t="str">
        <f t="shared" si="65"/>
        <v>"C:\Program Files (x86)\AstroGrep\AstroGrep.exe" /spath="%USERPROFILE%\AppData\Local\Temp\OnboardLogs" /stypes="app*4045*20161126*" /stext=" 08:.+((SYSTEM_STATE.+slice.+state.+changed )|(ment ac)|(system.+state.+changed )|(\[timeout)|(PRM\|1\|D)|(kpr)|(kdp)|(\|lc)|(penalty))" /e /r /s</v>
      </c>
      <c r="AG153" s="1" t="str">
        <f t="shared" si="66"/>
        <v>EC</v>
      </c>
      <c r="AH153" s="92" t="str">
        <f t="shared" si="67"/>
        <v>"%USERPROFILE%\Documents\GitHub\eaglep3\Utilities\RefineRTDCRunTimes.py" --tripid 240-25 --locoid 4045 --swversion DE.1.0.8.0 --startMP 204:232991 --initTime 2016-11-26T00:21:50 --startdatetime 2016-11-26T00:26:21 --delay 1 --endMP 204:150 --enddatetime 2016-11-26T01:03:04 --enforcementcount 0 &gt;&gt;C:\Users\stu\Documents\GitHub\eaglep3-reporting\EC\2016-11-25-refined-times.txt</v>
      </c>
      <c r="AI153" s="119" t="str">
        <f t="shared" si="68"/>
        <v>echo {"issue":{"subject":"","project_id":79,"tracker_id":40,"status_id":1,"priority_id":2,"assigned_to_id":23,"start_date":"2016-11-26","description":"","custom_fields":[{"id":1,"name":"Subdivision","value":"EC"},{"id":4,"name":"Milepost","value":"0.015"},{"id":17,"name":"Train ID","value":"240-25"},{"id":16,"name":"Locomotive ID","value":"4045"},{"id":130,"name":"Impact","value":""},{"id":150,"name":"Time of Event (Mountain Time)","value":"01:03:04"},{"id":151,"name":"Denver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3"/>
      <c r="AK153" s="53"/>
      <c r="AL153" s="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1" customFormat="1" x14ac:dyDescent="0.25">
      <c r="A154" s="37" t="s">
        <v>623</v>
      </c>
      <c r="B154" s="7">
        <v>4014</v>
      </c>
      <c r="C154" s="22" t="s">
        <v>217</v>
      </c>
      <c r="D154" s="22" t="s">
        <v>216</v>
      </c>
      <c r="E154" s="13">
        <v>42699.991527777776</v>
      </c>
      <c r="F154" s="13">
        <v>42700.000289351854</v>
      </c>
      <c r="G154" s="7">
        <v>6</v>
      </c>
      <c r="H154" s="22" t="s">
        <v>672</v>
      </c>
      <c r="I154" s="13">
        <v>42700.026030092595</v>
      </c>
      <c r="J154" s="7">
        <v>0</v>
      </c>
      <c r="K154" s="109" t="str">
        <f t="shared" si="52"/>
        <v>4013/4014</v>
      </c>
      <c r="L154" s="22" t="str">
        <f>VLOOKUP(A154,'Trips&amp;Operators'!$C$1:$E$10000,3,FALSE)</f>
        <v>CHANDLER</v>
      </c>
      <c r="M154" s="6">
        <f t="shared" si="53"/>
        <v>2.5740740740729962E-2</v>
      </c>
      <c r="N154" s="7">
        <f t="shared" si="54"/>
        <v>37.066666666651145</v>
      </c>
      <c r="O154" s="7"/>
      <c r="P154" s="7"/>
      <c r="Q154" s="23"/>
      <c r="R154" s="23"/>
      <c r="S154" s="35">
        <f t="shared" si="55"/>
        <v>1</v>
      </c>
      <c r="T154" s="50" t="str">
        <f t="shared" si="56"/>
        <v>NorthBound</v>
      </c>
      <c r="U154" s="171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https://search-rtdc-monitor-bjffxe2xuh6vdkpspy63sjmuny.us-east-1.es.amazonaws.com/_plugin/kibana/#/discover/Steve-Slow-Train-Analysis-(2080s-and-2083s)?_g=(refreshInterval:(display:Off,section:0,value:0),time:(from:'2016-11-25 22:47:48-700',mode:absolute,to:'2016-11-26 01:37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54" s="52" t="str">
        <f t="shared" si="58"/>
        <v>N</v>
      </c>
      <c r="X154" s="177">
        <f t="shared" si="59"/>
        <v>1</v>
      </c>
      <c r="Y154" s="67">
        <f t="shared" si="60"/>
        <v>4.6399999999999997E-2</v>
      </c>
      <c r="Z154" s="67">
        <f t="shared" si="61"/>
        <v>23.328700000000001</v>
      </c>
      <c r="AA154" s="67">
        <f t="shared" si="62"/>
        <v>23.282300000000003</v>
      </c>
      <c r="AB154" s="64" t="e">
        <f>VLOOKUP(A154,Enforcements!$C$7:$K$20,8,0)</f>
        <v>#N/A</v>
      </c>
      <c r="AC154" s="60" t="e">
        <f>VLOOKUP(A154,Enforcements!$C$7:$E$20,3,0)</f>
        <v>#N/A</v>
      </c>
      <c r="AD154" s="61" t="str">
        <f t="shared" si="63"/>
        <v>0241-25</v>
      </c>
      <c r="AE154" s="91" t="str">
        <f t="shared" si="64"/>
        <v>aws s3 cp s3://rtdc.mdm.uploadarchive.raw/RTDC4014/ "%USERPROFILE%\AppData\Local\Temp\OnboardLogs"\RTDC4014\2016-11-26 --exclude "*" --recursive --include "*20161126*" &amp; "%USERPROFILE%\Documents\GitHub\mrs-test-scripts\Headless Mode &amp; Sideloading\WalkAndUnGZ.bat" "%USERPROFILE%\AppData\Local\Temp\OnboardLogs"\RTDC4014\2016-11-26 &amp; aws s3 cp s3://rtdc.mdm.uploadarchive.raw/RTDC4014/ "%USERPROFILE%\AppData\Local\Temp\OnboardLogs"\RTDC4014\2016-11-27 --exclude "*" --recursive --include "*20161127*" &amp; "%USERPROFILE%\Documents\GitHub\mrs-test-scripts\Headless Mode &amp; Sideloading\WalkAndUnGZ.bat" "%USERPROFILE%\AppData\Local\Temp\OnboardLogs"\RTDC4014\2016-11-27</v>
      </c>
      <c r="AF154" s="88" t="str">
        <f t="shared" si="65"/>
        <v>"C:\Program Files (x86)\AstroGrep\AstroGrep.exe" /spath="%USERPROFILE%\AppData\Local\Temp\OnboardLogs" /stypes="app*4014*20161126*" /stext=" 07:.+((SYSTEM_STATE.+slice.+state.+changed )|(ment ac)|(system.+state.+changed )|(\[timeout)|(PRM\|1\|D)|(kpr)|(kdp)|(\|lc)|(penalty))" /e /r /s</v>
      </c>
      <c r="AG154" s="1" t="str">
        <f t="shared" si="66"/>
        <v>EC</v>
      </c>
      <c r="AH154" s="92" t="str">
        <f t="shared" si="67"/>
        <v>"%USERPROFILE%\Documents\GitHub\eaglep3\Utilities\RefineRTDCRunTimes.py" --tripid 241-25 --locoid 4014 --swversion DE.1.0.8.0 --startMP 204:464 --initTime 2016-11-25T23:47:48 --startdatetime 2016-11-26T00:00:25 --delay 6 --endMP 204:233287 --enddatetime 2016-11-26T00:37:29 --enforcementcount 0 &gt;&gt;C:\Users\stu\Documents\GitHub\eaglep3-reporting\EC\2016-11-25-refined-times.txt</v>
      </c>
      <c r="AI154" s="119" t="str">
        <f t="shared" si="68"/>
        <v>echo {"issue":{"subject":"","project_id":79,"tracker_id":40,"status_id":1,"priority_id":2,"assigned_to_id":23,"start_date":"2016-11-26","description":"","custom_fields":[{"id":1,"name":"Subdivision","value":"EC"},{"id":4,"name":"Milepost","value":"23.3287"},{"id":17,"name":"Train ID","value":"241-25"},{"id":16,"name":"Locomotive ID","value":"4014"},{"id":130,"name":"Impact","value":""},{"id":150,"name":"Time of Event (Mountain Time)","value":"00:37:29"},{"id":151,"name":"Denver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3"/>
      <c r="AK154" s="53"/>
      <c r="AL154" s="53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1" customFormat="1" x14ac:dyDescent="0.25">
      <c r="A155" s="37" t="s">
        <v>463</v>
      </c>
      <c r="B155" s="7">
        <v>4013</v>
      </c>
      <c r="C155" s="22" t="s">
        <v>217</v>
      </c>
      <c r="D155" s="22" t="s">
        <v>673</v>
      </c>
      <c r="E155" s="13">
        <v>42700.032094907408</v>
      </c>
      <c r="F155" s="13">
        <v>42700.039282407408</v>
      </c>
      <c r="G155" s="7">
        <v>1</v>
      </c>
      <c r="H155" s="22" t="s">
        <v>359</v>
      </c>
      <c r="I155" s="13">
        <v>42700.069085648145</v>
      </c>
      <c r="J155" s="7">
        <v>1</v>
      </c>
      <c r="K155" s="109" t="str">
        <f t="shared" si="52"/>
        <v>4013/4014</v>
      </c>
      <c r="L155" s="22" t="str">
        <f>VLOOKUP(A155,'Trips&amp;Operators'!$C$1:$E$10000,3,FALSE)</f>
        <v>CHANDLER</v>
      </c>
      <c r="M155" s="6">
        <f t="shared" si="53"/>
        <v>2.9803240737237502E-2</v>
      </c>
      <c r="N155" s="7">
        <f t="shared" si="54"/>
        <v>42.916666661622003</v>
      </c>
      <c r="O155" s="7"/>
      <c r="P155" s="7"/>
      <c r="Q155" s="23"/>
      <c r="R155" s="23"/>
      <c r="S155" s="35">
        <f t="shared" si="55"/>
        <v>1</v>
      </c>
      <c r="T155" s="50" t="str">
        <f t="shared" si="56"/>
        <v>Southbound</v>
      </c>
      <c r="U155" s="171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https://search-rtdc-monitor-bjffxe2xuh6vdkpspy63sjmuny.us-east-1.es.amazonaws.com/_plugin/kibana/#/discover/Steve-Slow-Train-Analysis-(2080s-and-2083s)?_g=(refreshInterval:(display:Off,section:0,value:0),time:(from:'2016-11-25 23:46:13-700',mode:absolute,to:'2016-11-26 02:39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55" s="52" t="str">
        <f t="shared" si="58"/>
        <v>N</v>
      </c>
      <c r="X155" s="177">
        <f t="shared" si="59"/>
        <v>1</v>
      </c>
      <c r="Y155" s="67">
        <f t="shared" si="60"/>
        <v>23.2957</v>
      </c>
      <c r="Z155" s="67">
        <f t="shared" si="61"/>
        <v>2.2100000000000002E-2</v>
      </c>
      <c r="AA155" s="67">
        <f t="shared" si="62"/>
        <v>23.273600000000002</v>
      </c>
      <c r="AB155" s="64" t="e">
        <f>VLOOKUP(A155,Enforcements!$C$7:$K$20,8,0)</f>
        <v>#N/A</v>
      </c>
      <c r="AC155" s="60" t="e">
        <f>VLOOKUP(A155,Enforcements!$C$7:$E$20,3,0)</f>
        <v>#N/A</v>
      </c>
      <c r="AD155" s="61" t="str">
        <f t="shared" si="63"/>
        <v>0242-25</v>
      </c>
      <c r="AE155" s="91" t="str">
        <f t="shared" si="64"/>
        <v>aws s3 cp s3://rtdc.mdm.uploadarchive.raw/RTDC4013/ "%USERPROFILE%\AppData\Local\Temp\OnboardLogs"\RTDC4013\2016-11-26 --exclude "*" --recursive --include "*20161126*" &amp; "%USERPROFILE%\Documents\GitHub\mrs-test-scripts\Headless Mode &amp; Sideloading\WalkAndUnGZ.bat" "%USERPROFILE%\AppData\Local\Temp\OnboardLogs"\RTDC4013\2016-11-26 &amp; aws s3 cp s3://rtdc.mdm.uploadarchive.raw/RTDC4013/ "%USERPROFILE%\AppData\Local\Temp\OnboardLogs"\RTDC4013\2016-11-27 --exclude "*" --recursive --include "*20161127*" &amp; "%USERPROFILE%\Documents\GitHub\mrs-test-scripts\Headless Mode &amp; Sideloading\WalkAndUnGZ.bat" "%USERPROFILE%\AppData\Local\Temp\OnboardLogs"\RTDC4013\2016-11-27</v>
      </c>
      <c r="AF155" s="88" t="str">
        <f t="shared" si="65"/>
        <v>"C:\Program Files (x86)\AstroGrep\AstroGrep.exe" /spath="%USERPROFILE%\AppData\Local\Temp\OnboardLogs" /stypes="app*4013*20161126*" /stext=" 08:.+((SYSTEM_STATE.+slice.+state.+changed )|(ment ac)|(system.+state.+changed )|(\[timeout)|(PRM\|1\|D)|(kpr)|(kdp)|(\|lc)|(penalty))" /e /r /s</v>
      </c>
      <c r="AG155" s="1" t="str">
        <f t="shared" si="66"/>
        <v>EC</v>
      </c>
      <c r="AH155" s="92" t="str">
        <f t="shared" si="67"/>
        <v>"%USERPROFILE%\Documents\GitHub\eaglep3\Utilities\RefineRTDCRunTimes.py" --tripid 242-25 --locoid 4013 --swversion DE.1.0.8.0 --startMP 204:232957 --initTime 2016-11-26T00:46:13 --startdatetime 2016-11-26T00:56:34 --delay 1 --endMP 204:221 --enddatetime 2016-11-26T01:39:29 --enforcementcount 1 &gt;&gt;C:\Users\stu\Documents\GitHub\eaglep3-reporting\EC\2016-11-25-refined-times.txt</v>
      </c>
      <c r="AI155" s="119" t="str">
        <f t="shared" si="68"/>
        <v>echo {"issue":{"subject":"","project_id":79,"tracker_id":40,"status_id":1,"priority_id":2,"assigned_to_id":23,"start_date":"2016-11-26","description":"","custom_fields":[{"id":1,"name":"Subdivision","value":"EC"},{"id":4,"name":"Milepost","value":"0.0221"},{"id":17,"name":"Train ID","value":"242-25"},{"id":16,"name":"Locomotive ID","value":"4013"},{"id":130,"name":"Impact","value":""},{"id":150,"name":"Time of Event (Mountain Time)","value":"01:39:29"},{"id":151,"name":"Denver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3"/>
      <c r="AK155" s="53"/>
      <c r="AL155" s="53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1" customFormat="1" x14ac:dyDescent="0.25">
      <c r="A156" s="37" t="s">
        <v>625</v>
      </c>
      <c r="B156" s="7">
        <v>4042</v>
      </c>
      <c r="C156" s="22" t="s">
        <v>217</v>
      </c>
      <c r="D156" s="22" t="s">
        <v>330</v>
      </c>
      <c r="E156" s="13">
        <v>42700.00445601852</v>
      </c>
      <c r="F156" s="13">
        <v>42700.021145833336</v>
      </c>
      <c r="G156" s="7">
        <v>1</v>
      </c>
      <c r="H156" s="22" t="s">
        <v>187</v>
      </c>
      <c r="I156" s="13">
        <v>42700.045185185183</v>
      </c>
      <c r="J156" s="7">
        <v>0</v>
      </c>
      <c r="K156" s="109" t="str">
        <f t="shared" si="52"/>
        <v>4041/4042</v>
      </c>
      <c r="L156" s="22" t="str">
        <f>VLOOKUP(A156,'Trips&amp;Operators'!$C$1:$E$10000,3,FALSE)</f>
        <v>STAMBAUGH</v>
      </c>
      <c r="M156" s="6">
        <f t="shared" si="53"/>
        <v>2.4039351847022772E-2</v>
      </c>
      <c r="N156" s="7">
        <f t="shared" si="54"/>
        <v>34.616666659712791</v>
      </c>
      <c r="O156" s="7"/>
      <c r="P156" s="7"/>
      <c r="Q156" s="23"/>
      <c r="R156" s="23"/>
      <c r="S156" s="35">
        <f t="shared" si="55"/>
        <v>1</v>
      </c>
      <c r="T156" s="50" t="str">
        <f t="shared" si="56"/>
        <v>NorthBound</v>
      </c>
      <c r="U156" s="171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https://search-rtdc-monitor-bjffxe2xuh6vdkpspy63sjmuny.us-east-1.es.amazonaws.com/_plugin/kibana/#/discover/Steve-Slow-Train-Analysis-(2080s-and-2083s)?_g=(refreshInterval:(display:Off,section:0,value:0),time:(from:'2016-11-25 23:06:25-700',mode:absolute,to:'2016-11-26 02:05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56" s="52" t="str">
        <f t="shared" si="58"/>
        <v>N</v>
      </c>
      <c r="X156" s="177">
        <f t="shared" si="59"/>
        <v>1</v>
      </c>
      <c r="Y156" s="67">
        <f t="shared" si="60"/>
        <v>4.8000000000000001E-2</v>
      </c>
      <c r="Z156" s="67">
        <f t="shared" si="61"/>
        <v>23.329699999999999</v>
      </c>
      <c r="AA156" s="67">
        <f t="shared" si="62"/>
        <v>23.281700000000001</v>
      </c>
      <c r="AB156" s="64" t="e">
        <f>VLOOKUP(A156,Enforcements!$C$7:$K$20,8,0)</f>
        <v>#N/A</v>
      </c>
      <c r="AC156" s="60" t="e">
        <f>VLOOKUP(A156,Enforcements!$C$7:$E$20,3,0)</f>
        <v>#N/A</v>
      </c>
      <c r="AD156" s="61" t="str">
        <f t="shared" si="63"/>
        <v>0243-25</v>
      </c>
      <c r="AE156" s="91" t="str">
        <f t="shared" si="64"/>
        <v>aws s3 cp s3://rtdc.mdm.uploadarchive.raw/RTDC4042/ "%USERPROFILE%\AppData\Local\Temp\OnboardLogs"\RTDC4042\2016-11-26 --exclude "*" --recursive --include "*20161126*" &amp; "%USERPROFILE%\Documents\GitHub\mrs-test-scripts\Headless Mode &amp; Sideloading\WalkAndUnGZ.bat" "%USERPROFILE%\AppData\Local\Temp\OnboardLogs"\RTDC4042\2016-11-26 &amp; aws s3 cp s3://rtdc.mdm.uploadarchive.raw/RTDC4042/ "%USERPROFILE%\AppData\Local\Temp\OnboardLogs"\RTDC4042\2016-11-27 --exclude "*" --recursive --include "*20161127*" &amp; "%USERPROFILE%\Documents\GitHub\mrs-test-scripts\Headless Mode &amp; Sideloading\WalkAndUnGZ.bat" "%USERPROFILE%\AppData\Local\Temp\OnboardLogs"\RTDC4042\2016-11-27</v>
      </c>
      <c r="AF156" s="88" t="str">
        <f t="shared" si="65"/>
        <v>"C:\Program Files (x86)\AstroGrep\AstroGrep.exe" /spath="%USERPROFILE%\AppData\Local\Temp\OnboardLogs" /stypes="app*4042*20161126*" /stext=" 08:.+((SYSTEM_STATE.+slice.+state.+changed )|(ment ac)|(system.+state.+changed )|(\[timeout)|(PRM\|1\|D)|(kpr)|(kdp)|(\|lc)|(penalty))" /e /r /s</v>
      </c>
      <c r="AG156" s="1" t="str">
        <f t="shared" si="66"/>
        <v>EC</v>
      </c>
      <c r="AH156" s="92" t="str">
        <f t="shared" si="67"/>
        <v>"%USERPROFILE%\Documents\GitHub\eaglep3\Utilities\RefineRTDCRunTimes.py" --tripid 243-25 --locoid 4042 --swversion DE.1.0.8.0 --startMP 204:480 --initTime 2016-11-26T00:06:25 --startdatetime 2016-11-26T00:30:27 --delay 1 --endMP 204:233297 --enddatetime 2016-11-26T01:05:04 --enforcementcount 0 &gt;&gt;C:\Users\stu\Documents\GitHub\eaglep3-reporting\EC\2016-11-25-refined-times.txt</v>
      </c>
      <c r="AI156" s="119" t="str">
        <f t="shared" si="68"/>
        <v>echo {"issue":{"subject":"","project_id":79,"tracker_id":40,"status_id":1,"priority_id":2,"assigned_to_id":23,"start_date":"2016-11-26","description":"","custom_fields":[{"id":1,"name":"Subdivision","value":"EC"},{"id":4,"name":"Milepost","value":"23.3297"},{"id":17,"name":"Train ID","value":"243-25"},{"id":16,"name":"Locomotive ID","value":"4042"},{"id":130,"name":"Impact","value":""},{"id":150,"name":"Time of Event (Mountain Time)","value":"01:05:04"},{"id":151,"name":"Denver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3"/>
      <c r="AK156" s="53"/>
      <c r="AL156" s="53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1" customFormat="1" x14ac:dyDescent="0.25">
      <c r="A157" s="37" t="s">
        <v>629</v>
      </c>
      <c r="B157" s="7">
        <v>4041</v>
      </c>
      <c r="C157" s="22" t="s">
        <v>217</v>
      </c>
      <c r="D157" s="22" t="s">
        <v>674</v>
      </c>
      <c r="E157" s="13">
        <v>42700.053113425929</v>
      </c>
      <c r="F157" s="13">
        <v>42700.059907407405</v>
      </c>
      <c r="G157" s="7">
        <v>1</v>
      </c>
      <c r="H157" s="22" t="s">
        <v>224</v>
      </c>
      <c r="I157" s="13">
        <v>42700.085682870369</v>
      </c>
      <c r="J157" s="7">
        <v>0</v>
      </c>
      <c r="K157" s="109" t="str">
        <f t="shared" si="52"/>
        <v>4041/4042</v>
      </c>
      <c r="L157" s="22" t="str">
        <f>VLOOKUP(A157,'Trips&amp;Operators'!$C$1:$E$10000,3,FALSE)</f>
        <v>STAMBAUGH</v>
      </c>
      <c r="M157" s="6">
        <f t="shared" si="53"/>
        <v>2.5775462963792961E-2</v>
      </c>
      <c r="N157" s="7">
        <f t="shared" si="54"/>
        <v>37.116666667861864</v>
      </c>
      <c r="O157" s="7"/>
      <c r="P157" s="7"/>
      <c r="Q157" s="23"/>
      <c r="R157" s="23"/>
      <c r="S157" s="35">
        <f t="shared" si="55"/>
        <v>1</v>
      </c>
      <c r="T157" s="50" t="str">
        <f t="shared" si="56"/>
        <v>Southbound</v>
      </c>
      <c r="U157" s="171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https://search-rtdc-monitor-bjffxe2xuh6vdkpspy63sjmuny.us-east-1.es.amazonaws.com/_plugin/kibana/#/discover/Steve-Slow-Train-Analysis-(2080s-and-2083s)?_g=(refreshInterval:(display:Off,section:0,value:0),time:(from:'2016-11-26 00:16:29-700',mode:absolute,to:'2016-11-26 03:03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57" s="52" t="str">
        <f t="shared" si="58"/>
        <v>N</v>
      </c>
      <c r="X157" s="177">
        <f t="shared" si="59"/>
        <v>1</v>
      </c>
      <c r="Y157" s="67">
        <f t="shared" si="60"/>
        <v>23.296399999999998</v>
      </c>
      <c r="Z157" s="67">
        <f t="shared" si="61"/>
        <v>1.4999999999999999E-2</v>
      </c>
      <c r="AA157" s="67">
        <f t="shared" si="62"/>
        <v>23.281399999999998</v>
      </c>
      <c r="AB157" s="64" t="e">
        <f>VLOOKUP(A157,Enforcements!$C$7:$K$20,8,0)</f>
        <v>#N/A</v>
      </c>
      <c r="AC157" s="60" t="e">
        <f>VLOOKUP(A157,Enforcements!$C$7:$E$20,3,0)</f>
        <v>#N/A</v>
      </c>
      <c r="AD157" s="61" t="str">
        <f t="shared" si="63"/>
        <v>0244-25</v>
      </c>
      <c r="AE157" s="91" t="str">
        <f t="shared" si="64"/>
        <v>aws s3 cp s3://rtdc.mdm.uploadarchive.raw/RTDC4041/ "%USERPROFILE%\AppData\Local\Temp\OnboardLogs"\RTDC4041\2016-11-26 --exclude "*" --recursive --include "*20161126*" &amp; "%USERPROFILE%\Documents\GitHub\mrs-test-scripts\Headless Mode &amp; Sideloading\WalkAndUnGZ.bat" "%USERPROFILE%\AppData\Local\Temp\OnboardLogs"\RTDC4041\2016-11-26 &amp; aws s3 cp s3://rtdc.mdm.uploadarchive.raw/RTDC4041/ "%USERPROFILE%\AppData\Local\Temp\OnboardLogs"\RTDC4041\2016-11-27 --exclude "*" --recursive --include "*20161127*" &amp; "%USERPROFILE%\Documents\GitHub\mrs-test-scripts\Headless Mode &amp; Sideloading\WalkAndUnGZ.bat" "%USERPROFILE%\AppData\Local\Temp\OnboardLogs"\RTDC4041\2016-11-27</v>
      </c>
      <c r="AF157" s="88" t="str">
        <f t="shared" si="65"/>
        <v>"C:\Program Files (x86)\AstroGrep\AstroGrep.exe" /spath="%USERPROFILE%\AppData\Local\Temp\OnboardLogs" /stypes="app*4041*20161126*" /stext=" 09:.+((SYSTEM_STATE.+slice.+state.+changed )|(ment ac)|(system.+state.+changed )|(\[timeout)|(PRM\|1\|D)|(kpr)|(kdp)|(\|lc)|(penalty))" /e /r /s</v>
      </c>
      <c r="AG157" s="1" t="str">
        <f t="shared" si="66"/>
        <v>EC</v>
      </c>
      <c r="AH157" s="92" t="str">
        <f t="shared" si="67"/>
        <v>"%USERPROFILE%\Documents\GitHub\eaglep3\Utilities\RefineRTDCRunTimes.py" --tripid 244-25 --locoid 4041 --swversion DE.1.0.8.0 --startMP 204:232964 --initTime 2016-11-26T01:16:29 --startdatetime 2016-11-26T01:26:16 --delay 1 --endMP 204:150 --enddatetime 2016-11-26T02:03:23 --enforcementcount 0 &gt;&gt;C:\Users\stu\Documents\GitHub\eaglep3-reporting\EC\2016-11-25-refined-times.txt</v>
      </c>
      <c r="AI157" s="119" t="str">
        <f t="shared" si="68"/>
        <v>echo {"issue":{"subject":"","project_id":79,"tracker_id":40,"status_id":1,"priority_id":2,"assigned_to_id":23,"start_date":"2016-11-26","description":"","custom_fields":[{"id":1,"name":"Subdivision","value":"EC"},{"id":4,"name":"Milepost","value":"0.015"},{"id":17,"name":"Train ID","value":"244-25"},{"id":16,"name":"Locomotive ID","value":"4041"},{"id":130,"name":"Impact","value":""},{"id":150,"name":"Time of Event (Mountain Time)","value":"02:03:23"},{"id":151,"name":"Denver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3"/>
      <c r="AK157" s="53"/>
      <c r="AL157" s="53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1" customFormat="1" x14ac:dyDescent="0.25">
      <c r="A158" s="37" t="s">
        <v>627</v>
      </c>
      <c r="B158" s="7">
        <v>4040</v>
      </c>
      <c r="C158" s="22" t="s">
        <v>217</v>
      </c>
      <c r="D158" s="22" t="s">
        <v>276</v>
      </c>
      <c r="E158" s="13">
        <v>42700.036921296298</v>
      </c>
      <c r="F158" s="13">
        <v>42700.041909722226</v>
      </c>
      <c r="G158" s="7">
        <v>1</v>
      </c>
      <c r="H158" s="22" t="s">
        <v>257</v>
      </c>
      <c r="I158" s="13">
        <v>42700.067013888889</v>
      </c>
      <c r="J158" s="7">
        <v>0</v>
      </c>
      <c r="K158" s="109" t="str">
        <f t="shared" si="52"/>
        <v>4039/4040</v>
      </c>
      <c r="L158" s="22" t="str">
        <f>VLOOKUP(A158,'Trips&amp;Operators'!$C$1:$E$10000,3,FALSE)</f>
        <v>DAVIDSON</v>
      </c>
      <c r="M158" s="6">
        <f t="shared" si="53"/>
        <v>2.5104166663368233E-2</v>
      </c>
      <c r="N158" s="7">
        <f t="shared" si="54"/>
        <v>36.149999995250255</v>
      </c>
      <c r="O158" s="7"/>
      <c r="P158" s="7"/>
      <c r="Q158" s="23"/>
      <c r="R158" s="23"/>
      <c r="S158" s="35">
        <f t="shared" si="55"/>
        <v>1</v>
      </c>
      <c r="T158" s="50" t="str">
        <f t="shared" si="56"/>
        <v>NorthBound</v>
      </c>
      <c r="U158" s="171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https://search-rtdc-monitor-bjffxe2xuh6vdkpspy63sjmuny.us-east-1.es.amazonaws.com/_plugin/kibana/#/discover/Steve-Slow-Train-Analysis-(2080s-and-2083s)?_g=(refreshInterval:(display:Off,section:0,value:0),time:(from:'2016-11-25 23:53:10-700',mode:absolute,to:'2016-11-26 02:36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58" s="52" t="str">
        <f t="shared" si="58"/>
        <v>N</v>
      </c>
      <c r="X158" s="177">
        <f t="shared" si="59"/>
        <v>1</v>
      </c>
      <c r="Y158" s="67">
        <f t="shared" si="60"/>
        <v>4.5699999999999998E-2</v>
      </c>
      <c r="Z158" s="67">
        <f t="shared" si="61"/>
        <v>23.330400000000001</v>
      </c>
      <c r="AA158" s="67">
        <f t="shared" si="62"/>
        <v>23.284700000000001</v>
      </c>
      <c r="AB158" s="64" t="e">
        <f>VLOOKUP(A158,Enforcements!$C$7:$K$20,8,0)</f>
        <v>#N/A</v>
      </c>
      <c r="AC158" s="60" t="e">
        <f>VLOOKUP(A158,Enforcements!$C$7:$E$20,3,0)</f>
        <v>#N/A</v>
      </c>
      <c r="AD158" s="61" t="str">
        <f t="shared" si="63"/>
        <v>0245-25</v>
      </c>
      <c r="AE158" s="91" t="str">
        <f t="shared" si="64"/>
        <v>aws s3 cp s3://rtdc.mdm.uploadarchive.raw/RTDC4040/ "%USERPROFILE%\AppData\Local\Temp\OnboardLogs"\RTDC4040\2016-11-26 --exclude "*" --recursive --include "*20161126*" &amp; "%USERPROFILE%\Documents\GitHub\mrs-test-scripts\Headless Mode &amp; Sideloading\WalkAndUnGZ.bat" "%USERPROFILE%\AppData\Local\Temp\OnboardLogs"\RTDC4040\2016-11-26 &amp; aws s3 cp s3://rtdc.mdm.uploadarchive.raw/RTDC4040/ "%USERPROFILE%\AppData\Local\Temp\OnboardLogs"\RTDC4040\2016-11-27 --exclude "*" --recursive --include "*20161127*" &amp; "%USERPROFILE%\Documents\GitHub\mrs-test-scripts\Headless Mode &amp; Sideloading\WalkAndUnGZ.bat" "%USERPROFILE%\AppData\Local\Temp\OnboardLogs"\RTDC4040\2016-11-27</v>
      </c>
      <c r="AF158" s="88" t="str">
        <f t="shared" si="65"/>
        <v>"C:\Program Files (x86)\AstroGrep\AstroGrep.exe" /spath="%USERPROFILE%\AppData\Local\Temp\OnboardLogs" /stypes="app*4040*20161126*" /stext=" 08:.+((SYSTEM_STATE.+slice.+state.+changed )|(ment ac)|(system.+state.+changed )|(\[timeout)|(PRM\|1\|D)|(kpr)|(kdp)|(\|lc)|(penalty))" /e /r /s</v>
      </c>
      <c r="AG158" s="1" t="str">
        <f t="shared" si="66"/>
        <v>EC</v>
      </c>
      <c r="AH158" s="92" t="str">
        <f t="shared" si="67"/>
        <v>"%USERPROFILE%\Documents\GitHub\eaglep3\Utilities\RefineRTDCRunTimes.py" --tripid 245-25 --locoid 4040 --swversion DE.1.0.8.0 --startMP 204:457 --initTime 2016-11-26T00:53:10 --startdatetime 2016-11-26T01:00:21 --delay 1 --endMP 204:233304 --enddatetime 2016-11-26T01:36:30 --enforcementcount 0 &gt;&gt;C:\Users\stu\Documents\GitHub\eaglep3-reporting\EC\2016-11-25-refined-times.txt</v>
      </c>
      <c r="AI158" s="119" t="str">
        <f t="shared" si="68"/>
        <v>echo {"issue":{"subject":"","project_id":79,"tracker_id":40,"status_id":1,"priority_id":2,"assigned_to_id":23,"start_date":"2016-11-26","description":"","custom_fields":[{"id":1,"name":"Subdivision","value":"EC"},{"id":4,"name":"Milepost","value":"23.3304"},{"id":17,"name":"Train ID","value":"245-25"},{"id":16,"name":"Locomotive ID","value":"4040"},{"id":130,"name":"Impact","value":""},{"id":150,"name":"Time of Event (Mountain Time)","value":"01:36:30"},{"id":151,"name":"Denver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3"/>
      <c r="AK158" s="53"/>
      <c r="AL158" s="53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1" customFormat="1" x14ac:dyDescent="0.25">
      <c r="A159" s="37" t="s">
        <v>631</v>
      </c>
      <c r="B159" s="7">
        <v>4039</v>
      </c>
      <c r="C159" s="22" t="s">
        <v>217</v>
      </c>
      <c r="D159" s="22" t="s">
        <v>262</v>
      </c>
      <c r="E159" s="13">
        <v>42700.075243055559</v>
      </c>
      <c r="F159" s="13">
        <v>42700.080775462964</v>
      </c>
      <c r="G159" s="7">
        <v>1</v>
      </c>
      <c r="H159" s="22" t="s">
        <v>244</v>
      </c>
      <c r="I159" s="13">
        <v>42700.108831018515</v>
      </c>
      <c r="J159" s="7">
        <v>0</v>
      </c>
      <c r="K159" s="109" t="str">
        <f t="shared" si="52"/>
        <v>4039/4040</v>
      </c>
      <c r="L159" s="22" t="str">
        <f>VLOOKUP(A159,'Trips&amp;Operators'!$C$1:$E$10000,3,FALSE)</f>
        <v>DAVIDSON</v>
      </c>
      <c r="M159" s="6">
        <f t="shared" si="53"/>
        <v>2.8055555550963618E-2</v>
      </c>
      <c r="N159" s="7">
        <f t="shared" si="54"/>
        <v>40.39999999338761</v>
      </c>
      <c r="O159" s="7"/>
      <c r="P159" s="7"/>
      <c r="Q159" s="23"/>
      <c r="R159" s="23"/>
      <c r="S159" s="35">
        <f t="shared" si="55"/>
        <v>1</v>
      </c>
      <c r="T159" s="50" t="str">
        <f t="shared" si="56"/>
        <v>Southbound</v>
      </c>
      <c r="U159" s="171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https://search-rtdc-monitor-bjffxe2xuh6vdkpspy63sjmuny.us-east-1.es.amazonaws.com/_plugin/kibana/#/discover/Steve-Slow-Train-Analysis-(2080s-and-2083s)?_g=(refreshInterval:(display:Off,section:0,value:0),time:(from:'2016-11-26 00:48:21-700',mode:absolute,to:'2016-11-26 03:36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59" s="52" t="str">
        <f t="shared" si="58"/>
        <v>N</v>
      </c>
      <c r="X159" s="177">
        <f t="shared" si="59"/>
        <v>1</v>
      </c>
      <c r="Y159" s="67">
        <f t="shared" si="60"/>
        <v>23.298300000000001</v>
      </c>
      <c r="Z159" s="67">
        <f t="shared" si="61"/>
        <v>1.41E-2</v>
      </c>
      <c r="AA159" s="67">
        <f t="shared" si="62"/>
        <v>23.284200000000002</v>
      </c>
      <c r="AB159" s="64" t="e">
        <f>VLOOKUP(A159,Enforcements!$C$7:$K$20,8,0)</f>
        <v>#N/A</v>
      </c>
      <c r="AC159" s="60" t="e">
        <f>VLOOKUP(A159,Enforcements!$C$7:$E$20,3,0)</f>
        <v>#N/A</v>
      </c>
      <c r="AD159" s="61" t="str">
        <f t="shared" si="63"/>
        <v>0246-25</v>
      </c>
      <c r="AE159" s="91" t="str">
        <f t="shared" si="64"/>
        <v>aws s3 cp s3://rtdc.mdm.uploadarchive.raw/RTDC4039/ "%USERPROFILE%\AppData\Local\Temp\OnboardLogs"\RTDC4039\2016-11-26 --exclude "*" --recursive --include "*20161126*" &amp; "%USERPROFILE%\Documents\GitHub\mrs-test-scripts\Headless Mode &amp; Sideloading\WalkAndUnGZ.bat" "%USERPROFILE%\AppData\Local\Temp\OnboardLogs"\RTDC4039\2016-11-26 &amp; aws s3 cp s3://rtdc.mdm.uploadarchive.raw/RTDC4039/ "%USERPROFILE%\AppData\Local\Temp\OnboardLogs"\RTDC4039\2016-11-27 --exclude "*" --recursive --include "*20161127*" &amp; "%USERPROFILE%\Documents\GitHub\mrs-test-scripts\Headless Mode &amp; Sideloading\WalkAndUnGZ.bat" "%USERPROFILE%\AppData\Local\Temp\OnboardLogs"\RTDC4039\2016-11-27</v>
      </c>
      <c r="AF159" s="88" t="str">
        <f t="shared" si="65"/>
        <v>"C:\Program Files (x86)\AstroGrep\AstroGrep.exe" /spath="%USERPROFILE%\AppData\Local\Temp\OnboardLogs" /stypes="app*4039*20161126*" /stext=" 09:.+((SYSTEM_STATE.+slice.+state.+changed )|(ment ac)|(system.+state.+changed )|(\[timeout)|(PRM\|1\|D)|(kpr)|(kdp)|(\|lc)|(penalty))" /e /r /s</v>
      </c>
      <c r="AG159" s="1" t="str">
        <f t="shared" si="66"/>
        <v>EC</v>
      </c>
      <c r="AH159" s="92" t="str">
        <f t="shared" si="67"/>
        <v>"%USERPROFILE%\Documents\GitHub\eaglep3\Utilities\RefineRTDCRunTimes.py" --tripid 246-25 --locoid 4039 --swversion DE.1.0.8.0 --startMP 204:232983 --initTime 2016-11-26T01:48:21 --startdatetime 2016-11-26T01:56:19 --delay 1 --endMP 204:141 --enddatetime 2016-11-26T02:36:43 --enforcementcount 0 &gt;&gt;C:\Users\stu\Documents\GitHub\eaglep3-reporting\EC\2016-11-25-refined-times.txt</v>
      </c>
      <c r="AI159" s="119" t="str">
        <f t="shared" si="68"/>
        <v>echo {"issue":{"subject":"","project_id":79,"tracker_id":40,"status_id":1,"priority_id":2,"assigned_to_id":23,"start_date":"2016-11-26","description":"","custom_fields":[{"id":1,"name":"Subdivision","value":"EC"},{"id":4,"name":"Milepost","value":"0.0141"},{"id":17,"name":"Train ID","value":"246-25"},{"id":16,"name":"Locomotive ID","value":"4039"},{"id":130,"name":"Impact","value":""},{"id":150,"name":"Time of Event (Mountain Time)","value":"02:36:43"},{"id":151,"name":"Denver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3"/>
      <c r="AK159" s="53"/>
      <c r="AL159" s="53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1" customFormat="1" x14ac:dyDescent="0.25">
      <c r="A160" s="37" t="s">
        <v>407</v>
      </c>
      <c r="B160" s="7">
        <v>4021</v>
      </c>
      <c r="C160" s="22" t="s">
        <v>217</v>
      </c>
      <c r="D160" s="22" t="s">
        <v>332</v>
      </c>
      <c r="E160" s="13">
        <v>42699.217303240737</v>
      </c>
      <c r="F160" s="13">
        <v>42699.218599537038</v>
      </c>
      <c r="G160" s="7">
        <v>1</v>
      </c>
      <c r="H160" s="22" t="s">
        <v>392</v>
      </c>
      <c r="I160" s="13">
        <v>42699.228587962964</v>
      </c>
      <c r="J160" s="7">
        <v>2</v>
      </c>
      <c r="K160" s="109" t="str">
        <f t="shared" si="52"/>
        <v>4021/4022</v>
      </c>
      <c r="L160" s="22" t="str">
        <f>VLOOKUP(A160,'Trips&amp;Operators'!$C$1:$E$10000,3,FALSE)</f>
        <v>STRICKLAND</v>
      </c>
      <c r="M160" s="6">
        <f t="shared" si="53"/>
        <v>9.9884259252576157E-3</v>
      </c>
      <c r="N160" s="7">
        <f t="shared" si="54"/>
        <v>14.383333332370967</v>
      </c>
      <c r="O160" s="7"/>
      <c r="P160" s="7"/>
      <c r="Q160" s="23"/>
      <c r="R160" s="23"/>
      <c r="S160" s="35">
        <f t="shared" si="55"/>
        <v>1</v>
      </c>
      <c r="T160" s="50" t="str">
        <f t="shared" si="56"/>
        <v>Southbound</v>
      </c>
      <c r="U160" s="171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https://search-rtdc-monitor-bjffxe2xuh6vdkpspy63sjmuny.us-east-1.es.amazonaws.com/_plugin/kibana/#/discover/Steve-Slow-Train-Analysis-(2080s-and-2083s)?_g=(refreshInterval:(display:Off,section:0,value:0),time:(from:'2016-11-25 04:12:55-700',mode:absolute,to:'2016-11-25 06:29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60" s="52" t="str">
        <f t="shared" si="58"/>
        <v>N</v>
      </c>
      <c r="X160" s="177">
        <f t="shared" si="59"/>
        <v>554</v>
      </c>
      <c r="Y160" s="67">
        <f t="shared" si="60"/>
        <v>5.8620999999999999</v>
      </c>
      <c r="Z160" s="67">
        <f t="shared" si="61"/>
        <v>7.5499999999999998E-2</v>
      </c>
      <c r="AA160" s="67">
        <f t="shared" si="62"/>
        <v>5.7866</v>
      </c>
      <c r="AB160" s="64" t="e">
        <f>VLOOKUP(A160,Enforcements!$C$7:$K$20,8,0)</f>
        <v>#N/A</v>
      </c>
      <c r="AC160" s="60" t="e">
        <f>VLOOKUP(A160,Enforcements!$C$7:$E$20,3,0)</f>
        <v>#N/A</v>
      </c>
      <c r="AD160" s="61" t="str">
        <f t="shared" si="63"/>
        <v>0800-25</v>
      </c>
      <c r="AE160" s="91" t="str">
        <f t="shared" si="64"/>
        <v>aws s3 cp s3://rtdc.mdm.uploadarchive.raw/RTDC4021/ "%USERPROFILE%\AppData\Local\Temp\OnboardLogs"\RTDC4021\2016-11-25 --exclude "*" --recursive --include "*20161125*" &amp; "%USERPROFILE%\Documents\GitHub\mrs-test-scripts\Headless Mode &amp; Sideloading\WalkAndUnGZ.bat" "%USERPROFILE%\AppData\Local\Temp\OnboardLogs"\RTDC4021\2016-11-25 &amp; aws s3 cp s3://rtdc.mdm.uploadarchive.raw/RTDC4021/ "%USERPROFILE%\AppData\Local\Temp\OnboardLogs"\RTDC4021\2016-11-26 --exclude "*" --recursive --include "*20161126*" &amp; "%USERPROFILE%\Documents\GitHub\mrs-test-scripts\Headless Mode &amp; Sideloading\WalkAndUnGZ.bat" "%USERPROFILE%\AppData\Local\Temp\OnboardLogs"\RTDC4021\2016-11-26</v>
      </c>
      <c r="AF160" s="88" t="str">
        <f t="shared" si="65"/>
        <v>"C:\Program Files (x86)\AstroGrep\AstroGrep.exe" /spath="%USERPROFILE%\AppData\Local\Temp\OnboardLogs" /stypes="app*4021*20161125*" /stext=" 12:.+((SYSTEM_STATE.+slice.+state.+changed )|(ment ac)|(system.+state.+changed )|(\[timeout)|(PRM\|1\|D)|(kpr)|(kdp)|(\|lc)|(penalty))" /e /r /s</v>
      </c>
      <c r="AG160" s="1" t="str">
        <f t="shared" si="66"/>
        <v>NW</v>
      </c>
      <c r="AH160" s="92" t="str">
        <f t="shared" si="67"/>
        <v>"%USERPROFILE%\Documents\GitHub\eaglep3\Utilities\RefineRTDCRunTimes.py" --tripid 800-25 --locoid 4021 --swversion DE.1.0.8.0 --startMP 300:58621 --initTime 2016-11-25T05:12:55 --startdatetime 2016-11-25T05:14:47 --delay 1 --endMP 204:755 --enddatetime 2016-11-25T05:29:10 --enforcementcount 2 &gt;&gt;C:\Users\stu\Documents\GitHub\eaglep3-reporting\EC\2016-11-25-refined-times.txt</v>
      </c>
      <c r="AI160" s="119" t="str">
        <f t="shared" si="68"/>
        <v>echo {"issue":{"subject":"","project_id":79,"tracker_id":40,"status_id":1,"priority_id":2,"assigned_to_id":23,"start_date":"2016-11-25","description":"","custom_fields":[{"id":1,"name":"Subdivision","value":"NW"},{"id":4,"name":"Milepost","value":"0.0755"},{"id":17,"name":"Train ID","value":"800-25"},{"id":16,"name":"Locomotive ID","value":"4021"},{"id":130,"name":"Impact","value":""},{"id":150,"name":"Time of Event (Mountain Time)","value":"05:29:10"},{"id":151,"name":"Denver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3"/>
      <c r="AK160" s="53"/>
      <c r="AL160" s="53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1" customFormat="1" x14ac:dyDescent="0.25">
      <c r="A161" s="37" t="s">
        <v>481</v>
      </c>
      <c r="B161" s="7">
        <v>4022</v>
      </c>
      <c r="C161" s="22" t="s">
        <v>217</v>
      </c>
      <c r="D161" s="22" t="s">
        <v>335</v>
      </c>
      <c r="E161" s="13">
        <v>42699.231180555558</v>
      </c>
      <c r="F161" s="13">
        <v>42699.244027777779</v>
      </c>
      <c r="G161" s="7">
        <v>1</v>
      </c>
      <c r="H161" s="22" t="s">
        <v>398</v>
      </c>
      <c r="I161" s="13">
        <v>42699.254305555558</v>
      </c>
      <c r="J161" s="7">
        <v>0</v>
      </c>
      <c r="K161" s="109" t="str">
        <f t="shared" si="52"/>
        <v>4021/4022</v>
      </c>
      <c r="L161" s="22" t="str">
        <f>VLOOKUP(A161,'Trips&amp;Operators'!$C$1:$E$10000,3,FALSE)</f>
        <v>STRICKLAND</v>
      </c>
      <c r="M161" s="6">
        <f t="shared" si="53"/>
        <v>1.0277777779265307E-2</v>
      </c>
      <c r="N161" s="7">
        <f t="shared" si="54"/>
        <v>14.800000002142042</v>
      </c>
      <c r="O161" s="7"/>
      <c r="P161" s="7"/>
      <c r="Q161" s="23"/>
      <c r="R161" s="23"/>
      <c r="S161" s="35">
        <f t="shared" si="55"/>
        <v>1</v>
      </c>
      <c r="T161" s="50" t="str">
        <f t="shared" si="56"/>
        <v>NorthBound</v>
      </c>
      <c r="U161" s="171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https://search-rtdc-monitor-bjffxe2xuh6vdkpspy63sjmuny.us-east-1.es.amazonaws.com/_plugin/kibana/#/discover/Steve-Slow-Train-Analysis-(2080s-and-2083s)?_g=(refreshInterval:(display:Off,section:0,value:0),time:(from:'2016-11-25 04:32:54-700',mode:absolute,to:'2016-11-25 07:06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61" s="52" t="str">
        <f t="shared" si="58"/>
        <v>N</v>
      </c>
      <c r="X161" s="177">
        <f t="shared" si="59"/>
        <v>1</v>
      </c>
      <c r="Y161" s="67">
        <f t="shared" si="60"/>
        <v>0.10349999999999999</v>
      </c>
      <c r="Z161" s="67">
        <f t="shared" si="61"/>
        <v>5.8935000000000004</v>
      </c>
      <c r="AA161" s="67">
        <f t="shared" si="62"/>
        <v>5.79</v>
      </c>
      <c r="AB161" s="64" t="e">
        <f>VLOOKUP(A161,Enforcements!$C$7:$K$20,8,0)</f>
        <v>#N/A</v>
      </c>
      <c r="AC161" s="60" t="e">
        <f>VLOOKUP(A161,Enforcements!$C$7:$E$20,3,0)</f>
        <v>#N/A</v>
      </c>
      <c r="AD161" s="61" t="str">
        <f t="shared" si="63"/>
        <v>0801-25</v>
      </c>
      <c r="AE161" s="91" t="str">
        <f t="shared" si="64"/>
        <v>aws s3 cp s3://rtdc.mdm.uploadarchive.raw/RTDC4022/ "%USERPROFILE%\AppData\Local\Temp\OnboardLogs"\RTDC4022\2016-11-25 --exclude "*" --recursive --include "*20161125*" &amp; "%USERPROFILE%\Documents\GitHub\mrs-test-scripts\Headless Mode &amp; Sideloading\WalkAndUnGZ.bat" "%USERPROFILE%\AppData\Local\Temp\OnboardLogs"\RTDC4022\2016-11-25 &amp; aws s3 cp s3://rtdc.mdm.uploadarchive.raw/RTDC4022/ "%USERPROFILE%\AppData\Local\Temp\OnboardLogs"\RTDC4022\2016-11-26 --exclude "*" --recursive --include "*20161126*" &amp; "%USERPROFILE%\Documents\GitHub\mrs-test-scripts\Headless Mode &amp; Sideloading\WalkAndUnGZ.bat" "%USERPROFILE%\AppData\Local\Temp\OnboardLogs"\RTDC4022\2016-11-26</v>
      </c>
      <c r="AF161" s="88" t="str">
        <f t="shared" si="65"/>
        <v>"C:\Program Files (x86)\AstroGrep\AstroGrep.exe" /spath="%USERPROFILE%\AppData\Local\Temp\OnboardLogs" /stypes="app*4022*20161125*" /stext=" 13:.+((SYSTEM_STATE.+slice.+state.+changed )|(ment ac)|(system.+state.+changed )|(\[timeout)|(PRM\|1\|D)|(kpr)|(kdp)|(\|lc)|(penalty))" /e /r /s</v>
      </c>
      <c r="AG161" s="1" t="str">
        <f t="shared" si="66"/>
        <v>NW</v>
      </c>
      <c r="AH161" s="92" t="str">
        <f t="shared" si="67"/>
        <v>"%USERPROFILE%\Documents\GitHub\eaglep3\Utilities\RefineRTDCRunTimes.py" --tripid 801-25 --locoid 4022 --swversion DE.1.0.8.0 --startMP 204:1035 --initTime 2016-11-25T05:32:54 --startdatetime 2016-11-25T05:51:24 --delay 1 --endMP 300:58935 --enddatetime 2016-11-25T06:06:12 --enforcementcount 0 &gt;&gt;C:\Users\stu\Documents\GitHub\eaglep3-reporting\EC\2016-11-25-refined-times.txt</v>
      </c>
      <c r="AI161" s="119" t="str">
        <f t="shared" si="68"/>
        <v>echo {"issue":{"subject":"","project_id":79,"tracker_id":40,"status_id":1,"priority_id":2,"assigned_to_id":23,"start_date":"2016-11-25","description":"","custom_fields":[{"id":1,"name":"Subdivision","value":"NW"},{"id":4,"name":"Milepost","value":"5.8935"},{"id":17,"name":"Train ID","value":"801-25"},{"id":16,"name":"Locomotive ID","value":"4022"},{"id":130,"name":"Impact","value":""},{"id":150,"name":"Time of Event (Mountain Time)","value":"06:06:12"},{"id":151,"name":"Denver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3"/>
      <c r="AK161" s="53"/>
      <c r="AL161" s="53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1" customFormat="1" x14ac:dyDescent="0.25">
      <c r="A162" s="37" t="s">
        <v>489</v>
      </c>
      <c r="B162" s="7">
        <v>4021</v>
      </c>
      <c r="C162" s="22" t="s">
        <v>217</v>
      </c>
      <c r="D162" s="22" t="s">
        <v>384</v>
      </c>
      <c r="E162" s="13">
        <v>42699.255312499998</v>
      </c>
      <c r="F162" s="13">
        <v>42699.256574074076</v>
      </c>
      <c r="G162" s="7">
        <v>1</v>
      </c>
      <c r="H162" s="22" t="s">
        <v>396</v>
      </c>
      <c r="I162" s="13">
        <v>42699.268287037034</v>
      </c>
      <c r="J162" s="7">
        <v>0</v>
      </c>
      <c r="K162" s="109" t="str">
        <f t="shared" si="52"/>
        <v>4021/4022</v>
      </c>
      <c r="L162" s="22" t="str">
        <f>VLOOKUP(A162,'Trips&amp;Operators'!$C$1:$E$10000,3,FALSE)</f>
        <v>STRICKLAND</v>
      </c>
      <c r="M162" s="6">
        <f t="shared" si="53"/>
        <v>1.1712962957972195E-2</v>
      </c>
      <c r="N162" s="7">
        <f t="shared" si="54"/>
        <v>16.866666659479961</v>
      </c>
      <c r="O162" s="7"/>
      <c r="P162" s="7"/>
      <c r="Q162" s="23"/>
      <c r="R162" s="23"/>
      <c r="S162" s="35">
        <f t="shared" si="55"/>
        <v>1</v>
      </c>
      <c r="T162" s="50" t="str">
        <f t="shared" si="56"/>
        <v>Southbound</v>
      </c>
      <c r="U162" s="171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https://search-rtdc-monitor-bjffxe2xuh6vdkpspy63sjmuny.us-east-1.es.amazonaws.com/_plugin/kibana/#/discover/Steve-Slow-Train-Analysis-(2080s-and-2083s)?_g=(refreshInterval:(display:Off,section:0,value:0),time:(from:'2016-11-25 05:07:39-700',mode:absolute,to:'2016-11-25 07:26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62" s="52" t="str">
        <f t="shared" si="58"/>
        <v>N</v>
      </c>
      <c r="X162" s="177">
        <f t="shared" si="59"/>
        <v>1</v>
      </c>
      <c r="Y162" s="67">
        <f t="shared" si="60"/>
        <v>5.8623000000000003</v>
      </c>
      <c r="Z162" s="67">
        <f t="shared" si="61"/>
        <v>7.3300000000000004E-2</v>
      </c>
      <c r="AA162" s="67">
        <f t="shared" si="62"/>
        <v>5.7890000000000006</v>
      </c>
      <c r="AB162" s="64" t="e">
        <f>VLOOKUP(A162,Enforcements!$C$7:$K$20,8,0)</f>
        <v>#N/A</v>
      </c>
      <c r="AC162" s="60" t="e">
        <f>VLOOKUP(A162,Enforcements!$C$7:$E$20,3,0)</f>
        <v>#N/A</v>
      </c>
      <c r="AD162" s="61" t="str">
        <f t="shared" si="63"/>
        <v>0802-25</v>
      </c>
      <c r="AE162" s="91" t="str">
        <f t="shared" si="64"/>
        <v>aws s3 cp s3://rtdc.mdm.uploadarchive.raw/RTDC4021/ "%USERPROFILE%\AppData\Local\Temp\OnboardLogs"\RTDC4021\2016-11-25 --exclude "*" --recursive --include "*20161125*" &amp; "%USERPROFILE%\Documents\GitHub\mrs-test-scripts\Headless Mode &amp; Sideloading\WalkAndUnGZ.bat" "%USERPROFILE%\AppData\Local\Temp\OnboardLogs"\RTDC4021\2016-11-25 &amp; aws s3 cp s3://rtdc.mdm.uploadarchive.raw/RTDC4021/ "%USERPROFILE%\AppData\Local\Temp\OnboardLogs"\RTDC4021\2016-11-26 --exclude "*" --recursive --include "*20161126*" &amp; "%USERPROFILE%\Documents\GitHub\mrs-test-scripts\Headless Mode &amp; Sideloading\WalkAndUnGZ.bat" "%USERPROFILE%\AppData\Local\Temp\OnboardLogs"\RTDC4021\2016-11-26</v>
      </c>
      <c r="AF162" s="88" t="str">
        <f t="shared" si="65"/>
        <v>"C:\Program Files (x86)\AstroGrep\AstroGrep.exe" /spath="%USERPROFILE%\AppData\Local\Temp\OnboardLogs" /stypes="app*4021*20161125*" /stext=" 13:.+((SYSTEM_STATE.+slice.+state.+changed )|(ment ac)|(system.+state.+changed )|(\[timeout)|(PRM\|1\|D)|(kpr)|(kdp)|(\|lc)|(penalty))" /e /r /s</v>
      </c>
      <c r="AG162" s="1" t="str">
        <f t="shared" si="66"/>
        <v>NW</v>
      </c>
      <c r="AH162" s="92" t="str">
        <f t="shared" si="67"/>
        <v>"%USERPROFILE%\Documents\GitHub\eaglep3\Utilities\RefineRTDCRunTimes.py" --tripid 802-25 --locoid 4021 --swversion DE.1.0.8.0 --startMP 300:58623 --initTime 2016-11-25T06:07:39 --startdatetime 2016-11-25T06:09:28 --delay 1 --endMP 204:733 --enddatetime 2016-11-25T06:26:20 --enforcementcount 0 &gt;&gt;C:\Users\stu\Documents\GitHub\eaglep3-reporting\EC\2016-11-25-refined-times.txt</v>
      </c>
      <c r="AI162" s="119" t="str">
        <f t="shared" si="68"/>
        <v>echo {"issue":{"subject":"","project_id":79,"tracker_id":40,"status_id":1,"priority_id":2,"assigned_to_id":23,"start_date":"2016-11-25","description":"","custom_fields":[{"id":1,"name":"Subdivision","value":"NW"},{"id":4,"name":"Milepost","value":"0.0733"},{"id":17,"name":"Train ID","value":"802-25"},{"id":16,"name":"Locomotive ID","value":"4021"},{"id":130,"name":"Impact","value":""},{"id":150,"name":"Time of Event (Mountain Time)","value":"06:26:20"},{"id":151,"name":"Denver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3"/>
      <c r="AK162" s="53"/>
      <c r="AL162" s="53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1" customFormat="1" x14ac:dyDescent="0.25">
      <c r="A163" s="37" t="s">
        <v>408</v>
      </c>
      <c r="B163" s="7">
        <v>4003</v>
      </c>
      <c r="C163" s="22" t="s">
        <v>217</v>
      </c>
      <c r="D163" s="22" t="s">
        <v>709</v>
      </c>
      <c r="E163" s="13">
        <v>42699.260011574072</v>
      </c>
      <c r="F163" s="13">
        <v>42699.264872685184</v>
      </c>
      <c r="G163" s="7">
        <v>1</v>
      </c>
      <c r="H163" s="22" t="s">
        <v>333</v>
      </c>
      <c r="I163" s="13">
        <v>42699.273900462962</v>
      </c>
      <c r="J163" s="7">
        <v>1</v>
      </c>
      <c r="K163" s="109" t="str">
        <f t="shared" si="52"/>
        <v>4003/4004</v>
      </c>
      <c r="L163" s="22" t="str">
        <f>VLOOKUP(A163,'Trips&amp;Operators'!$C$1:$E$10000,3,FALSE)</f>
        <v>YORK</v>
      </c>
      <c r="M163" s="6">
        <f t="shared" si="53"/>
        <v>9.0277777781011537E-3</v>
      </c>
      <c r="N163" s="7">
        <f t="shared" si="54"/>
        <v>13.000000000465661</v>
      </c>
      <c r="O163" s="7"/>
      <c r="P163" s="7"/>
      <c r="Q163" s="23"/>
      <c r="R163" s="23"/>
      <c r="S163" s="35">
        <f t="shared" si="55"/>
        <v>1</v>
      </c>
      <c r="T163" s="50" t="str">
        <f t="shared" si="56"/>
        <v>NorthBound</v>
      </c>
      <c r="U163" s="171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https://search-rtdc-monitor-bjffxe2xuh6vdkpspy63sjmuny.us-east-1.es.amazonaws.com/_plugin/kibana/#/discover/Steve-Slow-Train-Analysis-(2080s-and-2083s)?_g=(refreshInterval:(display:Off,section:0,value:0),time:(from:'2016-11-25 05:14:25-700',mode:absolute,to:'2016-11-25 07:34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63" s="52" t="str">
        <f t="shared" si="58"/>
        <v>N</v>
      </c>
      <c r="X163" s="177">
        <f t="shared" si="59"/>
        <v>1</v>
      </c>
      <c r="Y163" s="67">
        <f t="shared" si="60"/>
        <v>0.1125</v>
      </c>
      <c r="Z163" s="67">
        <f t="shared" si="61"/>
        <v>5.8930999999999996</v>
      </c>
      <c r="AA163" s="67">
        <f t="shared" si="62"/>
        <v>5.7805999999999997</v>
      </c>
      <c r="AB163" s="64" t="e">
        <f>VLOOKUP(A163,Enforcements!$C$7:$K$20,8,0)</f>
        <v>#N/A</v>
      </c>
      <c r="AC163" s="60" t="e">
        <f>VLOOKUP(A163,Enforcements!$C$7:$E$20,3,0)</f>
        <v>#N/A</v>
      </c>
      <c r="AD163" s="61" t="str">
        <f t="shared" si="63"/>
        <v>0803-25</v>
      </c>
      <c r="AE163" s="91" t="str">
        <f t="shared" si="64"/>
        <v>aws s3 cp s3://rtdc.mdm.uploadarchive.raw/RTDC4003/ "%USERPROFILE%\AppData\Local\Temp\OnboardLogs"\RTDC4003\2016-11-25 --exclude "*" --recursive --include "*20161125*" &amp; "%USERPROFILE%\Documents\GitHub\mrs-test-scripts\Headless Mode &amp; Sideloading\WalkAndUnGZ.bat" "%USERPROFILE%\AppData\Local\Temp\OnboardLogs"\RTDC4003\2016-11-25 &amp; aws s3 cp s3://rtdc.mdm.uploadarchive.raw/RTDC4003/ "%USERPROFILE%\AppData\Local\Temp\OnboardLogs"\RTDC4003\2016-11-26 --exclude "*" --recursive --include "*20161126*" &amp; "%USERPROFILE%\Documents\GitHub\mrs-test-scripts\Headless Mode &amp; Sideloading\WalkAndUnGZ.bat" "%USERPROFILE%\AppData\Local\Temp\OnboardLogs"\RTDC4003\2016-11-26</v>
      </c>
      <c r="AF163" s="88" t="str">
        <f t="shared" si="65"/>
        <v>"C:\Program Files (x86)\AstroGrep\AstroGrep.exe" /spath="%USERPROFILE%\AppData\Local\Temp\OnboardLogs" /stypes="app*4003*20161125*" /stext=" 13:.+((SYSTEM_STATE.+slice.+state.+changed )|(ment ac)|(system.+state.+changed )|(\[timeout)|(PRM\|1\|D)|(kpr)|(kdp)|(\|lc)|(penalty))" /e /r /s</v>
      </c>
      <c r="AG163" s="1" t="str">
        <f t="shared" si="66"/>
        <v>NW</v>
      </c>
      <c r="AH163" s="92" t="str">
        <f t="shared" si="67"/>
        <v>"%USERPROFILE%\Documents\GitHub\eaglep3\Utilities\RefineRTDCRunTimes.py" --tripid 803-25 --locoid 4003 --swversion DE.1.0.8.0 --startMP 204:1125 --initTime 2016-11-25T06:14:25 --startdatetime 2016-11-25T06:21:25 --delay 1 --endMP 300:58931 --enddatetime 2016-11-25T06:34:25 --enforcementcount 1 &gt;&gt;C:\Users\stu\Documents\GitHub\eaglep3-reporting\EC\2016-11-25-refined-times.txt</v>
      </c>
      <c r="AI163" s="119" t="str">
        <f t="shared" si="68"/>
        <v>echo {"issue":{"subject":"","project_id":79,"tracker_id":40,"status_id":1,"priority_id":2,"assigned_to_id":23,"start_date":"2016-11-25","description":"","custom_fields":[{"id":1,"name":"Subdivision","value":"NW"},{"id":4,"name":"Milepost","value":"5.8931"},{"id":17,"name":"Train ID","value":"803-25"},{"id":16,"name":"Locomotive ID","value":"4003"},{"id":130,"name":"Impact","value":""},{"id":150,"name":"Time of Event (Mountain Time)","value":"06:34:25"},{"id":151,"name":"Denver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3"/>
      <c r="AK163" s="53"/>
      <c r="AL163" s="5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1" customFormat="1" x14ac:dyDescent="0.25">
      <c r="A164" s="37" t="s">
        <v>492</v>
      </c>
      <c r="B164" s="7">
        <v>4004</v>
      </c>
      <c r="C164" s="22" t="s">
        <v>217</v>
      </c>
      <c r="D164" s="22" t="s">
        <v>379</v>
      </c>
      <c r="E164" s="13">
        <v>42699.275601851848</v>
      </c>
      <c r="F164" s="13">
        <v>42699.278761574074</v>
      </c>
      <c r="G164" s="7">
        <v>1</v>
      </c>
      <c r="H164" s="22" t="s">
        <v>710</v>
      </c>
      <c r="I164" s="13">
        <v>42699.288599537038</v>
      </c>
      <c r="J164" s="7">
        <v>0</v>
      </c>
      <c r="K164" s="109" t="str">
        <f t="shared" si="52"/>
        <v>4003/4004</v>
      </c>
      <c r="L164" s="22" t="str">
        <f>VLOOKUP(A164,'Trips&amp;Operators'!$C$1:$E$10000,3,FALSE)</f>
        <v>YORK</v>
      </c>
      <c r="M164" s="6">
        <f t="shared" si="53"/>
        <v>9.8379629635019228E-3</v>
      </c>
      <c r="N164" s="7">
        <f t="shared" si="54"/>
        <v>14.166666667442769</v>
      </c>
      <c r="O164" s="7"/>
      <c r="P164" s="7"/>
      <c r="Q164" s="23"/>
      <c r="R164" s="23"/>
      <c r="S164" s="35">
        <f t="shared" si="55"/>
        <v>1</v>
      </c>
      <c r="T164" s="50" t="str">
        <f t="shared" si="56"/>
        <v>Southbound</v>
      </c>
      <c r="U164" s="171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https://search-rtdc-monitor-bjffxe2xuh6vdkpspy63sjmuny.us-east-1.es.amazonaws.com/_plugin/kibana/#/discover/Steve-Slow-Train-Analysis-(2080s-and-2083s)?_g=(refreshInterval:(display:Off,section:0,value:0),time:(from:'2016-11-25 05:36:52-700',mode:absolute,to:'2016-11-25 07:55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64" s="52" t="str">
        <f t="shared" si="58"/>
        <v>N</v>
      </c>
      <c r="X164" s="177">
        <f t="shared" si="59"/>
        <v>1</v>
      </c>
      <c r="Y164" s="67">
        <f t="shared" si="60"/>
        <v>5.8611000000000004</v>
      </c>
      <c r="Z164" s="67">
        <f t="shared" si="61"/>
        <v>7.2900000000000006E-2</v>
      </c>
      <c r="AA164" s="67">
        <f t="shared" si="62"/>
        <v>5.7882000000000007</v>
      </c>
      <c r="AB164" s="64" t="e">
        <f>VLOOKUP(A164,Enforcements!$C$7:$K$20,8,0)</f>
        <v>#N/A</v>
      </c>
      <c r="AC164" s="60" t="e">
        <f>VLOOKUP(A164,Enforcements!$C$7:$E$20,3,0)</f>
        <v>#N/A</v>
      </c>
      <c r="AD164" s="61" t="str">
        <f t="shared" si="63"/>
        <v>0804-25</v>
      </c>
      <c r="AE164" s="91" t="str">
        <f t="shared" si="64"/>
        <v>aws s3 cp s3://rtdc.mdm.uploadarchive.raw/RTDC4004/ "%USERPROFILE%\AppData\Local\Temp\OnboardLogs"\RTDC4004\2016-11-25 --exclude "*" --recursive --include "*20161125*" &amp; "%USERPROFILE%\Documents\GitHub\mrs-test-scripts\Headless Mode &amp; Sideloading\WalkAndUnGZ.bat" "%USERPROFILE%\AppData\Local\Temp\OnboardLogs"\RTDC4004\2016-11-25 &amp; aws s3 cp s3://rtdc.mdm.uploadarchive.raw/RTDC4004/ "%USERPROFILE%\AppData\Local\Temp\OnboardLogs"\RTDC4004\2016-11-26 --exclude "*" --recursive --include "*20161126*" &amp; "%USERPROFILE%\Documents\GitHub\mrs-test-scripts\Headless Mode &amp; Sideloading\WalkAndUnGZ.bat" "%USERPROFILE%\AppData\Local\Temp\OnboardLogs"\RTDC4004\2016-11-26</v>
      </c>
      <c r="AF164" s="88" t="str">
        <f t="shared" si="65"/>
        <v>"C:\Program Files (x86)\AstroGrep\AstroGrep.exe" /spath="%USERPROFILE%\AppData\Local\Temp\OnboardLogs" /stypes="app*4004*20161125*" /stext=" 13:.+((SYSTEM_STATE.+slice.+state.+changed )|(ment ac)|(system.+state.+changed )|(\[timeout)|(PRM\|1\|D)|(kpr)|(kdp)|(\|lc)|(penalty))" /e /r /s</v>
      </c>
      <c r="AG164" s="1" t="str">
        <f t="shared" si="66"/>
        <v>NW</v>
      </c>
      <c r="AH164" s="92" t="str">
        <f t="shared" si="67"/>
        <v>"%USERPROFILE%\Documents\GitHub\eaglep3\Utilities\RefineRTDCRunTimes.py" --tripid 804-25 --locoid 4004 --swversion DE.1.0.8.0 --startMP 300:58611 --initTime 2016-11-25T06:36:52 --startdatetime 2016-11-25T06:41:25 --delay 1 --endMP 204:729 --enddatetime 2016-11-25T06:55:35 --enforcementcount 0 &gt;&gt;C:\Users\stu\Documents\GitHub\eaglep3-reporting\EC\2016-11-25-refined-times.txt</v>
      </c>
      <c r="AI164" s="119" t="str">
        <f t="shared" si="68"/>
        <v>echo {"issue":{"subject":"","project_id":79,"tracker_id":40,"status_id":1,"priority_id":2,"assigned_to_id":23,"start_date":"2016-11-25","description":"","custom_fields":[{"id":1,"name":"Subdivision","value":"NW"},{"id":4,"name":"Milepost","value":"0.0729"},{"id":17,"name":"Train ID","value":"804-25"},{"id":16,"name":"Locomotive ID","value":"4004"},{"id":130,"name":"Impact","value":""},{"id":150,"name":"Time of Event (Mountain Time)","value":"06:55:35"},{"id":151,"name":"Denver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3"/>
      <c r="AK164" s="53"/>
      <c r="AL164" s="53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1" customFormat="1" x14ac:dyDescent="0.25">
      <c r="A165" s="37" t="s">
        <v>411</v>
      </c>
      <c r="B165" s="7">
        <v>4022</v>
      </c>
      <c r="C165" s="22" t="s">
        <v>217</v>
      </c>
      <c r="D165" s="22" t="s">
        <v>711</v>
      </c>
      <c r="E165" s="13">
        <v>42699.276550925926</v>
      </c>
      <c r="F165" s="13">
        <v>42699.285717592589</v>
      </c>
      <c r="G165" s="7">
        <v>1</v>
      </c>
      <c r="H165" s="22" t="s">
        <v>712</v>
      </c>
      <c r="I165" s="13">
        <v>42699.295520833337</v>
      </c>
      <c r="J165" s="7">
        <v>1</v>
      </c>
      <c r="K165" s="109" t="str">
        <f t="shared" si="52"/>
        <v>4021/4022</v>
      </c>
      <c r="L165" s="22" t="str">
        <f>VLOOKUP(A165,'Trips&amp;Operators'!$C$1:$E$10000,3,FALSE)</f>
        <v>STRICKLAND</v>
      </c>
      <c r="M165" s="6">
        <f t="shared" si="53"/>
        <v>9.8032407477148809E-3</v>
      </c>
      <c r="N165" s="7">
        <f t="shared" si="54"/>
        <v>14.116666676709428</v>
      </c>
      <c r="O165" s="7"/>
      <c r="P165" s="7"/>
      <c r="Q165" s="23"/>
      <c r="R165" s="23"/>
      <c r="S165" s="35">
        <f t="shared" si="55"/>
        <v>1</v>
      </c>
      <c r="T165" s="50" t="str">
        <f t="shared" si="56"/>
        <v>NorthBound</v>
      </c>
      <c r="U165" s="171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https://search-rtdc-monitor-bjffxe2xuh6vdkpspy63sjmuny.us-east-1.es.amazonaws.com/_plugin/kibana/#/discover/Steve-Slow-Train-Analysis-(2080s-and-2083s)?_g=(refreshInterval:(display:Off,section:0,value:0),time:(from:'2016-11-25 05:38:14-700',mode:absolute,to:'2016-11-25 08:05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65" s="52" t="str">
        <f t="shared" si="58"/>
        <v>N</v>
      </c>
      <c r="X165" s="177">
        <f t="shared" si="59"/>
        <v>1</v>
      </c>
      <c r="Y165" s="67">
        <f t="shared" si="60"/>
        <v>0.1021</v>
      </c>
      <c r="Z165" s="67">
        <f t="shared" si="61"/>
        <v>5.8945999999999996</v>
      </c>
      <c r="AA165" s="67">
        <f t="shared" si="62"/>
        <v>5.7924999999999995</v>
      </c>
      <c r="AB165" s="64" t="e">
        <f>VLOOKUP(A165,Enforcements!$C$7:$K$20,8,0)</f>
        <v>#N/A</v>
      </c>
      <c r="AC165" s="60" t="e">
        <f>VLOOKUP(A165,Enforcements!$C$7:$E$20,3,0)</f>
        <v>#N/A</v>
      </c>
      <c r="AD165" s="61" t="str">
        <f t="shared" si="63"/>
        <v>0805-25</v>
      </c>
      <c r="AE165" s="91" t="str">
        <f t="shared" si="64"/>
        <v>aws s3 cp s3://rtdc.mdm.uploadarchive.raw/RTDC4022/ "%USERPROFILE%\AppData\Local\Temp\OnboardLogs"\RTDC4022\2016-11-25 --exclude "*" --recursive --include "*20161125*" &amp; "%USERPROFILE%\Documents\GitHub\mrs-test-scripts\Headless Mode &amp; Sideloading\WalkAndUnGZ.bat" "%USERPROFILE%\AppData\Local\Temp\OnboardLogs"\RTDC4022\2016-11-25 &amp; aws s3 cp s3://rtdc.mdm.uploadarchive.raw/RTDC4022/ "%USERPROFILE%\AppData\Local\Temp\OnboardLogs"\RTDC4022\2016-11-26 --exclude "*" --recursive --include "*20161126*" &amp; "%USERPROFILE%\Documents\GitHub\mrs-test-scripts\Headless Mode &amp; Sideloading\WalkAndUnGZ.bat" "%USERPROFILE%\AppData\Local\Temp\OnboardLogs"\RTDC4022\2016-11-26</v>
      </c>
      <c r="AF165" s="88" t="str">
        <f t="shared" si="65"/>
        <v>"C:\Program Files (x86)\AstroGrep\AstroGrep.exe" /spath="%USERPROFILE%\AppData\Local\Temp\OnboardLogs" /stypes="app*4022*20161125*" /stext=" 14:.+((SYSTEM_STATE.+slice.+state.+changed )|(ment ac)|(system.+state.+changed )|(\[timeout)|(PRM\|1\|D)|(kpr)|(kdp)|(\|lc)|(penalty))" /e /r /s</v>
      </c>
      <c r="AG165" s="1" t="str">
        <f t="shared" si="66"/>
        <v>NW</v>
      </c>
      <c r="AH165" s="92" t="str">
        <f t="shared" si="67"/>
        <v>"%USERPROFILE%\Documents\GitHub\eaglep3\Utilities\RefineRTDCRunTimes.py" --tripid 805-25 --locoid 4022 --swversion DE.1.0.8.0 --startMP 204:1021 --initTime 2016-11-25T06:38:14 --startdatetime 2016-11-25T06:51:26 --delay 1 --endMP 300:58946 --enddatetime 2016-11-25T07:05:33 --enforcementcount 1 &gt;&gt;C:\Users\stu\Documents\GitHub\eaglep3-reporting\EC\2016-11-25-refined-times.txt</v>
      </c>
      <c r="AI165" s="119" t="str">
        <f t="shared" si="68"/>
        <v>echo {"issue":{"subject":"","project_id":79,"tracker_id":40,"status_id":1,"priority_id":2,"assigned_to_id":23,"start_date":"2016-11-25","description":"","custom_fields":[{"id":1,"name":"Subdivision","value":"NW"},{"id":4,"name":"Milepost","value":"5.8946"},{"id":17,"name":"Train ID","value":"805-25"},{"id":16,"name":"Locomotive ID","value":"4022"},{"id":130,"name":"Impact","value":""},{"id":150,"name":"Time of Event (Mountain Time)","value":"07:05:33"},{"id":151,"name":"Denver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3"/>
      <c r="AK165" s="53"/>
      <c r="AL165" s="53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1" customFormat="1" x14ac:dyDescent="0.25">
      <c r="A166" s="37" t="s">
        <v>413</v>
      </c>
      <c r="B166" s="7">
        <v>4021</v>
      </c>
      <c r="C166" s="22" t="s">
        <v>217</v>
      </c>
      <c r="D166" s="22" t="s">
        <v>309</v>
      </c>
      <c r="E166" s="13">
        <v>42699.2966087963</v>
      </c>
      <c r="F166" s="13">
        <v>42699.297881944447</v>
      </c>
      <c r="G166" s="7">
        <v>1</v>
      </c>
      <c r="H166" s="22" t="s">
        <v>713</v>
      </c>
      <c r="I166" s="13">
        <v>42699.309988425928</v>
      </c>
      <c r="J166" s="7">
        <v>1</v>
      </c>
      <c r="K166" s="109" t="str">
        <f t="shared" si="52"/>
        <v>4021/4022</v>
      </c>
      <c r="L166" s="22" t="str">
        <f>VLOOKUP(A166,'Trips&amp;Operators'!$C$1:$E$10000,3,FALSE)</f>
        <v>STRICKLAND</v>
      </c>
      <c r="M166" s="6">
        <f t="shared" si="53"/>
        <v>1.2106481481168885E-2</v>
      </c>
      <c r="N166" s="7">
        <f t="shared" si="54"/>
        <v>17.433333332883194</v>
      </c>
      <c r="O166" s="7"/>
      <c r="P166" s="7"/>
      <c r="Q166" s="23"/>
      <c r="R166" s="23"/>
      <c r="S166" s="35">
        <f t="shared" si="55"/>
        <v>1</v>
      </c>
      <c r="T166" s="50" t="str">
        <f t="shared" si="56"/>
        <v>Southbound</v>
      </c>
      <c r="U166" s="171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https://search-rtdc-monitor-bjffxe2xuh6vdkpspy63sjmuny.us-east-1.es.amazonaws.com/_plugin/kibana/#/discover/Steve-Slow-Train-Analysis-(2080s-and-2083s)?_g=(refreshInterval:(display:Off,section:0,value:0),time:(from:'2016-11-25 06:07:07-700',mode:absolute,to:'2016-11-25 08:26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66" s="52" t="str">
        <f t="shared" si="58"/>
        <v>N</v>
      </c>
      <c r="X166" s="177">
        <f t="shared" si="59"/>
        <v>1</v>
      </c>
      <c r="Y166" s="67">
        <f t="shared" si="60"/>
        <v>5.8628</v>
      </c>
      <c r="Z166" s="67">
        <f t="shared" si="61"/>
        <v>7.4099999999999999E-2</v>
      </c>
      <c r="AA166" s="67">
        <f t="shared" si="62"/>
        <v>5.7887000000000004</v>
      </c>
      <c r="AB166" s="64" t="e">
        <f>VLOOKUP(A166,Enforcements!$C$7:$K$20,8,0)</f>
        <v>#N/A</v>
      </c>
      <c r="AC166" s="60" t="e">
        <f>VLOOKUP(A166,Enforcements!$C$7:$E$20,3,0)</f>
        <v>#N/A</v>
      </c>
      <c r="AD166" s="61" t="str">
        <f t="shared" si="63"/>
        <v>0806-25</v>
      </c>
      <c r="AE166" s="91" t="str">
        <f t="shared" si="64"/>
        <v>aws s3 cp s3://rtdc.mdm.uploadarchive.raw/RTDC4021/ "%USERPROFILE%\AppData\Local\Temp\OnboardLogs"\RTDC4021\2016-11-25 --exclude "*" --recursive --include "*20161125*" &amp; "%USERPROFILE%\Documents\GitHub\mrs-test-scripts\Headless Mode &amp; Sideloading\WalkAndUnGZ.bat" "%USERPROFILE%\AppData\Local\Temp\OnboardLogs"\RTDC4021\2016-11-25 &amp; aws s3 cp s3://rtdc.mdm.uploadarchive.raw/RTDC4021/ "%USERPROFILE%\AppData\Local\Temp\OnboardLogs"\RTDC4021\2016-11-26 --exclude "*" --recursive --include "*20161126*" &amp; "%USERPROFILE%\Documents\GitHub\mrs-test-scripts\Headless Mode &amp; Sideloading\WalkAndUnGZ.bat" "%USERPROFILE%\AppData\Local\Temp\OnboardLogs"\RTDC4021\2016-11-26</v>
      </c>
      <c r="AF166" s="88" t="str">
        <f t="shared" si="65"/>
        <v>"C:\Program Files (x86)\AstroGrep\AstroGrep.exe" /spath="%USERPROFILE%\AppData\Local\Temp\OnboardLogs" /stypes="app*4021*20161125*" /stext=" 14:.+((SYSTEM_STATE.+slice.+state.+changed )|(ment ac)|(system.+state.+changed )|(\[timeout)|(PRM\|1\|D)|(kpr)|(kdp)|(\|lc)|(penalty))" /e /r /s</v>
      </c>
      <c r="AG166" s="1" t="str">
        <f t="shared" si="66"/>
        <v>NW</v>
      </c>
      <c r="AH166" s="92" t="str">
        <f t="shared" si="67"/>
        <v>"%USERPROFILE%\Documents\GitHub\eaglep3\Utilities\RefineRTDCRunTimes.py" --tripid 806-25 --locoid 4021 --swversion DE.1.0.8.0 --startMP 300:58628 --initTime 2016-11-25T07:07:07 --startdatetime 2016-11-25T07:08:57 --delay 1 --endMP 204:741 --enddatetime 2016-11-25T07:26:23 --enforcementcount 1 &gt;&gt;C:\Users\stu\Documents\GitHub\eaglep3-reporting\EC\2016-11-25-refined-times.txt</v>
      </c>
      <c r="AI166" s="119" t="str">
        <f t="shared" si="68"/>
        <v>echo {"issue":{"subject":"","project_id":79,"tracker_id":40,"status_id":1,"priority_id":2,"assigned_to_id":23,"start_date":"2016-11-25","description":"","custom_fields":[{"id":1,"name":"Subdivision","value":"NW"},{"id":4,"name":"Milepost","value":"0.0741"},{"id":17,"name":"Train ID","value":"806-25"},{"id":16,"name":"Locomotive ID","value":"4021"},{"id":130,"name":"Impact","value":""},{"id":150,"name":"Time of Event (Mountain Time)","value":"07:26:23"},{"id":151,"name":"Denver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3"/>
      <c r="AK166" s="53"/>
      <c r="AL166" s="53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1" customFormat="1" x14ac:dyDescent="0.25">
      <c r="A167" s="37" t="s">
        <v>494</v>
      </c>
      <c r="B167" s="7">
        <v>4003</v>
      </c>
      <c r="C167" s="22" t="s">
        <v>217</v>
      </c>
      <c r="D167" s="22" t="s">
        <v>714</v>
      </c>
      <c r="E167" s="13">
        <v>42699.289814814816</v>
      </c>
      <c r="F167" s="13">
        <v>42699.306655092594</v>
      </c>
      <c r="G167" s="7">
        <v>1</v>
      </c>
      <c r="H167" s="22" t="s">
        <v>712</v>
      </c>
      <c r="I167" s="13">
        <v>42699.314988425926</v>
      </c>
      <c r="J167" s="7">
        <v>0</v>
      </c>
      <c r="K167" s="109" t="str">
        <f t="shared" si="52"/>
        <v>4003/4004</v>
      </c>
      <c r="L167" s="22" t="str">
        <f>VLOOKUP(A167,'Trips&amp;Operators'!$C$1:$E$10000,3,FALSE)</f>
        <v>YORK</v>
      </c>
      <c r="M167" s="6">
        <f t="shared" si="53"/>
        <v>8.333333331393078E-3</v>
      </c>
      <c r="N167" s="7">
        <f t="shared" si="54"/>
        <v>11.999999997206032</v>
      </c>
      <c r="O167" s="7"/>
      <c r="P167" s="7"/>
      <c r="Q167" s="23"/>
      <c r="R167" s="23"/>
      <c r="S167" s="35">
        <f t="shared" si="55"/>
        <v>1</v>
      </c>
      <c r="T167" s="50" t="str">
        <f t="shared" si="56"/>
        <v>NorthBound</v>
      </c>
      <c r="U167" s="171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https://search-rtdc-monitor-bjffxe2xuh6vdkpspy63sjmuny.us-east-1.es.amazonaws.com/_plugin/kibana/#/discover/Steve-Slow-Train-Analysis-(2080s-and-2083s)?_g=(refreshInterval:(display:Off,section:0,value:0),time:(from:'2016-11-25 05:57:20-700',mode:absolute,to:'2016-11-25 08:33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67" s="52" t="str">
        <f t="shared" si="58"/>
        <v>N</v>
      </c>
      <c r="X167" s="177">
        <f t="shared" si="59"/>
        <v>1</v>
      </c>
      <c r="Y167" s="67">
        <f t="shared" si="60"/>
        <v>0.1016</v>
      </c>
      <c r="Z167" s="67">
        <f t="shared" si="61"/>
        <v>5.8945999999999996</v>
      </c>
      <c r="AA167" s="67">
        <f t="shared" si="62"/>
        <v>5.7929999999999993</v>
      </c>
      <c r="AB167" s="64" t="e">
        <f>VLOOKUP(A167,Enforcements!$C$7:$K$20,8,0)</f>
        <v>#N/A</v>
      </c>
      <c r="AC167" s="60" t="e">
        <f>VLOOKUP(A167,Enforcements!$C$7:$E$20,3,0)</f>
        <v>#N/A</v>
      </c>
      <c r="AD167" s="61" t="str">
        <f t="shared" si="63"/>
        <v>0807-25</v>
      </c>
      <c r="AE167" s="91" t="str">
        <f t="shared" si="64"/>
        <v>aws s3 cp s3://rtdc.mdm.uploadarchive.raw/RTDC4003/ "%USERPROFILE%\AppData\Local\Temp\OnboardLogs"\RTDC4003\2016-11-25 --exclude "*" --recursive --include "*20161125*" &amp; "%USERPROFILE%\Documents\GitHub\mrs-test-scripts\Headless Mode &amp; Sideloading\WalkAndUnGZ.bat" "%USERPROFILE%\AppData\Local\Temp\OnboardLogs"\RTDC4003\2016-11-25 &amp; aws s3 cp s3://rtdc.mdm.uploadarchive.raw/RTDC4003/ "%USERPROFILE%\AppData\Local\Temp\OnboardLogs"\RTDC4003\2016-11-26 --exclude "*" --recursive --include "*20161126*" &amp; "%USERPROFILE%\Documents\GitHub\mrs-test-scripts\Headless Mode &amp; Sideloading\WalkAndUnGZ.bat" "%USERPROFILE%\AppData\Local\Temp\OnboardLogs"\RTDC4003\2016-11-26</v>
      </c>
      <c r="AF167" s="88" t="str">
        <f t="shared" si="65"/>
        <v>"C:\Program Files (x86)\AstroGrep\AstroGrep.exe" /spath="%USERPROFILE%\AppData\Local\Temp\OnboardLogs" /stypes="app*4003*20161125*" /stext=" 14:.+((SYSTEM_STATE.+slice.+state.+changed )|(ment ac)|(system.+state.+changed )|(\[timeout)|(PRM\|1\|D)|(kpr)|(kdp)|(\|lc)|(penalty))" /e /r /s</v>
      </c>
      <c r="AG167" s="1" t="str">
        <f t="shared" si="66"/>
        <v>NW</v>
      </c>
      <c r="AH167" s="92" t="str">
        <f t="shared" si="67"/>
        <v>"%USERPROFILE%\Documents\GitHub\eaglep3\Utilities\RefineRTDCRunTimes.py" --tripid 807-25 --locoid 4003 --swversion DE.1.0.8.0 --startMP 204:1016 --initTime 2016-11-25T06:57:20 --startdatetime 2016-11-25T07:21:35 --delay 1 --endMP 300:58946 --enddatetime 2016-11-25T07:33:35 --enforcementcount 0 &gt;&gt;C:\Users\stu\Documents\GitHub\eaglep3-reporting\EC\2016-11-25-refined-times.txt</v>
      </c>
      <c r="AI167" s="119" t="str">
        <f t="shared" si="68"/>
        <v>echo {"issue":{"subject":"","project_id":79,"tracker_id":40,"status_id":1,"priority_id":2,"assigned_to_id":23,"start_date":"2016-11-25","description":"","custom_fields":[{"id":1,"name":"Subdivision","value":"NW"},{"id":4,"name":"Milepost","value":"5.8946"},{"id":17,"name":"Train ID","value":"807-25"},{"id":16,"name":"Locomotive ID","value":"4003"},{"id":130,"name":"Impact","value":""},{"id":150,"name":"Time of Event (Mountain Time)","value":"07:33:35"},{"id":151,"name":"Denver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3"/>
      <c r="AK167" s="53"/>
      <c r="AL167" s="53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x14ac:dyDescent="0.25">
      <c r="A168" s="37" t="s">
        <v>498</v>
      </c>
      <c r="B168" s="7">
        <v>4004</v>
      </c>
      <c r="C168" s="22" t="s">
        <v>217</v>
      </c>
      <c r="D168" s="22" t="s">
        <v>379</v>
      </c>
      <c r="E168" s="13">
        <v>42699.316307870373</v>
      </c>
      <c r="F168" s="13">
        <v>42699.318912037037</v>
      </c>
      <c r="G168" s="7">
        <v>2</v>
      </c>
      <c r="H168" s="22" t="s">
        <v>388</v>
      </c>
      <c r="I168" s="13">
        <v>42699.330104166664</v>
      </c>
      <c r="J168" s="7">
        <v>0</v>
      </c>
      <c r="K168" s="109" t="str">
        <f t="shared" si="52"/>
        <v>4003/4004</v>
      </c>
      <c r="L168" s="22" t="str">
        <f>VLOOKUP(A168,'Trips&amp;Operators'!$C$1:$E$10000,3,FALSE)</f>
        <v>YORK</v>
      </c>
      <c r="M168" s="6">
        <f t="shared" si="53"/>
        <v>1.1192129626579117E-2</v>
      </c>
      <c r="N168" s="7">
        <f t="shared" si="54"/>
        <v>16.116666662273929</v>
      </c>
      <c r="O168" s="7"/>
      <c r="P168" s="7"/>
      <c r="Q168" s="23"/>
      <c r="R168" s="23"/>
      <c r="S168" s="35">
        <f t="shared" si="55"/>
        <v>1</v>
      </c>
      <c r="T168" s="50" t="str">
        <f t="shared" si="56"/>
        <v>Southbound</v>
      </c>
      <c r="U168" s="171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https://search-rtdc-monitor-bjffxe2xuh6vdkpspy63sjmuny.us-east-1.es.amazonaws.com/_plugin/kibana/#/discover/Steve-Slow-Train-Analysis-(2080s-and-2083s)?_g=(refreshInterval:(display:Off,section:0,value:0),time:(from:'2016-11-25 06:35:29-700',mode:absolute,to:'2016-11-25 08:55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68" s="52" t="str">
        <f t="shared" si="58"/>
        <v>N</v>
      </c>
      <c r="X168" s="177">
        <f t="shared" si="59"/>
        <v>1</v>
      </c>
      <c r="Y168" s="67">
        <f t="shared" si="60"/>
        <v>5.8611000000000004</v>
      </c>
      <c r="Z168" s="67">
        <f t="shared" si="61"/>
        <v>7.3999999999999996E-2</v>
      </c>
      <c r="AA168" s="67">
        <f t="shared" si="62"/>
        <v>5.7871000000000006</v>
      </c>
      <c r="AB168" s="64" t="e">
        <f>VLOOKUP(A168,Enforcements!$C$7:$K$20,8,0)</f>
        <v>#N/A</v>
      </c>
      <c r="AC168" s="60" t="e">
        <f>VLOOKUP(A168,Enforcements!$C$7:$E$20,3,0)</f>
        <v>#N/A</v>
      </c>
      <c r="AD168" s="61" t="str">
        <f t="shared" si="63"/>
        <v>0808-25</v>
      </c>
      <c r="AE168" s="91" t="str">
        <f t="shared" si="64"/>
        <v>aws s3 cp s3://rtdc.mdm.uploadarchive.raw/RTDC4004/ "%USERPROFILE%\AppData\Local\Temp\OnboardLogs"\RTDC4004\2016-11-25 --exclude "*" --recursive --include "*20161125*" &amp; "%USERPROFILE%\Documents\GitHub\mrs-test-scripts\Headless Mode &amp; Sideloading\WalkAndUnGZ.bat" "%USERPROFILE%\AppData\Local\Temp\OnboardLogs"\RTDC4004\2016-11-25 &amp; aws s3 cp s3://rtdc.mdm.uploadarchive.raw/RTDC4004/ "%USERPROFILE%\AppData\Local\Temp\OnboardLogs"\RTDC4004\2016-11-26 --exclude "*" --recursive --include "*20161126*" &amp; "%USERPROFILE%\Documents\GitHub\mrs-test-scripts\Headless Mode &amp; Sideloading\WalkAndUnGZ.bat" "%USERPROFILE%\AppData\Local\Temp\OnboardLogs"\RTDC4004\2016-11-26</v>
      </c>
      <c r="AF168" s="88" t="str">
        <f t="shared" si="65"/>
        <v>"C:\Program Files (x86)\AstroGrep\AstroGrep.exe" /spath="%USERPROFILE%\AppData\Local\Temp\OnboardLogs" /stypes="app*4004*20161125*" /stext=" 14:.+((SYSTEM_STATE.+slice.+state.+changed )|(ment ac)|(system.+state.+changed )|(\[timeout)|(PRM\|1\|D)|(kpr)|(kdp)|(\|lc)|(penalty))" /e /r /s</v>
      </c>
      <c r="AG168" s="1" t="str">
        <f t="shared" si="66"/>
        <v>NW</v>
      </c>
      <c r="AH168" s="92" t="str">
        <f t="shared" si="67"/>
        <v>"%USERPROFILE%\Documents\GitHub\eaglep3\Utilities\RefineRTDCRunTimes.py" --tripid 808-25 --locoid 4004 --swversion DE.1.0.8.0 --startMP 300:58611 --initTime 2016-11-25T07:35:29 --startdatetime 2016-11-25T07:39:14 --delay 2 --endMP 204:740 --enddatetime 2016-11-25T07:55:21 --enforcementcount 0 &gt;&gt;C:\Users\stu\Documents\GitHub\eaglep3-reporting\EC\2016-11-25-refined-times.txt</v>
      </c>
      <c r="AI168" s="119" t="str">
        <f t="shared" si="68"/>
        <v>echo {"issue":{"subject":"","project_id":79,"tracker_id":40,"status_id":1,"priority_id":2,"assigned_to_id":23,"start_date":"2016-11-25","description":"","custom_fields":[{"id":1,"name":"Subdivision","value":"NW"},{"id":4,"name":"Milepost","value":"0.074"},{"id":17,"name":"Train ID","value":"808-25"},{"id":16,"name":"Locomotive ID","value":"4004"},{"id":130,"name":"Impact","value":""},{"id":150,"name":"Time of Event (Mountain Time)","value":"07:55:21"},{"id":151,"name":"Denver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3"/>
      <c r="AK168" s="53"/>
      <c r="AL168" s="53"/>
    </row>
    <row r="169" spans="1:91" s="21" customFormat="1" x14ac:dyDescent="0.25">
      <c r="A169" s="37" t="s">
        <v>497</v>
      </c>
      <c r="B169" s="7">
        <v>4022</v>
      </c>
      <c r="C169" s="22" t="s">
        <v>217</v>
      </c>
      <c r="D169" s="22" t="s">
        <v>394</v>
      </c>
      <c r="E169" s="13">
        <v>42699.312210648146</v>
      </c>
      <c r="F169" s="13">
        <v>42699.327523148146</v>
      </c>
      <c r="G169" s="7">
        <v>1</v>
      </c>
      <c r="H169" s="22" t="s">
        <v>386</v>
      </c>
      <c r="I169" s="13">
        <v>42699.337696759256</v>
      </c>
      <c r="J169" s="7">
        <v>0</v>
      </c>
      <c r="K169" s="109" t="str">
        <f t="shared" si="52"/>
        <v>4021/4022</v>
      </c>
      <c r="L169" s="22" t="str">
        <f>VLOOKUP(A169,'Trips&amp;Operators'!$C$1:$E$10000,3,FALSE)</f>
        <v>STRICKLAND</v>
      </c>
      <c r="M169" s="6">
        <f t="shared" si="53"/>
        <v>1.0173611110076308E-2</v>
      </c>
      <c r="N169" s="7">
        <f t="shared" si="54"/>
        <v>14.649999998509884</v>
      </c>
      <c r="O169" s="7"/>
      <c r="P169" s="7"/>
      <c r="Q169" s="23"/>
      <c r="R169" s="23"/>
      <c r="S169" s="35">
        <f t="shared" si="55"/>
        <v>1</v>
      </c>
      <c r="T169" s="50" t="str">
        <f t="shared" si="56"/>
        <v>NorthBound</v>
      </c>
      <c r="U169" s="171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https://search-rtdc-monitor-bjffxe2xuh6vdkpspy63sjmuny.us-east-1.es.amazonaws.com/_plugin/kibana/#/discover/Steve-Slow-Train-Analysis-(2080s-and-2083s)?_g=(refreshInterval:(display:Off,section:0,value:0),time:(from:'2016-11-25 06:29:35-700',mode:absolute,to:'2016-11-25 09:06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69" s="52" t="str">
        <f t="shared" si="58"/>
        <v>N</v>
      </c>
      <c r="X169" s="177">
        <f t="shared" si="59"/>
        <v>1</v>
      </c>
      <c r="Y169" s="67">
        <f t="shared" si="60"/>
        <v>0.1023</v>
      </c>
      <c r="Z169" s="67">
        <f t="shared" si="61"/>
        <v>5.8933</v>
      </c>
      <c r="AA169" s="67">
        <f t="shared" si="62"/>
        <v>5.7910000000000004</v>
      </c>
      <c r="AB169" s="64" t="e">
        <f>VLOOKUP(A169,Enforcements!$C$7:$K$20,8,0)</f>
        <v>#N/A</v>
      </c>
      <c r="AC169" s="60" t="e">
        <f>VLOOKUP(A169,Enforcements!$C$7:$E$20,3,0)</f>
        <v>#N/A</v>
      </c>
      <c r="AD169" s="61" t="str">
        <f t="shared" si="63"/>
        <v>0809-25</v>
      </c>
      <c r="AE169" s="91" t="str">
        <f t="shared" si="64"/>
        <v>aws s3 cp s3://rtdc.mdm.uploadarchive.raw/RTDC4022/ "%USERPROFILE%\AppData\Local\Temp\OnboardLogs"\RTDC4022\2016-11-25 --exclude "*" --recursive --include "*20161125*" &amp; "%USERPROFILE%\Documents\GitHub\mrs-test-scripts\Headless Mode &amp; Sideloading\WalkAndUnGZ.bat" "%USERPROFILE%\AppData\Local\Temp\OnboardLogs"\RTDC4022\2016-11-25 &amp; aws s3 cp s3://rtdc.mdm.uploadarchive.raw/RTDC4022/ "%USERPROFILE%\AppData\Local\Temp\OnboardLogs"\RTDC4022\2016-11-26 --exclude "*" --recursive --include "*20161126*" &amp; "%USERPROFILE%\Documents\GitHub\mrs-test-scripts\Headless Mode &amp; Sideloading\WalkAndUnGZ.bat" "%USERPROFILE%\AppData\Local\Temp\OnboardLogs"\RTDC4022\2016-11-26</v>
      </c>
      <c r="AF169" s="88" t="str">
        <f t="shared" si="65"/>
        <v>"C:\Program Files (x86)\AstroGrep\AstroGrep.exe" /spath="%USERPROFILE%\AppData\Local\Temp\OnboardLogs" /stypes="app*4022*20161125*" /stext=" 15:.+((SYSTEM_STATE.+slice.+state.+changed )|(ment ac)|(system.+state.+changed )|(\[timeout)|(PRM\|1\|D)|(kpr)|(kdp)|(\|lc)|(penalty))" /e /r /s</v>
      </c>
      <c r="AG169" s="1" t="str">
        <f t="shared" si="66"/>
        <v>NW</v>
      </c>
      <c r="AH169" s="92" t="str">
        <f t="shared" si="67"/>
        <v>"%USERPROFILE%\Documents\GitHub\eaglep3\Utilities\RefineRTDCRunTimes.py" --tripid 809-25 --locoid 4022 --swversion DE.1.0.8.0 --startMP 204:1023 --initTime 2016-11-25T07:29:35 --startdatetime 2016-11-25T07:51:38 --delay 1 --endMP 300:58933 --enddatetime 2016-11-25T08:06:17 --enforcementcount 0 &gt;&gt;C:\Users\stu\Documents\GitHub\eaglep3-reporting\EC\2016-11-25-refined-times.txt</v>
      </c>
      <c r="AI169" s="119" t="str">
        <f t="shared" si="68"/>
        <v>echo {"issue":{"subject":"","project_id":79,"tracker_id":40,"status_id":1,"priority_id":2,"assigned_to_id":23,"start_date":"2016-11-25","description":"","custom_fields":[{"id":1,"name":"Subdivision","value":"NW"},{"id":4,"name":"Milepost","value":"5.8933"},{"id":17,"name":"Train ID","value":"809-25"},{"id":16,"name":"Locomotive ID","value":"4022"},{"id":130,"name":"Impact","value":""},{"id":150,"name":"Time of Event (Mountain Time)","value":"08:06:17"},{"id":151,"name":"Denver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3"/>
      <c r="AK169" s="53"/>
      <c r="AL169" s="53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x14ac:dyDescent="0.25">
      <c r="A170" s="37" t="s">
        <v>417</v>
      </c>
      <c r="B170" s="7">
        <v>4021</v>
      </c>
      <c r="C170" s="22" t="s">
        <v>217</v>
      </c>
      <c r="D170" s="22" t="s">
        <v>726</v>
      </c>
      <c r="E170" s="13">
        <v>42699.338599537034</v>
      </c>
      <c r="F170" s="13">
        <v>42699.340150462966</v>
      </c>
      <c r="G170" s="7">
        <v>1</v>
      </c>
      <c r="H170" s="22" t="s">
        <v>727</v>
      </c>
      <c r="I170" s="13">
        <v>42699.354328703703</v>
      </c>
      <c r="J170" s="7">
        <v>2</v>
      </c>
      <c r="K170" s="109" t="str">
        <f t="shared" si="52"/>
        <v>4021/4022</v>
      </c>
      <c r="L170" s="22" t="str">
        <f>VLOOKUP(A170,'Trips&amp;Operators'!$C$1:$E$10000,3,FALSE)</f>
        <v>STRICKLAND</v>
      </c>
      <c r="M170" s="6">
        <f t="shared" si="53"/>
        <v>1.4178240737237502E-2</v>
      </c>
      <c r="N170" s="7">
        <f t="shared" si="54"/>
        <v>20.416666661622003</v>
      </c>
      <c r="O170" s="7"/>
      <c r="P170" s="7"/>
      <c r="Q170" s="23"/>
      <c r="R170" s="23"/>
      <c r="S170" s="35">
        <f t="shared" si="55"/>
        <v>1</v>
      </c>
      <c r="T170" s="50" t="str">
        <f t="shared" si="56"/>
        <v>Southbound</v>
      </c>
      <c r="U170" s="171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https://search-rtdc-monitor-bjffxe2xuh6vdkpspy63sjmuny.us-east-1.es.amazonaws.com/_plugin/kibana/#/discover/Steve-Slow-Train-Analysis-(2080s-and-2083s)?_g=(refreshInterval:(display:Off,section:0,value:0),time:(from:'2016-11-25 07:07:35-700',mode:absolute,to:'2016-11-25 09:30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70" s="52" t="str">
        <f t="shared" si="58"/>
        <v>N</v>
      </c>
      <c r="X170" s="177">
        <f t="shared" si="59"/>
        <v>1</v>
      </c>
      <c r="Y170" s="67">
        <f t="shared" si="60"/>
        <v>5.8613</v>
      </c>
      <c r="Z170" s="67">
        <f t="shared" si="61"/>
        <v>1.0200000000000001E-2</v>
      </c>
      <c r="AA170" s="67">
        <f t="shared" si="62"/>
        <v>5.8510999999999997</v>
      </c>
      <c r="AB170" s="64" t="e">
        <f>VLOOKUP(A170,Enforcements!$C$7:$K$20,8,0)</f>
        <v>#N/A</v>
      </c>
      <c r="AC170" s="60" t="e">
        <f>VLOOKUP(A170,Enforcements!$C$7:$E$20,3,0)</f>
        <v>#N/A</v>
      </c>
      <c r="AD170" s="61" t="str">
        <f t="shared" si="63"/>
        <v>0810-25</v>
      </c>
      <c r="AE170" s="91" t="str">
        <f t="shared" si="64"/>
        <v>aws s3 cp s3://rtdc.mdm.uploadarchive.raw/RTDC4021/ "%USERPROFILE%\AppData\Local\Temp\OnboardLogs"\RTDC4021\2016-11-25 --exclude "*" --recursive --include "*20161125*" &amp; "%USERPROFILE%\Documents\GitHub\mrs-test-scripts\Headless Mode &amp; Sideloading\WalkAndUnGZ.bat" "%USERPROFILE%\AppData\Local\Temp\OnboardLogs"\RTDC4021\2016-11-25 &amp; aws s3 cp s3://rtdc.mdm.uploadarchive.raw/RTDC4021/ "%USERPROFILE%\AppData\Local\Temp\OnboardLogs"\RTDC4021\2016-11-26 --exclude "*" --recursive --include "*20161126*" &amp; "%USERPROFILE%\Documents\GitHub\mrs-test-scripts\Headless Mode &amp; Sideloading\WalkAndUnGZ.bat" "%USERPROFILE%\AppData\Local\Temp\OnboardLogs"\RTDC4021\2016-11-26</v>
      </c>
      <c r="AF170" s="88" t="str">
        <f t="shared" si="65"/>
        <v>"C:\Program Files (x86)\AstroGrep\AstroGrep.exe" /spath="%USERPROFILE%\AppData\Local\Temp\OnboardLogs" /stypes="app*4021*20161125*" /stext=" 15:.+((SYSTEM_STATE.+slice.+state.+changed )|(ment ac)|(system.+state.+changed )|(\[timeout)|(PRM\|1\|D)|(kpr)|(kdp)|(\|lc)|(penalty))" /e /r /s</v>
      </c>
      <c r="AG170" s="1" t="str">
        <f t="shared" si="66"/>
        <v>NW</v>
      </c>
      <c r="AH170" s="92" t="str">
        <f t="shared" si="67"/>
        <v>"%USERPROFILE%\Documents\GitHub\eaglep3\Utilities\RefineRTDCRunTimes.py" --tripid 810-25 --locoid 4021 --swversion DE.1.0.8.0 --startMP 300:58613 --initTime 2016-11-25T08:07:35 --startdatetime 2016-11-25T08:09:49 --delay 1 --endMP 204:102 --enddatetime 2016-11-25T08:30:14 --enforcementcount 2 &gt;&gt;C:\Users\stu\Documents\GitHub\eaglep3-reporting\EC\2016-11-25-refined-times.txt</v>
      </c>
      <c r="AI170" s="119" t="str">
        <f t="shared" si="68"/>
        <v>echo {"issue":{"subject":"","project_id":79,"tracker_id":40,"status_id":1,"priority_id":2,"assigned_to_id":23,"start_date":"2016-11-25","description":"","custom_fields":[{"id":1,"name":"Subdivision","value":"NW"},{"id":4,"name":"Milepost","value":"0.0102"},{"id":17,"name":"Train ID","value":"810-25"},{"id":16,"name":"Locomotive ID","value":"4021"},{"id":130,"name":"Impact","value":""},{"id":150,"name":"Time of Event (Mountain Time)","value":"08:30:14"},{"id":151,"name":"Denver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3"/>
      <c r="AK170" s="53"/>
      <c r="AL170" s="53"/>
    </row>
    <row r="171" spans="1:91" x14ac:dyDescent="0.25">
      <c r="A171" s="37" t="s">
        <v>502</v>
      </c>
      <c r="B171" s="7">
        <v>4003</v>
      </c>
      <c r="C171" s="22" t="s">
        <v>217</v>
      </c>
      <c r="D171" s="22" t="s">
        <v>728</v>
      </c>
      <c r="E171" s="13">
        <v>42699.333587962959</v>
      </c>
      <c r="F171" s="13">
        <v>42699.348425925928</v>
      </c>
      <c r="G171" s="7">
        <v>1</v>
      </c>
      <c r="H171" s="22" t="s">
        <v>333</v>
      </c>
      <c r="I171" s="13">
        <v>42699.35696759259</v>
      </c>
      <c r="J171" s="7">
        <v>0</v>
      </c>
      <c r="K171" s="109" t="str">
        <f t="shared" si="52"/>
        <v>4003/4004</v>
      </c>
      <c r="L171" s="22" t="str">
        <f>VLOOKUP(A171,'Trips&amp;Operators'!$C$1:$E$10000,3,FALSE)</f>
        <v>YORK</v>
      </c>
      <c r="M171" s="6">
        <f t="shared" si="53"/>
        <v>8.5416666624951176E-3</v>
      </c>
      <c r="N171" s="7">
        <f t="shared" si="54"/>
        <v>12.299999993992969</v>
      </c>
      <c r="O171" s="7"/>
      <c r="P171" s="7"/>
      <c r="Q171" s="23"/>
      <c r="R171" s="23"/>
      <c r="S171" s="35">
        <f t="shared" si="55"/>
        <v>1</v>
      </c>
      <c r="T171" s="50" t="str">
        <f t="shared" si="56"/>
        <v>NorthBound</v>
      </c>
      <c r="U171" s="171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https://search-rtdc-monitor-bjffxe2xuh6vdkpspy63sjmuny.us-east-1.es.amazonaws.com/_plugin/kibana/#/discover/Steve-Slow-Train-Analysis-(2080s-and-2083s)?_g=(refreshInterval:(display:Off,section:0,value:0),time:(from:'2016-11-25 07:00:22-700',mode:absolute,to:'2016-11-25 09:34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71" s="52" t="str">
        <f t="shared" si="58"/>
        <v>N</v>
      </c>
      <c r="X171" s="177">
        <f t="shared" si="59"/>
        <v>1</v>
      </c>
      <c r="Y171" s="67">
        <f t="shared" si="60"/>
        <v>0.10249999999999999</v>
      </c>
      <c r="Z171" s="67">
        <f t="shared" si="61"/>
        <v>5.8930999999999996</v>
      </c>
      <c r="AA171" s="67">
        <f t="shared" si="62"/>
        <v>5.7905999999999995</v>
      </c>
      <c r="AB171" s="64" t="e">
        <f>VLOOKUP(A171,Enforcements!$C$7:$K$20,8,0)</f>
        <v>#N/A</v>
      </c>
      <c r="AC171" s="60" t="e">
        <f>VLOOKUP(A171,Enforcements!$C$7:$E$20,3,0)</f>
        <v>#N/A</v>
      </c>
      <c r="AD171" s="61" t="str">
        <f t="shared" si="63"/>
        <v>0811-25</v>
      </c>
      <c r="AE171" s="91" t="str">
        <f t="shared" si="64"/>
        <v>aws s3 cp s3://rtdc.mdm.uploadarchive.raw/RTDC4003/ "%USERPROFILE%\AppData\Local\Temp\OnboardLogs"\RTDC4003\2016-11-25 --exclude "*" --recursive --include "*20161125*" &amp; "%USERPROFILE%\Documents\GitHub\mrs-test-scripts\Headless Mode &amp; Sideloading\WalkAndUnGZ.bat" "%USERPROFILE%\AppData\Local\Temp\OnboardLogs"\RTDC4003\2016-11-25 &amp; aws s3 cp s3://rtdc.mdm.uploadarchive.raw/RTDC4003/ "%USERPROFILE%\AppData\Local\Temp\OnboardLogs"\RTDC4003\2016-11-26 --exclude "*" --recursive --include "*20161126*" &amp; "%USERPROFILE%\Documents\GitHub\mrs-test-scripts\Headless Mode &amp; Sideloading\WalkAndUnGZ.bat" "%USERPROFILE%\AppData\Local\Temp\OnboardLogs"\RTDC4003\2016-11-26</v>
      </c>
      <c r="AF171" s="88" t="str">
        <f t="shared" si="65"/>
        <v>"C:\Program Files (x86)\AstroGrep\AstroGrep.exe" /spath="%USERPROFILE%\AppData\Local\Temp\OnboardLogs" /stypes="app*4003*20161125*" /stext=" 15:.+((SYSTEM_STATE.+slice.+state.+changed )|(ment ac)|(system.+state.+changed )|(\[timeout)|(PRM\|1\|D)|(kpr)|(kdp)|(\|lc)|(penalty))" /e /r /s</v>
      </c>
      <c r="AG171" s="1" t="str">
        <f t="shared" si="66"/>
        <v>NW</v>
      </c>
      <c r="AH171" s="92" t="str">
        <f t="shared" si="67"/>
        <v>"%USERPROFILE%\Documents\GitHub\eaglep3\Utilities\RefineRTDCRunTimes.py" --tripid 811-25 --locoid 4003 --swversion DE.1.0.8.0 --startMP 204:1025 --initTime 2016-11-25T08:00:22 --startdatetime 2016-11-25T08:21:44 --delay 1 --endMP 300:58931 --enddatetime 2016-11-25T08:34:02 --enforcementcount 0 &gt;&gt;C:\Users\stu\Documents\GitHub\eaglep3-reporting\EC\2016-11-25-refined-times.txt</v>
      </c>
      <c r="AI171" s="119" t="str">
        <f t="shared" si="68"/>
        <v>echo {"issue":{"subject":"","project_id":79,"tracker_id":40,"status_id":1,"priority_id":2,"assigned_to_id":23,"start_date":"2016-11-25","description":"","custom_fields":[{"id":1,"name":"Subdivision","value":"NW"},{"id":4,"name":"Milepost","value":"5.8931"},{"id":17,"name":"Train ID","value":"811-25"},{"id":16,"name":"Locomotive ID","value":"4003"},{"id":130,"name":"Impact","value":""},{"id":150,"name":"Time of Event (Mountain Time)","value":"08:34:02"},{"id":151,"name":"Denver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3"/>
      <c r="AK171" s="53"/>
      <c r="AL171" s="53"/>
    </row>
    <row r="172" spans="1:91" x14ac:dyDescent="0.25">
      <c r="A172" s="37" t="s">
        <v>508</v>
      </c>
      <c r="B172" s="7">
        <v>4004</v>
      </c>
      <c r="C172" s="22" t="s">
        <v>217</v>
      </c>
      <c r="D172" s="22" t="s">
        <v>387</v>
      </c>
      <c r="E172" s="13">
        <v>42699.35864583333</v>
      </c>
      <c r="F172" s="13">
        <v>42699.361504629633</v>
      </c>
      <c r="G172" s="7">
        <v>2</v>
      </c>
      <c r="H172" s="22" t="s">
        <v>396</v>
      </c>
      <c r="I172" s="13">
        <v>42699.371261574073</v>
      </c>
      <c r="J172" s="7">
        <v>0</v>
      </c>
      <c r="K172" s="109" t="str">
        <f t="shared" si="52"/>
        <v>4003/4004</v>
      </c>
      <c r="L172" s="22" t="str">
        <f>VLOOKUP(A172,'Trips&amp;Operators'!$C$1:$E$10000,3,FALSE)</f>
        <v>YORK</v>
      </c>
      <c r="M172" s="6">
        <f t="shared" si="53"/>
        <v>9.7569444405962713E-3</v>
      </c>
      <c r="N172" s="7">
        <f t="shared" si="54"/>
        <v>14.049999994458631</v>
      </c>
      <c r="O172" s="7"/>
      <c r="P172" s="7"/>
      <c r="Q172" s="23"/>
      <c r="R172" s="23"/>
      <c r="S172" s="35">
        <f t="shared" si="55"/>
        <v>1</v>
      </c>
      <c r="T172" s="50" t="str">
        <f t="shared" si="56"/>
        <v>Southbound</v>
      </c>
      <c r="U172" s="171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https://search-rtdc-monitor-bjffxe2xuh6vdkpspy63sjmuny.us-east-1.es.amazonaws.com/_plugin/kibana/#/discover/Steve-Slow-Train-Analysis-(2080s-and-2083s)?_g=(refreshInterval:(display:Off,section:0,value:0),time:(from:'2016-11-25 07:36:27-700',mode:absolute,to:'2016-11-25 09:54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72" s="52" t="str">
        <f t="shared" si="58"/>
        <v>N</v>
      </c>
      <c r="X172" s="177">
        <f t="shared" si="59"/>
        <v>1</v>
      </c>
      <c r="Y172" s="67">
        <f t="shared" si="60"/>
        <v>5.8604000000000003</v>
      </c>
      <c r="Z172" s="67">
        <f t="shared" si="61"/>
        <v>7.3300000000000004E-2</v>
      </c>
      <c r="AA172" s="67">
        <f t="shared" si="62"/>
        <v>5.7871000000000006</v>
      </c>
      <c r="AB172" s="64" t="e">
        <f>VLOOKUP(A172,Enforcements!$C$7:$K$20,8,0)</f>
        <v>#N/A</v>
      </c>
      <c r="AC172" s="60" t="e">
        <f>VLOOKUP(A172,Enforcements!$C$7:$E$20,3,0)</f>
        <v>#N/A</v>
      </c>
      <c r="AD172" s="61" t="str">
        <f t="shared" si="63"/>
        <v>0812-25</v>
      </c>
      <c r="AE172" s="91" t="str">
        <f t="shared" si="64"/>
        <v>aws s3 cp s3://rtdc.mdm.uploadarchive.raw/RTDC4004/ "%USERPROFILE%\AppData\Local\Temp\OnboardLogs"\RTDC4004\2016-11-25 --exclude "*" --recursive --include "*20161125*" &amp; "%USERPROFILE%\Documents\GitHub\mrs-test-scripts\Headless Mode &amp; Sideloading\WalkAndUnGZ.bat" "%USERPROFILE%\AppData\Local\Temp\OnboardLogs"\RTDC4004\2016-11-25 &amp; aws s3 cp s3://rtdc.mdm.uploadarchive.raw/RTDC4004/ "%USERPROFILE%\AppData\Local\Temp\OnboardLogs"\RTDC4004\2016-11-26 --exclude "*" --recursive --include "*20161126*" &amp; "%USERPROFILE%\Documents\GitHub\mrs-test-scripts\Headless Mode &amp; Sideloading\WalkAndUnGZ.bat" "%USERPROFILE%\AppData\Local\Temp\OnboardLogs"\RTDC4004\2016-11-26</v>
      </c>
      <c r="AF172" s="88" t="str">
        <f t="shared" si="65"/>
        <v>"C:\Program Files (x86)\AstroGrep\AstroGrep.exe" /spath="%USERPROFILE%\AppData\Local\Temp\OnboardLogs" /stypes="app*4004*20161125*" /stext=" 15:.+((SYSTEM_STATE.+slice.+state.+changed )|(ment ac)|(system.+state.+changed )|(\[timeout)|(PRM\|1\|D)|(kpr)|(kdp)|(\|lc)|(penalty))" /e /r /s</v>
      </c>
      <c r="AG172" s="1" t="str">
        <f t="shared" si="66"/>
        <v>NW</v>
      </c>
      <c r="AH172" s="92" t="str">
        <f t="shared" si="67"/>
        <v>"%USERPROFILE%\Documents\GitHub\eaglep3\Utilities\RefineRTDCRunTimes.py" --tripid 812-25 --locoid 4004 --swversion DE.1.0.8.0 --startMP 300:58604 --initTime 2016-11-25T08:36:27 --startdatetime 2016-11-25T08:40:34 --delay 2 --endMP 204:733 --enddatetime 2016-11-25T08:54:37 --enforcementcount 0 &gt;&gt;C:\Users\stu\Documents\GitHub\eaglep3-reporting\EC\2016-11-25-refined-times.txt</v>
      </c>
      <c r="AI172" s="119" t="str">
        <f t="shared" si="68"/>
        <v>echo {"issue":{"subject":"","project_id":79,"tracker_id":40,"status_id":1,"priority_id":2,"assigned_to_id":23,"start_date":"2016-11-25","description":"","custom_fields":[{"id":1,"name":"Subdivision","value":"NW"},{"id":4,"name":"Milepost","value":"0.0733"},{"id":17,"name":"Train ID","value":"812-25"},{"id":16,"name":"Locomotive ID","value":"4004"},{"id":130,"name":"Impact","value":""},{"id":150,"name":"Time of Event (Mountain Time)","value":"08:54:37"},{"id":151,"name":"Denver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3"/>
      <c r="AK172" s="53"/>
      <c r="AL172" s="53"/>
    </row>
    <row r="173" spans="1:91" s="21" customFormat="1" x14ac:dyDescent="0.25">
      <c r="A173" s="37" t="s">
        <v>512</v>
      </c>
      <c r="B173" s="7">
        <v>4003</v>
      </c>
      <c r="C173" s="22" t="s">
        <v>217</v>
      </c>
      <c r="D173" s="22" t="s">
        <v>729</v>
      </c>
      <c r="E173" s="13">
        <v>42699.373148148145</v>
      </c>
      <c r="F173" s="13">
        <v>42699.389907407407</v>
      </c>
      <c r="G173" s="7">
        <v>2</v>
      </c>
      <c r="H173" s="22" t="s">
        <v>402</v>
      </c>
      <c r="I173" s="13">
        <v>42699.398888888885</v>
      </c>
      <c r="J173" s="7">
        <v>0</v>
      </c>
      <c r="K173" s="109" t="str">
        <f t="shared" si="52"/>
        <v>4003/4004</v>
      </c>
      <c r="L173" s="22" t="str">
        <f>VLOOKUP(A173,'Trips&amp;Operators'!$C$1:$E$10000,3,FALSE)</f>
        <v>YORK</v>
      </c>
      <c r="M173" s="6">
        <f t="shared" si="53"/>
        <v>8.9814814782585017E-3</v>
      </c>
      <c r="N173" s="7">
        <f t="shared" si="54"/>
        <v>12.933333328692243</v>
      </c>
      <c r="O173" s="7"/>
      <c r="P173" s="7"/>
      <c r="Q173" s="23"/>
      <c r="R173" s="23"/>
      <c r="S173" s="35">
        <f t="shared" si="55"/>
        <v>1</v>
      </c>
      <c r="T173" s="50" t="str">
        <f t="shared" si="56"/>
        <v>NorthBound</v>
      </c>
      <c r="U173" s="171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https://search-rtdc-monitor-bjffxe2xuh6vdkpspy63sjmuny.us-east-1.es.amazonaws.com/_plugin/kibana/#/discover/Steve-Slow-Train-Analysis-(2080s-and-2083s)?_g=(refreshInterval:(display:Off,section:0,value:0),time:(from:'2016-11-25 07:57:20-700',mode:absolute,to:'2016-11-25 10:34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73" s="52" t="str">
        <f t="shared" si="58"/>
        <v>N</v>
      </c>
      <c r="X173" s="177">
        <f t="shared" si="59"/>
        <v>1</v>
      </c>
      <c r="Y173" s="67">
        <f t="shared" si="60"/>
        <v>0.10199999999999999</v>
      </c>
      <c r="Z173" s="67">
        <f t="shared" si="61"/>
        <v>5.8939000000000004</v>
      </c>
      <c r="AA173" s="67">
        <f t="shared" si="62"/>
        <v>5.7919</v>
      </c>
      <c r="AB173" s="64" t="e">
        <f>VLOOKUP(A173,Enforcements!$C$7:$K$20,8,0)</f>
        <v>#N/A</v>
      </c>
      <c r="AC173" s="60" t="e">
        <f>VLOOKUP(A173,Enforcements!$C$7:$E$20,3,0)</f>
        <v>#N/A</v>
      </c>
      <c r="AD173" s="61" t="str">
        <f t="shared" si="63"/>
        <v>0813-25</v>
      </c>
      <c r="AE173" s="91" t="str">
        <f t="shared" si="64"/>
        <v>aws s3 cp s3://rtdc.mdm.uploadarchive.raw/RTDC4003/ "%USERPROFILE%\AppData\Local\Temp\OnboardLogs"\RTDC4003\2016-11-25 --exclude "*" --recursive --include "*20161125*" &amp; "%USERPROFILE%\Documents\GitHub\mrs-test-scripts\Headless Mode &amp; Sideloading\WalkAndUnGZ.bat" "%USERPROFILE%\AppData\Local\Temp\OnboardLogs"\RTDC4003\2016-11-25 &amp; aws s3 cp s3://rtdc.mdm.uploadarchive.raw/RTDC4003/ "%USERPROFILE%\AppData\Local\Temp\OnboardLogs"\RTDC4003\2016-11-26 --exclude "*" --recursive --include "*20161126*" &amp; "%USERPROFILE%\Documents\GitHub\mrs-test-scripts\Headless Mode &amp; Sideloading\WalkAndUnGZ.bat" "%USERPROFILE%\AppData\Local\Temp\OnboardLogs"\RTDC4003\2016-11-26</v>
      </c>
      <c r="AF173" s="88" t="str">
        <f t="shared" si="65"/>
        <v>"C:\Program Files (x86)\AstroGrep\AstroGrep.exe" /spath="%USERPROFILE%\AppData\Local\Temp\OnboardLogs" /stypes="app*4003*20161125*" /stext=" 16:.+((SYSTEM_STATE.+slice.+state.+changed )|(ment ac)|(system.+state.+changed )|(\[timeout)|(PRM\|1\|D)|(kpr)|(kdp)|(\|lc)|(penalty))" /e /r /s</v>
      </c>
      <c r="AG173" s="1" t="str">
        <f t="shared" si="66"/>
        <v>NW</v>
      </c>
      <c r="AH173" s="92" t="str">
        <f t="shared" si="67"/>
        <v>"%USERPROFILE%\Documents\GitHub\eaglep3\Utilities\RefineRTDCRunTimes.py" --tripid 813-25 --locoid 4003 --swversion DE.1.0.8.0 --startMP 204:1020 --initTime 2016-11-25T08:57:20 --startdatetime 2016-11-25T09:21:28 --delay 2 --endMP 300:58939 --enddatetime 2016-11-25T09:34:24 --enforcementcount 0 &gt;&gt;C:\Users\stu\Documents\GitHub\eaglep3-reporting\EC\2016-11-25-refined-times.txt</v>
      </c>
      <c r="AI173" s="119" t="str">
        <f t="shared" si="68"/>
        <v>echo {"issue":{"subject":"","project_id":79,"tracker_id":40,"status_id":1,"priority_id":2,"assigned_to_id":23,"start_date":"2016-11-25","description":"","custom_fields":[{"id":1,"name":"Subdivision","value":"NW"},{"id":4,"name":"Milepost","value":"5.8939"},{"id":17,"name":"Train ID","value":"813-25"},{"id":16,"name":"Locomotive ID","value":"4003"},{"id":130,"name":"Impact","value":""},{"id":150,"name":"Time of Event (Mountain Time)","value":"09:34:24"},{"id":151,"name":"Denver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3"/>
      <c r="AK173" s="53"/>
      <c r="AL173" s="5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1" customFormat="1" x14ac:dyDescent="0.25">
      <c r="A174" s="37" t="s">
        <v>421</v>
      </c>
      <c r="B174" s="7">
        <v>4004</v>
      </c>
      <c r="C174" s="22" t="s">
        <v>217</v>
      </c>
      <c r="D174" s="22" t="s">
        <v>379</v>
      </c>
      <c r="E174" s="13">
        <v>42699.401122685187</v>
      </c>
      <c r="F174" s="13">
        <v>42699.403356481482</v>
      </c>
      <c r="G174" s="7">
        <v>0</v>
      </c>
      <c r="H174" s="22" t="s">
        <v>730</v>
      </c>
      <c r="I174" s="13">
        <v>42699.413518518515</v>
      </c>
      <c r="J174" s="7">
        <v>1</v>
      </c>
      <c r="K174" s="109" t="str">
        <f t="shared" si="52"/>
        <v>4003/4004</v>
      </c>
      <c r="L174" s="22" t="str">
        <f>VLOOKUP(A174,'Trips&amp;Operators'!$C$1:$E$10000,3,FALSE)</f>
        <v>YORK</v>
      </c>
      <c r="M174" s="6">
        <f t="shared" si="53"/>
        <v>1.0162037033296656E-2</v>
      </c>
      <c r="N174" s="7">
        <f t="shared" si="54"/>
        <v>14.633333327947184</v>
      </c>
      <c r="O174" s="7"/>
      <c r="P174" s="7"/>
      <c r="Q174" s="23"/>
      <c r="R174" s="23"/>
      <c r="S174" s="35">
        <f t="shared" si="55"/>
        <v>1</v>
      </c>
      <c r="T174" s="50" t="str">
        <f t="shared" si="56"/>
        <v>Southbound</v>
      </c>
      <c r="U174" s="171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https://search-rtdc-monitor-bjffxe2xuh6vdkpspy63sjmuny.us-east-1.es.amazonaws.com/_plugin/kibana/#/discover/Steve-Slow-Train-Analysis-(2080s-and-2083s)?_g=(refreshInterval:(display:Off,section:0,value:0),time:(from:'2016-11-25 08:37:37-700',mode:absolute,to:'2016-11-25 10:55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74" s="52" t="str">
        <f t="shared" si="58"/>
        <v>N</v>
      </c>
      <c r="X174" s="177">
        <f t="shared" si="59"/>
        <v>1</v>
      </c>
      <c r="Y174" s="67">
        <f t="shared" si="60"/>
        <v>5.8611000000000004</v>
      </c>
      <c r="Z174" s="67">
        <f t="shared" si="61"/>
        <v>7.3400000000000007E-2</v>
      </c>
      <c r="AA174" s="67">
        <f t="shared" si="62"/>
        <v>5.7877000000000001</v>
      </c>
      <c r="AB174" s="64" t="e">
        <f>VLOOKUP(A174,Enforcements!$C$7:$K$20,8,0)</f>
        <v>#N/A</v>
      </c>
      <c r="AC174" s="60" t="e">
        <f>VLOOKUP(A174,Enforcements!$C$7:$E$20,3,0)</f>
        <v>#N/A</v>
      </c>
      <c r="AD174" s="61" t="str">
        <f t="shared" si="63"/>
        <v>0814-25</v>
      </c>
      <c r="AE174" s="91" t="str">
        <f t="shared" si="64"/>
        <v>aws s3 cp s3://rtdc.mdm.uploadarchive.raw/RTDC4004/ "%USERPROFILE%\AppData\Local\Temp\OnboardLogs"\RTDC4004\2016-11-25 --exclude "*" --recursive --include "*20161125*" &amp; "%USERPROFILE%\Documents\GitHub\mrs-test-scripts\Headless Mode &amp; Sideloading\WalkAndUnGZ.bat" "%USERPROFILE%\AppData\Local\Temp\OnboardLogs"\RTDC4004\2016-11-25 &amp; aws s3 cp s3://rtdc.mdm.uploadarchive.raw/RTDC4004/ "%USERPROFILE%\AppData\Local\Temp\OnboardLogs"\RTDC4004\2016-11-26 --exclude "*" --recursive --include "*20161126*" &amp; "%USERPROFILE%\Documents\GitHub\mrs-test-scripts\Headless Mode &amp; Sideloading\WalkAndUnGZ.bat" "%USERPROFILE%\AppData\Local\Temp\OnboardLogs"\RTDC4004\2016-11-26</v>
      </c>
      <c r="AF174" s="88" t="str">
        <f t="shared" si="65"/>
        <v>"C:\Program Files (x86)\AstroGrep\AstroGrep.exe" /spath="%USERPROFILE%\AppData\Local\Temp\OnboardLogs" /stypes="app*4004*20161125*" /stext=" 16:.+((SYSTEM_STATE.+slice.+state.+changed )|(ment ac)|(system.+state.+changed )|(\[timeout)|(PRM\|1\|D)|(kpr)|(kdp)|(\|lc)|(penalty))" /e /r /s</v>
      </c>
      <c r="AG174" s="1" t="str">
        <f t="shared" si="66"/>
        <v>NW</v>
      </c>
      <c r="AH174" s="92" t="str">
        <f t="shared" si="67"/>
        <v>"%USERPROFILE%\Documents\GitHub\eaglep3\Utilities\RefineRTDCRunTimes.py" --tripid 814-25 --locoid 4004 --swversion DE.1.0.8.0 --startMP 300:58611 --initTime 2016-11-25T09:37:37 --startdatetime 2016-11-25T09:40:50 --delay 0 --endMP 204:734 --enddatetime 2016-11-25T09:55:28 --enforcementcount 1 &gt;&gt;C:\Users\stu\Documents\GitHub\eaglep3-reporting\EC\2016-11-25-refined-times.txt</v>
      </c>
      <c r="AI174" s="119" t="str">
        <f t="shared" si="68"/>
        <v>echo {"issue":{"subject":"","project_id":79,"tracker_id":40,"status_id":1,"priority_id":2,"assigned_to_id":23,"start_date":"2016-11-25","description":"","custom_fields":[{"id":1,"name":"Subdivision","value":"NW"},{"id":4,"name":"Milepost","value":"0.0734"},{"id":17,"name":"Train ID","value":"814-25"},{"id":16,"name":"Locomotive ID","value":"4004"},{"id":130,"name":"Impact","value":""},{"id":150,"name":"Time of Event (Mountain Time)","value":"09:55:28"},{"id":151,"name":"Denver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3"/>
      <c r="AK174" s="53"/>
      <c r="AL174" s="53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1" customFormat="1" x14ac:dyDescent="0.25">
      <c r="A175" s="37" t="s">
        <v>424</v>
      </c>
      <c r="B175" s="7">
        <v>4003</v>
      </c>
      <c r="C175" s="22" t="s">
        <v>217</v>
      </c>
      <c r="D175" s="22" t="s">
        <v>397</v>
      </c>
      <c r="E175" s="13">
        <v>42699.415659722225</v>
      </c>
      <c r="F175" s="13">
        <v>42699.431539351855</v>
      </c>
      <c r="G175" s="7">
        <v>1</v>
      </c>
      <c r="H175" s="22" t="s">
        <v>383</v>
      </c>
      <c r="I175" s="13">
        <v>42699.440682870372</v>
      </c>
      <c r="J175" s="7">
        <v>1</v>
      </c>
      <c r="K175" s="109" t="str">
        <f t="shared" si="52"/>
        <v>4003/4004</v>
      </c>
      <c r="L175" s="22" t="str">
        <f>VLOOKUP(A175,'Trips&amp;Operators'!$C$1:$E$10000,3,FALSE)</f>
        <v>YORK</v>
      </c>
      <c r="M175" s="6">
        <f t="shared" si="53"/>
        <v>9.1435185167938471E-3</v>
      </c>
      <c r="N175" s="7">
        <f t="shared" si="54"/>
        <v>13.16666666418314</v>
      </c>
      <c r="O175" s="7"/>
      <c r="P175" s="7"/>
      <c r="Q175" s="23"/>
      <c r="R175" s="23"/>
      <c r="S175" s="35">
        <f t="shared" si="55"/>
        <v>1</v>
      </c>
      <c r="T175" s="50" t="str">
        <f t="shared" si="56"/>
        <v>NorthBound</v>
      </c>
      <c r="U175" s="171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https://search-rtdc-monitor-bjffxe2xuh6vdkpspy63sjmuny.us-east-1.es.amazonaws.com/_plugin/kibana/#/discover/Steve-Slow-Train-Analysis-(2080s-and-2083s)?_g=(refreshInterval:(display:Off,section:0,value:0),time:(from:'2016-11-25 08:58:33-700',mode:absolute,to:'2016-11-25 11:34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75" s="52" t="str">
        <f t="shared" si="58"/>
        <v>N</v>
      </c>
      <c r="X175" s="177">
        <f t="shared" si="59"/>
        <v>1</v>
      </c>
      <c r="Y175" s="67">
        <f t="shared" si="60"/>
        <v>0.10299999999999999</v>
      </c>
      <c r="Z175" s="67">
        <f t="shared" si="61"/>
        <v>5.8929</v>
      </c>
      <c r="AA175" s="67">
        <f t="shared" si="62"/>
        <v>5.7899000000000003</v>
      </c>
      <c r="AB175" s="64" t="e">
        <f>VLOOKUP(A175,Enforcements!$C$7:$K$20,8,0)</f>
        <v>#N/A</v>
      </c>
      <c r="AC175" s="60" t="e">
        <f>VLOOKUP(A175,Enforcements!$C$7:$E$20,3,0)</f>
        <v>#N/A</v>
      </c>
      <c r="AD175" s="61" t="str">
        <f t="shared" si="63"/>
        <v>0815-25</v>
      </c>
      <c r="AE175" s="91" t="str">
        <f t="shared" si="64"/>
        <v>aws s3 cp s3://rtdc.mdm.uploadarchive.raw/RTDC4003/ "%USERPROFILE%\AppData\Local\Temp\OnboardLogs"\RTDC4003\2016-11-25 --exclude "*" --recursive --include "*20161125*" &amp; "%USERPROFILE%\Documents\GitHub\mrs-test-scripts\Headless Mode &amp; Sideloading\WalkAndUnGZ.bat" "%USERPROFILE%\AppData\Local\Temp\OnboardLogs"\RTDC4003\2016-11-25 &amp; aws s3 cp s3://rtdc.mdm.uploadarchive.raw/RTDC4003/ "%USERPROFILE%\AppData\Local\Temp\OnboardLogs"\RTDC4003\2016-11-26 --exclude "*" --recursive --include "*20161126*" &amp; "%USERPROFILE%\Documents\GitHub\mrs-test-scripts\Headless Mode &amp; Sideloading\WalkAndUnGZ.bat" "%USERPROFILE%\AppData\Local\Temp\OnboardLogs"\RTDC4003\2016-11-26</v>
      </c>
      <c r="AF175" s="88" t="str">
        <f t="shared" si="65"/>
        <v>"C:\Program Files (x86)\AstroGrep\AstroGrep.exe" /spath="%USERPROFILE%\AppData\Local\Temp\OnboardLogs" /stypes="app*4003*20161125*" /stext=" 17:.+((SYSTEM_STATE.+slice.+state.+changed )|(ment ac)|(system.+state.+changed )|(\[timeout)|(PRM\|1\|D)|(kpr)|(kdp)|(\|lc)|(penalty))" /e /r /s</v>
      </c>
      <c r="AG175" s="1" t="str">
        <f t="shared" si="66"/>
        <v>NW</v>
      </c>
      <c r="AH175" s="92" t="str">
        <f t="shared" si="67"/>
        <v>"%USERPROFILE%\Documents\GitHub\eaglep3\Utilities\RefineRTDCRunTimes.py" --tripid 815-25 --locoid 4003 --swversion DE.1.0.8.0 --startMP 204:1030 --initTime 2016-11-25T09:58:33 --startdatetime 2016-11-25T10:21:25 --delay 1 --endMP 300:58929 --enddatetime 2016-11-25T10:34:35 --enforcementcount 1 &gt;&gt;C:\Users\stu\Documents\GitHub\eaglep3-reporting\EC\2016-11-25-refined-times.txt</v>
      </c>
      <c r="AI175" s="119" t="str">
        <f t="shared" si="68"/>
        <v>echo {"issue":{"subject":"","project_id":79,"tracker_id":40,"status_id":1,"priority_id":2,"assigned_to_id":23,"start_date":"2016-11-25","description":"","custom_fields":[{"id":1,"name":"Subdivision","value":"NW"},{"id":4,"name":"Milepost","value":"5.8929"},{"id":17,"name":"Train ID","value":"815-25"},{"id":16,"name":"Locomotive ID","value":"4003"},{"id":130,"name":"Impact","value":""},{"id":150,"name":"Time of Event (Mountain Time)","value":"10:34:35"},{"id":151,"name":"Denver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3"/>
      <c r="AK175" s="53"/>
      <c r="AL175" s="53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x14ac:dyDescent="0.25">
      <c r="A176" s="37" t="s">
        <v>426</v>
      </c>
      <c r="B176" s="7">
        <v>4004</v>
      </c>
      <c r="C176" s="22" t="s">
        <v>217</v>
      </c>
      <c r="D176" s="22" t="s">
        <v>391</v>
      </c>
      <c r="E176" s="13">
        <v>42699.442835648151</v>
      </c>
      <c r="F176" s="13">
        <v>42699.444571759261</v>
      </c>
      <c r="G176" s="7">
        <v>1</v>
      </c>
      <c r="H176" s="22" t="s">
        <v>638</v>
      </c>
      <c r="I176" s="13">
        <v>42699.454884259256</v>
      </c>
      <c r="J176" s="7">
        <v>2</v>
      </c>
      <c r="K176" s="109" t="str">
        <f t="shared" si="52"/>
        <v>4003/4004</v>
      </c>
      <c r="L176" s="22" t="str">
        <f>VLOOKUP(A176,'Trips&amp;Operators'!$C$1:$E$10000,3,FALSE)</f>
        <v>YORK</v>
      </c>
      <c r="M176" s="6">
        <f t="shared" si="53"/>
        <v>1.0312499995052349E-2</v>
      </c>
      <c r="N176" s="7">
        <f t="shared" si="54"/>
        <v>14.849999992875382</v>
      </c>
      <c r="O176" s="7"/>
      <c r="P176" s="7"/>
      <c r="Q176" s="23"/>
      <c r="R176" s="23"/>
      <c r="S176" s="35">
        <f t="shared" si="55"/>
        <v>1</v>
      </c>
      <c r="T176" s="50" t="str">
        <f t="shared" si="56"/>
        <v>Southbound</v>
      </c>
      <c r="U176" s="171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https://search-rtdc-monitor-bjffxe2xuh6vdkpspy63sjmuny.us-east-1.es.amazonaws.com/_plugin/kibana/#/discover/Steve-Slow-Train-Analysis-(2080s-and-2083s)?_g=(refreshInterval:(display:Off,section:0,value:0),time:(from:'2016-11-25 09:37:41-700',mode:absolute,to:'2016-11-25 11:55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76" s="52" t="str">
        <f t="shared" si="58"/>
        <v>N</v>
      </c>
      <c r="X176" s="177">
        <f t="shared" si="59"/>
        <v>1</v>
      </c>
      <c r="Y176" s="67">
        <f t="shared" si="60"/>
        <v>5.8609</v>
      </c>
      <c r="Z176" s="67">
        <f t="shared" si="61"/>
        <v>7.4300000000000005E-2</v>
      </c>
      <c r="AA176" s="67">
        <f t="shared" si="62"/>
        <v>5.7866</v>
      </c>
      <c r="AB176" s="64" t="e">
        <f>VLOOKUP(A176,Enforcements!$C$7:$K$20,8,0)</f>
        <v>#N/A</v>
      </c>
      <c r="AC176" s="60" t="e">
        <f>VLOOKUP(A176,Enforcements!$C$7:$E$20,3,0)</f>
        <v>#N/A</v>
      </c>
      <c r="AD176" s="61" t="str">
        <f t="shared" si="63"/>
        <v>0816-25</v>
      </c>
      <c r="AE176" s="91" t="str">
        <f t="shared" si="64"/>
        <v>aws s3 cp s3://rtdc.mdm.uploadarchive.raw/RTDC4004/ "%USERPROFILE%\AppData\Local\Temp\OnboardLogs"\RTDC4004\2016-11-25 --exclude "*" --recursive --include "*20161125*" &amp; "%USERPROFILE%\Documents\GitHub\mrs-test-scripts\Headless Mode &amp; Sideloading\WalkAndUnGZ.bat" "%USERPROFILE%\AppData\Local\Temp\OnboardLogs"\RTDC4004\2016-11-25 &amp; aws s3 cp s3://rtdc.mdm.uploadarchive.raw/RTDC4004/ "%USERPROFILE%\AppData\Local\Temp\OnboardLogs"\RTDC4004\2016-11-26 --exclude "*" --recursive --include "*20161126*" &amp; "%USERPROFILE%\Documents\GitHub\mrs-test-scripts\Headless Mode &amp; Sideloading\WalkAndUnGZ.bat" "%USERPROFILE%\AppData\Local\Temp\OnboardLogs"\RTDC4004\2016-11-26</v>
      </c>
      <c r="AF176" s="88" t="str">
        <f t="shared" si="65"/>
        <v>"C:\Program Files (x86)\AstroGrep\AstroGrep.exe" /spath="%USERPROFILE%\AppData\Local\Temp\OnboardLogs" /stypes="app*4004*20161125*" /stext=" 17:.+((SYSTEM_STATE.+slice.+state.+changed )|(ment ac)|(system.+state.+changed )|(\[timeout)|(PRM\|1\|D)|(kpr)|(kdp)|(\|lc)|(penalty))" /e /r /s</v>
      </c>
      <c r="AG176" s="1" t="str">
        <f t="shared" si="66"/>
        <v>NW</v>
      </c>
      <c r="AH176" s="92" t="str">
        <f t="shared" si="67"/>
        <v>"%USERPROFILE%\Documents\GitHub\eaglep3\Utilities\RefineRTDCRunTimes.py" --tripid 816-25 --locoid 4004 --swversion DE.1.0.8.0 --startMP 300:58609 --initTime 2016-11-25T10:37:41 --startdatetime 2016-11-25T10:40:11 --delay 1 --endMP 204:743 --enddatetime 2016-11-25T10:55:02 --enforcementcount 2 &gt;&gt;C:\Users\stu\Documents\GitHub\eaglep3-reporting\EC\2016-11-25-refined-times.txt</v>
      </c>
      <c r="AI176" s="119" t="str">
        <f t="shared" si="68"/>
        <v>echo {"issue":{"subject":"","project_id":79,"tracker_id":40,"status_id":1,"priority_id":2,"assigned_to_id":23,"start_date":"2016-11-25","description":"","custom_fields":[{"id":1,"name":"Subdivision","value":"NW"},{"id":4,"name":"Milepost","value":"0.0743"},{"id":17,"name":"Train ID","value":"816-25"},{"id":16,"name":"Locomotive ID","value":"4004"},{"id":130,"name":"Impact","value":""},{"id":150,"name":"Time of Event (Mountain Time)","value":"10:55:02"},{"id":151,"name":"Denver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3"/>
      <c r="AK176" s="53"/>
      <c r="AL176" s="53"/>
    </row>
    <row r="177" spans="1:91" x14ac:dyDescent="0.25">
      <c r="A177" s="37" t="s">
        <v>524</v>
      </c>
      <c r="B177" s="7">
        <v>4003</v>
      </c>
      <c r="C177" s="22" t="s">
        <v>217</v>
      </c>
      <c r="D177" s="22" t="s">
        <v>400</v>
      </c>
      <c r="E177" s="13">
        <v>42699.457141203704</v>
      </c>
      <c r="F177" s="13">
        <v>42699.473506944443</v>
      </c>
      <c r="G177" s="7">
        <v>1</v>
      </c>
      <c r="H177" s="22" t="s">
        <v>398</v>
      </c>
      <c r="I177" s="13">
        <v>42699.482465277775</v>
      </c>
      <c r="J177" s="7">
        <v>0</v>
      </c>
      <c r="K177" s="109" t="str">
        <f t="shared" si="52"/>
        <v>4003/4004</v>
      </c>
      <c r="L177" s="22" t="str">
        <f>VLOOKUP(A177,'Trips&amp;Operators'!$C$1:$E$10000,3,FALSE)</f>
        <v>YORK</v>
      </c>
      <c r="M177" s="6">
        <f t="shared" si="53"/>
        <v>8.9583333319751546E-3</v>
      </c>
      <c r="N177" s="7">
        <f t="shared" si="54"/>
        <v>12.899999998044223</v>
      </c>
      <c r="O177" s="7"/>
      <c r="P177" s="7"/>
      <c r="Q177" s="23"/>
      <c r="R177" s="23"/>
      <c r="S177" s="35">
        <f t="shared" si="55"/>
        <v>1</v>
      </c>
      <c r="T177" s="50" t="str">
        <f t="shared" si="56"/>
        <v>NorthBound</v>
      </c>
      <c r="U177" s="171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https://search-rtdc-monitor-bjffxe2xuh6vdkpspy63sjmuny.us-east-1.es.amazonaws.com/_plugin/kibana/#/discover/Steve-Slow-Train-Analysis-(2080s-and-2083s)?_g=(refreshInterval:(display:Off,section:0,value:0),time:(from:'2016-11-25 09:58:17-700',mode:absolute,to:'2016-11-25 12:34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77" s="52" t="str">
        <f t="shared" si="58"/>
        <v>N</v>
      </c>
      <c r="X177" s="177">
        <f t="shared" si="59"/>
        <v>1</v>
      </c>
      <c r="Y177" s="67">
        <f t="shared" si="60"/>
        <v>0.1027</v>
      </c>
      <c r="Z177" s="67">
        <f t="shared" si="61"/>
        <v>5.8935000000000004</v>
      </c>
      <c r="AA177" s="67">
        <f t="shared" si="62"/>
        <v>5.7908000000000008</v>
      </c>
      <c r="AB177" s="64" t="e">
        <f>VLOOKUP(A177,Enforcements!$C$7:$K$20,8,0)</f>
        <v>#N/A</v>
      </c>
      <c r="AC177" s="60" t="e">
        <f>VLOOKUP(A177,Enforcements!$C$7:$E$20,3,0)</f>
        <v>#N/A</v>
      </c>
      <c r="AD177" s="61" t="str">
        <f t="shared" si="63"/>
        <v>0817-25</v>
      </c>
      <c r="AE177" s="91" t="str">
        <f t="shared" si="64"/>
        <v>aws s3 cp s3://rtdc.mdm.uploadarchive.raw/RTDC4003/ "%USERPROFILE%\AppData\Local\Temp\OnboardLogs"\RTDC4003\2016-11-25 --exclude "*" --recursive --include "*20161125*" &amp; "%USERPROFILE%\Documents\GitHub\mrs-test-scripts\Headless Mode &amp; Sideloading\WalkAndUnGZ.bat" "%USERPROFILE%\AppData\Local\Temp\OnboardLogs"\RTDC4003\2016-11-25 &amp; aws s3 cp s3://rtdc.mdm.uploadarchive.raw/RTDC4003/ "%USERPROFILE%\AppData\Local\Temp\OnboardLogs"\RTDC4003\2016-11-26 --exclude "*" --recursive --include "*20161126*" &amp; "%USERPROFILE%\Documents\GitHub\mrs-test-scripts\Headless Mode &amp; Sideloading\WalkAndUnGZ.bat" "%USERPROFILE%\AppData\Local\Temp\OnboardLogs"\RTDC4003\2016-11-26</v>
      </c>
      <c r="AF177" s="88" t="str">
        <f t="shared" si="65"/>
        <v>"C:\Program Files (x86)\AstroGrep\AstroGrep.exe" /spath="%USERPROFILE%\AppData\Local\Temp\OnboardLogs" /stypes="app*4003*20161125*" /stext=" 18:.+((SYSTEM_STATE.+slice.+state.+changed )|(ment ac)|(system.+state.+changed )|(\[timeout)|(PRM\|1\|D)|(kpr)|(kdp)|(\|lc)|(penalty))" /e /r /s</v>
      </c>
      <c r="AG177" s="1" t="str">
        <f t="shared" si="66"/>
        <v>NW</v>
      </c>
      <c r="AH177" s="92" t="str">
        <f t="shared" si="67"/>
        <v>"%USERPROFILE%\Documents\GitHub\eaglep3\Utilities\RefineRTDCRunTimes.py" --tripid 817-25 --locoid 4003 --swversion DE.1.0.8.0 --startMP 204:1027 --initTime 2016-11-25T10:58:17 --startdatetime 2016-11-25T11:21:51 --delay 1 --endMP 300:58935 --enddatetime 2016-11-25T11:34:45 --enforcementcount 0 &gt;&gt;C:\Users\stu\Documents\GitHub\eaglep3-reporting\EC\2016-11-25-refined-times.txt</v>
      </c>
      <c r="AI177" s="119" t="str">
        <f t="shared" si="68"/>
        <v>echo {"issue":{"subject":"","project_id":79,"tracker_id":40,"status_id":1,"priority_id":2,"assigned_to_id":23,"start_date":"2016-11-25","description":"","custom_fields":[{"id":1,"name":"Subdivision","value":"NW"},{"id":4,"name":"Milepost","value":"5.8935"},{"id":17,"name":"Train ID","value":"817-25"},{"id":16,"name":"Locomotive ID","value":"4003"},{"id":130,"name":"Impact","value":""},{"id":150,"name":"Time of Event (Mountain Time)","value":"11:34:45"},{"id":151,"name":"Denver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3"/>
      <c r="AK177" s="53"/>
      <c r="AL177" s="53"/>
    </row>
    <row r="178" spans="1:91" s="21" customFormat="1" x14ac:dyDescent="0.25">
      <c r="A178" s="37" t="s">
        <v>532</v>
      </c>
      <c r="B178" s="7">
        <v>4004</v>
      </c>
      <c r="C178" s="22" t="s">
        <v>217</v>
      </c>
      <c r="D178" s="22" t="s">
        <v>379</v>
      </c>
      <c r="E178" s="13">
        <v>42699.483518518522</v>
      </c>
      <c r="F178" s="13">
        <v>42699.485868055555</v>
      </c>
      <c r="G178" s="7">
        <v>1</v>
      </c>
      <c r="H178" s="22" t="s">
        <v>731</v>
      </c>
      <c r="I178" s="13">
        <v>42699.496817129628</v>
      </c>
      <c r="J178" s="7">
        <v>0</v>
      </c>
      <c r="K178" s="109" t="str">
        <f t="shared" si="52"/>
        <v>4003/4004</v>
      </c>
      <c r="L178" s="22" t="str">
        <f>VLOOKUP(A178,'Trips&amp;Operators'!$C$1:$E$10000,3,FALSE)</f>
        <v>YORK</v>
      </c>
      <c r="M178" s="6">
        <f t="shared" si="53"/>
        <v>1.0949074072414078E-2</v>
      </c>
      <c r="N178" s="7">
        <f t="shared" si="54"/>
        <v>15.766666664276272</v>
      </c>
      <c r="O178" s="7"/>
      <c r="P178" s="7"/>
      <c r="Q178" s="23"/>
      <c r="R178" s="23"/>
      <c r="S178" s="35">
        <f t="shared" si="55"/>
        <v>1</v>
      </c>
      <c r="T178" s="50" t="str">
        <f t="shared" si="56"/>
        <v>Southbound</v>
      </c>
      <c r="U178" s="171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https://search-rtdc-monitor-bjffxe2xuh6vdkpspy63sjmuny.us-east-1.es.amazonaws.com/_plugin/kibana/#/discover/Steve-Slow-Train-Analysis-(2080s-and-2083s)?_g=(refreshInterval:(display:Off,section:0,value:0),time:(from:'2016-11-25 10:36:16-700',mode:absolute,to:'2016-11-25 12:55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78" s="52" t="str">
        <f t="shared" si="58"/>
        <v>N</v>
      </c>
      <c r="X178" s="177">
        <f t="shared" si="59"/>
        <v>1</v>
      </c>
      <c r="Y178" s="67">
        <f t="shared" si="60"/>
        <v>5.8611000000000004</v>
      </c>
      <c r="Z178" s="67">
        <f t="shared" si="61"/>
        <v>7.1900000000000006E-2</v>
      </c>
      <c r="AA178" s="67">
        <f t="shared" si="62"/>
        <v>5.7892000000000001</v>
      </c>
      <c r="AB178" s="64" t="e">
        <f>VLOOKUP(A178,Enforcements!$C$7:$K$20,8,0)</f>
        <v>#N/A</v>
      </c>
      <c r="AC178" s="60" t="e">
        <f>VLOOKUP(A178,Enforcements!$C$7:$E$20,3,0)</f>
        <v>#N/A</v>
      </c>
      <c r="AD178" s="61" t="str">
        <f t="shared" si="63"/>
        <v>0818-25</v>
      </c>
      <c r="AE178" s="91" t="str">
        <f t="shared" si="64"/>
        <v>aws s3 cp s3://rtdc.mdm.uploadarchive.raw/RTDC4004/ "%USERPROFILE%\AppData\Local\Temp\OnboardLogs"\RTDC4004\2016-11-25 --exclude "*" --recursive --include "*20161125*" &amp; "%USERPROFILE%\Documents\GitHub\mrs-test-scripts\Headless Mode &amp; Sideloading\WalkAndUnGZ.bat" "%USERPROFILE%\AppData\Local\Temp\OnboardLogs"\RTDC4004\2016-11-25 &amp; aws s3 cp s3://rtdc.mdm.uploadarchive.raw/RTDC4004/ "%USERPROFILE%\AppData\Local\Temp\OnboardLogs"\RTDC4004\2016-11-26 --exclude "*" --recursive --include "*20161126*" &amp; "%USERPROFILE%\Documents\GitHub\mrs-test-scripts\Headless Mode &amp; Sideloading\WalkAndUnGZ.bat" "%USERPROFILE%\AppData\Local\Temp\OnboardLogs"\RTDC4004\2016-11-26</v>
      </c>
      <c r="AF178" s="88" t="str">
        <f t="shared" si="65"/>
        <v>"C:\Program Files (x86)\AstroGrep\AstroGrep.exe" /spath="%USERPROFILE%\AppData\Local\Temp\OnboardLogs" /stypes="app*4004*20161125*" /stext=" 18:.+((SYSTEM_STATE.+slice.+state.+changed )|(ment ac)|(system.+state.+changed )|(\[timeout)|(PRM\|1\|D)|(kpr)|(kdp)|(\|lc)|(penalty))" /e /r /s</v>
      </c>
      <c r="AG178" s="1" t="str">
        <f t="shared" si="66"/>
        <v>NW</v>
      </c>
      <c r="AH178" s="92" t="str">
        <f t="shared" si="67"/>
        <v>"%USERPROFILE%\Documents\GitHub\eaglep3\Utilities\RefineRTDCRunTimes.py" --tripid 818-25 --locoid 4004 --swversion DE.1.0.8.0 --startMP 300:58611 --initTime 2016-11-25T11:36:16 --startdatetime 2016-11-25T11:39:39 --delay 1 --endMP 204:719 --enddatetime 2016-11-25T11:55:25 --enforcementcount 0 &gt;&gt;C:\Users\stu\Documents\GitHub\eaglep3-reporting\EC\2016-11-25-refined-times.txt</v>
      </c>
      <c r="AI178" s="119" t="str">
        <f t="shared" si="68"/>
        <v>echo {"issue":{"subject":"","project_id":79,"tracker_id":40,"status_id":1,"priority_id":2,"assigned_to_id":23,"start_date":"2016-11-25","description":"","custom_fields":[{"id":1,"name":"Subdivision","value":"NW"},{"id":4,"name":"Milepost","value":"0.0719"},{"id":17,"name":"Train ID","value":"818-25"},{"id":16,"name":"Locomotive ID","value":"4004"},{"id":130,"name":"Impact","value":""},{"id":150,"name":"Time of Event (Mountain Time)","value":"11:55:25"},{"id":151,"name":"Denver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3"/>
      <c r="AK178" s="53"/>
      <c r="AL178" s="53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1" customFormat="1" x14ac:dyDescent="0.25">
      <c r="A179" s="37" t="s">
        <v>536</v>
      </c>
      <c r="B179" s="7">
        <v>4003</v>
      </c>
      <c r="C179" s="22" t="s">
        <v>217</v>
      </c>
      <c r="D179" s="22" t="s">
        <v>732</v>
      </c>
      <c r="E179" s="13">
        <v>42699.498483796298</v>
      </c>
      <c r="F179" s="13">
        <v>42699.514745370368</v>
      </c>
      <c r="G179" s="7">
        <v>1</v>
      </c>
      <c r="H179" s="22" t="s">
        <v>390</v>
      </c>
      <c r="I179" s="13">
        <v>42699.524594907409</v>
      </c>
      <c r="J179" s="7">
        <v>0</v>
      </c>
      <c r="K179" s="109" t="str">
        <f t="shared" si="52"/>
        <v>4003/4004</v>
      </c>
      <c r="L179" s="22" t="str">
        <f>VLOOKUP(A179,'Trips&amp;Operators'!$C$1:$E$10000,3,FALSE)</f>
        <v>YORK</v>
      </c>
      <c r="M179" s="6">
        <f t="shared" si="53"/>
        <v>9.8495370402815752E-3</v>
      </c>
      <c r="N179" s="7">
        <f t="shared" si="54"/>
        <v>14.183333338005468</v>
      </c>
      <c r="O179" s="7"/>
      <c r="P179" s="7"/>
      <c r="Q179" s="23"/>
      <c r="R179" s="23"/>
      <c r="S179" s="35">
        <f t="shared" si="55"/>
        <v>1</v>
      </c>
      <c r="T179" s="50" t="str">
        <f t="shared" si="56"/>
        <v>NorthBound</v>
      </c>
      <c r="U179" s="171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https://search-rtdc-monitor-bjffxe2xuh6vdkpspy63sjmuny.us-east-1.es.amazonaws.com/_plugin/kibana/#/discover/Steve-Slow-Train-Analysis-(2080s-and-2083s)?_g=(refreshInterval:(display:Off,section:0,value:0),time:(from:'2016-11-25 10:57:49-700',mode:absolute,to:'2016-11-25 13:35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79" s="52" t="str">
        <f t="shared" si="58"/>
        <v>N</v>
      </c>
      <c r="X179" s="177">
        <f t="shared" si="59"/>
        <v>1</v>
      </c>
      <c r="Y179" s="67">
        <f t="shared" si="60"/>
        <v>0.1004</v>
      </c>
      <c r="Z179" s="67">
        <f t="shared" si="61"/>
        <v>5.8924000000000003</v>
      </c>
      <c r="AA179" s="67">
        <f t="shared" si="62"/>
        <v>5.7920000000000007</v>
      </c>
      <c r="AB179" s="64" t="e">
        <f>VLOOKUP(A179,Enforcements!$C$7:$K$20,8,0)</f>
        <v>#N/A</v>
      </c>
      <c r="AC179" s="60" t="e">
        <f>VLOOKUP(A179,Enforcements!$C$7:$E$20,3,0)</f>
        <v>#N/A</v>
      </c>
      <c r="AD179" s="61" t="str">
        <f t="shared" si="63"/>
        <v>0819-25</v>
      </c>
      <c r="AE179" s="91" t="str">
        <f t="shared" si="64"/>
        <v>aws s3 cp s3://rtdc.mdm.uploadarchive.raw/RTDC4003/ "%USERPROFILE%\AppData\Local\Temp\OnboardLogs"\RTDC4003\2016-11-25 --exclude "*" --recursive --include "*20161125*" &amp; "%USERPROFILE%\Documents\GitHub\mrs-test-scripts\Headless Mode &amp; Sideloading\WalkAndUnGZ.bat" "%USERPROFILE%\AppData\Local\Temp\OnboardLogs"\RTDC4003\2016-11-25 &amp; aws s3 cp s3://rtdc.mdm.uploadarchive.raw/RTDC4003/ "%USERPROFILE%\AppData\Local\Temp\OnboardLogs"\RTDC4003\2016-11-26 --exclude "*" --recursive --include "*20161126*" &amp; "%USERPROFILE%\Documents\GitHub\mrs-test-scripts\Headless Mode &amp; Sideloading\WalkAndUnGZ.bat" "%USERPROFILE%\AppData\Local\Temp\OnboardLogs"\RTDC4003\2016-11-26</v>
      </c>
      <c r="AF179" s="88" t="str">
        <f t="shared" si="65"/>
        <v>"C:\Program Files (x86)\AstroGrep\AstroGrep.exe" /spath="%USERPROFILE%\AppData\Local\Temp\OnboardLogs" /stypes="app*4003*20161125*" /stext=" 19:.+((SYSTEM_STATE.+slice.+state.+changed )|(ment ac)|(system.+state.+changed )|(\[timeout)|(PRM\|1\|D)|(kpr)|(kdp)|(\|lc)|(penalty))" /e /r /s</v>
      </c>
      <c r="AG179" s="1" t="str">
        <f t="shared" si="66"/>
        <v>NW</v>
      </c>
      <c r="AH179" s="92" t="str">
        <f t="shared" si="67"/>
        <v>"%USERPROFILE%\Documents\GitHub\eaglep3\Utilities\RefineRTDCRunTimes.py" --tripid 819-25 --locoid 4003 --swversion DE.1.0.8.0 --startMP 204:1004 --initTime 2016-11-25T11:57:49 --startdatetime 2016-11-25T12:21:14 --delay 1 --endMP 300:58924 --enddatetime 2016-11-25T12:35:25 --enforcementcount 0 &gt;&gt;C:\Users\stu\Documents\GitHub\eaglep3-reporting\EC\2016-11-25-refined-times.txt</v>
      </c>
      <c r="AI179" s="119" t="str">
        <f t="shared" si="68"/>
        <v>echo {"issue":{"subject":"","project_id":79,"tracker_id":40,"status_id":1,"priority_id":2,"assigned_to_id":23,"start_date":"2016-11-25","description":"","custom_fields":[{"id":1,"name":"Subdivision","value":"NW"},{"id":4,"name":"Milepost","value":"5.8924"},{"id":17,"name":"Train ID","value":"819-25"},{"id":16,"name":"Locomotive ID","value":"4003"},{"id":130,"name":"Impact","value":""},{"id":150,"name":"Time of Event (Mountain Time)","value":"12:35:25"},{"id":151,"name":"Denver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3"/>
      <c r="AK179" s="53"/>
      <c r="AL179" s="53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1" customFormat="1" x14ac:dyDescent="0.25">
      <c r="A180" s="37" t="s">
        <v>542</v>
      </c>
      <c r="B180" s="7">
        <v>4004</v>
      </c>
      <c r="C180" s="22" t="s">
        <v>217</v>
      </c>
      <c r="D180" s="22" t="s">
        <v>380</v>
      </c>
      <c r="E180" s="13">
        <v>42699.52679398148</v>
      </c>
      <c r="F180" s="13">
        <v>42699.528101851851</v>
      </c>
      <c r="G180" s="7">
        <v>0</v>
      </c>
      <c r="H180" s="22" t="s">
        <v>381</v>
      </c>
      <c r="I180" s="13">
        <v>42699.537685185183</v>
      </c>
      <c r="J180" s="7">
        <v>0</v>
      </c>
      <c r="K180" s="109" t="str">
        <f t="shared" si="52"/>
        <v>4003/4004</v>
      </c>
      <c r="L180" s="22" t="str">
        <f>VLOOKUP(A180,'Trips&amp;Operators'!$C$1:$E$10000,3,FALSE)</f>
        <v>YORK</v>
      </c>
      <c r="M180" s="6">
        <f t="shared" si="53"/>
        <v>9.5833333325572312E-3</v>
      </c>
      <c r="N180" s="7">
        <f t="shared" si="54"/>
        <v>13.799999998882413</v>
      </c>
      <c r="O180" s="7"/>
      <c r="P180" s="7"/>
      <c r="Q180" s="23"/>
      <c r="R180" s="23"/>
      <c r="S180" s="35">
        <f t="shared" si="55"/>
        <v>1</v>
      </c>
      <c r="T180" s="50" t="str">
        <f t="shared" si="56"/>
        <v>Southbound</v>
      </c>
      <c r="U180" s="171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https://search-rtdc-monitor-bjffxe2xuh6vdkpspy63sjmuny.us-east-1.es.amazonaws.com/_plugin/kibana/#/discover/Steve-Slow-Train-Analysis-(2080s-and-2083s)?_g=(refreshInterval:(display:Off,section:0,value:0),time:(from:'2016-11-25 11:38:35-700',mode:absolute,to:'2016-11-25 13:54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80" s="52" t="str">
        <f t="shared" si="58"/>
        <v>N</v>
      </c>
      <c r="X180" s="177">
        <f t="shared" si="59"/>
        <v>1</v>
      </c>
      <c r="Y180" s="67">
        <f t="shared" si="60"/>
        <v>5.8608000000000002</v>
      </c>
      <c r="Z180" s="67">
        <f t="shared" si="61"/>
        <v>7.2400000000000006E-2</v>
      </c>
      <c r="AA180" s="67">
        <f t="shared" si="62"/>
        <v>5.7884000000000002</v>
      </c>
      <c r="AB180" s="64" t="e">
        <f>VLOOKUP(A180,Enforcements!$C$7:$K$20,8,0)</f>
        <v>#N/A</v>
      </c>
      <c r="AC180" s="60" t="e">
        <f>VLOOKUP(A180,Enforcements!$C$7:$E$20,3,0)</f>
        <v>#N/A</v>
      </c>
      <c r="AD180" s="61" t="str">
        <f t="shared" si="63"/>
        <v>0820-25</v>
      </c>
      <c r="AE180" s="91" t="str">
        <f t="shared" si="64"/>
        <v>aws s3 cp s3://rtdc.mdm.uploadarchive.raw/RTDC4004/ "%USERPROFILE%\AppData\Local\Temp\OnboardLogs"\RTDC4004\2016-11-25 --exclude "*" --recursive --include "*20161125*" &amp; "%USERPROFILE%\Documents\GitHub\mrs-test-scripts\Headless Mode &amp; Sideloading\WalkAndUnGZ.bat" "%USERPROFILE%\AppData\Local\Temp\OnboardLogs"\RTDC4004\2016-11-25 &amp; aws s3 cp s3://rtdc.mdm.uploadarchive.raw/RTDC4004/ "%USERPROFILE%\AppData\Local\Temp\OnboardLogs"\RTDC4004\2016-11-26 --exclude "*" --recursive --include "*20161126*" &amp; "%USERPROFILE%\Documents\GitHub\mrs-test-scripts\Headless Mode &amp; Sideloading\WalkAndUnGZ.bat" "%USERPROFILE%\AppData\Local\Temp\OnboardLogs"\RTDC4004\2016-11-26</v>
      </c>
      <c r="AF180" s="88" t="str">
        <f t="shared" si="65"/>
        <v>"C:\Program Files (x86)\AstroGrep\AstroGrep.exe" /spath="%USERPROFILE%\AppData\Local\Temp\OnboardLogs" /stypes="app*4004*20161125*" /stext=" 19:.+((SYSTEM_STATE.+slice.+state.+changed )|(ment ac)|(system.+state.+changed )|(\[timeout)|(PRM\|1\|D)|(kpr)|(kdp)|(\|lc)|(penalty))" /e /r /s</v>
      </c>
      <c r="AG180" s="1" t="str">
        <f t="shared" si="66"/>
        <v>NW</v>
      </c>
      <c r="AH180" s="92" t="str">
        <f t="shared" si="67"/>
        <v>"%USERPROFILE%\Documents\GitHub\eaglep3\Utilities\RefineRTDCRunTimes.py" --tripid 820-25 --locoid 4004 --swversion DE.1.0.8.0 --startMP 300:58608 --initTime 2016-11-25T12:38:35 --startdatetime 2016-11-25T12:40:28 --delay 0 --endMP 204:724 --enddatetime 2016-11-25T12:54:16 --enforcementcount 0 &gt;&gt;C:\Users\stu\Documents\GitHub\eaglep3-reporting\EC\2016-11-25-refined-times.txt</v>
      </c>
      <c r="AI180" s="119" t="str">
        <f t="shared" si="68"/>
        <v>echo {"issue":{"subject":"","project_id":79,"tracker_id":40,"status_id":1,"priority_id":2,"assigned_to_id":23,"start_date":"2016-11-25","description":"","custom_fields":[{"id":1,"name":"Subdivision","value":"NW"},{"id":4,"name":"Milepost","value":"0.0724"},{"id":17,"name":"Train ID","value":"820-25"},{"id":16,"name":"Locomotive ID","value":"4004"},{"id":130,"name":"Impact","value":""},{"id":150,"name":"Time of Event (Mountain Time)","value":"12:54:16"},{"id":151,"name":"Denver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3"/>
      <c r="AK180" s="53"/>
      <c r="AL180" s="53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x14ac:dyDescent="0.25">
      <c r="A181" s="37" t="s">
        <v>547</v>
      </c>
      <c r="B181" s="7">
        <v>4003</v>
      </c>
      <c r="C181" s="22" t="s">
        <v>217</v>
      </c>
      <c r="D181" s="22" t="s">
        <v>733</v>
      </c>
      <c r="E181" s="13">
        <v>42699.548090277778</v>
      </c>
      <c r="F181" s="13">
        <v>42699.556608796294</v>
      </c>
      <c r="G181" s="7">
        <v>1</v>
      </c>
      <c r="H181" s="22" t="s">
        <v>386</v>
      </c>
      <c r="I181" s="13">
        <v>42699.566296296296</v>
      </c>
      <c r="J181" s="7">
        <v>0</v>
      </c>
      <c r="K181" s="109" t="str">
        <f t="shared" si="52"/>
        <v>4003/4004</v>
      </c>
      <c r="L181" s="22" t="str">
        <f>VLOOKUP(A181,'Trips&amp;Operators'!$C$1:$E$10000,3,FALSE)</f>
        <v>PERKINS</v>
      </c>
      <c r="M181" s="6">
        <f t="shared" si="53"/>
        <v>9.6875000017462298E-3</v>
      </c>
      <c r="N181" s="7">
        <f t="shared" si="54"/>
        <v>13.950000002514571</v>
      </c>
      <c r="O181" s="7"/>
      <c r="P181" s="7"/>
      <c r="Q181" s="23"/>
      <c r="R181" s="23"/>
      <c r="S181" s="35">
        <f t="shared" si="55"/>
        <v>1</v>
      </c>
      <c r="T181" s="50" t="str">
        <f t="shared" si="56"/>
        <v>NorthBound</v>
      </c>
      <c r="U181" s="171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https://search-rtdc-monitor-bjffxe2xuh6vdkpspy63sjmuny.us-east-1.es.amazonaws.com/_plugin/kibana/#/discover/Steve-Slow-Train-Analysis-(2080s-and-2083s)?_g=(refreshInterval:(display:Off,section:0,value:0),time:(from:'2016-11-25 12:09:15-700',mode:absolute,to:'2016-11-25 14:35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81" s="52" t="str">
        <f t="shared" si="58"/>
        <v>N</v>
      </c>
      <c r="X181" s="177">
        <f t="shared" si="59"/>
        <v>1</v>
      </c>
      <c r="Y181" s="67">
        <f t="shared" si="60"/>
        <v>0.1013</v>
      </c>
      <c r="Z181" s="67">
        <f t="shared" si="61"/>
        <v>5.8933</v>
      </c>
      <c r="AA181" s="67">
        <f t="shared" si="62"/>
        <v>5.7919999999999998</v>
      </c>
      <c r="AB181" s="64" t="e">
        <f>VLOOKUP(A181,Enforcements!$C$7:$K$20,8,0)</f>
        <v>#N/A</v>
      </c>
      <c r="AC181" s="60" t="e">
        <f>VLOOKUP(A181,Enforcements!$C$7:$E$20,3,0)</f>
        <v>#N/A</v>
      </c>
      <c r="AD181" s="61" t="str">
        <f t="shared" si="63"/>
        <v>0821-25</v>
      </c>
      <c r="AE181" s="91" t="str">
        <f t="shared" si="64"/>
        <v>aws s3 cp s3://rtdc.mdm.uploadarchive.raw/RTDC4003/ "%USERPROFILE%\AppData\Local\Temp\OnboardLogs"\RTDC4003\2016-11-25 --exclude "*" --recursive --include "*20161125*" &amp; "%USERPROFILE%\Documents\GitHub\mrs-test-scripts\Headless Mode &amp; Sideloading\WalkAndUnGZ.bat" "%USERPROFILE%\AppData\Local\Temp\OnboardLogs"\RTDC4003\2016-11-25 &amp; aws s3 cp s3://rtdc.mdm.uploadarchive.raw/RTDC4003/ "%USERPROFILE%\AppData\Local\Temp\OnboardLogs"\RTDC4003\2016-11-26 --exclude "*" --recursive --include "*20161126*" &amp; "%USERPROFILE%\Documents\GitHub\mrs-test-scripts\Headless Mode &amp; Sideloading\WalkAndUnGZ.bat" "%USERPROFILE%\AppData\Local\Temp\OnboardLogs"\RTDC4003\2016-11-26</v>
      </c>
      <c r="AF181" s="88" t="str">
        <f t="shared" si="65"/>
        <v>"C:\Program Files (x86)\AstroGrep\AstroGrep.exe" /spath="%USERPROFILE%\AppData\Local\Temp\OnboardLogs" /stypes="app*4003*20161125*" /stext=" 20:.+((SYSTEM_STATE.+slice.+state.+changed )|(ment ac)|(system.+state.+changed )|(\[timeout)|(PRM\|1\|D)|(kpr)|(kdp)|(\|lc)|(penalty))" /e /r /s</v>
      </c>
      <c r="AG181" s="1" t="str">
        <f t="shared" si="66"/>
        <v>NW</v>
      </c>
      <c r="AH181" s="92" t="str">
        <f t="shared" si="67"/>
        <v>"%USERPROFILE%\Documents\GitHub\eaglep3\Utilities\RefineRTDCRunTimes.py" --tripid 821-25 --locoid 4003 --swversion DE.1.0.8.0 --startMP 204:1013 --initTime 2016-11-25T13:09:15 --startdatetime 2016-11-25T13:21:31 --delay 1 --endMP 300:58933 --enddatetime 2016-11-25T13:35:28 --enforcementcount 0 &gt;&gt;C:\Users\stu\Documents\GitHub\eaglep3-reporting\EC\2016-11-25-refined-times.txt</v>
      </c>
      <c r="AI181" s="119" t="str">
        <f t="shared" si="68"/>
        <v>echo {"issue":{"subject":"","project_id":79,"tracker_id":40,"status_id":1,"priority_id":2,"assigned_to_id":23,"start_date":"2016-11-25","description":"","custom_fields":[{"id":1,"name":"Subdivision","value":"NW"},{"id":4,"name":"Milepost","value":"5.8933"},{"id":17,"name":"Train ID","value":"821-25"},{"id":16,"name":"Locomotive ID","value":"4003"},{"id":130,"name":"Impact","value":""},{"id":150,"name":"Time of Event (Mountain Time)","value":"13:35:28"},{"id":151,"name":"Denver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3"/>
      <c r="AK181" s="53"/>
      <c r="AL181" s="53"/>
    </row>
    <row r="182" spans="1:91" s="21" customFormat="1" x14ac:dyDescent="0.25">
      <c r="A182" s="37" t="s">
        <v>434</v>
      </c>
      <c r="B182" s="7">
        <v>4004</v>
      </c>
      <c r="C182" s="22" t="s">
        <v>217</v>
      </c>
      <c r="D182" s="22" t="s">
        <v>734</v>
      </c>
      <c r="E182" s="13">
        <v>42699.579108796293</v>
      </c>
      <c r="F182" s="13">
        <v>42699.580208333333</v>
      </c>
      <c r="G182" s="7">
        <v>1</v>
      </c>
      <c r="H182" s="22" t="s">
        <v>710</v>
      </c>
      <c r="I182" s="13">
        <v>42699.582962962966</v>
      </c>
      <c r="J182" s="7">
        <v>0</v>
      </c>
      <c r="K182" s="109" t="str">
        <f t="shared" si="52"/>
        <v>4003/4004</v>
      </c>
      <c r="L182" s="22" t="str">
        <f>VLOOKUP(A182,'Trips&amp;Operators'!$C$1:$E$10000,3,FALSE)</f>
        <v>PERKINS</v>
      </c>
      <c r="M182" s="6">
        <f t="shared" si="53"/>
        <v>2.754629633272998E-3</v>
      </c>
      <c r="N182" s="7"/>
      <c r="O182" s="7"/>
      <c r="P182" s="7">
        <f>24*60*SUM($M182:$M183)</f>
        <v>7.9333333438262343</v>
      </c>
      <c r="Q182" s="23"/>
      <c r="R182" s="23" t="s">
        <v>790</v>
      </c>
      <c r="S182" s="35">
        <f>SUM(U182:U183)/IF(AG182="EC",12,1)</f>
        <v>0</v>
      </c>
      <c r="T182" s="50" t="str">
        <f t="shared" si="56"/>
        <v>Southbound</v>
      </c>
      <c r="U182" s="171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0</v>
      </c>
      <c r="V182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https://search-rtdc-monitor-bjffxe2xuh6vdkpspy63sjmuny.us-east-1.es.amazonaws.com/_plugin/kibana/#/discover/Steve-Slow-Train-Analysis-(2080s-and-2083s)?_g=(refreshInterval:(display:Off,section:0,value:0),time:(from:'2016-11-25 12:53:55-700',mode:absolute,to:'2016-11-25 14:59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82" s="52" t="str">
        <f t="shared" si="58"/>
        <v>Y</v>
      </c>
      <c r="X182" s="177">
        <f t="shared" si="59"/>
        <v>1</v>
      </c>
      <c r="Y182" s="67">
        <f t="shared" si="60"/>
        <v>1.0533999999999999</v>
      </c>
      <c r="Z182" s="67">
        <f t="shared" si="61"/>
        <v>7.2900000000000006E-2</v>
      </c>
      <c r="AA182" s="67">
        <f t="shared" si="62"/>
        <v>0.98049999999999993</v>
      </c>
      <c r="AB182" s="64" t="e">
        <f>VLOOKUP(A182,Enforcements!$C$7:$K$20,8,0)</f>
        <v>#N/A</v>
      </c>
      <c r="AC182" s="60" t="e">
        <f>VLOOKUP(A182,Enforcements!$C$7:$E$20,3,0)</f>
        <v>#N/A</v>
      </c>
      <c r="AD182" s="61" t="str">
        <f t="shared" si="63"/>
        <v>0822-25</v>
      </c>
      <c r="AE182" s="91" t="str">
        <f t="shared" si="64"/>
        <v>aws s3 cp s3://rtdc.mdm.uploadarchive.raw/RTDC4004/ "%USERPROFILE%\AppData\Local\Temp\OnboardLogs"\RTDC4004\2016-11-25 --exclude "*" --recursive --include "*20161125*" &amp; "%USERPROFILE%\Documents\GitHub\mrs-test-scripts\Headless Mode &amp; Sideloading\WalkAndUnGZ.bat" "%USERPROFILE%\AppData\Local\Temp\OnboardLogs"\RTDC4004\2016-11-25 &amp; aws s3 cp s3://rtdc.mdm.uploadarchive.raw/RTDC4004/ "%USERPROFILE%\AppData\Local\Temp\OnboardLogs"\RTDC4004\2016-11-26 --exclude "*" --recursive --include "*20161126*" &amp; "%USERPROFILE%\Documents\GitHub\mrs-test-scripts\Headless Mode &amp; Sideloading\WalkAndUnGZ.bat" "%USERPROFILE%\AppData\Local\Temp\OnboardLogs"\RTDC4004\2016-11-26</v>
      </c>
      <c r="AF182" s="88" t="str">
        <f t="shared" si="65"/>
        <v>"C:\Program Files (x86)\AstroGrep\AstroGrep.exe" /spath="%USERPROFILE%\AppData\Local\Temp\OnboardLogs" /stypes="app*4004*20161125*" /stext=" 20:.+((SYSTEM_STATE.+slice.+state.+changed )|(ment ac)|(system.+state.+changed )|(\[timeout)|(PRM\|1\|D)|(kpr)|(kdp)|(\|lc)|(penalty))" /e /r /s</v>
      </c>
      <c r="AG182" s="1" t="str">
        <f t="shared" si="66"/>
        <v>NW</v>
      </c>
      <c r="AH182" s="92" t="str">
        <f t="shared" si="67"/>
        <v>"%USERPROFILE%\Documents\GitHub\eaglep3\Utilities\RefineRTDCRunTimes.py" --tripid 822-25 --locoid 4004 --swversion DE.1.0.8.0 --startMP 300:10534 --initTime 2016-11-25T13:53:55 --startdatetime 2016-11-25T13:55:30 --delay 1 --endMP 204:729 --enddatetime 2016-11-25T13:59:28 --enforcementcount 0 &gt;&gt;C:\Users\stu\Documents\GitHub\eaglep3-reporting\EC\2016-11-25-refined-times.txt</v>
      </c>
      <c r="AI182" s="119" t="str">
        <f t="shared" si="68"/>
        <v>echo {"issue":{"subject":"Wi-MAX data drop","project_id":79,"tracker_id":40,"status_id":1,"priority_id":2,"assigned_to_id":23,"start_date":"2016-11-25","description":"","custom_fields":[{"id":1,"name":"Subdivision","value":"NW"},{"id":4,"name":"Milepost","value":"0.0729"},{"id":17,"name":"Train ID","value":"822-25"},{"id":16,"name":"Locomotive ID","value":"4004"},{"id":130,"name":"Impact","value":""},{"id":150,"name":"Time of Event (Mountain Time)","value":"13:59:28"},{"id":151,"name":"Denver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3"/>
      <c r="AK182" s="53"/>
      <c r="AL182" s="53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1" customFormat="1" x14ac:dyDescent="0.25">
      <c r="A183" s="37" t="s">
        <v>434</v>
      </c>
      <c r="B183" s="7">
        <v>4004</v>
      </c>
      <c r="C183" s="22" t="s">
        <v>217</v>
      </c>
      <c r="D183" s="22" t="s">
        <v>399</v>
      </c>
      <c r="E183" s="13">
        <v>42699.567372685182</v>
      </c>
      <c r="F183" s="13">
        <v>42699.580208333333</v>
      </c>
      <c r="G183" s="7">
        <v>1</v>
      </c>
      <c r="H183" s="22" t="s">
        <v>735</v>
      </c>
      <c r="I183" s="13">
        <v>42699.582962962966</v>
      </c>
      <c r="J183" s="7">
        <v>3</v>
      </c>
      <c r="K183" s="109" t="str">
        <f t="shared" si="52"/>
        <v>4003/4004</v>
      </c>
      <c r="L183" s="22" t="str">
        <f>VLOOKUP(A183,'Trips&amp;Operators'!$C$1:$E$10000,3,FALSE)</f>
        <v>PERKINS</v>
      </c>
      <c r="M183" s="6">
        <f t="shared" si="53"/>
        <v>2.754629633272998E-3</v>
      </c>
      <c r="N183" s="7"/>
      <c r="O183" s="7"/>
      <c r="P183" s="7"/>
      <c r="Q183" s="23"/>
      <c r="R183" s="23"/>
      <c r="S183" s="35"/>
      <c r="T183" s="50" t="str">
        <f t="shared" si="56"/>
        <v>Southbound</v>
      </c>
      <c r="U183" s="171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0</v>
      </c>
      <c r="V183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https://search-rtdc-monitor-bjffxe2xuh6vdkpspy63sjmuny.us-east-1.es.amazonaws.com/_plugin/kibana/#/discover/Steve-Slow-Train-Analysis-(2080s-and-2083s)?_g=(refreshInterval:(display:Off,section:0,value:0),time:(from:'2016-11-25 12:37:01-700',mode:absolute,to:'2016-11-25 14:59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83" s="52" t="str">
        <f t="shared" si="58"/>
        <v>Y</v>
      </c>
      <c r="X183" s="177">
        <f t="shared" si="59"/>
        <v>0</v>
      </c>
      <c r="Y183" s="67">
        <f t="shared" si="60"/>
        <v>5.8619000000000003</v>
      </c>
      <c r="Z183" s="67">
        <f t="shared" si="61"/>
        <v>1.6356999999999999</v>
      </c>
      <c r="AA183" s="67">
        <f t="shared" si="62"/>
        <v>4.2262000000000004</v>
      </c>
      <c r="AB183" s="64" t="e">
        <f>VLOOKUP(A183,Enforcements!$C$7:$K$20,8,0)</f>
        <v>#N/A</v>
      </c>
      <c r="AC183" s="60" t="e">
        <f>VLOOKUP(A183,Enforcements!$C$7:$E$20,3,0)</f>
        <v>#N/A</v>
      </c>
      <c r="AD183" s="61" t="str">
        <f t="shared" si="63"/>
        <v>0822-25</v>
      </c>
      <c r="AE183" s="91" t="str">
        <f t="shared" si="64"/>
        <v>aws s3 cp s3://rtdc.mdm.uploadarchive.raw/RTDC4004/ "%USERPROFILE%\AppData\Local\Temp\OnboardLogs"\RTDC4004\2016-11-25 --exclude "*" --recursive --include "*20161125*" &amp; "%USERPROFILE%\Documents\GitHub\mrs-test-scripts\Headless Mode &amp; Sideloading\WalkAndUnGZ.bat" "%USERPROFILE%\AppData\Local\Temp\OnboardLogs"\RTDC4004\2016-11-25 &amp; aws s3 cp s3://rtdc.mdm.uploadarchive.raw/RTDC4004/ "%USERPROFILE%\AppData\Local\Temp\OnboardLogs"\RTDC4004\2016-11-26 --exclude "*" --recursive --include "*20161126*" &amp; "%USERPROFILE%\Documents\GitHub\mrs-test-scripts\Headless Mode &amp; Sideloading\WalkAndUnGZ.bat" "%USERPROFILE%\AppData\Local\Temp\OnboardLogs"\RTDC4004\2016-11-26</v>
      </c>
      <c r="AF183" s="88" t="str">
        <f t="shared" si="65"/>
        <v>"C:\Program Files (x86)\AstroGrep\AstroGrep.exe" /spath="%USERPROFILE%\AppData\Local\Temp\OnboardLogs" /stypes="app*4004*20161125*" /stext=" 20:.+((SYSTEM_STATE.+slice.+state.+changed )|(ment ac)|(system.+state.+changed )|(\[timeout)|(PRM\|1\|D)|(kpr)|(kdp)|(\|lc)|(penalty))" /e /r /s</v>
      </c>
      <c r="AG183" s="1" t="str">
        <f t="shared" si="66"/>
        <v>NW</v>
      </c>
      <c r="AH183" s="92" t="str">
        <f t="shared" si="67"/>
        <v>"%USERPROFILE%\Documents\GitHub\eaglep3\Utilities\RefineRTDCRunTimes.py" --tripid 822-25 --locoid 4004 --swversion DE.1.0.8.0 --startMP 300:58619 --initTime 2016-11-25T13:37:01 --startdatetime 2016-11-25T13:55:30 --delay 1 --endMP 300:16357 --enddatetime 2016-11-25T13:59:28 --enforcementcount 3 &gt;&gt;C:\Users\stu\Documents\GitHub\eaglep3-reporting\EC\2016-11-25-refined-times.txt</v>
      </c>
      <c r="AI183" s="119" t="str">
        <f t="shared" si="68"/>
        <v>echo {"issue":{"subject":"","project_id":79,"tracker_id":40,"status_id":1,"priority_id":2,"assigned_to_id":23,"start_date":"2016-11-25","description":"","custom_fields":[{"id":1,"name":"Subdivision","value":"NW"},{"id":4,"name":"Milepost","value":"1.6357"},{"id":17,"name":"Train ID","value":"822-25"},{"id":16,"name":"Locomotive ID","value":"4004"},{"id":130,"name":"Impact","value":""},{"id":150,"name":"Time of Event (Mountain Time)","value":"13:59:28"},{"id":151,"name":"Denver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3"/>
      <c r="AK183" s="53"/>
      <c r="AL183" s="5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1" customFormat="1" x14ac:dyDescent="0.25">
      <c r="A184" s="37" t="s">
        <v>436</v>
      </c>
      <c r="B184" s="7">
        <v>4003</v>
      </c>
      <c r="C184" s="22" t="s">
        <v>217</v>
      </c>
      <c r="D184" s="22" t="s">
        <v>335</v>
      </c>
      <c r="E184" s="13">
        <v>42699.584907407407</v>
      </c>
      <c r="F184" s="13">
        <v>42699.598124999997</v>
      </c>
      <c r="G184" s="7">
        <v>1</v>
      </c>
      <c r="H184" s="22" t="s">
        <v>402</v>
      </c>
      <c r="I184" s="13">
        <v>42699.608923611115</v>
      </c>
      <c r="J184" s="7">
        <v>1</v>
      </c>
      <c r="K184" s="109" t="str">
        <f t="shared" si="52"/>
        <v>4003/4004</v>
      </c>
      <c r="L184" s="22" t="str">
        <f>VLOOKUP(A184,'Trips&amp;Operators'!$C$1:$E$10000,3,FALSE)</f>
        <v>PERKINS</v>
      </c>
      <c r="M184" s="6">
        <f t="shared" si="53"/>
        <v>1.0798611117934342E-2</v>
      </c>
      <c r="N184" s="7">
        <f t="shared" si="54"/>
        <v>15.550000009825453</v>
      </c>
      <c r="O184" s="7"/>
      <c r="P184" s="7"/>
      <c r="Q184" s="23"/>
      <c r="R184" s="23"/>
      <c r="S184" s="35">
        <f t="shared" si="55"/>
        <v>1</v>
      </c>
      <c r="T184" s="50" t="str">
        <f t="shared" si="56"/>
        <v>NorthBound</v>
      </c>
      <c r="U184" s="171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https://search-rtdc-monitor-bjffxe2xuh6vdkpspy63sjmuny.us-east-1.es.amazonaws.com/_plugin/kibana/#/discover/Steve-Slow-Train-Analysis-(2080s-and-2083s)?_g=(refreshInterval:(display:Off,section:0,value:0),time:(from:'2016-11-25 13:02:16-700',mode:absolute,to:'2016-11-25 15:36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84" s="52" t="str">
        <f t="shared" si="58"/>
        <v>N</v>
      </c>
      <c r="X184" s="177">
        <f t="shared" si="59"/>
        <v>1</v>
      </c>
      <c r="Y184" s="67">
        <f t="shared" si="60"/>
        <v>0.10349999999999999</v>
      </c>
      <c r="Z184" s="67">
        <f t="shared" si="61"/>
        <v>5.8939000000000004</v>
      </c>
      <c r="AA184" s="67">
        <f t="shared" si="62"/>
        <v>5.7904</v>
      </c>
      <c r="AB184" s="64" t="e">
        <f>VLOOKUP(A184,Enforcements!$C$7:$K$20,8,0)</f>
        <v>#N/A</v>
      </c>
      <c r="AC184" s="60" t="e">
        <f>VLOOKUP(A184,Enforcements!$C$7:$E$20,3,0)</f>
        <v>#N/A</v>
      </c>
      <c r="AD184" s="61" t="str">
        <f t="shared" si="63"/>
        <v>0823-25</v>
      </c>
      <c r="AE184" s="91" t="str">
        <f t="shared" si="64"/>
        <v>aws s3 cp s3://rtdc.mdm.uploadarchive.raw/RTDC4003/ "%USERPROFILE%\AppData\Local\Temp\OnboardLogs"\RTDC4003\2016-11-25 --exclude "*" --recursive --include "*20161125*" &amp; "%USERPROFILE%\Documents\GitHub\mrs-test-scripts\Headless Mode &amp; Sideloading\WalkAndUnGZ.bat" "%USERPROFILE%\AppData\Local\Temp\OnboardLogs"\RTDC4003\2016-11-25 &amp; aws s3 cp s3://rtdc.mdm.uploadarchive.raw/RTDC4003/ "%USERPROFILE%\AppData\Local\Temp\OnboardLogs"\RTDC4003\2016-11-26 --exclude "*" --recursive --include "*20161126*" &amp; "%USERPROFILE%\Documents\GitHub\mrs-test-scripts\Headless Mode &amp; Sideloading\WalkAndUnGZ.bat" "%USERPROFILE%\AppData\Local\Temp\OnboardLogs"\RTDC4003\2016-11-26</v>
      </c>
      <c r="AF184" s="88" t="str">
        <f t="shared" si="65"/>
        <v>"C:\Program Files (x86)\AstroGrep\AstroGrep.exe" /spath="%USERPROFILE%\AppData\Local\Temp\OnboardLogs" /stypes="app*4003*20161125*" /stext=" 21:.+((SYSTEM_STATE.+slice.+state.+changed )|(ment ac)|(system.+state.+changed )|(\[timeout)|(PRM\|1\|D)|(kpr)|(kdp)|(\|lc)|(penalty))" /e /r /s</v>
      </c>
      <c r="AG184" s="1" t="str">
        <f t="shared" si="66"/>
        <v>NW</v>
      </c>
      <c r="AH184" s="92" t="str">
        <f t="shared" si="67"/>
        <v>"%USERPROFILE%\Documents\GitHub\eaglep3\Utilities\RefineRTDCRunTimes.py" --tripid 823-25 --locoid 4003 --swversion DE.1.0.8.0 --startMP 204:1035 --initTime 2016-11-25T14:02:16 --startdatetime 2016-11-25T14:21:18 --delay 1 --endMP 300:58939 --enddatetime 2016-11-25T14:36:51 --enforcementcount 1 &gt;&gt;C:\Users\stu\Documents\GitHub\eaglep3-reporting\EC\2016-11-25-refined-times.txt</v>
      </c>
      <c r="AI184" s="119" t="str">
        <f t="shared" si="68"/>
        <v>echo {"issue":{"subject":"","project_id":79,"tracker_id":40,"status_id":1,"priority_id":2,"assigned_to_id":23,"start_date":"2016-11-25","description":"","custom_fields":[{"id":1,"name":"Subdivision","value":"NW"},{"id":4,"name":"Milepost","value":"5.8939"},{"id":17,"name":"Train ID","value":"823-25"},{"id":16,"name":"Locomotive ID","value":"4003"},{"id":130,"name":"Impact","value":""},{"id":150,"name":"Time of Event (Mountain Time)","value":"14:36:51"},{"id":151,"name":"Denver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3"/>
      <c r="AK184" s="53"/>
      <c r="AL184" s="53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1" customFormat="1" x14ac:dyDescent="0.25">
      <c r="A185" s="37" t="s">
        <v>558</v>
      </c>
      <c r="B185" s="7">
        <v>4004</v>
      </c>
      <c r="C185" s="22" t="s">
        <v>217</v>
      </c>
      <c r="D185" s="22" t="s">
        <v>404</v>
      </c>
      <c r="E185" s="13">
        <v>42699.609988425924</v>
      </c>
      <c r="F185" s="13">
        <v>42699.611701388887</v>
      </c>
      <c r="G185" s="7">
        <v>1</v>
      </c>
      <c r="H185" s="22" t="s">
        <v>736</v>
      </c>
      <c r="I185" s="13">
        <v>42699.62232638889</v>
      </c>
      <c r="J185" s="7">
        <v>0</v>
      </c>
      <c r="K185" s="109" t="str">
        <f t="shared" si="52"/>
        <v>4003/4004</v>
      </c>
      <c r="L185" s="22" t="str">
        <f>VLOOKUP(A185,'Trips&amp;Operators'!$C$1:$E$10000,3,FALSE)</f>
        <v>PERKINS</v>
      </c>
      <c r="M185" s="6">
        <f t="shared" si="53"/>
        <v>1.0625000002619345E-2</v>
      </c>
      <c r="N185" s="7">
        <f t="shared" si="54"/>
        <v>15.300000003771856</v>
      </c>
      <c r="O185" s="7"/>
      <c r="P185" s="7"/>
      <c r="Q185" s="23"/>
      <c r="R185" s="23"/>
      <c r="S185" s="35">
        <f t="shared" si="55"/>
        <v>1</v>
      </c>
      <c r="T185" s="50" t="str">
        <f t="shared" si="56"/>
        <v>Southbound</v>
      </c>
      <c r="U185" s="171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https://search-rtdc-monitor-bjffxe2xuh6vdkpspy63sjmuny.us-east-1.es.amazonaws.com/_plugin/kibana/#/discover/Steve-Slow-Train-Analysis-(2080s-and-2083s)?_g=(refreshInterval:(display:Off,section:0,value:0),time:(from:'2016-11-25 13:38:23-700',mode:absolute,to:'2016-11-25 15:56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85" s="52" t="str">
        <f t="shared" si="58"/>
        <v>N</v>
      </c>
      <c r="X185" s="177">
        <f t="shared" si="59"/>
        <v>1</v>
      </c>
      <c r="Y185" s="67">
        <f t="shared" si="60"/>
        <v>5.8615000000000004</v>
      </c>
      <c r="Z185" s="67">
        <f t="shared" si="61"/>
        <v>7.3800000000000004E-2</v>
      </c>
      <c r="AA185" s="67">
        <f t="shared" si="62"/>
        <v>5.7877000000000001</v>
      </c>
      <c r="AB185" s="64" t="e">
        <f>VLOOKUP(A185,Enforcements!$C$7:$K$20,8,0)</f>
        <v>#N/A</v>
      </c>
      <c r="AC185" s="60" t="e">
        <f>VLOOKUP(A185,Enforcements!$C$7:$E$20,3,0)</f>
        <v>#N/A</v>
      </c>
      <c r="AD185" s="61" t="str">
        <f t="shared" si="63"/>
        <v>0824-25</v>
      </c>
      <c r="AE185" s="91" t="str">
        <f t="shared" si="64"/>
        <v>aws s3 cp s3://rtdc.mdm.uploadarchive.raw/RTDC4004/ "%USERPROFILE%\AppData\Local\Temp\OnboardLogs"\RTDC4004\2016-11-25 --exclude "*" --recursive --include "*20161125*" &amp; "%USERPROFILE%\Documents\GitHub\mrs-test-scripts\Headless Mode &amp; Sideloading\WalkAndUnGZ.bat" "%USERPROFILE%\AppData\Local\Temp\OnboardLogs"\RTDC4004\2016-11-25 &amp; aws s3 cp s3://rtdc.mdm.uploadarchive.raw/RTDC4004/ "%USERPROFILE%\AppData\Local\Temp\OnboardLogs"\RTDC4004\2016-11-26 --exclude "*" --recursive --include "*20161126*" &amp; "%USERPROFILE%\Documents\GitHub\mrs-test-scripts\Headless Mode &amp; Sideloading\WalkAndUnGZ.bat" "%USERPROFILE%\AppData\Local\Temp\OnboardLogs"\RTDC4004\2016-11-26</v>
      </c>
      <c r="AF185" s="88" t="str">
        <f t="shared" si="65"/>
        <v>"C:\Program Files (x86)\AstroGrep\AstroGrep.exe" /spath="%USERPROFILE%\AppData\Local\Temp\OnboardLogs" /stypes="app*4004*20161125*" /stext=" 21:.+((SYSTEM_STATE.+slice.+state.+changed )|(ment ac)|(system.+state.+changed )|(\[timeout)|(PRM\|1\|D)|(kpr)|(kdp)|(\|lc)|(penalty))" /e /r /s</v>
      </c>
      <c r="AG185" s="1" t="str">
        <f t="shared" si="66"/>
        <v>NW</v>
      </c>
      <c r="AH185" s="92" t="str">
        <f t="shared" si="67"/>
        <v>"%USERPROFILE%\Documents\GitHub\eaglep3\Utilities\RefineRTDCRunTimes.py" --tripid 824-25 --locoid 4004 --swversion DE.1.0.8.0 --startMP 300:58615 --initTime 2016-11-25T14:38:23 --startdatetime 2016-11-25T14:40:51 --delay 1 --endMP 204:738 --enddatetime 2016-11-25T14:56:09 --enforcementcount 0 &gt;&gt;C:\Users\stu\Documents\GitHub\eaglep3-reporting\EC\2016-11-25-refined-times.txt</v>
      </c>
      <c r="AI185" s="119" t="str">
        <f t="shared" si="68"/>
        <v>echo {"issue":{"subject":"","project_id":79,"tracker_id":40,"status_id":1,"priority_id":2,"assigned_to_id":23,"start_date":"2016-11-25","description":"","custom_fields":[{"id":1,"name":"Subdivision","value":"NW"},{"id":4,"name":"Milepost","value":"0.0738"},{"id":17,"name":"Train ID","value":"824-25"},{"id":16,"name":"Locomotive ID","value":"4004"},{"id":130,"name":"Impact","value":""},{"id":150,"name":"Time of Event (Mountain Time)","value":"14:56:09"},{"id":151,"name":"Denver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3"/>
      <c r="AK185" s="53"/>
      <c r="AL185" s="53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1" customFormat="1" x14ac:dyDescent="0.25">
      <c r="A186" s="37" t="s">
        <v>438</v>
      </c>
      <c r="B186" s="7">
        <v>4003</v>
      </c>
      <c r="C186" s="22" t="s">
        <v>217</v>
      </c>
      <c r="D186" s="22" t="s">
        <v>737</v>
      </c>
      <c r="E186" s="13">
        <v>42699.632696759261</v>
      </c>
      <c r="F186" s="13">
        <v>42699.640173611115</v>
      </c>
      <c r="G186" s="7">
        <v>1</v>
      </c>
      <c r="H186" s="22" t="s">
        <v>390</v>
      </c>
      <c r="I186" s="13">
        <v>42699.650011574071</v>
      </c>
      <c r="J186" s="7">
        <v>3</v>
      </c>
      <c r="K186" s="109" t="str">
        <f t="shared" si="52"/>
        <v>4003/4004</v>
      </c>
      <c r="L186" s="22" t="str">
        <f>VLOOKUP(A186,'Trips&amp;Operators'!$C$1:$E$10000,3,FALSE)</f>
        <v>PERKINS</v>
      </c>
      <c r="M186" s="6">
        <f t="shared" si="53"/>
        <v>9.8379629562259652E-3</v>
      </c>
      <c r="N186" s="7">
        <f t="shared" si="54"/>
        <v>14.16666665696539</v>
      </c>
      <c r="O186" s="7"/>
      <c r="P186" s="7"/>
      <c r="Q186" s="23"/>
      <c r="R186" s="23"/>
      <c r="S186" s="35">
        <f t="shared" si="55"/>
        <v>1</v>
      </c>
      <c r="T186" s="50" t="str">
        <f t="shared" si="56"/>
        <v>NorthBound</v>
      </c>
      <c r="U186" s="171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https://search-rtdc-monitor-bjffxe2xuh6vdkpspy63sjmuny.us-east-1.es.amazonaws.com/_plugin/kibana/#/discover/Steve-Slow-Train-Analysis-(2080s-and-2083s)?_g=(refreshInterval:(display:Off,section:0,value:0),time:(from:'2016-11-25 14:11:05-700',mode:absolute,to:'2016-11-25 16:36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86" s="52" t="str">
        <f t="shared" si="58"/>
        <v>N</v>
      </c>
      <c r="X186" s="177">
        <f t="shared" si="59"/>
        <v>1</v>
      </c>
      <c r="Y186" s="67">
        <f t="shared" si="60"/>
        <v>0.10390000000000001</v>
      </c>
      <c r="Z186" s="67">
        <f t="shared" si="61"/>
        <v>5.8924000000000003</v>
      </c>
      <c r="AA186" s="67">
        <f t="shared" si="62"/>
        <v>5.7885</v>
      </c>
      <c r="AB186" s="64" t="e">
        <f>VLOOKUP(A186,Enforcements!$C$7:$K$20,8,0)</f>
        <v>#N/A</v>
      </c>
      <c r="AC186" s="60" t="e">
        <f>VLOOKUP(A186,Enforcements!$C$7:$E$20,3,0)</f>
        <v>#N/A</v>
      </c>
      <c r="AD186" s="61" t="str">
        <f t="shared" si="63"/>
        <v>0825-25</v>
      </c>
      <c r="AE186" s="91" t="str">
        <f t="shared" si="64"/>
        <v>aws s3 cp s3://rtdc.mdm.uploadarchive.raw/RTDC4003/ "%USERPROFILE%\AppData\Local\Temp\OnboardLogs"\RTDC4003\2016-11-25 --exclude "*" --recursive --include "*20161125*" &amp; "%USERPROFILE%\Documents\GitHub\mrs-test-scripts\Headless Mode &amp; Sideloading\WalkAndUnGZ.bat" "%USERPROFILE%\AppData\Local\Temp\OnboardLogs"\RTDC4003\2016-11-25 &amp; aws s3 cp s3://rtdc.mdm.uploadarchive.raw/RTDC4003/ "%USERPROFILE%\AppData\Local\Temp\OnboardLogs"\RTDC4003\2016-11-26 --exclude "*" --recursive --include "*20161126*" &amp; "%USERPROFILE%\Documents\GitHub\mrs-test-scripts\Headless Mode &amp; Sideloading\WalkAndUnGZ.bat" "%USERPROFILE%\AppData\Local\Temp\OnboardLogs"\RTDC4003\2016-11-26</v>
      </c>
      <c r="AF186" s="88" t="str">
        <f t="shared" si="65"/>
        <v>"C:\Program Files (x86)\AstroGrep\AstroGrep.exe" /spath="%USERPROFILE%\AppData\Local\Temp\OnboardLogs" /stypes="app*4003*20161125*" /stext=" 22:.+((SYSTEM_STATE.+slice.+state.+changed )|(ment ac)|(system.+state.+changed )|(\[timeout)|(PRM\|1\|D)|(kpr)|(kdp)|(\|lc)|(penalty))" /e /r /s</v>
      </c>
      <c r="AG186" s="1" t="str">
        <f t="shared" si="66"/>
        <v>NW</v>
      </c>
      <c r="AH186" s="92" t="str">
        <f t="shared" si="67"/>
        <v>"%USERPROFILE%\Documents\GitHub\eaglep3\Utilities\RefineRTDCRunTimes.py" --tripid 825-25 --locoid 4003 --swversion DE.1.0.8.0 --startMP 204:1039 --initTime 2016-11-25T15:11:05 --startdatetime 2016-11-25T15:21:51 --delay 1 --endMP 300:58924 --enddatetime 2016-11-25T15:36:01 --enforcementcount 3 &gt;&gt;C:\Users\stu\Documents\GitHub\eaglep3-reporting\EC\2016-11-25-refined-times.txt</v>
      </c>
      <c r="AI186" s="119" t="str">
        <f t="shared" si="68"/>
        <v>echo {"issue":{"subject":"","project_id":79,"tracker_id":40,"status_id":1,"priority_id":2,"assigned_to_id":23,"start_date":"2016-11-25","description":"","custom_fields":[{"id":1,"name":"Subdivision","value":"NW"},{"id":4,"name":"Milepost","value":"5.8924"},{"id":17,"name":"Train ID","value":"825-25"},{"id":16,"name":"Locomotive ID","value":"4003"},{"id":130,"name":"Impact","value":""},{"id":150,"name":"Time of Event (Mountain Time)","value":"15:36:01"},{"id":151,"name":"Denver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3"/>
      <c r="AK186" s="53"/>
      <c r="AL186" s="53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1" customFormat="1" x14ac:dyDescent="0.25">
      <c r="A187" s="37" t="s">
        <v>441</v>
      </c>
      <c r="B187" s="7">
        <v>4004</v>
      </c>
      <c r="C187" s="22" t="s">
        <v>217</v>
      </c>
      <c r="D187" s="22" t="s">
        <v>738</v>
      </c>
      <c r="E187" s="13">
        <v>42699.660833333335</v>
      </c>
      <c r="F187" s="13">
        <v>42699.661886574075</v>
      </c>
      <c r="G187" s="7">
        <v>1</v>
      </c>
      <c r="H187" s="22" t="s">
        <v>736</v>
      </c>
      <c r="I187" s="13">
        <v>42699.664710648147</v>
      </c>
      <c r="J187" s="7">
        <v>0</v>
      </c>
      <c r="K187" s="109" t="str">
        <f t="shared" si="52"/>
        <v>4003/4004</v>
      </c>
      <c r="L187" s="22" t="str">
        <f>VLOOKUP(A187,'Trips&amp;Operators'!$C$1:$E$10000,3,FALSE)</f>
        <v>PERKINS</v>
      </c>
      <c r="M187" s="6">
        <f t="shared" si="53"/>
        <v>2.8240740721230395E-3</v>
      </c>
      <c r="N187" s="7"/>
      <c r="O187" s="7"/>
      <c r="P187" s="7">
        <f>24*60*SUM($M187:$M188)</f>
        <v>8.1333333277143538</v>
      </c>
      <c r="Q187" s="23"/>
      <c r="R187" s="23" t="s">
        <v>790</v>
      </c>
      <c r="S187" s="35">
        <f>SUM(U187:U188)/IF(AG187="EC",12,1)</f>
        <v>0</v>
      </c>
      <c r="T187" s="50" t="str">
        <f t="shared" si="56"/>
        <v>Southbound</v>
      </c>
      <c r="U187" s="171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0</v>
      </c>
      <c r="V187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https://search-rtdc-monitor-bjffxe2xuh6vdkpspy63sjmuny.us-east-1.es.amazonaws.com/_plugin/kibana/#/discover/Steve-Slow-Train-Analysis-(2080s-and-2083s)?_g=(refreshInterval:(display:Off,section:0,value:0),time:(from:'2016-11-25 14:51:36-700',mode:absolute,to:'2016-11-25 16:57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87" s="52" t="str">
        <f t="shared" si="58"/>
        <v>Y</v>
      </c>
      <c r="X187" s="177">
        <f t="shared" si="59"/>
        <v>1</v>
      </c>
      <c r="Y187" s="67">
        <f t="shared" si="60"/>
        <v>1.0394000000000001</v>
      </c>
      <c r="Z187" s="67">
        <f t="shared" si="61"/>
        <v>7.3800000000000004E-2</v>
      </c>
      <c r="AA187" s="67">
        <f t="shared" si="62"/>
        <v>0.96560000000000012</v>
      </c>
      <c r="AB187" s="64" t="e">
        <f>VLOOKUP(A187,Enforcements!$C$7:$K$20,8,0)</f>
        <v>#N/A</v>
      </c>
      <c r="AC187" s="60" t="e">
        <f>VLOOKUP(A187,Enforcements!$C$7:$E$20,3,0)</f>
        <v>#N/A</v>
      </c>
      <c r="AD187" s="61" t="str">
        <f t="shared" si="63"/>
        <v>0826-25</v>
      </c>
      <c r="AE187" s="91" t="str">
        <f t="shared" si="64"/>
        <v>aws s3 cp s3://rtdc.mdm.uploadarchive.raw/RTDC4004/ "%USERPROFILE%\AppData\Local\Temp\OnboardLogs"\RTDC4004\2016-11-25 --exclude "*" --recursive --include "*20161125*" &amp; "%USERPROFILE%\Documents\GitHub\mrs-test-scripts\Headless Mode &amp; Sideloading\WalkAndUnGZ.bat" "%USERPROFILE%\AppData\Local\Temp\OnboardLogs"\RTDC4004\2016-11-25 &amp; aws s3 cp s3://rtdc.mdm.uploadarchive.raw/RTDC4004/ "%USERPROFILE%\AppData\Local\Temp\OnboardLogs"\RTDC4004\2016-11-26 --exclude "*" --recursive --include "*20161126*" &amp; "%USERPROFILE%\Documents\GitHub\mrs-test-scripts\Headless Mode &amp; Sideloading\WalkAndUnGZ.bat" "%USERPROFILE%\AppData\Local\Temp\OnboardLogs"\RTDC4004\2016-11-26</v>
      </c>
      <c r="AF187" s="88" t="str">
        <f t="shared" si="65"/>
        <v>"C:\Program Files (x86)\AstroGrep\AstroGrep.exe" /spath="%USERPROFILE%\AppData\Local\Temp\OnboardLogs" /stypes="app*4004*20161125*" /stext=" 22:.+((SYSTEM_STATE.+slice.+state.+changed )|(ment ac)|(system.+state.+changed )|(\[timeout)|(PRM\|1\|D)|(kpr)|(kdp)|(\|lc)|(penalty))" /e /r /s</v>
      </c>
      <c r="AG187" s="1" t="str">
        <f t="shared" si="66"/>
        <v>NW</v>
      </c>
      <c r="AH187" s="92" t="str">
        <f t="shared" si="67"/>
        <v>"%USERPROFILE%\Documents\GitHub\eaglep3\Utilities\RefineRTDCRunTimes.py" --tripid 826-25 --locoid 4004 --swversion DE.1.0.8.0 --startMP 300:10394 --initTime 2016-11-25T15:51:36 --startdatetime 2016-11-25T15:53:07 --delay 1 --endMP 204:738 --enddatetime 2016-11-25T15:57:11 --enforcementcount 0 &gt;&gt;C:\Users\stu\Documents\GitHub\eaglep3-reporting\EC\2016-11-25-refined-times.txt</v>
      </c>
      <c r="AI187" s="119" t="str">
        <f t="shared" si="68"/>
        <v>echo {"issue":{"subject":"Wi-MAX data drop","project_id":79,"tracker_id":40,"status_id":1,"priority_id":2,"assigned_to_id":23,"start_date":"2016-11-25","description":"","custom_fields":[{"id":1,"name":"Subdivision","value":"NW"},{"id":4,"name":"Milepost","value":"0.0738"},{"id":17,"name":"Train ID","value":"826-25"},{"id":16,"name":"Locomotive ID","value":"4004"},{"id":130,"name":"Impact","value":""},{"id":150,"name":"Time of Event (Mountain Time)","value":"15:57:11"},{"id":151,"name":"Denver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3"/>
      <c r="AK187" s="53"/>
      <c r="AL187" s="53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x14ac:dyDescent="0.25">
      <c r="A188" s="37" t="s">
        <v>441</v>
      </c>
      <c r="B188" s="7">
        <v>4004</v>
      </c>
      <c r="C188" s="22" t="s">
        <v>217</v>
      </c>
      <c r="D188" s="22" t="s">
        <v>404</v>
      </c>
      <c r="E188" s="13">
        <v>42699.651585648149</v>
      </c>
      <c r="F188" s="13">
        <v>42699.661886574075</v>
      </c>
      <c r="G188" s="7">
        <v>1</v>
      </c>
      <c r="H188" s="22" t="s">
        <v>739</v>
      </c>
      <c r="I188" s="13">
        <v>42699.664710648147</v>
      </c>
      <c r="J188" s="7">
        <v>1</v>
      </c>
      <c r="K188" s="109" t="str">
        <f t="shared" si="52"/>
        <v>4003/4004</v>
      </c>
      <c r="L188" s="22" t="str">
        <f>VLOOKUP(A188,'Trips&amp;Operators'!$C$1:$E$10000,3,FALSE)</f>
        <v>PERKINS</v>
      </c>
      <c r="M188" s="6">
        <f t="shared" si="53"/>
        <v>2.8240740721230395E-3</v>
      </c>
      <c r="N188" s="7"/>
      <c r="O188" s="7"/>
      <c r="P188" s="7"/>
      <c r="Q188" s="23"/>
      <c r="R188" s="23"/>
      <c r="S188" s="35"/>
      <c r="T188" s="50" t="str">
        <f t="shared" si="56"/>
        <v>Southbound</v>
      </c>
      <c r="U188" s="171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0</v>
      </c>
      <c r="V188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https://search-rtdc-monitor-bjffxe2xuh6vdkpspy63sjmuny.us-east-1.es.amazonaws.com/_plugin/kibana/#/discover/Steve-Slow-Train-Analysis-(2080s-and-2083s)?_g=(refreshInterval:(display:Off,section:0,value:0),time:(from:'2016-11-25 14:38:17-700',mode:absolute,to:'2016-11-25 16:57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88" s="52" t="str">
        <f t="shared" si="58"/>
        <v>Y</v>
      </c>
      <c r="X188" s="177">
        <f t="shared" si="59"/>
        <v>0</v>
      </c>
      <c r="Y188" s="67">
        <f t="shared" si="60"/>
        <v>5.8615000000000004</v>
      </c>
      <c r="Z188" s="67">
        <f t="shared" si="61"/>
        <v>1.7495000000000001</v>
      </c>
      <c r="AA188" s="67">
        <f t="shared" si="62"/>
        <v>4.1120000000000001</v>
      </c>
      <c r="AB188" s="64" t="e">
        <f>VLOOKUP(A188,Enforcements!$C$7:$K$20,8,0)</f>
        <v>#N/A</v>
      </c>
      <c r="AC188" s="60" t="e">
        <f>VLOOKUP(A188,Enforcements!$C$7:$E$20,3,0)</f>
        <v>#N/A</v>
      </c>
      <c r="AD188" s="61" t="str">
        <f t="shared" si="63"/>
        <v>0826-25</v>
      </c>
      <c r="AE188" s="91" t="str">
        <f t="shared" si="64"/>
        <v>aws s3 cp s3://rtdc.mdm.uploadarchive.raw/RTDC4004/ "%USERPROFILE%\AppData\Local\Temp\OnboardLogs"\RTDC4004\2016-11-25 --exclude "*" --recursive --include "*20161125*" &amp; "%USERPROFILE%\Documents\GitHub\mrs-test-scripts\Headless Mode &amp; Sideloading\WalkAndUnGZ.bat" "%USERPROFILE%\AppData\Local\Temp\OnboardLogs"\RTDC4004\2016-11-25 &amp; aws s3 cp s3://rtdc.mdm.uploadarchive.raw/RTDC4004/ "%USERPROFILE%\AppData\Local\Temp\OnboardLogs"\RTDC4004\2016-11-26 --exclude "*" --recursive --include "*20161126*" &amp; "%USERPROFILE%\Documents\GitHub\mrs-test-scripts\Headless Mode &amp; Sideloading\WalkAndUnGZ.bat" "%USERPROFILE%\AppData\Local\Temp\OnboardLogs"\RTDC4004\2016-11-26</v>
      </c>
      <c r="AF188" s="88" t="str">
        <f t="shared" si="65"/>
        <v>"C:\Program Files (x86)\AstroGrep\AstroGrep.exe" /spath="%USERPROFILE%\AppData\Local\Temp\OnboardLogs" /stypes="app*4004*20161125*" /stext=" 22:.+((SYSTEM_STATE.+slice.+state.+changed )|(ment ac)|(system.+state.+changed )|(\[timeout)|(PRM\|1\|D)|(kpr)|(kdp)|(\|lc)|(penalty))" /e /r /s</v>
      </c>
      <c r="AG188" s="1" t="str">
        <f t="shared" si="66"/>
        <v>NW</v>
      </c>
      <c r="AH188" s="92" t="str">
        <f t="shared" si="67"/>
        <v>"%USERPROFILE%\Documents\GitHub\eaglep3\Utilities\RefineRTDCRunTimes.py" --tripid 826-25 --locoid 4004 --swversion DE.1.0.8.0 --startMP 300:58615 --initTime 2016-11-25T15:38:17 --startdatetime 2016-11-25T15:53:07 --delay 1 --endMP 300:17495 --enddatetime 2016-11-25T15:57:11 --enforcementcount 1 &gt;&gt;C:\Users\stu\Documents\GitHub\eaglep3-reporting\EC\2016-11-25-refined-times.txt</v>
      </c>
      <c r="AI188" s="119" t="str">
        <f t="shared" si="68"/>
        <v>echo {"issue":{"subject":"","project_id":79,"tracker_id":40,"status_id":1,"priority_id":2,"assigned_to_id":23,"start_date":"2016-11-25","description":"","custom_fields":[{"id":1,"name":"Subdivision","value":"NW"},{"id":4,"name":"Milepost","value":"1.7495"},{"id":17,"name":"Train ID","value":"826-25"},{"id":16,"name":"Locomotive ID","value":"4004"},{"id":130,"name":"Impact","value":""},{"id":150,"name":"Time of Event (Mountain Time)","value":"15:57:11"},{"id":151,"name":"Denver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3"/>
      <c r="AK188" s="53"/>
      <c r="AL188" s="53"/>
    </row>
    <row r="189" spans="1:91" x14ac:dyDescent="0.25">
      <c r="A189" s="37" t="s">
        <v>564</v>
      </c>
      <c r="B189" s="7">
        <v>4022</v>
      </c>
      <c r="C189" s="22" t="s">
        <v>217</v>
      </c>
      <c r="D189" s="22" t="s">
        <v>740</v>
      </c>
      <c r="E189" s="13">
        <v>42699.652800925927</v>
      </c>
      <c r="F189" s="13">
        <v>42699.660601851851</v>
      </c>
      <c r="G189" s="7">
        <v>1</v>
      </c>
      <c r="H189" s="22" t="s">
        <v>741</v>
      </c>
      <c r="I189" s="13">
        <v>42699.670451388891</v>
      </c>
      <c r="J189" s="7">
        <v>0</v>
      </c>
      <c r="K189" s="109" t="str">
        <f t="shared" si="52"/>
        <v>4021/4022</v>
      </c>
      <c r="L189" s="22" t="str">
        <f>VLOOKUP(A189,'Trips&amp;Operators'!$C$1:$E$10000,3,FALSE)</f>
        <v>MAGEE</v>
      </c>
      <c r="M189" s="6">
        <f t="shared" si="53"/>
        <v>9.8495370402815752E-3</v>
      </c>
      <c r="N189" s="7">
        <f t="shared" si="54"/>
        <v>14.183333338005468</v>
      </c>
      <c r="O189" s="7"/>
      <c r="P189" s="7"/>
      <c r="Q189" s="23"/>
      <c r="R189" s="23"/>
      <c r="S189" s="35">
        <f t="shared" si="55"/>
        <v>1</v>
      </c>
      <c r="T189" s="50" t="str">
        <f t="shared" si="56"/>
        <v>NorthBound</v>
      </c>
      <c r="U189" s="171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https://search-rtdc-monitor-bjffxe2xuh6vdkpspy63sjmuny.us-east-1.es.amazonaws.com/_plugin/kibana/#/discover/Steve-Slow-Train-Analysis-(2080s-and-2083s)?_g=(refreshInterval:(display:Off,section:0,value:0),time:(from:'2016-11-25 14:40:02-700',mode:absolute,to:'2016-11-25 17:05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89" s="52" t="str">
        <f t="shared" si="58"/>
        <v>N</v>
      </c>
      <c r="X189" s="177">
        <f t="shared" si="59"/>
        <v>1</v>
      </c>
      <c r="Y189" s="67">
        <f t="shared" si="60"/>
        <v>9.4799999999999995E-2</v>
      </c>
      <c r="Z189" s="67">
        <f t="shared" si="61"/>
        <v>5.8912000000000004</v>
      </c>
      <c r="AA189" s="67">
        <f t="shared" si="62"/>
        <v>5.7964000000000002</v>
      </c>
      <c r="AB189" s="64" t="e">
        <f>VLOOKUP(A189,Enforcements!$C$7:$K$20,8,0)</f>
        <v>#N/A</v>
      </c>
      <c r="AC189" s="60" t="e">
        <f>VLOOKUP(A189,Enforcements!$C$7:$E$20,3,0)</f>
        <v>#N/A</v>
      </c>
      <c r="AD189" s="61" t="str">
        <f t="shared" si="63"/>
        <v>0827-25</v>
      </c>
      <c r="AE189" s="91" t="str">
        <f t="shared" si="64"/>
        <v>aws s3 cp s3://rtdc.mdm.uploadarchive.raw/RTDC4022/ "%USERPROFILE%\AppData\Local\Temp\OnboardLogs"\RTDC4022\2016-11-25 --exclude "*" --recursive --include "*20161125*" &amp; "%USERPROFILE%\Documents\GitHub\mrs-test-scripts\Headless Mode &amp; Sideloading\WalkAndUnGZ.bat" "%USERPROFILE%\AppData\Local\Temp\OnboardLogs"\RTDC4022\2016-11-25 &amp; aws s3 cp s3://rtdc.mdm.uploadarchive.raw/RTDC4022/ "%USERPROFILE%\AppData\Local\Temp\OnboardLogs"\RTDC4022\2016-11-26 --exclude "*" --recursive --include "*20161126*" &amp; "%USERPROFILE%\Documents\GitHub\mrs-test-scripts\Headless Mode &amp; Sideloading\WalkAndUnGZ.bat" "%USERPROFILE%\AppData\Local\Temp\OnboardLogs"\RTDC4022\2016-11-26</v>
      </c>
      <c r="AF189" s="88" t="str">
        <f t="shared" si="65"/>
        <v>"C:\Program Files (x86)\AstroGrep\AstroGrep.exe" /spath="%USERPROFILE%\AppData\Local\Temp\OnboardLogs" /stypes="app*4022*20161125*" /stext=" 23:.+((SYSTEM_STATE.+slice.+state.+changed )|(ment ac)|(system.+state.+changed )|(\[timeout)|(PRM\|1\|D)|(kpr)|(kdp)|(\|lc)|(penalty))" /e /r /s</v>
      </c>
      <c r="AG189" s="1" t="str">
        <f t="shared" si="66"/>
        <v>NW</v>
      </c>
      <c r="AH189" s="92" t="str">
        <f t="shared" si="67"/>
        <v>"%USERPROFILE%\Documents\GitHub\eaglep3\Utilities\RefineRTDCRunTimes.py" --tripid 827-25 --locoid 4022 --swversion DE.1.0.8.0 --startMP 204:948 --initTime 2016-11-25T15:40:02 --startdatetime 2016-11-25T15:51:16 --delay 1 --endMP 300:58912 --enddatetime 2016-11-25T16:05:27 --enforcementcount 0 &gt;&gt;C:\Users\stu\Documents\GitHub\eaglep3-reporting\EC\2016-11-25-refined-times.txt</v>
      </c>
      <c r="AI189" s="119" t="str">
        <f t="shared" si="68"/>
        <v>echo {"issue":{"subject":"","project_id":79,"tracker_id":40,"status_id":1,"priority_id":2,"assigned_to_id":23,"start_date":"2016-11-25","description":"","custom_fields":[{"id":1,"name":"Subdivision","value":"NW"},{"id":4,"name":"Milepost","value":"5.8912"},{"id":17,"name":"Train ID","value":"827-25"},{"id":16,"name":"Locomotive ID","value":"4022"},{"id":130,"name":"Impact","value":""},{"id":150,"name":"Time of Event (Mountain Time)","value":"16:05:27"},{"id":151,"name":"Denver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3"/>
      <c r="AK189" s="53"/>
      <c r="AL189" s="53"/>
    </row>
    <row r="190" spans="1:91" x14ac:dyDescent="0.25">
      <c r="A190" s="37" t="s">
        <v>567</v>
      </c>
      <c r="B190" s="7">
        <v>4021</v>
      </c>
      <c r="C190" s="22" t="s">
        <v>217</v>
      </c>
      <c r="D190" s="22" t="s">
        <v>742</v>
      </c>
      <c r="E190" s="13">
        <v>42699.680127314816</v>
      </c>
      <c r="F190" s="13">
        <v>42699.680937500001</v>
      </c>
      <c r="G190" s="7">
        <v>0</v>
      </c>
      <c r="H190" s="22" t="s">
        <v>743</v>
      </c>
      <c r="I190" s="13">
        <v>42699.688067129631</v>
      </c>
      <c r="J190" s="7">
        <v>0</v>
      </c>
      <c r="K190" s="109" t="str">
        <f t="shared" si="52"/>
        <v>4021/4022</v>
      </c>
      <c r="L190" s="22" t="str">
        <f>VLOOKUP(A190,'Trips&amp;Operators'!$C$1:$E$10000,3,FALSE)</f>
        <v>MAGEE</v>
      </c>
      <c r="M190" s="6">
        <f t="shared" si="53"/>
        <v>7.1296296300715767E-3</v>
      </c>
      <c r="N190" s="7"/>
      <c r="O190" s="7"/>
      <c r="P190" s="7">
        <f>24*60*SUM($M190:$M191)</f>
        <v>20.533333334606141</v>
      </c>
      <c r="Q190" s="23"/>
      <c r="R190" s="23" t="s">
        <v>792</v>
      </c>
      <c r="S190" s="35">
        <f>SUM(U190:U191)/IF(AG190="EC",12,1)</f>
        <v>1</v>
      </c>
      <c r="T190" s="50" t="str">
        <f t="shared" si="56"/>
        <v>Southbound</v>
      </c>
      <c r="U190" s="171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https://search-rtdc-monitor-bjffxe2xuh6vdkpspy63sjmuny.us-east-1.es.amazonaws.com/_plugin/kibana/#/discover/Steve-Slow-Train-Analysis-(2080s-and-2083s)?_g=(refreshInterval:(display:Off,section:0,value:0),time:(from:'2016-11-25 15:19:23-700',mode:absolute,to:'2016-11-25 17:30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90" s="52" t="str">
        <f t="shared" si="58"/>
        <v>Y</v>
      </c>
      <c r="X190" s="177">
        <f t="shared" si="59"/>
        <v>1</v>
      </c>
      <c r="Y190" s="67">
        <f t="shared" si="60"/>
        <v>3.8866999999999998</v>
      </c>
      <c r="Z190" s="67">
        <f t="shared" si="61"/>
        <v>7.0800000000000002E-2</v>
      </c>
      <c r="AA190" s="67">
        <f t="shared" si="62"/>
        <v>3.8158999999999996</v>
      </c>
      <c r="AB190" s="64" t="e">
        <f>VLOOKUP(A190,Enforcements!$C$7:$K$20,8,0)</f>
        <v>#N/A</v>
      </c>
      <c r="AC190" s="60" t="e">
        <f>VLOOKUP(A190,Enforcements!$C$7:$E$20,3,0)</f>
        <v>#N/A</v>
      </c>
      <c r="AD190" s="61" t="str">
        <f t="shared" si="63"/>
        <v>0828-25</v>
      </c>
      <c r="AE190" s="91" t="str">
        <f t="shared" si="64"/>
        <v>aws s3 cp s3://rtdc.mdm.uploadarchive.raw/RTDC4021/ "%USERPROFILE%\AppData\Local\Temp\OnboardLogs"\RTDC4021\2016-11-25 --exclude "*" --recursive --include "*20161125*" &amp; "%USERPROFILE%\Documents\GitHub\mrs-test-scripts\Headless Mode &amp; Sideloading\WalkAndUnGZ.bat" "%USERPROFILE%\AppData\Local\Temp\OnboardLogs"\RTDC4021\2016-11-25 &amp; aws s3 cp s3://rtdc.mdm.uploadarchive.raw/RTDC4021/ "%USERPROFILE%\AppData\Local\Temp\OnboardLogs"\RTDC4021\2016-11-26 --exclude "*" --recursive --include "*20161126*" &amp; "%USERPROFILE%\Documents\GitHub\mrs-test-scripts\Headless Mode &amp; Sideloading\WalkAndUnGZ.bat" "%USERPROFILE%\AppData\Local\Temp\OnboardLogs"\RTDC4021\2016-11-26</v>
      </c>
      <c r="AF190" s="88" t="str">
        <f t="shared" si="65"/>
        <v>"C:\Program Files (x86)\AstroGrep\AstroGrep.exe" /spath="%USERPROFILE%\AppData\Local\Temp\OnboardLogs" /stypes="app*4021*20161125*" /stext=" 23:.+((SYSTEM_STATE.+slice.+state.+changed )|(ment ac)|(system.+state.+changed )|(\[timeout)|(PRM\|1\|D)|(kpr)|(kdp)|(\|lc)|(penalty))" /e /r /s</v>
      </c>
      <c r="AG190" s="1" t="str">
        <f t="shared" si="66"/>
        <v>NW</v>
      </c>
      <c r="AH190" s="92" t="str">
        <f t="shared" si="67"/>
        <v>"%USERPROFILE%\Documents\GitHub\eaglep3\Utilities\RefineRTDCRunTimes.py" --tripid 828-25 --locoid 4021 --swversion DE.1.0.8.0 --startMP 300:38867 --initTime 2016-11-25T16:19:23 --startdatetime 2016-11-25T16:20:33 --delay 0 --endMP 204:708 --enddatetime 2016-11-25T16:30:49 --enforcementcount 0 &gt;&gt;C:\Users\stu\Documents\GitHub\eaglep3-reporting\EC\2016-11-25-refined-times.txt</v>
      </c>
      <c r="AI190" s="119" t="str">
        <f t="shared" si="68"/>
        <v>echo {"issue":{"subject":"Onboard in-route failure","project_id":79,"tracker_id":40,"status_id":1,"priority_id":2,"assigned_to_id":23,"start_date":"2016-11-25","description":"","custom_fields":[{"id":1,"name":"Subdivision","value":"NW"},{"id":4,"name":"Milepost","value":"0.0708"},{"id":17,"name":"Train ID","value":"828-25"},{"id":16,"name":"Locomotive ID","value":"4021"},{"id":130,"name":"Impact","value":""},{"id":150,"name":"Time of Event (Mountain Time)","value":"16:30:49"},{"id":151,"name":"Denver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3"/>
      <c r="AK190" s="53"/>
      <c r="AL190" s="53"/>
    </row>
    <row r="191" spans="1:91" x14ac:dyDescent="0.25">
      <c r="A191" s="37" t="s">
        <v>567</v>
      </c>
      <c r="B191" s="7">
        <v>4021</v>
      </c>
      <c r="C191" s="22" t="s">
        <v>217</v>
      </c>
      <c r="D191" s="22" t="s">
        <v>393</v>
      </c>
      <c r="E191" s="13">
        <v>42699.671516203707</v>
      </c>
      <c r="F191" s="13">
        <v>42699.680937500001</v>
      </c>
      <c r="G191" s="7">
        <v>1</v>
      </c>
      <c r="H191" s="22" t="s">
        <v>744</v>
      </c>
      <c r="I191" s="13">
        <v>42699.688067129631</v>
      </c>
      <c r="J191" s="7">
        <v>0</v>
      </c>
      <c r="K191" s="109" t="str">
        <f t="shared" si="52"/>
        <v>4021/4022</v>
      </c>
      <c r="L191" s="22" t="str">
        <f>VLOOKUP(A191,'Trips&amp;Operators'!$C$1:$E$10000,3,FALSE)</f>
        <v>MAGEE</v>
      </c>
      <c r="M191" s="6">
        <f t="shared" si="53"/>
        <v>7.1296296300715767E-3</v>
      </c>
      <c r="N191" s="7"/>
      <c r="O191" s="7"/>
      <c r="P191" s="7"/>
      <c r="Q191" s="23"/>
      <c r="R191" s="23"/>
      <c r="S191" s="35"/>
      <c r="T191" s="50" t="str">
        <f t="shared" si="56"/>
        <v>Southbound</v>
      </c>
      <c r="U191" s="171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0</v>
      </c>
      <c r="V191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https://search-rtdc-monitor-bjffxe2xuh6vdkpspy63sjmuny.us-east-1.es.amazonaws.com/_plugin/kibana/#/discover/Steve-Slow-Train-Analysis-(2080s-and-2083s)?_g=(refreshInterval:(display:Off,section:0,value:0),time:(from:'2016-11-25 15:06:59-700',mode:absolute,to:'2016-11-25 17:30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91" s="52" t="str">
        <f t="shared" si="58"/>
        <v>Y</v>
      </c>
      <c r="X191" s="177">
        <f t="shared" si="59"/>
        <v>0</v>
      </c>
      <c r="Y191" s="67">
        <f t="shared" si="60"/>
        <v>5.8592000000000004</v>
      </c>
      <c r="Z191" s="67">
        <f t="shared" si="61"/>
        <v>4.2125000000000004</v>
      </c>
      <c r="AA191" s="67">
        <f t="shared" si="62"/>
        <v>1.6467000000000001</v>
      </c>
      <c r="AB191" s="64" t="e">
        <f>VLOOKUP(A191,Enforcements!$C$7:$K$20,8,0)</f>
        <v>#N/A</v>
      </c>
      <c r="AC191" s="60" t="e">
        <f>VLOOKUP(A191,Enforcements!$C$7:$E$20,3,0)</f>
        <v>#N/A</v>
      </c>
      <c r="AD191" s="61" t="str">
        <f t="shared" si="63"/>
        <v>0828-25</v>
      </c>
      <c r="AE191" s="91" t="str">
        <f t="shared" si="64"/>
        <v>aws s3 cp s3://rtdc.mdm.uploadarchive.raw/RTDC4021/ "%USERPROFILE%\AppData\Local\Temp\OnboardLogs"\RTDC4021\2016-11-25 --exclude "*" --recursive --include "*20161125*" &amp; "%USERPROFILE%\Documents\GitHub\mrs-test-scripts\Headless Mode &amp; Sideloading\WalkAndUnGZ.bat" "%USERPROFILE%\AppData\Local\Temp\OnboardLogs"\RTDC4021\2016-11-25 &amp; aws s3 cp s3://rtdc.mdm.uploadarchive.raw/RTDC4021/ "%USERPROFILE%\AppData\Local\Temp\OnboardLogs"\RTDC4021\2016-11-26 --exclude "*" --recursive --include "*20161126*" &amp; "%USERPROFILE%\Documents\GitHub\mrs-test-scripts\Headless Mode &amp; Sideloading\WalkAndUnGZ.bat" "%USERPROFILE%\AppData\Local\Temp\OnboardLogs"\RTDC4021\2016-11-26</v>
      </c>
      <c r="AF191" s="88" t="str">
        <f t="shared" si="65"/>
        <v>"C:\Program Files (x86)\AstroGrep\AstroGrep.exe" /spath="%USERPROFILE%\AppData\Local\Temp\OnboardLogs" /stypes="app*4021*20161125*" /stext=" 23:.+((SYSTEM_STATE.+slice.+state.+changed )|(ment ac)|(system.+state.+changed )|(\[timeout)|(PRM\|1\|D)|(kpr)|(kdp)|(\|lc)|(penalty))" /e /r /s</v>
      </c>
      <c r="AG191" s="1" t="str">
        <f t="shared" si="66"/>
        <v>NW</v>
      </c>
      <c r="AH191" s="92" t="str">
        <f t="shared" si="67"/>
        <v>"%USERPROFILE%\Documents\GitHub\eaglep3\Utilities\RefineRTDCRunTimes.py" --tripid 828-25 --locoid 4021 --swversion DE.1.0.8.0 --startMP 300:58592 --initTime 2016-11-25T16:06:59 --startdatetime 2016-11-25T16:20:33 --delay 1 --endMP 300:42125 --enddatetime 2016-11-25T16:30:49 --enforcementcount 0 &gt;&gt;C:\Users\stu\Documents\GitHub\eaglep3-reporting\EC\2016-11-25-refined-times.txt</v>
      </c>
      <c r="AI191" s="119" t="str">
        <f t="shared" si="68"/>
        <v>echo {"issue":{"subject":"","project_id":79,"tracker_id":40,"status_id":1,"priority_id":2,"assigned_to_id":23,"start_date":"2016-11-25","description":"","custom_fields":[{"id":1,"name":"Subdivision","value":"NW"},{"id":4,"name":"Milepost","value":"4.2125"},{"id":17,"name":"Train ID","value":"828-25"},{"id":16,"name":"Locomotive ID","value":"4021"},{"id":130,"name":"Impact","value":""},{"id":150,"name":"Time of Event (Mountain Time)","value":"16:30:49"},{"id":151,"name":"Denver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3"/>
      <c r="AK191" s="53"/>
      <c r="AL191" s="53"/>
    </row>
    <row r="192" spans="1:91" x14ac:dyDescent="0.25">
      <c r="A192" s="37" t="s">
        <v>445</v>
      </c>
      <c r="B192" s="7">
        <v>4003</v>
      </c>
      <c r="C192" s="22" t="s">
        <v>217</v>
      </c>
      <c r="D192" s="22" t="s">
        <v>714</v>
      </c>
      <c r="E192" s="13">
        <v>42699.678668981483</v>
      </c>
      <c r="F192" s="13">
        <v>42699.681458333333</v>
      </c>
      <c r="G192" s="7">
        <v>1</v>
      </c>
      <c r="H192" s="22" t="s">
        <v>745</v>
      </c>
      <c r="I192" s="13">
        <v>42699.691018518519</v>
      </c>
      <c r="J192" s="7">
        <v>1</v>
      </c>
      <c r="K192" s="109" t="str">
        <f t="shared" si="52"/>
        <v>4003/4004</v>
      </c>
      <c r="L192" s="22" t="str">
        <f>VLOOKUP(A192,'Trips&amp;Operators'!$C$1:$E$10000,3,FALSE)</f>
        <v>PERKINS</v>
      </c>
      <c r="M192" s="6">
        <f t="shared" si="53"/>
        <v>9.560185186273884E-3</v>
      </c>
      <c r="N192" s="7">
        <f t="shared" si="54"/>
        <v>13.766666668234393</v>
      </c>
      <c r="O192" s="7"/>
      <c r="P192" s="7"/>
      <c r="Q192" s="23"/>
      <c r="R192" s="23"/>
      <c r="S192" s="35">
        <f t="shared" si="55"/>
        <v>1</v>
      </c>
      <c r="T192" s="50" t="str">
        <f t="shared" si="56"/>
        <v>NorthBound</v>
      </c>
      <c r="U192" s="171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https://search-rtdc-monitor-bjffxe2xuh6vdkpspy63sjmuny.us-east-1.es.amazonaws.com/_plugin/kibana/#/discover/Steve-Slow-Train-Analysis-(2080s-and-2083s)?_g=(refreshInterval:(display:Off,section:0,value:0),time:(from:'2016-11-25 15:17:17-700',mode:absolute,to:'2016-11-25 17:35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92" s="52" t="str">
        <f t="shared" si="58"/>
        <v>N</v>
      </c>
      <c r="X192" s="177">
        <f t="shared" si="59"/>
        <v>1</v>
      </c>
      <c r="Y192" s="67">
        <f t="shared" si="60"/>
        <v>0.1016</v>
      </c>
      <c r="Z192" s="67">
        <f t="shared" si="61"/>
        <v>5.8944000000000001</v>
      </c>
      <c r="AA192" s="67">
        <f t="shared" si="62"/>
        <v>5.7927999999999997</v>
      </c>
      <c r="AB192" s="64" t="e">
        <f>VLOOKUP(A192,Enforcements!$C$7:$K$20,8,0)</f>
        <v>#N/A</v>
      </c>
      <c r="AC192" s="60" t="e">
        <f>VLOOKUP(A192,Enforcements!$C$7:$E$20,3,0)</f>
        <v>#N/A</v>
      </c>
      <c r="AD192" s="61" t="str">
        <f t="shared" si="63"/>
        <v>0829-25</v>
      </c>
      <c r="AE192" s="91" t="str">
        <f t="shared" si="64"/>
        <v>aws s3 cp s3://rtdc.mdm.uploadarchive.raw/RTDC4003/ "%USERPROFILE%\AppData\Local\Temp\OnboardLogs"\RTDC4003\2016-11-25 --exclude "*" --recursive --include "*20161125*" &amp; "%USERPROFILE%\Documents\GitHub\mrs-test-scripts\Headless Mode &amp; Sideloading\WalkAndUnGZ.bat" "%USERPROFILE%\AppData\Local\Temp\OnboardLogs"\RTDC4003\2016-11-25 &amp; aws s3 cp s3://rtdc.mdm.uploadarchive.raw/RTDC4003/ "%USERPROFILE%\AppData\Local\Temp\OnboardLogs"\RTDC4003\2016-11-26 --exclude "*" --recursive --include "*20161126*" &amp; "%USERPROFILE%\Documents\GitHub\mrs-test-scripts\Headless Mode &amp; Sideloading\WalkAndUnGZ.bat" "%USERPROFILE%\AppData\Local\Temp\OnboardLogs"\RTDC4003\2016-11-26</v>
      </c>
      <c r="AF192" s="88" t="str">
        <f t="shared" si="65"/>
        <v>"C:\Program Files (x86)\AstroGrep\AstroGrep.exe" /spath="%USERPROFILE%\AppData\Local\Temp\OnboardLogs" /stypes="app*4003*20161125*" /stext=" 23:.+((SYSTEM_STATE.+slice.+state.+changed )|(ment ac)|(system.+state.+changed )|(\[timeout)|(PRM\|1\|D)|(kpr)|(kdp)|(\|lc)|(penalty))" /e /r /s</v>
      </c>
      <c r="AG192" s="1" t="str">
        <f t="shared" si="66"/>
        <v>NW</v>
      </c>
      <c r="AH192" s="92" t="str">
        <f t="shared" si="67"/>
        <v>"%USERPROFILE%\Documents\GitHub\eaglep3\Utilities\RefineRTDCRunTimes.py" --tripid 829-25 --locoid 4003 --swversion DE.1.0.8.0 --startMP 204:1016 --initTime 2016-11-25T16:17:17 --startdatetime 2016-11-25T16:21:18 --delay 1 --endMP 300:58944 --enddatetime 2016-11-25T16:35:04 --enforcementcount 1 &gt;&gt;C:\Users\stu\Documents\GitHub\eaglep3-reporting\EC\2016-11-25-refined-times.txt</v>
      </c>
      <c r="AI192" s="119" t="str">
        <f t="shared" si="68"/>
        <v>echo {"issue":{"subject":"","project_id":79,"tracker_id":40,"status_id":1,"priority_id":2,"assigned_to_id":23,"start_date":"2016-11-25","description":"","custom_fields":[{"id":1,"name":"Subdivision","value":"NW"},{"id":4,"name":"Milepost","value":"5.8944"},{"id":17,"name":"Train ID","value":"829-25"},{"id":16,"name":"Locomotive ID","value":"4003"},{"id":130,"name":"Impact","value":""},{"id":150,"name":"Time of Event (Mountain Time)","value":"16:35:04"},{"id":151,"name":"Denver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3"/>
      <c r="AK192" s="53"/>
      <c r="AL192" s="53"/>
    </row>
    <row r="193" spans="1:91" s="21" customFormat="1" x14ac:dyDescent="0.25">
      <c r="A193" s="37" t="s">
        <v>447</v>
      </c>
      <c r="B193" s="7">
        <v>4004</v>
      </c>
      <c r="C193" s="22" t="s">
        <v>217</v>
      </c>
      <c r="D193" s="22" t="s">
        <v>746</v>
      </c>
      <c r="E193" s="13">
        <v>42699.702777777777</v>
      </c>
      <c r="F193" s="13">
        <v>42699.703969907408</v>
      </c>
      <c r="G193" s="7">
        <v>1</v>
      </c>
      <c r="H193" s="22" t="s">
        <v>354</v>
      </c>
      <c r="I193" s="13">
        <v>42699.707118055558</v>
      </c>
      <c r="J193" s="7">
        <v>0</v>
      </c>
      <c r="K193" s="109" t="str">
        <f t="shared" si="52"/>
        <v>4003/4004</v>
      </c>
      <c r="L193" s="22" t="str">
        <f>VLOOKUP(A193,'Trips&amp;Operators'!$C$1:$E$10000,3,FALSE)</f>
        <v>PERKINS</v>
      </c>
      <c r="M193" s="6">
        <f t="shared" si="53"/>
        <v>3.1481481491937302E-3</v>
      </c>
      <c r="N193" s="7"/>
      <c r="O193" s="7"/>
      <c r="P193" s="7">
        <f>24*60*SUM($M193:$M194)</f>
        <v>9.066666669677943</v>
      </c>
      <c r="Q193" s="23"/>
      <c r="R193" s="23" t="s">
        <v>790</v>
      </c>
      <c r="S193" s="35">
        <f>SUM(U193:U194)/IF(AG193="EC",12,1)</f>
        <v>0</v>
      </c>
      <c r="T193" s="50" t="str">
        <f t="shared" si="56"/>
        <v>Southbound</v>
      </c>
      <c r="U193" s="171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0</v>
      </c>
      <c r="V193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https://search-rtdc-monitor-bjffxe2xuh6vdkpspy63sjmuny.us-east-1.es.amazonaws.com/_plugin/kibana/#/discover/Steve-Slow-Train-Analysis-(2080s-and-2083s)?_g=(refreshInterval:(display:Off,section:0,value:0),time:(from:'2016-11-25 15:52:00-700',mode:absolute,to:'2016-11-25 17:58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93" s="52" t="str">
        <f t="shared" si="58"/>
        <v>Y</v>
      </c>
      <c r="X193" s="177">
        <f t="shared" si="59"/>
        <v>1</v>
      </c>
      <c r="Y193" s="67">
        <f t="shared" si="60"/>
        <v>1.0689</v>
      </c>
      <c r="Z193" s="67">
        <f t="shared" si="61"/>
        <v>7.7499999999999999E-2</v>
      </c>
      <c r="AA193" s="67">
        <f t="shared" si="62"/>
        <v>0.99139999999999995</v>
      </c>
      <c r="AB193" s="64" t="e">
        <f>VLOOKUP(A193,Enforcements!$C$7:$K$20,8,0)</f>
        <v>#N/A</v>
      </c>
      <c r="AC193" s="60" t="e">
        <f>VLOOKUP(A193,Enforcements!$C$7:$E$20,3,0)</f>
        <v>#N/A</v>
      </c>
      <c r="AD193" s="61" t="str">
        <f t="shared" si="63"/>
        <v>0830-25</v>
      </c>
      <c r="AE193" s="91" t="str">
        <f t="shared" si="64"/>
        <v>aws s3 cp s3://rtdc.mdm.uploadarchive.raw/RTDC4004/ "%USERPROFILE%\AppData\Local\Temp\OnboardLogs"\RTDC4004\2016-11-25 --exclude "*" --recursive --include "*20161125*" &amp; "%USERPROFILE%\Documents\GitHub\mrs-test-scripts\Headless Mode &amp; Sideloading\WalkAndUnGZ.bat" "%USERPROFILE%\AppData\Local\Temp\OnboardLogs"\RTDC4004\2016-11-25 &amp; aws s3 cp s3://rtdc.mdm.uploadarchive.raw/RTDC4004/ "%USERPROFILE%\AppData\Local\Temp\OnboardLogs"\RTDC4004\2016-11-26 --exclude "*" --recursive --include "*20161126*" &amp; "%USERPROFILE%\Documents\GitHub\mrs-test-scripts\Headless Mode &amp; Sideloading\WalkAndUnGZ.bat" "%USERPROFILE%\AppData\Local\Temp\OnboardLogs"\RTDC4004\2016-11-26</v>
      </c>
      <c r="AF193" s="88" t="str">
        <f t="shared" si="65"/>
        <v>"C:\Program Files (x86)\AstroGrep\AstroGrep.exe" /spath="%USERPROFILE%\AppData\Local\Temp\OnboardLogs" /stypes="app*4004*20161125*" /stext=" 23:.+((SYSTEM_STATE.+slice.+state.+changed )|(ment ac)|(system.+state.+changed )|(\[timeout)|(PRM\|1\|D)|(kpr)|(kdp)|(\|lc)|(penalty))" /e /r /s</v>
      </c>
      <c r="AG193" s="1" t="str">
        <f t="shared" si="66"/>
        <v>NW</v>
      </c>
      <c r="AH193" s="92" t="str">
        <f t="shared" si="67"/>
        <v>"%USERPROFILE%\Documents\GitHub\eaglep3\Utilities\RefineRTDCRunTimes.py" --tripid 830-25 --locoid 4004 --swversion DE.1.0.8.0 --startMP 300:10689 --initTime 2016-11-25T16:52:00 --startdatetime 2016-11-25T16:53:43 --delay 1 --endMP 204:775 --enddatetime 2016-11-25T16:58:15 --enforcementcount 0 &gt;&gt;C:\Users\stu\Documents\GitHub\eaglep3-reporting\EC\2016-11-25-refined-times.txt</v>
      </c>
      <c r="AI193" s="119" t="str">
        <f t="shared" si="68"/>
        <v>echo {"issue":{"subject":"Wi-MAX data drop","project_id":79,"tracker_id":40,"status_id":1,"priority_id":2,"assigned_to_id":23,"start_date":"2016-11-25","description":"","custom_fields":[{"id":1,"name":"Subdivision","value":"NW"},{"id":4,"name":"Milepost","value":"0.0775"},{"id":17,"name":"Train ID","value":"830-25"},{"id":16,"name":"Locomotive ID","value":"4004"},{"id":130,"name":"Impact","value":""},{"id":150,"name":"Time of Event (Mountain Time)","value":"16:58:15"},{"id":151,"name":"Denver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3"/>
      <c r="AK193" s="53"/>
      <c r="AL193" s="5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x14ac:dyDescent="0.25">
      <c r="A194" s="37" t="s">
        <v>447</v>
      </c>
      <c r="B194" s="7">
        <v>4004</v>
      </c>
      <c r="C194" s="22" t="s">
        <v>217</v>
      </c>
      <c r="D194" s="22" t="s">
        <v>309</v>
      </c>
      <c r="E194" s="13">
        <v>42699.692662037036</v>
      </c>
      <c r="F194" s="13">
        <v>42699.703969907408</v>
      </c>
      <c r="G194" s="7">
        <v>1</v>
      </c>
      <c r="H194" s="22" t="s">
        <v>747</v>
      </c>
      <c r="I194" s="13">
        <v>42699.707118055558</v>
      </c>
      <c r="J194" s="7">
        <v>1</v>
      </c>
      <c r="K194" s="109" t="str">
        <f t="shared" si="52"/>
        <v>4003/4004</v>
      </c>
      <c r="L194" s="22" t="str">
        <f>VLOOKUP(A194,'Trips&amp;Operators'!$C$1:$E$10000,3,FALSE)</f>
        <v>PERKINS</v>
      </c>
      <c r="M194" s="6">
        <f t="shared" si="53"/>
        <v>3.1481481491937302E-3</v>
      </c>
      <c r="N194" s="7"/>
      <c r="O194" s="7"/>
      <c r="P194" s="7"/>
      <c r="Q194" s="23"/>
      <c r="R194" s="23"/>
      <c r="S194" s="35"/>
      <c r="T194" s="50" t="str">
        <f t="shared" si="56"/>
        <v>Southbound</v>
      </c>
      <c r="U194" s="171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0</v>
      </c>
      <c r="V194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https://search-rtdc-monitor-bjffxe2xuh6vdkpspy63sjmuny.us-east-1.es.amazonaws.com/_plugin/kibana/#/discover/Steve-Slow-Train-Analysis-(2080s-and-2083s)?_g=(refreshInterval:(display:Off,section:0,value:0),time:(from:'2016-11-25 15:37:26-700',mode:absolute,to:'2016-11-25 17:58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94" s="52" t="str">
        <f t="shared" si="58"/>
        <v>Y</v>
      </c>
      <c r="X194" s="177">
        <f t="shared" si="59"/>
        <v>0</v>
      </c>
      <c r="Y194" s="67">
        <f t="shared" si="60"/>
        <v>5.8628</v>
      </c>
      <c r="Z194" s="67">
        <f t="shared" si="61"/>
        <v>1.7365999999999999</v>
      </c>
      <c r="AA194" s="67">
        <f t="shared" si="62"/>
        <v>4.1261999999999999</v>
      </c>
      <c r="AB194" s="64" t="e">
        <f>VLOOKUP(A194,Enforcements!$C$7:$K$20,8,0)</f>
        <v>#N/A</v>
      </c>
      <c r="AC194" s="60" t="e">
        <f>VLOOKUP(A194,Enforcements!$C$7:$E$20,3,0)</f>
        <v>#N/A</v>
      </c>
      <c r="AD194" s="61" t="str">
        <f t="shared" si="63"/>
        <v>0830-25</v>
      </c>
      <c r="AE194" s="91" t="str">
        <f t="shared" si="64"/>
        <v>aws s3 cp s3://rtdc.mdm.uploadarchive.raw/RTDC4004/ "%USERPROFILE%\AppData\Local\Temp\OnboardLogs"\RTDC4004\2016-11-25 --exclude "*" --recursive --include "*20161125*" &amp; "%USERPROFILE%\Documents\GitHub\mrs-test-scripts\Headless Mode &amp; Sideloading\WalkAndUnGZ.bat" "%USERPROFILE%\AppData\Local\Temp\OnboardLogs"\RTDC4004\2016-11-25 &amp; aws s3 cp s3://rtdc.mdm.uploadarchive.raw/RTDC4004/ "%USERPROFILE%\AppData\Local\Temp\OnboardLogs"\RTDC4004\2016-11-26 --exclude "*" --recursive --include "*20161126*" &amp; "%USERPROFILE%\Documents\GitHub\mrs-test-scripts\Headless Mode &amp; Sideloading\WalkAndUnGZ.bat" "%USERPROFILE%\AppData\Local\Temp\OnboardLogs"\RTDC4004\2016-11-26</v>
      </c>
      <c r="AF194" s="88" t="str">
        <f t="shared" si="65"/>
        <v>"C:\Program Files (x86)\AstroGrep\AstroGrep.exe" /spath="%USERPROFILE%\AppData\Local\Temp\OnboardLogs" /stypes="app*4004*20161125*" /stext=" 23:.+((SYSTEM_STATE.+slice.+state.+changed )|(ment ac)|(system.+state.+changed )|(\[timeout)|(PRM\|1\|D)|(kpr)|(kdp)|(\|lc)|(penalty))" /e /r /s</v>
      </c>
      <c r="AG194" s="1" t="str">
        <f t="shared" si="66"/>
        <v>NW</v>
      </c>
      <c r="AH194" s="92" t="str">
        <f t="shared" si="67"/>
        <v>"%USERPROFILE%\Documents\GitHub\eaglep3\Utilities\RefineRTDCRunTimes.py" --tripid 830-25 --locoid 4004 --swversion DE.1.0.8.0 --startMP 300:58628 --initTime 2016-11-25T16:37:26 --startdatetime 2016-11-25T16:53:43 --delay 1 --endMP 300:17366 --enddatetime 2016-11-25T16:58:15 --enforcementcount 1 &gt;&gt;C:\Users\stu\Documents\GitHub\eaglep3-reporting\EC\2016-11-25-refined-times.txt</v>
      </c>
      <c r="AI194" s="119" t="str">
        <f t="shared" si="68"/>
        <v>echo {"issue":{"subject":"","project_id":79,"tracker_id":40,"status_id":1,"priority_id":2,"assigned_to_id":23,"start_date":"2016-11-25","description":"","custom_fields":[{"id":1,"name":"Subdivision","value":"NW"},{"id":4,"name":"Milepost","value":"1.7366"},{"id":17,"name":"Train ID","value":"830-25"},{"id":16,"name":"Locomotive ID","value":"4004"},{"id":130,"name":"Impact","value":""},{"id":150,"name":"Time of Event (Mountain Time)","value":"16:58:15"},{"id":151,"name":"Denver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3"/>
      <c r="AK194" s="53"/>
      <c r="AL194" s="53"/>
    </row>
    <row r="195" spans="1:91" x14ac:dyDescent="0.25">
      <c r="A195" s="37" t="s">
        <v>571</v>
      </c>
      <c r="B195" s="7">
        <v>4022</v>
      </c>
      <c r="C195" s="22" t="s">
        <v>217</v>
      </c>
      <c r="D195" s="22" t="s">
        <v>334</v>
      </c>
      <c r="E195" s="13">
        <v>42699.696840277778</v>
      </c>
      <c r="F195" s="13">
        <v>42699.702268518522</v>
      </c>
      <c r="G195" s="7">
        <v>1</v>
      </c>
      <c r="H195" s="22" t="s">
        <v>741</v>
      </c>
      <c r="I195" s="13">
        <v>42699.711469907408</v>
      </c>
      <c r="J195" s="7">
        <v>0</v>
      </c>
      <c r="K195" s="109" t="str">
        <f t="shared" si="52"/>
        <v>4021/4022</v>
      </c>
      <c r="L195" s="22" t="str">
        <f>VLOOKUP(A195,'Trips&amp;Operators'!$C$1:$E$10000,3,FALSE)</f>
        <v>MAGEE</v>
      </c>
      <c r="M195" s="6">
        <f t="shared" si="53"/>
        <v>9.2013888861401938E-3</v>
      </c>
      <c r="N195" s="7">
        <f t="shared" si="54"/>
        <v>13.249999996041879</v>
      </c>
      <c r="O195" s="7"/>
      <c r="P195" s="7"/>
      <c r="Q195" s="23"/>
      <c r="R195" s="23"/>
      <c r="S195" s="35">
        <f t="shared" si="55"/>
        <v>1</v>
      </c>
      <c r="T195" s="50" t="str">
        <f t="shared" si="56"/>
        <v>NorthBound</v>
      </c>
      <c r="U195" s="171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https://search-rtdc-monitor-bjffxe2xuh6vdkpspy63sjmuny.us-east-1.es.amazonaws.com/_plugin/kibana/#/discover/Steve-Slow-Train-Analysis-(2080s-and-2083s)?_g=(refreshInterval:(display:Off,section:0,value:0),time:(from:'2016-11-25 15:43:27-700',mode:absolute,to:'2016-11-25 18:04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95" s="52" t="str">
        <f t="shared" si="58"/>
        <v>N</v>
      </c>
      <c r="X195" s="177">
        <f t="shared" si="59"/>
        <v>1</v>
      </c>
      <c r="Y195" s="67">
        <f t="shared" si="60"/>
        <v>9.8299999999999998E-2</v>
      </c>
      <c r="Z195" s="67">
        <f t="shared" si="61"/>
        <v>5.8912000000000004</v>
      </c>
      <c r="AA195" s="67">
        <f t="shared" si="62"/>
        <v>5.7929000000000004</v>
      </c>
      <c r="AB195" s="64" t="e">
        <f>VLOOKUP(A195,Enforcements!$C$7:$K$20,8,0)</f>
        <v>#N/A</v>
      </c>
      <c r="AC195" s="60" t="e">
        <f>VLOOKUP(A195,Enforcements!$C$7:$E$20,3,0)</f>
        <v>#N/A</v>
      </c>
      <c r="AD195" s="61" t="str">
        <f t="shared" si="63"/>
        <v>0831-25</v>
      </c>
      <c r="AE195" s="91" t="str">
        <f t="shared" si="64"/>
        <v>aws s3 cp s3://rtdc.mdm.uploadarchive.raw/RTDC4022/ "%USERPROFILE%\AppData\Local\Temp\OnboardLogs"\RTDC4022\2016-11-25 --exclude "*" --recursive --include "*20161125*" &amp; "%USERPROFILE%\Documents\GitHub\mrs-test-scripts\Headless Mode &amp; Sideloading\WalkAndUnGZ.bat" "%USERPROFILE%\AppData\Local\Temp\OnboardLogs"\RTDC4022\2016-11-25 &amp; aws s3 cp s3://rtdc.mdm.uploadarchive.raw/RTDC4022/ "%USERPROFILE%\AppData\Local\Temp\OnboardLogs"\RTDC4022\2016-11-26 --exclude "*" --recursive --include "*20161126*" &amp; "%USERPROFILE%\Documents\GitHub\mrs-test-scripts\Headless Mode &amp; Sideloading\WalkAndUnGZ.bat" "%USERPROFILE%\AppData\Local\Temp\OnboardLogs"\RTDC4022\2016-11-26</v>
      </c>
      <c r="AF195" s="88" t="str">
        <f t="shared" si="65"/>
        <v>"C:\Program Files (x86)\AstroGrep\AstroGrep.exe" /spath="%USERPROFILE%\AppData\Local\Temp\OnboardLogs" /stypes="app*4022*20161126*" /stext=" 00:.+((SYSTEM_STATE.+slice.+state.+changed )|(ment ac)|(system.+state.+changed )|(\[timeout)|(PRM\|1\|D)|(kpr)|(kdp)|(\|lc)|(penalty))" /e /r /s</v>
      </c>
      <c r="AG195" s="1" t="str">
        <f t="shared" si="66"/>
        <v>NW</v>
      </c>
      <c r="AH195" s="92" t="str">
        <f t="shared" si="67"/>
        <v>"%USERPROFILE%\Documents\GitHub\eaglep3\Utilities\RefineRTDCRunTimes.py" --tripid 831-25 --locoid 4022 --swversion DE.1.0.8.0 --startMP 204:983 --initTime 2016-11-25T16:43:27 --startdatetime 2016-11-25T16:51:16 --delay 1 --endMP 300:58912 --enddatetime 2016-11-25T17:04:31 --enforcementcount 0 &gt;&gt;C:\Users\stu\Documents\GitHub\eaglep3-reporting\EC\2016-11-25-refined-times.txt</v>
      </c>
      <c r="AI195" s="119" t="str">
        <f t="shared" si="68"/>
        <v>echo {"issue":{"subject":"","project_id":79,"tracker_id":40,"status_id":1,"priority_id":2,"assigned_to_id":23,"start_date":"2016-11-25","description":"","custom_fields":[{"id":1,"name":"Subdivision","value":"NW"},{"id":4,"name":"Milepost","value":"5.8912"},{"id":17,"name":"Train ID","value":"831-25"},{"id":16,"name":"Locomotive ID","value":"4022"},{"id":130,"name":"Impact","value":""},{"id":150,"name":"Time of Event (Mountain Time)","value":"17:04:31"},{"id":151,"name":"Denver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3"/>
      <c r="AK195" s="53"/>
      <c r="AL195" s="53"/>
    </row>
    <row r="196" spans="1:91" x14ac:dyDescent="0.25">
      <c r="A196" s="37" t="s">
        <v>450</v>
      </c>
      <c r="B196" s="7">
        <v>4021</v>
      </c>
      <c r="C196" s="22" t="s">
        <v>217</v>
      </c>
      <c r="D196" s="22" t="s">
        <v>748</v>
      </c>
      <c r="E196" s="13">
        <v>42699.712210648147</v>
      </c>
      <c r="F196" s="13">
        <v>42699.713356481479</v>
      </c>
      <c r="G196" s="7">
        <v>1</v>
      </c>
      <c r="H196" s="22" t="s">
        <v>310</v>
      </c>
      <c r="I196" s="13">
        <v>42699.726238425923</v>
      </c>
      <c r="J196" s="7">
        <v>1</v>
      </c>
      <c r="K196" s="109" t="str">
        <f t="shared" si="52"/>
        <v>4021/4022</v>
      </c>
      <c r="L196" s="22" t="str">
        <f>VLOOKUP(A196,'Trips&amp;Operators'!$C$1:$E$10000,3,FALSE)</f>
        <v>MAGEE</v>
      </c>
      <c r="M196" s="6">
        <f t="shared" si="53"/>
        <v>1.2881944443506654E-2</v>
      </c>
      <c r="N196" s="7">
        <f t="shared" si="54"/>
        <v>18.549999998649582</v>
      </c>
      <c r="O196" s="7"/>
      <c r="P196" s="7"/>
      <c r="Q196" s="23"/>
      <c r="R196" s="23"/>
      <c r="S196" s="35">
        <f t="shared" si="55"/>
        <v>1</v>
      </c>
      <c r="T196" s="50" t="str">
        <f t="shared" si="56"/>
        <v>Southbound</v>
      </c>
      <c r="U196" s="171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https://search-rtdc-monitor-bjffxe2xuh6vdkpspy63sjmuny.us-east-1.es.amazonaws.com/_plugin/kibana/#/discover/Steve-Slow-Train-Analysis-(2080s-and-2083s)?_g=(refreshInterval:(display:Off,section:0,value:0),time:(from:'2016-11-25 16:05:35-700',mode:absolute,to:'2016-11-25 18:25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96" s="52" t="str">
        <f t="shared" si="58"/>
        <v>N</v>
      </c>
      <c r="X196" s="177">
        <f t="shared" si="59"/>
        <v>1</v>
      </c>
      <c r="Y196" s="67">
        <f t="shared" si="60"/>
        <v>5.8596000000000004</v>
      </c>
      <c r="Z196" s="67">
        <f t="shared" si="61"/>
        <v>6.9599999999999995E-2</v>
      </c>
      <c r="AA196" s="67">
        <f t="shared" si="62"/>
        <v>5.79</v>
      </c>
      <c r="AB196" s="64" t="e">
        <f>VLOOKUP(A196,Enforcements!$C$7:$K$20,8,0)</f>
        <v>#N/A</v>
      </c>
      <c r="AC196" s="60" t="e">
        <f>VLOOKUP(A196,Enforcements!$C$7:$E$20,3,0)</f>
        <v>#N/A</v>
      </c>
      <c r="AD196" s="61" t="str">
        <f t="shared" si="63"/>
        <v>0832-25</v>
      </c>
      <c r="AE196" s="91" t="str">
        <f t="shared" si="64"/>
        <v>aws s3 cp s3://rtdc.mdm.uploadarchive.raw/RTDC4021/ "%USERPROFILE%\AppData\Local\Temp\OnboardLogs"\RTDC4021\2016-11-25 --exclude "*" --recursive --include "*20161125*" &amp; "%USERPROFILE%\Documents\GitHub\mrs-test-scripts\Headless Mode &amp; Sideloading\WalkAndUnGZ.bat" "%USERPROFILE%\AppData\Local\Temp\OnboardLogs"\RTDC4021\2016-11-25 &amp; aws s3 cp s3://rtdc.mdm.uploadarchive.raw/RTDC4021/ "%USERPROFILE%\AppData\Local\Temp\OnboardLogs"\RTDC4021\2016-11-26 --exclude "*" --recursive --include "*20161126*" &amp; "%USERPROFILE%\Documents\GitHub\mrs-test-scripts\Headless Mode &amp; Sideloading\WalkAndUnGZ.bat" "%USERPROFILE%\AppData\Local\Temp\OnboardLogs"\RTDC4021\2016-11-26</v>
      </c>
      <c r="AF196" s="88" t="str">
        <f t="shared" si="65"/>
        <v>"C:\Program Files (x86)\AstroGrep\AstroGrep.exe" /spath="%USERPROFILE%\AppData\Local\Temp\OnboardLogs" /stypes="app*4021*20161126*" /stext=" 00:.+((SYSTEM_STATE.+slice.+state.+changed )|(ment ac)|(system.+state.+changed )|(\[timeout)|(PRM\|1\|D)|(kpr)|(kdp)|(\|lc)|(penalty))" /e /r /s</v>
      </c>
      <c r="AG196" s="1" t="str">
        <f t="shared" si="66"/>
        <v>NW</v>
      </c>
      <c r="AH196" s="92" t="str">
        <f t="shared" si="67"/>
        <v>"%USERPROFILE%\Documents\GitHub\eaglep3\Utilities\RefineRTDCRunTimes.py" --tripid 832-25 --locoid 4021 --swversion DE.1.0.8.0 --startMP 300:58596 --initTime 2016-11-25T17:05:35 --startdatetime 2016-11-25T17:07:14 --delay 1 --endMP 204:696 --enddatetime 2016-11-25T17:25:47 --enforcementcount 1 &gt;&gt;C:\Users\stu\Documents\GitHub\eaglep3-reporting\EC\2016-11-25-refined-times.txt</v>
      </c>
      <c r="AI196" s="119" t="str">
        <f t="shared" si="68"/>
        <v>echo {"issue":{"subject":"","project_id":79,"tracker_id":40,"status_id":1,"priority_id":2,"assigned_to_id":23,"start_date":"2016-11-25","description":"","custom_fields":[{"id":1,"name":"Subdivision","value":"NW"},{"id":4,"name":"Milepost","value":"0.0696"},{"id":17,"name":"Train ID","value":"832-25"},{"id":16,"name":"Locomotive ID","value":"4021"},{"id":130,"name":"Impact","value":""},{"id":150,"name":"Time of Event (Mountain Time)","value":"17:25:47"},{"id":151,"name":"Denver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3"/>
      <c r="AK196" s="53"/>
      <c r="AL196" s="53"/>
    </row>
    <row r="197" spans="1:91" x14ac:dyDescent="0.25">
      <c r="A197" s="37" t="s">
        <v>576</v>
      </c>
      <c r="B197" s="7">
        <v>4003</v>
      </c>
      <c r="C197" s="22" t="s">
        <v>217</v>
      </c>
      <c r="D197" s="22" t="s">
        <v>749</v>
      </c>
      <c r="E197" s="13">
        <v>42699.719155092593</v>
      </c>
      <c r="F197" s="13">
        <v>42699.723240740743</v>
      </c>
      <c r="G197" s="7">
        <v>1</v>
      </c>
      <c r="H197" s="22" t="s">
        <v>750</v>
      </c>
      <c r="I197" s="13">
        <v>42699.732106481482</v>
      </c>
      <c r="J197" s="7">
        <v>0</v>
      </c>
      <c r="K197" s="109" t="str">
        <f t="shared" si="52"/>
        <v>4003/4004</v>
      </c>
      <c r="L197" s="22" t="str">
        <f>VLOOKUP(A197,'Trips&amp;Operators'!$C$1:$E$10000,3,FALSE)</f>
        <v>PERKINS</v>
      </c>
      <c r="M197" s="6">
        <f t="shared" si="53"/>
        <v>8.8657407395658083E-3</v>
      </c>
      <c r="N197" s="7">
        <f t="shared" si="54"/>
        <v>12.766666664974764</v>
      </c>
      <c r="O197" s="7"/>
      <c r="P197" s="7"/>
      <c r="Q197" s="23"/>
      <c r="R197" s="23"/>
      <c r="S197" s="35">
        <f t="shared" si="55"/>
        <v>1</v>
      </c>
      <c r="T197" s="50" t="str">
        <f t="shared" si="56"/>
        <v>NorthBound</v>
      </c>
      <c r="U197" s="171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https://search-rtdc-monitor-bjffxe2xuh6vdkpspy63sjmuny.us-east-1.es.amazonaws.com/_plugin/kibana/#/discover/Steve-Slow-Train-Analysis-(2080s-and-2083s)?_g=(refreshInterval:(display:Off,section:0,value:0),time:(from:'2016-11-25 16:15:35-700',mode:absolute,to:'2016-11-25 18:34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97" s="52" t="str">
        <f t="shared" si="58"/>
        <v>N</v>
      </c>
      <c r="X197" s="177">
        <f t="shared" si="59"/>
        <v>1</v>
      </c>
      <c r="Y197" s="67">
        <f t="shared" si="60"/>
        <v>0.10440000000000001</v>
      </c>
      <c r="Z197" s="67">
        <f t="shared" si="61"/>
        <v>5.8936999999999999</v>
      </c>
      <c r="AA197" s="67">
        <f t="shared" si="62"/>
        <v>5.7892999999999999</v>
      </c>
      <c r="AB197" s="64" t="e">
        <f>VLOOKUP(A197,Enforcements!$C$7:$K$20,8,0)</f>
        <v>#N/A</v>
      </c>
      <c r="AC197" s="60" t="e">
        <f>VLOOKUP(A197,Enforcements!$C$7:$E$20,3,0)</f>
        <v>#N/A</v>
      </c>
      <c r="AD197" s="61" t="str">
        <f t="shared" si="63"/>
        <v>0833-25</v>
      </c>
      <c r="AE197" s="91" t="str">
        <f t="shared" si="64"/>
        <v>aws s3 cp s3://rtdc.mdm.uploadarchive.raw/RTDC4003/ "%USERPROFILE%\AppData\Local\Temp\OnboardLogs"\RTDC4003\2016-11-25 --exclude "*" --recursive --include "*20161125*" &amp; "%USERPROFILE%\Documents\GitHub\mrs-test-scripts\Headless Mode &amp; Sideloading\WalkAndUnGZ.bat" "%USERPROFILE%\AppData\Local\Temp\OnboardLogs"\RTDC4003\2016-11-25 &amp; aws s3 cp s3://rtdc.mdm.uploadarchive.raw/RTDC4003/ "%USERPROFILE%\AppData\Local\Temp\OnboardLogs"\RTDC4003\2016-11-26 --exclude "*" --recursive --include "*20161126*" &amp; "%USERPROFILE%\Documents\GitHub\mrs-test-scripts\Headless Mode &amp; Sideloading\WalkAndUnGZ.bat" "%USERPROFILE%\AppData\Local\Temp\OnboardLogs"\RTDC4003\2016-11-26</v>
      </c>
      <c r="AF197" s="88" t="str">
        <f t="shared" si="65"/>
        <v>"C:\Program Files (x86)\AstroGrep\AstroGrep.exe" /spath="%USERPROFILE%\AppData\Local\Temp\OnboardLogs" /stypes="app*4003*20161126*" /stext=" 00:.+((SYSTEM_STATE.+slice.+state.+changed )|(ment ac)|(system.+state.+changed )|(\[timeout)|(PRM\|1\|D)|(kpr)|(kdp)|(\|lc)|(penalty))" /e /r /s</v>
      </c>
      <c r="AG197" s="1" t="str">
        <f t="shared" si="66"/>
        <v>NW</v>
      </c>
      <c r="AH197" s="92" t="str">
        <f t="shared" si="67"/>
        <v>"%USERPROFILE%\Documents\GitHub\eaglep3\Utilities\RefineRTDCRunTimes.py" --tripid 833-25 --locoid 4003 --swversion DE.1.0.8.0 --startMP 204:1044 --initTime 2016-11-25T17:15:35 --startdatetime 2016-11-25T17:21:28 --delay 1 --endMP 300:58937 --enddatetime 2016-11-25T17:34:14 --enforcementcount 0 &gt;&gt;C:\Users\stu\Documents\GitHub\eaglep3-reporting\EC\2016-11-25-refined-times.txt</v>
      </c>
      <c r="AI197" s="119" t="str">
        <f t="shared" si="68"/>
        <v>echo {"issue":{"subject":"","project_id":79,"tracker_id":40,"status_id":1,"priority_id":2,"assigned_to_id":23,"start_date":"2016-11-25","description":"","custom_fields":[{"id":1,"name":"Subdivision","value":"NW"},{"id":4,"name":"Milepost","value":"5.8937"},{"id":17,"name":"Train ID","value":"833-25"},{"id":16,"name":"Locomotive ID","value":"4003"},{"id":130,"name":"Impact","value":""},{"id":150,"name":"Time of Event (Mountain Time)","value":"17:34:14"},{"id":151,"name":"Denver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3"/>
      <c r="AK197" s="53"/>
      <c r="AL197" s="53"/>
    </row>
    <row r="198" spans="1:91" x14ac:dyDescent="0.25">
      <c r="A198" s="37" t="s">
        <v>452</v>
      </c>
      <c r="B198" s="7">
        <v>4004</v>
      </c>
      <c r="C198" s="22" t="s">
        <v>217</v>
      </c>
      <c r="D198" s="22" t="s">
        <v>751</v>
      </c>
      <c r="E198" s="13">
        <v>42699.744328703702</v>
      </c>
      <c r="F198" s="13">
        <v>42699.745219907411</v>
      </c>
      <c r="G198" s="7">
        <v>1</v>
      </c>
      <c r="H198" s="22" t="s">
        <v>752</v>
      </c>
      <c r="I198" s="13">
        <v>42699.747812499998</v>
      </c>
      <c r="J198" s="7">
        <v>0</v>
      </c>
      <c r="K198" s="109" t="str">
        <f t="shared" si="52"/>
        <v>4003/4004</v>
      </c>
      <c r="L198" s="22" t="str">
        <f>VLOOKUP(A198,'Trips&amp;Operators'!$C$1:$E$10000,3,FALSE)</f>
        <v>PERKINS</v>
      </c>
      <c r="M198" s="6">
        <f t="shared" si="53"/>
        <v>2.5925925874616951E-3</v>
      </c>
      <c r="N198" s="7"/>
      <c r="O198" s="7"/>
      <c r="P198" s="7">
        <f>24*60*SUM($M198:$M199)</f>
        <v>7.4666666518896818</v>
      </c>
      <c r="Q198" s="23"/>
      <c r="R198" s="23" t="s">
        <v>790</v>
      </c>
      <c r="S198" s="35">
        <f>SUM(U198:U199)/IF(AG198="EC",12,1)</f>
        <v>0</v>
      </c>
      <c r="T198" s="50" t="str">
        <f t="shared" si="56"/>
        <v>Southbound</v>
      </c>
      <c r="U198" s="171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0</v>
      </c>
      <c r="V198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https://search-rtdc-monitor-bjffxe2xuh6vdkpspy63sjmuny.us-east-1.es.amazonaws.com/_plugin/kibana/#/discover/Steve-Slow-Train-Analysis-(2080s-and-2083s)?_g=(refreshInterval:(display:Off,section:0,value:0),time:(from:'2016-11-25 16:51:50-700',mode:absolute,to:'2016-11-25 18:56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98" s="52" t="str">
        <f t="shared" si="58"/>
        <v>Y</v>
      </c>
      <c r="X198" s="177">
        <f t="shared" si="59"/>
        <v>1</v>
      </c>
      <c r="Y198" s="67">
        <f t="shared" si="60"/>
        <v>1.06</v>
      </c>
      <c r="Z198" s="67">
        <f t="shared" si="61"/>
        <v>7.4499999999999997E-2</v>
      </c>
      <c r="AA198" s="67">
        <f t="shared" si="62"/>
        <v>0.98550000000000004</v>
      </c>
      <c r="AB198" s="64" t="e">
        <f>VLOOKUP(A198,Enforcements!$C$7:$K$20,8,0)</f>
        <v>#N/A</v>
      </c>
      <c r="AC198" s="60" t="e">
        <f>VLOOKUP(A198,Enforcements!$C$7:$E$20,3,0)</f>
        <v>#N/A</v>
      </c>
      <c r="AD198" s="61" t="str">
        <f t="shared" si="63"/>
        <v>0834-25</v>
      </c>
      <c r="AE198" s="91" t="str">
        <f t="shared" si="64"/>
        <v>aws s3 cp s3://rtdc.mdm.uploadarchive.raw/RTDC4004/ "%USERPROFILE%\AppData\Local\Temp\OnboardLogs"\RTDC4004\2016-11-25 --exclude "*" --recursive --include "*20161125*" &amp; "%USERPROFILE%\Documents\GitHub\mrs-test-scripts\Headless Mode &amp; Sideloading\WalkAndUnGZ.bat" "%USERPROFILE%\AppData\Local\Temp\OnboardLogs"\RTDC4004\2016-11-25 &amp; aws s3 cp s3://rtdc.mdm.uploadarchive.raw/RTDC4004/ "%USERPROFILE%\AppData\Local\Temp\OnboardLogs"\RTDC4004\2016-11-26 --exclude "*" --recursive --include "*20161126*" &amp; "%USERPROFILE%\Documents\GitHub\mrs-test-scripts\Headless Mode &amp; Sideloading\WalkAndUnGZ.bat" "%USERPROFILE%\AppData\Local\Temp\OnboardLogs"\RTDC4004\2016-11-26</v>
      </c>
      <c r="AF198" s="88" t="str">
        <f t="shared" si="65"/>
        <v>"C:\Program Files (x86)\AstroGrep\AstroGrep.exe" /spath="%USERPROFILE%\AppData\Local\Temp\OnboardLogs" /stypes="app*4004*20161126*" /stext=" 00:.+((SYSTEM_STATE.+slice.+state.+changed )|(ment ac)|(system.+state.+changed )|(\[timeout)|(PRM\|1\|D)|(kpr)|(kdp)|(\|lc)|(penalty))" /e /r /s</v>
      </c>
      <c r="AG198" s="1" t="str">
        <f t="shared" si="66"/>
        <v>NW</v>
      </c>
      <c r="AH198" s="92" t="str">
        <f t="shared" si="67"/>
        <v>"%USERPROFILE%\Documents\GitHub\eaglep3\Utilities\RefineRTDCRunTimes.py" --tripid 834-25 --locoid 4004 --swversion DE.1.0.8.0 --startMP 300:10600 --initTime 2016-11-25T17:51:50 --startdatetime 2016-11-25T17:53:07 --delay 1 --endMP 204:745 --enddatetime 2016-11-25T17:56:51 --enforcementcount 0 &gt;&gt;C:\Users\stu\Documents\GitHub\eaglep3-reporting\EC\2016-11-25-refined-times.txt</v>
      </c>
      <c r="AI198" s="119" t="str">
        <f t="shared" si="68"/>
        <v>echo {"issue":{"subject":"Wi-MAX data drop","project_id":79,"tracker_id":40,"status_id":1,"priority_id":2,"assigned_to_id":23,"start_date":"2016-11-25","description":"","custom_fields":[{"id":1,"name":"Subdivision","value":"NW"},{"id":4,"name":"Milepost","value":"0.0745"},{"id":17,"name":"Train ID","value":"834-25"},{"id":16,"name":"Locomotive ID","value":"4004"},{"id":130,"name":"Impact","value":""},{"id":150,"name":"Time of Event (Mountain Time)","value":"17:56:51"},{"id":151,"name":"Denver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3"/>
      <c r="AK198" s="53"/>
      <c r="AL198" s="53"/>
    </row>
    <row r="199" spans="1:91" s="21" customFormat="1" x14ac:dyDescent="0.25">
      <c r="A199" s="37" t="s">
        <v>452</v>
      </c>
      <c r="B199" s="7">
        <v>4004</v>
      </c>
      <c r="C199" s="22" t="s">
        <v>217</v>
      </c>
      <c r="D199" s="22" t="s">
        <v>332</v>
      </c>
      <c r="E199" s="13">
        <v>42699.733923611115</v>
      </c>
      <c r="F199" s="13">
        <v>42699.745219907411</v>
      </c>
      <c r="G199" s="7">
        <v>1</v>
      </c>
      <c r="H199" s="22" t="s">
        <v>753</v>
      </c>
      <c r="I199" s="13">
        <v>42699.747812499998</v>
      </c>
      <c r="J199" s="7">
        <v>1</v>
      </c>
      <c r="K199" s="109" t="str">
        <f t="shared" si="52"/>
        <v>4003/4004</v>
      </c>
      <c r="L199" s="22" t="str">
        <f>VLOOKUP(A199,'Trips&amp;Operators'!$C$1:$E$10000,3,FALSE)</f>
        <v>PERKINS</v>
      </c>
      <c r="M199" s="6">
        <f t="shared" si="53"/>
        <v>2.5925925874616951E-3</v>
      </c>
      <c r="N199" s="7"/>
      <c r="O199" s="7"/>
      <c r="P199" s="7"/>
      <c r="Q199" s="23"/>
      <c r="R199" s="23"/>
      <c r="S199" s="35"/>
      <c r="T199" s="50" t="str">
        <f t="shared" si="56"/>
        <v>Southbound</v>
      </c>
      <c r="U199" s="171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0</v>
      </c>
      <c r="V199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https://search-rtdc-monitor-bjffxe2xuh6vdkpspy63sjmuny.us-east-1.es.amazonaws.com/_plugin/kibana/#/discover/Steve-Slow-Train-Analysis-(2080s-and-2083s)?_g=(refreshInterval:(display:Off,section:0,value:0),time:(from:'2016-11-25 16:36:51-700',mode:absolute,to:'2016-11-25 18:56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99" s="52" t="str">
        <f t="shared" si="58"/>
        <v>Y</v>
      </c>
      <c r="X199" s="177">
        <f t="shared" si="59"/>
        <v>0</v>
      </c>
      <c r="Y199" s="67">
        <f t="shared" si="60"/>
        <v>5.8620999999999999</v>
      </c>
      <c r="Z199" s="67">
        <f t="shared" si="61"/>
        <v>1.6013999999999999</v>
      </c>
      <c r="AA199" s="67">
        <f t="shared" si="62"/>
        <v>4.2606999999999999</v>
      </c>
      <c r="AB199" s="64" t="e">
        <f>VLOOKUP(A199,Enforcements!$C$7:$K$20,8,0)</f>
        <v>#N/A</v>
      </c>
      <c r="AC199" s="60" t="e">
        <f>VLOOKUP(A199,Enforcements!$C$7:$E$20,3,0)</f>
        <v>#N/A</v>
      </c>
      <c r="AD199" s="61" t="str">
        <f t="shared" si="63"/>
        <v>0834-25</v>
      </c>
      <c r="AE199" s="91" t="str">
        <f t="shared" si="64"/>
        <v>aws s3 cp s3://rtdc.mdm.uploadarchive.raw/RTDC4004/ "%USERPROFILE%\AppData\Local\Temp\OnboardLogs"\RTDC4004\2016-11-25 --exclude "*" --recursive --include "*20161125*" &amp; "%USERPROFILE%\Documents\GitHub\mrs-test-scripts\Headless Mode &amp; Sideloading\WalkAndUnGZ.bat" "%USERPROFILE%\AppData\Local\Temp\OnboardLogs"\RTDC4004\2016-11-25 &amp; aws s3 cp s3://rtdc.mdm.uploadarchive.raw/RTDC4004/ "%USERPROFILE%\AppData\Local\Temp\OnboardLogs"\RTDC4004\2016-11-26 --exclude "*" --recursive --include "*20161126*" &amp; "%USERPROFILE%\Documents\GitHub\mrs-test-scripts\Headless Mode &amp; Sideloading\WalkAndUnGZ.bat" "%USERPROFILE%\AppData\Local\Temp\OnboardLogs"\RTDC4004\2016-11-26</v>
      </c>
      <c r="AF199" s="88" t="str">
        <f t="shared" si="65"/>
        <v>"C:\Program Files (x86)\AstroGrep\AstroGrep.exe" /spath="%USERPROFILE%\AppData\Local\Temp\OnboardLogs" /stypes="app*4004*20161126*" /stext=" 00:.+((SYSTEM_STATE.+slice.+state.+changed )|(ment ac)|(system.+state.+changed )|(\[timeout)|(PRM\|1\|D)|(kpr)|(kdp)|(\|lc)|(penalty))" /e /r /s</v>
      </c>
      <c r="AG199" s="1" t="str">
        <f t="shared" si="66"/>
        <v>NW</v>
      </c>
      <c r="AH199" s="92" t="str">
        <f t="shared" si="67"/>
        <v>"%USERPROFILE%\Documents\GitHub\eaglep3\Utilities\RefineRTDCRunTimes.py" --tripid 834-25 --locoid 4004 --swversion DE.1.0.8.0 --startMP 300:58621 --initTime 2016-11-25T17:36:51 --startdatetime 2016-11-25T17:53:07 --delay 1 --endMP 300:16014 --enddatetime 2016-11-25T17:56:51 --enforcementcount 1 &gt;&gt;C:\Users\stu\Documents\GitHub\eaglep3-reporting\EC\2016-11-25-refined-times.txt</v>
      </c>
      <c r="AI199" s="119" t="str">
        <f t="shared" si="68"/>
        <v>echo {"issue":{"subject":"","project_id":79,"tracker_id":40,"status_id":1,"priority_id":2,"assigned_to_id":23,"start_date":"2016-11-25","description":"","custom_fields":[{"id":1,"name":"Subdivision","value":"NW"},{"id":4,"name":"Milepost","value":"1.6014"},{"id":17,"name":"Train ID","value":"834-25"},{"id":16,"name":"Locomotive ID","value":"4004"},{"id":130,"name":"Impact","value":""},{"id":150,"name":"Time of Event (Mountain Time)","value":"17:56:51"},{"id":151,"name":"Denver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3"/>
      <c r="AK199" s="53"/>
      <c r="AL199" s="53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1" customFormat="1" x14ac:dyDescent="0.25">
      <c r="A200" s="37" t="s">
        <v>578</v>
      </c>
      <c r="B200" s="7">
        <v>4022</v>
      </c>
      <c r="C200" s="22" t="s">
        <v>217</v>
      </c>
      <c r="D200" s="22" t="s">
        <v>754</v>
      </c>
      <c r="E200" s="13">
        <v>42699.727754629632</v>
      </c>
      <c r="F200" s="13">
        <v>42699.743923611109</v>
      </c>
      <c r="G200" s="7">
        <v>0</v>
      </c>
      <c r="H200" s="22" t="s">
        <v>741</v>
      </c>
      <c r="I200" s="13">
        <v>42699.753379629627</v>
      </c>
      <c r="J200" s="7">
        <v>0</v>
      </c>
      <c r="K200" s="109" t="str">
        <f t="shared" si="52"/>
        <v>4021/4022</v>
      </c>
      <c r="L200" s="22" t="str">
        <f>VLOOKUP(A200,'Trips&amp;Operators'!$C$1:$E$10000,3,FALSE)</f>
        <v>MAGEE</v>
      </c>
      <c r="M200" s="6">
        <f t="shared" si="53"/>
        <v>9.4560185170848854E-3</v>
      </c>
      <c r="N200" s="7">
        <f t="shared" si="54"/>
        <v>13.616666664602235</v>
      </c>
      <c r="O200" s="7"/>
      <c r="P200" s="7"/>
      <c r="Q200" s="23"/>
      <c r="R200" s="23"/>
      <c r="S200" s="35">
        <f t="shared" si="55"/>
        <v>1</v>
      </c>
      <c r="T200" s="50" t="str">
        <f t="shared" si="56"/>
        <v>NorthBound</v>
      </c>
      <c r="U200" s="171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https://search-rtdc-monitor-bjffxe2xuh6vdkpspy63sjmuny.us-east-1.es.amazonaws.com/_plugin/kibana/#/discover/Steve-Slow-Train-Analysis-(2080s-and-2083s)?_g=(refreshInterval:(display:Off,section:0,value:0),time:(from:'2016-11-25 16:27:58-700',mode:absolute,to:'2016-11-25 19:04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200" s="52" t="str">
        <f t="shared" si="58"/>
        <v>N</v>
      </c>
      <c r="X200" s="177">
        <f t="shared" si="59"/>
        <v>1</v>
      </c>
      <c r="Y200" s="67">
        <f t="shared" si="60"/>
        <v>9.9299999999999999E-2</v>
      </c>
      <c r="Z200" s="67">
        <f t="shared" si="61"/>
        <v>5.8912000000000004</v>
      </c>
      <c r="AA200" s="67">
        <f t="shared" si="62"/>
        <v>5.7919</v>
      </c>
      <c r="AB200" s="64" t="e">
        <f>VLOOKUP(A200,Enforcements!$C$7:$K$20,8,0)</f>
        <v>#N/A</v>
      </c>
      <c r="AC200" s="60" t="e">
        <f>VLOOKUP(A200,Enforcements!$C$7:$E$20,3,0)</f>
        <v>#N/A</v>
      </c>
      <c r="AD200" s="61" t="str">
        <f t="shared" si="63"/>
        <v>0835-25</v>
      </c>
      <c r="AE200" s="91" t="str">
        <f t="shared" si="64"/>
        <v>aws s3 cp s3://rtdc.mdm.uploadarchive.raw/RTDC4022/ "%USERPROFILE%\AppData\Local\Temp\OnboardLogs"\RTDC4022\2016-11-25 --exclude "*" --recursive --include "*20161125*" &amp; "%USERPROFILE%\Documents\GitHub\mrs-test-scripts\Headless Mode &amp; Sideloading\WalkAndUnGZ.bat" "%USERPROFILE%\AppData\Local\Temp\OnboardLogs"\RTDC4022\2016-11-25 &amp; aws s3 cp s3://rtdc.mdm.uploadarchive.raw/RTDC4022/ "%USERPROFILE%\AppData\Local\Temp\OnboardLogs"\RTDC4022\2016-11-26 --exclude "*" --recursive --include "*20161126*" &amp; "%USERPROFILE%\Documents\GitHub\mrs-test-scripts\Headless Mode &amp; Sideloading\WalkAndUnGZ.bat" "%USERPROFILE%\AppData\Local\Temp\OnboardLogs"\RTDC4022\2016-11-26</v>
      </c>
      <c r="AF200" s="88" t="str">
        <f t="shared" si="65"/>
        <v>"C:\Program Files (x86)\AstroGrep\AstroGrep.exe" /spath="%USERPROFILE%\AppData\Local\Temp\OnboardLogs" /stypes="app*4022*20161126*" /stext=" 01:.+((SYSTEM_STATE.+slice.+state.+changed )|(ment ac)|(system.+state.+changed )|(\[timeout)|(PRM\|1\|D)|(kpr)|(kdp)|(\|lc)|(penalty))" /e /r /s</v>
      </c>
      <c r="AG200" s="1" t="str">
        <f t="shared" si="66"/>
        <v>NW</v>
      </c>
      <c r="AH200" s="92" t="str">
        <f t="shared" si="67"/>
        <v>"%USERPROFILE%\Documents\GitHub\eaglep3\Utilities\RefineRTDCRunTimes.py" --tripid 835-25 --locoid 4022 --swversion DE.1.0.8.0 --startMP 204:993 --initTime 2016-11-25T17:27:58 --startdatetime 2016-11-25T17:51:15 --delay 0 --endMP 300:58912 --enddatetime 2016-11-25T18:04:52 --enforcementcount 0 &gt;&gt;C:\Users\stu\Documents\GitHub\eaglep3-reporting\EC\2016-11-25-refined-times.txt</v>
      </c>
      <c r="AI200" s="119" t="str">
        <f t="shared" si="68"/>
        <v>echo {"issue":{"subject":"","project_id":79,"tracker_id":40,"status_id":1,"priority_id":2,"assigned_to_id":23,"start_date":"2016-11-25","description":"","custom_fields":[{"id":1,"name":"Subdivision","value":"NW"},{"id":4,"name":"Milepost","value":"5.8912"},{"id":17,"name":"Train ID","value":"835-25"},{"id":16,"name":"Locomotive ID","value":"4022"},{"id":130,"name":"Impact","value":""},{"id":150,"name":"Time of Event (Mountain Time)","value":"18:04:52"},{"id":151,"name":"Denver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3"/>
      <c r="AK200" s="53"/>
      <c r="AL200" s="53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1" customFormat="1" x14ac:dyDescent="0.25">
      <c r="A201" s="37" t="s">
        <v>453</v>
      </c>
      <c r="B201" s="7">
        <v>4021</v>
      </c>
      <c r="C201" s="22" t="s">
        <v>217</v>
      </c>
      <c r="D201" s="22" t="s">
        <v>387</v>
      </c>
      <c r="E201" s="13">
        <v>42699.754351851851</v>
      </c>
      <c r="F201" s="13">
        <v>42699.755590277775</v>
      </c>
      <c r="G201" s="7">
        <v>1</v>
      </c>
      <c r="H201" s="22" t="s">
        <v>755</v>
      </c>
      <c r="I201" s="13">
        <v>42699.768993055557</v>
      </c>
      <c r="J201" s="7">
        <v>1</v>
      </c>
      <c r="K201" s="109" t="str">
        <f t="shared" si="52"/>
        <v>4021/4022</v>
      </c>
      <c r="L201" s="22" t="str">
        <f>VLOOKUP(A201,'Trips&amp;Operators'!$C$1:$E$10000,3,FALSE)</f>
        <v>MAGEE</v>
      </c>
      <c r="M201" s="6">
        <f t="shared" si="53"/>
        <v>1.340277778217569E-2</v>
      </c>
      <c r="N201" s="7">
        <f t="shared" si="54"/>
        <v>19.300000006332994</v>
      </c>
      <c r="O201" s="7"/>
      <c r="P201" s="7"/>
      <c r="Q201" s="23"/>
      <c r="R201" s="23"/>
      <c r="S201" s="35">
        <f t="shared" si="55"/>
        <v>1</v>
      </c>
      <c r="T201" s="50" t="str">
        <f t="shared" si="56"/>
        <v>Southbound</v>
      </c>
      <c r="U201" s="171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https://search-rtdc-monitor-bjffxe2xuh6vdkpspy63sjmuny.us-east-1.es.amazonaws.com/_plugin/kibana/#/discover/Steve-Slow-Train-Analysis-(2080s-and-2083s)?_g=(refreshInterval:(display:Off,section:0,value:0),time:(from:'2016-11-25 17:06:16-700',mode:absolute,to:'2016-11-25 19:27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201" s="52" t="str">
        <f t="shared" si="58"/>
        <v>N</v>
      </c>
      <c r="X201" s="177">
        <f t="shared" si="59"/>
        <v>1</v>
      </c>
      <c r="Y201" s="67">
        <f t="shared" si="60"/>
        <v>5.8604000000000003</v>
      </c>
      <c r="Z201" s="67">
        <f t="shared" si="61"/>
        <v>7.0300000000000001E-2</v>
      </c>
      <c r="AA201" s="67">
        <f t="shared" si="62"/>
        <v>5.7901000000000007</v>
      </c>
      <c r="AB201" s="64" t="e">
        <f>VLOOKUP(A201,Enforcements!$C$7:$K$20,8,0)</f>
        <v>#N/A</v>
      </c>
      <c r="AC201" s="60" t="e">
        <f>VLOOKUP(A201,Enforcements!$C$7:$E$20,3,0)</f>
        <v>#N/A</v>
      </c>
      <c r="AD201" s="61" t="str">
        <f t="shared" si="63"/>
        <v>0836-25</v>
      </c>
      <c r="AE201" s="91" t="str">
        <f t="shared" si="64"/>
        <v>aws s3 cp s3://rtdc.mdm.uploadarchive.raw/RTDC4021/ "%USERPROFILE%\AppData\Local\Temp\OnboardLogs"\RTDC4021\2016-11-25 --exclude "*" --recursive --include "*20161125*" &amp; "%USERPROFILE%\Documents\GitHub\mrs-test-scripts\Headless Mode &amp; Sideloading\WalkAndUnGZ.bat" "%USERPROFILE%\AppData\Local\Temp\OnboardLogs"\RTDC4021\2016-11-25 &amp; aws s3 cp s3://rtdc.mdm.uploadarchive.raw/RTDC4021/ "%USERPROFILE%\AppData\Local\Temp\OnboardLogs"\RTDC4021\2016-11-26 --exclude "*" --recursive --include "*20161126*" &amp; "%USERPROFILE%\Documents\GitHub\mrs-test-scripts\Headless Mode &amp; Sideloading\WalkAndUnGZ.bat" "%USERPROFILE%\AppData\Local\Temp\OnboardLogs"\RTDC4021\2016-11-26</v>
      </c>
      <c r="AF201" s="88" t="str">
        <f t="shared" si="65"/>
        <v>"C:\Program Files (x86)\AstroGrep\AstroGrep.exe" /spath="%USERPROFILE%\AppData\Local\Temp\OnboardLogs" /stypes="app*4021*20161126*" /stext=" 01:.+((SYSTEM_STATE.+slice.+state.+changed )|(ment ac)|(system.+state.+changed )|(\[timeout)|(PRM\|1\|D)|(kpr)|(kdp)|(\|lc)|(penalty))" /e /r /s</v>
      </c>
      <c r="AG201" s="1" t="str">
        <f t="shared" si="66"/>
        <v>NW</v>
      </c>
      <c r="AH201" s="92" t="str">
        <f t="shared" si="67"/>
        <v>"%USERPROFILE%\Documents\GitHub\eaglep3\Utilities\RefineRTDCRunTimes.py" --tripid 836-25 --locoid 4021 --swversion DE.1.0.8.0 --startMP 300:58604 --initTime 2016-11-25T18:06:16 --startdatetime 2016-11-25T18:08:03 --delay 1 --endMP 204:703 --enddatetime 2016-11-25T18:27:21 --enforcementcount 1 &gt;&gt;C:\Users\stu\Documents\GitHub\eaglep3-reporting\EC\2016-11-25-refined-times.txt</v>
      </c>
      <c r="AI201" s="119" t="str">
        <f t="shared" si="68"/>
        <v>echo {"issue":{"subject":"","project_id":79,"tracker_id":40,"status_id":1,"priority_id":2,"assigned_to_id":23,"start_date":"2016-11-25","description":"","custom_fields":[{"id":1,"name":"Subdivision","value":"NW"},{"id":4,"name":"Milepost","value":"0.0703"},{"id":17,"name":"Train ID","value":"836-25"},{"id":16,"name":"Locomotive ID","value":"4021"},{"id":130,"name":"Impact","value":""},{"id":150,"name":"Time of Event (Mountain Time)","value":"18:27:21"},{"id":151,"name":"Denver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3"/>
      <c r="AK201" s="53"/>
      <c r="AL201" s="53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x14ac:dyDescent="0.25">
      <c r="A202" s="37" t="s">
        <v>456</v>
      </c>
      <c r="B202" s="7">
        <v>4003</v>
      </c>
      <c r="C202" s="22" t="s">
        <v>217</v>
      </c>
      <c r="D202" s="22" t="s">
        <v>711</v>
      </c>
      <c r="E202" s="13">
        <v>42699.763645833336</v>
      </c>
      <c r="F202" s="13">
        <v>42699.78020833333</v>
      </c>
      <c r="G202" s="7">
        <v>0</v>
      </c>
      <c r="H202" s="22" t="s">
        <v>756</v>
      </c>
      <c r="I202" s="13">
        <v>42699.790069444447</v>
      </c>
      <c r="J202" s="7">
        <v>1</v>
      </c>
      <c r="K202" s="109" t="str">
        <f t="shared" si="52"/>
        <v>4003/4004</v>
      </c>
      <c r="L202" s="22" t="str">
        <f>VLOOKUP(A202,'Trips&amp;Operators'!$C$1:$E$10000,3,FALSE)</f>
        <v>PERKINS</v>
      </c>
      <c r="M202" s="6">
        <f t="shared" si="53"/>
        <v>9.8611111170612276E-3</v>
      </c>
      <c r="N202" s="7">
        <f t="shared" si="54"/>
        <v>14.200000008568168</v>
      </c>
      <c r="O202" s="7"/>
      <c r="P202" s="7"/>
      <c r="Q202" s="23"/>
      <c r="R202" s="23"/>
      <c r="S202" s="35">
        <f t="shared" si="55"/>
        <v>1</v>
      </c>
      <c r="T202" s="50" t="str">
        <f t="shared" si="56"/>
        <v>NorthBound</v>
      </c>
      <c r="U202" s="171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https://search-rtdc-monitor-bjffxe2xuh6vdkpspy63sjmuny.us-east-1.es.amazonaws.com/_plugin/kibana/#/discover/Steve-Slow-Train-Analysis-(2080s-and-2083s)?_g=(refreshInterval:(display:Off,section:0,value:0),time:(from:'2016-11-25 17:19:39-700',mode:absolute,to:'2016-11-25 19:57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202" s="52" t="str">
        <f t="shared" si="58"/>
        <v>N</v>
      </c>
      <c r="X202" s="177">
        <f t="shared" si="59"/>
        <v>1</v>
      </c>
      <c r="Y202" s="67">
        <f t="shared" si="60"/>
        <v>0.1021</v>
      </c>
      <c r="Z202" s="67">
        <f t="shared" si="61"/>
        <v>5.8960999999999997</v>
      </c>
      <c r="AA202" s="67">
        <f t="shared" si="62"/>
        <v>5.7939999999999996</v>
      </c>
      <c r="AB202" s="64" t="e">
        <f>VLOOKUP(A202,Enforcements!$C$7:$K$20,8,0)</f>
        <v>#N/A</v>
      </c>
      <c r="AC202" s="60" t="e">
        <f>VLOOKUP(A202,Enforcements!$C$7:$E$20,3,0)</f>
        <v>#N/A</v>
      </c>
      <c r="AD202" s="61" t="str">
        <f t="shared" si="63"/>
        <v>0837-25</v>
      </c>
      <c r="AE202" s="91" t="str">
        <f t="shared" si="64"/>
        <v>aws s3 cp s3://rtdc.mdm.uploadarchive.raw/RTDC4003/ "%USERPROFILE%\AppData\Local\Temp\OnboardLogs"\RTDC4003\2016-11-25 --exclude "*" --recursive --include "*20161125*" &amp; "%USERPROFILE%\Documents\GitHub\mrs-test-scripts\Headless Mode &amp; Sideloading\WalkAndUnGZ.bat" "%USERPROFILE%\AppData\Local\Temp\OnboardLogs"\RTDC4003\2016-11-25 &amp; aws s3 cp s3://rtdc.mdm.uploadarchive.raw/RTDC4003/ "%USERPROFILE%\AppData\Local\Temp\OnboardLogs"\RTDC4003\2016-11-26 --exclude "*" --recursive --include "*20161126*" &amp; "%USERPROFILE%\Documents\GitHub\mrs-test-scripts\Headless Mode &amp; Sideloading\WalkAndUnGZ.bat" "%USERPROFILE%\AppData\Local\Temp\OnboardLogs"\RTDC4003\2016-11-26</v>
      </c>
      <c r="AF202" s="88" t="str">
        <f t="shared" si="65"/>
        <v>"C:\Program Files (x86)\AstroGrep\AstroGrep.exe" /spath="%USERPROFILE%\AppData\Local\Temp\OnboardLogs" /stypes="app*4003*20161126*" /stext=" 01:.+((SYSTEM_STATE.+slice.+state.+changed )|(ment ac)|(system.+state.+changed )|(\[timeout)|(PRM\|1\|D)|(kpr)|(kdp)|(\|lc)|(penalty))" /e /r /s</v>
      </c>
      <c r="AG202" s="1" t="str">
        <f t="shared" si="66"/>
        <v>NW</v>
      </c>
      <c r="AH202" s="92" t="str">
        <f t="shared" si="67"/>
        <v>"%USERPROFILE%\Documents\GitHub\eaglep3\Utilities\RefineRTDCRunTimes.py" --tripid 837-25 --locoid 4003 --swversion DE.1.0.8.0 --startMP 204:1021 --initTime 2016-11-25T18:19:39 --startdatetime 2016-11-25T18:43:30 --delay 0 --endMP 300:58961 --enddatetime 2016-11-25T18:57:42 --enforcementcount 1 &gt;&gt;C:\Users\stu\Documents\GitHub\eaglep3-reporting\EC\2016-11-25-refined-times.txt</v>
      </c>
      <c r="AI202" s="119" t="str">
        <f t="shared" si="68"/>
        <v>echo {"issue":{"subject":"","project_id":79,"tracker_id":40,"status_id":1,"priority_id":2,"assigned_to_id":23,"start_date":"2016-11-25","description":"","custom_fields":[{"id":1,"name":"Subdivision","value":"NW"},{"id":4,"name":"Milepost","value":"5.8961"},{"id":17,"name":"Train ID","value":"837-25"},{"id":16,"name":"Locomotive ID","value":"4003"},{"id":130,"name":"Impact","value":""},{"id":150,"name":"Time of Event (Mountain Time)","value":"18:57:42"},{"id":151,"name":"Denver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3"/>
      <c r="AK202" s="53"/>
      <c r="AL202" s="53"/>
    </row>
    <row r="203" spans="1:91" x14ac:dyDescent="0.25">
      <c r="A203" s="37" t="s">
        <v>593</v>
      </c>
      <c r="B203" s="7">
        <v>4004</v>
      </c>
      <c r="C203" s="22" t="s">
        <v>217</v>
      </c>
      <c r="D203" s="22" t="s">
        <v>757</v>
      </c>
      <c r="E203" s="13">
        <v>42699.778657407405</v>
      </c>
      <c r="F203" s="13">
        <v>42699.78020833333</v>
      </c>
      <c r="G203" s="7">
        <v>1</v>
      </c>
      <c r="H203" s="22" t="s">
        <v>736</v>
      </c>
      <c r="I203" s="13">
        <v>42699.790069444447</v>
      </c>
      <c r="J203" s="7">
        <v>0</v>
      </c>
      <c r="K203" s="109" t="str">
        <f t="shared" si="52"/>
        <v>4003/4004</v>
      </c>
      <c r="L203" s="22" t="str">
        <f>VLOOKUP(A203,'Trips&amp;Operators'!$C$1:$E$10000,3,FALSE)</f>
        <v>PERKINS</v>
      </c>
      <c r="M203" s="6">
        <f t="shared" si="53"/>
        <v>9.8611111170612276E-3</v>
      </c>
      <c r="N203" s="7">
        <f t="shared" si="54"/>
        <v>14.200000008568168</v>
      </c>
      <c r="O203" s="7"/>
      <c r="P203" s="7"/>
      <c r="Q203" s="23"/>
      <c r="R203" s="23"/>
      <c r="S203" s="35">
        <f t="shared" si="55"/>
        <v>1</v>
      </c>
      <c r="T203" s="50" t="str">
        <f t="shared" si="56"/>
        <v>Southbound</v>
      </c>
      <c r="U203" s="171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https://search-rtdc-monitor-bjffxe2xuh6vdkpspy63sjmuny.us-east-1.es.amazonaws.com/_plugin/kibana/#/discover/Steve-Slow-Train-Analysis-(2080s-and-2083s)?_g=(refreshInterval:(display:Off,section:0,value:0),time:(from:'2016-11-25 17:41:16-700',mode:absolute,to:'2016-11-25 19:57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203" s="52" t="str">
        <f t="shared" si="58"/>
        <v>N</v>
      </c>
      <c r="X203" s="177">
        <f t="shared" si="59"/>
        <v>1</v>
      </c>
      <c r="Y203" s="67">
        <f t="shared" si="60"/>
        <v>5.8634000000000004</v>
      </c>
      <c r="Z203" s="67">
        <f t="shared" si="61"/>
        <v>7.3800000000000004E-2</v>
      </c>
      <c r="AA203" s="67">
        <f t="shared" si="62"/>
        <v>5.7896000000000001</v>
      </c>
      <c r="AB203" s="64" t="e">
        <f>VLOOKUP(A203,Enforcements!$C$7:$K$20,8,0)</f>
        <v>#N/A</v>
      </c>
      <c r="AC203" s="60" t="e">
        <f>VLOOKUP(A203,Enforcements!$C$7:$E$20,3,0)</f>
        <v>#N/A</v>
      </c>
      <c r="AD203" s="61" t="str">
        <f t="shared" si="63"/>
        <v>0838-25</v>
      </c>
      <c r="AE203" s="91" t="str">
        <f t="shared" si="64"/>
        <v>aws s3 cp s3://rtdc.mdm.uploadarchive.raw/RTDC4004/ "%USERPROFILE%\AppData\Local\Temp\OnboardLogs"\RTDC4004\2016-11-25 --exclude "*" --recursive --include "*20161125*" &amp; "%USERPROFILE%\Documents\GitHub\mrs-test-scripts\Headless Mode &amp; Sideloading\WalkAndUnGZ.bat" "%USERPROFILE%\AppData\Local\Temp\OnboardLogs"\RTDC4004\2016-11-25 &amp; aws s3 cp s3://rtdc.mdm.uploadarchive.raw/RTDC4004/ "%USERPROFILE%\AppData\Local\Temp\OnboardLogs"\RTDC4004\2016-11-26 --exclude "*" --recursive --include "*20161126*" &amp; "%USERPROFILE%\Documents\GitHub\mrs-test-scripts\Headless Mode &amp; Sideloading\WalkAndUnGZ.bat" "%USERPROFILE%\AppData\Local\Temp\OnboardLogs"\RTDC4004\2016-11-26</v>
      </c>
      <c r="AF203" s="88" t="str">
        <f t="shared" si="65"/>
        <v>"C:\Program Files (x86)\AstroGrep\AstroGrep.exe" /spath="%USERPROFILE%\AppData\Local\Temp\OnboardLogs" /stypes="app*4004*20161126*" /stext=" 01:.+((SYSTEM_STATE.+slice.+state.+changed )|(ment ac)|(system.+state.+changed )|(\[timeout)|(PRM\|1\|D)|(kpr)|(kdp)|(\|lc)|(penalty))" /e /r /s</v>
      </c>
      <c r="AG203" s="1" t="str">
        <f t="shared" si="66"/>
        <v>NW</v>
      </c>
      <c r="AH203" s="92" t="str">
        <f t="shared" si="67"/>
        <v>"%USERPROFILE%\Documents\GitHub\eaglep3\Utilities\RefineRTDCRunTimes.py" --tripid 838-25 --locoid 4004 --swversion DE.1.0.8.0 --startMP 300:58634 --initTime 2016-11-25T18:41:16 --startdatetime 2016-11-25T18:43:30 --delay 1 --endMP 204:738 --enddatetime 2016-11-25T18:57:42 --enforcementcount 0 &gt;&gt;C:\Users\stu\Documents\GitHub\eaglep3-reporting\EC\2016-11-25-refined-times.txt</v>
      </c>
      <c r="AI203" s="119" t="str">
        <f t="shared" si="68"/>
        <v>echo {"issue":{"subject":"","project_id":79,"tracker_id":40,"status_id":1,"priority_id":2,"assigned_to_id":23,"start_date":"2016-11-25","description":"","custom_fields":[{"id":1,"name":"Subdivision","value":"NW"},{"id":4,"name":"Milepost","value":"0.0738"},{"id":17,"name":"Train ID","value":"838-25"},{"id":16,"name":"Locomotive ID","value":"4004"},{"id":130,"name":"Impact","value":""},{"id":150,"name":"Time of Event (Mountain Time)","value":"18:57:42"},{"id":151,"name":"Denver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3"/>
      <c r="AK203" s="53"/>
      <c r="AL203" s="53"/>
    </row>
    <row r="204" spans="1:91" x14ac:dyDescent="0.25">
      <c r="A204" s="37" t="s">
        <v>592</v>
      </c>
      <c r="B204" s="7">
        <v>4022</v>
      </c>
      <c r="C204" s="22" t="s">
        <v>217</v>
      </c>
      <c r="D204" s="22" t="s">
        <v>382</v>
      </c>
      <c r="E204" s="13">
        <v>42699.776574074072</v>
      </c>
      <c r="F204" s="13">
        <v>42699.785671296297</v>
      </c>
      <c r="G204" s="7">
        <v>1</v>
      </c>
      <c r="H204" s="22" t="s">
        <v>741</v>
      </c>
      <c r="I204" s="13">
        <v>42699.795277777775</v>
      </c>
      <c r="J204" s="7">
        <v>0</v>
      </c>
      <c r="K204" s="109" t="str">
        <f t="shared" si="52"/>
        <v>4021/4022</v>
      </c>
      <c r="L204" s="22" t="str">
        <f>VLOOKUP(A204,'Trips&amp;Operators'!$C$1:$E$10000,3,FALSE)</f>
        <v>MAGEE</v>
      </c>
      <c r="M204" s="6">
        <f t="shared" si="53"/>
        <v>9.6064814788405783E-3</v>
      </c>
      <c r="N204" s="7">
        <f t="shared" si="54"/>
        <v>13.833333329530433</v>
      </c>
      <c r="O204" s="7"/>
      <c r="P204" s="7"/>
      <c r="Q204" s="23"/>
      <c r="R204" s="23"/>
      <c r="S204" s="35">
        <f t="shared" si="55"/>
        <v>1</v>
      </c>
      <c r="T204" s="50" t="str">
        <f t="shared" si="56"/>
        <v>NorthBound</v>
      </c>
      <c r="U204" s="171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https://search-rtdc-monitor-bjffxe2xuh6vdkpspy63sjmuny.us-east-1.es.amazonaws.com/_plugin/kibana/#/discover/Steve-Slow-Train-Analysis-(2080s-and-2083s)?_g=(refreshInterval:(display:Off,section:0,value:0),time:(from:'2016-11-25 17:38:16-700',mode:absolute,to:'2016-11-25 20:05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204" s="52" t="str">
        <f t="shared" si="58"/>
        <v>N</v>
      </c>
      <c r="X204" s="177">
        <f t="shared" si="59"/>
        <v>1</v>
      </c>
      <c r="Y204" s="67">
        <f t="shared" si="60"/>
        <v>9.9500000000000005E-2</v>
      </c>
      <c r="Z204" s="67">
        <f t="shared" si="61"/>
        <v>5.8912000000000004</v>
      </c>
      <c r="AA204" s="67">
        <f t="shared" si="62"/>
        <v>5.7917000000000005</v>
      </c>
      <c r="AB204" s="64" t="e">
        <f>VLOOKUP(A204,Enforcements!$C$7:$K$20,8,0)</f>
        <v>#N/A</v>
      </c>
      <c r="AC204" s="60" t="e">
        <f>VLOOKUP(A204,Enforcements!$C$7:$E$20,3,0)</f>
        <v>#N/A</v>
      </c>
      <c r="AD204" s="61" t="str">
        <f t="shared" si="63"/>
        <v>0839-25</v>
      </c>
      <c r="AE204" s="91" t="str">
        <f t="shared" si="64"/>
        <v>aws s3 cp s3://rtdc.mdm.uploadarchive.raw/RTDC4022/ "%USERPROFILE%\AppData\Local\Temp\OnboardLogs"\RTDC4022\2016-11-25 --exclude "*" --recursive --include "*20161125*" &amp; "%USERPROFILE%\Documents\GitHub\mrs-test-scripts\Headless Mode &amp; Sideloading\WalkAndUnGZ.bat" "%USERPROFILE%\AppData\Local\Temp\OnboardLogs"\RTDC4022\2016-11-25 &amp; aws s3 cp s3://rtdc.mdm.uploadarchive.raw/RTDC4022/ "%USERPROFILE%\AppData\Local\Temp\OnboardLogs"\RTDC4022\2016-11-26 --exclude "*" --recursive --include "*20161126*" &amp; "%USERPROFILE%\Documents\GitHub\mrs-test-scripts\Headless Mode &amp; Sideloading\WalkAndUnGZ.bat" "%USERPROFILE%\AppData\Local\Temp\OnboardLogs"\RTDC4022\2016-11-26</v>
      </c>
      <c r="AF204" s="88" t="str">
        <f t="shared" si="65"/>
        <v>"C:\Program Files (x86)\AstroGrep\AstroGrep.exe" /spath="%USERPROFILE%\AppData\Local\Temp\OnboardLogs" /stypes="app*4022*20161126*" /stext=" 02:.+((SYSTEM_STATE.+slice.+state.+changed )|(ment ac)|(system.+state.+changed )|(\[timeout)|(PRM\|1\|D)|(kpr)|(kdp)|(\|lc)|(penalty))" /e /r /s</v>
      </c>
      <c r="AG204" s="1" t="str">
        <f t="shared" si="66"/>
        <v>NW</v>
      </c>
      <c r="AH204" s="92" t="str">
        <f t="shared" si="67"/>
        <v>"%USERPROFILE%\Documents\GitHub\eaglep3\Utilities\RefineRTDCRunTimes.py" --tripid 839-25 --locoid 4022 --swversion DE.1.0.8.0 --startMP 204:995 --initTime 2016-11-25T18:38:16 --startdatetime 2016-11-25T18:51:22 --delay 1 --endMP 300:58912 --enddatetime 2016-11-25T19:05:12 --enforcementcount 0 &gt;&gt;C:\Users\stu\Documents\GitHub\eaglep3-reporting\EC\2016-11-25-refined-times.txt</v>
      </c>
      <c r="AI204" s="119" t="str">
        <f t="shared" si="68"/>
        <v>echo {"issue":{"subject":"","project_id":79,"tracker_id":40,"status_id":1,"priority_id":2,"assigned_to_id":23,"start_date":"2016-11-25","description":"","custom_fields":[{"id":1,"name":"Subdivision","value":"NW"},{"id":4,"name":"Milepost","value":"5.8912"},{"id":17,"name":"Train ID","value":"839-25"},{"id":16,"name":"Locomotive ID","value":"4022"},{"id":130,"name":"Impact","value":""},{"id":150,"name":"Time of Event (Mountain Time)","value":"19:05:12"},{"id":151,"name":"Denver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3"/>
      <c r="AK204" s="53"/>
      <c r="AL204" s="53"/>
    </row>
    <row r="205" spans="1:91" x14ac:dyDescent="0.25">
      <c r="A205" s="37" t="s">
        <v>601</v>
      </c>
      <c r="B205" s="7">
        <v>4004</v>
      </c>
      <c r="C205" s="22" t="s">
        <v>217</v>
      </c>
      <c r="D205" s="22" t="s">
        <v>726</v>
      </c>
      <c r="E205" s="13">
        <v>42699.81621527778</v>
      </c>
      <c r="F205" s="13">
        <v>42699.817511574074</v>
      </c>
      <c r="G205" s="7">
        <v>1</v>
      </c>
      <c r="H205" s="22" t="s">
        <v>638</v>
      </c>
      <c r="I205" s="13">
        <v>42699.830763888887</v>
      </c>
      <c r="J205" s="7">
        <v>0</v>
      </c>
      <c r="K205" s="109" t="str">
        <f t="shared" ref="K205:K247" si="69">IF(ISEVEN(B205),(B205-1)&amp;"/"&amp;B205,B205&amp;"/"&amp;(B205+1))</f>
        <v>4003/4004</v>
      </c>
      <c r="L205" s="22" t="str">
        <f>VLOOKUP(A205,'Trips&amp;Operators'!$C$1:$E$10000,3,FALSE)</f>
        <v>PERKINS</v>
      </c>
      <c r="M205" s="6">
        <f t="shared" ref="M205:M247" si="70">I205-F205</f>
        <v>1.3252314813144039E-2</v>
      </c>
      <c r="N205" s="7">
        <f t="shared" ref="N205:N247" si="71">24*60*SUM($M205:$M205)</f>
        <v>19.083333330927417</v>
      </c>
      <c r="O205" s="7"/>
      <c r="P205" s="7"/>
      <c r="Q205" s="23"/>
      <c r="R205" s="23"/>
      <c r="S205" s="35">
        <f t="shared" ref="S205:S247" si="72">SUM(U205:U205)/IF(AG205="EC",12,1)</f>
        <v>1</v>
      </c>
      <c r="T205" s="50" t="str">
        <f t="shared" ref="T205:T247" si="73">IF(ISEVEN(LEFT(AD205,4)),"Southbound","NorthBound")</f>
        <v>Southbound</v>
      </c>
      <c r="U205" s="171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98" t="str">
        <f t="shared" ref="V205:V247" si="74">"https://search-rtdc-monitor-bjffxe2xuh6vdkpspy63sjmuny.us-east-1.es.amazonaws.com/_plugin/kibana/#/discover/Steve-Slow-Train-Analysis-(2080s-and-2083s)?_g=(refreshInterval:(display:Off,section:0,value:0),time:(from:'"&amp;TEXT(E205-1/24,"yyyy-MM-DD hh:mm:ss")&amp;utc_offset&amp;"00',mode:absolute,to:'"&amp;TEXT(I205+1/24,"yyyy-MM-DD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205&amp;"%22')),sort:!(Time,asc))"</f>
        <v>https://search-rtdc-monitor-bjffxe2xuh6vdkpspy63sjmuny.us-east-1.es.amazonaws.com/_plugin/kibana/#/discover/Steve-Slow-Train-Analysis-(2080s-and-2083s)?_g=(refreshInterval:(display:Off,section:0,value:0),time:(from:'2016-11-25 18:35:21-700',mode:absolute,to:'2016-11-25 20:56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205" s="52" t="str">
        <f t="shared" ref="W205:W247" si="75">IF(AA205&lt;IF(AG205="EC",23,5.65),"Y","N")</f>
        <v>N</v>
      </c>
      <c r="X205" s="177">
        <f t="shared" ref="X205:X247" si="76">VALUE(LEFT(AD205,4))-VALUE(LEFT(AD204,4))</f>
        <v>1</v>
      </c>
      <c r="Y205" s="67">
        <f t="shared" ref="Y205:Y247" si="77">RIGHT(D205,LEN(D205)-4)/10000</f>
        <v>5.8613</v>
      </c>
      <c r="Z205" s="67">
        <f t="shared" ref="Z205:Z247" si="78">RIGHT(H205,LEN(H205)-4)/10000</f>
        <v>7.4300000000000005E-2</v>
      </c>
      <c r="AA205" s="67">
        <f t="shared" ref="AA205:AA247" si="79">ABS(Z205-Y205)</f>
        <v>5.7869999999999999</v>
      </c>
      <c r="AB205" s="64" t="e">
        <f>VLOOKUP(A205,Enforcements!$C$7:$K$20,8,0)</f>
        <v>#N/A</v>
      </c>
      <c r="AC205" s="60" t="e">
        <f>VLOOKUP(A205,Enforcements!$C$7:$E$20,3,0)</f>
        <v>#N/A</v>
      </c>
      <c r="AD205" s="61" t="str">
        <f t="shared" ref="AD205:AD247" si="80">IF(LEN(A205)=6,"0"&amp;A205,A205)</f>
        <v>0840-25</v>
      </c>
      <c r="AE205" s="91" t="str">
        <f t="shared" ref="AE205:AE247" si="81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s3://rtdc.mdm.uploadarchive.raw/RTDC4004/ "%USERPROFILE%\AppData\Local\Temp\OnboardLogs"\RTDC4004\2016-11-25 --exclude "*" --recursive --include "*20161125*" &amp; "%USERPROFILE%\Documents\GitHub\mrs-test-scripts\Headless Mode &amp; Sideloading\WalkAndUnGZ.bat" "%USERPROFILE%\AppData\Local\Temp\OnboardLogs"\RTDC4004\2016-11-25 &amp; aws s3 cp s3://rtdc.mdm.uploadarchive.raw/RTDC4004/ "%USERPROFILE%\AppData\Local\Temp\OnboardLogs"\RTDC4004\2016-11-26 --exclude "*" --recursive --include "*20161126*" &amp; "%USERPROFILE%\Documents\GitHub\mrs-test-scripts\Headless Mode &amp; Sideloading\WalkAndUnGZ.bat" "%USERPROFILE%\AppData\Local\Temp\OnboardLogs"\RTDC4004\2016-11-26</v>
      </c>
      <c r="AF205" s="88" t="str">
        <f t="shared" ref="AF205:AF247" si="82">astrogrep_path&amp;" /spath="&amp;search_path&amp;" /stypes=""app*"&amp;B205&amp;"*"&amp;TEXT(I205-utc_offset/24,"YYYYMMDD")&amp;"*"" /stext="" "&amp;TEXT(I205-utc_offset/24,"HH")&amp;search_regexp&amp;""" /e /r /s"</f>
        <v>"C:\Program Files (x86)\AstroGrep\AstroGrep.exe" /spath="%USERPROFILE%\AppData\Local\Temp\OnboardLogs" /stypes="app*4004*20161126*" /stext=" 02:.+((SYSTEM_STATE.+slice.+state.+changed )|(ment ac)|(system.+state.+changed )|(\[timeout)|(PRM\|1\|D)|(kpr)|(kdp)|(\|lc)|(penalty))" /e /r /s</v>
      </c>
      <c r="AG205" s="1" t="str">
        <f t="shared" ref="AG205:AG247" si="83">IFERROR(IF(VALUE(LEFT(AD205,2))&lt;=2,"EC",IF(OR(VALUE(LEFT(AD205,2))=8,VALUE(LEFT(AD205,2))=18),"NW","Other")),"Other")</f>
        <v>NW</v>
      </c>
      <c r="AH205" s="92" t="str">
        <f t="shared" si="67"/>
        <v>"%USERPROFILE%\Documents\GitHub\eaglep3\Utilities\RefineRTDCRunTimes.py" --tripid 840-25 --locoid 4004 --swversion DE.1.0.8.0 --startMP 300:58613 --initTime 2016-11-25T19:35:21 --startdatetime 2016-11-25T19:37:13 --delay 1 --endMP 204:743 --enddatetime 2016-11-25T19:56:18 --enforcementcount 0 &gt;&gt;C:\Users\stu\Documents\GitHub\eaglep3-reporting\EC\2016-11-25-refined-times.txt</v>
      </c>
      <c r="AI205" s="119" t="str">
        <f t="shared" si="68"/>
        <v>echo {"issue":{"subject":"","project_id":79,"tracker_id":40,"status_id":1,"priority_id":2,"assigned_to_id":23,"start_date":"2016-11-25","description":"","custom_fields":[{"id":1,"name":"Subdivision","value":"NW"},{"id":4,"name":"Milepost","value":"0.0743"},{"id":17,"name":"Train ID","value":"840-25"},{"id":16,"name":"Locomotive ID","value":"4004"},{"id":130,"name":"Impact","value":""},{"id":150,"name":"Time of Event (Mountain Time)","value":"19:56:18"},{"id":151,"name":"Denver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3"/>
      <c r="AK205" s="53"/>
      <c r="AL205" s="53"/>
    </row>
    <row r="206" spans="1:91" x14ac:dyDescent="0.25">
      <c r="A206" s="37" t="s">
        <v>599</v>
      </c>
      <c r="B206" s="7">
        <v>4003</v>
      </c>
      <c r="C206" s="22" t="s">
        <v>217</v>
      </c>
      <c r="D206" s="22" t="s">
        <v>728</v>
      </c>
      <c r="E206" s="13">
        <v>42699.801064814812</v>
      </c>
      <c r="F206" s="13">
        <v>42699.806435185186</v>
      </c>
      <c r="G206" s="7">
        <v>1</v>
      </c>
      <c r="H206" s="22" t="s">
        <v>750</v>
      </c>
      <c r="I206" s="13">
        <v>42699.815462962964</v>
      </c>
      <c r="J206" s="7">
        <v>0</v>
      </c>
      <c r="K206" s="109" t="str">
        <f t="shared" si="69"/>
        <v>4003/4004</v>
      </c>
      <c r="L206" s="22" t="str">
        <f>VLOOKUP(A206,'Trips&amp;Operators'!$C$1:$E$10000,3,FALSE)</f>
        <v>PERKINS</v>
      </c>
      <c r="M206" s="6">
        <f t="shared" si="70"/>
        <v>9.0277777781011537E-3</v>
      </c>
      <c r="N206" s="7">
        <f t="shared" si="71"/>
        <v>13.000000000465661</v>
      </c>
      <c r="O206" s="7"/>
      <c r="P206" s="7"/>
      <c r="Q206" s="23"/>
      <c r="R206" s="23"/>
      <c r="S206" s="35">
        <f t="shared" si="72"/>
        <v>1</v>
      </c>
      <c r="T206" s="50" t="str">
        <f t="shared" si="73"/>
        <v>NorthBound</v>
      </c>
      <c r="U206" s="171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https://search-rtdc-monitor-bjffxe2xuh6vdkpspy63sjmuny.us-east-1.es.amazonaws.com/_plugin/kibana/#/discover/Steve-Slow-Train-Analysis-(2080s-and-2083s)?_g=(refreshInterval:(display:Off,section:0,value:0),time:(from:'2016-11-25 18:13:32-700',mode:absolute,to:'2016-11-25 20:34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206" s="52" t="str">
        <f t="shared" si="75"/>
        <v>N</v>
      </c>
      <c r="X206" s="177">
        <f t="shared" si="76"/>
        <v>1</v>
      </c>
      <c r="Y206" s="67">
        <f t="shared" si="77"/>
        <v>0.10249999999999999</v>
      </c>
      <c r="Z206" s="67">
        <f t="shared" si="78"/>
        <v>5.8936999999999999</v>
      </c>
      <c r="AA206" s="67">
        <f t="shared" si="79"/>
        <v>5.7911999999999999</v>
      </c>
      <c r="AB206" s="64" t="e">
        <f>VLOOKUP(A206,Enforcements!$C$7:$K$20,8,0)</f>
        <v>#N/A</v>
      </c>
      <c r="AC206" s="60" t="e">
        <f>VLOOKUP(A206,Enforcements!$C$7:$E$20,3,0)</f>
        <v>#N/A</v>
      </c>
      <c r="AD206" s="61" t="str">
        <f t="shared" si="80"/>
        <v>0841-25</v>
      </c>
      <c r="AE206" s="91" t="str">
        <f t="shared" si="81"/>
        <v>aws s3 cp s3://rtdc.mdm.uploadarchive.raw/RTDC4003/ "%USERPROFILE%\AppData\Local\Temp\OnboardLogs"\RTDC4003\2016-11-25 --exclude "*" --recursive --include "*20161125*" &amp; "%USERPROFILE%\Documents\GitHub\mrs-test-scripts\Headless Mode &amp; Sideloading\WalkAndUnGZ.bat" "%USERPROFILE%\AppData\Local\Temp\OnboardLogs"\RTDC4003\2016-11-25 &amp; aws s3 cp s3://rtdc.mdm.uploadarchive.raw/RTDC4003/ "%USERPROFILE%\AppData\Local\Temp\OnboardLogs"\RTDC4003\2016-11-26 --exclude "*" --recursive --include "*20161126*" &amp; "%USERPROFILE%\Documents\GitHub\mrs-test-scripts\Headless Mode &amp; Sideloading\WalkAndUnGZ.bat" "%USERPROFILE%\AppData\Local\Temp\OnboardLogs"\RTDC4003\2016-11-26</v>
      </c>
      <c r="AF206" s="88" t="str">
        <f t="shared" si="82"/>
        <v>"C:\Program Files (x86)\AstroGrep\AstroGrep.exe" /spath="%USERPROFILE%\AppData\Local\Temp\OnboardLogs" /stypes="app*4003*20161126*" /stext=" 02:.+((SYSTEM_STATE.+slice.+state.+changed )|(ment ac)|(system.+state.+changed )|(\[timeout)|(PRM\|1\|D)|(kpr)|(kdp)|(\|lc)|(penalty))" /e /r /s</v>
      </c>
      <c r="AG206" s="1" t="str">
        <f t="shared" si="83"/>
        <v>NW</v>
      </c>
      <c r="AH206" s="92" t="str">
        <f t="shared" ref="AH206:AH247" si="84">refinertdcruntimes&amp;" --tripid "&amp;A206&amp;" --locoid "&amp;B206&amp;" --swversion "&amp;C206&amp;" --startMP "&amp;D206&amp;" --initTime "&amp;TEXT(E206,"yyyy-mm-ddTHH:MM:SS")&amp;" --startdatetime "&amp;TEXT(F206,"yyyy-mm-ddTHH:MM:SS")&amp;" --delay "&amp;G206&amp;" --endMP "&amp;H206&amp;" --enddatetime "&amp;TEXT(I206,"yyyy-mm-ddTHH:MM:SS")&amp;" --enforcementcount "&amp;J206&amp;IF(outputrefinedruntimes," &gt;&gt;"&amp;RefinedRTDCRunTimesOutputFile,"")</f>
        <v>"%USERPROFILE%\Documents\GitHub\eaglep3\Utilities\RefineRTDCRunTimes.py" --tripid 841-25 --locoid 4003 --swversion DE.1.0.8.0 --startMP 204:1025 --initTime 2016-11-25T19:13:32 --startdatetime 2016-11-25T19:21:16 --delay 1 --endMP 300:58937 --enddatetime 2016-11-25T19:34:16 --enforcementcount 0 &gt;&gt;C:\Users\stu\Documents\GitHub\eaglep3-reporting\EC\2016-11-25-refined-times.txt</v>
      </c>
      <c r="AI206" s="119" t="str">
        <f t="shared" ref="AI206:AI247" si="85">"echo {""issue"":{""subject"":"""&amp;R206&amp;""",""project_id"":79,""tracker_id"":40,""status_id"":"&amp;redmine_status&amp;",""priority_id"":"&amp;redmine_priority&amp;",""assigned_to_id"":"&amp;redmine_assignee&amp;",""start_date"":"""&amp;TEXT(I206,"YYYY-mm-dd")&amp;""",""description"":"""&amp;AJ206&amp;""",""custom_fields"":[{""id"":1,""name"":""Subdivision"",""value"":"""&amp;AG206&amp;"""},{""id"":4,""name"":""Milepost"",""value"":"""&amp;Z206&amp;"""},{""id"":17,""name"":""Train ID"",""value"":"""&amp;A206&amp;"""},{""id"":16,""name"":""Locomotive ID"",""value"":"""&amp;B206&amp;"""},{""id"":130,""name"":""Impact"",""value"":"""&amp;AK206&amp;"""},{""id"":150,""name"":""Time of Event (Mountain Time)"",""value"":"""&amp;TEXT(I206,"hh:mm:ss")&amp;"""},{""id"":151,""name"":""Denver Issue ID"",""value"":"""&amp;"""},{""id"":178,""name"":""Operational Impact"",""value"":"""&amp;redmine_op_impact&amp;"""},{""id"":179,""name"":""Denver Segment Assigned"",""value"":"""&amp;AL206&amp;"""}]}}"&amp;"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{"issue":{"subject":"","project_id":79,"tracker_id":40,"status_id":1,"priority_id":2,"assigned_to_id":23,"start_date":"2016-11-25","description":"","custom_fields":[{"id":1,"name":"Subdivision","value":"NW"},{"id":4,"name":"Milepost","value":"5.8937"},{"id":17,"name":"Train ID","value":"841-25"},{"id":16,"name":"Locomotive ID","value":"4003"},{"id":130,"name":"Impact","value":""},{"id":150,"name":"Time of Event (Mountain Time)","value":"19:34:16"},{"id":151,"name":"Denver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3"/>
      <c r="AK206" s="53"/>
      <c r="AL206" s="53"/>
    </row>
    <row r="207" spans="1:91" x14ac:dyDescent="0.25">
      <c r="A207" s="37" t="s">
        <v>608</v>
      </c>
      <c r="B207" s="7">
        <v>4004</v>
      </c>
      <c r="C207" s="22" t="s">
        <v>217</v>
      </c>
      <c r="D207" s="22" t="s">
        <v>758</v>
      </c>
      <c r="E207" s="13">
        <v>42699.86886574074</v>
      </c>
      <c r="F207" s="13">
        <v>42699.869768518518</v>
      </c>
      <c r="G207" s="7">
        <v>1</v>
      </c>
      <c r="H207" s="22" t="s">
        <v>385</v>
      </c>
      <c r="I207" s="13">
        <v>42699.872488425928</v>
      </c>
      <c r="J207" s="7">
        <v>0</v>
      </c>
      <c r="K207" s="109" t="str">
        <f t="shared" si="69"/>
        <v>4003/4004</v>
      </c>
      <c r="L207" s="22" t="str">
        <f>VLOOKUP(A207,'Trips&amp;Operators'!$C$1:$E$10000,3,FALSE)</f>
        <v>PERKINS</v>
      </c>
      <c r="M207" s="6">
        <f t="shared" si="70"/>
        <v>2.7199074102099985E-3</v>
      </c>
      <c r="N207" s="7"/>
      <c r="O207" s="7"/>
      <c r="P207" s="7">
        <f>24*60*SUM($M207:$M208)</f>
        <v>7.8333333414047956</v>
      </c>
      <c r="Q207" s="23"/>
      <c r="R207" s="23" t="s">
        <v>790</v>
      </c>
      <c r="S207" s="35">
        <f>SUM(U207:U208)/IF(AG207="EC",12,1)</f>
        <v>0</v>
      </c>
      <c r="T207" s="50" t="str">
        <f t="shared" si="73"/>
        <v>Southbound</v>
      </c>
      <c r="U207" s="171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0</v>
      </c>
      <c r="V207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https://search-rtdc-monitor-bjffxe2xuh6vdkpspy63sjmuny.us-east-1.es.amazonaws.com/_plugin/kibana/#/discover/Steve-Slow-Train-Analysis-(2080s-and-2083s)?_g=(refreshInterval:(display:Off,section:0,value:0),time:(from:'2016-11-25 19:51:10-700',mode:absolute,to:'2016-11-25 21:56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207" s="52" t="str">
        <f t="shared" si="75"/>
        <v>Y</v>
      </c>
      <c r="X207" s="177">
        <f t="shared" si="76"/>
        <v>1</v>
      </c>
      <c r="Y207" s="67">
        <f t="shared" si="77"/>
        <v>1.0427999999999999</v>
      </c>
      <c r="Z207" s="67">
        <f t="shared" si="78"/>
        <v>7.0599999999999996E-2</v>
      </c>
      <c r="AA207" s="67">
        <f t="shared" si="79"/>
        <v>0.97219999999999995</v>
      </c>
      <c r="AB207" s="64" t="e">
        <f>VLOOKUP(A207,Enforcements!$C$7:$K$20,8,0)</f>
        <v>#N/A</v>
      </c>
      <c r="AC207" s="60" t="e">
        <f>VLOOKUP(A207,Enforcements!$C$7:$E$20,3,0)</f>
        <v>#N/A</v>
      </c>
      <c r="AD207" s="61" t="str">
        <f t="shared" si="80"/>
        <v>0842-25</v>
      </c>
      <c r="AE207" s="91" t="str">
        <f t="shared" si="81"/>
        <v>aws s3 cp s3://rtdc.mdm.uploadarchive.raw/RTDC4004/ "%USERPROFILE%\AppData\Local\Temp\OnboardLogs"\RTDC4004\2016-11-25 --exclude "*" --recursive --include "*20161125*" &amp; "%USERPROFILE%\Documents\GitHub\mrs-test-scripts\Headless Mode &amp; Sideloading\WalkAndUnGZ.bat" "%USERPROFILE%\AppData\Local\Temp\OnboardLogs"\RTDC4004\2016-11-25 &amp; aws s3 cp s3://rtdc.mdm.uploadarchive.raw/RTDC4004/ "%USERPROFILE%\AppData\Local\Temp\OnboardLogs"\RTDC4004\2016-11-26 --exclude "*" --recursive --include "*20161126*" &amp; "%USERPROFILE%\Documents\GitHub\mrs-test-scripts\Headless Mode &amp; Sideloading\WalkAndUnGZ.bat" "%USERPROFILE%\AppData\Local\Temp\OnboardLogs"\RTDC4004\2016-11-26</v>
      </c>
      <c r="AF207" s="88" t="str">
        <f t="shared" si="82"/>
        <v>"C:\Program Files (x86)\AstroGrep\AstroGrep.exe" /spath="%USERPROFILE%\AppData\Local\Temp\OnboardLogs" /stypes="app*4004*20161126*" /stext=" 03:.+((SYSTEM_STATE.+slice.+state.+changed )|(ment ac)|(system.+state.+changed )|(\[timeout)|(PRM\|1\|D)|(kpr)|(kdp)|(\|lc)|(penalty))" /e /r /s</v>
      </c>
      <c r="AG207" s="1" t="str">
        <f t="shared" si="83"/>
        <v>NW</v>
      </c>
      <c r="AH207" s="92" t="str">
        <f t="shared" si="84"/>
        <v>"%USERPROFILE%\Documents\GitHub\eaglep3\Utilities\RefineRTDCRunTimes.py" --tripid 842-25 --locoid 4004 --swversion DE.1.0.8.0 --startMP 300:10428 --initTime 2016-11-25T20:51:10 --startdatetime 2016-11-25T20:52:28 --delay 1 --endMP 204:706 --enddatetime 2016-11-25T20:56:23 --enforcementcount 0 &gt;&gt;C:\Users\stu\Documents\GitHub\eaglep3-reporting\EC\2016-11-25-refined-times.txt</v>
      </c>
      <c r="AI207" s="119" t="str">
        <f t="shared" si="85"/>
        <v>echo {"issue":{"subject":"Wi-MAX data drop","project_id":79,"tracker_id":40,"status_id":1,"priority_id":2,"assigned_to_id":23,"start_date":"2016-11-25","description":"","custom_fields":[{"id":1,"name":"Subdivision","value":"NW"},{"id":4,"name":"Milepost","value":"0.0706"},{"id":17,"name":"Train ID","value":"842-25"},{"id":16,"name":"Locomotive ID","value":"4004"},{"id":130,"name":"Impact","value":""},{"id":150,"name":"Time of Event (Mountain Time)","value":"20:56:23"},{"id":151,"name":"Denver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3"/>
      <c r="AK207" s="53"/>
      <c r="AL207" s="53"/>
    </row>
    <row r="208" spans="1:91" x14ac:dyDescent="0.25">
      <c r="A208" s="37" t="s">
        <v>608</v>
      </c>
      <c r="B208" s="7">
        <v>4004</v>
      </c>
      <c r="C208" s="22" t="s">
        <v>217</v>
      </c>
      <c r="D208" s="22" t="s">
        <v>757</v>
      </c>
      <c r="E208" s="13">
        <v>42699.858946759261</v>
      </c>
      <c r="F208" s="13">
        <v>42699.869768518518</v>
      </c>
      <c r="G208" s="7">
        <v>1</v>
      </c>
      <c r="H208" s="22" t="s">
        <v>759</v>
      </c>
      <c r="I208" s="13">
        <v>42699.872488425928</v>
      </c>
      <c r="J208" s="7">
        <v>0</v>
      </c>
      <c r="K208" s="109" t="str">
        <f t="shared" si="69"/>
        <v>4003/4004</v>
      </c>
      <c r="L208" s="22" t="str">
        <f>VLOOKUP(A208,'Trips&amp;Operators'!$C$1:$E$10000,3,FALSE)</f>
        <v>PERKINS</v>
      </c>
      <c r="M208" s="6">
        <f t="shared" si="70"/>
        <v>2.7199074102099985E-3</v>
      </c>
      <c r="N208" s="7"/>
      <c r="O208" s="7"/>
      <c r="P208" s="7"/>
      <c r="Q208" s="23"/>
      <c r="R208" s="23"/>
      <c r="S208" s="35"/>
      <c r="T208" s="50" t="str">
        <f t="shared" si="73"/>
        <v>Southbound</v>
      </c>
      <c r="U208" s="171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0</v>
      </c>
      <c r="V208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https://search-rtdc-monitor-bjffxe2xuh6vdkpspy63sjmuny.us-east-1.es.amazonaws.com/_plugin/kibana/#/discover/Steve-Slow-Train-Analysis-(2080s-and-2083s)?_g=(refreshInterval:(display:Off,section:0,value:0),time:(from:'2016-11-25 19:36:53-700',mode:absolute,to:'2016-11-25 21:56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208" s="52" t="str">
        <f t="shared" si="75"/>
        <v>Y</v>
      </c>
      <c r="X208" s="177">
        <f t="shared" si="76"/>
        <v>0</v>
      </c>
      <c r="Y208" s="67">
        <f t="shared" si="77"/>
        <v>5.8634000000000004</v>
      </c>
      <c r="Z208" s="67">
        <f t="shared" si="78"/>
        <v>1.7736000000000001</v>
      </c>
      <c r="AA208" s="67">
        <f t="shared" si="79"/>
        <v>4.0898000000000003</v>
      </c>
      <c r="AB208" s="64" t="e">
        <f>VLOOKUP(A208,Enforcements!$C$7:$K$20,8,0)</f>
        <v>#N/A</v>
      </c>
      <c r="AC208" s="60" t="e">
        <f>VLOOKUP(A208,Enforcements!$C$7:$E$20,3,0)</f>
        <v>#N/A</v>
      </c>
      <c r="AD208" s="61" t="str">
        <f t="shared" si="80"/>
        <v>0842-25</v>
      </c>
      <c r="AE208" s="91" t="str">
        <f t="shared" si="81"/>
        <v>aws s3 cp s3://rtdc.mdm.uploadarchive.raw/RTDC4004/ "%USERPROFILE%\AppData\Local\Temp\OnboardLogs"\RTDC4004\2016-11-25 --exclude "*" --recursive --include "*20161125*" &amp; "%USERPROFILE%\Documents\GitHub\mrs-test-scripts\Headless Mode &amp; Sideloading\WalkAndUnGZ.bat" "%USERPROFILE%\AppData\Local\Temp\OnboardLogs"\RTDC4004\2016-11-25 &amp; aws s3 cp s3://rtdc.mdm.uploadarchive.raw/RTDC4004/ "%USERPROFILE%\AppData\Local\Temp\OnboardLogs"\RTDC4004\2016-11-26 --exclude "*" --recursive --include "*20161126*" &amp; "%USERPROFILE%\Documents\GitHub\mrs-test-scripts\Headless Mode &amp; Sideloading\WalkAndUnGZ.bat" "%USERPROFILE%\AppData\Local\Temp\OnboardLogs"\RTDC4004\2016-11-26</v>
      </c>
      <c r="AF208" s="88" t="str">
        <f t="shared" si="82"/>
        <v>"C:\Program Files (x86)\AstroGrep\AstroGrep.exe" /spath="%USERPROFILE%\AppData\Local\Temp\OnboardLogs" /stypes="app*4004*20161126*" /stext=" 03:.+((SYSTEM_STATE.+slice.+state.+changed )|(ment ac)|(system.+state.+changed )|(\[timeout)|(PRM\|1\|D)|(kpr)|(kdp)|(\|lc)|(penalty))" /e /r /s</v>
      </c>
      <c r="AG208" s="1" t="str">
        <f t="shared" si="83"/>
        <v>NW</v>
      </c>
      <c r="AH208" s="92" t="str">
        <f t="shared" si="84"/>
        <v>"%USERPROFILE%\Documents\GitHub\eaglep3\Utilities\RefineRTDCRunTimes.py" --tripid 842-25 --locoid 4004 --swversion DE.1.0.8.0 --startMP 300:58634 --initTime 2016-11-25T20:36:53 --startdatetime 2016-11-25T20:52:28 --delay 1 --endMP 300:17736 --enddatetime 2016-11-25T20:56:23 --enforcementcount 0 &gt;&gt;C:\Users\stu\Documents\GitHub\eaglep3-reporting\EC\2016-11-25-refined-times.txt</v>
      </c>
      <c r="AI208" s="119" t="str">
        <f t="shared" si="85"/>
        <v>echo {"issue":{"subject":"","project_id":79,"tracker_id":40,"status_id":1,"priority_id":2,"assigned_to_id":23,"start_date":"2016-11-25","description":"","custom_fields":[{"id":1,"name":"Subdivision","value":"NW"},{"id":4,"name":"Milepost","value":"1.7736"},{"id":17,"name":"Train ID","value":"842-25"},{"id":16,"name":"Locomotive ID","value":"4004"},{"id":130,"name":"Impact","value":""},{"id":150,"name":"Time of Event (Mountain Time)","value":"20:56:23"},{"id":151,"name":"Denver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3"/>
      <c r="AK208" s="53"/>
      <c r="AL208" s="53"/>
    </row>
    <row r="209" spans="1:38" x14ac:dyDescent="0.25">
      <c r="A209" s="37" t="s">
        <v>459</v>
      </c>
      <c r="B209" s="7">
        <v>4003</v>
      </c>
      <c r="C209" s="22" t="s">
        <v>217</v>
      </c>
      <c r="D209" s="22" t="s">
        <v>389</v>
      </c>
      <c r="E209" s="13">
        <v>42699.842812499999</v>
      </c>
      <c r="F209" s="13">
        <v>42699.848182870373</v>
      </c>
      <c r="G209" s="7">
        <v>1</v>
      </c>
      <c r="H209" s="22" t="s">
        <v>395</v>
      </c>
      <c r="I209" s="13">
        <v>42699.857858796298</v>
      </c>
      <c r="J209" s="7">
        <v>1</v>
      </c>
      <c r="K209" s="109" t="str">
        <f t="shared" si="69"/>
        <v>4003/4004</v>
      </c>
      <c r="L209" s="22" t="str">
        <f>VLOOKUP(A209,'Trips&amp;Operators'!$C$1:$E$10000,3,FALSE)</f>
        <v>PERKINS</v>
      </c>
      <c r="M209" s="6">
        <f t="shared" si="70"/>
        <v>9.6759259249665774E-3</v>
      </c>
      <c r="N209" s="7">
        <f t="shared" si="71"/>
        <v>13.933333331951872</v>
      </c>
      <c r="O209" s="7"/>
      <c r="P209" s="7"/>
      <c r="Q209" s="23"/>
      <c r="R209" s="23"/>
      <c r="S209" s="35">
        <f t="shared" si="72"/>
        <v>1</v>
      </c>
      <c r="T209" s="50" t="str">
        <f t="shared" si="73"/>
        <v>NorthBound</v>
      </c>
      <c r="U209" s="171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https://search-rtdc-monitor-bjffxe2xuh6vdkpspy63sjmuny.us-east-1.es.amazonaws.com/_plugin/kibana/#/discover/Steve-Slow-Train-Analysis-(2080s-and-2083s)?_g=(refreshInterval:(display:Off,section:0,value:0),time:(from:'2016-11-25 19:13:39-700',mode:absolute,to:'2016-11-25 21:35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209" s="52" t="str">
        <f t="shared" si="75"/>
        <v>N</v>
      </c>
      <c r="X209" s="177">
        <f t="shared" si="76"/>
        <v>1</v>
      </c>
      <c r="Y209" s="67">
        <f t="shared" si="77"/>
        <v>0.1032</v>
      </c>
      <c r="Z209" s="67">
        <f t="shared" si="78"/>
        <v>5.8954000000000004</v>
      </c>
      <c r="AA209" s="67">
        <f t="shared" si="79"/>
        <v>5.7922000000000002</v>
      </c>
      <c r="AB209" s="64" t="e">
        <f>VLOOKUP(A209,Enforcements!$C$7:$K$20,8,0)</f>
        <v>#N/A</v>
      </c>
      <c r="AC209" s="60" t="e">
        <f>VLOOKUP(A209,Enforcements!$C$7:$E$20,3,0)</f>
        <v>#N/A</v>
      </c>
      <c r="AD209" s="61" t="str">
        <f t="shared" si="80"/>
        <v>0843-25</v>
      </c>
      <c r="AE209" s="91" t="str">
        <f t="shared" si="81"/>
        <v>aws s3 cp s3://rtdc.mdm.uploadarchive.raw/RTDC4003/ "%USERPROFILE%\AppData\Local\Temp\OnboardLogs"\RTDC4003\2016-11-25 --exclude "*" --recursive --include "*20161125*" &amp; "%USERPROFILE%\Documents\GitHub\mrs-test-scripts\Headless Mode &amp; Sideloading\WalkAndUnGZ.bat" "%USERPROFILE%\AppData\Local\Temp\OnboardLogs"\RTDC4003\2016-11-25 &amp; aws s3 cp s3://rtdc.mdm.uploadarchive.raw/RTDC4003/ "%USERPROFILE%\AppData\Local\Temp\OnboardLogs"\RTDC4003\2016-11-26 --exclude "*" --recursive --include "*20161126*" &amp; "%USERPROFILE%\Documents\GitHub\mrs-test-scripts\Headless Mode &amp; Sideloading\WalkAndUnGZ.bat" "%USERPROFILE%\AppData\Local\Temp\OnboardLogs"\RTDC4003\2016-11-26</v>
      </c>
      <c r="AF209" s="88" t="str">
        <f t="shared" si="82"/>
        <v>"C:\Program Files (x86)\AstroGrep\AstroGrep.exe" /spath="%USERPROFILE%\AppData\Local\Temp\OnboardLogs" /stypes="app*4003*20161126*" /stext=" 03:.+((SYSTEM_STATE.+slice.+state.+changed )|(ment ac)|(system.+state.+changed )|(\[timeout)|(PRM\|1\|D)|(kpr)|(kdp)|(\|lc)|(penalty))" /e /r /s</v>
      </c>
      <c r="AG209" s="1" t="str">
        <f t="shared" si="83"/>
        <v>NW</v>
      </c>
      <c r="AH209" s="92" t="str">
        <f t="shared" si="84"/>
        <v>"%USERPROFILE%\Documents\GitHub\eaglep3\Utilities\RefineRTDCRunTimes.py" --tripid 843-25 --locoid 4003 --swversion DE.1.0.8.0 --startMP 204:1032 --initTime 2016-11-25T20:13:39 --startdatetime 2016-11-25T20:21:23 --delay 1 --endMP 300:58954 --enddatetime 2016-11-25T20:35:19 --enforcementcount 1 &gt;&gt;C:\Users\stu\Documents\GitHub\eaglep3-reporting\EC\2016-11-25-refined-times.txt</v>
      </c>
      <c r="AI209" s="119" t="str">
        <f t="shared" si="85"/>
        <v>echo {"issue":{"subject":"","project_id":79,"tracker_id":40,"status_id":1,"priority_id":2,"assigned_to_id":23,"start_date":"2016-11-25","description":"","custom_fields":[{"id":1,"name":"Subdivision","value":"NW"},{"id":4,"name":"Milepost","value":"5.8954"},{"id":17,"name":"Train ID","value":"843-25"},{"id":16,"name":"Locomotive ID","value":"4003"},{"id":130,"name":"Impact","value":""},{"id":150,"name":"Time of Event (Mountain Time)","value":"20:35:19"},{"id":151,"name":"Denver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3"/>
      <c r="AK209" s="53"/>
      <c r="AL209" s="53"/>
    </row>
    <row r="210" spans="1:38" x14ac:dyDescent="0.25">
      <c r="A210" s="37" t="s">
        <v>461</v>
      </c>
      <c r="B210" s="7">
        <v>4004</v>
      </c>
      <c r="C210" s="22" t="s">
        <v>217</v>
      </c>
      <c r="D210" s="22" t="s">
        <v>391</v>
      </c>
      <c r="E210" s="13">
        <v>42699.902037037034</v>
      </c>
      <c r="F210" s="13">
        <v>42699.903310185182</v>
      </c>
      <c r="G210" s="7">
        <v>1</v>
      </c>
      <c r="H210" s="22" t="s">
        <v>401</v>
      </c>
      <c r="I210" s="13">
        <v>42699.913935185185</v>
      </c>
      <c r="J210" s="7">
        <v>1</v>
      </c>
      <c r="K210" s="109" t="str">
        <f t="shared" si="69"/>
        <v>4003/4004</v>
      </c>
      <c r="L210" s="22" t="str">
        <f>VLOOKUP(A210,'Trips&amp;Operators'!$C$1:$E$10000,3,FALSE)</f>
        <v>MAGEE</v>
      </c>
      <c r="M210" s="6">
        <f t="shared" si="70"/>
        <v>1.0625000002619345E-2</v>
      </c>
      <c r="N210" s="7">
        <f t="shared" si="71"/>
        <v>15.300000003771856</v>
      </c>
      <c r="O210" s="7"/>
      <c r="P210" s="7"/>
      <c r="Q210" s="23"/>
      <c r="R210" s="23"/>
      <c r="S210" s="35">
        <f t="shared" si="72"/>
        <v>1</v>
      </c>
      <c r="T210" s="50" t="str">
        <f t="shared" si="73"/>
        <v>Southbound</v>
      </c>
      <c r="U210" s="171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https://search-rtdc-monitor-bjffxe2xuh6vdkpspy63sjmuny.us-east-1.es.amazonaws.com/_plugin/kibana/#/discover/Steve-Slow-Train-Analysis-(2080s-and-2083s)?_g=(refreshInterval:(display:Off,section:0,value:0),time:(from:'2016-11-25 20:38:56-700',mode:absolute,to:'2016-11-25 22:56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210" s="52" t="str">
        <f t="shared" si="75"/>
        <v>N</v>
      </c>
      <c r="X210" s="177">
        <f t="shared" si="76"/>
        <v>1</v>
      </c>
      <c r="Y210" s="67">
        <f t="shared" si="77"/>
        <v>5.8609</v>
      </c>
      <c r="Z210" s="67">
        <f t="shared" si="78"/>
        <v>6.7799999999999999E-2</v>
      </c>
      <c r="AA210" s="67">
        <f t="shared" si="79"/>
        <v>5.7930999999999999</v>
      </c>
      <c r="AB210" s="64" t="e">
        <f>VLOOKUP(A210,Enforcements!$C$7:$K$20,8,0)</f>
        <v>#N/A</v>
      </c>
      <c r="AC210" s="60" t="e">
        <f>VLOOKUP(A210,Enforcements!$C$7:$E$20,3,0)</f>
        <v>#N/A</v>
      </c>
      <c r="AD210" s="61" t="str">
        <f t="shared" si="80"/>
        <v>0844-25</v>
      </c>
      <c r="AE210" s="91" t="str">
        <f t="shared" si="81"/>
        <v>aws s3 cp s3://rtdc.mdm.uploadarchive.raw/RTDC4004/ "%USERPROFILE%\AppData\Local\Temp\OnboardLogs"\RTDC4004\2016-11-25 --exclude "*" --recursive --include "*20161125*" &amp; "%USERPROFILE%\Documents\GitHub\mrs-test-scripts\Headless Mode &amp; Sideloading\WalkAndUnGZ.bat" "%USERPROFILE%\AppData\Local\Temp\OnboardLogs"\RTDC4004\2016-11-25 &amp; aws s3 cp s3://rtdc.mdm.uploadarchive.raw/RTDC4004/ "%USERPROFILE%\AppData\Local\Temp\OnboardLogs"\RTDC4004\2016-11-26 --exclude "*" --recursive --include "*20161126*" &amp; "%USERPROFILE%\Documents\GitHub\mrs-test-scripts\Headless Mode &amp; Sideloading\WalkAndUnGZ.bat" "%USERPROFILE%\AppData\Local\Temp\OnboardLogs"\RTDC4004\2016-11-26</v>
      </c>
      <c r="AF210" s="88" t="str">
        <f t="shared" si="82"/>
        <v>"C:\Program Files (x86)\AstroGrep\AstroGrep.exe" /spath="%USERPROFILE%\AppData\Local\Temp\OnboardLogs" /stypes="app*4004*20161126*" /stext=" 04:.+((SYSTEM_STATE.+slice.+state.+changed )|(ment ac)|(system.+state.+changed )|(\[timeout)|(PRM\|1\|D)|(kpr)|(kdp)|(\|lc)|(penalty))" /e /r /s</v>
      </c>
      <c r="AG210" s="1" t="str">
        <f t="shared" si="83"/>
        <v>NW</v>
      </c>
      <c r="AH210" s="92" t="str">
        <f t="shared" si="84"/>
        <v>"%USERPROFILE%\Documents\GitHub\eaglep3\Utilities\RefineRTDCRunTimes.py" --tripid 844-25 --locoid 4004 --swversion DE.1.0.8.0 --startMP 300:58609 --initTime 2016-11-25T21:38:56 --startdatetime 2016-11-25T21:40:46 --delay 1 --endMP 204:678 --enddatetime 2016-11-25T21:56:04 --enforcementcount 1 &gt;&gt;C:\Users\stu\Documents\GitHub\eaglep3-reporting\EC\2016-11-25-refined-times.txt</v>
      </c>
      <c r="AI210" s="119" t="str">
        <f t="shared" si="85"/>
        <v>echo {"issue":{"subject":"","project_id":79,"tracker_id":40,"status_id":1,"priority_id":2,"assigned_to_id":23,"start_date":"2016-11-25","description":"","custom_fields":[{"id":1,"name":"Subdivision","value":"NW"},{"id":4,"name":"Milepost","value":"0.0678"},{"id":17,"name":"Train ID","value":"844-25"},{"id":16,"name":"Locomotive ID","value":"4004"},{"id":130,"name":"Impact","value":""},{"id":150,"name":"Time of Event (Mountain Time)","value":"21:56:04"},{"id":151,"name":"Denver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3"/>
      <c r="AK210" s="53"/>
      <c r="AL210" s="53"/>
    </row>
    <row r="211" spans="1:38" x14ac:dyDescent="0.25">
      <c r="A211" s="37" t="s">
        <v>610</v>
      </c>
      <c r="B211" s="7">
        <v>4003</v>
      </c>
      <c r="C211" s="22" t="s">
        <v>217</v>
      </c>
      <c r="D211" s="22" t="s">
        <v>729</v>
      </c>
      <c r="E211" s="13">
        <v>42699.875787037039</v>
      </c>
      <c r="F211" s="13">
        <v>42699.890057870369</v>
      </c>
      <c r="G211" s="7">
        <v>2</v>
      </c>
      <c r="H211" s="22" t="s">
        <v>403</v>
      </c>
      <c r="I211" s="13">
        <v>42699.900787037041</v>
      </c>
      <c r="J211" s="7">
        <v>0</v>
      </c>
      <c r="K211" s="109" t="str">
        <f t="shared" si="69"/>
        <v>4003/4004</v>
      </c>
      <c r="L211" s="22" t="str">
        <f>VLOOKUP(A211,'Trips&amp;Operators'!$C$1:$E$10000,3,FALSE)</f>
        <v>MAGEE</v>
      </c>
      <c r="M211" s="6">
        <f t="shared" si="70"/>
        <v>1.0729166671808343E-2</v>
      </c>
      <c r="N211" s="7">
        <f t="shared" si="71"/>
        <v>15.450000007404014</v>
      </c>
      <c r="O211" s="7"/>
      <c r="P211" s="7"/>
      <c r="Q211" s="23"/>
      <c r="R211" s="23"/>
      <c r="S211" s="35">
        <f t="shared" si="72"/>
        <v>1</v>
      </c>
      <c r="T211" s="50" t="str">
        <f t="shared" si="73"/>
        <v>NorthBound</v>
      </c>
      <c r="U211" s="171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https://search-rtdc-monitor-bjffxe2xuh6vdkpspy63sjmuny.us-east-1.es.amazonaws.com/_plugin/kibana/#/discover/Steve-Slow-Train-Analysis-(2080s-and-2083s)?_g=(refreshInterval:(display:Off,section:0,value:0),time:(from:'2016-11-25 20:01:08-700',mode:absolute,to:'2016-11-25 22:37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211" s="52" t="str">
        <f t="shared" si="75"/>
        <v>N</v>
      </c>
      <c r="X211" s="177">
        <f t="shared" si="76"/>
        <v>1</v>
      </c>
      <c r="Y211" s="67">
        <f t="shared" si="77"/>
        <v>0.10199999999999999</v>
      </c>
      <c r="Z211" s="67">
        <f t="shared" si="78"/>
        <v>5.8921999999999999</v>
      </c>
      <c r="AA211" s="67">
        <f t="shared" si="79"/>
        <v>5.7901999999999996</v>
      </c>
      <c r="AB211" s="64" t="e">
        <f>VLOOKUP(A211,Enforcements!$C$7:$K$20,8,0)</f>
        <v>#N/A</v>
      </c>
      <c r="AC211" s="60" t="e">
        <f>VLOOKUP(A211,Enforcements!$C$7:$E$20,3,0)</f>
        <v>#N/A</v>
      </c>
      <c r="AD211" s="61" t="str">
        <f t="shared" si="80"/>
        <v>0845-25</v>
      </c>
      <c r="AE211" s="91" t="str">
        <f t="shared" si="81"/>
        <v>aws s3 cp s3://rtdc.mdm.uploadarchive.raw/RTDC4003/ "%USERPROFILE%\AppData\Local\Temp\OnboardLogs"\RTDC4003\2016-11-25 --exclude "*" --recursive --include "*20161125*" &amp; "%USERPROFILE%\Documents\GitHub\mrs-test-scripts\Headless Mode &amp; Sideloading\WalkAndUnGZ.bat" "%USERPROFILE%\AppData\Local\Temp\OnboardLogs"\RTDC4003\2016-11-25 &amp; aws s3 cp s3://rtdc.mdm.uploadarchive.raw/RTDC4003/ "%USERPROFILE%\AppData\Local\Temp\OnboardLogs"\RTDC4003\2016-11-26 --exclude "*" --recursive --include "*20161126*" &amp; "%USERPROFILE%\Documents\GitHub\mrs-test-scripts\Headless Mode &amp; Sideloading\WalkAndUnGZ.bat" "%USERPROFILE%\AppData\Local\Temp\OnboardLogs"\RTDC4003\2016-11-26</v>
      </c>
      <c r="AF211" s="88" t="str">
        <f t="shared" si="82"/>
        <v>"C:\Program Files (x86)\AstroGrep\AstroGrep.exe" /spath="%USERPROFILE%\AppData\Local\Temp\OnboardLogs" /stypes="app*4003*20161126*" /stext=" 04:.+((SYSTEM_STATE.+slice.+state.+changed )|(ment ac)|(system.+state.+changed )|(\[timeout)|(PRM\|1\|D)|(kpr)|(kdp)|(\|lc)|(penalty))" /e /r /s</v>
      </c>
      <c r="AG211" s="1" t="str">
        <f t="shared" si="83"/>
        <v>NW</v>
      </c>
      <c r="AH211" s="92" t="str">
        <f t="shared" si="84"/>
        <v>"%USERPROFILE%\Documents\GitHub\eaglep3\Utilities\RefineRTDCRunTimes.py" --tripid 845-25 --locoid 4003 --swversion DE.1.0.8.0 --startMP 204:1020 --initTime 2016-11-25T21:01:08 --startdatetime 2016-11-25T21:21:41 --delay 2 --endMP 300:58922 --enddatetime 2016-11-25T21:37:08 --enforcementcount 0 &gt;&gt;C:\Users\stu\Documents\GitHub\eaglep3-reporting\EC\2016-11-25-refined-times.txt</v>
      </c>
      <c r="AI211" s="119" t="str">
        <f t="shared" si="85"/>
        <v>echo {"issue":{"subject":"","project_id":79,"tracker_id":40,"status_id":1,"priority_id":2,"assigned_to_id":23,"start_date":"2016-11-25","description":"","custom_fields":[{"id":1,"name":"Subdivision","value":"NW"},{"id":4,"name":"Milepost","value":"5.8922"},{"id":17,"name":"Train ID","value":"845-25"},{"id":16,"name":"Locomotive ID","value":"4003"},{"id":130,"name":"Impact","value":""},{"id":150,"name":"Time of Event (Mountain Time)","value":"21:37:08"},{"id":151,"name":"Denver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3"/>
      <c r="AK211" s="53"/>
      <c r="AL211" s="53"/>
    </row>
    <row r="212" spans="1:38" x14ac:dyDescent="0.25">
      <c r="A212" s="37" t="s">
        <v>615</v>
      </c>
      <c r="B212" s="7">
        <v>4003</v>
      </c>
      <c r="C212" s="22" t="s">
        <v>217</v>
      </c>
      <c r="D212" s="22" t="s">
        <v>760</v>
      </c>
      <c r="E212" s="13">
        <v>42699.917604166665</v>
      </c>
      <c r="F212" s="13">
        <v>42699.931435185186</v>
      </c>
      <c r="G212" s="7">
        <v>1</v>
      </c>
      <c r="H212" s="22" t="s">
        <v>761</v>
      </c>
      <c r="I212" s="13">
        <v>42699.940972222219</v>
      </c>
      <c r="J212" s="7">
        <v>0</v>
      </c>
      <c r="K212" s="109" t="str">
        <f t="shared" si="69"/>
        <v>4003/4004</v>
      </c>
      <c r="L212" s="22" t="str">
        <f>VLOOKUP(A212,'Trips&amp;Operators'!$C$1:$E$10000,3,FALSE)</f>
        <v>MAGEE</v>
      </c>
      <c r="M212" s="6">
        <f t="shared" si="70"/>
        <v>9.5370370327145793E-3</v>
      </c>
      <c r="N212" s="7">
        <f t="shared" si="71"/>
        <v>13.733333327108994</v>
      </c>
      <c r="O212" s="7"/>
      <c r="P212" s="7"/>
      <c r="Q212" s="23"/>
      <c r="R212" s="23"/>
      <c r="S212" s="35">
        <f t="shared" si="72"/>
        <v>1</v>
      </c>
      <c r="T212" s="50" t="str">
        <f t="shared" si="73"/>
        <v>NorthBound</v>
      </c>
      <c r="U212" s="171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https://search-rtdc-monitor-bjffxe2xuh6vdkpspy63sjmuny.us-east-1.es.amazonaws.com/_plugin/kibana/#/discover/Steve-Slow-Train-Analysis-(2080s-and-2083s)?_g=(refreshInterval:(display:Off,section:0,value:0),time:(from:'2016-11-25 21:01:21-700',mode:absolute,to:'2016-11-25 23:35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212" s="52" t="str">
        <f t="shared" si="75"/>
        <v>N</v>
      </c>
      <c r="X212" s="177">
        <f t="shared" si="76"/>
        <v>2</v>
      </c>
      <c r="Y212" s="67">
        <f t="shared" si="77"/>
        <v>9.5699999999999993E-2</v>
      </c>
      <c r="Z212" s="67">
        <f t="shared" si="78"/>
        <v>5.8914</v>
      </c>
      <c r="AA212" s="67">
        <f t="shared" si="79"/>
        <v>5.7957000000000001</v>
      </c>
      <c r="AB212" s="64" t="e">
        <f>VLOOKUP(A212,Enforcements!$C$7:$K$20,8,0)</f>
        <v>#N/A</v>
      </c>
      <c r="AC212" s="60" t="e">
        <f>VLOOKUP(A212,Enforcements!$C$7:$E$20,3,0)</f>
        <v>#N/A</v>
      </c>
      <c r="AD212" s="61" t="str">
        <f t="shared" si="80"/>
        <v>0847-25</v>
      </c>
      <c r="AE212" s="91" t="str">
        <f t="shared" si="81"/>
        <v>aws s3 cp s3://rtdc.mdm.uploadarchive.raw/RTDC4003/ "%USERPROFILE%\AppData\Local\Temp\OnboardLogs"\RTDC4003\2016-11-25 --exclude "*" --recursive --include "*20161125*" &amp; "%USERPROFILE%\Documents\GitHub\mrs-test-scripts\Headless Mode &amp; Sideloading\WalkAndUnGZ.bat" "%USERPROFILE%\AppData\Local\Temp\OnboardLogs"\RTDC4003\2016-11-25 &amp; aws s3 cp s3://rtdc.mdm.uploadarchive.raw/RTDC4003/ "%USERPROFILE%\AppData\Local\Temp\OnboardLogs"\RTDC4003\2016-11-26 --exclude "*" --recursive --include "*20161126*" &amp; "%USERPROFILE%\Documents\GitHub\mrs-test-scripts\Headless Mode &amp; Sideloading\WalkAndUnGZ.bat" "%USERPROFILE%\AppData\Local\Temp\OnboardLogs"\RTDC4003\2016-11-26</v>
      </c>
      <c r="AF212" s="88" t="str">
        <f t="shared" si="82"/>
        <v>"C:\Program Files (x86)\AstroGrep\AstroGrep.exe" /spath="%USERPROFILE%\AppData\Local\Temp\OnboardLogs" /stypes="app*4003*20161126*" /stext=" 05:.+((SYSTEM_STATE.+slice.+state.+changed )|(ment ac)|(system.+state.+changed )|(\[timeout)|(PRM\|1\|D)|(kpr)|(kdp)|(\|lc)|(penalty))" /e /r /s</v>
      </c>
      <c r="AG212" s="1" t="str">
        <f t="shared" si="83"/>
        <v>NW</v>
      </c>
      <c r="AH212" s="92" t="str">
        <f t="shared" si="84"/>
        <v>"%USERPROFILE%\Documents\GitHub\eaglep3\Utilities\RefineRTDCRunTimes.py" --tripid 847-25 --locoid 4003 --swversion DE.1.0.8.0 --startMP 204:957 --initTime 2016-11-25T22:01:21 --startdatetime 2016-11-25T22:21:16 --delay 1 --endMP 300:58914 --enddatetime 2016-11-25T22:35:00 --enforcementcount 0 &gt;&gt;C:\Users\stu\Documents\GitHub\eaglep3-reporting\EC\2016-11-25-refined-times.txt</v>
      </c>
      <c r="AI212" s="119" t="str">
        <f t="shared" si="85"/>
        <v>echo {"issue":{"subject":"","project_id":79,"tracker_id":40,"status_id":1,"priority_id":2,"assigned_to_id":23,"start_date":"2016-11-25","description":"","custom_fields":[{"id":1,"name":"Subdivision","value":"NW"},{"id":4,"name":"Milepost","value":"5.8914"},{"id":17,"name":"Train ID","value":"847-25"},{"id":16,"name":"Locomotive ID","value":"4003"},{"id":130,"name":"Impact","value":""},{"id":150,"name":"Time of Event (Mountain Time)","value":"22:35:00"},{"id":151,"name":"Denver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3"/>
      <c r="AK212" s="53"/>
      <c r="AL212" s="53"/>
    </row>
    <row r="213" spans="1:38" x14ac:dyDescent="0.25">
      <c r="A213" s="37" t="s">
        <v>464</v>
      </c>
      <c r="B213" s="7">
        <v>4032</v>
      </c>
      <c r="C213" s="22" t="s">
        <v>217</v>
      </c>
      <c r="D213" s="22" t="s">
        <v>675</v>
      </c>
      <c r="E213" s="13">
        <v>42699.120532407411</v>
      </c>
      <c r="F213" s="13">
        <v>42699.123229166667</v>
      </c>
      <c r="G213" s="7">
        <v>3</v>
      </c>
      <c r="H213" s="22" t="s">
        <v>224</v>
      </c>
      <c r="I213" s="13">
        <v>42699.128657407404</v>
      </c>
      <c r="J213" s="7">
        <v>0</v>
      </c>
      <c r="K213" s="109" t="str">
        <f t="shared" si="69"/>
        <v>4031/4032</v>
      </c>
      <c r="L213" s="22" t="str">
        <f>VLOOKUP(A213,'Trips&amp;Operators'!$C$1:$E$10000,3,FALSE)</f>
        <v>MAELZER</v>
      </c>
      <c r="M213" s="6">
        <f t="shared" si="70"/>
        <v>5.428240736364387E-3</v>
      </c>
      <c r="N213" s="7">
        <f t="shared" si="71"/>
        <v>7.8166666603647172</v>
      </c>
      <c r="O213" s="7"/>
      <c r="P213" s="7"/>
      <c r="Q213" s="23"/>
      <c r="R213" s="23"/>
      <c r="S213" s="35">
        <f t="shared" si="72"/>
        <v>1</v>
      </c>
      <c r="T213" s="50" t="str">
        <f t="shared" si="73"/>
        <v>Southbound</v>
      </c>
      <c r="U213" s="171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https://search-rtdc-monitor-bjffxe2xuh6vdkpspy63sjmuny.us-east-1.es.amazonaws.com/_plugin/kibana/#/discover/Steve-Slow-Train-Analysis-(2080s-and-2083s)?_g=(refreshInterval:(display:Off,section:0,value:0),time:(from:'2016-11-25 01:53:34-700',mode:absolute,to:'2016-11-25 04:05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213" s="52" t="str">
        <f t="shared" si="75"/>
        <v>Y</v>
      </c>
      <c r="X213" s="177">
        <f t="shared" si="76"/>
        <v>-545</v>
      </c>
      <c r="Y213" s="67">
        <f t="shared" si="77"/>
        <v>2.1461999999999999</v>
      </c>
      <c r="Z213" s="67">
        <f t="shared" si="78"/>
        <v>1.4999999999999999E-2</v>
      </c>
      <c r="AA213" s="67">
        <f t="shared" si="79"/>
        <v>2.1311999999999998</v>
      </c>
      <c r="AB213" s="64" t="e">
        <f>VLOOKUP(A213,Enforcements!$C$7:$K$20,8,0)</f>
        <v>#N/A</v>
      </c>
      <c r="AC213" s="60" t="e">
        <f>VLOOKUP(A213,Enforcements!$C$7:$E$20,3,0)</f>
        <v>#N/A</v>
      </c>
      <c r="AD213" s="61" t="str">
        <f t="shared" si="80"/>
        <v>0302-25</v>
      </c>
      <c r="AE213" s="91" t="str">
        <f t="shared" si="81"/>
        <v>aws s3 cp s3://rtdc.mdm.uploadarchive.raw/RTDC4032/ "%USERPROFILE%\AppData\Local\Temp\OnboardLogs"\RTDC4032\2016-11-25 --exclude "*" --recursive --include "*20161125*" &amp; "%USERPROFILE%\Documents\GitHub\mrs-test-scripts\Headless Mode &amp; Sideloading\WalkAndUnGZ.bat" "%USERPROFILE%\AppData\Local\Temp\OnboardLogs"\RTDC4032\2016-11-25 &amp; aws s3 cp s3://rtdc.mdm.uploadarchive.raw/RTDC4032/ "%USERPROFILE%\AppData\Local\Temp\OnboardLogs"\RTDC4032\2016-11-26 --exclude "*" --recursive --include "*20161126*" &amp; "%USERPROFILE%\Documents\GitHub\mrs-test-scripts\Headless Mode &amp; Sideloading\WalkAndUnGZ.bat" "%USERPROFILE%\AppData\Local\Temp\OnboardLogs"\RTDC4032\2016-11-26</v>
      </c>
      <c r="AF213" s="88" t="str">
        <f t="shared" si="82"/>
        <v>"C:\Program Files (x86)\AstroGrep\AstroGrep.exe" /spath="%USERPROFILE%\AppData\Local\Temp\OnboardLogs" /stypes="app*4032*20161125*" /stext=" 10:.+((SYSTEM_STATE.+slice.+state.+changed )|(ment ac)|(system.+state.+changed )|(\[timeout)|(PRM\|1\|D)|(kpr)|(kdp)|(\|lc)|(penalty))" /e /r /s</v>
      </c>
      <c r="AG213" s="1" t="str">
        <f t="shared" si="83"/>
        <v>Other</v>
      </c>
      <c r="AH213" s="92" t="str">
        <f t="shared" si="84"/>
        <v>"%USERPROFILE%\Documents\GitHub\eaglep3\Utilities\RefineRTDCRunTimes.py" --tripid 302-25 --locoid 4032 --swversion DE.1.0.8.0 --startMP 300:21462 --initTime 2016-11-25T02:53:34 --startdatetime 2016-11-25T02:57:27 --delay 3 --endMP 204:150 --enddatetime 2016-11-25T03:05:16 --enforcementcount 0 &gt;&gt;C:\Users\stu\Documents\GitHub\eaglep3-reporting\EC\2016-11-25-refined-times.txt</v>
      </c>
      <c r="AI213" s="119" t="str">
        <f t="shared" si="85"/>
        <v>echo {"issue":{"subject":"","project_id":79,"tracker_id":40,"status_id":1,"priority_id":2,"assigned_to_id":23,"start_date":"2016-11-25","description":"","custom_fields":[{"id":1,"name":"Subdivision","value":"Other"},{"id":4,"name":"Milepost","value":"0.015"},{"id":17,"name":"Train ID","value":"302-25"},{"id":16,"name":"Locomotive ID","value":"4032"},{"id":130,"name":"Impact","value":""},{"id":150,"name":"Time of Event (Mountain Time)","value":"03:05:16"},{"id":151,"name":"Denver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3"/>
      <c r="AK213" s="53"/>
      <c r="AL213" s="53"/>
    </row>
    <row r="214" spans="1:38" x14ac:dyDescent="0.25">
      <c r="A214" s="37" t="s">
        <v>594</v>
      </c>
      <c r="B214" s="7">
        <v>4009</v>
      </c>
      <c r="C214" s="22" t="s">
        <v>217</v>
      </c>
      <c r="D214" s="22" t="s">
        <v>653</v>
      </c>
      <c r="E214" s="13">
        <v>42699.783043981479</v>
      </c>
      <c r="F214" s="13">
        <v>25568.708333333332</v>
      </c>
      <c r="G214" s="7">
        <v>1</v>
      </c>
      <c r="H214" s="22" t="s">
        <v>308</v>
      </c>
      <c r="I214" s="13">
        <v>25568.708333333332</v>
      </c>
      <c r="J214" s="7">
        <v>0</v>
      </c>
      <c r="K214" s="109" t="str">
        <f t="shared" si="69"/>
        <v>4009/4010</v>
      </c>
      <c r="L214" s="22" t="str">
        <f>VLOOKUP(A214,'Trips&amp;Operators'!$C$1:$E$10000,3,FALSE)</f>
        <v>MOSES</v>
      </c>
      <c r="M214" s="6">
        <f t="shared" si="70"/>
        <v>0</v>
      </c>
      <c r="N214" s="7">
        <f t="shared" si="71"/>
        <v>0</v>
      </c>
      <c r="O214" s="7"/>
      <c r="P214" s="7"/>
      <c r="Q214" s="23"/>
      <c r="R214" s="23"/>
      <c r="S214" s="35">
        <f t="shared" si="72"/>
        <v>1</v>
      </c>
      <c r="T214" s="50" t="str">
        <f t="shared" si="73"/>
        <v>NorthBound</v>
      </c>
      <c r="U214" s="171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https://search-rtdc-monitor-bjffxe2xuh6vdkpspy63sjmuny.us-east-1.es.amazonaws.com/_plugin/kibana/#/discover/Steve-Slow-Train-Analysis-(2080s-and-2083s)?_g=(refreshInterval:(display:Off,section:0,value:0),time:(from:'2016-11-25 17:47:35-700',mode:absolute,to:'1969-12-31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214" s="52" t="str">
        <f t="shared" si="75"/>
        <v>Y</v>
      </c>
      <c r="X214" s="177">
        <f t="shared" si="76"/>
        <v>1</v>
      </c>
      <c r="Y214" s="67">
        <f t="shared" si="77"/>
        <v>4.9099999999999998E-2</v>
      </c>
      <c r="Z214" s="67">
        <f t="shared" si="78"/>
        <v>2.3298999999999999</v>
      </c>
      <c r="AA214" s="67">
        <f t="shared" si="79"/>
        <v>2.2807999999999997</v>
      </c>
      <c r="AB214" s="64" t="e">
        <f>VLOOKUP(A214,Enforcements!$C$7:$K$20,8,0)</f>
        <v>#N/A</v>
      </c>
      <c r="AC214" s="60" t="e">
        <f>VLOOKUP(A214,Enforcements!$C$7:$E$20,3,0)</f>
        <v>#N/A</v>
      </c>
      <c r="AD214" s="61" t="str">
        <f t="shared" si="80"/>
        <v>0303-25</v>
      </c>
      <c r="AE214" s="91" t="str">
        <f t="shared" si="81"/>
        <v>aws s3 cp s3://rtdc.mdm.uploadarchive.raw/RTDC4009/ "%USERPROFILE%\AppData\Local\Temp\OnboardLogs"\RTDC4009\1969-12-31 --exclude "*" --recursive --include "*19691231*" &amp; "%USERPROFILE%\Documents\GitHub\mrs-test-scripts\Headless Mode &amp; Sideloading\WalkAndUnGZ.bat" "%USERPROFILE%\AppData\Local\Temp\OnboardLogs"\RTDC4009\1969-12-31 &amp; aws s3 cp s3://rtdc.mdm.uploadarchive.raw/RTDC4009/ "%USERPROFILE%\AppData\Local\Temp\OnboardLogs"\RTDC4009\1970-01-01 --exclude "*" --recursive --include "*19700101*" &amp; "%USERPROFILE%\Documents\GitHub\mrs-test-scripts\Headless Mode &amp; Sideloading\WalkAndUnGZ.bat" "%USERPROFILE%\AppData\Local\Temp\OnboardLogs"\RTDC4009\1970-01-01</v>
      </c>
      <c r="AF214" s="88" t="str">
        <f t="shared" si="82"/>
        <v>"C:\Program Files (x86)\AstroGrep\AstroGrep.exe" /spath="%USERPROFILE%\AppData\Local\Temp\OnboardLogs" /stypes="app*4009*19700101*" /stext=" 00:.+((SYSTEM_STATE.+slice.+state.+changed )|(ment ac)|(system.+state.+changed )|(\[timeout)|(PRM\|1\|D)|(kpr)|(kdp)|(\|lc)|(penalty))" /e /r /s</v>
      </c>
      <c r="AG214" s="1" t="str">
        <f t="shared" si="83"/>
        <v>Other</v>
      </c>
      <c r="AH214" s="92" t="str">
        <f t="shared" si="84"/>
        <v>"%USERPROFILE%\Documents\GitHub\eaglep3\Utilities\RefineRTDCRunTimes.py" --tripid 303-25 --locoid 4009 --swversion DE.1.0.8.0 --startMP 204:491 --initTime 2016-11-25T18:47:35 --startdatetime 1969-12-31T17:00:00 --delay 1 --endMP 300:23299 --enddatetime 1969-12-31T17:00:00 --enforcementcount 0 &gt;&gt;C:\Users\stu\Documents\GitHub\eaglep3-reporting\EC\2016-11-25-refined-times.txt</v>
      </c>
      <c r="AI214" s="119" t="str">
        <f t="shared" si="85"/>
        <v>echo {"issue":{"subject":"","project_id":79,"tracker_id":40,"status_id":1,"priority_id":2,"assigned_to_id":23,"start_date":"1969-12-31","description":"","custom_fields":[{"id":1,"name":"Subdivision","value":"Other"},{"id":4,"name":"Milepost","value":"2.3299"},{"id":17,"name":"Train ID","value":"303-25"},{"id":16,"name":"Locomotive ID","value":"4009"},{"id":130,"name":"Impact","value":""},{"id":150,"name":"Time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3"/>
      <c r="AK214" s="53"/>
      <c r="AL214" s="53"/>
    </row>
    <row r="215" spans="1:38" x14ac:dyDescent="0.25">
      <c r="A215" s="37" t="s">
        <v>467</v>
      </c>
      <c r="B215" s="7">
        <v>4012</v>
      </c>
      <c r="C215" s="22" t="s">
        <v>217</v>
      </c>
      <c r="D215" s="22" t="s">
        <v>676</v>
      </c>
      <c r="E215" s="13">
        <v>42699.144282407404</v>
      </c>
      <c r="F215" s="13">
        <v>42699.145428240743</v>
      </c>
      <c r="G215" s="7">
        <v>1</v>
      </c>
      <c r="H215" s="22" t="s">
        <v>655</v>
      </c>
      <c r="I215" s="13">
        <v>42699.151805555557</v>
      </c>
      <c r="J215" s="7">
        <v>0</v>
      </c>
      <c r="K215" s="109" t="str">
        <f t="shared" si="69"/>
        <v>4011/4012</v>
      </c>
      <c r="L215" s="22" t="str">
        <f>VLOOKUP(A215,'Trips&amp;Operators'!$C$1:$E$10000,3,FALSE)</f>
        <v>DAVIS</v>
      </c>
      <c r="M215" s="6">
        <f t="shared" si="70"/>
        <v>6.3773148140171543E-3</v>
      </c>
      <c r="N215" s="7">
        <f t="shared" si="71"/>
        <v>9.1833333321847022</v>
      </c>
      <c r="O215" s="7"/>
      <c r="P215" s="7"/>
      <c r="Q215" s="23"/>
      <c r="R215" s="23"/>
      <c r="S215" s="35">
        <f t="shared" si="72"/>
        <v>1</v>
      </c>
      <c r="T215" s="50" t="str">
        <f t="shared" si="73"/>
        <v>Southbound</v>
      </c>
      <c r="U215" s="171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https://search-rtdc-monitor-bjffxe2xuh6vdkpspy63sjmuny.us-east-1.es.amazonaws.com/_plugin/kibana/#/discover/Steve-Slow-Train-Analysis-(2080s-and-2083s)?_g=(refreshInterval:(display:Off,section:0,value:0),time:(from:'2016-11-25 02:27:46-700',mode:absolute,to:'2016-11-25 04:38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215" s="52" t="str">
        <f t="shared" si="75"/>
        <v>Y</v>
      </c>
      <c r="X215" s="177">
        <f t="shared" si="76"/>
        <v>1</v>
      </c>
      <c r="Y215" s="67">
        <f t="shared" si="77"/>
        <v>2.3325999999999998</v>
      </c>
      <c r="Z215" s="67">
        <f t="shared" si="78"/>
        <v>1.2999999999999999E-2</v>
      </c>
      <c r="AA215" s="67">
        <f t="shared" si="79"/>
        <v>2.3195999999999999</v>
      </c>
      <c r="AB215" s="64" t="e">
        <f>VLOOKUP(A215,Enforcements!$C$7:$K$20,8,0)</f>
        <v>#N/A</v>
      </c>
      <c r="AC215" s="60" t="e">
        <f>VLOOKUP(A215,Enforcements!$C$7:$E$20,3,0)</f>
        <v>#N/A</v>
      </c>
      <c r="AD215" s="61" t="str">
        <f t="shared" si="80"/>
        <v>0304-25</v>
      </c>
      <c r="AE215" s="91" t="str">
        <f t="shared" si="81"/>
        <v>aws s3 cp s3://rtdc.mdm.uploadarchive.raw/RTDC4012/ "%USERPROFILE%\AppData\Local\Temp\OnboardLogs"\RTDC4012\2016-11-25 --exclude "*" --recursive --include "*20161125*" &amp; "%USERPROFILE%\Documents\GitHub\mrs-test-scripts\Headless Mode &amp; Sideloading\WalkAndUnGZ.bat" "%USERPROFILE%\AppData\Local\Temp\OnboardLogs"\RTDC4012\2016-11-25 &amp; aws s3 cp s3://rtdc.mdm.uploadarchive.raw/RTDC4012/ "%USERPROFILE%\AppData\Local\Temp\OnboardLogs"\RTDC4012\2016-11-26 --exclude "*" --recursive --include "*20161126*" &amp; "%USERPROFILE%\Documents\GitHub\mrs-test-scripts\Headless Mode &amp; Sideloading\WalkAndUnGZ.bat" "%USERPROFILE%\AppData\Local\Temp\OnboardLogs"\RTDC4012\2016-11-26</v>
      </c>
      <c r="AF215" s="88" t="str">
        <f t="shared" si="82"/>
        <v>"C:\Program Files (x86)\AstroGrep\AstroGrep.exe" /spath="%USERPROFILE%\AppData\Local\Temp\OnboardLogs" /stypes="app*4012*20161125*" /stext=" 10:.+((SYSTEM_STATE.+slice.+state.+changed )|(ment ac)|(system.+state.+changed )|(\[timeout)|(PRM\|1\|D)|(kpr)|(kdp)|(\|lc)|(penalty))" /e /r /s</v>
      </c>
      <c r="AG215" s="1" t="str">
        <f t="shared" si="83"/>
        <v>Other</v>
      </c>
      <c r="AH215" s="92" t="str">
        <f t="shared" si="84"/>
        <v>"%USERPROFILE%\Documents\GitHub\eaglep3\Utilities\RefineRTDCRunTimes.py" --tripid 304-25 --locoid 4012 --swversion DE.1.0.8.0 --startMP 300:23326 --initTime 2016-11-25T03:27:46 --startdatetime 2016-11-25T03:29:25 --delay 1 --endMP 204:130 --enddatetime 2016-11-25T03:38:36 --enforcementcount 0 &gt;&gt;C:\Users\stu\Documents\GitHub\eaglep3-reporting\EC\2016-11-25-refined-times.txt</v>
      </c>
      <c r="AI215" s="119" t="str">
        <f t="shared" si="85"/>
        <v>echo {"issue":{"subject":"","project_id":79,"tracker_id":40,"status_id":1,"priority_id":2,"assigned_to_id":23,"start_date":"2016-11-25","description":"","custom_fields":[{"id":1,"name":"Subdivision","value":"Other"},{"id":4,"name":"Milepost","value":"0.013"},{"id":17,"name":"Train ID","value":"304-25"},{"id":16,"name":"Locomotive ID","value":"4012"},{"id":130,"name":"Impact","value":""},{"id":150,"name":"Time of Event (Mountain Time)","value":"03:38:36"},{"id":151,"name":"Denver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3"/>
      <c r="AK215" s="53"/>
      <c r="AL215" s="53"/>
    </row>
    <row r="216" spans="1:38" x14ac:dyDescent="0.25">
      <c r="A216" s="37" t="s">
        <v>457</v>
      </c>
      <c r="B216" s="7">
        <v>4031</v>
      </c>
      <c r="C216" s="22" t="s">
        <v>217</v>
      </c>
      <c r="D216" s="22" t="s">
        <v>295</v>
      </c>
      <c r="E216" s="13">
        <v>42699.801388888889</v>
      </c>
      <c r="F216" s="13">
        <v>25568.708333333332</v>
      </c>
      <c r="G216" s="7">
        <v>1</v>
      </c>
      <c r="H216" s="22" t="s">
        <v>677</v>
      </c>
      <c r="I216" s="13">
        <v>25568.708333333332</v>
      </c>
      <c r="J216" s="7">
        <v>1</v>
      </c>
      <c r="K216" s="109" t="str">
        <f t="shared" si="69"/>
        <v>4031/4032</v>
      </c>
      <c r="L216" s="22" t="str">
        <f>VLOOKUP(A216,'Trips&amp;Operators'!$C$1:$E$10000,3,FALSE)</f>
        <v>HOLCOMB</v>
      </c>
      <c r="M216" s="6">
        <f t="shared" si="70"/>
        <v>0</v>
      </c>
      <c r="N216" s="7">
        <f t="shared" si="71"/>
        <v>0</v>
      </c>
      <c r="O216" s="7"/>
      <c r="P216" s="7"/>
      <c r="Q216" s="23"/>
      <c r="R216" s="23"/>
      <c r="S216" s="35">
        <f t="shared" si="72"/>
        <v>1</v>
      </c>
      <c r="T216" s="50" t="str">
        <f t="shared" si="73"/>
        <v>NorthBound</v>
      </c>
      <c r="U216" s="171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https://search-rtdc-monitor-bjffxe2xuh6vdkpspy63sjmuny.us-east-1.es.amazonaws.com/_plugin/kibana/#/discover/Steve-Slow-Train-Analysis-(2080s-and-2083s)?_g=(refreshInterval:(display:Off,section:0,value:0),time:(from:'2016-11-25 18:14:00-700',mode:absolute,to:'1969-12-31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216" s="52" t="str">
        <f t="shared" si="75"/>
        <v>Y</v>
      </c>
      <c r="X216" s="177">
        <f t="shared" si="76"/>
        <v>1</v>
      </c>
      <c r="Y216" s="67">
        <f t="shared" si="77"/>
        <v>4.6899999999999997E-2</v>
      </c>
      <c r="Z216" s="67">
        <f t="shared" si="78"/>
        <v>2.3106</v>
      </c>
      <c r="AA216" s="67">
        <f t="shared" si="79"/>
        <v>2.2637</v>
      </c>
      <c r="AB216" s="64" t="e">
        <f>VLOOKUP(A216,Enforcements!$C$7:$K$20,8,0)</f>
        <v>#N/A</v>
      </c>
      <c r="AC216" s="60" t="e">
        <f>VLOOKUP(A216,Enforcements!$C$7:$E$20,3,0)</f>
        <v>#N/A</v>
      </c>
      <c r="AD216" s="61" t="str">
        <f t="shared" si="80"/>
        <v>0305-25</v>
      </c>
      <c r="AE216" s="91" t="str">
        <f t="shared" si="81"/>
        <v>aws s3 cp s3://rtdc.mdm.uploadarchive.raw/RTDC4031/ "%USERPROFILE%\AppData\Local\Temp\OnboardLogs"\RTDC4031\1969-12-31 --exclude "*" --recursive --include "*19691231*" &amp; "%USERPROFILE%\Documents\GitHub\mrs-test-scripts\Headless Mode &amp; Sideloading\WalkAndUnGZ.bat" "%USERPROFILE%\AppData\Local\Temp\OnboardLogs"\RTDC4031\1969-12-31 &amp; aws s3 cp s3://rtdc.mdm.uploadarchive.raw/RTDC4031/ "%USERPROFILE%\AppData\Local\Temp\OnboardLogs"\RTDC4031\1970-01-01 --exclude "*" --recursive --include "*19700101*" &amp; "%USERPROFILE%\Documents\GitHub\mrs-test-scripts\Headless Mode &amp; Sideloading\WalkAndUnGZ.bat" "%USERPROFILE%\AppData\Local\Temp\OnboardLogs"\RTDC4031\1970-01-01</v>
      </c>
      <c r="AF216" s="88" t="str">
        <f t="shared" si="82"/>
        <v>"C:\Program Files (x86)\AstroGrep\AstroGrep.exe" /spath="%USERPROFILE%\AppData\Local\Temp\OnboardLogs" /stypes="app*4031*19700101*" /stext=" 00:.+((SYSTEM_STATE.+slice.+state.+changed )|(ment ac)|(system.+state.+changed )|(\[timeout)|(PRM\|1\|D)|(kpr)|(kdp)|(\|lc)|(penalty))" /e /r /s</v>
      </c>
      <c r="AG216" s="1" t="str">
        <f t="shared" si="83"/>
        <v>Other</v>
      </c>
      <c r="AH216" s="92" t="str">
        <f t="shared" si="84"/>
        <v>"%USERPROFILE%\Documents\GitHub\eaglep3\Utilities\RefineRTDCRunTimes.py" --tripid 305-25 --locoid 4031 --swversion DE.1.0.8.0 --startMP 204:469 --initTime 2016-11-25T19:14:00 --startdatetime 1969-12-31T17:00:00 --delay 1 --endMP 300:23106 --enddatetime 1969-12-31T17:00:00 --enforcementcount 1 &gt;&gt;C:\Users\stu\Documents\GitHub\eaglep3-reporting\EC\2016-11-25-refined-times.txt</v>
      </c>
      <c r="AI216" s="119" t="str">
        <f t="shared" si="85"/>
        <v>echo {"issue":{"subject":"","project_id":79,"tracker_id":40,"status_id":1,"priority_id":2,"assigned_to_id":23,"start_date":"1969-12-31","description":"","custom_fields":[{"id":1,"name":"Subdivision","value":"Other"},{"id":4,"name":"Milepost","value":"2.3106"},{"id":17,"name":"Train ID","value":"305-25"},{"id":16,"name":"Locomotive ID","value":"4031"},{"id":130,"name":"Impact","value":""},{"id":150,"name":"Time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3"/>
      <c r="AK216" s="53"/>
      <c r="AL216" s="53"/>
    </row>
    <row r="217" spans="1:38" x14ac:dyDescent="0.25">
      <c r="A217" s="37" t="s">
        <v>468</v>
      </c>
      <c r="B217" s="7">
        <v>4043</v>
      </c>
      <c r="C217" s="22" t="s">
        <v>217</v>
      </c>
      <c r="D217" s="22" t="s">
        <v>678</v>
      </c>
      <c r="E217" s="13">
        <v>42699.158796296295</v>
      </c>
      <c r="F217" s="13">
        <v>42699.160127314812</v>
      </c>
      <c r="G217" s="7">
        <v>1</v>
      </c>
      <c r="H217" s="22" t="s">
        <v>679</v>
      </c>
      <c r="I217" s="13">
        <v>42699.167129629626</v>
      </c>
      <c r="J217" s="7">
        <v>0</v>
      </c>
      <c r="K217" s="109" t="str">
        <f t="shared" si="69"/>
        <v>4043/4044</v>
      </c>
      <c r="L217" s="22" t="str">
        <f>VLOOKUP(A217,'Trips&amp;Operators'!$C$1:$E$10000,3,FALSE)</f>
        <v>ROBINSON</v>
      </c>
      <c r="M217" s="6">
        <f t="shared" si="70"/>
        <v>7.0023148145992309E-3</v>
      </c>
      <c r="N217" s="7">
        <f t="shared" si="71"/>
        <v>10.083333333022892</v>
      </c>
      <c r="O217" s="7"/>
      <c r="P217" s="7"/>
      <c r="Q217" s="23"/>
      <c r="R217" s="23"/>
      <c r="S217" s="35">
        <f t="shared" si="72"/>
        <v>1</v>
      </c>
      <c r="T217" s="50" t="str">
        <f t="shared" si="73"/>
        <v>Southbound</v>
      </c>
      <c r="U217" s="171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https://search-rtdc-monitor-bjffxe2xuh6vdkpspy63sjmuny.us-east-1.es.amazonaws.com/_plugin/kibana/#/discover/Steve-Slow-Train-Analysis-(2080s-and-2083s)?_g=(refreshInterval:(display:Off,section:0,value:0),time:(from:'2016-11-25 02:48:40-700',mode:absolute,to:'2016-11-25 05:00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217" s="52" t="str">
        <f t="shared" si="75"/>
        <v>Y</v>
      </c>
      <c r="X217" s="177">
        <f t="shared" si="76"/>
        <v>1</v>
      </c>
      <c r="Y217" s="67">
        <f t="shared" si="77"/>
        <v>2.3201000000000001</v>
      </c>
      <c r="Z217" s="67">
        <f t="shared" si="78"/>
        <v>9.5999999999999992E-3</v>
      </c>
      <c r="AA217" s="67">
        <f t="shared" si="79"/>
        <v>2.3105000000000002</v>
      </c>
      <c r="AB217" s="64" t="e">
        <f>VLOOKUP(A217,Enforcements!$C$7:$K$20,8,0)</f>
        <v>#N/A</v>
      </c>
      <c r="AC217" s="60" t="e">
        <f>VLOOKUP(A217,Enforcements!$C$7:$E$20,3,0)</f>
        <v>#N/A</v>
      </c>
      <c r="AD217" s="61" t="str">
        <f t="shared" si="80"/>
        <v>0306-25</v>
      </c>
      <c r="AE217" s="91" t="str">
        <f t="shared" si="81"/>
        <v>aws s3 cp s3://rtdc.mdm.uploadarchive.raw/RTDC4043/ "%USERPROFILE%\AppData\Local\Temp\OnboardLogs"\RTDC4043\2016-11-25 --exclude "*" --recursive --include "*20161125*" &amp; "%USERPROFILE%\Documents\GitHub\mrs-test-scripts\Headless Mode &amp; Sideloading\WalkAndUnGZ.bat" "%USERPROFILE%\AppData\Local\Temp\OnboardLogs"\RTDC4043\2016-11-25 &amp; aws s3 cp s3://rtdc.mdm.uploadarchive.raw/RTDC4043/ "%USERPROFILE%\AppData\Local\Temp\OnboardLogs"\RTDC4043\2016-11-26 --exclude "*" --recursive --include "*20161126*" &amp; "%USERPROFILE%\Documents\GitHub\mrs-test-scripts\Headless Mode &amp; Sideloading\WalkAndUnGZ.bat" "%USERPROFILE%\AppData\Local\Temp\OnboardLogs"\RTDC4043\2016-11-26</v>
      </c>
      <c r="AF217" s="88" t="str">
        <f t="shared" si="82"/>
        <v>"C:\Program Files (x86)\AstroGrep\AstroGrep.exe" /spath="%USERPROFILE%\AppData\Local\Temp\OnboardLogs" /stypes="app*4043*20161125*" /stext=" 11:.+((SYSTEM_STATE.+slice.+state.+changed )|(ment ac)|(system.+state.+changed )|(\[timeout)|(PRM\|1\|D)|(kpr)|(kdp)|(\|lc)|(penalty))" /e /r /s</v>
      </c>
      <c r="AG217" s="1" t="str">
        <f t="shared" si="83"/>
        <v>Other</v>
      </c>
      <c r="AH217" s="92" t="str">
        <f t="shared" si="84"/>
        <v>"%USERPROFILE%\Documents\GitHub\eaglep3\Utilities\RefineRTDCRunTimes.py" --tripid 306-25 --locoid 4043 --swversion DE.1.0.8.0 --startMP 300:23201 --initTime 2016-11-25T03:48:40 --startdatetime 2016-11-25T03:50:35 --delay 1 --endMP 204:96 --enddatetime 2016-11-25T04:00:40 --enforcementcount 0 &gt;&gt;C:\Users\stu\Documents\GitHub\eaglep3-reporting\EC\2016-11-25-refined-times.txt</v>
      </c>
      <c r="AI217" s="119" t="str">
        <f t="shared" si="85"/>
        <v>echo {"issue":{"subject":"","project_id":79,"tracker_id":40,"status_id":1,"priority_id":2,"assigned_to_id":23,"start_date":"2016-11-25","description":"","custom_fields":[{"id":1,"name":"Subdivision","value":"Other"},{"id":4,"name":"Milepost","value":"0.0096"},{"id":17,"name":"Train ID","value":"306-25"},{"id":16,"name":"Locomotive ID","value":"4043"},{"id":130,"name":"Impact","value":""},{"id":150,"name":"Time of Event (Mountain Time)","value":"04:00:40"},{"id":151,"name":"Denver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3"/>
      <c r="AK217" s="53"/>
      <c r="AL217" s="53"/>
    </row>
    <row r="218" spans="1:38" x14ac:dyDescent="0.25">
      <c r="A218" s="37" t="s">
        <v>602</v>
      </c>
      <c r="B218" s="7">
        <v>4011</v>
      </c>
      <c r="C218" s="22" t="s">
        <v>217</v>
      </c>
      <c r="D218" s="22" t="s">
        <v>261</v>
      </c>
      <c r="E218" s="13">
        <v>42699.818888888891</v>
      </c>
      <c r="F218" s="13">
        <v>25568.708333333332</v>
      </c>
      <c r="G218" s="7">
        <v>1</v>
      </c>
      <c r="H218" s="22" t="s">
        <v>680</v>
      </c>
      <c r="I218" s="13">
        <v>25568.708333333332</v>
      </c>
      <c r="J218" s="7">
        <v>0</v>
      </c>
      <c r="K218" s="109" t="str">
        <f t="shared" si="69"/>
        <v>4011/4012</v>
      </c>
      <c r="L218" s="22" t="str">
        <f>VLOOKUP(A218,'Trips&amp;Operators'!$C$1:$E$10000,3,FALSE)</f>
        <v>STORY</v>
      </c>
      <c r="M218" s="6">
        <f t="shared" si="70"/>
        <v>0</v>
      </c>
      <c r="N218" s="7">
        <f t="shared" si="71"/>
        <v>0</v>
      </c>
      <c r="O218" s="7"/>
      <c r="P218" s="7"/>
      <c r="Q218" s="23"/>
      <c r="R218" s="23"/>
      <c r="S218" s="35">
        <f t="shared" si="72"/>
        <v>1</v>
      </c>
      <c r="T218" s="50" t="str">
        <f t="shared" si="73"/>
        <v>NorthBound</v>
      </c>
      <c r="U218" s="171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https://search-rtdc-monitor-bjffxe2xuh6vdkpspy63sjmuny.us-east-1.es.amazonaws.com/_plugin/kibana/#/discover/Steve-Slow-Train-Analysis-(2080s-and-2083s)?_g=(refreshInterval:(display:Off,section:0,value:0),time:(from:'2016-11-25 18:39:12-700',mode:absolute,to:'1969-12-31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218" s="52" t="str">
        <f t="shared" si="75"/>
        <v>Y</v>
      </c>
      <c r="X218" s="177">
        <f t="shared" si="76"/>
        <v>1</v>
      </c>
      <c r="Y218" s="67">
        <f t="shared" si="77"/>
        <v>4.5499999999999999E-2</v>
      </c>
      <c r="Z218" s="67">
        <f t="shared" si="78"/>
        <v>2.3306</v>
      </c>
      <c r="AA218" s="67">
        <f t="shared" si="79"/>
        <v>2.2850999999999999</v>
      </c>
      <c r="AB218" s="64" t="e">
        <f>VLOOKUP(A218,Enforcements!$C$7:$K$20,8,0)</f>
        <v>#N/A</v>
      </c>
      <c r="AC218" s="60" t="e">
        <f>VLOOKUP(A218,Enforcements!$C$7:$E$20,3,0)</f>
        <v>#N/A</v>
      </c>
      <c r="AD218" s="61" t="str">
        <f t="shared" si="80"/>
        <v>0307-25</v>
      </c>
      <c r="AE218" s="91" t="str">
        <f t="shared" si="81"/>
        <v>aws s3 cp s3://rtdc.mdm.uploadarchive.raw/RTDC4011/ "%USERPROFILE%\AppData\Local\Temp\OnboardLogs"\RTDC4011\1969-12-31 --exclude "*" --recursive --include "*19691231*" &amp; "%USERPROFILE%\Documents\GitHub\mrs-test-scripts\Headless Mode &amp; Sideloading\WalkAndUnGZ.bat" "%USERPROFILE%\AppData\Local\Temp\OnboardLogs"\RTDC4011\1969-12-31 &amp; aws s3 cp s3://rtdc.mdm.uploadarchive.raw/RTDC4011/ "%USERPROFILE%\AppData\Local\Temp\OnboardLogs"\RTDC4011\1970-01-01 --exclude "*" --recursive --include "*19700101*" &amp; "%USERPROFILE%\Documents\GitHub\mrs-test-scripts\Headless Mode &amp; Sideloading\WalkAndUnGZ.bat" "%USERPROFILE%\AppData\Local\Temp\OnboardLogs"\RTDC4011\1970-01-01</v>
      </c>
      <c r="AF218" s="88" t="str">
        <f t="shared" si="82"/>
        <v>"C:\Program Files (x86)\AstroGrep\AstroGrep.exe" /spath="%USERPROFILE%\AppData\Local\Temp\OnboardLogs" /stypes="app*4011*19700101*" /stext=" 00:.+((SYSTEM_STATE.+slice.+state.+changed )|(ment ac)|(system.+state.+changed )|(\[timeout)|(PRM\|1\|D)|(kpr)|(kdp)|(\|lc)|(penalty))" /e /r /s</v>
      </c>
      <c r="AG218" s="1" t="str">
        <f t="shared" si="83"/>
        <v>Other</v>
      </c>
      <c r="AH218" s="92" t="str">
        <f t="shared" si="84"/>
        <v>"%USERPROFILE%\Documents\GitHub\eaglep3\Utilities\RefineRTDCRunTimes.py" --tripid 307-25 --locoid 4011 --swversion DE.1.0.8.0 --startMP 204:455 --initTime 2016-11-25T19:39:12 --startdatetime 1969-12-31T17:00:00 --delay 1 --endMP 300:23306 --enddatetime 1969-12-31T17:00:00 --enforcementcount 0 &gt;&gt;C:\Users\stu\Documents\GitHub\eaglep3-reporting\EC\2016-11-25-refined-times.txt</v>
      </c>
      <c r="AI218" s="119" t="str">
        <f t="shared" si="85"/>
        <v>echo {"issue":{"subject":"","project_id":79,"tracker_id":40,"status_id":1,"priority_id":2,"assigned_to_id":23,"start_date":"1969-12-31","description":"","custom_fields":[{"id":1,"name":"Subdivision","value":"Other"},{"id":4,"name":"Milepost","value":"2.3306"},{"id":17,"name":"Train ID","value":"307-25"},{"id":16,"name":"Locomotive ID","value":"4011"},{"id":130,"name":"Impact","value":""},{"id":150,"name":"Time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3"/>
      <c r="AK218" s="53"/>
      <c r="AL218" s="53"/>
    </row>
    <row r="219" spans="1:38" x14ac:dyDescent="0.25">
      <c r="A219" s="37" t="s">
        <v>469</v>
      </c>
      <c r="B219" s="7">
        <v>4041</v>
      </c>
      <c r="C219" s="22" t="s">
        <v>217</v>
      </c>
      <c r="D219" s="22" t="s">
        <v>681</v>
      </c>
      <c r="E219" s="13">
        <v>42699.165810185186</v>
      </c>
      <c r="F219" s="13">
        <v>42699.167118055557</v>
      </c>
      <c r="G219" s="7">
        <v>1</v>
      </c>
      <c r="H219" s="22" t="s">
        <v>362</v>
      </c>
      <c r="I219" s="13">
        <v>42699.174456018518</v>
      </c>
      <c r="J219" s="7">
        <v>0</v>
      </c>
      <c r="K219" s="109" t="str">
        <f t="shared" si="69"/>
        <v>4041/4042</v>
      </c>
      <c r="L219" s="22" t="str">
        <f>VLOOKUP(A219,'Trips&amp;Operators'!$C$1:$E$10000,3,FALSE)</f>
        <v>ISHMAEL</v>
      </c>
      <c r="M219" s="6">
        <f t="shared" si="70"/>
        <v>7.3379629611736163E-3</v>
      </c>
      <c r="N219" s="7">
        <f t="shared" si="71"/>
        <v>10.566666664090008</v>
      </c>
      <c r="O219" s="7"/>
      <c r="P219" s="7"/>
      <c r="Q219" s="23"/>
      <c r="R219" s="23"/>
      <c r="S219" s="35">
        <f t="shared" si="72"/>
        <v>1</v>
      </c>
      <c r="T219" s="50" t="str">
        <f t="shared" si="73"/>
        <v>Southbound</v>
      </c>
      <c r="U219" s="171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https://search-rtdc-monitor-bjffxe2xuh6vdkpspy63sjmuny.us-east-1.es.amazonaws.com/_plugin/kibana/#/discover/Steve-Slow-Train-Analysis-(2080s-and-2083s)?_g=(refreshInterval:(display:Off,section:0,value:0),time:(from:'2016-11-25 02:58:46-700',mode:absolute,to:'2016-11-25 05:11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219" s="52" t="str">
        <f t="shared" si="75"/>
        <v>Y</v>
      </c>
      <c r="X219" s="177">
        <f t="shared" si="76"/>
        <v>1</v>
      </c>
      <c r="Y219" s="67">
        <f t="shared" si="77"/>
        <v>2.3207</v>
      </c>
      <c r="Z219" s="67">
        <f t="shared" si="78"/>
        <v>1.4500000000000001E-2</v>
      </c>
      <c r="AA219" s="67">
        <f t="shared" si="79"/>
        <v>2.3062</v>
      </c>
      <c r="AB219" s="64" t="e">
        <f>VLOOKUP(A219,Enforcements!$C$7:$K$20,8,0)</f>
        <v>#N/A</v>
      </c>
      <c r="AC219" s="60" t="e">
        <f>VLOOKUP(A219,Enforcements!$C$7:$E$20,3,0)</f>
        <v>#N/A</v>
      </c>
      <c r="AD219" s="61" t="str">
        <f t="shared" si="80"/>
        <v>0308-25</v>
      </c>
      <c r="AE219" s="91" t="str">
        <f t="shared" si="81"/>
        <v>aws s3 cp s3://rtdc.mdm.uploadarchive.raw/RTDC4041/ "%USERPROFILE%\AppData\Local\Temp\OnboardLogs"\RTDC4041\2016-11-25 --exclude "*" --recursive --include "*20161125*" &amp; "%USERPROFILE%\Documents\GitHub\mrs-test-scripts\Headless Mode &amp; Sideloading\WalkAndUnGZ.bat" "%USERPROFILE%\AppData\Local\Temp\OnboardLogs"\RTDC4041\2016-11-25 &amp; aws s3 cp s3://rtdc.mdm.uploadarchive.raw/RTDC4041/ "%USERPROFILE%\AppData\Local\Temp\OnboardLogs"\RTDC4041\2016-11-26 --exclude "*" --recursive --include "*20161126*" &amp; "%USERPROFILE%\Documents\GitHub\mrs-test-scripts\Headless Mode &amp; Sideloading\WalkAndUnGZ.bat" "%USERPROFILE%\AppData\Local\Temp\OnboardLogs"\RTDC4041\2016-11-26</v>
      </c>
      <c r="AF219" s="88" t="str">
        <f t="shared" si="82"/>
        <v>"C:\Program Files (x86)\AstroGrep\AstroGrep.exe" /spath="%USERPROFILE%\AppData\Local\Temp\OnboardLogs" /stypes="app*4041*20161125*" /stext=" 11:.+((SYSTEM_STATE.+slice.+state.+changed )|(ment ac)|(system.+state.+changed )|(\[timeout)|(PRM\|1\|D)|(kpr)|(kdp)|(\|lc)|(penalty))" /e /r /s</v>
      </c>
      <c r="AG219" s="1" t="str">
        <f t="shared" si="83"/>
        <v>Other</v>
      </c>
      <c r="AH219" s="92" t="str">
        <f t="shared" si="84"/>
        <v>"%USERPROFILE%\Documents\GitHub\eaglep3\Utilities\RefineRTDCRunTimes.py" --tripid 308-25 --locoid 4041 --swversion DE.1.0.8.0 --startMP 300:23207 --initTime 2016-11-25T03:58:46 --startdatetime 2016-11-25T04:00:39 --delay 1 --endMP 204:145 --enddatetime 2016-11-25T04:11:13 --enforcementcount 0 &gt;&gt;C:\Users\stu\Documents\GitHub\eaglep3-reporting\EC\2016-11-25-refined-times.txt</v>
      </c>
      <c r="AI219" s="119" t="str">
        <f t="shared" si="85"/>
        <v>echo {"issue":{"subject":"","project_id":79,"tracker_id":40,"status_id":1,"priority_id":2,"assigned_to_id":23,"start_date":"2016-11-25","description":"","custom_fields":[{"id":1,"name":"Subdivision","value":"Other"},{"id":4,"name":"Milepost","value":"0.0145"},{"id":17,"name":"Train ID","value":"308-25"},{"id":16,"name":"Locomotive ID","value":"4041"},{"id":130,"name":"Impact","value":""},{"id":150,"name":"Time of Event (Mountain Time)","value":"04:11:13"},{"id":151,"name":"Denver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3"/>
      <c r="AK219" s="53"/>
      <c r="AL219" s="53"/>
    </row>
    <row r="220" spans="1:38" x14ac:dyDescent="0.25">
      <c r="A220" s="37" t="s">
        <v>628</v>
      </c>
      <c r="B220" s="7">
        <v>4046</v>
      </c>
      <c r="C220" s="22" t="s">
        <v>217</v>
      </c>
      <c r="D220" s="22" t="s">
        <v>216</v>
      </c>
      <c r="E220" s="13">
        <v>42700.045057870368</v>
      </c>
      <c r="F220" s="13">
        <v>25568.708333333332</v>
      </c>
      <c r="G220" s="7">
        <v>1</v>
      </c>
      <c r="H220" s="22" t="s">
        <v>682</v>
      </c>
      <c r="I220" s="13">
        <v>25568.708333333332</v>
      </c>
      <c r="J220" s="7">
        <v>0</v>
      </c>
      <c r="K220" s="109" t="str">
        <f t="shared" si="69"/>
        <v>4045/4046</v>
      </c>
      <c r="L220" s="22" t="str">
        <f>VLOOKUP(A220,'Trips&amp;Operators'!$C$1:$E$10000,3,FALSE)</f>
        <v>SAFIEF</v>
      </c>
      <c r="M220" s="6">
        <f t="shared" si="70"/>
        <v>0</v>
      </c>
      <c r="N220" s="7">
        <f t="shared" si="71"/>
        <v>0</v>
      </c>
      <c r="O220" s="7"/>
      <c r="P220" s="7"/>
      <c r="Q220" s="23"/>
      <c r="R220" s="23"/>
      <c r="S220" s="35">
        <f t="shared" si="72"/>
        <v>1</v>
      </c>
      <c r="T220" s="50" t="str">
        <f t="shared" si="73"/>
        <v>NorthBound</v>
      </c>
      <c r="U220" s="171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https://search-rtdc-monitor-bjffxe2xuh6vdkpspy63sjmuny.us-east-1.es.amazonaws.com/_plugin/kibana/#/discover/Steve-Slow-Train-Analysis-(2080s-and-2083s)?_g=(refreshInterval:(display:Off,section:0,value:0),time:(from:'2016-11-26 00:04:53-700',mode:absolute,to:'1969-12-31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220" s="52" t="str">
        <f t="shared" si="75"/>
        <v>Y</v>
      </c>
      <c r="X220" s="177">
        <f t="shared" si="76"/>
        <v>1</v>
      </c>
      <c r="Y220" s="67">
        <f t="shared" si="77"/>
        <v>4.6399999999999997E-2</v>
      </c>
      <c r="Z220" s="67">
        <f t="shared" si="78"/>
        <v>2.3108</v>
      </c>
      <c r="AA220" s="67">
        <f t="shared" si="79"/>
        <v>2.2644000000000002</v>
      </c>
      <c r="AB220" s="64" t="e">
        <f>VLOOKUP(A220,Enforcements!$C$7:$K$20,8,0)</f>
        <v>#N/A</v>
      </c>
      <c r="AC220" s="60" t="e">
        <f>VLOOKUP(A220,Enforcements!$C$7:$E$20,3,0)</f>
        <v>#N/A</v>
      </c>
      <c r="AD220" s="61" t="str">
        <f t="shared" si="80"/>
        <v>0309-25</v>
      </c>
      <c r="AE220" s="91" t="str">
        <f t="shared" si="81"/>
        <v>aws s3 cp s3://rtdc.mdm.uploadarchive.raw/RTDC4046/ "%USERPROFILE%\AppData\Local\Temp\OnboardLogs"\RTDC4046\1969-12-31 --exclude "*" --recursive --include "*19691231*" &amp; "%USERPROFILE%\Documents\GitHub\mrs-test-scripts\Headless Mode &amp; Sideloading\WalkAndUnGZ.bat" "%USERPROFILE%\AppData\Local\Temp\OnboardLogs"\RTDC4046\1969-12-31 &amp; aws s3 cp s3://rtdc.mdm.uploadarchive.raw/RTDC4046/ "%USERPROFILE%\AppData\Local\Temp\OnboardLogs"\RTDC4046\1970-01-01 --exclude "*" --recursive --include "*19700101*" &amp; "%USERPROFILE%\Documents\GitHub\mrs-test-scripts\Headless Mode &amp; Sideloading\WalkAndUnGZ.bat" "%USERPROFILE%\AppData\Local\Temp\OnboardLogs"\RTDC4046\1970-01-01</v>
      </c>
      <c r="AF220" s="88" t="str">
        <f t="shared" si="82"/>
        <v>"C:\Program Files (x86)\AstroGrep\AstroGrep.exe" /spath="%USERPROFILE%\AppData\Local\Temp\OnboardLogs" /stypes="app*4046*19700101*" /stext=" 00:.+((SYSTEM_STATE.+slice.+state.+changed )|(ment ac)|(system.+state.+changed )|(\[timeout)|(PRM\|1\|D)|(kpr)|(kdp)|(\|lc)|(penalty))" /e /r /s</v>
      </c>
      <c r="AG220" s="1" t="str">
        <f t="shared" si="83"/>
        <v>Other</v>
      </c>
      <c r="AH220" s="92" t="str">
        <f t="shared" si="84"/>
        <v>"%USERPROFILE%\Documents\GitHub\eaglep3\Utilities\RefineRTDCRunTimes.py" --tripid 309-25 --locoid 4046 --swversion DE.1.0.8.0 --startMP 204:464 --initTime 2016-11-26T01:04:53 --startdatetime 1969-12-31T17:00:00 --delay 1 --endMP 300:23108 --enddatetime 1969-12-31T17:00:00 --enforcementcount 0 &gt;&gt;C:\Users\stu\Documents\GitHub\eaglep3-reporting\EC\2016-11-25-refined-times.txt</v>
      </c>
      <c r="AI220" s="119" t="str">
        <f t="shared" si="85"/>
        <v>echo {"issue":{"subject":"","project_id":79,"tracker_id":40,"status_id":1,"priority_id":2,"assigned_to_id":23,"start_date":"1969-12-31","description":"","custom_fields":[{"id":1,"name":"Subdivision","value":"Other"},{"id":4,"name":"Milepost","value":"2.3108"},{"id":17,"name":"Train ID","value":"309-25"},{"id":16,"name":"Locomotive ID","value":"4046"},{"id":130,"name":"Impact","value":""},{"id":150,"name":"Time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3"/>
      <c r="AK220" s="53"/>
      <c r="AL220" s="53"/>
    </row>
    <row r="221" spans="1:38" x14ac:dyDescent="0.25">
      <c r="A221" s="37" t="s">
        <v>474</v>
      </c>
      <c r="B221" s="7">
        <v>4010</v>
      </c>
      <c r="C221" s="22" t="s">
        <v>217</v>
      </c>
      <c r="D221" s="22" t="s">
        <v>683</v>
      </c>
      <c r="E221" s="13">
        <v>42699.179120370369</v>
      </c>
      <c r="F221" s="13">
        <v>42699.18246527778</v>
      </c>
      <c r="G221" s="7">
        <v>4</v>
      </c>
      <c r="H221" s="22" t="s">
        <v>197</v>
      </c>
      <c r="I221" s="13">
        <v>42699.191446759258</v>
      </c>
      <c r="J221" s="7">
        <v>0</v>
      </c>
      <c r="K221" s="109" t="str">
        <f t="shared" si="69"/>
        <v>4009/4010</v>
      </c>
      <c r="L221" s="22" t="str">
        <f>VLOOKUP(A221,'Trips&amp;Operators'!$C$1:$E$10000,3,FALSE)</f>
        <v>OUN</v>
      </c>
      <c r="M221" s="6">
        <f t="shared" si="70"/>
        <v>8.9814814782585017E-3</v>
      </c>
      <c r="N221" s="7">
        <f t="shared" si="71"/>
        <v>12.933333328692243</v>
      </c>
      <c r="O221" s="7"/>
      <c r="P221" s="7"/>
      <c r="Q221" s="23"/>
      <c r="R221" s="23"/>
      <c r="S221" s="35">
        <f t="shared" si="72"/>
        <v>1</v>
      </c>
      <c r="T221" s="50" t="str">
        <f t="shared" si="73"/>
        <v>Southbound</v>
      </c>
      <c r="U221" s="171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https://search-rtdc-monitor-bjffxe2xuh6vdkpspy63sjmuny.us-east-1.es.amazonaws.com/_plugin/kibana/#/discover/Steve-Slow-Train-Analysis-(2080s-and-2083s)?_g=(refreshInterval:(display:Off,section:0,value:0),time:(from:'2016-11-25 03:17:56-700',mode:absolute,to:'2016-11-25 05:35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221" s="52" t="str">
        <f t="shared" si="75"/>
        <v>Y</v>
      </c>
      <c r="X221" s="177">
        <f t="shared" si="76"/>
        <v>1</v>
      </c>
      <c r="Y221" s="67">
        <f t="shared" si="77"/>
        <v>2.3254000000000001</v>
      </c>
      <c r="Z221" s="67">
        <f t="shared" si="78"/>
        <v>1.43E-2</v>
      </c>
      <c r="AA221" s="67">
        <f t="shared" si="79"/>
        <v>2.3111000000000002</v>
      </c>
      <c r="AB221" s="64" t="e">
        <f>VLOOKUP(A221,Enforcements!$C$7:$K$20,8,0)</f>
        <v>#N/A</v>
      </c>
      <c r="AC221" s="60" t="e">
        <f>VLOOKUP(A221,Enforcements!$C$7:$E$20,3,0)</f>
        <v>#N/A</v>
      </c>
      <c r="AD221" s="61" t="str">
        <f t="shared" si="80"/>
        <v>0310-25</v>
      </c>
      <c r="AE221" s="91" t="str">
        <f t="shared" si="81"/>
        <v>aws s3 cp s3://rtdc.mdm.uploadarchive.raw/RTDC4010/ "%USERPROFILE%\AppData\Local\Temp\OnboardLogs"\RTDC4010\2016-11-25 --exclude "*" --recursive --include "*20161125*" &amp; "%USERPROFILE%\Documents\GitHub\mrs-test-scripts\Headless Mode &amp; Sideloading\WalkAndUnGZ.bat" "%USERPROFILE%\AppData\Local\Temp\OnboardLogs"\RTDC4010\2016-11-25 &amp; aws s3 cp s3://rtdc.mdm.uploadarchive.raw/RTDC4010/ "%USERPROFILE%\AppData\Local\Temp\OnboardLogs"\RTDC4010\2016-11-26 --exclude "*" --recursive --include "*20161126*" &amp; "%USERPROFILE%\Documents\GitHub\mrs-test-scripts\Headless Mode &amp; Sideloading\WalkAndUnGZ.bat" "%USERPROFILE%\AppData\Local\Temp\OnboardLogs"\RTDC4010\2016-11-26</v>
      </c>
      <c r="AF221" s="88" t="str">
        <f t="shared" si="82"/>
        <v>"C:\Program Files (x86)\AstroGrep\AstroGrep.exe" /spath="%USERPROFILE%\AppData\Local\Temp\OnboardLogs" /stypes="app*4010*20161125*" /stext=" 11:.+((SYSTEM_STATE.+slice.+state.+changed )|(ment ac)|(system.+state.+changed )|(\[timeout)|(PRM\|1\|D)|(kpr)|(kdp)|(\|lc)|(penalty))" /e /r /s</v>
      </c>
      <c r="AG221" s="1" t="str">
        <f t="shared" si="83"/>
        <v>Other</v>
      </c>
      <c r="AH221" s="92" t="str">
        <f t="shared" si="84"/>
        <v>"%USERPROFILE%\Documents\GitHub\eaglep3\Utilities\RefineRTDCRunTimes.py" --tripid 310-25 --locoid 4010 --swversion DE.1.0.8.0 --startMP 300:23254 --initTime 2016-11-25T04:17:56 --startdatetime 2016-11-25T04:22:45 --delay 4 --endMP 204:143 --enddatetime 2016-11-25T04:35:41 --enforcementcount 0 &gt;&gt;C:\Users\stu\Documents\GitHub\eaglep3-reporting\EC\2016-11-25-refined-times.txt</v>
      </c>
      <c r="AI221" s="119" t="str">
        <f t="shared" si="85"/>
        <v>echo {"issue":{"subject":"","project_id":79,"tracker_id":40,"status_id":1,"priority_id":2,"assigned_to_id":23,"start_date":"2016-11-25","description":"","custom_fields":[{"id":1,"name":"Subdivision","value":"Other"},{"id":4,"name":"Milepost","value":"0.0143"},{"id":17,"name":"Train ID","value":"310-25"},{"id":16,"name":"Locomotive ID","value":"4010"},{"id":130,"name":"Impact","value":""},{"id":150,"name":"Time of Event (Mountain Time)","value":"04:35:41"},{"id":151,"name":"Denver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53"/>
      <c r="AK221" s="53"/>
      <c r="AL221" s="53"/>
    </row>
    <row r="222" spans="1:38" x14ac:dyDescent="0.25">
      <c r="A222" s="37" t="s">
        <v>630</v>
      </c>
      <c r="B222" s="7">
        <v>4014</v>
      </c>
      <c r="C222" s="22" t="s">
        <v>217</v>
      </c>
      <c r="D222" s="22" t="s">
        <v>684</v>
      </c>
      <c r="E222" s="13">
        <v>42700.072511574072</v>
      </c>
      <c r="F222" s="13">
        <v>42700.073819444442</v>
      </c>
      <c r="G222" s="7">
        <v>1</v>
      </c>
      <c r="H222" s="22" t="s">
        <v>377</v>
      </c>
      <c r="I222" s="13">
        <v>42700.080185185187</v>
      </c>
      <c r="J222" s="7">
        <v>0</v>
      </c>
      <c r="K222" s="109" t="str">
        <f t="shared" si="69"/>
        <v>4013/4014</v>
      </c>
      <c r="L222" s="22" t="str">
        <f>VLOOKUP(A222,'Trips&amp;Operators'!$C$1:$E$10000,3,FALSE)</f>
        <v>CHANDLER</v>
      </c>
      <c r="M222" s="6">
        <f t="shared" si="70"/>
        <v>6.3657407445134595E-3</v>
      </c>
      <c r="N222" s="7">
        <f t="shared" si="71"/>
        <v>9.1666666720993817</v>
      </c>
      <c r="O222" s="7"/>
      <c r="P222" s="7"/>
      <c r="Q222" s="23"/>
      <c r="R222" s="23"/>
      <c r="S222" s="35">
        <f t="shared" si="72"/>
        <v>1</v>
      </c>
      <c r="T222" s="50" t="str">
        <f t="shared" si="73"/>
        <v>NorthBound</v>
      </c>
      <c r="U222" s="171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https://search-rtdc-monitor-bjffxe2xuh6vdkpspy63sjmuny.us-east-1.es.amazonaws.com/_plugin/kibana/#/discover/Steve-Slow-Train-Analysis-(2080s-and-2083s)?_g=(refreshInterval:(display:Off,section:0,value:0),time:(from:'2016-11-26 00:44:25-700',mode:absolute,to:'2016-11-26 02:55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222" s="52" t="str">
        <f t="shared" si="75"/>
        <v>Y</v>
      </c>
      <c r="X222" s="177">
        <f t="shared" si="76"/>
        <v>1</v>
      </c>
      <c r="Y222" s="67">
        <f t="shared" si="77"/>
        <v>5.3699999999999998E-2</v>
      </c>
      <c r="Z222" s="67">
        <f t="shared" si="78"/>
        <v>2.2846000000000002</v>
      </c>
      <c r="AA222" s="67">
        <f t="shared" si="79"/>
        <v>2.2309000000000001</v>
      </c>
      <c r="AB222" s="64" t="e">
        <f>VLOOKUP(A222,Enforcements!$C$7:$K$20,8,0)</f>
        <v>#N/A</v>
      </c>
      <c r="AC222" s="60" t="e">
        <f>VLOOKUP(A222,Enforcements!$C$7:$E$20,3,0)</f>
        <v>#N/A</v>
      </c>
      <c r="AD222" s="61" t="str">
        <f t="shared" si="80"/>
        <v>0311-25</v>
      </c>
      <c r="AE222" s="91" t="str">
        <f t="shared" si="81"/>
        <v>aws s3 cp s3://rtdc.mdm.uploadarchive.raw/RTDC4014/ "%USERPROFILE%\AppData\Local\Temp\OnboardLogs"\RTDC4014\2016-11-26 --exclude "*" --recursive --include "*20161126*" &amp; "%USERPROFILE%\Documents\GitHub\mrs-test-scripts\Headless Mode &amp; Sideloading\WalkAndUnGZ.bat" "%USERPROFILE%\AppData\Local\Temp\OnboardLogs"\RTDC4014\2016-11-26 &amp; aws s3 cp s3://rtdc.mdm.uploadarchive.raw/RTDC4014/ "%USERPROFILE%\AppData\Local\Temp\OnboardLogs"\RTDC4014\2016-11-27 --exclude "*" --recursive --include "*20161127*" &amp; "%USERPROFILE%\Documents\GitHub\mrs-test-scripts\Headless Mode &amp; Sideloading\WalkAndUnGZ.bat" "%USERPROFILE%\AppData\Local\Temp\OnboardLogs"\RTDC4014\2016-11-27</v>
      </c>
      <c r="AF222" s="88" t="str">
        <f t="shared" si="82"/>
        <v>"C:\Program Files (x86)\AstroGrep\AstroGrep.exe" /spath="%USERPROFILE%\AppData\Local\Temp\OnboardLogs" /stypes="app*4014*20161126*" /stext=" 08:.+((SYSTEM_STATE.+slice.+state.+changed )|(ment ac)|(system.+state.+changed )|(\[timeout)|(PRM\|1\|D)|(kpr)|(kdp)|(\|lc)|(penalty))" /e /r /s</v>
      </c>
      <c r="AG222" s="1" t="str">
        <f t="shared" si="83"/>
        <v>Other</v>
      </c>
      <c r="AH222" s="92" t="str">
        <f t="shared" si="84"/>
        <v>"%USERPROFILE%\Documents\GitHub\eaglep3\Utilities\RefineRTDCRunTimes.py" --tripid 311-25 --locoid 4014 --swversion DE.1.0.8.0 --startMP 204:537 --initTime 2016-11-26T01:44:25 --startdatetime 2016-11-26T01:46:18 --delay 1 --endMP 300:22846 --enddatetime 2016-11-26T01:55:28 --enforcementcount 0 &gt;&gt;C:\Users\stu\Documents\GitHub\eaglep3-reporting\EC\2016-11-25-refined-times.txt</v>
      </c>
      <c r="AI222" s="119" t="str">
        <f t="shared" si="85"/>
        <v>echo {"issue":{"subject":"","project_id":79,"tracker_id":40,"status_id":1,"priority_id":2,"assigned_to_id":23,"start_date":"2016-11-26","description":"","custom_fields":[{"id":1,"name":"Subdivision","value":"Other"},{"id":4,"name":"Milepost","value":"2.2846"},{"id":17,"name":"Train ID","value":"311-25"},{"id":16,"name":"Locomotive ID","value":"4014"},{"id":130,"name":"Impact","value":""},{"id":150,"name":"Time of Event (Mountain Time)","value":"01:55:28"},{"id":151,"name":"Denver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53"/>
      <c r="AK222" s="53"/>
      <c r="AL222" s="53"/>
    </row>
    <row r="223" spans="1:38" x14ac:dyDescent="0.25">
      <c r="A223" s="37" t="s">
        <v>632</v>
      </c>
      <c r="B223" s="7">
        <v>4042</v>
      </c>
      <c r="C223" s="22" t="s">
        <v>217</v>
      </c>
      <c r="D223" s="22" t="s">
        <v>242</v>
      </c>
      <c r="E223" s="13">
        <v>42700.086967592593</v>
      </c>
      <c r="F223" s="13">
        <v>42700.088865740741</v>
      </c>
      <c r="G223" s="7">
        <v>1</v>
      </c>
      <c r="H223" s="22" t="s">
        <v>685</v>
      </c>
      <c r="I223" s="13">
        <v>42700.089039351849</v>
      </c>
      <c r="J223" s="7">
        <v>0</v>
      </c>
      <c r="K223" s="109" t="str">
        <f t="shared" si="69"/>
        <v>4041/4042</v>
      </c>
      <c r="L223" s="22" t="str">
        <f>VLOOKUP(A223,'Trips&amp;Operators'!$C$1:$E$10000,3,FALSE)</f>
        <v>STAMBAUGH</v>
      </c>
      <c r="M223" s="6">
        <f t="shared" si="70"/>
        <v>1.7361110803904012E-4</v>
      </c>
      <c r="N223" s="7">
        <f t="shared" si="71"/>
        <v>0.24999999557621777</v>
      </c>
      <c r="O223" s="7"/>
      <c r="P223" s="7"/>
      <c r="Q223" s="23"/>
      <c r="R223" s="23"/>
      <c r="S223" s="35">
        <f t="shared" si="72"/>
        <v>0</v>
      </c>
      <c r="T223" s="50" t="str">
        <f t="shared" si="73"/>
        <v>NorthBound</v>
      </c>
      <c r="U223" s="171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https://search-rtdc-monitor-bjffxe2xuh6vdkpspy63sjmuny.us-east-1.es.amazonaws.com/_plugin/kibana/#/discover/Steve-Slow-Train-Analysis-(2080s-and-2083s)?_g=(refreshInterval:(display:Off,section:0,value:0),time:(from:'2016-11-26 01:05:14-700',mode:absolute,to:'2016-11-26 03:08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223" s="52" t="str">
        <f t="shared" si="75"/>
        <v>Y</v>
      </c>
      <c r="X223" s="177">
        <f t="shared" si="76"/>
        <v>2</v>
      </c>
      <c r="Y223" s="67">
        <f t="shared" si="77"/>
        <v>4.6600000000000003E-2</v>
      </c>
      <c r="Z223" s="67">
        <f t="shared" si="78"/>
        <v>0.14349999999999999</v>
      </c>
      <c r="AA223" s="67">
        <f t="shared" si="79"/>
        <v>9.6899999999999986E-2</v>
      </c>
      <c r="AB223" s="64" t="e">
        <f>VLOOKUP(A223,Enforcements!$C$7:$K$20,8,0)</f>
        <v>#N/A</v>
      </c>
      <c r="AC223" s="60" t="e">
        <f>VLOOKUP(A223,Enforcements!$C$7:$E$20,3,0)</f>
        <v>#N/A</v>
      </c>
      <c r="AD223" s="61" t="str">
        <f t="shared" si="80"/>
        <v>0313-25</v>
      </c>
      <c r="AE223" s="91" t="str">
        <f t="shared" si="81"/>
        <v>aws s3 cp s3://rtdc.mdm.uploadarchive.raw/RTDC4042/ "%USERPROFILE%\AppData\Local\Temp\OnboardLogs"\RTDC4042\2016-11-26 --exclude "*" --recursive --include "*20161126*" &amp; "%USERPROFILE%\Documents\GitHub\mrs-test-scripts\Headless Mode &amp; Sideloading\WalkAndUnGZ.bat" "%USERPROFILE%\AppData\Local\Temp\OnboardLogs"\RTDC4042\2016-11-26 &amp; aws s3 cp s3://rtdc.mdm.uploadarchive.raw/RTDC4042/ "%USERPROFILE%\AppData\Local\Temp\OnboardLogs"\RTDC4042\2016-11-27 --exclude "*" --recursive --include "*20161127*" &amp; "%USERPROFILE%\Documents\GitHub\mrs-test-scripts\Headless Mode &amp; Sideloading\WalkAndUnGZ.bat" "%USERPROFILE%\AppData\Local\Temp\OnboardLogs"\RTDC4042\2016-11-27</v>
      </c>
      <c r="AF223" s="88" t="str">
        <f t="shared" si="82"/>
        <v>"C:\Program Files (x86)\AstroGrep\AstroGrep.exe" /spath="%USERPROFILE%\AppData\Local\Temp\OnboardLogs" /stypes="app*4042*20161126*" /stext=" 09:.+((SYSTEM_STATE.+slice.+state.+changed )|(ment ac)|(system.+state.+changed )|(\[timeout)|(PRM\|1\|D)|(kpr)|(kdp)|(\|lc)|(penalty))" /e /r /s</v>
      </c>
      <c r="AG223" s="1" t="str">
        <f t="shared" si="83"/>
        <v>Other</v>
      </c>
      <c r="AH223" s="92" t="str">
        <f t="shared" si="84"/>
        <v>"%USERPROFILE%\Documents\GitHub\eaglep3\Utilities\RefineRTDCRunTimes.py" --tripid 313-25 --locoid 4042 --swversion DE.1.0.8.0 --startMP 204:466 --initTime 2016-11-26T02:05:14 --startdatetime 2016-11-26T02:07:58 --delay 1 --endMP 204:1435 --enddatetime 2016-11-26T02:08:13 --enforcementcount 0 &gt;&gt;C:\Users\stu\Documents\GitHub\eaglep3-reporting\EC\2016-11-25-refined-times.txt</v>
      </c>
      <c r="AI223" s="119" t="str">
        <f t="shared" si="85"/>
        <v>echo {"issue":{"subject":"","project_id":79,"tracker_id":40,"status_id":1,"priority_id":2,"assigned_to_id":23,"start_date":"2016-11-26","description":"","custom_fields":[{"id":1,"name":"Subdivision","value":"Other"},{"id":4,"name":"Milepost","value":"0.1435"},{"id":17,"name":"Train ID","value":"313-25"},{"id":16,"name":"Locomotive ID","value":"4042"},{"id":130,"name":"Impact","value":""},{"id":150,"name":"Time of Event (Mountain Time)","value":"02:08:13"},{"id":151,"name":"Denver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53"/>
      <c r="AK223" s="53"/>
      <c r="AL223" s="53"/>
    </row>
    <row r="224" spans="1:38" x14ac:dyDescent="0.25">
      <c r="A224" s="37" t="s">
        <v>633</v>
      </c>
      <c r="B224" s="7">
        <v>4040</v>
      </c>
      <c r="C224" s="22" t="s">
        <v>217</v>
      </c>
      <c r="D224" s="22" t="s">
        <v>198</v>
      </c>
      <c r="E224" s="13">
        <v>42700.11078703704</v>
      </c>
      <c r="F224" s="13">
        <v>25568.708333333332</v>
      </c>
      <c r="G224" s="7">
        <v>1</v>
      </c>
      <c r="H224" s="22" t="s">
        <v>686</v>
      </c>
      <c r="I224" s="13">
        <v>25568.708333333332</v>
      </c>
      <c r="J224" s="7">
        <v>0</v>
      </c>
      <c r="K224" s="109" t="str">
        <f t="shared" si="69"/>
        <v>4039/4040</v>
      </c>
      <c r="L224" s="22" t="str">
        <f>VLOOKUP(A224,'Trips&amp;Operators'!$C$1:$E$10000,3,FALSE)</f>
        <v>DAVIDSON</v>
      </c>
      <c r="M224" s="6">
        <f t="shared" si="70"/>
        <v>0</v>
      </c>
      <c r="N224" s="7">
        <f t="shared" si="71"/>
        <v>0</v>
      </c>
      <c r="O224" s="7"/>
      <c r="P224" s="7"/>
      <c r="Q224" s="23"/>
      <c r="R224" s="23"/>
      <c r="S224" s="35">
        <f t="shared" si="72"/>
        <v>1</v>
      </c>
      <c r="T224" s="50" t="str">
        <f t="shared" si="73"/>
        <v>NorthBound</v>
      </c>
      <c r="U224" s="171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1</v>
      </c>
      <c r="V224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https://search-rtdc-monitor-bjffxe2xuh6vdkpspy63sjmuny.us-east-1.es.amazonaws.com/_plugin/kibana/#/discover/Steve-Slow-Train-Analysis-(2080s-and-2083s)?_g=(refreshInterval:(display:Off,section:0,value:0),time:(from:'2016-11-26 01:39:32-700',mode:absolute,to:'1969-12-31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224" s="52" t="str">
        <f t="shared" si="75"/>
        <v>Y</v>
      </c>
      <c r="X224" s="177">
        <f t="shared" si="76"/>
        <v>2</v>
      </c>
      <c r="Y224" s="67">
        <f t="shared" si="77"/>
        <v>4.4699999999999997E-2</v>
      </c>
      <c r="Z224" s="67">
        <f t="shared" si="78"/>
        <v>2.3346</v>
      </c>
      <c r="AA224" s="67">
        <f t="shared" si="79"/>
        <v>2.2898999999999998</v>
      </c>
      <c r="AB224" s="64" t="e">
        <f>VLOOKUP(A224,Enforcements!$C$7:$K$20,8,0)</f>
        <v>#N/A</v>
      </c>
      <c r="AC224" s="60" t="e">
        <f>VLOOKUP(A224,Enforcements!$C$7:$E$20,3,0)</f>
        <v>#N/A</v>
      </c>
      <c r="AD224" s="61" t="str">
        <f t="shared" si="80"/>
        <v>0315-25</v>
      </c>
      <c r="AE224" s="91" t="str">
        <f t="shared" si="81"/>
        <v>aws s3 cp s3://rtdc.mdm.uploadarchive.raw/RTDC4040/ "%USERPROFILE%\AppData\Local\Temp\OnboardLogs"\RTDC4040\1969-12-31 --exclude "*" --recursive --include "*19691231*" &amp; "%USERPROFILE%\Documents\GitHub\mrs-test-scripts\Headless Mode &amp; Sideloading\WalkAndUnGZ.bat" "%USERPROFILE%\AppData\Local\Temp\OnboardLogs"\RTDC4040\1969-12-31 &amp; aws s3 cp s3://rtdc.mdm.uploadarchive.raw/RTDC4040/ "%USERPROFILE%\AppData\Local\Temp\OnboardLogs"\RTDC4040\1970-01-01 --exclude "*" --recursive --include "*19700101*" &amp; "%USERPROFILE%\Documents\GitHub\mrs-test-scripts\Headless Mode &amp; Sideloading\WalkAndUnGZ.bat" "%USERPROFILE%\AppData\Local\Temp\OnboardLogs"\RTDC4040\1970-01-01</v>
      </c>
      <c r="AF224" s="88" t="str">
        <f t="shared" si="82"/>
        <v>"C:\Program Files (x86)\AstroGrep\AstroGrep.exe" /spath="%USERPROFILE%\AppData\Local\Temp\OnboardLogs" /stypes="app*4040*19700101*" /stext=" 00:.+((SYSTEM_STATE.+slice.+state.+changed )|(ment ac)|(system.+state.+changed )|(\[timeout)|(PRM\|1\|D)|(kpr)|(kdp)|(\|lc)|(penalty))" /e /r /s</v>
      </c>
      <c r="AG224" s="1" t="str">
        <f t="shared" si="83"/>
        <v>Other</v>
      </c>
      <c r="AH224" s="92" t="str">
        <f t="shared" si="84"/>
        <v>"%USERPROFILE%\Documents\GitHub\eaglep3\Utilities\RefineRTDCRunTimes.py" --tripid 315-25 --locoid 4040 --swversion DE.1.0.8.0 --startMP 204:447 --initTime 2016-11-26T02:39:32 --startdatetime 1969-12-31T17:00:00 --delay 1 --endMP 300:23346 --enddatetime 1969-12-31T17:00:00 --enforcementcount 0 &gt;&gt;C:\Users\stu\Documents\GitHub\eaglep3-reporting\EC\2016-11-25-refined-times.txt</v>
      </c>
      <c r="AI224" s="119" t="str">
        <f t="shared" si="85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ID","value":"315-25"},{"id":16,"name":"Locomotive ID","value":"4040"},{"id":130,"name":"Impact","value":""},{"id":150,"name":"Time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53"/>
      <c r="AK224" s="53"/>
      <c r="AL224" s="53"/>
    </row>
    <row r="225" spans="1:38" x14ac:dyDescent="0.25">
      <c r="A225" s="37" t="s">
        <v>428</v>
      </c>
      <c r="B225" s="7">
        <v>4030</v>
      </c>
      <c r="C225" s="22" t="s">
        <v>217</v>
      </c>
      <c r="D225" s="22" t="s">
        <v>687</v>
      </c>
      <c r="E225" s="13">
        <v>42699.458437499998</v>
      </c>
      <c r="F225" s="13">
        <v>42699.460023148145</v>
      </c>
      <c r="G225" s="7">
        <v>1</v>
      </c>
      <c r="H225" s="22" t="s">
        <v>688</v>
      </c>
      <c r="I225" s="13">
        <v>42699.465960648151</v>
      </c>
      <c r="J225" s="7">
        <v>1</v>
      </c>
      <c r="K225" s="109" t="str">
        <f t="shared" si="69"/>
        <v>4029/4030</v>
      </c>
      <c r="L225" s="22" t="str">
        <f>VLOOKUP(A225,'Trips&amp;Operators'!$C$1:$E$10000,3,FALSE)</f>
        <v>MOSES</v>
      </c>
      <c r="M225" s="6">
        <f t="shared" si="70"/>
        <v>5.9375000055297278E-3</v>
      </c>
      <c r="N225" s="7">
        <f t="shared" si="71"/>
        <v>8.550000007962808</v>
      </c>
      <c r="O225" s="7"/>
      <c r="P225" s="7"/>
      <c r="Q225" s="23"/>
      <c r="R225" s="23"/>
      <c r="S225" s="35">
        <f t="shared" si="72"/>
        <v>0</v>
      </c>
      <c r="T225" s="50" t="e">
        <f t="shared" si="73"/>
        <v>#VALUE!</v>
      </c>
      <c r="U225" s="171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https://search-rtdc-monitor-bjffxe2xuh6vdkpspy63sjmuny.us-east-1.es.amazonaws.com/_plugin/kibana/#/discover/Steve-Slow-Train-Analysis-(2080s-and-2083s)?_g=(refreshInterval:(display:Off,section:0,value:0),time:(from:'2016-11-25 10:00:09-700',mode:absolute,to:'2016-11-25 12:10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225" s="52" t="str">
        <f t="shared" si="75"/>
        <v>Y</v>
      </c>
      <c r="X225" s="177" t="e">
        <f t="shared" si="76"/>
        <v>#VALUE!</v>
      </c>
      <c r="Y225" s="67">
        <f t="shared" si="77"/>
        <v>2.3411</v>
      </c>
      <c r="Z225" s="67">
        <f t="shared" si="78"/>
        <v>9.6500000000000002E-2</v>
      </c>
      <c r="AA225" s="67">
        <f t="shared" si="79"/>
        <v>2.2446000000000002</v>
      </c>
      <c r="AB225" s="64" t="e">
        <f>VLOOKUP(A225,Enforcements!$C$7:$K$20,8,0)</f>
        <v>#N/A</v>
      </c>
      <c r="AC225" s="60" t="e">
        <f>VLOOKUP(A225,Enforcements!$C$7:$E$20,3,0)</f>
        <v>#N/A</v>
      </c>
      <c r="AD225" s="61" t="str">
        <f t="shared" si="80"/>
        <v>52-25</v>
      </c>
      <c r="AE225" s="91" t="str">
        <f t="shared" si="81"/>
        <v>aws s3 cp s3://rtdc.mdm.uploadarchive.raw/RTDC4030/ "%USERPROFILE%\AppData\Local\Temp\OnboardLogs"\RTDC4030\2016-11-25 --exclude "*" --recursive --include "*20161125*" &amp; "%USERPROFILE%\Documents\GitHub\mrs-test-scripts\Headless Mode &amp; Sideloading\WalkAndUnGZ.bat" "%USERPROFILE%\AppData\Local\Temp\OnboardLogs"\RTDC4030\2016-11-25 &amp; aws s3 cp s3://rtdc.mdm.uploadarchive.raw/RTDC4030/ "%USERPROFILE%\AppData\Local\Temp\OnboardLogs"\RTDC4030\2016-11-26 --exclude "*" --recursive --include "*20161126*" &amp; "%USERPROFILE%\Documents\GitHub\mrs-test-scripts\Headless Mode &amp; Sideloading\WalkAndUnGZ.bat" "%USERPROFILE%\AppData\Local\Temp\OnboardLogs"\RTDC4030\2016-11-26</v>
      </c>
      <c r="AF225" s="88" t="str">
        <f t="shared" si="82"/>
        <v>"C:\Program Files (x86)\AstroGrep\AstroGrep.exe" /spath="%USERPROFILE%\AppData\Local\Temp\OnboardLogs" /stypes="app*4030*20161125*" /stext=" 18:.+((SYSTEM_STATE.+slice.+state.+changed )|(ment ac)|(system.+state.+changed )|(\[timeout)|(PRM\|1\|D)|(kpr)|(kdp)|(\|lc)|(penalty))" /e /r /s</v>
      </c>
      <c r="AG225" s="1" t="str">
        <f t="shared" si="83"/>
        <v>Other</v>
      </c>
      <c r="AH225" s="92" t="str">
        <f t="shared" si="84"/>
        <v>"%USERPROFILE%\Documents\GitHub\eaglep3\Utilities\RefineRTDCRunTimes.py" --tripid 52-25 --locoid 4030 --swversion DE.1.0.8.0 --startMP 300:23411 --initTime 2016-11-25T11:00:09 --startdatetime 2016-11-25T11:02:26 --delay 1 --endMP 204:965 --enddatetime 2016-11-25T11:10:59 --enforcementcount 1 &gt;&gt;C:\Users\stu\Documents\GitHub\eaglep3-reporting\EC\2016-11-25-refined-times.txt</v>
      </c>
      <c r="AI225" s="119" t="str">
        <f t="shared" si="85"/>
        <v>echo {"issue":{"subject":"","project_id":79,"tracker_id":40,"status_id":1,"priority_id":2,"assigned_to_id":23,"start_date":"2016-11-25","description":"","custom_fields":[{"id":1,"name":"Subdivision","value":"Other"},{"id":4,"name":"Milepost","value":"0.0965"},{"id":17,"name":"Train ID","value":"52-25"},{"id":16,"name":"Locomotive ID","value":"4030"},{"id":130,"name":"Impact","value":""},{"id":150,"name":"Time of Event (Mountain Time)","value":"11:10:59"},{"id":151,"name":"Denver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53"/>
      <c r="AK225" s="53"/>
      <c r="AL225" s="53"/>
    </row>
    <row r="226" spans="1:38" x14ac:dyDescent="0.25">
      <c r="A226" s="37" t="s">
        <v>534</v>
      </c>
      <c r="B226" s="7">
        <v>4029</v>
      </c>
      <c r="C226" s="22" t="s">
        <v>217</v>
      </c>
      <c r="D226" s="22" t="s">
        <v>689</v>
      </c>
      <c r="E226" s="13">
        <v>42699.488425925927</v>
      </c>
      <c r="F226" s="13">
        <v>25568.708333333332</v>
      </c>
      <c r="G226" s="7">
        <v>1</v>
      </c>
      <c r="H226" s="22" t="s">
        <v>690</v>
      </c>
      <c r="I226" s="13">
        <v>25568.708333333332</v>
      </c>
      <c r="J226" s="7">
        <v>0</v>
      </c>
      <c r="K226" s="109" t="str">
        <f t="shared" si="69"/>
        <v>4029/4030</v>
      </c>
      <c r="L226" s="22" t="str">
        <f>VLOOKUP(A226,'Trips&amp;Operators'!$C$1:$E$10000,3,FALSE)</f>
        <v>ISHMAEL</v>
      </c>
      <c r="M226" s="6">
        <f t="shared" si="70"/>
        <v>0</v>
      </c>
      <c r="N226" s="7">
        <f t="shared" si="71"/>
        <v>0</v>
      </c>
      <c r="O226" s="7"/>
      <c r="P226" s="7"/>
      <c r="Q226" s="23"/>
      <c r="R226" s="23"/>
      <c r="S226" s="35">
        <f t="shared" si="72"/>
        <v>0</v>
      </c>
      <c r="T226" s="50" t="e">
        <f t="shared" si="73"/>
        <v>#VALUE!</v>
      </c>
      <c r="U226" s="171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https://search-rtdc-monitor-bjffxe2xuh6vdkpspy63sjmuny.us-east-1.es.amazonaws.com/_plugin/kibana/#/discover/Steve-Slow-Train-Analysis-(2080s-and-2083s)?_g=(refreshInterval:(display:Off,section:0,value:0),time:(from:'2016-11-25 10:43:20-700',mode:absolute,to:'1969-12-31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226" s="52" t="str">
        <f t="shared" si="75"/>
        <v>Y</v>
      </c>
      <c r="X226" s="177" t="e">
        <f t="shared" si="76"/>
        <v>#VALUE!</v>
      </c>
      <c r="Y226" s="67">
        <f t="shared" si="77"/>
        <v>0.12809999999999999</v>
      </c>
      <c r="Z226" s="67">
        <f t="shared" si="78"/>
        <v>2.4224000000000001</v>
      </c>
      <c r="AA226" s="67">
        <f t="shared" si="79"/>
        <v>2.2943000000000002</v>
      </c>
      <c r="AB226" s="64" t="e">
        <f>VLOOKUP(A226,Enforcements!$C$7:$K$20,8,0)</f>
        <v>#N/A</v>
      </c>
      <c r="AC226" s="60" t="e">
        <f>VLOOKUP(A226,Enforcements!$C$7:$E$20,3,0)</f>
        <v>#N/A</v>
      </c>
      <c r="AD226" s="61" t="str">
        <f t="shared" si="80"/>
        <v>53-25</v>
      </c>
      <c r="AE226" s="91" t="str">
        <f t="shared" si="81"/>
        <v>aws s3 cp s3://rtdc.mdm.uploadarchive.raw/RTDC4029/ "%USERPROFILE%\AppData\Local\Temp\OnboardLogs"\RTDC4029\1969-12-31 --exclude "*" --recursive --include "*19691231*" &amp; "%USERPROFILE%\Documents\GitHub\mrs-test-scripts\Headless Mode &amp; Sideloading\WalkAndUnGZ.bat" "%USERPROFILE%\AppData\Local\Temp\OnboardLogs"\RTDC4029\1969-12-31 &amp; aws s3 cp s3://rtdc.mdm.uploadarchive.raw/RTDC4029/ "%USERPROFILE%\AppData\Local\Temp\OnboardLogs"\RTDC4029\1970-01-01 --exclude "*" --recursive --include "*19700101*" &amp; "%USERPROFILE%\Documents\GitHub\mrs-test-scripts\Headless Mode &amp; Sideloading\WalkAndUnGZ.bat" "%USERPROFILE%\AppData\Local\Temp\OnboardLogs"\RTDC4029\1970-01-01</v>
      </c>
      <c r="AF226" s="88" t="str">
        <f t="shared" si="82"/>
        <v>"C:\Program Files (x86)\AstroGrep\AstroGrep.exe" /spath="%USERPROFILE%\AppData\Local\Temp\OnboardLogs" /stypes="app*4029*19700101*" /stext=" 00:.+((SYSTEM_STATE.+slice.+state.+changed )|(ment ac)|(system.+state.+changed )|(\[timeout)|(PRM\|1\|D)|(kpr)|(kdp)|(\|lc)|(penalty))" /e /r /s</v>
      </c>
      <c r="AG226" s="1" t="str">
        <f t="shared" si="83"/>
        <v>Other</v>
      </c>
      <c r="AH226" s="92" t="str">
        <f t="shared" si="84"/>
        <v>"%USERPROFILE%\Documents\GitHub\eaglep3\Utilities\RefineRTDCRunTimes.py" --tripid 53-25 --locoid 4029 --swversion DE.1.0.8.0 --startMP 204:1281 --initTime 2016-11-25T11:43:20 --startdatetime 1969-12-31T17:00:00 --delay 1 --endMP 300:24224 --enddatetime 1969-12-31T17:00:00 --enforcementcount 0 &gt;&gt;C:\Users\stu\Documents\GitHub\eaglep3-reporting\EC\2016-11-25-refined-times.txt</v>
      </c>
      <c r="AI226" s="119" t="str">
        <f t="shared" si="85"/>
        <v>echo {"issue":{"subject":"","project_id":79,"tracker_id":40,"status_id":1,"priority_id":2,"assigned_to_id":23,"start_date":"1969-12-31","description":"","custom_fields":[{"id":1,"name":"Subdivision","value":"Other"},{"id":4,"name":"Milepost","value":"2.4224"},{"id":17,"name":"Train ID","value":"53-25"},{"id":16,"name":"Locomotive ID","value":"4029"},{"id":130,"name":"Impact","value":""},{"id":150,"name":"Time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53"/>
      <c r="AK226" s="53"/>
      <c r="AL226" s="53"/>
    </row>
    <row r="227" spans="1:38" x14ac:dyDescent="0.25">
      <c r="A227" s="37" t="s">
        <v>531</v>
      </c>
      <c r="B227" s="7">
        <v>4028</v>
      </c>
      <c r="C227" s="22" t="s">
        <v>217</v>
      </c>
      <c r="D227" s="22" t="s">
        <v>691</v>
      </c>
      <c r="E227" s="13">
        <v>42699.481365740743</v>
      </c>
      <c r="F227" s="13">
        <v>42699.483113425929</v>
      </c>
      <c r="G227" s="7">
        <v>2</v>
      </c>
      <c r="H227" s="22" t="s">
        <v>692</v>
      </c>
      <c r="I227" s="13">
        <v>42699.488298611112</v>
      </c>
      <c r="J227" s="7">
        <v>0</v>
      </c>
      <c r="K227" s="109" t="str">
        <f t="shared" si="69"/>
        <v>4027/4028</v>
      </c>
      <c r="L227" s="22" t="str">
        <f>VLOOKUP(A227,'Trips&amp;Operators'!$C$1:$E$10000,3,FALSE)</f>
        <v>ADANE</v>
      </c>
      <c r="M227" s="6">
        <f t="shared" si="70"/>
        <v>5.1851851821993478E-3</v>
      </c>
      <c r="N227" s="7">
        <f t="shared" si="71"/>
        <v>7.4666666623670608</v>
      </c>
      <c r="O227" s="7"/>
      <c r="P227" s="7"/>
      <c r="Q227" s="23"/>
      <c r="R227" s="23"/>
      <c r="S227" s="35">
        <f t="shared" si="72"/>
        <v>0</v>
      </c>
      <c r="T227" s="50" t="e">
        <f t="shared" si="73"/>
        <v>#VALUE!</v>
      </c>
      <c r="U227" s="171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https://search-rtdc-monitor-bjffxe2xuh6vdkpspy63sjmuny.us-east-1.es.amazonaws.com/_plugin/kibana/#/discover/Steve-Slow-Train-Analysis-(2080s-and-2083s)?_g=(refreshInterval:(display:Off,section:0,value:0),time:(from:'2016-11-25 10:33:10-700',mode:absolute,to:'2016-11-25 12:43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227" s="52" t="str">
        <f t="shared" si="75"/>
        <v>Y</v>
      </c>
      <c r="X227" s="177" t="e">
        <f t="shared" si="76"/>
        <v>#VALUE!</v>
      </c>
      <c r="Y227" s="67">
        <f t="shared" si="77"/>
        <v>2.3159999999999998</v>
      </c>
      <c r="Z227" s="67">
        <f t="shared" si="78"/>
        <v>1.3299999999999999E-2</v>
      </c>
      <c r="AA227" s="67">
        <f t="shared" si="79"/>
        <v>2.3026999999999997</v>
      </c>
      <c r="AB227" s="64" t="e">
        <f>VLOOKUP(A227,Enforcements!$C$7:$K$20,8,0)</f>
        <v>#N/A</v>
      </c>
      <c r="AC227" s="60" t="e">
        <f>VLOOKUP(A227,Enforcements!$C$7:$E$20,3,0)</f>
        <v>#N/A</v>
      </c>
      <c r="AD227" s="61" t="str">
        <f t="shared" si="80"/>
        <v>54-25</v>
      </c>
      <c r="AE227" s="91" t="str">
        <f t="shared" si="81"/>
        <v>aws s3 cp s3://rtdc.mdm.uploadarchive.raw/RTDC4028/ "%USERPROFILE%\AppData\Local\Temp\OnboardLogs"\RTDC4028\2016-11-25 --exclude "*" --recursive --include "*20161125*" &amp; "%USERPROFILE%\Documents\GitHub\mrs-test-scripts\Headless Mode &amp; Sideloading\WalkAndUnGZ.bat" "%USERPROFILE%\AppData\Local\Temp\OnboardLogs"\RTDC4028\2016-11-25 &amp; aws s3 cp s3://rtdc.mdm.uploadarchive.raw/RTDC4028/ "%USERPROFILE%\AppData\Local\Temp\OnboardLogs"\RTDC4028\2016-11-26 --exclude "*" --recursive --include "*20161126*" &amp; "%USERPROFILE%\Documents\GitHub\mrs-test-scripts\Headless Mode &amp; Sideloading\WalkAndUnGZ.bat" "%USERPROFILE%\AppData\Local\Temp\OnboardLogs"\RTDC4028\2016-11-26</v>
      </c>
      <c r="AF227" s="88" t="str">
        <f t="shared" si="82"/>
        <v>"C:\Program Files (x86)\AstroGrep\AstroGrep.exe" /spath="%USERPROFILE%\AppData\Local\Temp\OnboardLogs" /stypes="app*4028*20161125*" /stext=" 18:.+((SYSTEM_STATE.+slice.+state.+changed )|(ment ac)|(system.+state.+changed )|(\[timeout)|(PRM\|1\|D)|(kpr)|(kdp)|(\|lc)|(penalty))" /e /r /s</v>
      </c>
      <c r="AG227" s="1" t="str">
        <f t="shared" si="83"/>
        <v>Other</v>
      </c>
      <c r="AH227" s="92" t="str">
        <f t="shared" si="84"/>
        <v>"%USERPROFILE%\Documents\GitHub\eaglep3\Utilities\RefineRTDCRunTimes.py" --tripid 54-25 --locoid 4028 --swversion DE.1.0.8.0 --startMP 300:23160 --initTime 2016-11-25T11:33:10 --startdatetime 2016-11-25T11:35:41 --delay 2 --endMP 204:133 --enddatetime 2016-11-25T11:43:09 --enforcementcount 0 &gt;&gt;C:\Users\stu\Documents\GitHub\eaglep3-reporting\EC\2016-11-25-refined-times.txt</v>
      </c>
      <c r="AI227" s="119" t="str">
        <f t="shared" si="85"/>
        <v>echo {"issue":{"subject":"","project_id":79,"tracker_id":40,"status_id":1,"priority_id":2,"assigned_to_id":23,"start_date":"2016-11-25","description":"","custom_fields":[{"id":1,"name":"Subdivision","value":"Other"},{"id":4,"name":"Milepost","value":"0.0133"},{"id":17,"name":"Train ID","value":"54-25"},{"id":16,"name":"Locomotive ID","value":"4028"},{"id":130,"name":"Impact","value":""},{"id":150,"name":"Time of Event (Mountain Time)","value":"11:43:09"},{"id":151,"name":"Denver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53"/>
      <c r="AK227" s="53"/>
      <c r="AL227" s="53"/>
    </row>
    <row r="228" spans="1:38" x14ac:dyDescent="0.25">
      <c r="A228" s="37" t="s">
        <v>431</v>
      </c>
      <c r="B228" s="7">
        <v>4027</v>
      </c>
      <c r="C228" s="22" t="s">
        <v>217</v>
      </c>
      <c r="D228" s="22" t="s">
        <v>693</v>
      </c>
      <c r="E228" s="13">
        <v>42699.513078703705</v>
      </c>
      <c r="F228" s="13">
        <v>25568.708333333332</v>
      </c>
      <c r="G228" s="7">
        <v>1</v>
      </c>
      <c r="H228" s="22" t="s">
        <v>694</v>
      </c>
      <c r="I228" s="13">
        <v>25568.708333333332</v>
      </c>
      <c r="J228" s="7">
        <v>1</v>
      </c>
      <c r="K228" s="109" t="str">
        <f t="shared" si="69"/>
        <v>4027/4028</v>
      </c>
      <c r="L228" s="22" t="str">
        <f>VLOOKUP(A228,'Trips&amp;Operators'!$C$1:$E$10000,3,FALSE)</f>
        <v>STRICKLAND</v>
      </c>
      <c r="M228" s="6">
        <f t="shared" si="70"/>
        <v>0</v>
      </c>
      <c r="N228" s="7">
        <f t="shared" si="71"/>
        <v>0</v>
      </c>
      <c r="O228" s="7"/>
      <c r="P228" s="7"/>
      <c r="Q228" s="23"/>
      <c r="R228" s="23"/>
      <c r="S228" s="35">
        <f t="shared" si="72"/>
        <v>0</v>
      </c>
      <c r="T228" s="50" t="e">
        <f t="shared" si="73"/>
        <v>#VALUE!</v>
      </c>
      <c r="U228" s="171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https://search-rtdc-monitor-bjffxe2xuh6vdkpspy63sjmuny.us-east-1.es.amazonaws.com/_plugin/kibana/#/discover/Steve-Slow-Train-Analysis-(2080s-and-2083s)?_g=(refreshInterval:(display:Off,section:0,value:0),time:(from:'2016-11-25 11:18:50-700',mode:absolute,to:'1969-12-31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228" s="52" t="str">
        <f t="shared" si="75"/>
        <v>Y</v>
      </c>
      <c r="X228" s="177" t="e">
        <f t="shared" si="76"/>
        <v>#VALUE!</v>
      </c>
      <c r="Y228" s="67">
        <f t="shared" si="77"/>
        <v>4.4999999999999998E-2</v>
      </c>
      <c r="Z228" s="67">
        <f t="shared" si="78"/>
        <v>2.4207999999999998</v>
      </c>
      <c r="AA228" s="67">
        <f t="shared" si="79"/>
        <v>2.3757999999999999</v>
      </c>
      <c r="AB228" s="64" t="e">
        <f>VLOOKUP(A228,Enforcements!$C$7:$K$20,8,0)</f>
        <v>#N/A</v>
      </c>
      <c r="AC228" s="60" t="e">
        <f>VLOOKUP(A228,Enforcements!$C$7:$E$20,3,0)</f>
        <v>#N/A</v>
      </c>
      <c r="AD228" s="61" t="str">
        <f t="shared" si="80"/>
        <v>55-25</v>
      </c>
      <c r="AE228" s="91" t="str">
        <f t="shared" si="81"/>
        <v>aws s3 cp s3://rtdc.mdm.uploadarchive.raw/RTDC4027/ "%USERPROFILE%\AppData\Local\Temp\OnboardLogs"\RTDC4027\1969-12-31 --exclude "*" --recursive --include "*19691231*" &amp; "%USERPROFILE%\Documents\GitHub\mrs-test-scripts\Headless Mode &amp; Sideloading\WalkAndUnGZ.bat" "%USERPROFILE%\AppData\Local\Temp\OnboardLogs"\RTDC4027\1969-12-31 &amp; aws s3 cp s3://rtdc.mdm.uploadarchive.raw/RTDC4027/ "%USERPROFILE%\AppData\Local\Temp\OnboardLogs"\RTDC4027\1970-01-01 --exclude "*" --recursive --include "*19700101*" &amp; "%USERPROFILE%\Documents\GitHub\mrs-test-scripts\Headless Mode &amp; Sideloading\WalkAndUnGZ.bat" "%USERPROFILE%\AppData\Local\Temp\OnboardLogs"\RTDC4027\1970-01-01</v>
      </c>
      <c r="AF228" s="88" t="str">
        <f t="shared" si="82"/>
        <v>"C:\Program Files (x86)\AstroGrep\AstroGrep.exe" /spath="%USERPROFILE%\AppData\Local\Temp\OnboardLogs" /stypes="app*4027*19700101*" /stext=" 00:.+((SYSTEM_STATE.+slice.+state.+changed )|(ment ac)|(system.+state.+changed )|(\[timeout)|(PRM\|1\|D)|(kpr)|(kdp)|(\|lc)|(penalty))" /e /r /s</v>
      </c>
      <c r="AG228" s="1" t="str">
        <f t="shared" si="83"/>
        <v>Other</v>
      </c>
      <c r="AH228" s="92" t="str">
        <f t="shared" si="84"/>
        <v>"%USERPROFILE%\Documents\GitHub\eaglep3\Utilities\RefineRTDCRunTimes.py" --tripid 55-25 --locoid 4027 --swversion DE.1.0.8.0 --startMP 204:450 --initTime 2016-11-25T12:18:50 --startdatetime 1969-12-31T17:00:00 --delay 1 --endMP 300:24208 --enddatetime 1969-12-31T17:00:00 --enforcementcount 1 &gt;&gt;C:\Users\stu\Documents\GitHub\eaglep3-reporting\EC\2016-11-25-refined-times.txt</v>
      </c>
      <c r="AI228" s="119" t="str">
        <f t="shared" si="85"/>
        <v>echo {"issue":{"subject":"","project_id":79,"tracker_id":40,"status_id":1,"priority_id":2,"assigned_to_id":23,"start_date":"1969-12-31","description":"","custom_fields":[{"id":1,"name":"Subdivision","value":"Other"},{"id":4,"name":"Milepost","value":"2.4208"},{"id":17,"name":"Train ID","value":"55-25"},{"id":16,"name":"Locomotive ID","value":"4027"},{"id":130,"name":"Impact","value":""},{"id":150,"name":"Time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53"/>
      <c r="AK228" s="53"/>
      <c r="AL228" s="53"/>
    </row>
    <row r="229" spans="1:38" x14ac:dyDescent="0.25">
      <c r="A229" s="37" t="s">
        <v>451</v>
      </c>
      <c r="B229" s="7">
        <v>4044</v>
      </c>
      <c r="C229" s="22" t="s">
        <v>217</v>
      </c>
      <c r="D229" s="22" t="s">
        <v>695</v>
      </c>
      <c r="E229" s="13">
        <v>42699.719189814816</v>
      </c>
      <c r="F229" s="13">
        <v>42699.726712962962</v>
      </c>
      <c r="G229" s="7">
        <v>1</v>
      </c>
      <c r="H229" s="22" t="s">
        <v>696</v>
      </c>
      <c r="I229" s="13">
        <v>42699.726886574077</v>
      </c>
      <c r="J229" s="7">
        <v>2</v>
      </c>
      <c r="K229" s="109" t="str">
        <f t="shared" si="69"/>
        <v>4043/4044</v>
      </c>
      <c r="L229" s="22" t="str">
        <f>VLOOKUP(A229,'Trips&amp;Operators'!$C$1:$E$10000,3,FALSE)</f>
        <v>BROWN</v>
      </c>
      <c r="M229" s="6">
        <f t="shared" si="70"/>
        <v>1.7361111531499773E-4</v>
      </c>
      <c r="N229" s="7">
        <f t="shared" si="71"/>
        <v>0.25000000605359674</v>
      </c>
      <c r="O229" s="7"/>
      <c r="P229" s="7"/>
      <c r="Q229" s="23"/>
      <c r="R229" s="23"/>
      <c r="S229" s="35">
        <f t="shared" si="72"/>
        <v>0</v>
      </c>
      <c r="T229" s="50" t="e">
        <f t="shared" si="73"/>
        <v>#VALUE!</v>
      </c>
      <c r="U229" s="171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https://search-rtdc-monitor-bjffxe2xuh6vdkpspy63sjmuny.us-east-1.es.amazonaws.com/_plugin/kibana/#/discover/Steve-Slow-Train-Analysis-(2080s-and-2083s)?_g=(refreshInterval:(display:Off,section:0,value:0),time:(from:'2016-11-25 16:15:38-700',mode:absolute,to:'2016-11-25 18:26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29" s="52" t="str">
        <f t="shared" si="75"/>
        <v>Y</v>
      </c>
      <c r="X229" s="177" t="e">
        <f t="shared" si="76"/>
        <v>#VALUE!</v>
      </c>
      <c r="Y229" s="67">
        <f t="shared" si="77"/>
        <v>0.14810000000000001</v>
      </c>
      <c r="Z229" s="67">
        <f t="shared" si="78"/>
        <v>0.1983</v>
      </c>
      <c r="AA229" s="67">
        <f t="shared" si="79"/>
        <v>5.0199999999999995E-2</v>
      </c>
      <c r="AB229" s="64" t="e">
        <f>VLOOKUP(A229,Enforcements!$C$7:$K$20,8,0)</f>
        <v>#N/A</v>
      </c>
      <c r="AC229" s="60" t="e">
        <f>VLOOKUP(A229,Enforcements!$C$7:$E$20,3,0)</f>
        <v>#N/A</v>
      </c>
      <c r="AD229" s="61" t="str">
        <f t="shared" si="80"/>
        <v>61-25</v>
      </c>
      <c r="AE229" s="91" t="str">
        <f t="shared" si="81"/>
        <v>aws s3 cp s3://rtdc.mdm.uploadarchive.raw/RTDC4044/ "%USERPROFILE%\AppData\Local\Temp\OnboardLogs"\RTDC4044\2016-11-25 --exclude "*" --recursive --include "*20161125*" &amp; "%USERPROFILE%\Documents\GitHub\mrs-test-scripts\Headless Mode &amp; Sideloading\WalkAndUnGZ.bat" "%USERPROFILE%\AppData\Local\Temp\OnboardLogs"\RTDC4044\2016-11-25 &amp; aws s3 cp s3://rtdc.mdm.uploadarchive.raw/RTDC4044/ "%USERPROFILE%\AppData\Local\Temp\OnboardLogs"\RTDC4044\2016-11-26 --exclude "*" --recursive --include "*20161126*" &amp; "%USERPROFILE%\Documents\GitHub\mrs-test-scripts\Headless Mode &amp; Sideloading\WalkAndUnGZ.bat" "%USERPROFILE%\AppData\Local\Temp\OnboardLogs"\RTDC4044\2016-11-26</v>
      </c>
      <c r="AF229" s="88" t="str">
        <f t="shared" si="82"/>
        <v>"C:\Program Files (x86)\AstroGrep\AstroGrep.exe" /spath="%USERPROFILE%\AppData\Local\Temp\OnboardLogs" /stypes="app*4044*20161126*" /stext=" 00:.+((SYSTEM_STATE.+slice.+state.+changed )|(ment ac)|(system.+state.+changed )|(\[timeout)|(PRM\|1\|D)|(kpr)|(kdp)|(\|lc)|(penalty))" /e /r /s</v>
      </c>
      <c r="AG229" s="1" t="str">
        <f t="shared" si="83"/>
        <v>Other</v>
      </c>
      <c r="AH229" s="92" t="str">
        <f t="shared" si="84"/>
        <v>"%USERPROFILE%\Documents\GitHub\eaglep3\Utilities\RefineRTDCRunTimes.py" --tripid 61-25 --locoid 4044 --swversion DE.1.0.8.0 --startMP 204:1481 --initTime 2016-11-25T17:15:38 --startdatetime 2016-11-25T17:26:28 --delay 1 --endMP 204:1983 --enddatetime 2016-11-25T17:26:43 --enforcementcount 2 &gt;&gt;C:\Users\stu\Documents\GitHub\eaglep3-reporting\EC\2016-11-25-refined-times.txt</v>
      </c>
      <c r="AI229" s="119" t="str">
        <f t="shared" si="85"/>
        <v>echo {"issue":{"subject":"","project_id":79,"tracker_id":40,"status_id":1,"priority_id":2,"assigned_to_id":23,"start_date":"2016-11-25","description":"","custom_fields":[{"id":1,"name":"Subdivision","value":"Other"},{"id":4,"name":"Milepost","value":"0.1983"},{"id":17,"name":"Train ID","value":"61-25"},{"id":16,"name":"Locomotive ID","value":"4044"},{"id":130,"name":"Impact","value":""},{"id":150,"name":"Time of Event (Mountain Time)","value":"17:26:43"},{"id":151,"name":"Denver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53"/>
      <c r="AK229" s="53"/>
      <c r="AL229" s="53"/>
    </row>
    <row r="230" spans="1:38" x14ac:dyDescent="0.25">
      <c r="A230" s="37" t="s">
        <v>454</v>
      </c>
      <c r="B230" s="7">
        <v>4015</v>
      </c>
      <c r="C230" s="22" t="s">
        <v>217</v>
      </c>
      <c r="D230" s="22" t="s">
        <v>697</v>
      </c>
      <c r="E230" s="13">
        <v>42699.747314814813</v>
      </c>
      <c r="F230" s="13">
        <v>42699.749884259261</v>
      </c>
      <c r="G230" s="7">
        <v>3</v>
      </c>
      <c r="H230" s="22" t="s">
        <v>698</v>
      </c>
      <c r="I230" s="13">
        <v>42699.7575</v>
      </c>
      <c r="J230" s="7">
        <v>1</v>
      </c>
      <c r="K230" s="109" t="str">
        <f t="shared" si="69"/>
        <v>4015/4016</v>
      </c>
      <c r="L230" s="22" t="str">
        <f>VLOOKUP(A230,'Trips&amp;Operators'!$C$1:$E$10000,3,FALSE)</f>
        <v>MCREYNOLDS</v>
      </c>
      <c r="M230" s="6">
        <f t="shared" si="70"/>
        <v>7.6157407384016551E-3</v>
      </c>
      <c r="N230" s="7">
        <f t="shared" si="71"/>
        <v>10.966666663298383</v>
      </c>
      <c r="O230" s="7"/>
      <c r="P230" s="7"/>
      <c r="Q230" s="23"/>
      <c r="R230" s="23"/>
      <c r="S230" s="35">
        <f t="shared" si="72"/>
        <v>0</v>
      </c>
      <c r="T230" s="50" t="e">
        <f t="shared" si="73"/>
        <v>#VALUE!</v>
      </c>
      <c r="U230" s="171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https://search-rtdc-monitor-bjffxe2xuh6vdkpspy63sjmuny.us-east-1.es.amazonaws.com/_plugin/kibana/#/discover/Steve-Slow-Train-Analysis-(2080s-and-2083s)?_g=(refreshInterval:(display:Off,section:0,value:0),time:(from:'2016-11-25 16:56:08-700',mode:absolute,to:'2016-11-25 19:10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230" s="52" t="str">
        <f t="shared" si="75"/>
        <v>Y</v>
      </c>
      <c r="X230" s="177" t="e">
        <f t="shared" si="76"/>
        <v>#VALUE!</v>
      </c>
      <c r="Y230" s="67">
        <f t="shared" si="77"/>
        <v>2.1987999999999999</v>
      </c>
      <c r="Z230" s="67">
        <f t="shared" si="78"/>
        <v>9.2999999999999999E-2</v>
      </c>
      <c r="AA230" s="67">
        <f t="shared" si="79"/>
        <v>2.1057999999999999</v>
      </c>
      <c r="AB230" s="64" t="e">
        <f>VLOOKUP(A230,Enforcements!$C$7:$K$20,8,0)</f>
        <v>#N/A</v>
      </c>
      <c r="AC230" s="60" t="e">
        <f>VLOOKUP(A230,Enforcements!$C$7:$E$20,3,0)</f>
        <v>#N/A</v>
      </c>
      <c r="AD230" s="61" t="str">
        <f t="shared" si="80"/>
        <v>74-25</v>
      </c>
      <c r="AE230" s="91" t="str">
        <f t="shared" si="81"/>
        <v>aws s3 cp s3://rtdc.mdm.uploadarchive.raw/RTDC4015/ "%USERPROFILE%\AppData\Local\Temp\OnboardLogs"\RTDC4015\2016-11-25 --exclude "*" --recursive --include "*20161125*" &amp; "%USERPROFILE%\Documents\GitHub\mrs-test-scripts\Headless Mode &amp; Sideloading\WalkAndUnGZ.bat" "%USERPROFILE%\AppData\Local\Temp\OnboardLogs"\RTDC4015\2016-11-25 &amp; aws s3 cp s3://rtdc.mdm.uploadarchive.raw/RTDC4015/ "%USERPROFILE%\AppData\Local\Temp\OnboardLogs"\RTDC4015\2016-11-26 --exclude "*" --recursive --include "*20161126*" &amp; "%USERPROFILE%\Documents\GitHub\mrs-test-scripts\Headless Mode &amp; Sideloading\WalkAndUnGZ.bat" "%USERPROFILE%\AppData\Local\Temp\OnboardLogs"\RTDC4015\2016-11-26</v>
      </c>
      <c r="AF230" s="88" t="str">
        <f t="shared" si="82"/>
        <v>"C:\Program Files (x86)\AstroGrep\AstroGrep.exe" /spath="%USERPROFILE%\AppData\Local\Temp\OnboardLogs" /stypes="app*4015*20161126*" /stext=" 01:.+((SYSTEM_STATE.+slice.+state.+changed )|(ment ac)|(system.+state.+changed )|(\[timeout)|(PRM\|1\|D)|(kpr)|(kdp)|(\|lc)|(penalty))" /e /r /s</v>
      </c>
      <c r="AG230" s="1" t="str">
        <f t="shared" si="83"/>
        <v>Other</v>
      </c>
      <c r="AH230" s="92" t="str">
        <f t="shared" si="84"/>
        <v>"%USERPROFILE%\Documents\GitHub\eaglep3\Utilities\RefineRTDCRunTimes.py" --tripid 74-25 --locoid 4015 --swversion DE.1.0.8.0 --startMP 300:21988 --initTime 2016-11-25T17:56:08 --startdatetime 2016-11-25T17:59:50 --delay 3 --endMP 204:930 --enddatetime 2016-11-25T18:10:48 --enforcementcount 1 &gt;&gt;C:\Users\stu\Documents\GitHub\eaglep3-reporting\EC\2016-11-25-refined-times.txt</v>
      </c>
      <c r="AI230" s="119" t="str">
        <f t="shared" si="85"/>
        <v>echo {"issue":{"subject":"","project_id":79,"tracker_id":40,"status_id":1,"priority_id":2,"assigned_to_id":23,"start_date":"2016-11-25","description":"","custom_fields":[{"id":1,"name":"Subdivision","value":"Other"},{"id":4,"name":"Milepost","value":"0.093"},{"id":17,"name":"Train ID","value":"74-25"},{"id":16,"name":"Locomotive ID","value":"4015"},{"id":130,"name":"Impact","value":""},{"id":150,"name":"Time of Event (Mountain Time)","value":"18:10:48"},{"id":151,"name":"Denver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53"/>
      <c r="AK230" s="53"/>
      <c r="AL230" s="53"/>
    </row>
    <row r="231" spans="1:38" x14ac:dyDescent="0.25">
      <c r="A231" s="37" t="s">
        <v>611</v>
      </c>
      <c r="B231" s="7">
        <v>4052</v>
      </c>
      <c r="C231" s="22" t="s">
        <v>217</v>
      </c>
      <c r="D231" s="22" t="s">
        <v>699</v>
      </c>
      <c r="E231" s="13">
        <v>42700.082951388889</v>
      </c>
      <c r="F231" s="13">
        <v>42700.084270833337</v>
      </c>
      <c r="G231" s="7">
        <v>1</v>
      </c>
      <c r="H231" s="22" t="s">
        <v>700</v>
      </c>
      <c r="I231" s="13">
        <v>42700.099803240744</v>
      </c>
      <c r="J231" s="7">
        <v>0</v>
      </c>
      <c r="K231" s="109" t="str">
        <f t="shared" si="69"/>
        <v>4051/4052</v>
      </c>
      <c r="L231" s="22" t="str">
        <f>VLOOKUP(A231,'Trips&amp;Operators'!$C$1:$E$10000,3,FALSE)</f>
        <v>LALONDE</v>
      </c>
      <c r="M231" s="6">
        <f t="shared" si="70"/>
        <v>1.5532407407590654E-2</v>
      </c>
      <c r="N231" s="7">
        <f t="shared" si="71"/>
        <v>22.366666666930541</v>
      </c>
      <c r="O231" s="7"/>
      <c r="P231" s="7"/>
      <c r="Q231" s="23"/>
      <c r="R231" s="23"/>
      <c r="S231" s="35">
        <f t="shared" si="72"/>
        <v>0</v>
      </c>
      <c r="T231" s="50" t="e">
        <f t="shared" si="73"/>
        <v>#VALUE!</v>
      </c>
      <c r="U231" s="171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https://search-rtdc-monitor-bjffxe2xuh6vdkpspy63sjmuny.us-east-1.es.amazonaws.com/_plugin/kibana/#/discover/Steve-Slow-Train-Analysis-(2080s-and-2083s)?_g=(refreshInterval:(display:Off,section:0,value:0),time:(from:'2016-11-26 00:59:27-700',mode:absolute,to:'2016-11-26 03:23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231" s="52" t="str">
        <f t="shared" si="75"/>
        <v>N</v>
      </c>
      <c r="X231" s="177" t="e">
        <f t="shared" si="76"/>
        <v>#VALUE!</v>
      </c>
      <c r="Y231" s="67">
        <f t="shared" si="77"/>
        <v>12.9198</v>
      </c>
      <c r="Z231" s="67">
        <f t="shared" si="78"/>
        <v>0.98150000000000004</v>
      </c>
      <c r="AA231" s="67">
        <f t="shared" si="79"/>
        <v>11.9383</v>
      </c>
      <c r="AB231" s="64" t="e">
        <f>VLOOKUP(A231,Enforcements!$C$7:$K$20,8,0)</f>
        <v>#N/A</v>
      </c>
      <c r="AC231" s="60" t="e">
        <f>VLOOKUP(A231,Enforcements!$C$7:$E$20,3,0)</f>
        <v>#N/A</v>
      </c>
      <c r="AD231" s="61" t="str">
        <f t="shared" si="80"/>
        <v>80-25</v>
      </c>
      <c r="AE231" s="91" t="str">
        <f t="shared" si="81"/>
        <v>aws s3 cp s3://rtdc.mdm.uploadarchive.raw/RTDC4052/ "%USERPROFILE%\AppData\Local\Temp\OnboardLogs"\RTDC4052\2016-11-26 --exclude "*" --recursive --include "*20161126*" &amp; "%USERPROFILE%\Documents\GitHub\mrs-test-scripts\Headless Mode &amp; Sideloading\WalkAndUnGZ.bat" "%USERPROFILE%\AppData\Local\Temp\OnboardLogs"\RTDC4052\2016-11-26 &amp; aws s3 cp s3://rtdc.mdm.uploadarchive.raw/RTDC4052/ "%USERPROFILE%\AppData\Local\Temp\OnboardLogs"\RTDC4052\2016-11-27 --exclude "*" --recursive --include "*20161127*" &amp; "%USERPROFILE%\Documents\GitHub\mrs-test-scripts\Headless Mode &amp; Sideloading\WalkAndUnGZ.bat" "%USERPROFILE%\AppData\Local\Temp\OnboardLogs"\RTDC4052\2016-11-27</v>
      </c>
      <c r="AF231" s="88" t="str">
        <f t="shared" si="82"/>
        <v>"C:\Program Files (x86)\AstroGrep\AstroGrep.exe" /spath="%USERPROFILE%\AppData\Local\Temp\OnboardLogs" /stypes="app*4052*20161126*" /stext=" 09:.+((SYSTEM_STATE.+slice.+state.+changed )|(ment ac)|(system.+state.+changed )|(\[timeout)|(PRM\|1\|D)|(kpr)|(kdp)|(\|lc)|(penalty))" /e /r /s</v>
      </c>
      <c r="AG231" s="1" t="str">
        <f t="shared" si="83"/>
        <v>Other</v>
      </c>
      <c r="AH231" s="92" t="str">
        <f t="shared" si="84"/>
        <v>"%USERPROFILE%\Documents\GitHub\eaglep3\Utilities\RefineRTDCRunTimes.py" --tripid 80-25 --locoid 4052 --swversion DE.1.0.8.0 --startMP 204:129198 --initTime 2016-11-26T01:59:27 --startdatetime 2016-11-26T02:01:21 --delay 1 --endMP 204:9815 --enddatetime 2016-11-26T02:23:43 --enforcementcount 0 &gt;&gt;C:\Users\stu\Documents\GitHub\eaglep3-reporting\EC\2016-11-25-refined-times.txt</v>
      </c>
      <c r="AI231" s="119" t="str">
        <f t="shared" si="85"/>
        <v>echo {"issue":{"subject":"","project_id":79,"tracker_id":40,"status_id":1,"priority_id":2,"assigned_to_id":23,"start_date":"2016-11-26","description":"","custom_fields":[{"id":1,"name":"Subdivision","value":"Other"},{"id":4,"name":"Milepost","value":"0.9815"},{"id":17,"name":"Train ID","value":"80-25"},{"id":16,"name":"Locomotive ID","value":"4052"},{"id":130,"name":"Impact","value":""},{"id":150,"name":"Time of Event (Mountain Time)","value":"02:23:43"},{"id":151,"name":"Denver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53"/>
      <c r="AK231" s="53"/>
      <c r="AL231" s="53"/>
    </row>
    <row r="232" spans="1:38" x14ac:dyDescent="0.25">
      <c r="A232" s="37" t="s">
        <v>611</v>
      </c>
      <c r="B232" s="7">
        <v>4052</v>
      </c>
      <c r="C232" s="22" t="s">
        <v>217</v>
      </c>
      <c r="D232" s="22" t="s">
        <v>701</v>
      </c>
      <c r="E232" s="13">
        <v>42699.883148148147</v>
      </c>
      <c r="F232" s="13">
        <v>42699.887025462966</v>
      </c>
      <c r="G232" s="7">
        <v>1</v>
      </c>
      <c r="H232" s="22" t="s">
        <v>702</v>
      </c>
      <c r="I232" s="13">
        <v>42699.909270833334</v>
      </c>
      <c r="J232" s="7">
        <v>0</v>
      </c>
      <c r="K232" s="109" t="str">
        <f t="shared" si="69"/>
        <v>4051/4052</v>
      </c>
      <c r="L232" s="22" t="str">
        <f>VLOOKUP(A232,'Trips&amp;Operators'!$C$1:$E$10000,3,FALSE)</f>
        <v>LALONDE</v>
      </c>
      <c r="M232" s="6">
        <f t="shared" si="70"/>
        <v>2.2245370368182193E-2</v>
      </c>
      <c r="N232" s="7">
        <f t="shared" si="71"/>
        <v>32.033333330182359</v>
      </c>
      <c r="O232" s="7"/>
      <c r="P232" s="7"/>
      <c r="Q232" s="23"/>
      <c r="R232" s="23"/>
      <c r="S232" s="35">
        <f t="shared" si="72"/>
        <v>0</v>
      </c>
      <c r="T232" s="50" t="e">
        <f t="shared" si="73"/>
        <v>#VALUE!</v>
      </c>
      <c r="U232" s="171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https://search-rtdc-monitor-bjffxe2xuh6vdkpspy63sjmuny.us-east-1.es.amazonaws.com/_plugin/kibana/#/discover/Steve-Slow-Train-Analysis-(2080s-and-2083s)?_g=(refreshInterval:(display:Off,section:0,value:0),time:(from:'2016-11-25 20:11:44-700',mode:absolute,to:'2016-11-25 22:49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232" s="52" t="str">
        <f t="shared" si="75"/>
        <v>N</v>
      </c>
      <c r="X232" s="177" t="e">
        <f t="shared" si="76"/>
        <v>#VALUE!</v>
      </c>
      <c r="Y232" s="67">
        <f t="shared" si="77"/>
        <v>12.926399999999999</v>
      </c>
      <c r="Z232" s="67">
        <f t="shared" si="78"/>
        <v>1.0075000000000001</v>
      </c>
      <c r="AA232" s="67">
        <f t="shared" si="79"/>
        <v>11.918899999999999</v>
      </c>
      <c r="AB232" s="64" t="e">
        <f>VLOOKUP(A232,Enforcements!$C$7:$K$20,8,0)</f>
        <v>#N/A</v>
      </c>
      <c r="AC232" s="60" t="e">
        <f>VLOOKUP(A232,Enforcements!$C$7:$E$20,3,0)</f>
        <v>#N/A</v>
      </c>
      <c r="AD232" s="61" t="str">
        <f t="shared" si="80"/>
        <v>80-25</v>
      </c>
      <c r="AE232" s="91" t="str">
        <f t="shared" si="81"/>
        <v>aws s3 cp s3://rtdc.mdm.uploadarchive.raw/RTDC4052/ "%USERPROFILE%\AppData\Local\Temp\OnboardLogs"\RTDC4052\2016-11-25 --exclude "*" --recursive --include "*20161125*" &amp; "%USERPROFILE%\Documents\GitHub\mrs-test-scripts\Headless Mode &amp; Sideloading\WalkAndUnGZ.bat" "%USERPROFILE%\AppData\Local\Temp\OnboardLogs"\RTDC4052\2016-11-25 &amp; aws s3 cp s3://rtdc.mdm.uploadarchive.raw/RTDC4052/ "%USERPROFILE%\AppData\Local\Temp\OnboardLogs"\RTDC4052\2016-11-26 --exclude "*" --recursive --include "*20161126*" &amp; "%USERPROFILE%\Documents\GitHub\mrs-test-scripts\Headless Mode &amp; Sideloading\WalkAndUnGZ.bat" "%USERPROFILE%\AppData\Local\Temp\OnboardLogs"\RTDC4052\2016-11-26</v>
      </c>
      <c r="AF232" s="88" t="str">
        <f t="shared" si="82"/>
        <v>"C:\Program Files (x86)\AstroGrep\AstroGrep.exe" /spath="%USERPROFILE%\AppData\Local\Temp\OnboardLogs" /stypes="app*4052*20161126*" /stext=" 04:.+((SYSTEM_STATE.+slice.+state.+changed )|(ment ac)|(system.+state.+changed )|(\[timeout)|(PRM\|1\|D)|(kpr)|(kdp)|(\|lc)|(penalty))" /e /r /s</v>
      </c>
      <c r="AG232" s="1" t="str">
        <f t="shared" si="83"/>
        <v>Other</v>
      </c>
      <c r="AH232" s="92" t="str">
        <f t="shared" si="84"/>
        <v>"%USERPROFILE%\Documents\GitHub\eaglep3\Utilities\RefineRTDCRunTimes.py" --tripid 80-25 --locoid 4052 --swversion DE.1.0.8.0 --startMP 204:129264 --initTime 2016-11-25T21:11:44 --startdatetime 2016-11-25T21:17:19 --delay 1 --endMP 204:10075 --enddatetime 2016-11-25T21:49:21 --enforcementcount 0 &gt;&gt;C:\Users\stu\Documents\GitHub\eaglep3-reporting\EC\2016-11-25-refined-times.txt</v>
      </c>
      <c r="AI232" s="119" t="str">
        <f t="shared" si="85"/>
        <v>echo {"issue":{"subject":"","project_id":79,"tracker_id":40,"status_id":1,"priority_id":2,"assigned_to_id":23,"start_date":"2016-11-25","description":"","custom_fields":[{"id":1,"name":"Subdivision","value":"Other"},{"id":4,"name":"Milepost","value":"1.0075"},{"id":17,"name":"Train ID","value":"80-25"},{"id":16,"name":"Locomotive ID","value":"4052"},{"id":130,"name":"Impact","value":""},{"id":150,"name":"Time of Event (Mountain Time)","value":"21:49:21"},{"id":151,"name":"Denver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53"/>
      <c r="AK232" s="53"/>
      <c r="AL232" s="53"/>
    </row>
    <row r="233" spans="1:38" x14ac:dyDescent="0.25">
      <c r="A233" s="37" t="s">
        <v>611</v>
      </c>
      <c r="B233" s="7">
        <v>4052</v>
      </c>
      <c r="C233" s="22" t="s">
        <v>217</v>
      </c>
      <c r="D233" s="22" t="s">
        <v>703</v>
      </c>
      <c r="E233" s="13">
        <v>42699.931817129633</v>
      </c>
      <c r="F233" s="13">
        <v>42699.935833333337</v>
      </c>
      <c r="G233" s="7">
        <v>1</v>
      </c>
      <c r="H233" s="22" t="s">
        <v>704</v>
      </c>
      <c r="I233" s="13">
        <v>42699.951770833337</v>
      </c>
      <c r="J233" s="7">
        <v>0</v>
      </c>
      <c r="K233" s="109" t="str">
        <f t="shared" si="69"/>
        <v>4051/4052</v>
      </c>
      <c r="L233" s="22" t="str">
        <f>VLOOKUP(A233,'Trips&amp;Operators'!$C$1:$E$10000,3,FALSE)</f>
        <v>LALONDE</v>
      </c>
      <c r="M233" s="6">
        <f t="shared" si="70"/>
        <v>1.5937500000291038E-2</v>
      </c>
      <c r="N233" s="7">
        <f t="shared" si="71"/>
        <v>22.950000000419095</v>
      </c>
      <c r="O233" s="7"/>
      <c r="P233" s="7"/>
      <c r="Q233" s="23"/>
      <c r="R233" s="23"/>
      <c r="S233" s="35">
        <f t="shared" si="72"/>
        <v>0</v>
      </c>
      <c r="T233" s="50" t="e">
        <f t="shared" si="73"/>
        <v>#VALUE!</v>
      </c>
      <c r="U233" s="171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https://search-rtdc-monitor-bjffxe2xuh6vdkpspy63sjmuny.us-east-1.es.amazonaws.com/_plugin/kibana/#/discover/Steve-Slow-Train-Analysis-(2080s-and-2083s)?_g=(refreshInterval:(display:Off,section:0,value:0),time:(from:'2016-11-25 21:21:49-700',mode:absolute,to:'2016-11-25 23:50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233" s="52" t="str">
        <f t="shared" si="75"/>
        <v>N</v>
      </c>
      <c r="X233" s="177" t="e">
        <f t="shared" si="76"/>
        <v>#VALUE!</v>
      </c>
      <c r="Y233" s="67">
        <f t="shared" si="77"/>
        <v>12.943199999999999</v>
      </c>
      <c r="Z233" s="67">
        <f t="shared" si="78"/>
        <v>1.0283</v>
      </c>
      <c r="AA233" s="67">
        <f t="shared" si="79"/>
        <v>11.914899999999999</v>
      </c>
      <c r="AB233" s="64" t="e">
        <f>VLOOKUP(A233,Enforcements!$C$7:$K$20,8,0)</f>
        <v>#N/A</v>
      </c>
      <c r="AC233" s="60" t="e">
        <f>VLOOKUP(A233,Enforcements!$C$7:$E$20,3,0)</f>
        <v>#N/A</v>
      </c>
      <c r="AD233" s="61" t="str">
        <f t="shared" si="80"/>
        <v>80-25</v>
      </c>
      <c r="AE233" s="91" t="str">
        <f t="shared" si="81"/>
        <v>aws s3 cp s3://rtdc.mdm.uploadarchive.raw/RTDC4052/ "%USERPROFILE%\AppData\Local\Temp\OnboardLogs"\RTDC4052\2016-11-25 --exclude "*" --recursive --include "*20161125*" &amp; "%USERPROFILE%\Documents\GitHub\mrs-test-scripts\Headless Mode &amp; Sideloading\WalkAndUnGZ.bat" "%USERPROFILE%\AppData\Local\Temp\OnboardLogs"\RTDC4052\2016-11-25 &amp; aws s3 cp s3://rtdc.mdm.uploadarchive.raw/RTDC4052/ "%USERPROFILE%\AppData\Local\Temp\OnboardLogs"\RTDC4052\2016-11-26 --exclude "*" --recursive --include "*20161126*" &amp; "%USERPROFILE%\Documents\GitHub\mrs-test-scripts\Headless Mode &amp; Sideloading\WalkAndUnGZ.bat" "%USERPROFILE%\AppData\Local\Temp\OnboardLogs"\RTDC4052\2016-11-26</v>
      </c>
      <c r="AF233" s="88" t="str">
        <f t="shared" si="82"/>
        <v>"C:\Program Files (x86)\AstroGrep\AstroGrep.exe" /spath="%USERPROFILE%\AppData\Local\Temp\OnboardLogs" /stypes="app*4052*20161126*" /stext=" 05:.+((SYSTEM_STATE.+slice.+state.+changed )|(ment ac)|(system.+state.+changed )|(\[timeout)|(PRM\|1\|D)|(kpr)|(kdp)|(\|lc)|(penalty))" /e /r /s</v>
      </c>
      <c r="AG233" s="1" t="str">
        <f t="shared" si="83"/>
        <v>Other</v>
      </c>
      <c r="AH233" s="92" t="str">
        <f t="shared" si="84"/>
        <v>"%USERPROFILE%\Documents\GitHub\eaglep3\Utilities\RefineRTDCRunTimes.py" --tripid 80-25 --locoid 4052 --swversion DE.1.0.8.0 --startMP 204:129432 --initTime 2016-11-25T22:21:49 --startdatetime 2016-11-25T22:27:36 --delay 1 --endMP 204:10283 --enddatetime 2016-11-25T22:50:33 --enforcementcount 0 &gt;&gt;C:\Users\stu\Documents\GitHub\eaglep3-reporting\EC\2016-11-25-refined-times.txt</v>
      </c>
      <c r="AI233" s="119" t="str">
        <f t="shared" si="85"/>
        <v>echo {"issue":{"subject":"","project_id":79,"tracker_id":40,"status_id":1,"priority_id":2,"assigned_to_id":23,"start_date":"2016-11-25","description":"","custom_fields":[{"id":1,"name":"Subdivision","value":"Other"},{"id":4,"name":"Milepost","value":"1.0283"},{"id":17,"name":"Train ID","value":"80-25"},{"id":16,"name":"Locomotive ID","value":"4052"},{"id":130,"name":"Impact","value":""},{"id":150,"name":"Time of Event (Mountain Time)","value":"22:50:33"},{"id":151,"name":"Denver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53"/>
      <c r="AK233" s="53"/>
      <c r="AL233" s="53"/>
    </row>
    <row r="234" spans="1:38" x14ac:dyDescent="0.25">
      <c r="A234" s="37" t="s">
        <v>611</v>
      </c>
      <c r="B234" s="7">
        <v>4052</v>
      </c>
      <c r="C234" s="22" t="s">
        <v>217</v>
      </c>
      <c r="D234" s="22" t="s">
        <v>705</v>
      </c>
      <c r="E234" s="13">
        <v>42699.973854166667</v>
      </c>
      <c r="F234" s="13">
        <v>42699.975428240738</v>
      </c>
      <c r="G234" s="7">
        <v>1</v>
      </c>
      <c r="H234" s="22" t="s">
        <v>706</v>
      </c>
      <c r="I234" s="13">
        <v>42699.99318287037</v>
      </c>
      <c r="J234" s="7">
        <v>0</v>
      </c>
      <c r="K234" s="109" t="str">
        <f t="shared" si="69"/>
        <v>4051/4052</v>
      </c>
      <c r="L234" s="22" t="str">
        <f>VLOOKUP(A234,'Trips&amp;Operators'!$C$1:$E$10000,3,FALSE)</f>
        <v>LALONDE</v>
      </c>
      <c r="M234" s="6">
        <f t="shared" si="70"/>
        <v>1.7754629632690921E-2</v>
      </c>
      <c r="N234" s="7">
        <f t="shared" si="71"/>
        <v>25.566666671074927</v>
      </c>
      <c r="O234" s="7"/>
      <c r="P234" s="7"/>
      <c r="Q234" s="23"/>
      <c r="R234" s="23"/>
      <c r="S234" s="35">
        <f t="shared" si="72"/>
        <v>0</v>
      </c>
      <c r="T234" s="50" t="e">
        <f t="shared" si="73"/>
        <v>#VALUE!</v>
      </c>
      <c r="U234" s="171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https://search-rtdc-monitor-bjffxe2xuh6vdkpspy63sjmuny.us-east-1.es.amazonaws.com/_plugin/kibana/#/discover/Steve-Slow-Train-Analysis-(2080s-and-2083s)?_g=(refreshInterval:(display:Off,section:0,value:0),time:(from:'2016-11-25 22:22:21-700',mode:absolute,to:'2016-11-26 00:50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234" s="52" t="str">
        <f t="shared" si="75"/>
        <v>N</v>
      </c>
      <c r="X234" s="177" t="e">
        <f t="shared" si="76"/>
        <v>#VALUE!</v>
      </c>
      <c r="Y234" s="67">
        <f t="shared" si="77"/>
        <v>12.95</v>
      </c>
      <c r="Z234" s="67">
        <f t="shared" si="78"/>
        <v>0.11749999999999999</v>
      </c>
      <c r="AA234" s="67">
        <f t="shared" si="79"/>
        <v>12.8325</v>
      </c>
      <c r="AB234" s="64" t="e">
        <f>VLOOKUP(A234,Enforcements!$C$7:$K$20,8,0)</f>
        <v>#N/A</v>
      </c>
      <c r="AC234" s="60" t="e">
        <f>VLOOKUP(A234,Enforcements!$C$7:$E$20,3,0)</f>
        <v>#N/A</v>
      </c>
      <c r="AD234" s="61" t="str">
        <f t="shared" si="80"/>
        <v>80-25</v>
      </c>
      <c r="AE234" s="91" t="str">
        <f t="shared" si="81"/>
        <v>aws s3 cp s3://rtdc.mdm.uploadarchive.raw/RTDC4052/ "%USERPROFILE%\AppData\Local\Temp\OnboardLogs"\RTDC4052\2016-11-25 --exclude "*" --recursive --include "*20161125*" &amp; "%USERPROFILE%\Documents\GitHub\mrs-test-scripts\Headless Mode &amp; Sideloading\WalkAndUnGZ.bat" "%USERPROFILE%\AppData\Local\Temp\OnboardLogs"\RTDC4052\2016-11-25 &amp; aws s3 cp s3://rtdc.mdm.uploadarchive.raw/RTDC4052/ "%USERPROFILE%\AppData\Local\Temp\OnboardLogs"\RTDC4052\2016-11-26 --exclude "*" --recursive --include "*20161126*" &amp; "%USERPROFILE%\Documents\GitHub\mrs-test-scripts\Headless Mode &amp; Sideloading\WalkAndUnGZ.bat" "%USERPROFILE%\AppData\Local\Temp\OnboardLogs"\RTDC4052\2016-11-26</v>
      </c>
      <c r="AF234" s="88" t="str">
        <f t="shared" si="82"/>
        <v>"C:\Program Files (x86)\AstroGrep\AstroGrep.exe" /spath="%USERPROFILE%\AppData\Local\Temp\OnboardLogs" /stypes="app*4052*20161126*" /stext=" 06:.+((SYSTEM_STATE.+slice.+state.+changed )|(ment ac)|(system.+state.+changed )|(\[timeout)|(PRM\|1\|D)|(kpr)|(kdp)|(\|lc)|(penalty))" /e /r /s</v>
      </c>
      <c r="AG234" s="1" t="str">
        <f t="shared" si="83"/>
        <v>Other</v>
      </c>
      <c r="AH234" s="92" t="str">
        <f t="shared" si="84"/>
        <v>"%USERPROFILE%\Documents\GitHub\eaglep3\Utilities\RefineRTDCRunTimes.py" --tripid 80-25 --locoid 4052 --swversion DE.1.0.8.0 --startMP 204:129500 --initTime 2016-11-25T23:22:21 --startdatetime 2016-11-25T23:24:37 --delay 1 --endMP 204:1175 --enddatetime 2016-11-25T23:50:11 --enforcementcount 0 &gt;&gt;C:\Users\stu\Documents\GitHub\eaglep3-reporting\EC\2016-11-25-refined-times.txt</v>
      </c>
      <c r="AI234" s="119" t="str">
        <f t="shared" si="85"/>
        <v>echo {"issue":{"subject":"","project_id":79,"tracker_id":40,"status_id":1,"priority_id":2,"assigned_to_id":23,"start_date":"2016-11-25","description":"","custom_fields":[{"id":1,"name":"Subdivision","value":"Other"},{"id":4,"name":"Milepost","value":"0.1175"},{"id":17,"name":"Train ID","value":"80-25"},{"id":16,"name":"Locomotive ID","value":"4052"},{"id":130,"name":"Impact","value":""},{"id":150,"name":"Time of Event (Mountain Time)","value":"23:50:11"},{"id":151,"name":"Denver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53"/>
      <c r="AK234" s="53"/>
      <c r="AL234" s="53"/>
    </row>
    <row r="235" spans="1:38" x14ac:dyDescent="0.25">
      <c r="A235" s="37" t="s">
        <v>611</v>
      </c>
      <c r="B235" s="7">
        <v>4052</v>
      </c>
      <c r="C235" s="22" t="s">
        <v>217</v>
      </c>
      <c r="D235" s="22" t="s">
        <v>707</v>
      </c>
      <c r="E235" s="13">
        <v>42700.04483796296</v>
      </c>
      <c r="F235" s="13">
        <v>42700.084270833337</v>
      </c>
      <c r="G235" s="7">
        <v>1</v>
      </c>
      <c r="H235" s="22" t="s">
        <v>708</v>
      </c>
      <c r="I235" s="13">
        <v>42700.099803240744</v>
      </c>
      <c r="J235" s="7">
        <v>0</v>
      </c>
      <c r="K235" s="109" t="str">
        <f t="shared" si="69"/>
        <v>4051/4052</v>
      </c>
      <c r="L235" s="22" t="str">
        <f>VLOOKUP(A235,'Trips&amp;Operators'!$C$1:$E$10000,3,FALSE)</f>
        <v>LALONDE</v>
      </c>
      <c r="M235" s="6">
        <f t="shared" si="70"/>
        <v>1.5532407407590654E-2</v>
      </c>
      <c r="N235" s="7">
        <f t="shared" si="71"/>
        <v>22.366666666930541</v>
      </c>
      <c r="O235" s="7"/>
      <c r="P235" s="7"/>
      <c r="Q235" s="23"/>
      <c r="R235" s="23"/>
      <c r="S235" s="35">
        <f t="shared" si="72"/>
        <v>0</v>
      </c>
      <c r="T235" s="50" t="e">
        <f t="shared" si="73"/>
        <v>#VALUE!</v>
      </c>
      <c r="U235" s="171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https://search-rtdc-monitor-bjffxe2xuh6vdkpspy63sjmuny.us-east-1.es.amazonaws.com/_plugin/kibana/#/discover/Steve-Slow-Train-Analysis-(2080s-and-2083s)?_g=(refreshInterval:(display:Off,section:0,value:0),time:(from:'2016-11-26 00:04:34-700',mode:absolute,to:'2016-11-26 03:23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235" s="52" t="str">
        <f t="shared" si="75"/>
        <v>N</v>
      </c>
      <c r="X235" s="177" t="e">
        <f t="shared" si="76"/>
        <v>#VALUE!</v>
      </c>
      <c r="Y235" s="67">
        <f t="shared" si="77"/>
        <v>12.950699999999999</v>
      </c>
      <c r="Z235" s="67">
        <f t="shared" si="78"/>
        <v>1.0297000000000001</v>
      </c>
      <c r="AA235" s="67">
        <f t="shared" si="79"/>
        <v>11.920999999999999</v>
      </c>
      <c r="AB235" s="64" t="e">
        <f>VLOOKUP(A235,Enforcements!$C$7:$K$20,8,0)</f>
        <v>#N/A</v>
      </c>
      <c r="AC235" s="60" t="e">
        <f>VLOOKUP(A235,Enforcements!$C$7:$E$20,3,0)</f>
        <v>#N/A</v>
      </c>
      <c r="AD235" s="61" t="str">
        <f t="shared" si="80"/>
        <v>80-25</v>
      </c>
      <c r="AE235" s="91" t="str">
        <f t="shared" si="81"/>
        <v>aws s3 cp s3://rtdc.mdm.uploadarchive.raw/RTDC4052/ "%USERPROFILE%\AppData\Local\Temp\OnboardLogs"\RTDC4052\2016-11-26 --exclude "*" --recursive --include "*20161126*" &amp; "%USERPROFILE%\Documents\GitHub\mrs-test-scripts\Headless Mode &amp; Sideloading\WalkAndUnGZ.bat" "%USERPROFILE%\AppData\Local\Temp\OnboardLogs"\RTDC4052\2016-11-26 &amp; aws s3 cp s3://rtdc.mdm.uploadarchive.raw/RTDC4052/ "%USERPROFILE%\AppData\Local\Temp\OnboardLogs"\RTDC4052\2016-11-27 --exclude "*" --recursive --include "*20161127*" &amp; "%USERPROFILE%\Documents\GitHub\mrs-test-scripts\Headless Mode &amp; Sideloading\WalkAndUnGZ.bat" "%USERPROFILE%\AppData\Local\Temp\OnboardLogs"\RTDC4052\2016-11-27</v>
      </c>
      <c r="AF235" s="88" t="str">
        <f t="shared" si="82"/>
        <v>"C:\Program Files (x86)\AstroGrep\AstroGrep.exe" /spath="%USERPROFILE%\AppData\Local\Temp\OnboardLogs" /stypes="app*4052*20161126*" /stext=" 09:.+((SYSTEM_STATE.+slice.+state.+changed )|(ment ac)|(system.+state.+changed )|(\[timeout)|(PRM\|1\|D)|(kpr)|(kdp)|(\|lc)|(penalty))" /e /r /s</v>
      </c>
      <c r="AG235" s="1" t="str">
        <f t="shared" si="83"/>
        <v>Other</v>
      </c>
      <c r="AH235" s="92" t="str">
        <f t="shared" si="84"/>
        <v>"%USERPROFILE%\Documents\GitHub\eaglep3\Utilities\RefineRTDCRunTimes.py" --tripid 80-25 --locoid 4052 --swversion DE.1.0.8.0 --startMP 204:129507 --initTime 2016-11-26T01:04:34 --startdatetime 2016-11-26T02:01:21 --delay 1 --endMP 204:10297 --enddatetime 2016-11-26T02:23:43 --enforcementcount 0 &gt;&gt;C:\Users\stu\Documents\GitHub\eaglep3-reporting\EC\2016-11-25-refined-times.txt</v>
      </c>
      <c r="AI235" s="119" t="str">
        <f t="shared" si="85"/>
        <v>echo {"issue":{"subject":"","project_id":79,"tracker_id":40,"status_id":1,"priority_id":2,"assigned_to_id":23,"start_date":"2016-11-26","description":"","custom_fields":[{"id":1,"name":"Subdivision","value":"Other"},{"id":4,"name":"Milepost","value":"1.0297"},{"id":17,"name":"Train ID","value":"80-25"},{"id":16,"name":"Locomotive ID","value":"4052"},{"id":130,"name":"Impact","value":""},{"id":150,"name":"Time of Event (Mountain Time)","value":"02:23:43"},{"id":151,"name":"Denver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53"/>
      <c r="AK235" s="53"/>
      <c r="AL235" s="53"/>
    </row>
    <row r="236" spans="1:38" x14ac:dyDescent="0.25">
      <c r="A236" s="37" t="s">
        <v>607</v>
      </c>
      <c r="B236" s="7">
        <v>4051</v>
      </c>
      <c r="C236" s="22" t="s">
        <v>217</v>
      </c>
      <c r="D236" s="22" t="s">
        <v>715</v>
      </c>
      <c r="E236" s="13">
        <v>42699.910393518519</v>
      </c>
      <c r="F236" s="13">
        <v>42699.911863425928</v>
      </c>
      <c r="G236" s="7">
        <v>1</v>
      </c>
      <c r="H236" s="22" t="s">
        <v>716</v>
      </c>
      <c r="I236" s="13">
        <v>42699.929398148146</v>
      </c>
      <c r="J236" s="7">
        <v>0</v>
      </c>
      <c r="K236" s="109" t="str">
        <f t="shared" si="69"/>
        <v>4051/4052</v>
      </c>
      <c r="L236" s="22" t="str">
        <f>VLOOKUP(A236,'Trips&amp;Operators'!$C$1:$E$10000,3,FALSE)</f>
        <v>LALONDE</v>
      </c>
      <c r="M236" s="6">
        <f t="shared" si="70"/>
        <v>1.7534722217533272E-2</v>
      </c>
      <c r="N236" s="7">
        <f t="shared" si="71"/>
        <v>25.249999993247911</v>
      </c>
      <c r="O236" s="7"/>
      <c r="P236" s="7"/>
      <c r="Q236" s="23"/>
      <c r="R236" s="23"/>
      <c r="S236" s="35">
        <f t="shared" si="72"/>
        <v>0</v>
      </c>
      <c r="T236" s="50" t="e">
        <f t="shared" si="73"/>
        <v>#VALUE!</v>
      </c>
      <c r="U236" s="171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https://search-rtdc-monitor-bjffxe2xuh6vdkpspy63sjmuny.us-east-1.es.amazonaws.com/_plugin/kibana/#/discover/Steve-Slow-Train-Analysis-(2080s-and-2083s)?_g=(refreshInterval:(display:Off,section:0,value:0),time:(from:'2016-11-25 20:50:58-700',mode:absolute,to:'2016-11-25 23:18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36" s="52" t="str">
        <f t="shared" si="75"/>
        <v>N</v>
      </c>
      <c r="X236" s="177" t="e">
        <f t="shared" si="76"/>
        <v>#VALUE!</v>
      </c>
      <c r="Y236" s="67">
        <f t="shared" si="77"/>
        <v>1.0309999999999999</v>
      </c>
      <c r="Z236" s="67">
        <f t="shared" si="78"/>
        <v>12.9808</v>
      </c>
      <c r="AA236" s="67">
        <f t="shared" si="79"/>
        <v>11.9498</v>
      </c>
      <c r="AB236" s="64" t="e">
        <f>VLOOKUP(A236,Enforcements!$C$7:$K$20,8,0)</f>
        <v>#N/A</v>
      </c>
      <c r="AC236" s="60" t="e">
        <f>VLOOKUP(A236,Enforcements!$C$7:$E$20,3,0)</f>
        <v>#N/A</v>
      </c>
      <c r="AD236" s="61" t="str">
        <f t="shared" si="80"/>
        <v>81-25</v>
      </c>
      <c r="AE236" s="91" t="str">
        <f t="shared" si="81"/>
        <v>aws s3 cp s3://rtdc.mdm.uploadarchive.raw/RTDC4051/ "%USERPROFILE%\AppData\Local\Temp\OnboardLogs"\RTDC4051\2016-11-25 --exclude "*" --recursive --include "*20161125*" &amp; "%USERPROFILE%\Documents\GitHub\mrs-test-scripts\Headless Mode &amp; Sideloading\WalkAndUnGZ.bat" "%USERPROFILE%\AppData\Local\Temp\OnboardLogs"\RTDC4051\2016-11-25 &amp; aws s3 cp s3://rtdc.mdm.uploadarchive.raw/RTDC4051/ "%USERPROFILE%\AppData\Local\Temp\OnboardLogs"\RTDC4051\2016-11-26 --exclude "*" --recursive --include "*20161126*" &amp; "%USERPROFILE%\Documents\GitHub\mrs-test-scripts\Headless Mode &amp; Sideloading\WalkAndUnGZ.bat" "%USERPROFILE%\AppData\Local\Temp\OnboardLogs"\RTDC4051\2016-11-26</v>
      </c>
      <c r="AF236" s="88" t="str">
        <f t="shared" si="82"/>
        <v>"C:\Program Files (x86)\AstroGrep\AstroGrep.exe" /spath="%USERPROFILE%\AppData\Local\Temp\OnboardLogs" /stypes="app*4051*20161126*" /stext=" 05:.+((SYSTEM_STATE.+slice.+state.+changed )|(ment ac)|(system.+state.+changed )|(\[timeout)|(PRM\|1\|D)|(kpr)|(kdp)|(\|lc)|(penalty))" /e /r /s</v>
      </c>
      <c r="AG236" s="1" t="str">
        <f t="shared" si="83"/>
        <v>Other</v>
      </c>
      <c r="AH236" s="92" t="str">
        <f t="shared" si="84"/>
        <v>"%USERPROFILE%\Documents\GitHub\eaglep3\Utilities\RefineRTDCRunTimes.py" --tripid 81-25 --locoid 4051 --swversion DE.1.0.8.0 --startMP 204:10310 --initTime 2016-11-25T21:50:58 --startdatetime 2016-11-25T21:53:05 --delay 1 --endMP 204:129808 --enddatetime 2016-11-25T22:18:20 --enforcementcount 0 &gt;&gt;C:\Users\stu\Documents\GitHub\eaglep3-reporting\EC\2016-11-25-refined-times.txt</v>
      </c>
      <c r="AI236" s="119" t="str">
        <f t="shared" si="85"/>
        <v>echo {"issue":{"subject":"","project_id":79,"tracker_id":40,"status_id":1,"priority_id":2,"assigned_to_id":23,"start_date":"2016-11-25","description":"","custom_fields":[{"id":1,"name":"Subdivision","value":"Other"},{"id":4,"name":"Milepost","value":"12.9808"},{"id":17,"name":"Train ID","value":"81-25"},{"id":16,"name":"Locomotive ID","value":"4051"},{"id":130,"name":"Impact","value":""},{"id":150,"name":"Time of Event (Mountain Time)","value":"22:18:20"},{"id":151,"name":"Denver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53"/>
      <c r="AK236" s="53"/>
      <c r="AL236" s="53"/>
    </row>
    <row r="237" spans="1:38" x14ac:dyDescent="0.25">
      <c r="A237" s="37" t="s">
        <v>607</v>
      </c>
      <c r="B237" s="7">
        <v>4051</v>
      </c>
      <c r="C237" s="22" t="s">
        <v>217</v>
      </c>
      <c r="D237" s="22" t="s">
        <v>717</v>
      </c>
      <c r="E237" s="13">
        <v>42699.953622685185</v>
      </c>
      <c r="F237" s="13">
        <v>42699.95521990741</v>
      </c>
      <c r="G237" s="7">
        <v>1</v>
      </c>
      <c r="H237" s="22" t="s">
        <v>718</v>
      </c>
      <c r="I237" s="13">
        <v>42699.97146990741</v>
      </c>
      <c r="J237" s="7">
        <v>0</v>
      </c>
      <c r="K237" s="109" t="str">
        <f t="shared" si="69"/>
        <v>4051/4052</v>
      </c>
      <c r="L237" s="22" t="str">
        <f>VLOOKUP(A237,'Trips&amp;Operators'!$C$1:$E$10000,3,FALSE)</f>
        <v>LALONDE</v>
      </c>
      <c r="M237" s="6">
        <f t="shared" si="70"/>
        <v>1.6250000000582077E-2</v>
      </c>
      <c r="N237" s="7">
        <f t="shared" si="71"/>
        <v>23.40000000083819</v>
      </c>
      <c r="O237" s="7"/>
      <c r="P237" s="7"/>
      <c r="Q237" s="23"/>
      <c r="R237" s="23"/>
      <c r="S237" s="35">
        <f t="shared" si="72"/>
        <v>0</v>
      </c>
      <c r="T237" s="50" t="e">
        <f t="shared" si="73"/>
        <v>#VALUE!</v>
      </c>
      <c r="U237" s="171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https://search-rtdc-monitor-bjffxe2xuh6vdkpspy63sjmuny.us-east-1.es.amazonaws.com/_plugin/kibana/#/discover/Steve-Slow-Train-Analysis-(2080s-and-2083s)?_g=(refreshInterval:(display:Off,section:0,value:0),time:(from:'2016-11-25 21:53:13-700',mode:absolute,to:'2016-11-26 00:18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37" s="52" t="str">
        <f t="shared" si="75"/>
        <v>N</v>
      </c>
      <c r="X237" s="177" t="e">
        <f t="shared" si="76"/>
        <v>#VALUE!</v>
      </c>
      <c r="Y237" s="67">
        <f t="shared" si="77"/>
        <v>1.0521</v>
      </c>
      <c r="Z237" s="67">
        <f t="shared" si="78"/>
        <v>12.986800000000001</v>
      </c>
      <c r="AA237" s="67">
        <f t="shared" si="79"/>
        <v>11.934700000000001</v>
      </c>
      <c r="AB237" s="64" t="e">
        <f>VLOOKUP(A237,Enforcements!$C$7:$K$20,8,0)</f>
        <v>#N/A</v>
      </c>
      <c r="AC237" s="60" t="e">
        <f>VLOOKUP(A237,Enforcements!$C$7:$E$20,3,0)</f>
        <v>#N/A</v>
      </c>
      <c r="AD237" s="61" t="str">
        <f t="shared" si="80"/>
        <v>81-25</v>
      </c>
      <c r="AE237" s="91" t="str">
        <f t="shared" si="81"/>
        <v>aws s3 cp s3://rtdc.mdm.uploadarchive.raw/RTDC4051/ "%USERPROFILE%\AppData\Local\Temp\OnboardLogs"\RTDC4051\2016-11-25 --exclude "*" --recursive --include "*20161125*" &amp; "%USERPROFILE%\Documents\GitHub\mrs-test-scripts\Headless Mode &amp; Sideloading\WalkAndUnGZ.bat" "%USERPROFILE%\AppData\Local\Temp\OnboardLogs"\RTDC4051\2016-11-25 &amp; aws s3 cp s3://rtdc.mdm.uploadarchive.raw/RTDC4051/ "%USERPROFILE%\AppData\Local\Temp\OnboardLogs"\RTDC4051\2016-11-26 --exclude "*" --recursive --include "*20161126*" &amp; "%USERPROFILE%\Documents\GitHub\mrs-test-scripts\Headless Mode &amp; Sideloading\WalkAndUnGZ.bat" "%USERPROFILE%\AppData\Local\Temp\OnboardLogs"\RTDC4051\2016-11-26</v>
      </c>
      <c r="AF237" s="88" t="str">
        <f t="shared" si="82"/>
        <v>"C:\Program Files (x86)\AstroGrep\AstroGrep.exe" /spath="%USERPROFILE%\AppData\Local\Temp\OnboardLogs" /stypes="app*4051*20161126*" /stext=" 06:.+((SYSTEM_STATE.+slice.+state.+changed )|(ment ac)|(system.+state.+changed )|(\[timeout)|(PRM\|1\|D)|(kpr)|(kdp)|(\|lc)|(penalty))" /e /r /s</v>
      </c>
      <c r="AG237" s="1" t="str">
        <f t="shared" si="83"/>
        <v>Other</v>
      </c>
      <c r="AH237" s="92" t="str">
        <f t="shared" si="84"/>
        <v>"%USERPROFILE%\Documents\GitHub\eaglep3\Utilities\RefineRTDCRunTimes.py" --tripid 81-25 --locoid 4051 --swversion DE.1.0.8.0 --startMP 204:10521 --initTime 2016-11-25T22:53:13 --startdatetime 2016-11-25T22:55:31 --delay 1 --endMP 204:129868 --enddatetime 2016-11-25T23:18:55 --enforcementcount 0 &gt;&gt;C:\Users\stu\Documents\GitHub\eaglep3-reporting\EC\2016-11-25-refined-times.txt</v>
      </c>
      <c r="AI237" s="119" t="str">
        <f t="shared" si="85"/>
        <v>echo {"issue":{"subject":"","project_id":79,"tracker_id":40,"status_id":1,"priority_id":2,"assigned_to_id":23,"start_date":"2016-11-25","description":"","custom_fields":[{"id":1,"name":"Subdivision","value":"Other"},{"id":4,"name":"Milepost","value":"12.9868"},{"id":17,"name":"Train ID","value":"81-25"},{"id":16,"name":"Locomotive ID","value":"4051"},{"id":130,"name":"Impact","value":""},{"id":150,"name":"Time of Event (Mountain Time)","value":"23:18:55"},{"id":151,"name":"Denver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53"/>
      <c r="AK237" s="53"/>
      <c r="AL237" s="53"/>
    </row>
    <row r="238" spans="1:38" x14ac:dyDescent="0.25">
      <c r="A238" s="37" t="s">
        <v>607</v>
      </c>
      <c r="B238" s="7">
        <v>4051</v>
      </c>
      <c r="C238" s="22" t="s">
        <v>217</v>
      </c>
      <c r="D238" s="22" t="s">
        <v>719</v>
      </c>
      <c r="E238" s="13">
        <v>42700.064513888887</v>
      </c>
      <c r="F238" s="13">
        <v>42700.066192129627</v>
      </c>
      <c r="G238" s="7">
        <v>1</v>
      </c>
      <c r="H238" s="22" t="s">
        <v>720</v>
      </c>
      <c r="I238" s="13">
        <v>42700.081736111111</v>
      </c>
      <c r="J238" s="7">
        <v>0</v>
      </c>
      <c r="K238" s="109" t="str">
        <f t="shared" si="69"/>
        <v>4051/4052</v>
      </c>
      <c r="L238" s="22" t="str">
        <f>VLOOKUP(A238,'Trips&amp;Operators'!$C$1:$E$10000,3,FALSE)</f>
        <v>LALONDE</v>
      </c>
      <c r="M238" s="6">
        <f t="shared" si="70"/>
        <v>1.5543981484370306E-2</v>
      </c>
      <c r="N238" s="7">
        <f t="shared" si="71"/>
        <v>22.383333337493241</v>
      </c>
      <c r="O238" s="7"/>
      <c r="P238" s="7"/>
      <c r="Q238" s="23"/>
      <c r="R238" s="23"/>
      <c r="S238" s="35">
        <f t="shared" si="72"/>
        <v>0</v>
      </c>
      <c r="T238" s="50" t="e">
        <f t="shared" si="73"/>
        <v>#VALUE!</v>
      </c>
      <c r="U238" s="171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https://search-rtdc-monitor-bjffxe2xuh6vdkpspy63sjmuny.us-east-1.es.amazonaws.com/_plugin/kibana/#/discover/Steve-Slow-Train-Analysis-(2080s-and-2083s)?_g=(refreshInterval:(display:Off,section:0,value:0),time:(from:'2016-11-26 00:32:54-700',mode:absolute,to:'2016-11-26 02:57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38" s="52" t="str">
        <f t="shared" si="75"/>
        <v>N</v>
      </c>
      <c r="X238" s="177" t="e">
        <f t="shared" si="76"/>
        <v>#VALUE!</v>
      </c>
      <c r="Y238" s="67">
        <f t="shared" si="77"/>
        <v>1.0532999999999999</v>
      </c>
      <c r="Z238" s="67">
        <f t="shared" si="78"/>
        <v>12.9587</v>
      </c>
      <c r="AA238" s="67">
        <f t="shared" si="79"/>
        <v>11.9054</v>
      </c>
      <c r="AB238" s="64" t="e">
        <f>VLOOKUP(A238,Enforcements!$C$7:$K$20,8,0)</f>
        <v>#N/A</v>
      </c>
      <c r="AC238" s="60" t="e">
        <f>VLOOKUP(A238,Enforcements!$C$7:$E$20,3,0)</f>
        <v>#N/A</v>
      </c>
      <c r="AD238" s="61" t="str">
        <f t="shared" si="80"/>
        <v>81-25</v>
      </c>
      <c r="AE238" s="91" t="str">
        <f t="shared" si="81"/>
        <v>aws s3 cp s3://rtdc.mdm.uploadarchive.raw/RTDC4051/ "%USERPROFILE%\AppData\Local\Temp\OnboardLogs"\RTDC4051\2016-11-26 --exclude "*" --recursive --include "*20161126*" &amp; "%USERPROFILE%\Documents\GitHub\mrs-test-scripts\Headless Mode &amp; Sideloading\WalkAndUnGZ.bat" "%USERPROFILE%\AppData\Local\Temp\OnboardLogs"\RTDC4051\2016-11-26 &amp; aws s3 cp s3://rtdc.mdm.uploadarchive.raw/RTDC4051/ "%USERPROFILE%\AppData\Local\Temp\OnboardLogs"\RTDC4051\2016-11-27 --exclude "*" --recursive --include "*20161127*" &amp; "%USERPROFILE%\Documents\GitHub\mrs-test-scripts\Headless Mode &amp; Sideloading\WalkAndUnGZ.bat" "%USERPROFILE%\AppData\Local\Temp\OnboardLogs"\RTDC4051\2016-11-27</v>
      </c>
      <c r="AF238" s="88" t="str">
        <f t="shared" si="82"/>
        <v>"C:\Program Files (x86)\AstroGrep\AstroGrep.exe" /spath="%USERPROFILE%\AppData\Local\Temp\OnboardLogs" /stypes="app*4051*20161126*" /stext=" 08:.+((SYSTEM_STATE.+slice.+state.+changed )|(ment ac)|(system.+state.+changed )|(\[timeout)|(PRM\|1\|D)|(kpr)|(kdp)|(\|lc)|(penalty))" /e /r /s</v>
      </c>
      <c r="AG238" s="1" t="str">
        <f t="shared" si="83"/>
        <v>Other</v>
      </c>
      <c r="AH238" s="92" t="str">
        <f t="shared" si="84"/>
        <v>"%USERPROFILE%\Documents\GitHub\eaglep3\Utilities\RefineRTDCRunTimes.py" --tripid 81-25 --locoid 4051 --swversion DE.1.0.8.0 --startMP 204:10533 --initTime 2016-11-26T01:32:54 --startdatetime 2016-11-26T01:35:19 --delay 1 --endMP 204:129587 --enddatetime 2016-11-26T01:57:42 --enforcementcount 0 &gt;&gt;C:\Users\stu\Documents\GitHub\eaglep3-reporting\EC\2016-11-25-refined-times.txt</v>
      </c>
      <c r="AI238" s="119" t="str">
        <f t="shared" si="85"/>
        <v>echo {"issue":{"subject":"","project_id":79,"tracker_id":40,"status_id":1,"priority_id":2,"assigned_to_id":23,"start_date":"2016-11-26","description":"","custom_fields":[{"id":1,"name":"Subdivision","value":"Other"},{"id":4,"name":"Milepost","value":"12.9587"},{"id":17,"name":"Train ID","value":"81-25"},{"id":16,"name":"Locomotive ID","value":"4051"},{"id":130,"name":"Impact","value":""},{"id":150,"name":"Time of Event (Mountain Time)","value":"01:57:42"},{"id":151,"name":"Denver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8" s="53"/>
      <c r="AK238" s="53"/>
      <c r="AL238" s="53"/>
    </row>
    <row r="239" spans="1:38" x14ac:dyDescent="0.25">
      <c r="A239" s="37" t="s">
        <v>607</v>
      </c>
      <c r="B239" s="7">
        <v>4051</v>
      </c>
      <c r="C239" s="22" t="s">
        <v>217</v>
      </c>
      <c r="D239" s="22" t="s">
        <v>721</v>
      </c>
      <c r="E239" s="13">
        <v>42700.022245370368</v>
      </c>
      <c r="F239" s="13">
        <v>42700.026145833333</v>
      </c>
      <c r="G239" s="7">
        <v>1</v>
      </c>
      <c r="H239" s="22" t="s">
        <v>722</v>
      </c>
      <c r="I239" s="13">
        <v>42700.042488425926</v>
      </c>
      <c r="J239" s="7">
        <v>0</v>
      </c>
      <c r="K239" s="109" t="str">
        <f t="shared" si="69"/>
        <v>4051/4052</v>
      </c>
      <c r="L239" s="22" t="str">
        <f>VLOOKUP(A239,'Trips&amp;Operators'!$C$1:$E$10000,3,FALSE)</f>
        <v>LALONDE</v>
      </c>
      <c r="M239" s="6">
        <f t="shared" si="70"/>
        <v>1.6342592592991423E-2</v>
      </c>
      <c r="N239" s="7">
        <f t="shared" si="71"/>
        <v>23.533333333907649</v>
      </c>
      <c r="O239" s="7"/>
      <c r="P239" s="7"/>
      <c r="Q239" s="23"/>
      <c r="R239" s="23"/>
      <c r="S239" s="35">
        <f t="shared" si="72"/>
        <v>0</v>
      </c>
      <c r="T239" s="50" t="e">
        <f t="shared" si="73"/>
        <v>#VALUE!</v>
      </c>
      <c r="U239" s="171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https://search-rtdc-monitor-bjffxe2xuh6vdkpspy63sjmuny.us-east-1.es.amazonaws.com/_plugin/kibana/#/discover/Steve-Slow-Train-Analysis-(2080s-and-2083s)?_g=(refreshInterval:(display:Off,section:0,value:0),time:(from:'2016-11-25 23:32:02-700',mode:absolute,to:'2016-11-26 02:01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39" s="52" t="str">
        <f t="shared" si="75"/>
        <v>N</v>
      </c>
      <c r="X239" s="177" t="e">
        <f t="shared" si="76"/>
        <v>#VALUE!</v>
      </c>
      <c r="Y239" s="67">
        <f t="shared" si="77"/>
        <v>0.15</v>
      </c>
      <c r="Z239" s="67">
        <f t="shared" si="78"/>
        <v>12.989000000000001</v>
      </c>
      <c r="AA239" s="67">
        <f t="shared" si="79"/>
        <v>12.839</v>
      </c>
      <c r="AB239" s="64" t="e">
        <f>VLOOKUP(A239,Enforcements!$C$7:$K$20,8,0)</f>
        <v>#N/A</v>
      </c>
      <c r="AC239" s="60" t="e">
        <f>VLOOKUP(A239,Enforcements!$C$7:$E$20,3,0)</f>
        <v>#N/A</v>
      </c>
      <c r="AD239" s="61" t="str">
        <f t="shared" si="80"/>
        <v>81-25</v>
      </c>
      <c r="AE239" s="91" t="str">
        <f t="shared" si="81"/>
        <v>aws s3 cp s3://rtdc.mdm.uploadarchive.raw/RTDC4051/ "%USERPROFILE%\AppData\Local\Temp\OnboardLogs"\RTDC4051\2016-11-26 --exclude "*" --recursive --include "*20161126*" &amp; "%USERPROFILE%\Documents\GitHub\mrs-test-scripts\Headless Mode &amp; Sideloading\WalkAndUnGZ.bat" "%USERPROFILE%\AppData\Local\Temp\OnboardLogs"\RTDC4051\2016-11-26 &amp; aws s3 cp s3://rtdc.mdm.uploadarchive.raw/RTDC4051/ "%USERPROFILE%\AppData\Local\Temp\OnboardLogs"\RTDC4051\2016-11-27 --exclude "*" --recursive --include "*20161127*" &amp; "%USERPROFILE%\Documents\GitHub\mrs-test-scripts\Headless Mode &amp; Sideloading\WalkAndUnGZ.bat" "%USERPROFILE%\AppData\Local\Temp\OnboardLogs"\RTDC4051\2016-11-27</v>
      </c>
      <c r="AF239" s="88" t="str">
        <f t="shared" si="82"/>
        <v>"C:\Program Files (x86)\AstroGrep\AstroGrep.exe" /spath="%USERPROFILE%\AppData\Local\Temp\OnboardLogs" /stypes="app*4051*20161126*" /stext=" 08:.+((SYSTEM_STATE.+slice.+state.+changed )|(ment ac)|(system.+state.+changed )|(\[timeout)|(PRM\|1\|D)|(kpr)|(kdp)|(\|lc)|(penalty))" /e /r /s</v>
      </c>
      <c r="AG239" s="1" t="str">
        <f t="shared" si="83"/>
        <v>Other</v>
      </c>
      <c r="AH239" s="92" t="str">
        <f t="shared" si="84"/>
        <v>"%USERPROFILE%\Documents\GitHub\eaglep3\Utilities\RefineRTDCRunTimes.py" --tripid 81-25 --locoid 4051 --swversion DE.1.0.8.0 --startMP 204:1500 --initTime 2016-11-26T00:32:02 --startdatetime 2016-11-26T00:37:39 --delay 1 --endMP 204:129890 --enddatetime 2016-11-26T01:01:11 --enforcementcount 0 &gt;&gt;C:\Users\stu\Documents\GitHub\eaglep3-reporting\EC\2016-11-25-refined-times.txt</v>
      </c>
      <c r="AI239" s="119" t="str">
        <f t="shared" si="85"/>
        <v>echo {"issue":{"subject":"","project_id":79,"tracker_id":40,"status_id":1,"priority_id":2,"assigned_to_id":23,"start_date":"2016-11-26","description":"","custom_fields":[{"id":1,"name":"Subdivision","value":"Other"},{"id":4,"name":"Milepost","value":"12.989"},{"id":17,"name":"Train ID","value":"81-25"},{"id":16,"name":"Locomotive ID","value":"4051"},{"id":130,"name":"Impact","value":""},{"id":150,"name":"Time of Event (Mountain Time)","value":"01:01:11"},{"id":151,"name":"Denver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9" s="53"/>
      <c r="AK239" s="53"/>
      <c r="AL239" s="53"/>
    </row>
    <row r="240" spans="1:38" x14ac:dyDescent="0.25">
      <c r="A240" s="37" t="s">
        <v>607</v>
      </c>
      <c r="B240" s="7">
        <v>4051</v>
      </c>
      <c r="C240" s="22" t="s">
        <v>217</v>
      </c>
      <c r="D240" s="22" t="s">
        <v>723</v>
      </c>
      <c r="E240" s="13">
        <v>42699.852951388886</v>
      </c>
      <c r="F240" s="13">
        <v>42699.860011574077</v>
      </c>
      <c r="G240" s="7">
        <v>1</v>
      </c>
      <c r="H240" s="22" t="s">
        <v>724</v>
      </c>
      <c r="I240" s="13">
        <v>42699.882268518515</v>
      </c>
      <c r="J240" s="7">
        <v>0</v>
      </c>
      <c r="K240" s="109" t="str">
        <f t="shared" si="69"/>
        <v>4051/4052</v>
      </c>
      <c r="L240" s="22" t="str">
        <f>VLOOKUP(A240,'Trips&amp;Operators'!$C$1:$E$10000,3,FALSE)</f>
        <v>LALONDE</v>
      </c>
      <c r="M240" s="6">
        <f t="shared" si="70"/>
        <v>2.2256944437685888E-2</v>
      </c>
      <c r="N240" s="7">
        <f t="shared" si="71"/>
        <v>32.049999990267679</v>
      </c>
      <c r="O240" s="7"/>
      <c r="P240" s="7"/>
      <c r="Q240" s="23"/>
      <c r="R240" s="23"/>
      <c r="S240" s="35">
        <f t="shared" si="72"/>
        <v>0</v>
      </c>
      <c r="T240" s="50" t="e">
        <f t="shared" si="73"/>
        <v>#VALUE!</v>
      </c>
      <c r="U240" s="171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0</v>
      </c>
      <c r="V240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https://search-rtdc-monitor-bjffxe2xuh6vdkpspy63sjmuny.us-east-1.es.amazonaws.com/_plugin/kibana/#/discover/Steve-Slow-Train-Analysis-(2080s-and-2083s)?_g=(refreshInterval:(display:Off,section:0,value:0),time:(from:'2016-11-25 19:28:15-700',mode:absolute,to:'2016-11-25 22:10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40" s="52" t="str">
        <f t="shared" si="75"/>
        <v>N</v>
      </c>
      <c r="X240" s="177" t="e">
        <f t="shared" si="76"/>
        <v>#VALUE!</v>
      </c>
      <c r="Y240" s="67">
        <f t="shared" si="77"/>
        <v>0.15090000000000001</v>
      </c>
      <c r="Z240" s="67">
        <f t="shared" si="78"/>
        <v>12.9649</v>
      </c>
      <c r="AA240" s="67">
        <f t="shared" si="79"/>
        <v>12.814</v>
      </c>
      <c r="AB240" s="64" t="e">
        <f>VLOOKUP(A240,Enforcements!$C$7:$K$20,8,0)</f>
        <v>#N/A</v>
      </c>
      <c r="AC240" s="60" t="e">
        <f>VLOOKUP(A240,Enforcements!$C$7:$E$20,3,0)</f>
        <v>#N/A</v>
      </c>
      <c r="AD240" s="61" t="str">
        <f t="shared" si="80"/>
        <v>81-25</v>
      </c>
      <c r="AE240" s="91" t="str">
        <f t="shared" si="81"/>
        <v>aws s3 cp s3://rtdc.mdm.uploadarchive.raw/RTDC4051/ "%USERPROFILE%\AppData\Local\Temp\OnboardLogs"\RTDC4051\2016-11-25 --exclude "*" --recursive --include "*20161125*" &amp; "%USERPROFILE%\Documents\GitHub\mrs-test-scripts\Headless Mode &amp; Sideloading\WalkAndUnGZ.bat" "%USERPROFILE%\AppData\Local\Temp\OnboardLogs"\RTDC4051\2016-11-25 &amp; aws s3 cp s3://rtdc.mdm.uploadarchive.raw/RTDC4051/ "%USERPROFILE%\AppData\Local\Temp\OnboardLogs"\RTDC4051\2016-11-26 --exclude "*" --recursive --include "*20161126*" &amp; "%USERPROFILE%\Documents\GitHub\mrs-test-scripts\Headless Mode &amp; Sideloading\WalkAndUnGZ.bat" "%USERPROFILE%\AppData\Local\Temp\OnboardLogs"\RTDC4051\2016-11-26</v>
      </c>
      <c r="AF240" s="88" t="str">
        <f t="shared" si="82"/>
        <v>"C:\Program Files (x86)\AstroGrep\AstroGrep.exe" /spath="%USERPROFILE%\AppData\Local\Temp\OnboardLogs" /stypes="app*4051*20161126*" /stext=" 04:.+((SYSTEM_STATE.+slice.+state.+changed )|(ment ac)|(system.+state.+changed )|(\[timeout)|(PRM\|1\|D)|(kpr)|(kdp)|(\|lc)|(penalty))" /e /r /s</v>
      </c>
      <c r="AG240" s="1" t="str">
        <f t="shared" si="83"/>
        <v>Other</v>
      </c>
      <c r="AH240" s="92" t="str">
        <f t="shared" si="84"/>
        <v>"%USERPROFILE%\Documents\GitHub\eaglep3\Utilities\RefineRTDCRunTimes.py" --tripid 81-25 --locoid 4051 --swversion DE.1.0.8.0 --startMP 204:1509 --initTime 2016-11-25T20:28:15 --startdatetime 2016-11-25T20:38:25 --delay 1 --endMP 204:129649 --enddatetime 2016-11-25T21:10:28 --enforcementcount 0 &gt;&gt;C:\Users\stu\Documents\GitHub\eaglep3-reporting\EC\2016-11-25-refined-times.txt</v>
      </c>
      <c r="AI240" s="119" t="str">
        <f t="shared" si="85"/>
        <v>echo {"issue":{"subject":"","project_id":79,"tracker_id":40,"status_id":1,"priority_id":2,"assigned_to_id":23,"start_date":"2016-11-25","description":"","custom_fields":[{"id":1,"name":"Subdivision","value":"Other"},{"id":4,"name":"Milepost","value":"12.9649"},{"id":17,"name":"Train ID","value":"81-25"},{"id":16,"name":"Locomotive ID","value":"4051"},{"id":130,"name":"Impact","value":""},{"id":150,"name":"Time of Event (Mountain Time)","value":"21:10:28"},{"id":151,"name":"Denver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0" s="53"/>
      <c r="AK240" s="53"/>
      <c r="AL240" s="53"/>
    </row>
    <row r="241" spans="1:38" x14ac:dyDescent="0.25">
      <c r="A241" s="37" t="s">
        <v>607</v>
      </c>
      <c r="B241" s="7">
        <v>4051</v>
      </c>
      <c r="C241" s="22" t="s">
        <v>217</v>
      </c>
      <c r="D241" s="22" t="s">
        <v>636</v>
      </c>
      <c r="E241" s="13">
        <v>42700.106377314813</v>
      </c>
      <c r="F241" s="13">
        <v>42700.107916666668</v>
      </c>
      <c r="G241" s="7">
        <v>1</v>
      </c>
      <c r="H241" s="22" t="s">
        <v>725</v>
      </c>
      <c r="I241" s="13">
        <v>42700.113449074073</v>
      </c>
      <c r="J241" s="7">
        <v>0</v>
      </c>
      <c r="K241" s="109" t="str">
        <f t="shared" si="69"/>
        <v>4051/4052</v>
      </c>
      <c r="L241" s="22" t="str">
        <f>VLOOKUP(A241,'Trips&amp;Operators'!$C$1:$E$10000,3,FALSE)</f>
        <v>LALONDE</v>
      </c>
      <c r="M241" s="6">
        <f t="shared" si="70"/>
        <v>5.5324074055533856E-3</v>
      </c>
      <c r="N241" s="7">
        <f t="shared" si="71"/>
        <v>7.9666666639968753</v>
      </c>
      <c r="O241" s="7"/>
      <c r="P241" s="7"/>
      <c r="Q241" s="23"/>
      <c r="R241" s="23"/>
      <c r="S241" s="35">
        <f t="shared" si="72"/>
        <v>0</v>
      </c>
      <c r="T241" s="50" t="e">
        <f t="shared" si="73"/>
        <v>#VALUE!</v>
      </c>
      <c r="U241" s="171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0</v>
      </c>
      <c r="V241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https://search-rtdc-monitor-bjffxe2xuh6vdkpspy63sjmuny.us-east-1.es.amazonaws.com/_plugin/kibana/#/discover/Steve-Slow-Train-Analysis-(2080s-and-2083s)?_g=(refreshInterval:(display:Off,section:0,value:0),time:(from:'2016-11-26 01:33:11-700',mode:absolute,to:'2016-11-26 03:43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41" s="52" t="str">
        <f t="shared" si="75"/>
        <v>Y</v>
      </c>
      <c r="X241" s="177" t="e">
        <f t="shared" si="76"/>
        <v>#VALUE!</v>
      </c>
      <c r="Y241" s="67">
        <f t="shared" si="77"/>
        <v>7.6999999999999999E-2</v>
      </c>
      <c r="Z241" s="67">
        <f t="shared" si="78"/>
        <v>3.1257999999999999</v>
      </c>
      <c r="AA241" s="67">
        <f t="shared" si="79"/>
        <v>3.0488</v>
      </c>
      <c r="AB241" s="64" t="e">
        <f>VLOOKUP(A241,Enforcements!$C$7:$K$20,8,0)</f>
        <v>#N/A</v>
      </c>
      <c r="AC241" s="60" t="e">
        <f>VLOOKUP(A241,Enforcements!$C$7:$E$20,3,0)</f>
        <v>#N/A</v>
      </c>
      <c r="AD241" s="61" t="str">
        <f t="shared" si="80"/>
        <v>81-25</v>
      </c>
      <c r="AE241" s="91" t="str">
        <f t="shared" si="81"/>
        <v>aws s3 cp s3://rtdc.mdm.uploadarchive.raw/RTDC4051/ "%USERPROFILE%\AppData\Local\Temp\OnboardLogs"\RTDC4051\2016-11-26 --exclude "*" --recursive --include "*20161126*" &amp; "%USERPROFILE%\Documents\GitHub\mrs-test-scripts\Headless Mode &amp; Sideloading\WalkAndUnGZ.bat" "%USERPROFILE%\AppData\Local\Temp\OnboardLogs"\RTDC4051\2016-11-26 &amp; aws s3 cp s3://rtdc.mdm.uploadarchive.raw/RTDC4051/ "%USERPROFILE%\AppData\Local\Temp\OnboardLogs"\RTDC4051\2016-11-27 --exclude "*" --recursive --include "*20161127*" &amp; "%USERPROFILE%\Documents\GitHub\mrs-test-scripts\Headless Mode &amp; Sideloading\WalkAndUnGZ.bat" "%USERPROFILE%\AppData\Local\Temp\OnboardLogs"\RTDC4051\2016-11-27</v>
      </c>
      <c r="AF241" s="88" t="str">
        <f t="shared" si="82"/>
        <v>"C:\Program Files (x86)\AstroGrep\AstroGrep.exe" /spath="%USERPROFILE%\AppData\Local\Temp\OnboardLogs" /stypes="app*4051*20161126*" /stext=" 09:.+((SYSTEM_STATE.+slice.+state.+changed )|(ment ac)|(system.+state.+changed )|(\[timeout)|(PRM\|1\|D)|(kpr)|(kdp)|(\|lc)|(penalty))" /e /r /s</v>
      </c>
      <c r="AG241" s="1" t="str">
        <f t="shared" si="83"/>
        <v>Other</v>
      </c>
      <c r="AH241" s="92" t="str">
        <f t="shared" si="84"/>
        <v>"%USERPROFILE%\Documents\GitHub\eaglep3\Utilities\RefineRTDCRunTimes.py" --tripid 81-25 --locoid 4051 --swversion DE.1.0.8.0 --startMP 204:770 --initTime 2016-11-26T02:33:11 --startdatetime 2016-11-26T02:35:24 --delay 1 --endMP 300:31258 --enddatetime 2016-11-26T02:43:22 --enforcementcount 0 &gt;&gt;C:\Users\stu\Documents\GitHub\eaglep3-reporting\EC\2016-11-25-refined-times.txt</v>
      </c>
      <c r="AI241" s="119" t="str">
        <f t="shared" si="85"/>
        <v>echo {"issue":{"subject":"","project_id":79,"tracker_id":40,"status_id":1,"priority_id":2,"assigned_to_id":23,"start_date":"2016-11-26","description":"","custom_fields":[{"id":1,"name":"Subdivision","value":"Other"},{"id":4,"name":"Milepost","value":"3.1258"},{"id":17,"name":"Train ID","value":"81-25"},{"id":16,"name":"Locomotive ID","value":"4051"},{"id":130,"name":"Impact","value":""},{"id":150,"name":"Time of Event (Mountain Time)","value":"02:43:22"},{"id":151,"name":"Denver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1" s="53"/>
      <c r="AK241" s="53"/>
      <c r="AL241" s="53"/>
    </row>
    <row r="242" spans="1:38" x14ac:dyDescent="0.25">
      <c r="A242" s="37" t="s">
        <v>406</v>
      </c>
      <c r="B242" s="7">
        <v>4022</v>
      </c>
      <c r="C242" s="22" t="s">
        <v>217</v>
      </c>
      <c r="D242" s="22" t="s">
        <v>762</v>
      </c>
      <c r="E242" s="13">
        <v>42699.209861111114</v>
      </c>
      <c r="F242" s="13">
        <v>42699.210821759261</v>
      </c>
      <c r="G242" s="7">
        <v>1</v>
      </c>
      <c r="H242" s="22" t="s">
        <v>333</v>
      </c>
      <c r="I242" s="13">
        <v>42699.21634259259</v>
      </c>
      <c r="J242" s="7">
        <v>1</v>
      </c>
      <c r="K242" s="109" t="str">
        <f t="shared" si="69"/>
        <v>4021/4022</v>
      </c>
      <c r="L242" s="22" t="str">
        <f>VLOOKUP(A242,'Trips&amp;Operators'!$C$1:$E$10000,3,FALSE)</f>
        <v>STRICKLAND</v>
      </c>
      <c r="M242" s="6">
        <f t="shared" si="70"/>
        <v>5.5208333287737332E-3</v>
      </c>
      <c r="N242" s="7">
        <f t="shared" si="71"/>
        <v>7.9499999934341758</v>
      </c>
      <c r="O242" s="7"/>
      <c r="P242" s="7"/>
      <c r="Q242" s="23"/>
      <c r="R242" s="23"/>
      <c r="S242" s="35">
        <f t="shared" si="72"/>
        <v>0</v>
      </c>
      <c r="T242" s="50" t="str">
        <f t="shared" si="73"/>
        <v>NorthBound</v>
      </c>
      <c r="U242" s="171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0</v>
      </c>
      <c r="V242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https://search-rtdc-monitor-bjffxe2xuh6vdkpspy63sjmuny.us-east-1.es.amazonaws.com/_plugin/kibana/#/discover/Steve-Slow-Train-Analysis-(2080s-and-2083s)?_g=(refreshInterval:(display:Off,section:0,value:0),time:(from:'2016-11-25 04:02:12-700',mode:absolute,to:'2016-11-25 06:11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242" s="52" t="str">
        <f t="shared" si="75"/>
        <v>Y</v>
      </c>
      <c r="X242" s="177" t="e">
        <f t="shared" si="76"/>
        <v>#VALUE!</v>
      </c>
      <c r="Y242" s="67">
        <f t="shared" si="77"/>
        <v>3.0665</v>
      </c>
      <c r="Z242" s="67">
        <f t="shared" si="78"/>
        <v>5.8930999999999996</v>
      </c>
      <c r="AA242" s="67">
        <f t="shared" si="79"/>
        <v>2.8265999999999996</v>
      </c>
      <c r="AB242" s="64" t="e">
        <f>VLOOKUP(A242,Enforcements!$C$7:$K$20,8,0)</f>
        <v>#N/A</v>
      </c>
      <c r="AC242" s="60" t="e">
        <f>VLOOKUP(A242,Enforcements!$C$7:$E$20,3,0)</f>
        <v>#N/A</v>
      </c>
      <c r="AD242" s="61" t="str">
        <f t="shared" si="80"/>
        <v>0901-25</v>
      </c>
      <c r="AE242" s="91" t="str">
        <f t="shared" si="81"/>
        <v>aws s3 cp s3://rtdc.mdm.uploadarchive.raw/RTDC4022/ "%USERPROFILE%\AppData\Local\Temp\OnboardLogs"\RTDC4022\2016-11-25 --exclude "*" --recursive --include "*20161125*" &amp; "%USERPROFILE%\Documents\GitHub\mrs-test-scripts\Headless Mode &amp; Sideloading\WalkAndUnGZ.bat" "%USERPROFILE%\AppData\Local\Temp\OnboardLogs"\RTDC4022\2016-11-25 &amp; aws s3 cp s3://rtdc.mdm.uploadarchive.raw/RTDC4022/ "%USERPROFILE%\AppData\Local\Temp\OnboardLogs"\RTDC4022\2016-11-26 --exclude "*" --recursive --include "*20161126*" &amp; "%USERPROFILE%\Documents\GitHub\mrs-test-scripts\Headless Mode &amp; Sideloading\WalkAndUnGZ.bat" "%USERPROFILE%\AppData\Local\Temp\OnboardLogs"\RTDC4022\2016-11-26</v>
      </c>
      <c r="AF242" s="88" t="str">
        <f t="shared" si="82"/>
        <v>"C:\Program Files (x86)\AstroGrep\AstroGrep.exe" /spath="%USERPROFILE%\AppData\Local\Temp\OnboardLogs" /stypes="app*4022*20161125*" /stext=" 12:.+((SYSTEM_STATE.+slice.+state.+changed )|(ment ac)|(system.+state.+changed )|(\[timeout)|(PRM\|1\|D)|(kpr)|(kdp)|(\|lc)|(penalty))" /e /r /s</v>
      </c>
      <c r="AG242" s="1" t="str">
        <f t="shared" si="83"/>
        <v>Other</v>
      </c>
      <c r="AH242" s="92" t="str">
        <f t="shared" si="84"/>
        <v>"%USERPROFILE%\Documents\GitHub\eaglep3\Utilities\RefineRTDCRunTimes.py" --tripid 901-25 --locoid 4022 --swversion DE.1.0.8.0 --startMP 300:30665 --initTime 2016-11-25T05:02:12 --startdatetime 2016-11-25T05:03:35 --delay 1 --endMP 300:58931 --enddatetime 2016-11-25T05:11:32 --enforcementcount 1 &gt;&gt;C:\Users\stu\Documents\GitHub\eaglep3-reporting\EC\2016-11-25-refined-times.txt</v>
      </c>
      <c r="AI242" s="119" t="str">
        <f t="shared" si="85"/>
        <v>echo {"issue":{"subject":"","project_id":79,"tracker_id":40,"status_id":1,"priority_id":2,"assigned_to_id":23,"start_date":"2016-11-25","description":"","custom_fields":[{"id":1,"name":"Subdivision","value":"Other"},{"id":4,"name":"Milepost","value":"5.8931"},{"id":17,"name":"Train ID","value":"901-25"},{"id":16,"name":"Locomotive ID","value":"4022"},{"id":130,"name":"Impact","value":""},{"id":150,"name":"Time of Event (Mountain Time)","value":"05:11:32"},{"id":151,"name":"Denver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2" s="53"/>
      <c r="AK242" s="53"/>
      <c r="AL242" s="53"/>
    </row>
    <row r="243" spans="1:38" x14ac:dyDescent="0.25">
      <c r="A243" s="37" t="s">
        <v>486</v>
      </c>
      <c r="B243" s="7">
        <v>4004</v>
      </c>
      <c r="C243" s="22" t="s">
        <v>217</v>
      </c>
      <c r="D243" s="22" t="s">
        <v>763</v>
      </c>
      <c r="E243" s="13">
        <v>42699.251400462963</v>
      </c>
      <c r="F243" s="13">
        <v>42699.252569444441</v>
      </c>
      <c r="G243" s="7">
        <v>1</v>
      </c>
      <c r="H243" s="22" t="s">
        <v>764</v>
      </c>
      <c r="I243" s="13">
        <v>42699.257685185185</v>
      </c>
      <c r="J243" s="7">
        <v>0</v>
      </c>
      <c r="K243" s="109" t="str">
        <f t="shared" si="69"/>
        <v>4003/4004</v>
      </c>
      <c r="L243" s="22" t="str">
        <f>VLOOKUP(A243,'Trips&amp;Operators'!$C$1:$E$10000,3,FALSE)</f>
        <v>YORK</v>
      </c>
      <c r="M243" s="6">
        <f t="shared" si="70"/>
        <v>5.1157407433493063E-3</v>
      </c>
      <c r="N243" s="7">
        <f t="shared" si="71"/>
        <v>7.3666666704230011</v>
      </c>
      <c r="O243" s="7"/>
      <c r="P243" s="7"/>
      <c r="Q243" s="23"/>
      <c r="R243" s="23"/>
      <c r="S243" s="35">
        <f t="shared" si="72"/>
        <v>1</v>
      </c>
      <c r="T243" s="50" t="str">
        <f t="shared" si="73"/>
        <v>Southbound</v>
      </c>
      <c r="U243" s="171">
        <f>IF(AG243="EC",COUNTIFS(Variables!$M$2:$M$19,IF(T243="NorthBound","&gt;=","&lt;=")&amp;Y243,Variables!$M$2:$M$19,IF(T243="NorthBound","&lt;=","&gt;=")&amp;Z243),COUNTIFS(Variables!$P$2:$P$19,IF(T243="NorthBound","&gt;=","&lt;=")&amp;Y243,Variables!$P$2:$P$19,IF(T243="NorthBound","&lt;=","&gt;=")&amp;Z243))</f>
        <v>1</v>
      </c>
      <c r="V243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https://search-rtdc-monitor-bjffxe2xuh6vdkpspy63sjmuny.us-east-1.es.amazonaws.com/_plugin/kibana/#/discover/Steve-Slow-Train-Analysis-(2080s-and-2083s)?_g=(refreshInterval:(display:Off,section:0,value:0),time:(from:'2016-11-25 05:02:01-700',mode:absolute,to:'2016-11-25 07:11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243" s="52" t="str">
        <f t="shared" si="75"/>
        <v>Y</v>
      </c>
      <c r="X243" s="177">
        <f t="shared" si="76"/>
        <v>1</v>
      </c>
      <c r="Y243" s="67">
        <f t="shared" si="77"/>
        <v>2.3546</v>
      </c>
      <c r="Z243" s="67">
        <f t="shared" si="78"/>
        <v>8.4599999999999995E-2</v>
      </c>
      <c r="AA243" s="67">
        <f t="shared" si="79"/>
        <v>2.27</v>
      </c>
      <c r="AB243" s="64" t="e">
        <f>VLOOKUP(A243,Enforcements!$C$7:$K$20,8,0)</f>
        <v>#N/A</v>
      </c>
      <c r="AC243" s="60" t="e">
        <f>VLOOKUP(A243,Enforcements!$C$7:$E$20,3,0)</f>
        <v>#N/A</v>
      </c>
      <c r="AD243" s="61" t="str">
        <f t="shared" si="80"/>
        <v>0902-25</v>
      </c>
      <c r="AE243" s="91" t="str">
        <f t="shared" si="81"/>
        <v>aws s3 cp s3://rtdc.mdm.uploadarchive.raw/RTDC4004/ "%USERPROFILE%\AppData\Local\Temp\OnboardLogs"\RTDC4004\2016-11-25 --exclude "*" --recursive --include "*20161125*" &amp; "%USERPROFILE%\Documents\GitHub\mrs-test-scripts\Headless Mode &amp; Sideloading\WalkAndUnGZ.bat" "%USERPROFILE%\AppData\Local\Temp\OnboardLogs"\RTDC4004\2016-11-25 &amp; aws s3 cp s3://rtdc.mdm.uploadarchive.raw/RTDC4004/ "%USERPROFILE%\AppData\Local\Temp\OnboardLogs"\RTDC4004\2016-11-26 --exclude "*" --recursive --include "*20161126*" &amp; "%USERPROFILE%\Documents\GitHub\mrs-test-scripts\Headless Mode &amp; Sideloading\WalkAndUnGZ.bat" "%USERPROFILE%\AppData\Local\Temp\OnboardLogs"\RTDC4004\2016-11-26</v>
      </c>
      <c r="AF243" s="88" t="str">
        <f t="shared" si="82"/>
        <v>"C:\Program Files (x86)\AstroGrep\AstroGrep.exe" /spath="%USERPROFILE%\AppData\Local\Temp\OnboardLogs" /stypes="app*4004*20161125*" /stext=" 13:.+((SYSTEM_STATE.+slice.+state.+changed )|(ment ac)|(system.+state.+changed )|(\[timeout)|(PRM\|1\|D)|(kpr)|(kdp)|(\|lc)|(penalty))" /e /r /s</v>
      </c>
      <c r="AG243" s="1" t="str">
        <f t="shared" si="83"/>
        <v>Other</v>
      </c>
      <c r="AH243" s="92" t="str">
        <f t="shared" si="84"/>
        <v>"%USERPROFILE%\Documents\GitHub\eaglep3\Utilities\RefineRTDCRunTimes.py" --tripid 902-25 --locoid 4004 --swversion DE.1.0.8.0 --startMP 300:23546 --initTime 2016-11-25T06:02:01 --startdatetime 2016-11-25T06:03:42 --delay 1 --endMP 204:846 --enddatetime 2016-11-25T06:11:04 --enforcementcount 0 &gt;&gt;C:\Users\stu\Documents\GitHub\eaglep3-reporting\EC\2016-11-25-refined-times.txt</v>
      </c>
      <c r="AI243" s="119" t="str">
        <f t="shared" si="85"/>
        <v>echo {"issue":{"subject":"","project_id":79,"tracker_id":40,"status_id":1,"priority_id":2,"assigned_to_id":23,"start_date":"2016-11-25","description":"","custom_fields":[{"id":1,"name":"Subdivision","value":"Other"},{"id":4,"name":"Milepost","value":"0.0846"},{"id":17,"name":"Train ID","value":"902-25"},{"id":16,"name":"Locomotive ID","value":"4004"},{"id":130,"name":"Impact","value":""},{"id":150,"name":"Time of Event (Mountain Time)","value":"06:11:04"},{"id":151,"name":"Denver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3" s="53"/>
      <c r="AK243" s="53"/>
      <c r="AL243" s="53"/>
    </row>
    <row r="244" spans="1:38" x14ac:dyDescent="0.25">
      <c r="A244" s="37" t="s">
        <v>506</v>
      </c>
      <c r="B244" s="7">
        <v>4022</v>
      </c>
      <c r="C244" s="22" t="s">
        <v>217</v>
      </c>
      <c r="D244" s="22" t="s">
        <v>765</v>
      </c>
      <c r="E244" s="13">
        <v>42699.356782407405</v>
      </c>
      <c r="F244" s="13">
        <v>42699.358078703706</v>
      </c>
      <c r="G244" s="7">
        <v>1</v>
      </c>
      <c r="H244" s="22" t="s">
        <v>766</v>
      </c>
      <c r="I244" s="13">
        <v>42699.368993055556</v>
      </c>
      <c r="J244" s="7">
        <v>0</v>
      </c>
      <c r="K244" s="109" t="str">
        <f t="shared" si="69"/>
        <v>4021/4022</v>
      </c>
      <c r="L244" s="22" t="str">
        <f>VLOOKUP(A244,'Trips&amp;Operators'!$C$1:$E$10000,3,FALSE)</f>
        <v>STRICKLAND</v>
      </c>
      <c r="M244" s="6">
        <f t="shared" si="70"/>
        <v>1.0914351849351078E-2</v>
      </c>
      <c r="N244" s="7">
        <f t="shared" si="71"/>
        <v>15.716666663065553</v>
      </c>
      <c r="O244" s="7"/>
      <c r="P244" s="7"/>
      <c r="Q244" s="23"/>
      <c r="R244" s="23"/>
      <c r="S244" s="35">
        <f t="shared" si="72"/>
        <v>1</v>
      </c>
      <c r="T244" s="50" t="str">
        <f t="shared" si="73"/>
        <v>NorthBound</v>
      </c>
      <c r="U244" s="171">
        <f>IF(AG244="EC",COUNTIFS(Variables!$M$2:$M$19,IF(T244="NorthBound","&gt;=","&lt;=")&amp;Y244,Variables!$M$2:$M$19,IF(T244="NorthBound","&lt;=","&gt;=")&amp;Z244),COUNTIFS(Variables!$P$2:$P$19,IF(T244="NorthBound","&gt;=","&lt;=")&amp;Y244,Variables!$P$2:$P$19,IF(T244="NorthBound","&lt;=","&gt;=")&amp;Z244))</f>
        <v>1</v>
      </c>
      <c r="V244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https://search-rtdc-monitor-bjffxe2xuh6vdkpspy63sjmuny.us-east-1.es.amazonaws.com/_plugin/kibana/#/discover/Steve-Slow-Train-Analysis-(2080s-and-2083s)?_g=(refreshInterval:(display:Off,section:0,value:0),time:(from:'2016-11-25 07:33:46-700',mode:absolute,to:'2016-11-25 09:51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244" s="52" t="str">
        <f t="shared" si="75"/>
        <v>Y</v>
      </c>
      <c r="X244" s="177">
        <f t="shared" si="76"/>
        <v>1</v>
      </c>
      <c r="Y244" s="67">
        <f t="shared" si="77"/>
        <v>4.3200000000000002E-2</v>
      </c>
      <c r="Z244" s="67">
        <f t="shared" si="78"/>
        <v>2.411</v>
      </c>
      <c r="AA244" s="67">
        <f t="shared" si="79"/>
        <v>2.3677999999999999</v>
      </c>
      <c r="AB244" s="64" t="e">
        <f>VLOOKUP(A244,Enforcements!$C$7:$K$20,8,0)</f>
        <v>#N/A</v>
      </c>
      <c r="AC244" s="60" t="e">
        <f>VLOOKUP(A244,Enforcements!$C$7:$E$20,3,0)</f>
        <v>#N/A</v>
      </c>
      <c r="AD244" s="61" t="str">
        <f t="shared" si="80"/>
        <v>0903-25</v>
      </c>
      <c r="AE244" s="91" t="str">
        <f t="shared" si="81"/>
        <v>aws s3 cp s3://rtdc.mdm.uploadarchive.raw/RTDC4022/ "%USERPROFILE%\AppData\Local\Temp\OnboardLogs"\RTDC4022\2016-11-25 --exclude "*" --recursive --include "*20161125*" &amp; "%USERPROFILE%\Documents\GitHub\mrs-test-scripts\Headless Mode &amp; Sideloading\WalkAndUnGZ.bat" "%USERPROFILE%\AppData\Local\Temp\OnboardLogs"\RTDC4022\2016-11-25 &amp; aws s3 cp s3://rtdc.mdm.uploadarchive.raw/RTDC4022/ "%USERPROFILE%\AppData\Local\Temp\OnboardLogs"\RTDC4022\2016-11-26 --exclude "*" --recursive --include "*20161126*" &amp; "%USERPROFILE%\Documents\GitHub\mrs-test-scripts\Headless Mode &amp; Sideloading\WalkAndUnGZ.bat" "%USERPROFILE%\AppData\Local\Temp\OnboardLogs"\RTDC4022\2016-11-26</v>
      </c>
      <c r="AF244" s="88" t="str">
        <f t="shared" si="82"/>
        <v>"C:\Program Files (x86)\AstroGrep\AstroGrep.exe" /spath="%USERPROFILE%\AppData\Local\Temp\OnboardLogs" /stypes="app*4022*20161125*" /stext=" 15:.+((SYSTEM_STATE.+slice.+state.+changed )|(ment ac)|(system.+state.+changed )|(\[timeout)|(PRM\|1\|D)|(kpr)|(kdp)|(\|lc)|(penalty))" /e /r /s</v>
      </c>
      <c r="AG244" s="1" t="str">
        <f t="shared" si="83"/>
        <v>Other</v>
      </c>
      <c r="AH244" s="92" t="str">
        <f t="shared" si="84"/>
        <v>"%USERPROFILE%\Documents\GitHub\eaglep3\Utilities\RefineRTDCRunTimes.py" --tripid 903-25 --locoid 4022 --swversion DE.1.0.8.0 --startMP 204:432 --initTime 2016-11-25T08:33:46 --startdatetime 2016-11-25T08:35:38 --delay 1 --endMP 300:24110 --enddatetime 2016-11-25T08:51:21 --enforcementcount 0 &gt;&gt;C:\Users\stu\Documents\GitHub\eaglep3-reporting\EC\2016-11-25-refined-times.txt</v>
      </c>
      <c r="AI244" s="119" t="str">
        <f t="shared" si="85"/>
        <v>echo {"issue":{"subject":"","project_id":79,"tracker_id":40,"status_id":1,"priority_id":2,"assigned_to_id":23,"start_date":"2016-11-25","description":"","custom_fields":[{"id":1,"name":"Subdivision","value":"Other"},{"id":4,"name":"Milepost","value":"2.411"},{"id":17,"name":"Train ID","value":"903-25"},{"id":16,"name":"Locomotive ID","value":"4022"},{"id":130,"name":"Impact","value":""},{"id":150,"name":"Time of Event (Mountain Time)","value":"08:51:21"},{"id":151,"name":"Denver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4" s="53"/>
      <c r="AK244" s="53"/>
      <c r="AL244" s="53"/>
    </row>
    <row r="245" spans="1:38" x14ac:dyDescent="0.25">
      <c r="A245" s="37" t="s">
        <v>561</v>
      </c>
      <c r="B245" s="7">
        <v>4021</v>
      </c>
      <c r="C245" s="22" t="s">
        <v>217</v>
      </c>
      <c r="D245" s="22" t="s">
        <v>767</v>
      </c>
      <c r="E245" s="13">
        <v>42699.642106481479</v>
      </c>
      <c r="F245" s="13">
        <v>42699.643958333334</v>
      </c>
      <c r="G245" s="7">
        <v>2</v>
      </c>
      <c r="H245" s="22" t="s">
        <v>378</v>
      </c>
      <c r="I245" s="13">
        <v>42699.649398148147</v>
      </c>
      <c r="J245" s="7">
        <v>0</v>
      </c>
      <c r="K245" s="109" t="str">
        <f t="shared" si="69"/>
        <v>4021/4022</v>
      </c>
      <c r="L245" s="22" t="str">
        <f>VLOOKUP(A245,'Trips&amp;Operators'!$C$1:$E$10000,3,FALSE)</f>
        <v>MAGEE</v>
      </c>
      <c r="M245" s="6">
        <f t="shared" si="70"/>
        <v>5.4398148131440394E-3</v>
      </c>
      <c r="N245" s="7">
        <f t="shared" si="71"/>
        <v>7.8333333309274167</v>
      </c>
      <c r="O245" s="7"/>
      <c r="P245" s="7"/>
      <c r="Q245" s="23"/>
      <c r="R245" s="23"/>
      <c r="S245" s="35">
        <f t="shared" si="72"/>
        <v>1</v>
      </c>
      <c r="T245" s="50" t="str">
        <f t="shared" si="73"/>
        <v>Southbound</v>
      </c>
      <c r="U245" s="171">
        <f>IF(AG245="EC",COUNTIFS(Variables!$M$2:$M$19,IF(T245="NorthBound","&gt;=","&lt;=")&amp;Y245,Variables!$M$2:$M$19,IF(T245="NorthBound","&lt;=","&gt;=")&amp;Z245),COUNTIFS(Variables!$P$2:$P$19,IF(T245="NorthBound","&gt;=","&lt;=")&amp;Y245,Variables!$P$2:$P$19,IF(T245="NorthBound","&lt;=","&gt;=")&amp;Z245))</f>
        <v>1</v>
      </c>
      <c r="V245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https://search-rtdc-monitor-bjffxe2xuh6vdkpspy63sjmuny.us-east-1.es.amazonaws.com/_plugin/kibana/#/discover/Steve-Slow-Train-Analysis-(2080s-and-2083s)?_g=(refreshInterval:(display:Off,section:0,value:0),time:(from:'2016-11-25 14:24:38-700',mode:absolute,to:'2016-11-25 16:35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245" s="52" t="str">
        <f t="shared" si="75"/>
        <v>Y</v>
      </c>
      <c r="X245" s="177">
        <f t="shared" si="76"/>
        <v>1</v>
      </c>
      <c r="Y245" s="67">
        <f t="shared" si="77"/>
        <v>2.351</v>
      </c>
      <c r="Z245" s="67">
        <f t="shared" si="78"/>
        <v>6.59E-2</v>
      </c>
      <c r="AA245" s="67">
        <f t="shared" si="79"/>
        <v>2.2850999999999999</v>
      </c>
      <c r="AB245" s="64" t="e">
        <f>VLOOKUP(A245,Enforcements!$C$7:$K$20,8,0)</f>
        <v>#N/A</v>
      </c>
      <c r="AC245" s="60" t="e">
        <f>VLOOKUP(A245,Enforcements!$C$7:$E$20,3,0)</f>
        <v>#N/A</v>
      </c>
      <c r="AD245" s="61" t="str">
        <f t="shared" si="80"/>
        <v>0904-25</v>
      </c>
      <c r="AE245" s="91" t="str">
        <f t="shared" si="81"/>
        <v>aws s3 cp s3://rtdc.mdm.uploadarchive.raw/RTDC4021/ "%USERPROFILE%\AppData\Local\Temp\OnboardLogs"\RTDC4021\2016-11-25 --exclude "*" --recursive --include "*20161125*" &amp; "%USERPROFILE%\Documents\GitHub\mrs-test-scripts\Headless Mode &amp; Sideloading\WalkAndUnGZ.bat" "%USERPROFILE%\AppData\Local\Temp\OnboardLogs"\RTDC4021\2016-11-25 &amp; aws s3 cp s3://rtdc.mdm.uploadarchive.raw/RTDC4021/ "%USERPROFILE%\AppData\Local\Temp\OnboardLogs"\RTDC4021\2016-11-26 --exclude "*" --recursive --include "*20161126*" &amp; "%USERPROFILE%\Documents\GitHub\mrs-test-scripts\Headless Mode &amp; Sideloading\WalkAndUnGZ.bat" "%USERPROFILE%\AppData\Local\Temp\OnboardLogs"\RTDC4021\2016-11-26</v>
      </c>
      <c r="AF245" s="88" t="str">
        <f t="shared" si="82"/>
        <v>"C:\Program Files (x86)\AstroGrep\AstroGrep.exe" /spath="%USERPROFILE%\AppData\Local\Temp\OnboardLogs" /stypes="app*4021*20161125*" /stext=" 22:.+((SYSTEM_STATE.+slice.+state.+changed )|(ment ac)|(system.+state.+changed )|(\[timeout)|(PRM\|1\|D)|(kpr)|(kdp)|(\|lc)|(penalty))" /e /r /s</v>
      </c>
      <c r="AG245" s="1" t="str">
        <f t="shared" si="83"/>
        <v>Other</v>
      </c>
      <c r="AH245" s="92" t="str">
        <f t="shared" si="84"/>
        <v>"%USERPROFILE%\Documents\GitHub\eaglep3\Utilities\RefineRTDCRunTimes.py" --tripid 904-25 --locoid 4021 --swversion DE.1.0.8.0 --startMP 300:23510 --initTime 2016-11-25T15:24:38 --startdatetime 2016-11-25T15:27:18 --delay 2 --endMP 204:659 --enddatetime 2016-11-25T15:35:08 --enforcementcount 0 &gt;&gt;C:\Users\stu\Documents\GitHub\eaglep3-reporting\EC\2016-11-25-refined-times.txt</v>
      </c>
      <c r="AI245" s="119" t="str">
        <f t="shared" si="85"/>
        <v>echo {"issue":{"subject":"","project_id":79,"tracker_id":40,"status_id":1,"priority_id":2,"assigned_to_id":23,"start_date":"2016-11-25","description":"","custom_fields":[{"id":1,"name":"Subdivision","value":"Other"},{"id":4,"name":"Milepost","value":"0.0659"},{"id":17,"name":"Train ID","value":"904-25"},{"id":16,"name":"Locomotive ID","value":"4021"},{"id":130,"name":"Impact","value":""},{"id":150,"name":"Time of Event (Mountain Time)","value":"15:35:08"},{"id":151,"name":"Denver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5" s="53"/>
      <c r="AK245" s="53"/>
      <c r="AL245" s="53"/>
    </row>
    <row r="246" spans="1:38" x14ac:dyDescent="0.25">
      <c r="A246" s="37" t="s">
        <v>597</v>
      </c>
      <c r="B246" s="7">
        <v>4021</v>
      </c>
      <c r="C246" s="22" t="s">
        <v>217</v>
      </c>
      <c r="D246" s="22" t="s">
        <v>387</v>
      </c>
      <c r="E246" s="13">
        <v>42699.796331018515</v>
      </c>
      <c r="F246" s="13">
        <v>25568.708333333332</v>
      </c>
      <c r="G246" s="7">
        <v>1</v>
      </c>
      <c r="H246" s="22" t="s">
        <v>768</v>
      </c>
      <c r="I246" s="13">
        <v>25568.708333333332</v>
      </c>
      <c r="J246" s="7">
        <v>0</v>
      </c>
      <c r="K246" s="109" t="str">
        <f t="shared" si="69"/>
        <v>4021/4022</v>
      </c>
      <c r="L246" s="22" t="str">
        <f>VLOOKUP(A246,'Trips&amp;Operators'!$C$1:$E$10000,3,FALSE)</f>
        <v>MAGEE</v>
      </c>
      <c r="M246" s="6">
        <f t="shared" si="70"/>
        <v>0</v>
      </c>
      <c r="N246" s="7">
        <f t="shared" si="71"/>
        <v>0</v>
      </c>
      <c r="O246" s="7"/>
      <c r="P246" s="7"/>
      <c r="Q246" s="23"/>
      <c r="R246" s="23"/>
      <c r="S246" s="35">
        <f t="shared" si="72"/>
        <v>0</v>
      </c>
      <c r="T246" s="50" t="str">
        <f t="shared" si="73"/>
        <v>Southbound</v>
      </c>
      <c r="U246" s="171">
        <f>IF(AG246="EC",COUNTIFS(Variables!$M$2:$M$19,IF(T246="NorthBound","&gt;=","&lt;=")&amp;Y246,Variables!$M$2:$M$19,IF(T246="NorthBound","&lt;=","&gt;=")&amp;Z246),COUNTIFS(Variables!$P$2:$P$19,IF(T246="NorthBound","&gt;=","&lt;=")&amp;Y246,Variables!$P$2:$P$19,IF(T246="NorthBound","&lt;=","&gt;=")&amp;Z246))</f>
        <v>0</v>
      </c>
      <c r="V246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https://search-rtdc-monitor-bjffxe2xuh6vdkpspy63sjmuny.us-east-1.es.amazonaws.com/_plugin/kibana/#/discover/Steve-Slow-Train-Analysis-(2080s-and-2083s)?_g=(refreshInterval:(display:Off,section:0,value:0),time:(from:'2016-11-25 18:06:43-700',mode:absolute,to:'1969-12-31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246" s="52" t="str">
        <f t="shared" si="75"/>
        <v>Y</v>
      </c>
      <c r="X246" s="177">
        <f t="shared" si="76"/>
        <v>2</v>
      </c>
      <c r="Y246" s="67">
        <f t="shared" si="77"/>
        <v>5.8604000000000003</v>
      </c>
      <c r="Z246" s="67">
        <f t="shared" si="78"/>
        <v>2.8784000000000001</v>
      </c>
      <c r="AA246" s="67">
        <f t="shared" si="79"/>
        <v>2.9820000000000002</v>
      </c>
      <c r="AB246" s="64" t="e">
        <f>VLOOKUP(A246,Enforcements!$C$7:$K$20,8,0)</f>
        <v>#N/A</v>
      </c>
      <c r="AC246" s="60" t="e">
        <f>VLOOKUP(A246,Enforcements!$C$7:$E$20,3,0)</f>
        <v>#N/A</v>
      </c>
      <c r="AD246" s="61" t="str">
        <f t="shared" si="80"/>
        <v>0906-25</v>
      </c>
      <c r="AE246" s="91" t="str">
        <f t="shared" si="81"/>
        <v>aws s3 cp s3://rtdc.mdm.uploadarchive.raw/RTDC4021/ "%USERPROFILE%\AppData\Local\Temp\OnboardLogs"\RTDC4021\1969-12-31 --exclude "*" --recursive --include "*19691231*" &amp; "%USERPROFILE%\Documents\GitHub\mrs-test-scripts\Headless Mode &amp; Sideloading\WalkAndUnGZ.bat" "%USERPROFILE%\AppData\Local\Temp\OnboardLogs"\RTDC4021\1969-12-31 &amp; aws s3 cp s3://rtdc.mdm.uploadarchive.raw/RTDC4021/ "%USERPROFILE%\AppData\Local\Temp\OnboardLogs"\RTDC4021\1970-01-01 --exclude "*" --recursive --include "*19700101*" &amp; "%USERPROFILE%\Documents\GitHub\mrs-test-scripts\Headless Mode &amp; Sideloading\WalkAndUnGZ.bat" "%USERPROFILE%\AppData\Local\Temp\OnboardLogs"\RTDC4021\1970-01-01</v>
      </c>
      <c r="AF246" s="88" t="str">
        <f t="shared" si="82"/>
        <v>"C:\Program Files (x86)\AstroGrep\AstroGrep.exe" /spath="%USERPROFILE%\AppData\Local\Temp\OnboardLogs" /stypes="app*4021*19700101*" /stext=" 00:.+((SYSTEM_STATE.+slice.+state.+changed )|(ment ac)|(system.+state.+changed )|(\[timeout)|(PRM\|1\|D)|(kpr)|(kdp)|(\|lc)|(penalty))" /e /r /s</v>
      </c>
      <c r="AG246" s="1" t="str">
        <f t="shared" si="83"/>
        <v>Other</v>
      </c>
      <c r="AH246" s="92" t="str">
        <f t="shared" si="84"/>
        <v>"%USERPROFILE%\Documents\GitHub\eaglep3\Utilities\RefineRTDCRunTimes.py" --tripid 906-25 --locoid 4021 --swversion DE.1.0.8.0 --startMP 300:58604 --initTime 2016-11-25T19:06:43 --startdatetime 1969-12-31T17:00:00 --delay 1 --endMP 300:28784 --enddatetime 1969-12-31T17:00:00 --enforcementcount 0 &gt;&gt;C:\Users\stu\Documents\GitHub\eaglep3-reporting\EC\2016-11-25-refined-times.txt</v>
      </c>
      <c r="AI246" s="119" t="str">
        <f t="shared" si="85"/>
        <v>echo {"issue":{"subject":"","project_id":79,"tracker_id":40,"status_id":1,"priority_id":2,"assigned_to_id":23,"start_date":"1969-12-31","description":"","custom_fields":[{"id":1,"name":"Subdivision","value":"Other"},{"id":4,"name":"Milepost","value":"2.8784"},{"id":17,"name":"Train ID","value":"906-25"},{"id":16,"name":"Locomotive ID","value":"4021"},{"id":130,"name":"Impact","value":""},{"id":150,"name":"Time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6" s="53"/>
      <c r="AK246" s="53"/>
      <c r="AL246" s="53"/>
    </row>
    <row r="247" spans="1:38" x14ac:dyDescent="0.25">
      <c r="A247" s="37" t="s">
        <v>618</v>
      </c>
      <c r="B247" s="7">
        <v>4004</v>
      </c>
      <c r="C247" s="22" t="s">
        <v>217</v>
      </c>
      <c r="D247" s="22" t="s">
        <v>769</v>
      </c>
      <c r="E247" s="13">
        <v>42699.942106481481</v>
      </c>
      <c r="F247" s="13">
        <v>42699.943611111114</v>
      </c>
      <c r="G247" s="7">
        <v>1</v>
      </c>
      <c r="H247" s="22" t="s">
        <v>770</v>
      </c>
      <c r="I247" s="13">
        <v>42699.948148148149</v>
      </c>
      <c r="J247" s="7">
        <v>0</v>
      </c>
      <c r="K247" s="109" t="str">
        <f t="shared" si="69"/>
        <v>4003/4004</v>
      </c>
      <c r="L247" s="22" t="str">
        <f>VLOOKUP(A247,'Trips&amp;Operators'!$C$1:$E$10000,3,FALSE)</f>
        <v>MAGEE</v>
      </c>
      <c r="M247" s="6">
        <f t="shared" si="70"/>
        <v>4.537037035333924E-3</v>
      </c>
      <c r="N247" s="7">
        <f t="shared" si="71"/>
        <v>6.5333333308808506</v>
      </c>
      <c r="O247" s="7"/>
      <c r="P247" s="7"/>
      <c r="Q247" s="23"/>
      <c r="R247" s="23"/>
      <c r="S247" s="35">
        <f t="shared" si="72"/>
        <v>0</v>
      </c>
      <c r="T247" s="50" t="str">
        <f t="shared" si="73"/>
        <v>Southbound</v>
      </c>
      <c r="U247" s="171">
        <f>IF(AG247="EC",COUNTIFS(Variables!$M$2:$M$19,IF(T247="NorthBound","&gt;=","&lt;=")&amp;Y247,Variables!$M$2:$M$19,IF(T247="NorthBound","&lt;=","&gt;=")&amp;Z247),COUNTIFS(Variables!$P$2:$P$19,IF(T247="NorthBound","&gt;=","&lt;=")&amp;Y247,Variables!$P$2:$P$19,IF(T247="NorthBound","&lt;=","&gt;=")&amp;Z247))</f>
        <v>0</v>
      </c>
      <c r="V247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https://search-rtdc-monitor-bjffxe2xuh6vdkpspy63sjmuny.us-east-1.es.amazonaws.com/_plugin/kibana/#/discover/Steve-Slow-Train-Analysis-(2080s-and-2083s)?_g=(refreshInterval:(display:Off,section:0,value:0),time:(from:'2016-11-25 21:36:38-700',mode:absolute,to:'2016-11-25 23:45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247" s="52" t="str">
        <f t="shared" si="75"/>
        <v>Y</v>
      </c>
      <c r="X247" s="177">
        <f t="shared" si="76"/>
        <v>2</v>
      </c>
      <c r="Y247" s="67">
        <f t="shared" si="77"/>
        <v>5.8597999999999999</v>
      </c>
      <c r="Z247" s="67">
        <f t="shared" si="78"/>
        <v>2.1705999999999999</v>
      </c>
      <c r="AA247" s="67">
        <f t="shared" si="79"/>
        <v>3.6892</v>
      </c>
      <c r="AB247" s="64" t="e">
        <f>VLOOKUP(A247,Enforcements!$C$7:$K$20,8,0)</f>
        <v>#N/A</v>
      </c>
      <c r="AC247" s="60" t="e">
        <f>VLOOKUP(A247,Enforcements!$C$7:$E$20,3,0)</f>
        <v>#N/A</v>
      </c>
      <c r="AD247" s="61" t="str">
        <f t="shared" si="80"/>
        <v>0908-25</v>
      </c>
      <c r="AE247" s="91" t="str">
        <f t="shared" si="81"/>
        <v>aws s3 cp s3://rtdc.mdm.uploadarchive.raw/RTDC4004/ "%USERPROFILE%\AppData\Local\Temp\OnboardLogs"\RTDC4004\2016-11-25 --exclude "*" --recursive --include "*20161125*" &amp; "%USERPROFILE%\Documents\GitHub\mrs-test-scripts\Headless Mode &amp; Sideloading\WalkAndUnGZ.bat" "%USERPROFILE%\AppData\Local\Temp\OnboardLogs"\RTDC4004\2016-11-25 &amp; aws s3 cp s3://rtdc.mdm.uploadarchive.raw/RTDC4004/ "%USERPROFILE%\AppData\Local\Temp\OnboardLogs"\RTDC4004\2016-11-26 --exclude "*" --recursive --include "*20161126*" &amp; "%USERPROFILE%\Documents\GitHub\mrs-test-scripts\Headless Mode &amp; Sideloading\WalkAndUnGZ.bat" "%USERPROFILE%\AppData\Local\Temp\OnboardLogs"\RTDC4004\2016-11-26</v>
      </c>
      <c r="AF247" s="88" t="str">
        <f t="shared" si="82"/>
        <v>"C:\Program Files (x86)\AstroGrep\AstroGrep.exe" /spath="%USERPROFILE%\AppData\Local\Temp\OnboardLogs" /stypes="app*4004*20161126*" /stext=" 05:.+((SYSTEM_STATE.+slice.+state.+changed )|(ment ac)|(system.+state.+changed )|(\[timeout)|(PRM\|1\|D)|(kpr)|(kdp)|(\|lc)|(penalty))" /e /r /s</v>
      </c>
      <c r="AG247" s="1" t="str">
        <f t="shared" si="83"/>
        <v>Other</v>
      </c>
      <c r="AH247" s="92" t="str">
        <f t="shared" si="84"/>
        <v>"%USERPROFILE%\Documents\GitHub\eaglep3\Utilities\RefineRTDCRunTimes.py" --tripid 908-25 --locoid 4004 --swversion DE.1.0.8.0 --startMP 300:58598 --initTime 2016-11-25T22:36:38 --startdatetime 2016-11-25T22:38:48 --delay 1 --endMP 300:21706 --enddatetime 2016-11-25T22:45:20 --enforcementcount 0 &gt;&gt;C:\Users\stu\Documents\GitHub\eaglep3-reporting\EC\2016-11-25-refined-times.txt</v>
      </c>
      <c r="AI247" s="119" t="str">
        <f t="shared" si="85"/>
        <v>echo {"issue":{"subject":"","project_id":79,"tracker_id":40,"status_id":1,"priority_id":2,"assigned_to_id":23,"start_date":"2016-11-25","description":"","custom_fields":[{"id":1,"name":"Subdivision","value":"Other"},{"id":4,"name":"Milepost","value":"2.1706"},{"id":17,"name":"Train ID","value":"908-25"},{"id":16,"name":"Locomotive ID","value":"4004"},{"id":130,"name":"Impact","value":""},{"id":150,"name":"Time of Event (Mountain Time)","value":"22:45:20"},{"id":151,"name":"Denver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7" s="53"/>
      <c r="AK247" s="53"/>
      <c r="AL247" s="53"/>
    </row>
    <row r="248" spans="1:38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</row>
    <row r="249" spans="1:38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</row>
    <row r="250" spans="1:38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</row>
    <row r="251" spans="1:38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</row>
    <row r="252" spans="1:38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</row>
    <row r="253" spans="1:38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</row>
  </sheetData>
  <autoFilter ref="A12:AG244">
    <sortState ref="A13:AG247">
      <sortCondition ref="AG13:AG247"/>
      <sortCondition ref="AD13:AD247"/>
    </sortState>
  </autoFilter>
  <sortState ref="A13:AH200">
    <sortCondition ref="AG13:AG200"/>
    <sortCondition ref="AD13:AD200"/>
  </sortState>
  <mergeCells count="1">
    <mergeCell ref="A11:P11"/>
  </mergeCells>
  <conditionalFormatting sqref="W11:W12 W254:X1048576 W13:X247">
    <cfRule type="cellIs" dxfId="10" priority="344" operator="equal">
      <formula>"Y"</formula>
    </cfRule>
  </conditionalFormatting>
  <conditionalFormatting sqref="X254:X1048576 X13:X247">
    <cfRule type="cellIs" dxfId="9" priority="327" operator="greaterThan">
      <formula>1</formula>
    </cfRule>
  </conditionalFormatting>
  <conditionalFormatting sqref="X254:X1048576 X12:X247">
    <cfRule type="cellIs" dxfId="8" priority="324" operator="equal">
      <formula>0</formula>
    </cfRule>
  </conditionalFormatting>
  <conditionalFormatting sqref="A13:S247">
    <cfRule type="expression" dxfId="7" priority="318" stopIfTrue="1">
      <formula>$P13&gt;0</formula>
    </cfRule>
    <cfRule type="expression" dxfId="6" priority="319" stopIfTrue="1">
      <formula>$O13&gt;0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20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A13:S247</xm:sqref>
        </x14:conditionalFormatting>
        <x14:conditionalFormatting xmlns:xm="http://schemas.microsoft.com/office/excel/2006/main">
          <x14:cfRule type="expression" priority="3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A13:S247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AK13:AK247</xm:sqref>
        </x14:dataValidation>
        <x14:dataValidation type="list" allowBlank="1" showInputMessage="1" showErrorMessage="1">
          <x14:formula1>
            <xm:f>'Redmine List Values'!$C$2:$C$15</xm:f>
          </x14:formula1>
          <xm:sqref>AL13:AL247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D80"/>
  <sheetViews>
    <sheetView topLeftCell="A32" workbookViewId="0">
      <selection activeCell="P61" sqref="P61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36" customWidth="1"/>
    <col min="5" max="5" width="18.5703125" style="136" customWidth="1"/>
    <col min="6" max="6" width="5.7109375" style="136" customWidth="1"/>
    <col min="7" max="7" width="5.85546875" style="136" customWidth="1"/>
    <col min="8" max="8" width="7.85546875" style="136" customWidth="1"/>
    <col min="9" max="9" width="9" style="136" customWidth="1"/>
    <col min="10" max="10" width="11.5703125" style="136" hidden="1" customWidth="1"/>
    <col min="11" max="11" width="9.140625" style="136" customWidth="1"/>
    <col min="12" max="12" width="7.85546875" style="136" customWidth="1"/>
    <col min="13" max="13" width="7.85546875" style="2" customWidth="1"/>
    <col min="14" max="14" width="13.5703125" style="135" bestFit="1" customWidth="1"/>
    <col min="15" max="15" width="5.140625" style="165" customWidth="1"/>
    <col min="16" max="16" width="31" style="136" customWidth="1"/>
    <col min="17" max="17" width="5" hidden="1" customWidth="1"/>
    <col min="18" max="18" width="5.5703125" style="89" customWidth="1"/>
    <col min="19" max="19" width="5.5703125" style="101" customWidth="1"/>
    <col min="20" max="20" width="6" style="86" customWidth="1"/>
    <col min="21" max="21" width="5.140625" customWidth="1"/>
    <col min="22" max="22" width="18.28515625" style="48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38" customWidth="1"/>
  </cols>
  <sheetData>
    <row r="1" spans="1:30" s="21" customFormat="1" ht="15.75" hidden="1" thickBot="1" x14ac:dyDescent="0.3">
      <c r="A1" s="8"/>
      <c r="D1" s="136"/>
      <c r="E1" s="136"/>
      <c r="F1" s="136"/>
      <c r="G1" s="136"/>
      <c r="H1" s="136"/>
      <c r="I1" s="136"/>
      <c r="J1" s="136"/>
      <c r="K1" s="136"/>
      <c r="L1" s="136"/>
      <c r="M1" s="2"/>
      <c r="N1" s="135"/>
      <c r="O1" s="165"/>
      <c r="P1" s="136"/>
      <c r="R1" s="89"/>
      <c r="S1" s="101"/>
      <c r="T1" s="86"/>
      <c r="V1" s="48"/>
      <c r="AC1" s="138"/>
    </row>
    <row r="2" spans="1:30" s="21" customFormat="1" x14ac:dyDescent="0.25">
      <c r="A2" s="8"/>
      <c r="D2" s="136"/>
      <c r="E2" s="136"/>
      <c r="F2" s="136"/>
      <c r="G2" s="136"/>
      <c r="H2" s="136"/>
      <c r="I2" s="136"/>
      <c r="J2" s="136"/>
      <c r="K2" s="136"/>
      <c r="L2" s="147" t="s">
        <v>80</v>
      </c>
      <c r="M2" s="131"/>
      <c r="N2" s="148"/>
      <c r="O2" s="180">
        <f>COUNTIF($O$7:$O$334,"=Y")</f>
        <v>17</v>
      </c>
      <c r="P2" s="133"/>
      <c r="R2" s="89"/>
      <c r="S2" s="101"/>
      <c r="T2" s="86"/>
      <c r="V2" s="48"/>
      <c r="AC2" s="139"/>
    </row>
    <row r="3" spans="1:30" s="21" customFormat="1" ht="15.75" thickBot="1" x14ac:dyDescent="0.3">
      <c r="A3" s="8"/>
      <c r="D3" s="136"/>
      <c r="E3" s="136"/>
      <c r="F3" s="136"/>
      <c r="G3" s="136"/>
      <c r="H3" s="136"/>
      <c r="I3" s="136"/>
      <c r="J3" s="136"/>
      <c r="K3" s="136"/>
      <c r="L3" s="149" t="s">
        <v>81</v>
      </c>
      <c r="M3" s="132"/>
      <c r="N3" s="150"/>
      <c r="O3" s="181">
        <f>COUNTA($O$7:$O$334)-O2</f>
        <v>52</v>
      </c>
      <c r="P3" s="133"/>
      <c r="R3" s="89"/>
      <c r="S3" s="101"/>
      <c r="T3" s="86"/>
      <c r="V3" s="48"/>
      <c r="AC3" s="139"/>
    </row>
    <row r="4" spans="1:30" s="21" customFormat="1" x14ac:dyDescent="0.25">
      <c r="A4" s="8"/>
      <c r="D4" s="136"/>
      <c r="E4" s="136"/>
      <c r="F4" s="136"/>
      <c r="G4" s="136"/>
      <c r="H4" s="136"/>
      <c r="I4" s="136"/>
      <c r="J4" s="136"/>
      <c r="K4" s="136"/>
      <c r="L4" s="136"/>
      <c r="M4" s="2"/>
      <c r="N4" s="135"/>
      <c r="O4" s="165"/>
      <c r="P4" s="136"/>
      <c r="R4" s="89"/>
      <c r="S4" s="101"/>
      <c r="T4" s="86"/>
      <c r="V4" s="48"/>
      <c r="AC4" s="139"/>
    </row>
    <row r="5" spans="1:30" s="10" customFormat="1" ht="15" customHeight="1" x14ac:dyDescent="0.25">
      <c r="A5" s="185" t="str">
        <f>"Eagle P3 Braking Events - "&amp;TEXT(Variables!$A$2,"YYYY-mm-dd")</f>
        <v>Eagle P3 Braking Events - 2016-11-25</v>
      </c>
      <c r="B5" s="185"/>
      <c r="C5" s="185"/>
      <c r="D5" s="185"/>
      <c r="E5" s="185"/>
      <c r="F5" s="185"/>
      <c r="G5" s="185"/>
      <c r="H5" s="185"/>
      <c r="I5" s="185"/>
      <c r="J5" s="185"/>
      <c r="K5" s="185"/>
      <c r="L5" s="185"/>
      <c r="M5" s="185"/>
      <c r="N5" s="185"/>
      <c r="O5" s="185"/>
      <c r="P5" s="151"/>
      <c r="R5" s="99"/>
      <c r="S5" s="102"/>
      <c r="T5" s="104"/>
      <c r="V5" s="49"/>
      <c r="AC5" s="140"/>
    </row>
    <row r="6" spans="1:30" s="130" customFormat="1" ht="69.75" customHeight="1" x14ac:dyDescent="0.2">
      <c r="A6" s="120" t="s">
        <v>38</v>
      </c>
      <c r="B6" s="121" t="s">
        <v>37</v>
      </c>
      <c r="C6" s="121" t="s">
        <v>36</v>
      </c>
      <c r="D6" s="137" t="s">
        <v>35</v>
      </c>
      <c r="E6" s="137" t="s">
        <v>34</v>
      </c>
      <c r="F6" s="137" t="s">
        <v>33</v>
      </c>
      <c r="G6" s="137" t="s">
        <v>32</v>
      </c>
      <c r="H6" s="137" t="s">
        <v>31</v>
      </c>
      <c r="I6" s="137" t="s">
        <v>158</v>
      </c>
      <c r="J6" s="137" t="s">
        <v>30</v>
      </c>
      <c r="K6" s="137" t="s">
        <v>29</v>
      </c>
      <c r="L6" s="137" t="s">
        <v>28</v>
      </c>
      <c r="M6" s="122" t="s">
        <v>159</v>
      </c>
      <c r="N6" s="152" t="s">
        <v>47</v>
      </c>
      <c r="O6" s="182" t="s">
        <v>27</v>
      </c>
      <c r="P6" s="137" t="s">
        <v>24</v>
      </c>
      <c r="Q6" s="123"/>
      <c r="R6" s="124" t="s">
        <v>89</v>
      </c>
      <c r="S6" s="125" t="s">
        <v>55</v>
      </c>
      <c r="T6" s="126" t="s">
        <v>88</v>
      </c>
      <c r="U6" s="121" t="s">
        <v>83</v>
      </c>
      <c r="V6" s="127" t="s">
        <v>84</v>
      </c>
      <c r="W6" s="123" t="s">
        <v>96</v>
      </c>
      <c r="X6" s="123" t="s">
        <v>97</v>
      </c>
      <c r="Y6" s="128" t="s">
        <v>148</v>
      </c>
      <c r="Z6" s="129" t="s">
        <v>149</v>
      </c>
      <c r="AA6" s="129" t="s">
        <v>122</v>
      </c>
      <c r="AB6" s="129" t="s">
        <v>150</v>
      </c>
      <c r="AC6" s="141" t="s">
        <v>179</v>
      </c>
      <c r="AD6" s="130" t="s">
        <v>253</v>
      </c>
    </row>
    <row r="7" spans="1:30" s="1" customFormat="1" x14ac:dyDescent="0.25">
      <c r="A7" s="36">
        <v>42699.599965277775</v>
      </c>
      <c r="B7" s="31" t="s">
        <v>268</v>
      </c>
      <c r="C7" s="31" t="s">
        <v>435</v>
      </c>
      <c r="D7" s="31" t="s">
        <v>49</v>
      </c>
      <c r="E7" s="31" t="s">
        <v>154</v>
      </c>
      <c r="F7" s="47">
        <v>290</v>
      </c>
      <c r="G7" s="47">
        <v>343</v>
      </c>
      <c r="H7" s="47">
        <v>31876</v>
      </c>
      <c r="I7" s="47">
        <v>32721</v>
      </c>
      <c r="J7" s="31" t="s">
        <v>153</v>
      </c>
      <c r="K7" s="47">
        <v>33137</v>
      </c>
      <c r="L7" s="154" t="s">
        <v>50</v>
      </c>
      <c r="M7" s="155">
        <f t="shared" ref="M7:M38" si="0">CONVERT((I7-K7)/10000,"mi","ft")*IF(L7="Increasing Mileposts (1)",-1,1)</f>
        <v>219.648</v>
      </c>
      <c r="N7" s="156" t="str">
        <f>VLOOKUP(C7,'Trips&amp;Operators'!$C$1:$E$99999,3,FALSE)</f>
        <v>STORY</v>
      </c>
      <c r="O7" s="183" t="s">
        <v>202</v>
      </c>
      <c r="P7" s="157" t="s">
        <v>794</v>
      </c>
      <c r="Q7" s="31"/>
      <c r="R7" s="100" t="str">
        <f>VLOOKUP(C7,'Train Runs'!$A$13:$AE$9988,31,0)</f>
        <v>aws s3 cp s3://rtdc.mdm.uploadarchive.raw/RTDC4046/ "%USERPROFILE%\AppData\Local\Temp\OnboardLogs"\RTDC4046\2016-11-25 --exclude "*" --recursive --include "*20161125*" &amp; "%USERPROFILE%\Documents\GitHub\mrs-test-scripts\Headless Mode &amp; Sideloading\WalkAndUnGZ.bat" "%USERPROFILE%\AppData\Local\Temp\OnboardLogs"\RTDC4046\2016-11-25 &amp; aws s3 cp s3://rtdc.mdm.uploadarchive.raw/RTDC4046/ "%USERPROFILE%\AppData\Local\Temp\OnboardLogs"\RTDC4046\2016-11-26 --exclude "*" --recursive --include "*20161126*" &amp; "%USERPROFILE%\Documents\GitHub\mrs-test-scripts\Headless Mode &amp; Sideloading\WalkAndUnGZ.bat" "%USERPROFILE%\AppData\Local\Temp\OnboardLogs"\RTDC4046\2016-11-26</v>
      </c>
      <c r="S7" s="103" t="str">
        <f>VLOOKUP(C7,'Train Runs'!$A$13:$AE$9988,22,0)</f>
        <v>https://search-rtdc-monitor-bjffxe2xuh6vdkpspy63sjmuny.us-east-1.es.amazonaws.com/_plugin/kibana/#/discover/Steve-Slow-Train-Analysis-(2080s-and-2083s)?_g=(refreshInterval:(display:Off,section:0,value:0),time:(from:'2016-11-25 13:08:59-700',mode:absolute,to:'2016-11-25 15:33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T7" s="105" t="str">
        <f t="shared" ref="T7:T38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/stypes="*4046*201611252*" /stext=" 21:.+((SYSTEM_STATE.+slice.+state.+changed )|(ment ac)|(system.+state.+changed )|(\[timeout)|(PRM\|1\|D)|(kpr)|(kdp)|(\|lc)|(penalty))" /e /r /s</v>
      </c>
      <c r="U7" s="9" t="str">
        <f t="shared" ref="U7:U38" si="2">MID(B7,13,4)</f>
        <v>4046</v>
      </c>
      <c r="V7" s="36">
        <f t="shared" ref="V7:V38" si="3">A7-utc_offset/24</f>
        <v>42699.89163194444</v>
      </c>
      <c r="W7" s="50" t="str">
        <f t="shared" ref="W7:W38" si="4">IF(VALUE(LEFT(IF(LEN(C7)=6,"0"&amp;C7,C7),2))&lt;=2,"EC",IF(OR(VALUE(LEFT(IF(LEN(C7)=6,"0"&amp;C7,C7),2))=8,VALUE(LEFT(IF(LEN(C7)=6,"0"&amp;C7,C7),2))=18),"NW","Other"))</f>
        <v>EC</v>
      </c>
      <c r="X7" s="50" t="str">
        <f t="shared" ref="X7:X38" si="5">IF(AND(E7="TRACK WARRANT AUTHORITY",G7&lt;10),"OMIT","KEEP")</f>
        <v>KEEP</v>
      </c>
      <c r="Y7" s="119" t="str">
        <f t="shared" ref="Y7:Y38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arrival","project_id":79,"tracker_id":40,"status_id":1,"priority_id":2,"assigned_to_id":23,"start_date":"2016-11-25","description":"","custom_fields":[{"id":1,"name":"Subdivision","value":"EC"},{"id":4,"name":"Milepost","value":"3.3137"},{"id":17,"name":"Train ID","value":"185-25"},{"id":16,"name":"Locomotive ID","value":"4046"},{"id":130,"name":"Impact","value":""},{"id":150,"name":"Time of Event (Mountain Time)","value":"14:23:57"},{"id":151,"name":"Denver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3"/>
      <c r="AA7" s="53"/>
      <c r="AB7" s="53"/>
      <c r="AC7" s="138" t="str">
        <f t="shared" ref="AC7:AC38" si="7">"grep -hSE -A100 ""Enforcement Action"" "&amp;search_path&amp;"\RTDC"&amp;U7&amp;"\*"&amp;U7&amp;"*"&amp;TEXT(A7-utc_offset/24,"YYYYMMDD")&amp;LEFT(TEXT(A7-utc_offset/24,"HH"),1)&amp;"* | grep -SE ""((Enforcement Ac)|(PRM))"" -"</f>
        <v>grep -hSE -A100 "Enforcement Action" "%USERPROFILE%\AppData\Local\Temp\OnboardLogs"\RTDC4046\*4046*201611252*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"&amp;Variables!$A$2&amp;"-slicedisagreementcheck.txt"</f>
        <v>grep -hSE "Enforcement Action" "%USERPROFILE%\AppData\Local\Temp\OnboardLogs"\RTDC4046\*4046*201611252* &gt;&gt; 42699-slicedisagreementcheck.txt</v>
      </c>
    </row>
    <row r="8" spans="1:30" s="1" customFormat="1" x14ac:dyDescent="0.25">
      <c r="A8" s="36">
        <v>42699.673009259262</v>
      </c>
      <c r="B8" s="31" t="s">
        <v>268</v>
      </c>
      <c r="C8" s="31" t="s">
        <v>442</v>
      </c>
      <c r="D8" s="31" t="s">
        <v>49</v>
      </c>
      <c r="E8" s="31" t="s">
        <v>154</v>
      </c>
      <c r="F8" s="47">
        <v>270</v>
      </c>
      <c r="G8" s="47">
        <v>328</v>
      </c>
      <c r="H8" s="47">
        <v>31766</v>
      </c>
      <c r="I8" s="47">
        <v>32408</v>
      </c>
      <c r="J8" s="31" t="s">
        <v>153</v>
      </c>
      <c r="K8" s="47">
        <v>33137</v>
      </c>
      <c r="L8" s="154" t="s">
        <v>50</v>
      </c>
      <c r="M8" s="155">
        <f t="shared" si="0"/>
        <v>384.91199999999998</v>
      </c>
      <c r="N8" s="156" t="str">
        <f>VLOOKUP(C8,'Trips&amp;Operators'!$C$1:$E$99999,3,FALSE)</f>
        <v>STORY</v>
      </c>
      <c r="O8" s="183" t="s">
        <v>202</v>
      </c>
      <c r="P8" s="157" t="s">
        <v>794</v>
      </c>
      <c r="Q8" s="31"/>
      <c r="R8" s="100" t="str">
        <f>VLOOKUP(C8,'Train Runs'!$A$13:$AE$9988,31,0)</f>
        <v>aws s3 cp s3://rtdc.mdm.uploadarchive.raw/RTDC4046/ "%USERPROFILE%\AppData\Local\Temp\OnboardLogs"\RTDC4046\2016-11-25 --exclude "*" --recursive --include "*20161125*" &amp; "%USERPROFILE%\Documents\GitHub\mrs-test-scripts\Headless Mode &amp; Sideloading\WalkAndUnGZ.bat" "%USERPROFILE%\AppData\Local\Temp\OnboardLogs"\RTDC4046\2016-11-25 &amp; aws s3 cp s3://rtdc.mdm.uploadarchive.raw/RTDC4046/ "%USERPROFILE%\AppData\Local\Temp\OnboardLogs"\RTDC4046\2016-11-26 --exclude "*" --recursive --include "*20161126*" &amp; "%USERPROFILE%\Documents\GitHub\mrs-test-scripts\Headless Mode &amp; Sideloading\WalkAndUnGZ.bat" "%USERPROFILE%\AppData\Local\Temp\OnboardLogs"\RTDC4046\2016-11-26</v>
      </c>
      <c r="S8" s="103" t="str">
        <f>VLOOKUP(C8,'Train Runs'!$A$13:$AE$9988,22,0)</f>
        <v>https://search-rtdc-monitor-bjffxe2xuh6vdkpspy63sjmuny.us-east-1.es.amazonaws.com/_plugin/kibana/#/discover/Steve-Slow-Train-Analysis-(2080s-and-2083s)?_g=(refreshInterval:(display:Off,section:0,value:0),time:(from:'2016-11-25 14:55:09-700',mode:absolute,to:'2016-11-25 17:36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T8" s="105" t="str">
        <f t="shared" si="1"/>
        <v>"C:\Program Files (x86)\AstroGrep\AstroGrep.exe" /spath="%USERPROFILE%\AppData\Local\Temp\OnboardLogs" /stypes="*4046*201611252*" /stext=" 23:.+((SYSTEM_STATE.+slice.+state.+changed )|(ment ac)|(system.+state.+changed )|(\[timeout)|(PRM\|1\|D)|(kpr)|(kdp)|(\|lc)|(penalty))" /e /r /s</v>
      </c>
      <c r="U8" s="9" t="str">
        <f t="shared" si="2"/>
        <v>4046</v>
      </c>
      <c r="V8" s="36">
        <f t="shared" si="3"/>
        <v>42699.964675925927</v>
      </c>
      <c r="W8" s="50" t="str">
        <f t="shared" si="4"/>
        <v>EC</v>
      </c>
      <c r="X8" s="50" t="str">
        <f t="shared" si="5"/>
        <v>KEEP</v>
      </c>
      <c r="Y8" s="119" t="str">
        <f t="shared" si="6"/>
        <v>echo {"issue":{"subject":"Early arrival","project_id":79,"tracker_id":40,"status_id":1,"priority_id":2,"assigned_to_id":23,"start_date":"2016-11-25","description":"","custom_fields":[{"id":1,"name":"Subdivision","value":"EC"},{"id":4,"name":"Milepost","value":"3.3137"},{"id":17,"name":"Train ID","value":"199-25"},{"id":16,"name":"Locomotive ID","value":"4046"},{"id":130,"name":"Impact","value":""},{"id":150,"name":"Time of Event (Mountain Time)","value":"16:09:08"},{"id":151,"name":"Denver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3"/>
      <c r="AA8" s="53"/>
      <c r="AB8" s="53"/>
      <c r="AC8" s="138" t="str">
        <f t="shared" si="7"/>
        <v>grep -hSE -A100 "Enforcement Action" "%USERPROFILE%\AppData\Local\Temp\OnboardLogs"\RTDC4046\*4046*201611252*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"&amp;Variables!$A$2&amp;"-slicedisagreementcheck.txt"</f>
        <v>grep -hSE "Enforcement Action" "%USERPROFILE%\AppData\Local\Temp\OnboardLogs"\RTDC4046\*4046*201611252* &gt;&gt; 42699-slicedisagreementcheck.txt</v>
      </c>
    </row>
    <row r="9" spans="1:30" s="1" customFormat="1" x14ac:dyDescent="0.25">
      <c r="A9" s="36">
        <v>42699.29991898148</v>
      </c>
      <c r="B9" s="31" t="s">
        <v>263</v>
      </c>
      <c r="C9" s="31" t="s">
        <v>412</v>
      </c>
      <c r="D9" s="31" t="s">
        <v>49</v>
      </c>
      <c r="E9" s="31" t="s">
        <v>154</v>
      </c>
      <c r="F9" s="47">
        <v>470</v>
      </c>
      <c r="G9" s="47">
        <v>552</v>
      </c>
      <c r="H9" s="47">
        <v>41636</v>
      </c>
      <c r="I9" s="47">
        <v>43302</v>
      </c>
      <c r="J9" s="31" t="s">
        <v>153</v>
      </c>
      <c r="K9" s="47">
        <v>42779</v>
      </c>
      <c r="L9" s="154" t="s">
        <v>50</v>
      </c>
      <c r="M9" s="155">
        <f t="shared" si="0"/>
        <v>-276.14400000000001</v>
      </c>
      <c r="N9" s="156" t="str">
        <f>VLOOKUP(C9,'Trips&amp;Operators'!$C$1:$E$99999,3,FALSE)</f>
        <v>MAELZER</v>
      </c>
      <c r="O9" s="183" t="s">
        <v>202</v>
      </c>
      <c r="P9" s="157" t="s">
        <v>794</v>
      </c>
      <c r="Q9" s="31"/>
      <c r="R9" s="100" t="str">
        <f>VLOOKUP(C9,'Train Runs'!$A$13:$AE$9988,31,0)</f>
        <v>aws s3 cp s3://rtdc.mdm.uploadarchive.raw/RTDC4031/ "%USERPROFILE%\AppData\Local\Temp\OnboardLogs"\RTDC4031\2016-11-25 --exclude "*" --recursive --include "*20161125*" &amp; "%USERPROFILE%\Documents\GitHub\mrs-test-scripts\Headless Mode &amp; Sideloading\WalkAndUnGZ.bat" "%USERPROFILE%\AppData\Local\Temp\OnboardLogs"\RTDC4031\2016-11-25 &amp; aws s3 cp s3://rtdc.mdm.uploadarchive.raw/RTDC4031/ "%USERPROFILE%\AppData\Local\Temp\OnboardLogs"\RTDC4031\2016-11-26 --exclude "*" --recursive --include "*20161126*" &amp; "%USERPROFILE%\Documents\GitHub\mrs-test-scripts\Headless Mode &amp; Sideloading\WalkAndUnGZ.bat" "%USERPROFILE%\AppData\Local\Temp\OnboardLogs"\RTDC4031\2016-11-26</v>
      </c>
      <c r="S9" s="103" t="str">
        <f>VLOOKUP(C9,'Train Runs'!$A$13:$AE$9988,22,0)</f>
        <v>https://search-rtdc-monitor-bjffxe2xuh6vdkpspy63sjmuny.us-east-1.es.amazonaws.com/_plugin/kibana/#/discover/Steve-Slow-Train-Analysis-(2080s-and-2083s)?_g=(refreshInterval:(display:Off,section:0,value:0),time:(from:'2016-11-25 05:56:43-700',mode:absolute,to:'2016-11-25 08:38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T9" s="105" t="str">
        <f t="shared" si="1"/>
        <v>"C:\Program Files (x86)\AstroGrep\AstroGrep.exe" /spath="%USERPROFILE%\AppData\Local\Temp\OnboardLogs" /stypes="*4031*201611251*" /stext=" 14:.+((SYSTEM_STATE.+slice.+state.+changed )|(ment ac)|(system.+state.+changed )|(\[timeout)|(PRM\|1\|D)|(kpr)|(kdp)|(\|lc)|(penalty))" /e /r /s</v>
      </c>
      <c r="U9" s="9" t="str">
        <f t="shared" si="2"/>
        <v>4031</v>
      </c>
      <c r="V9" s="36">
        <f t="shared" si="3"/>
        <v>42699.591585648144</v>
      </c>
      <c r="W9" s="50" t="str">
        <f t="shared" si="4"/>
        <v>EC</v>
      </c>
      <c r="X9" s="50" t="str">
        <f t="shared" si="5"/>
        <v>KEEP</v>
      </c>
      <c r="Y9" s="119" t="str">
        <f t="shared" si="6"/>
        <v>echo {"issue":{"subject":"Early arrival","project_id":79,"tracker_id":40,"status_id":1,"priority_id":2,"assigned_to_id":23,"start_date":"2016-11-25","description":"","custom_fields":[{"id":1,"name":"Subdivision","value":"EC"},{"id":4,"name":"Milepost","value":"4.2779"},{"id":17,"name":"Train ID","value":"127-25"},{"id":16,"name":"Locomotive ID","value":"4031"},{"id":130,"name":"Impact","value":""},{"id":150,"name":"Time of Event (Mountain Time)","value":"07:11:53"},{"id":151,"name":"Denver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3"/>
      <c r="AA9" s="53"/>
      <c r="AB9" s="53"/>
      <c r="AC9" s="138" t="str">
        <f t="shared" si="7"/>
        <v>grep -hSE -A100 "Enforcement Action" "%USERPROFILE%\AppData\Local\Temp\OnboardLogs"\RTDC4031\*4031*201611251*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"&amp;Variables!$A$2&amp;"-slicedisagreementcheck.txt"</f>
        <v>grep -hSE "Enforcement Action" "%USERPROFILE%\AppData\Local\Temp\OnboardLogs"\RTDC4031\*4031*201611251* &gt;&gt; 42699-slicedisagreementcheck.txt</v>
      </c>
    </row>
    <row r="10" spans="1:30" s="1" customFormat="1" x14ac:dyDescent="0.25">
      <c r="A10" s="36">
        <v>42699.397569444445</v>
      </c>
      <c r="B10" s="31" t="s">
        <v>246</v>
      </c>
      <c r="C10" s="31" t="s">
        <v>420</v>
      </c>
      <c r="D10" s="31" t="s">
        <v>98</v>
      </c>
      <c r="E10" s="31" t="s">
        <v>203</v>
      </c>
      <c r="F10" s="47">
        <v>150</v>
      </c>
      <c r="G10" s="47">
        <v>202</v>
      </c>
      <c r="H10" s="47">
        <v>3469</v>
      </c>
      <c r="I10" s="47">
        <v>3773</v>
      </c>
      <c r="J10" s="31" t="s">
        <v>204</v>
      </c>
      <c r="K10" s="47">
        <v>0</v>
      </c>
      <c r="L10" s="154" t="s">
        <v>50</v>
      </c>
      <c r="M10" s="155">
        <f t="shared" si="0"/>
        <v>-1992.144</v>
      </c>
      <c r="N10" s="156" t="str">
        <f>VLOOKUP(C10,'Trips&amp;Operators'!$C$1:$E$99999,3,FALSE)</f>
        <v>RICHARDSON</v>
      </c>
      <c r="O10" s="183" t="s">
        <v>202</v>
      </c>
      <c r="P10" s="157"/>
      <c r="Q10" s="31"/>
      <c r="R10" s="100" t="str">
        <f>VLOOKUP(C10,'Train Runs'!$A$13:$AE$9988,31,0)</f>
        <v>aws s3 cp s3://rtdc.mdm.uploadarchive.raw/RTDC4014/ "%USERPROFILE%\AppData\Local\Temp\OnboardLogs"\RTDC4014\2016-11-25 --exclude "*" --recursive --include "*20161125*" &amp; "%USERPROFILE%\Documents\GitHub\mrs-test-scripts\Headless Mode &amp; Sideloading\WalkAndUnGZ.bat" "%USERPROFILE%\AppData\Local\Temp\OnboardLogs"\RTDC4014\2016-11-25 &amp; aws s3 cp s3://rtdc.mdm.uploadarchive.raw/RTDC4014/ "%USERPROFILE%\AppData\Local\Temp\OnboardLogs"\RTDC4014\2016-11-26 --exclude "*" --recursive --include "*20161126*" &amp; "%USERPROFILE%\Documents\GitHub\mrs-test-scripts\Headless Mode &amp; Sideloading\WalkAndUnGZ.bat" "%USERPROFILE%\AppData\Local\Temp\OnboardLogs"\RTDC4014\2016-11-26</v>
      </c>
      <c r="S10" s="103" t="str">
        <f>VLOOKUP(C10,'Train Runs'!$A$13:$AE$9988,22,0)</f>
        <v>https://search-rtdc-monitor-bjffxe2xuh6vdkpspy63sjmuny.us-east-1.es.amazonaws.com/_plugin/kibana/#/discover/Steve-Slow-Train-Analysis-(2080s-and-2083s)?_g=(refreshInterval:(display:Off,section:0,value:0),time:(from:'2016-11-25 08:26:43-700',mode:absolute,to:'2016-11-25 11:15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T10" s="105" t="str">
        <f t="shared" si="1"/>
        <v>"C:\Program Files (x86)\AstroGrep\AstroGrep.exe" /spath="%USERPROFILE%\AppData\Local\Temp\OnboardLogs" /stypes="*4014*201611251*" /stext=" 16:.+((SYSTEM_STATE.+slice.+state.+changed )|(ment ac)|(system.+state.+changed )|(\[timeout)|(PRM\|1\|D)|(kpr)|(kdp)|(\|lc)|(penalty))" /e /r /s</v>
      </c>
      <c r="U10" s="9" t="str">
        <f t="shared" si="2"/>
        <v>4014</v>
      </c>
      <c r="V10" s="36">
        <f t="shared" si="3"/>
        <v>42699.689236111109</v>
      </c>
      <c r="W10" s="50" t="str">
        <f t="shared" si="4"/>
        <v>EC</v>
      </c>
      <c r="X10" s="50" t="str">
        <f t="shared" si="5"/>
        <v>KEEP</v>
      </c>
      <c r="Y10" s="119" t="str">
        <f t="shared" si="6"/>
        <v>echo {"issue":{"subject":"","project_id":79,"tracker_id":40,"status_id":1,"priority_id":2,"assigned_to_id":23,"start_date":"2016-11-25","description":"","custom_fields":[{"id":1,"name":"Subdivision","value":"EC"},{"id":4,"name":"Milepost","value":"0"},{"id":17,"name":"Train ID","value":"147-25"},{"id":16,"name":"Locomotive ID","value":"4014"},{"id":130,"name":"Impact","value":""},{"id":150,"name":"Time of Event (Mountain Time)","value":"09:32:30"},{"id":151,"name":"Denver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3"/>
      <c r="AA10" s="53"/>
      <c r="AB10" s="53"/>
      <c r="AC10" s="138" t="str">
        <f t="shared" si="7"/>
        <v>grep -hSE -A100 "Enforcement Action" "%USERPROFILE%\AppData\Local\Temp\OnboardLogs"\RTDC4014\*4014*201611251*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"&amp;Variables!$A$2&amp;"-slicedisagreementcheck.txt"</f>
        <v>grep -hSE "Enforcement Action" "%USERPROFILE%\AppData\Local\Temp\OnboardLogs"\RTDC4014\*4014*201611251* &gt;&gt; 42699-slicedisagreementcheck.txt</v>
      </c>
    </row>
    <row r="11" spans="1:30" s="1" customFormat="1" x14ac:dyDescent="0.25">
      <c r="A11" s="36">
        <v>42699.526307870372</v>
      </c>
      <c r="B11" s="31" t="s">
        <v>223</v>
      </c>
      <c r="C11" s="31" t="s">
        <v>432</v>
      </c>
      <c r="D11" s="31" t="s">
        <v>49</v>
      </c>
      <c r="E11" s="31" t="s">
        <v>203</v>
      </c>
      <c r="F11" s="47">
        <v>200</v>
      </c>
      <c r="G11" s="47">
        <v>345</v>
      </c>
      <c r="H11" s="47">
        <v>6754</v>
      </c>
      <c r="I11" s="47">
        <v>5913</v>
      </c>
      <c r="J11" s="31" t="s">
        <v>204</v>
      </c>
      <c r="K11" s="47">
        <v>5457</v>
      </c>
      <c r="L11" s="154" t="s">
        <v>51</v>
      </c>
      <c r="M11" s="155">
        <f t="shared" si="0"/>
        <v>240.768</v>
      </c>
      <c r="N11" s="156" t="str">
        <f>VLOOKUP(C11,'Trips&amp;Operators'!$C$1:$E$99999,3,FALSE)</f>
        <v>DAVIS</v>
      </c>
      <c r="O11" s="183" t="s">
        <v>202</v>
      </c>
      <c r="P11" s="157"/>
      <c r="Q11" s="31"/>
      <c r="R11" s="100" t="str">
        <f>VLOOKUP(C11,'Train Runs'!$A$13:$AE$9988,31,0)</f>
        <v>aws s3 cp s3://rtdc.mdm.uploadarchive.raw/RTDC4012/ "%USERPROFILE%\AppData\Local\Temp\OnboardLogs"\RTDC4012\2016-11-25 --exclude "*" --recursive --include "*20161125*" &amp; "%USERPROFILE%\Documents\GitHub\mrs-test-scripts\Headless Mode &amp; Sideloading\WalkAndUnGZ.bat" "%USERPROFILE%\AppData\Local\Temp\OnboardLogs"\RTDC4012\2016-11-25 &amp; aws s3 cp s3://rtdc.mdm.uploadarchive.raw/RTDC4012/ "%USERPROFILE%\AppData\Local\Temp\OnboardLogs"\RTDC4012\2016-11-26 --exclude "*" --recursive --include "*20161126*" &amp; "%USERPROFILE%\Documents\GitHub\mrs-test-scripts\Headless Mode &amp; Sideloading\WalkAndUnGZ.bat" "%USERPROFILE%\AppData\Local\Temp\OnboardLogs"\RTDC4012\2016-11-26</v>
      </c>
      <c r="S11" s="103" t="str">
        <f>VLOOKUP(C11,'Train Runs'!$A$13:$AE$9988,22,0)</f>
        <v>https://search-rtdc-monitor-bjffxe2xuh6vdkpspy63sjmuny.us-east-1.es.amazonaws.com/_plugin/kibana/#/discover/Steve-Slow-Train-Analysis-(2080s-and-2083s)?_g=(refreshInterval:(display:Off,section:0,value:0),time:(from:'2016-11-25 10:53:42-700',mode:absolute,to:'2016-11-25 13:41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11" s="105" t="str">
        <f t="shared" si="1"/>
        <v>"C:\Program Files (x86)\AstroGrep\AstroGrep.exe" /spath="%USERPROFILE%\AppData\Local\Temp\OnboardLogs" /stypes="*4012*201611251*" /stext=" 19:.+((SYSTEM_STATE.+slice.+state.+changed )|(ment ac)|(system.+state.+changed )|(\[timeout)|(PRM\|1\|D)|(kpr)|(kdp)|(\|lc)|(penalty))" /e /r /s</v>
      </c>
      <c r="U11" s="9" t="str">
        <f t="shared" si="2"/>
        <v>4012</v>
      </c>
      <c r="V11" s="36">
        <f t="shared" si="3"/>
        <v>42699.817974537036</v>
      </c>
      <c r="W11" s="50" t="str">
        <f t="shared" si="4"/>
        <v>EC</v>
      </c>
      <c r="X11" s="50" t="str">
        <f t="shared" si="5"/>
        <v>KEEP</v>
      </c>
      <c r="Y11" s="119" t="str">
        <f t="shared" si="6"/>
        <v>echo {"issue":{"subject":"","project_id":79,"tracker_id":40,"status_id":1,"priority_id":2,"assigned_to_id":23,"start_date":"2016-11-25","description":"","custom_fields":[{"id":1,"name":"Subdivision","value":"EC"},{"id":4,"name":"Milepost","value":"0.5457"},{"id":17,"name":"Train ID","value":"160-25"},{"id":16,"name":"Locomotive ID","value":"4012"},{"id":130,"name":"Impact","value":""},{"id":150,"name":"Time of Event (Mountain Time)","value":"12:37:53"},{"id":151,"name":"Denver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3"/>
      <c r="AA11" s="53"/>
      <c r="AB11" s="53"/>
      <c r="AC11" s="138" t="str">
        <f t="shared" si="7"/>
        <v>grep -hSE -A100 "Enforcement Action" "%USERPROFILE%\AppData\Local\Temp\OnboardLogs"\RTDC4012\*4012*201611251*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"&amp;Variables!$A$2&amp;"-slicedisagreementcheck.txt"</f>
        <v>grep -hSE "Enforcement Action" "%USERPROFILE%\AppData\Local\Temp\OnboardLogs"\RTDC4012\*4012*201611251* &gt;&gt; 42699-slicedisagreementcheck.txt</v>
      </c>
    </row>
    <row r="12" spans="1:30" s="1" customFormat="1" x14ac:dyDescent="0.25">
      <c r="A12" s="36">
        <v>42699.921423611115</v>
      </c>
      <c r="B12" s="31" t="s">
        <v>285</v>
      </c>
      <c r="C12" s="31" t="s">
        <v>462</v>
      </c>
      <c r="D12" s="31" t="s">
        <v>49</v>
      </c>
      <c r="E12" s="31" t="s">
        <v>203</v>
      </c>
      <c r="F12" s="47">
        <v>200</v>
      </c>
      <c r="G12" s="47">
        <v>264</v>
      </c>
      <c r="H12" s="47">
        <v>6180</v>
      </c>
      <c r="I12" s="47">
        <v>5670</v>
      </c>
      <c r="J12" s="31" t="s">
        <v>204</v>
      </c>
      <c r="K12" s="47">
        <v>5457</v>
      </c>
      <c r="L12" s="154" t="s">
        <v>51</v>
      </c>
      <c r="M12" s="155">
        <f t="shared" si="0"/>
        <v>112.464</v>
      </c>
      <c r="N12" s="156" t="str">
        <f>VLOOKUP(C12,'Trips&amp;Operators'!$C$1:$E$99999,3,FALSE)</f>
        <v>STAMBAUGH</v>
      </c>
      <c r="O12" s="183" t="s">
        <v>202</v>
      </c>
      <c r="P12" s="157"/>
      <c r="Q12" s="31"/>
      <c r="R12" s="100" t="str">
        <f>VLOOKUP(C12,'Train Runs'!$A$13:$AE$9988,31,0)</f>
        <v>aws s3 cp s3://rtdc.mdm.uploadarchive.raw/RTDC4041/ "%USERPROFILE%\AppData\Local\Temp\OnboardLogs"\RTDC4041\2016-11-25 --exclude "*" --recursive --include "*20161125*" &amp; "%USERPROFILE%\Documents\GitHub\mrs-test-scripts\Headless Mode &amp; Sideloading\WalkAndUnGZ.bat" "%USERPROFILE%\AppData\Local\Temp\OnboardLogs"\RTDC4041\2016-11-25 &amp; aws s3 cp s3://rtdc.mdm.uploadarchive.raw/RTDC4041/ "%USERPROFILE%\AppData\Local\Temp\OnboardLogs"\RTDC4041\2016-11-26 --exclude "*" --recursive --include "*20161126*" &amp; "%USERPROFILE%\Documents\GitHub\mrs-test-scripts\Headless Mode &amp; Sideloading\WalkAndUnGZ.bat" "%USERPROFILE%\AppData\Local\Temp\OnboardLogs"\RTDC4041\2016-11-26</v>
      </c>
      <c r="S12" s="103" t="str">
        <f>VLOOKUP(C12,'Train Runs'!$A$13:$AE$9988,22,0)</f>
        <v>https://search-rtdc-monitor-bjffxe2xuh6vdkpspy63sjmuny.us-east-1.es.amazonaws.com/_plugin/kibana/#/discover/Steve-Slow-Train-Analysis-(2080s-and-2083s)?_g=(refreshInterval:(display:Off,section:0,value:0),time:(from:'2016-11-25 20:20:01-700',mode:absolute,to:'2016-11-25 23:09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12" s="105" t="str">
        <f t="shared" si="1"/>
        <v>"C:\Program Files (x86)\AstroGrep\AstroGrep.exe" /spath="%USERPROFILE%\AppData\Local\Temp\OnboardLogs" /stypes="*4041*201611260*" /stext=" 05:.+((SYSTEM_STATE.+slice.+state.+changed )|(ment ac)|(system.+state.+changed )|(\[timeout)|(PRM\|1\|D)|(kpr)|(kdp)|(\|lc)|(penalty))" /e /r /s</v>
      </c>
      <c r="U12" s="9" t="str">
        <f t="shared" si="2"/>
        <v>4041</v>
      </c>
      <c r="V12" s="36">
        <f t="shared" si="3"/>
        <v>42700.213090277779</v>
      </c>
      <c r="W12" s="50" t="str">
        <f t="shared" si="4"/>
        <v>EC</v>
      </c>
      <c r="X12" s="50" t="str">
        <f t="shared" si="5"/>
        <v>KEEP</v>
      </c>
      <c r="Y12" s="119" t="str">
        <f t="shared" si="6"/>
        <v>echo {"issue":{"subject":"","project_id":79,"tracker_id":40,"status_id":1,"priority_id":2,"assigned_to_id":23,"start_date":"2016-11-25","description":"","custom_fields":[{"id":1,"name":"Subdivision","value":"EC"},{"id":4,"name":"Milepost","value":"0.5457"},{"id":17,"name":"Train ID","value":"228-25"},{"id":16,"name":"Locomotive ID","value":"4041"},{"id":130,"name":"Impact","value":""},{"id":150,"name":"Time of Event (Mountain Time)","value":"22:06:51"},{"id":151,"name":"Denver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3"/>
      <c r="AA12" s="53"/>
      <c r="AB12" s="53"/>
      <c r="AC12" s="138" t="str">
        <f t="shared" si="7"/>
        <v>grep -hSE -A100 "Enforcement Action" "%USERPROFILE%\AppData\Local\Temp\OnboardLogs"\RTDC4041\*4041*201611260*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"&amp;Variables!$A$2&amp;"-slicedisagreementcheck.txt"</f>
        <v>grep -hSE "Enforcement Action" "%USERPROFILE%\AppData\Local\Temp\OnboardLogs"\RTDC4041\*4041*201611260* &gt;&gt; 42699-slicedisagreementcheck.txt</v>
      </c>
    </row>
    <row r="13" spans="1:30" s="1" customFormat="1" x14ac:dyDescent="0.25">
      <c r="A13" s="36">
        <v>42699.29446759259</v>
      </c>
      <c r="B13" s="31" t="s">
        <v>263</v>
      </c>
      <c r="C13" s="31" t="s">
        <v>412</v>
      </c>
      <c r="D13" s="31" t="s">
        <v>49</v>
      </c>
      <c r="E13" s="31" t="s">
        <v>203</v>
      </c>
      <c r="F13" s="47">
        <v>400</v>
      </c>
      <c r="G13" s="47">
        <v>499</v>
      </c>
      <c r="H13" s="47">
        <v>17420</v>
      </c>
      <c r="I13" s="47">
        <v>18144</v>
      </c>
      <c r="J13" s="31" t="s">
        <v>204</v>
      </c>
      <c r="K13" s="47">
        <v>17867</v>
      </c>
      <c r="L13" s="154" t="s">
        <v>50</v>
      </c>
      <c r="M13" s="155">
        <f t="shared" si="0"/>
        <v>-146.256</v>
      </c>
      <c r="N13" s="156" t="str">
        <f>VLOOKUP(C13,'Trips&amp;Operators'!$C$1:$E$99999,3,FALSE)</f>
        <v>MAELZER</v>
      </c>
      <c r="O13" s="183" t="s">
        <v>202</v>
      </c>
      <c r="P13" s="157"/>
      <c r="Q13" s="31"/>
      <c r="R13" s="100" t="str">
        <f>VLOOKUP(C13,'Train Runs'!$A$13:$AE$9988,31,0)</f>
        <v>aws s3 cp s3://rtdc.mdm.uploadarchive.raw/RTDC4031/ "%USERPROFILE%\AppData\Local\Temp\OnboardLogs"\RTDC4031\2016-11-25 --exclude "*" --recursive --include "*20161125*" &amp; "%USERPROFILE%\Documents\GitHub\mrs-test-scripts\Headless Mode &amp; Sideloading\WalkAndUnGZ.bat" "%USERPROFILE%\AppData\Local\Temp\OnboardLogs"\RTDC4031\2016-11-25 &amp; aws s3 cp s3://rtdc.mdm.uploadarchive.raw/RTDC4031/ "%USERPROFILE%\AppData\Local\Temp\OnboardLogs"\RTDC4031\2016-11-26 --exclude "*" --recursive --include "*20161126*" &amp; "%USERPROFILE%\Documents\GitHub\mrs-test-scripts\Headless Mode &amp; Sideloading\WalkAndUnGZ.bat" "%USERPROFILE%\AppData\Local\Temp\OnboardLogs"\RTDC4031\2016-11-26</v>
      </c>
      <c r="S13" s="103" t="str">
        <f>VLOOKUP(C13,'Train Runs'!$A$13:$AE$9988,22,0)</f>
        <v>https://search-rtdc-monitor-bjffxe2xuh6vdkpspy63sjmuny.us-east-1.es.amazonaws.com/_plugin/kibana/#/discover/Steve-Slow-Train-Analysis-(2080s-and-2083s)?_g=(refreshInterval:(display:Off,section:0,value:0),time:(from:'2016-11-25 05:56:43-700',mode:absolute,to:'2016-11-25 08:38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T13" s="105" t="str">
        <f t="shared" si="1"/>
        <v>"C:\Program Files (x86)\AstroGrep\AstroGrep.exe" /spath="%USERPROFILE%\AppData\Local\Temp\OnboardLogs" /stypes="*4031*201611251*" /stext=" 14:.+((SYSTEM_STATE.+slice.+state.+changed )|(ment ac)|(system.+state.+changed )|(\[timeout)|(PRM\|1\|D)|(kpr)|(kdp)|(\|lc)|(penalty))" /e /r /s</v>
      </c>
      <c r="U13" s="9" t="str">
        <f t="shared" si="2"/>
        <v>4031</v>
      </c>
      <c r="V13" s="36">
        <f t="shared" si="3"/>
        <v>42699.586134259254</v>
      </c>
      <c r="W13" s="50" t="str">
        <f t="shared" si="4"/>
        <v>EC</v>
      </c>
      <c r="X13" s="50" t="str">
        <f t="shared" si="5"/>
        <v>KEEP</v>
      </c>
      <c r="Y13" s="119" t="str">
        <f t="shared" si="6"/>
        <v>echo {"issue":{"subject":"","project_id":79,"tracker_id":40,"status_id":1,"priority_id":2,"assigned_to_id":23,"start_date":"2016-11-25","description":"","custom_fields":[{"id":1,"name":"Subdivision","value":"EC"},{"id":4,"name":"Milepost","value":"1.7867"},{"id":17,"name":"Train ID","value":"127-25"},{"id":16,"name":"Locomotive ID","value":"4031"},{"id":130,"name":"Impact","value":""},{"id":150,"name":"Time of Event (Mountain Time)","value":"07:04:02"},{"id":151,"name":"Denver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3"/>
      <c r="AA13" s="53"/>
      <c r="AB13" s="53"/>
      <c r="AC13" s="138" t="str">
        <f t="shared" si="7"/>
        <v>grep -hSE -A100 "Enforcement Action" "%USERPROFILE%\AppData\Local\Temp\OnboardLogs"\RTDC4031\*4031*201611251*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"&amp;Variables!$A$2&amp;"-slicedisagreementcheck.txt"</f>
        <v>grep -hSE "Enforcement Action" "%USERPROFILE%\AppData\Local\Temp\OnboardLogs"\RTDC4031\*4031*201611251* &gt;&gt; 42699-slicedisagreementcheck.txt</v>
      </c>
    </row>
    <row r="14" spans="1:30" s="1" customFormat="1" x14ac:dyDescent="0.25">
      <c r="A14" s="36">
        <v>42699.458182870374</v>
      </c>
      <c r="B14" s="31" t="s">
        <v>263</v>
      </c>
      <c r="C14" s="31" t="s">
        <v>427</v>
      </c>
      <c r="D14" s="31" t="s">
        <v>98</v>
      </c>
      <c r="E14" s="31" t="s">
        <v>203</v>
      </c>
      <c r="F14" s="47">
        <v>700</v>
      </c>
      <c r="G14" s="47">
        <v>751</v>
      </c>
      <c r="H14" s="47">
        <v>170277</v>
      </c>
      <c r="I14" s="47">
        <v>173677</v>
      </c>
      <c r="J14" s="31" t="s">
        <v>204</v>
      </c>
      <c r="K14" s="47">
        <v>161962</v>
      </c>
      <c r="L14" s="154" t="s">
        <v>50</v>
      </c>
      <c r="M14" s="155">
        <f t="shared" si="0"/>
        <v>-6185.52</v>
      </c>
      <c r="N14" s="156" t="str">
        <f>VLOOKUP(C14,'Trips&amp;Operators'!$C$1:$E$99999,3,FALSE)</f>
        <v>STRICKLAND</v>
      </c>
      <c r="O14" s="183" t="s">
        <v>202</v>
      </c>
      <c r="P14" s="157"/>
      <c r="Q14" s="31"/>
      <c r="R14" s="100" t="str">
        <f>VLOOKUP(C14,'Train Runs'!$A$13:$AE$9988,31,0)</f>
        <v>aws s3 cp s3://rtdc.mdm.uploadarchive.raw/RTDC4031/ "%USERPROFILE%\AppData\Local\Temp\OnboardLogs"\RTDC4031\2016-11-25 --exclude "*" --recursive --include "*20161125*" &amp; "%USERPROFILE%\Documents\GitHub\mrs-test-scripts\Headless Mode &amp; Sideloading\WalkAndUnGZ.bat" "%USERPROFILE%\AppData\Local\Temp\OnboardLogs"\RTDC4031\2016-11-25 &amp; aws s3 cp s3://rtdc.mdm.uploadarchive.raw/RTDC4031/ "%USERPROFILE%\AppData\Local\Temp\OnboardLogs"\RTDC4031\2016-11-26 --exclude "*" --recursive --include "*20161126*" &amp; "%USERPROFILE%\Documents\GitHub\mrs-test-scripts\Headless Mode &amp; Sideloading\WalkAndUnGZ.bat" "%USERPROFILE%\AppData\Local\Temp\OnboardLogs"\RTDC4031\2016-11-26</v>
      </c>
      <c r="S14" s="103" t="str">
        <f>VLOOKUP(C14,'Train Runs'!$A$13:$AE$9988,22,0)</f>
        <v>https://search-rtdc-monitor-bjffxe2xuh6vdkpspy63sjmuny.us-east-1.es.amazonaws.com/_plugin/kibana/#/discover/Steve-Slow-Train-Analysis-(2080s-and-2083s)?_g=(refreshInterval:(display:Off,section:0,value:0),time:(from:'2016-11-25 09:22:59-700',mode:absolute,to:'2016-11-25 12:08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T14" s="105" t="str">
        <f t="shared" si="1"/>
        <v>"C:\Program Files (x86)\AstroGrep\AstroGrep.exe" /spath="%USERPROFILE%\AppData\Local\Temp\OnboardLogs" /stypes="*4031*201611251*" /stext=" 17:.+((SYSTEM_STATE.+slice.+state.+changed )|(ment ac)|(system.+state.+changed )|(\[timeout)|(PRM\|1\|D)|(kpr)|(kdp)|(\|lc)|(penalty))" /e /r /s</v>
      </c>
      <c r="U14" s="9" t="str">
        <f t="shared" si="2"/>
        <v>4031</v>
      </c>
      <c r="V14" s="36">
        <f t="shared" si="3"/>
        <v>42699.749849537038</v>
      </c>
      <c r="W14" s="50" t="str">
        <f t="shared" si="4"/>
        <v>EC</v>
      </c>
      <c r="X14" s="50" t="str">
        <f t="shared" si="5"/>
        <v>KEEP</v>
      </c>
      <c r="Y14" s="119" t="str">
        <f t="shared" si="6"/>
        <v>echo {"issue":{"subject":"","project_id":79,"tracker_id":40,"status_id":1,"priority_id":2,"assigned_to_id":23,"start_date":"2016-11-25","description":"","custom_fields":[{"id":1,"name":"Subdivision","value":"EC"},{"id":4,"name":"Milepost","value":"16.1962"},{"id":17,"name":"Train ID","value":"155-25"},{"id":16,"name":"Locomotive ID","value":"4031"},{"id":130,"name":"Impact","value":""},{"id":150,"name":"Time of Event (Mountain Time)","value":"10:59:47"},{"id":151,"name":"Denver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3"/>
      <c r="AA14" s="53"/>
      <c r="AB14" s="53"/>
      <c r="AC14" s="138" t="str">
        <f t="shared" si="7"/>
        <v>grep -hSE -A100 "Enforcement Action" "%USERPROFILE%\AppData\Local\Temp\OnboardLogs"\RTDC4031\*4031*201611251*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"&amp;Variables!$A$2&amp;"-slicedisagreementcheck.txt"</f>
        <v>grep -hSE "Enforcement Action" "%USERPROFILE%\AppData\Local\Temp\OnboardLogs"\RTDC4031\*4031*201611251* &gt;&gt; 42699-slicedisagreementcheck.txt</v>
      </c>
    </row>
    <row r="15" spans="1:30" s="1" customFormat="1" x14ac:dyDescent="0.25">
      <c r="A15" s="36">
        <v>42699.623645833337</v>
      </c>
      <c r="B15" s="31" t="s">
        <v>422</v>
      </c>
      <c r="C15" s="31" t="s">
        <v>437</v>
      </c>
      <c r="D15" s="31" t="s">
        <v>49</v>
      </c>
      <c r="E15" s="31" t="s">
        <v>203</v>
      </c>
      <c r="F15" s="47">
        <v>150</v>
      </c>
      <c r="G15" s="47">
        <v>200</v>
      </c>
      <c r="H15" s="47">
        <v>229354</v>
      </c>
      <c r="I15" s="47">
        <v>228981</v>
      </c>
      <c r="J15" s="31" t="s">
        <v>204</v>
      </c>
      <c r="K15" s="47">
        <v>229055</v>
      </c>
      <c r="L15" s="154" t="s">
        <v>51</v>
      </c>
      <c r="M15" s="155">
        <f t="shared" si="0"/>
        <v>-39.072000000000003</v>
      </c>
      <c r="N15" s="156" t="str">
        <f>VLOOKUP(C15,'Trips&amp;Operators'!$C$1:$E$99999,3,FALSE)</f>
        <v>HOLCOMB</v>
      </c>
      <c r="O15" s="183" t="s">
        <v>202</v>
      </c>
      <c r="P15" s="157"/>
      <c r="Q15" s="31"/>
      <c r="R15" s="100" t="str">
        <f>VLOOKUP(C15,'Train Runs'!$A$13:$AE$9988,31,0)</f>
        <v>aws s3 cp s3://rtdc.mdm.uploadarchive.raw/RTDC4032/ "%USERPROFILE%\AppData\Local\Temp\OnboardLogs"\RTDC4032\2016-11-25 --exclude "*" --recursive --include "*20161125*" &amp; "%USERPROFILE%\Documents\GitHub\mrs-test-scripts\Headless Mode &amp; Sideloading\WalkAndUnGZ.bat" "%USERPROFILE%\AppData\Local\Temp\OnboardLogs"\RTDC4032\2016-11-25 &amp; aws s3 cp s3://rtdc.mdm.uploadarchive.raw/RTDC4032/ "%USERPROFILE%\AppData\Local\Temp\OnboardLogs"\RTDC4032\2016-11-26 --exclude "*" --recursive --include "*20161126*" &amp; "%USERPROFILE%\Documents\GitHub\mrs-test-scripts\Headless Mode &amp; Sideloading\WalkAndUnGZ.bat" "%USERPROFILE%\AppData\Local\Temp\OnboardLogs"\RTDC4032\2016-11-26</v>
      </c>
      <c r="S15" s="103" t="str">
        <f>VLOOKUP(C15,'Train Runs'!$A$13:$AE$9988,22,0)</f>
        <v>https://search-rtdc-monitor-bjffxe2xuh6vdkpspy63sjmuny.us-east-1.es.amazonaws.com/_plugin/kibana/#/discover/Steve-Slow-Train-Analysis-(2080s-and-2083s)?_g=(refreshInterval:(display:Off,section:0,value:0),time:(from:'2016-11-25 13:47:50-700',mode:absolute,to:'2016-11-25 16:35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15" s="105" t="str">
        <f t="shared" si="1"/>
        <v>"C:\Program Files (x86)\AstroGrep\AstroGrep.exe" /spath="%USERPROFILE%\AppData\Local\Temp\OnboardLogs" /stypes="*4032*201611252*" /stext=" 21:.+((SYSTEM_STATE.+slice.+state.+changed )|(ment ac)|(system.+state.+changed )|(\[timeout)|(PRM\|1\|D)|(kpr)|(kdp)|(\|lc)|(penalty))" /e /r /s</v>
      </c>
      <c r="U15" s="9" t="str">
        <f t="shared" si="2"/>
        <v>4032</v>
      </c>
      <c r="V15" s="36">
        <f t="shared" si="3"/>
        <v>42699.915312500001</v>
      </c>
      <c r="W15" s="50" t="str">
        <f t="shared" si="4"/>
        <v>EC</v>
      </c>
      <c r="X15" s="50" t="str">
        <f t="shared" si="5"/>
        <v>KEEP</v>
      </c>
      <c r="Y15" s="119" t="str">
        <f t="shared" si="6"/>
        <v>echo {"issue":{"subject":"","project_id":79,"tracker_id":40,"status_id":1,"priority_id":2,"assigned_to_id":23,"start_date":"2016-11-25","description":"","custom_fields":[{"id":1,"name":"Subdivision","value":"EC"},{"id":4,"name":"Milepost","value":"22.9055"},{"id":17,"name":"Train ID","value":"184-25"},{"id":16,"name":"Locomotive ID","value":"4032"},{"id":130,"name":"Impact","value":""},{"id":150,"name":"Time of Event (Mountain Time)","value":"14:58:03"},{"id":151,"name":"Denver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3"/>
      <c r="AA15" s="53"/>
      <c r="AB15" s="53"/>
      <c r="AC15" s="138" t="str">
        <f t="shared" si="7"/>
        <v>grep -hSE -A100 "Enforcement Action" "%USERPROFILE%\AppData\Local\Temp\OnboardLogs"\RTDC4032\*4032*201611252*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"&amp;Variables!$A$2&amp;"-slicedisagreementcheck.txt"</f>
        <v>grep -hSE "Enforcement Action" "%USERPROFILE%\AppData\Local\Temp\OnboardLogs"\RTDC4032\*4032*201611252* &gt;&gt; 42699-slicedisagreementcheck.txt</v>
      </c>
    </row>
    <row r="16" spans="1:30" s="1" customFormat="1" x14ac:dyDescent="0.25">
      <c r="A16" s="36">
        <v>42699.195856481485</v>
      </c>
      <c r="B16" s="31" t="s">
        <v>223</v>
      </c>
      <c r="C16" s="31" t="s">
        <v>405</v>
      </c>
      <c r="D16" s="31" t="s">
        <v>98</v>
      </c>
      <c r="E16" s="31" t="s">
        <v>203</v>
      </c>
      <c r="F16" s="47">
        <v>150</v>
      </c>
      <c r="G16" s="47">
        <v>203</v>
      </c>
      <c r="H16" s="47">
        <v>231234</v>
      </c>
      <c r="I16" s="47">
        <v>230763</v>
      </c>
      <c r="J16" s="31" t="s">
        <v>204</v>
      </c>
      <c r="K16" s="47">
        <v>231269</v>
      </c>
      <c r="L16" s="154" t="s">
        <v>51</v>
      </c>
      <c r="M16" s="155">
        <f t="shared" si="0"/>
        <v>-267.16800000000001</v>
      </c>
      <c r="N16" s="156" t="str">
        <f>VLOOKUP(C16,'Trips&amp;Operators'!$C$1:$E$99999,3,FALSE)</f>
        <v>DAVIS</v>
      </c>
      <c r="O16" s="183" t="s">
        <v>202</v>
      </c>
      <c r="P16" s="157"/>
      <c r="Q16" s="31"/>
      <c r="R16" s="100" t="str">
        <f>VLOOKUP(C16,'Train Runs'!$A$13:$AE$9988,31,0)</f>
        <v>aws s3 cp s3://rtdc.mdm.uploadarchive.raw/RTDC4012/ "%USERPROFILE%\AppData\Local\Temp\OnboardLogs"\RTDC4012\2016-11-25 --exclude "*" --recursive --include "*20161125*" &amp; "%USERPROFILE%\Documents\GitHub\mrs-test-scripts\Headless Mode &amp; Sideloading\WalkAndUnGZ.bat" "%USERPROFILE%\AppData\Local\Temp\OnboardLogs"\RTDC4012\2016-11-25 &amp; aws s3 cp s3://rtdc.mdm.uploadarchive.raw/RTDC4012/ "%USERPROFILE%\AppData\Local\Temp\OnboardLogs"\RTDC4012\2016-11-26 --exclude "*" --recursive --include "*20161126*" &amp; "%USERPROFILE%\Documents\GitHub\mrs-test-scripts\Headless Mode &amp; Sideloading\WalkAndUnGZ.bat" "%USERPROFILE%\AppData\Local\Temp\OnboardLogs"\RTDC4012\2016-11-26</v>
      </c>
      <c r="S16" s="103" t="str">
        <f>VLOOKUP(C16,'Train Runs'!$A$13:$AE$9988,22,0)</f>
        <v>https://search-rtdc-monitor-bjffxe2xuh6vdkpspy63sjmuny.us-east-1.es.amazonaws.com/_plugin/kibana/#/discover/Steve-Slow-Train-Analysis-(2080s-and-2083s)?_g=(refreshInterval:(display:Off,section:0,value:0),time:(from:'2016-11-25 03:32:59-700',mode:absolute,to:'2016-11-25 06:21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16" s="105" t="str">
        <f t="shared" si="1"/>
        <v>"C:\Program Files (x86)\AstroGrep\AstroGrep.exe" /spath="%USERPROFILE%\AppData\Local\Temp\OnboardLogs" /stypes="*4012*201611251*" /stext=" 11:.+((SYSTEM_STATE.+slice.+state.+changed )|(ment ac)|(system.+state.+changed )|(\[timeout)|(PRM\|1\|D)|(kpr)|(kdp)|(\|lc)|(penalty))" /e /r /s</v>
      </c>
      <c r="U16" s="9" t="str">
        <f t="shared" si="2"/>
        <v>4012</v>
      </c>
      <c r="V16" s="36">
        <f t="shared" si="3"/>
        <v>42699.487523148149</v>
      </c>
      <c r="W16" s="50" t="str">
        <f t="shared" si="4"/>
        <v>EC</v>
      </c>
      <c r="X16" s="50" t="str">
        <f t="shared" si="5"/>
        <v>KEEP</v>
      </c>
      <c r="Y16" s="119" t="str">
        <f t="shared" si="6"/>
        <v>echo {"issue":{"subject":"","project_id":79,"tracker_id":40,"status_id":1,"priority_id":2,"assigned_to_id":23,"start_date":"2016-11-25","description":"","custom_fields":[{"id":1,"name":"Subdivision","value":"EC"},{"id":4,"name":"Milepost","value":"23.1269"},{"id":17,"name":"Train ID","value":"104-25"},{"id":16,"name":"Locomotive ID","value":"4012"},{"id":130,"name":"Impact","value":""},{"id":150,"name":"Time of Event (Mountain Time)","value":"04:42:02"},{"id":151,"name":"Denver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3"/>
      <c r="AA16" s="53"/>
      <c r="AB16" s="53"/>
      <c r="AC16" s="138" t="str">
        <f t="shared" si="7"/>
        <v>grep -hSE -A100 "Enforcement Action" "%USERPROFILE%\AppData\Local\Temp\OnboardLogs"\RTDC4012\*4012*201611251*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"&amp;Variables!$A$2&amp;"-slicedisagreementcheck.txt"</f>
        <v>grep -hSE "Enforcement Action" "%USERPROFILE%\AppData\Local\Temp\OnboardLogs"\RTDC4012\*4012*201611251* &gt;&gt; 42699-slicedisagreementcheck.txt</v>
      </c>
    </row>
    <row r="17" spans="1:30" s="1" customFormat="1" x14ac:dyDescent="0.25">
      <c r="A17" s="36">
        <v>42699.57236111111</v>
      </c>
      <c r="B17" s="31" t="s">
        <v>223</v>
      </c>
      <c r="C17" s="31" t="s">
        <v>433</v>
      </c>
      <c r="D17" s="31" t="s">
        <v>98</v>
      </c>
      <c r="E17" s="31" t="s">
        <v>203</v>
      </c>
      <c r="F17" s="47">
        <v>350</v>
      </c>
      <c r="G17" s="47">
        <v>405</v>
      </c>
      <c r="H17" s="47">
        <v>224698</v>
      </c>
      <c r="I17" s="47">
        <v>223144</v>
      </c>
      <c r="J17" s="31" t="s">
        <v>204</v>
      </c>
      <c r="K17" s="47">
        <v>232107</v>
      </c>
      <c r="L17" s="154" t="s">
        <v>51</v>
      </c>
      <c r="M17" s="155">
        <f t="shared" si="0"/>
        <v>-4732.4639999999999</v>
      </c>
      <c r="N17" s="156" t="str">
        <f>VLOOKUP(C17,'Trips&amp;Operators'!$C$1:$E$99999,3,FALSE)</f>
        <v>DAVIS</v>
      </c>
      <c r="O17" s="183" t="s">
        <v>202</v>
      </c>
      <c r="P17" s="157"/>
      <c r="Q17" s="31"/>
      <c r="R17" s="100" t="str">
        <f>VLOOKUP(C17,'Train Runs'!$A$13:$AE$9988,31,0)</f>
        <v>aws s3 cp s3://rtdc.mdm.uploadarchive.raw/RTDC4012/ "%USERPROFILE%\AppData\Local\Temp\OnboardLogs"\RTDC4012\2016-11-25 --exclude "*" --recursive --include "*20161125*" &amp; "%USERPROFILE%\Documents\GitHub\mrs-test-scripts\Headless Mode &amp; Sideloading\WalkAndUnGZ.bat" "%USERPROFILE%\AppData\Local\Temp\OnboardLogs"\RTDC4012\2016-11-25 &amp; aws s3 cp s3://rtdc.mdm.uploadarchive.raw/RTDC4012/ "%USERPROFILE%\AppData\Local\Temp\OnboardLogs"\RTDC4012\2016-11-26 --exclude "*" --recursive --include "*20161126*" &amp; "%USERPROFILE%\Documents\GitHub\mrs-test-scripts\Headless Mode &amp; Sideloading\WalkAndUnGZ.bat" "%USERPROFILE%\AppData\Local\Temp\OnboardLogs"\RTDC4012\2016-11-26</v>
      </c>
      <c r="S17" s="103" t="str">
        <f>VLOOKUP(C17,'Train Runs'!$A$13:$AE$9988,22,0)</f>
        <v>https://search-rtdc-monitor-bjffxe2xuh6vdkpspy63sjmuny.us-east-1.es.amazonaws.com/_plugin/kibana/#/discover/Steve-Slow-Train-Analysis-(2080s-and-2083s)?_g=(refreshInterval:(display:Off,section:0,value:0),time:(from:'2016-11-25 12:35:48-700',mode:absolute,to:'2016-11-25 15:22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17" s="105" t="str">
        <f t="shared" si="1"/>
        <v>"C:\Program Files (x86)\AstroGrep\AstroGrep.exe" /spath="%USERPROFILE%\AppData\Local\Temp\OnboardLogs" /stypes="*4012*201611252*" /stext=" 20:.+((SYSTEM_STATE.+slice.+state.+changed )|(ment ac)|(system.+state.+changed )|(\[timeout)|(PRM\|1\|D)|(kpr)|(kdp)|(\|lc)|(penalty))" /e /r /s</v>
      </c>
      <c r="U17" s="9" t="str">
        <f t="shared" si="2"/>
        <v>4012</v>
      </c>
      <c r="V17" s="36">
        <f t="shared" si="3"/>
        <v>42699.864027777774</v>
      </c>
      <c r="W17" s="50" t="str">
        <f t="shared" si="4"/>
        <v>EC</v>
      </c>
      <c r="X17" s="50" t="str">
        <f t="shared" si="5"/>
        <v>KEEP</v>
      </c>
      <c r="Y17" s="119" t="str">
        <f t="shared" si="6"/>
        <v>echo {"issue":{"subject":"","project_id":79,"tracker_id":40,"status_id":1,"priority_id":2,"assigned_to_id":23,"start_date":"2016-11-25","description":"","custom_fields":[{"id":1,"name":"Subdivision","value":"EC"},{"id":4,"name":"Milepost","value":"23.2107"},{"id":17,"name":"Train ID","value":"174-25"},{"id":16,"name":"Locomotive ID","value":"4012"},{"id":130,"name":"Impact","value":""},{"id":150,"name":"Time of Event (Mountain Time)","value":"13:44:12"},{"id":151,"name":"Denver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3"/>
      <c r="AA17" s="53"/>
      <c r="AB17" s="53"/>
      <c r="AC17" s="138" t="str">
        <f t="shared" si="7"/>
        <v>grep -hSE -A100 "Enforcement Action" "%USERPROFILE%\AppData\Local\Temp\OnboardLogs"\RTDC4012\*4012*201611252*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"&amp;Variables!$A$2&amp;"-slicedisagreementcheck.txt"</f>
        <v>grep -hSE "Enforcement Action" "%USERPROFILE%\AppData\Local\Temp\OnboardLogs"\RTDC4012\*4012*201611252* &gt;&gt; 42699-slicedisagreementcheck.txt</v>
      </c>
    </row>
    <row r="18" spans="1:30" s="1" customFormat="1" x14ac:dyDescent="0.25">
      <c r="A18" s="36">
        <v>42699.717581018522</v>
      </c>
      <c r="B18" s="31" t="s">
        <v>223</v>
      </c>
      <c r="C18" s="31" t="s">
        <v>448</v>
      </c>
      <c r="D18" s="31" t="s">
        <v>98</v>
      </c>
      <c r="E18" s="31" t="s">
        <v>203</v>
      </c>
      <c r="F18" s="47">
        <v>350</v>
      </c>
      <c r="G18" s="47">
        <v>402</v>
      </c>
      <c r="H18" s="47">
        <v>229273</v>
      </c>
      <c r="I18" s="47">
        <v>228244</v>
      </c>
      <c r="J18" s="31" t="s">
        <v>204</v>
      </c>
      <c r="K18" s="47">
        <v>232107</v>
      </c>
      <c r="L18" s="154" t="s">
        <v>51</v>
      </c>
      <c r="M18" s="155">
        <f t="shared" si="0"/>
        <v>-2039.664</v>
      </c>
      <c r="N18" s="156" t="str">
        <f>VLOOKUP(C18,'Trips&amp;Operators'!$C$1:$E$99999,3,FALSE)</f>
        <v>DAVIS</v>
      </c>
      <c r="O18" s="183" t="s">
        <v>202</v>
      </c>
      <c r="P18" s="157"/>
      <c r="Q18" s="31"/>
      <c r="R18" s="100" t="str">
        <f>VLOOKUP(C18,'Train Runs'!$A$13:$AE$9988,31,0)</f>
        <v>aws s3 cp s3://rtdc.mdm.uploadarchive.raw/RTDC4012/ "%USERPROFILE%\AppData\Local\Temp\OnboardLogs"\RTDC4012\2016-11-25 --exclude "*" --recursive --include "*20161125*" &amp; "%USERPROFILE%\Documents\GitHub\mrs-test-scripts\Headless Mode &amp; Sideloading\WalkAndUnGZ.bat" "%USERPROFILE%\AppData\Local\Temp\OnboardLogs"\RTDC4012\2016-11-25 &amp; aws s3 cp s3://rtdc.mdm.uploadarchive.raw/RTDC4012/ "%USERPROFILE%\AppData\Local\Temp\OnboardLogs"\RTDC4012\2016-11-26 --exclude "*" --recursive --include "*20161126*" &amp; "%USERPROFILE%\Documents\GitHub\mrs-test-scripts\Headless Mode &amp; Sideloading\WalkAndUnGZ.bat" "%USERPROFILE%\AppData\Local\Temp\OnboardLogs"\RTDC4012\2016-11-26</v>
      </c>
      <c r="S18" s="103" t="str">
        <f>VLOOKUP(C18,'Train Runs'!$A$13:$AE$9988,22,0)</f>
        <v>https://search-rtdc-monitor-bjffxe2xuh6vdkpspy63sjmuny.us-east-1.es.amazonaws.com/_plugin/kibana/#/discover/Steve-Slow-Train-Analysis-(2080s-and-2083s)?_g=(refreshInterval:(display:Off,section:0,value:0),time:(from:'2016-11-25 16:07:21-700',mode:absolute,to:'2016-11-25 18:56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18" s="105" t="str">
        <f t="shared" si="1"/>
        <v>"C:\Program Files (x86)\AstroGrep\AstroGrep.exe" /spath="%USERPROFILE%\AppData\Local\Temp\OnboardLogs" /stypes="*4012*201611260*" /stext=" 00:.+((SYSTEM_STATE.+slice.+state.+changed )|(ment ac)|(system.+state.+changed )|(\[timeout)|(PRM\|1\|D)|(kpr)|(kdp)|(\|lc)|(penalty))" /e /r /s</v>
      </c>
      <c r="U18" s="9" t="str">
        <f t="shared" si="2"/>
        <v>4012</v>
      </c>
      <c r="V18" s="36">
        <f t="shared" si="3"/>
        <v>42700.009247685186</v>
      </c>
      <c r="W18" s="50" t="str">
        <f t="shared" si="4"/>
        <v>EC</v>
      </c>
      <c r="X18" s="50" t="str">
        <f t="shared" si="5"/>
        <v>KEEP</v>
      </c>
      <c r="Y18" s="119" t="str">
        <f t="shared" si="6"/>
        <v>echo {"issue":{"subject":"","project_id":79,"tracker_id":40,"status_id":1,"priority_id":2,"assigned_to_id":23,"start_date":"2016-11-25","description":"","custom_fields":[{"id":1,"name":"Subdivision","value":"EC"},{"id":4,"name":"Milepost","value":"23.2107"},{"id":17,"name":"Train ID","value":"202-25"},{"id":16,"name":"Locomotive ID","value":"4012"},{"id":130,"name":"Impact","value":""},{"id":150,"name":"Time of Event (Mountain Time)","value":"17:13:19"},{"id":151,"name":"Denver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3"/>
      <c r="AA18" s="53"/>
      <c r="AB18" s="53"/>
      <c r="AC18" s="138" t="str">
        <f t="shared" si="7"/>
        <v>grep -hSE -A100 "Enforcement Action" "%USERPROFILE%\AppData\Local\Temp\OnboardLogs"\RTDC4012\*4012*201611260*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"&amp;Variables!$A$2&amp;"-slicedisagreementcheck.txt"</f>
        <v>grep -hSE "Enforcement Action" "%USERPROFILE%\AppData\Local\Temp\OnboardLogs"\RTDC4012\*4012*201611260* &gt;&gt; 42699-slicedisagreementcheck.txt</v>
      </c>
    </row>
    <row r="19" spans="1:30" s="1" customFormat="1" x14ac:dyDescent="0.25">
      <c r="A19" s="36">
        <v>42699.652233796296</v>
      </c>
      <c r="B19" s="31" t="s">
        <v>267</v>
      </c>
      <c r="C19" s="31" t="s">
        <v>439</v>
      </c>
      <c r="D19" s="31" t="s">
        <v>49</v>
      </c>
      <c r="E19" s="31" t="s">
        <v>205</v>
      </c>
      <c r="F19" s="47">
        <v>0</v>
      </c>
      <c r="G19" s="47">
        <v>435</v>
      </c>
      <c r="H19" s="47">
        <v>38805</v>
      </c>
      <c r="I19" s="47">
        <v>37447</v>
      </c>
      <c r="J19" s="31" t="s">
        <v>206</v>
      </c>
      <c r="K19" s="47">
        <v>38656</v>
      </c>
      <c r="L19" s="154" t="s">
        <v>51</v>
      </c>
      <c r="M19" s="155">
        <f t="shared" si="0"/>
        <v>-638.35199999999998</v>
      </c>
      <c r="N19" s="156" t="str">
        <f>VLOOKUP(C19,'Trips&amp;Operators'!$C$1:$E$99999,3,FALSE)</f>
        <v>STORY</v>
      </c>
      <c r="O19" s="183" t="s">
        <v>202</v>
      </c>
      <c r="P19" s="157" t="s">
        <v>791</v>
      </c>
      <c r="Q19" s="31"/>
      <c r="R19" s="100" t="str">
        <f>VLOOKUP(C19,'Train Runs'!$A$13:$AE$9988,31,0)</f>
        <v>aws s3 cp s3://rtdc.mdm.uploadarchive.raw/RTDC4045/ "%USERPROFILE%\AppData\Local\Temp\OnboardLogs"\RTDC4045\2016-11-25 --exclude "*" --recursive --include "*20161125*" &amp; "%USERPROFILE%\Documents\GitHub\mrs-test-scripts\Headless Mode &amp; Sideloading\WalkAndUnGZ.bat" "%USERPROFILE%\AppData\Local\Temp\OnboardLogs"\RTDC4045\2016-11-25 &amp; aws s3 cp s3://rtdc.mdm.uploadarchive.raw/RTDC4045/ "%USERPROFILE%\AppData\Local\Temp\OnboardLogs"\RTDC4045\2016-11-26 --exclude "*" --recursive --include "*20161126*" &amp; "%USERPROFILE%\Documents\GitHub\mrs-test-scripts\Headless Mode &amp; Sideloading\WalkAndUnGZ.bat" "%USERPROFILE%\AppData\Local\Temp\OnboardLogs"\RTDC4045\2016-11-26</v>
      </c>
      <c r="S19" s="103" t="str">
        <f>VLOOKUP(C19,'Train Runs'!$A$13:$AE$9988,22,0)</f>
        <v>https://search-rtdc-monitor-bjffxe2xuh6vdkpspy63sjmuny.us-east-1.es.amazonaws.com/_plugin/kibana/#/discover/Steve-Slow-Train-Analysis-(2080s-and-2083s)?_g=(refreshInterval:(display:Off,section:0,value:0),time:(from:'2016-11-25 14:08:02-700',mode:absolute,to:'2016-11-25 16:51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19" s="105" t="str">
        <f t="shared" si="1"/>
        <v>"C:\Program Files (x86)\AstroGrep\AstroGrep.exe" /spath="%USERPROFILE%\AppData\Local\Temp\OnboardLogs" /stypes="*4045*201611252*" /stext=" 22:.+((SYSTEM_STATE.+slice.+state.+changed )|(ment ac)|(system.+state.+changed )|(\[timeout)|(PRM\|1\|D)|(kpr)|(kdp)|(\|lc)|(penalty))" /e /r /s</v>
      </c>
      <c r="U19" s="9" t="str">
        <f t="shared" si="2"/>
        <v>4045</v>
      </c>
      <c r="V19" s="36">
        <f t="shared" si="3"/>
        <v>42699.94390046296</v>
      </c>
      <c r="W19" s="50" t="str">
        <f t="shared" si="4"/>
        <v>EC</v>
      </c>
      <c r="X19" s="50" t="str">
        <f t="shared" si="5"/>
        <v>KEEP</v>
      </c>
      <c r="Y19" s="119" t="str">
        <f t="shared" si="6"/>
        <v>echo {"issue":{"subject":"RESTRICTED aspect","project_id":79,"tracker_id":40,"status_id":1,"priority_id":2,"assigned_to_id":23,"start_date":"2016-11-25","description":"","custom_fields":[{"id":1,"name":"Subdivision","value":"EC"},{"id":4,"name":"Milepost","value":"3.8656"},{"id":17,"name":"Train ID","value":"186-25"},{"id":16,"name":"Locomotive ID","value":"4045"},{"id":130,"name":"Impact","value":""},{"id":150,"name":"Time of Event (Mountain Time)","value":"15:39:13"},{"id":151,"name":"Denver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3"/>
      <c r="AA19" s="53"/>
      <c r="AB19" s="53"/>
      <c r="AC19" s="138" t="str">
        <f t="shared" si="7"/>
        <v>grep -hSE -A100 "Enforcement Action" "%USERPROFILE%\AppData\Local\Temp\OnboardLogs"\RTDC4045\*4045*201611252*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"&amp;Variables!$A$2&amp;"-slicedisagreementcheck.txt"</f>
        <v>grep -hSE "Enforcement Action" "%USERPROFILE%\AppData\Local\Temp\OnboardLogs"\RTDC4045\*4045*201611252* &gt;&gt; 42699-slicedisagreementcheck.txt</v>
      </c>
    </row>
    <row r="20" spans="1:30" s="1" customFormat="1" x14ac:dyDescent="0.25">
      <c r="A20" s="36">
        <v>42699.882789351854</v>
      </c>
      <c r="B20" s="31" t="s">
        <v>218</v>
      </c>
      <c r="C20" s="31" t="s">
        <v>460</v>
      </c>
      <c r="D20" s="31" t="s">
        <v>49</v>
      </c>
      <c r="E20" s="31" t="s">
        <v>205</v>
      </c>
      <c r="F20" s="47">
        <v>0</v>
      </c>
      <c r="G20" s="47">
        <v>458</v>
      </c>
      <c r="H20" s="47">
        <v>42788</v>
      </c>
      <c r="I20" s="47">
        <v>44159</v>
      </c>
      <c r="J20" s="31" t="s">
        <v>206</v>
      </c>
      <c r="K20" s="47">
        <v>43651</v>
      </c>
      <c r="L20" s="154" t="s">
        <v>50</v>
      </c>
      <c r="M20" s="155">
        <f t="shared" si="0"/>
        <v>-268.22399999999999</v>
      </c>
      <c r="N20" s="156" t="str">
        <f>VLOOKUP(C20,'Trips&amp;Operators'!$C$1:$E$99999,3,FALSE)</f>
        <v>DAVIDSON</v>
      </c>
      <c r="O20" s="183" t="s">
        <v>255</v>
      </c>
      <c r="P20" s="157" t="s">
        <v>796</v>
      </c>
      <c r="Q20" s="31"/>
      <c r="R20" s="100" t="str">
        <f>VLOOKUP(C20,'Train Runs'!$A$13:$AE$9988,31,0)</f>
        <v>aws s3 cp s3://rtdc.mdm.uploadarchive.raw/RTDC4040/ "%USERPROFILE%\AppData\Local\Temp\OnboardLogs"\RTDC4040\2016-11-25 --exclude "*" --recursive --include "*20161125*" &amp; "%USERPROFILE%\Documents\GitHub\mrs-test-scripts\Headless Mode &amp; Sideloading\WalkAndUnGZ.bat" "%USERPROFILE%\AppData\Local\Temp\OnboardLogs"\RTDC4040\2016-11-25 &amp; aws s3 cp s3://rtdc.mdm.uploadarchive.raw/RTDC4040/ "%USERPROFILE%\AppData\Local\Temp\OnboardLogs"\RTDC4040\2016-11-26 --exclude "*" --recursive --include "*20161126*" &amp; "%USERPROFILE%\Documents\GitHub\mrs-test-scripts\Headless Mode &amp; Sideloading\WalkAndUnGZ.bat" "%USERPROFILE%\AppData\Local\Temp\OnboardLogs"\RTDC4040\2016-11-26</v>
      </c>
      <c r="S20" s="103" t="str">
        <f>VLOOKUP(C20,'Train Runs'!$A$13:$AE$9988,22,0)</f>
        <v>https://search-rtdc-monitor-bjffxe2xuh6vdkpspy63sjmuny.us-east-1.es.amazonaws.com/_plugin/kibana/#/discover/Steve-Slow-Train-Analysis-(2080s-and-2083s)?_g=(refreshInterval:(display:Off,section:0,value:0),time:(from:'2016-11-25 19:52:45-700',mode:absolute,to:'2016-11-25 22:40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T20" s="105" t="str">
        <f t="shared" si="1"/>
        <v>"C:\Program Files (x86)\AstroGrep\AstroGrep.exe" /spath="%USERPROFILE%\AppData\Local\Temp\OnboardLogs" /stypes="*4040*201611260*" /stext=" 04:.+((SYSTEM_STATE.+slice.+state.+changed )|(ment ac)|(system.+state.+changed )|(\[timeout)|(PRM\|1\|D)|(kpr)|(kdp)|(\|lc)|(penalty))" /e /r /s</v>
      </c>
      <c r="U20" s="9" t="str">
        <f t="shared" si="2"/>
        <v>4040</v>
      </c>
      <c r="V20" s="36">
        <f t="shared" si="3"/>
        <v>42700.174456018518</v>
      </c>
      <c r="W20" s="50" t="str">
        <f t="shared" si="4"/>
        <v>EC</v>
      </c>
      <c r="X20" s="50" t="str">
        <f t="shared" si="5"/>
        <v>KEEP</v>
      </c>
      <c r="Y20" s="119" t="str">
        <f t="shared" si="6"/>
        <v>echo {"issue":{"subject":"Premature downgrade at EC0437RH 39-1T 1N","project_id":79,"tracker_id":40,"status_id":1,"priority_id":2,"assigned_to_id":23,"start_date":"2016-11-25","description":"At 21:10:49, EC0437RH 39-1T 1N downgraded from 270 to 0, this seemed like it was unintended, anything interesting in the logs?","custom_fields":[{"id":1,"name":"Subdivision","value":"EC"},{"id":4,"name":"Milepost","value":"4.3651"},{"id":17,"name":"Train ID","value":"229-25"},{"id":16,"name":"Locomotive ID","value":"4040"},{"id":130,"name":"Impact","value":"Enforcement"},{"id":150,"name":"Time of Event (Mountain Time)","value":"21:11:13"},{"id":151,"name":"Denver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Z20" s="53" t="s">
        <v>797</v>
      </c>
      <c r="AA20" s="53" t="s">
        <v>125</v>
      </c>
      <c r="AB20" s="53" t="s">
        <v>130</v>
      </c>
      <c r="AC20" s="138" t="str">
        <f t="shared" si="7"/>
        <v>grep -hSE -A100 "Enforcement Action" "%USERPROFILE%\AppData\Local\Temp\OnboardLogs"\RTDC4040\*4040*201611260*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"&amp;Variables!$A$2&amp;"-slicedisagreementcheck.txt"</f>
        <v>grep -hSE "Enforcement Action" "%USERPROFILE%\AppData\Local\Temp\OnboardLogs"\RTDC4040\*4040*201611260* &gt;&gt; 42699-slicedisagreementcheck.txt</v>
      </c>
    </row>
    <row r="21" spans="1:30" x14ac:dyDescent="0.25">
      <c r="A21" s="36">
        <v>42699.293391203704</v>
      </c>
      <c r="B21" s="31" t="s">
        <v>223</v>
      </c>
      <c r="C21" s="31" t="s">
        <v>410</v>
      </c>
      <c r="D21" s="31" t="s">
        <v>49</v>
      </c>
      <c r="E21" s="31" t="s">
        <v>205</v>
      </c>
      <c r="F21" s="47">
        <v>0</v>
      </c>
      <c r="G21" s="47">
        <v>447</v>
      </c>
      <c r="H21" s="47">
        <v>89260</v>
      </c>
      <c r="I21" s="47">
        <v>88182</v>
      </c>
      <c r="J21" s="31" t="s">
        <v>206</v>
      </c>
      <c r="K21" s="47">
        <v>87902</v>
      </c>
      <c r="L21" s="154" t="s">
        <v>51</v>
      </c>
      <c r="M21" s="155">
        <f t="shared" si="0"/>
        <v>147.84</v>
      </c>
      <c r="N21" s="156" t="str">
        <f>VLOOKUP(C21,'Trips&amp;Operators'!$C$1:$E$99999,3,FALSE)</f>
        <v>DAVIS</v>
      </c>
      <c r="O21" s="183" t="s">
        <v>255</v>
      </c>
      <c r="P21" s="157" t="s">
        <v>790</v>
      </c>
      <c r="Q21" s="31"/>
      <c r="R21" s="100" t="str">
        <f>VLOOKUP(C21,'Train Runs'!$A$13:$AE$9988,31,0)</f>
        <v>aws s3 cp s3://rtdc.mdm.uploadarchive.raw/RTDC4012/ "%USERPROFILE%\AppData\Local\Temp\OnboardLogs"\RTDC4012\2016-11-25 --exclude "*" --recursive --include "*20161125*" &amp; "%USERPROFILE%\Documents\GitHub\mrs-test-scripts\Headless Mode &amp; Sideloading\WalkAndUnGZ.bat" "%USERPROFILE%\AppData\Local\Temp\OnboardLogs"\RTDC4012\2016-11-25 &amp; aws s3 cp s3://rtdc.mdm.uploadarchive.raw/RTDC4012/ "%USERPROFILE%\AppData\Local\Temp\OnboardLogs"\RTDC4012\2016-11-26 --exclude "*" --recursive --include "*20161126*" &amp; "%USERPROFILE%\Documents\GitHub\mrs-test-scripts\Headless Mode &amp; Sideloading\WalkAndUnGZ.bat" "%USERPROFILE%\AppData\Local\Temp\OnboardLogs"\RTDC4012\2016-11-26</v>
      </c>
      <c r="S21" s="103" t="str">
        <f>VLOOKUP(C21,'Train Runs'!$A$13:$AE$9988,22,0)</f>
        <v>https://search-rtdc-monitor-bjffxe2xuh6vdkpspy63sjmuny.us-east-1.es.amazonaws.com/_plugin/kibana/#/discover/Steve-Slow-Train-Analysis-(2080s-and-2083s)?_g=(refreshInterval:(display:Off,section:0,value:0),time:(from:'2016-11-25 05:36:11-700',mode:absolute,to:'2016-11-25 08:23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21" s="105" t="str">
        <f t="shared" si="1"/>
        <v>"C:\Program Files (x86)\AstroGrep\AstroGrep.exe" /spath="%USERPROFILE%\AppData\Local\Temp\OnboardLogs" /stypes="*4012*201611251*" /stext=" 14:.+((SYSTEM_STATE.+slice.+state.+changed )|(ment ac)|(system.+state.+changed )|(\[timeout)|(PRM\|1\|D)|(kpr)|(kdp)|(\|lc)|(penalty))" /e /r /s</v>
      </c>
      <c r="U21" s="9" t="str">
        <f t="shared" si="2"/>
        <v>4012</v>
      </c>
      <c r="V21" s="36">
        <f t="shared" si="3"/>
        <v>42699.585057870368</v>
      </c>
      <c r="W21" s="50" t="str">
        <f t="shared" si="4"/>
        <v>EC</v>
      </c>
      <c r="X21" s="50" t="str">
        <f t="shared" si="5"/>
        <v>KEEP</v>
      </c>
      <c r="Y21" s="119" t="str">
        <f t="shared" si="6"/>
        <v>echo {"issue":{"subject":"Wi-MAX data drop","project_id":79,"tracker_id":40,"status_id":1,"priority_id":2,"assigned_to_id":23,"start_date":"2016-11-25","description":"http://stevetu21.github.io/eaglep3/load_kml.html?kml=http://rtdc.gmaps-snips.s3.amazonaws.com/e90cb135-7c9c-4f1d-b3a0-0404a661b1f1.kml","custom_fields":[{"id":1,"name":"Subdivision","value":"EC"},{"id":4,"name":"Milepost","value":"8.7902"},{"id":17,"name":"Train ID","value":"118-25"},{"id":16,"name":"Locomotive ID","value":"4012"},{"id":130,"name":"Impact","value":"Enforcement"},{"id":150,"name":"Time of Event (Mountain Time)","value":"07:02:29"},{"id":151,"name":"Denver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21" s="184" t="s">
        <v>798</v>
      </c>
      <c r="AA21" s="53" t="s">
        <v>125</v>
      </c>
      <c r="AB21" s="53" t="s">
        <v>138</v>
      </c>
      <c r="AC21" s="138" t="str">
        <f t="shared" si="7"/>
        <v>grep -hSE -A100 "Enforcement Action" "%USERPROFILE%\AppData\Local\Temp\OnboardLogs"\RTDC4012\*4012*201611251*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"&amp;Variables!$A$2&amp;"-slicedisagreementcheck.txt"</f>
        <v>grep -hSE "Enforcement Action" "%USERPROFILE%\AppData\Local\Temp\OnboardLogs"\RTDC4012\*4012*201611251* &gt;&gt; 42699-slicedisagreementcheck.txt</v>
      </c>
    </row>
    <row r="22" spans="1:30" x14ac:dyDescent="0.25">
      <c r="A22" s="36">
        <v>42699.694409722222</v>
      </c>
      <c r="B22" s="31" t="s">
        <v>220</v>
      </c>
      <c r="C22" s="31" t="s">
        <v>446</v>
      </c>
      <c r="D22" s="31" t="s">
        <v>49</v>
      </c>
      <c r="E22" s="31" t="s">
        <v>205</v>
      </c>
      <c r="F22" s="47">
        <v>0</v>
      </c>
      <c r="G22" s="47">
        <v>391</v>
      </c>
      <c r="H22" s="47">
        <v>129220</v>
      </c>
      <c r="I22" s="47">
        <v>128203</v>
      </c>
      <c r="J22" s="31" t="s">
        <v>206</v>
      </c>
      <c r="K22" s="47">
        <v>127587</v>
      </c>
      <c r="L22" s="154" t="s">
        <v>51</v>
      </c>
      <c r="M22" s="155">
        <f t="shared" si="0"/>
        <v>325.24799999999999</v>
      </c>
      <c r="N22" s="156" t="str">
        <f>VLOOKUP(C22,'Trips&amp;Operators'!$C$1:$E$99999,3,FALSE)</f>
        <v>ADANE</v>
      </c>
      <c r="O22" s="183" t="s">
        <v>202</v>
      </c>
      <c r="P22" s="157" t="s">
        <v>799</v>
      </c>
      <c r="Q22" s="31"/>
      <c r="R22" s="100" t="str">
        <f>VLOOKUP(C22,'Train Runs'!$A$13:$AE$9988,31,0)</f>
        <v>aws s3 cp s3://rtdc.mdm.uploadarchive.raw/RTDC4039/ "%USERPROFILE%\AppData\Local\Temp\OnboardLogs"\RTDC4039\2016-11-25 --exclude "*" --recursive --include "*20161125*" &amp; "%USERPROFILE%\Documents\GitHub\mrs-test-scripts\Headless Mode &amp; Sideloading\WalkAndUnGZ.bat" "%USERPROFILE%\AppData\Local\Temp\OnboardLogs"\RTDC4039\2016-11-25 &amp; aws s3 cp s3://rtdc.mdm.uploadarchive.raw/RTDC4039/ "%USERPROFILE%\AppData\Local\Temp\OnboardLogs"\RTDC4039\2016-11-26 --exclude "*" --recursive --include "*20161126*" &amp; "%USERPROFILE%\Documents\GitHub\mrs-test-scripts\Headless Mode &amp; Sideloading\WalkAndUnGZ.bat" "%USERPROFILE%\AppData\Local\Temp\OnboardLogs"\RTDC4039\2016-11-26</v>
      </c>
      <c r="S22" s="103" t="str">
        <f>VLOOKUP(C22,'Train Runs'!$A$13:$AE$9988,22,0)</f>
        <v>https://search-rtdc-monitor-bjffxe2xuh6vdkpspy63sjmuny.us-east-1.es.amazonaws.com/_plugin/kibana/#/discover/Steve-Slow-Train-Analysis-(2080s-and-2083s)?_g=(refreshInterval:(display:Off,section:0,value:0),time:(from:'2016-11-25 15:10:31-700',mode:absolute,to:'2016-11-25 18:04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22" s="105" t="str">
        <f t="shared" si="1"/>
        <v>"C:\Program Files (x86)\AstroGrep\AstroGrep.exe" /spath="%USERPROFILE%\AppData\Local\Temp\OnboardLogs" /stypes="*4039*201611252*" /stext=" 23:.+((SYSTEM_STATE.+slice.+state.+changed )|(ment ac)|(system.+state.+changed )|(\[timeout)|(PRM\|1\|D)|(kpr)|(kdp)|(\|lc)|(penalty))" /e /r /s</v>
      </c>
      <c r="U22" s="9" t="str">
        <f t="shared" si="2"/>
        <v>4039</v>
      </c>
      <c r="V22" s="36">
        <f t="shared" si="3"/>
        <v>42699.986076388886</v>
      </c>
      <c r="W22" s="50" t="str">
        <f t="shared" si="4"/>
        <v>EC</v>
      </c>
      <c r="X22" s="50" t="str">
        <f t="shared" si="5"/>
        <v>KEEP</v>
      </c>
      <c r="Y22" s="119" t="str">
        <f t="shared" si="6"/>
        <v>echo {"issue":{"subject":"40th 4S STOP","project_id":79,"tracker_id":40,"status_id":1,"priority_id":2,"assigned_to_id":23,"start_date":"2016-11-25","description":"","custom_fields":[{"id":1,"name":"Subdivision","value":"EC"},{"id":4,"name":"Milepost","value":"12.7587"},{"id":17,"name":"Train ID","value":"196-25"},{"id":16,"name":"Locomotive ID","value":"4039"},{"id":130,"name":"Impact","value":""},{"id":150,"name":"Time of Event (Mountain Time)","value":"16:39:57"},{"id":151,"name":"Denver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3"/>
      <c r="AA22" s="53"/>
      <c r="AB22" s="53"/>
      <c r="AC22" s="138" t="str">
        <f t="shared" si="7"/>
        <v>grep -hSE -A100 "Enforcement Action" "%USERPROFILE%\AppData\Local\Temp\OnboardLogs"\RTDC4039\*4039*201611252*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"&amp;Variables!$A$2&amp;"-slicedisagreementcheck.txt"</f>
        <v>grep -hSE "Enforcement Action" "%USERPROFILE%\AppData\Local\Temp\OnboardLogs"\RTDC4039\*4039*201611252* &gt;&gt; 42699-slicedisagreementcheck.txt</v>
      </c>
    </row>
    <row r="23" spans="1:30" x14ac:dyDescent="0.25">
      <c r="A23" s="36">
        <v>42699.293124999997</v>
      </c>
      <c r="B23" s="31" t="s">
        <v>247</v>
      </c>
      <c r="C23" s="31" t="s">
        <v>409</v>
      </c>
      <c r="D23" s="31" t="s">
        <v>49</v>
      </c>
      <c r="E23" s="31" t="s">
        <v>205</v>
      </c>
      <c r="F23" s="47">
        <v>0</v>
      </c>
      <c r="G23" s="47">
        <v>377</v>
      </c>
      <c r="H23" s="47">
        <v>194200</v>
      </c>
      <c r="I23" s="47">
        <v>193210</v>
      </c>
      <c r="J23" s="31" t="s">
        <v>206</v>
      </c>
      <c r="K23" s="47">
        <v>191723</v>
      </c>
      <c r="L23" s="154" t="s">
        <v>51</v>
      </c>
      <c r="M23" s="155">
        <f t="shared" si="0"/>
        <v>785.13599999999997</v>
      </c>
      <c r="N23" s="156" t="str">
        <f>VLOOKUP(C23,'Trips&amp;Operators'!$C$1:$E$99999,3,FALSE)</f>
        <v>ROBINSON</v>
      </c>
      <c r="O23" s="183" t="s">
        <v>202</v>
      </c>
      <c r="P23" s="157" t="s">
        <v>800</v>
      </c>
      <c r="Q23" s="31"/>
      <c r="R23" s="100" t="str">
        <f>VLOOKUP(C23,'Train Runs'!$A$13:$AE$9988,31,0)</f>
        <v>aws s3 cp s3://rtdc.mdm.uploadarchive.raw/RTDC4013/ "%USERPROFILE%\AppData\Local\Temp\OnboardLogs"\RTDC4013\2016-11-25 --exclude "*" --recursive --include "*20161125*" &amp; "%USERPROFILE%\Documents\GitHub\mrs-test-scripts\Headless Mode &amp; Sideloading\WalkAndUnGZ.bat" "%USERPROFILE%\AppData\Local\Temp\OnboardLogs"\RTDC4013\2016-11-25 &amp; aws s3 cp s3://rtdc.mdm.uploadarchive.raw/RTDC4013/ "%USERPROFILE%\AppData\Local\Temp\OnboardLogs"\RTDC4013\2016-11-26 --exclude "*" --recursive --include "*20161126*" &amp; "%USERPROFILE%\Documents\GitHub\mrs-test-scripts\Headless Mode &amp; Sideloading\WalkAndUnGZ.bat" "%USERPROFILE%\AppData\Local\Temp\OnboardLogs"\RTDC4013\2016-11-26</v>
      </c>
      <c r="S23" s="103" t="str">
        <f>VLOOKUP(C23,'Train Runs'!$A$13:$AE$9988,22,0)</f>
        <v>https://search-rtdc-monitor-bjffxe2xuh6vdkpspy63sjmuny.us-east-1.es.amazonaws.com/_plugin/kibana/#/discover/Steve-Slow-Train-Analysis-(2080s-and-2083s)?_g=(refreshInterval:(display:Off,section:0,value:0),time:(from:'2016-11-25 05:43:37-700',mode:absolute,to:'2016-11-25 08:34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23" s="105" t="str">
        <f t="shared" si="1"/>
        <v>"C:\Program Files (x86)\AstroGrep\AstroGrep.exe" /spath="%USERPROFILE%\AppData\Local\Temp\OnboardLogs" /stypes="*4013*201611251*" /stext=" 14:.+((SYSTEM_STATE.+slice.+state.+changed )|(ment ac)|(system.+state.+changed )|(\[timeout)|(PRM\|1\|D)|(kpr)|(kdp)|(\|lc)|(penalty))" /e /r /s</v>
      </c>
      <c r="U23" s="9" t="str">
        <f t="shared" si="2"/>
        <v>4013</v>
      </c>
      <c r="V23" s="36">
        <f t="shared" si="3"/>
        <v>42699.584791666661</v>
      </c>
      <c r="W23" s="50" t="str">
        <f t="shared" si="4"/>
        <v>EC</v>
      </c>
      <c r="X23" s="50" t="str">
        <f t="shared" si="5"/>
        <v>KEEP</v>
      </c>
      <c r="Y23" s="119" t="str">
        <f t="shared" si="6"/>
        <v>echo {"issue":{"subject":"Pena 4S STOP","project_id":79,"tracker_id":40,"status_id":1,"priority_id":2,"assigned_to_id":23,"start_date":"2016-11-25","description":"","custom_fields":[{"id":1,"name":"Subdivision","value":"EC"},{"id":4,"name":"Milepost","value":"19.1723"},{"id":17,"name":"Train ID","value":"120-25"},{"id":16,"name":"Locomotive ID","value":"4013"},{"id":130,"name":"Impact","value":""},{"id":150,"name":"Time of Event (Mountain Time)","value":"07:02:06"},{"id":151,"name":"Denver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3"/>
      <c r="AA23" s="53"/>
      <c r="AB23" s="53"/>
      <c r="AC23" s="138" t="str">
        <f t="shared" si="7"/>
        <v>grep -hSE -A100 "Enforcement Action" "%USERPROFILE%\AppData\Local\Temp\OnboardLogs"\RTDC4013\*4013*201611251*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"&amp;Variables!$A$2&amp;"-slicedisagreementcheck.txt"</f>
        <v>grep -hSE "Enforcement Action" "%USERPROFILE%\AppData\Local\Temp\OnboardLogs"\RTDC4013\*4013*201611251* &gt;&gt; 42699-slicedisagreementcheck.txt</v>
      </c>
    </row>
    <row r="24" spans="1:30" ht="15" customHeight="1" x14ac:dyDescent="0.25">
      <c r="A24" s="36">
        <v>42699.438449074078</v>
      </c>
      <c r="B24" s="31" t="s">
        <v>186</v>
      </c>
      <c r="C24" s="31" t="s">
        <v>425</v>
      </c>
      <c r="D24" s="31" t="s">
        <v>49</v>
      </c>
      <c r="E24" s="31" t="s">
        <v>205</v>
      </c>
      <c r="F24" s="47">
        <v>0</v>
      </c>
      <c r="G24" s="47">
        <v>609</v>
      </c>
      <c r="H24" s="47">
        <v>193563</v>
      </c>
      <c r="I24" s="47">
        <v>196581</v>
      </c>
      <c r="J24" s="31" t="s">
        <v>206</v>
      </c>
      <c r="K24" s="47">
        <v>198242</v>
      </c>
      <c r="L24" s="154" t="s">
        <v>50</v>
      </c>
      <c r="M24" s="155">
        <f t="shared" si="0"/>
        <v>877.00800000000004</v>
      </c>
      <c r="N24" s="156" t="str">
        <f>VLOOKUP(C24,'Trips&amp;Operators'!$C$1:$E$99999,3,FALSE)</f>
        <v>OUN</v>
      </c>
      <c r="O24" s="183" t="s">
        <v>255</v>
      </c>
      <c r="P24" s="157" t="s">
        <v>790</v>
      </c>
      <c r="Q24" s="31"/>
      <c r="R24" s="100" t="str">
        <f>VLOOKUP(C24,'Train Runs'!$A$13:$AE$9988,31,0)</f>
        <v>aws s3 cp s3://rtdc.mdm.uploadarchive.raw/RTDC4009/ "%USERPROFILE%\AppData\Local\Temp\OnboardLogs"\RTDC4009\2016-11-25 --exclude "*" --recursive --include "*20161125*" &amp; "%USERPROFILE%\Documents\GitHub\mrs-test-scripts\Headless Mode &amp; Sideloading\WalkAndUnGZ.bat" "%USERPROFILE%\AppData\Local\Temp\OnboardLogs"\RTDC4009\2016-11-25 &amp; aws s3 cp s3://rtdc.mdm.uploadarchive.raw/RTDC4009/ "%USERPROFILE%\AppData\Local\Temp\OnboardLogs"\RTDC4009\2016-11-26 --exclude "*" --recursive --include "*20161126*" &amp; "%USERPROFILE%\Documents\GitHub\mrs-test-scripts\Headless Mode &amp; Sideloading\WalkAndUnGZ.bat" "%USERPROFILE%\AppData\Local\Temp\OnboardLogs"\RTDC4009\2016-11-26</v>
      </c>
      <c r="S24" s="103" t="str">
        <f>VLOOKUP(C24,'Train Runs'!$A$13:$AE$9988,22,0)</f>
        <v>https://search-rtdc-monitor-bjffxe2xuh6vdkpspy63sjmuny.us-east-1.es.amazonaws.com/_plugin/kibana/#/discover/Steve-Slow-Train-Analysis-(2080s-and-2083s)?_g=(refreshInterval:(display:Off,section:0,value:0),time:(from:'2016-11-25 08:53:14-700',mode:absolute,to:'2016-11-25 11:38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T24" s="105" t="str">
        <f t="shared" si="1"/>
        <v>"C:\Program Files (x86)\AstroGrep\AstroGrep.exe" /spath="%USERPROFILE%\AppData\Local\Temp\OnboardLogs" /stypes="*4009*201611251*" /stext=" 17:.+((SYSTEM_STATE.+slice.+state.+changed )|(ment ac)|(system.+state.+changed )|(\[timeout)|(PRM\|1\|D)|(kpr)|(kdp)|(\|lc)|(penalty))" /e /r /s</v>
      </c>
      <c r="U24" s="9" t="str">
        <f t="shared" si="2"/>
        <v>4009</v>
      </c>
      <c r="V24" s="36">
        <f t="shared" si="3"/>
        <v>42699.730115740742</v>
      </c>
      <c r="W24" s="50" t="str">
        <f t="shared" si="4"/>
        <v>EC</v>
      </c>
      <c r="X24" s="50" t="str">
        <f t="shared" si="5"/>
        <v>KEEP</v>
      </c>
      <c r="Y24" s="119" t="str">
        <f t="shared" si="6"/>
        <v>echo {"issue":{"subject":"Wi-MAX data drop","project_id":79,"tracker_id":40,"status_id":1,"priority_id":2,"assigned_to_id":23,"start_date":"2016-11-25","description":"http://stevetu21.github.io/eaglep3/load_kml.html?kml=http://rtdc.gmaps-snips.s3.amazonaws.com/f14ed824-c32c-44e7-96d3-adaf585257c9.kml","custom_fields":[{"id":1,"name":"Subdivision","value":"EC"},{"id":4,"name":"Milepost","value":"19.8242"},{"id":17,"name":"Train ID","value":"151-25"},{"id":16,"name":"Locomotive ID","value":"4009"},{"id":130,"name":"Impact","value":"Enforcement"},{"id":150,"name":"Time of Event (Mountain Time)","value":"10:31:22"},{"id":151,"name":"Denver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24" s="21" t="s">
        <v>801</v>
      </c>
      <c r="AA24" s="53" t="s">
        <v>125</v>
      </c>
      <c r="AB24" s="53" t="s">
        <v>138</v>
      </c>
      <c r="AC24" s="138" t="str">
        <f t="shared" si="7"/>
        <v>grep -hSE -A100 "Enforcement Action" "%USERPROFILE%\AppData\Local\Temp\OnboardLogs"\RTDC4009\*4009*201611251*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"&amp;Variables!$A$2&amp;"-slicedisagreementcheck.txt"</f>
        <v>grep -hSE "Enforcement Action" "%USERPROFILE%\AppData\Local\Temp\OnboardLogs"\RTDC4009\*4009*201611251* &gt;&gt; 42699-slicedisagreementcheck.txt</v>
      </c>
    </row>
    <row r="25" spans="1:30" x14ac:dyDescent="0.25">
      <c r="A25" s="36">
        <v>42699.814166666663</v>
      </c>
      <c r="B25" s="31" t="s">
        <v>285</v>
      </c>
      <c r="C25" s="31" t="s">
        <v>458</v>
      </c>
      <c r="D25" s="31" t="s">
        <v>49</v>
      </c>
      <c r="E25" s="31" t="s">
        <v>205</v>
      </c>
      <c r="F25" s="47">
        <v>0</v>
      </c>
      <c r="G25" s="47">
        <v>671</v>
      </c>
      <c r="H25" s="47">
        <v>198995</v>
      </c>
      <c r="I25" s="47">
        <v>196070</v>
      </c>
      <c r="J25" s="31" t="s">
        <v>206</v>
      </c>
      <c r="K25" s="47">
        <v>198256</v>
      </c>
      <c r="L25" s="154" t="s">
        <v>51</v>
      </c>
      <c r="M25" s="155">
        <f t="shared" si="0"/>
        <v>-1154.2080000000001</v>
      </c>
      <c r="N25" s="156" t="str">
        <f>VLOOKUP(C25,'Trips&amp;Operators'!$C$1:$E$99999,3,FALSE)</f>
        <v>STAMBAUGH</v>
      </c>
      <c r="O25" s="183" t="s">
        <v>255</v>
      </c>
      <c r="P25" s="157" t="s">
        <v>790</v>
      </c>
      <c r="Q25" s="31"/>
      <c r="R25" s="100" t="str">
        <f>VLOOKUP(C25,'Train Runs'!$A$13:$AE$9988,31,0)</f>
        <v>aws s3 cp s3://rtdc.mdm.uploadarchive.raw/RTDC4041/ "%USERPROFILE%\AppData\Local\Temp\OnboardLogs"\RTDC4041\2016-11-25 --exclude "*" --recursive --include "*20161125*" &amp; "%USERPROFILE%\Documents\GitHub\mrs-test-scripts\Headless Mode &amp; Sideloading\WalkAndUnGZ.bat" "%USERPROFILE%\AppData\Local\Temp\OnboardLogs"\RTDC4041\2016-11-25 &amp; aws s3 cp s3://rtdc.mdm.uploadarchive.raw/RTDC4041/ "%USERPROFILE%\AppData\Local\Temp\OnboardLogs"\RTDC4041\2016-11-26 --exclude "*" --recursive --include "*20161126*" &amp; "%USERPROFILE%\Documents\GitHub\mrs-test-scripts\Headless Mode &amp; Sideloading\WalkAndUnGZ.bat" "%USERPROFILE%\AppData\Local\Temp\OnboardLogs"\RTDC4041\2016-11-26</v>
      </c>
      <c r="S25" s="103" t="str">
        <f>VLOOKUP(C25,'Train Runs'!$A$13:$AE$9988,22,0)</f>
        <v>https://search-rtdc-monitor-bjffxe2xuh6vdkpspy63sjmuny.us-east-1.es.amazonaws.com/_plugin/kibana/#/discover/Steve-Slow-Train-Analysis-(2080s-and-2083s)?_g=(refreshInterval:(display:Off,section:0,value:0),time:(from:'2016-11-25 18:21:47-700',mode:absolute,to:'2016-11-25 21:05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25" s="105" t="str">
        <f t="shared" si="1"/>
        <v>"C:\Program Files (x86)\AstroGrep\AstroGrep.exe" /spath="%USERPROFILE%\AppData\Local\Temp\OnboardLogs" /stypes="*4041*201611260*" /stext=" 02:.+((SYSTEM_STATE.+slice.+state.+changed )|(ment ac)|(system.+state.+changed )|(\[timeout)|(PRM\|1\|D)|(kpr)|(kdp)|(\|lc)|(penalty))" /e /r /s</v>
      </c>
      <c r="U25" s="9" t="str">
        <f t="shared" si="2"/>
        <v>4041</v>
      </c>
      <c r="V25" s="36">
        <f t="shared" si="3"/>
        <v>42700.105833333328</v>
      </c>
      <c r="W25" s="50" t="str">
        <f t="shared" si="4"/>
        <v>EC</v>
      </c>
      <c r="X25" s="50" t="str">
        <f t="shared" si="5"/>
        <v>KEEP</v>
      </c>
      <c r="Y25" s="119" t="str">
        <f t="shared" si="6"/>
        <v>echo {"issue":{"subject":"Wi-MAX data drop","project_id":79,"tracker_id":40,"status_id":1,"priority_id":2,"assigned_to_id":23,"start_date":"2016-11-25","description":"http://stevetu21.github.io/eaglep3/load_kml.html?kml=http://rtdc.gmaps-snips.s3.amazonaws.com/b268b00e-cadd-4a4e-83cd-3db3e29be5ce.kml","custom_fields":[{"id":1,"name":"Subdivision","value":"EC"},{"id":4,"name":"Milepost","value":"19.8256"},{"id":17,"name":"Train ID","value":"220-25"},{"id":16,"name":"Locomotive ID","value":"4041"},{"id":130,"name":"Impact","value":"Enforcement"},{"id":150,"name":"Time of Event (Mountain Time)","value":"19:32:24"},{"id":151,"name":"Denver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25" s="21" t="s">
        <v>802</v>
      </c>
      <c r="AA25" s="53" t="s">
        <v>125</v>
      </c>
      <c r="AB25" s="53" t="s">
        <v>138</v>
      </c>
      <c r="AC25" s="138" t="str">
        <f t="shared" si="7"/>
        <v>grep -hSE -A100 "Enforcement Action" "%USERPROFILE%\AppData\Local\Temp\OnboardLogs"\RTDC4041\*4041*201611260*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"&amp;Variables!$A$2&amp;"-slicedisagreementcheck.txt"</f>
        <v>grep -hSE "Enforcement Action" "%USERPROFILE%\AppData\Local\Temp\OnboardLogs"\RTDC4041\*4041*201611260* &gt;&gt; 42699-slicedisagreementcheck.txt</v>
      </c>
    </row>
    <row r="26" spans="1:30" x14ac:dyDescent="0.25">
      <c r="A26" s="36">
        <v>42699.42559027778</v>
      </c>
      <c r="B26" s="31" t="s">
        <v>246</v>
      </c>
      <c r="C26" s="31" t="s">
        <v>420</v>
      </c>
      <c r="D26" s="31" t="s">
        <v>49</v>
      </c>
      <c r="E26" s="31" t="s">
        <v>205</v>
      </c>
      <c r="F26" s="47">
        <v>0</v>
      </c>
      <c r="G26" s="47">
        <v>14</v>
      </c>
      <c r="H26" s="47">
        <v>227726</v>
      </c>
      <c r="I26" s="47">
        <v>227764</v>
      </c>
      <c r="J26" s="31" t="s">
        <v>206</v>
      </c>
      <c r="K26" s="47">
        <v>228572</v>
      </c>
      <c r="L26" s="154" t="s">
        <v>50</v>
      </c>
      <c r="M26" s="155">
        <f t="shared" si="0"/>
        <v>426.62400000000002</v>
      </c>
      <c r="N26" s="156" t="str">
        <f>VLOOKUP(C26,'Trips&amp;Operators'!$C$1:$E$99999,3,FALSE)</f>
        <v>RICHARDSON</v>
      </c>
      <c r="O26" s="183" t="s">
        <v>255</v>
      </c>
      <c r="P26" s="157" t="s">
        <v>988</v>
      </c>
      <c r="Q26" s="31"/>
      <c r="R26" s="100" t="str">
        <f>VLOOKUP(C26,'Train Runs'!$A$13:$AE$9988,31,0)</f>
        <v>aws s3 cp s3://rtdc.mdm.uploadarchive.raw/RTDC4014/ "%USERPROFILE%\AppData\Local\Temp\OnboardLogs"\RTDC4014\2016-11-25 --exclude "*" --recursive --include "*20161125*" &amp; "%USERPROFILE%\Documents\GitHub\mrs-test-scripts\Headless Mode &amp; Sideloading\WalkAndUnGZ.bat" "%USERPROFILE%\AppData\Local\Temp\OnboardLogs"\RTDC4014\2016-11-25 &amp; aws s3 cp s3://rtdc.mdm.uploadarchive.raw/RTDC4014/ "%USERPROFILE%\AppData\Local\Temp\OnboardLogs"\RTDC4014\2016-11-26 --exclude "*" --recursive --include "*20161126*" &amp; "%USERPROFILE%\Documents\GitHub\mrs-test-scripts\Headless Mode &amp; Sideloading\WalkAndUnGZ.bat" "%USERPROFILE%\AppData\Local\Temp\OnboardLogs"\RTDC4014\2016-11-26</v>
      </c>
      <c r="S26" s="103" t="str">
        <f>VLOOKUP(C26,'Train Runs'!$A$13:$AE$9988,22,0)</f>
        <v>https://search-rtdc-monitor-bjffxe2xuh6vdkpspy63sjmuny.us-east-1.es.amazonaws.com/_plugin/kibana/#/discover/Steve-Slow-Train-Analysis-(2080s-and-2083s)?_g=(refreshInterval:(display:Off,section:0,value:0),time:(from:'2016-11-25 08:26:43-700',mode:absolute,to:'2016-11-25 11:15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T26" s="105" t="str">
        <f t="shared" si="1"/>
        <v>"C:\Program Files (x86)\AstroGrep\AstroGrep.exe" /spath="%USERPROFILE%\AppData\Local\Temp\OnboardLogs" /stypes="*4014*201611251*" /stext=" 17:.+((SYSTEM_STATE.+slice.+state.+changed )|(ment ac)|(system.+state.+changed )|(\[timeout)|(PRM\|1\|D)|(kpr)|(kdp)|(\|lc)|(penalty))" /e /r /s</v>
      </c>
      <c r="U26" s="9" t="str">
        <f t="shared" si="2"/>
        <v>4014</v>
      </c>
      <c r="V26" s="36">
        <f t="shared" si="3"/>
        <v>42699.717256944445</v>
      </c>
      <c r="W26" s="50" t="str">
        <f t="shared" si="4"/>
        <v>EC</v>
      </c>
      <c r="X26" s="50" t="str">
        <f t="shared" si="5"/>
        <v>KEEP</v>
      </c>
      <c r="Y26" s="119" t="str">
        <f t="shared" si="6"/>
        <v>echo {"issue":{"subject":"DIA 2N / PSS / Efficiency test","project_id":79,"tracker_id":40,"status_id":1,"priority_id":2,"assigned_to_id":23,"start_date":"2016-11-25","description":"From 10:02 (likely earlier), DIA 2N was stuck at STOP. Do logs tell us anything notable?","custom_fields":[{"id":1,"name":"Subdivision","value":"EC"},{"id":4,"name":"Milepost","value":"22.8572"},{"id":17,"name":"Train ID","value":"147-25"},{"id":16,"name":"Locomotive ID","value":"4014"},{"id":130,"name":"Impact","value":"Enforcement"},{"id":150,"name":"Time of Event (Mountain Time)","value":"10:12:51"},{"id":151,"name":"Denver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Z26" s="53" t="s">
        <v>803</v>
      </c>
      <c r="AA26" s="53" t="s">
        <v>125</v>
      </c>
      <c r="AB26" s="53" t="s">
        <v>130</v>
      </c>
      <c r="AC26" s="138" t="str">
        <f t="shared" si="7"/>
        <v>grep -hSE -A100 "Enforcement Action" "%USERPROFILE%\AppData\Local\Temp\OnboardLogs"\RTDC4014\*4014*201611251*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"&amp;Variables!$A$2&amp;"-slicedisagreementcheck.txt"</f>
        <v>grep -hSE "Enforcement Action" "%USERPROFILE%\AppData\Local\Temp\OnboardLogs"\RTDC4014\*4014*201611251* &gt;&gt; 42699-slicedisagreementcheck.txt</v>
      </c>
    </row>
    <row r="27" spans="1:30" x14ac:dyDescent="0.25">
      <c r="A27" s="36">
        <v>42699.478692129633</v>
      </c>
      <c r="B27" s="31" t="s">
        <v>215</v>
      </c>
      <c r="C27" s="31" t="s">
        <v>429</v>
      </c>
      <c r="D27" s="31" t="s">
        <v>98</v>
      </c>
      <c r="E27" s="31" t="s">
        <v>430</v>
      </c>
      <c r="F27" s="47">
        <v>790</v>
      </c>
      <c r="G27" s="47">
        <v>843</v>
      </c>
      <c r="H27" s="47">
        <v>140687</v>
      </c>
      <c r="I27" s="47">
        <v>145188</v>
      </c>
      <c r="J27" s="31" t="s">
        <v>204</v>
      </c>
      <c r="K27" s="47">
        <v>110617</v>
      </c>
      <c r="L27" s="154" t="s">
        <v>50</v>
      </c>
      <c r="M27" s="155">
        <f t="shared" si="0"/>
        <v>-18253.488000000001</v>
      </c>
      <c r="N27" s="156" t="str">
        <f>VLOOKUP(C27,'Trips&amp;Operators'!$C$1:$E$99999,3,FALSE)</f>
        <v>DAVIS</v>
      </c>
      <c r="O27" s="183" t="s">
        <v>202</v>
      </c>
      <c r="P27" s="157"/>
      <c r="Q27" s="31"/>
      <c r="R27" s="100" t="str">
        <f>VLOOKUP(C27,'Train Runs'!$A$13:$AE$9988,31,0)</f>
        <v>aws s3 cp s3://rtdc.mdm.uploadarchive.raw/RTDC4011/ "%USERPROFILE%\AppData\Local\Temp\OnboardLogs"\RTDC4011\2016-11-25 --exclude "*" --recursive --include "*20161125*" &amp; "%USERPROFILE%\Documents\GitHub\mrs-test-scripts\Headless Mode &amp; Sideloading\WalkAndUnGZ.bat" "%USERPROFILE%\AppData\Local\Temp\OnboardLogs"\RTDC4011\2016-11-25 &amp; aws s3 cp s3://rtdc.mdm.uploadarchive.raw/RTDC4011/ "%USERPROFILE%\AppData\Local\Temp\OnboardLogs"\RTDC4011\2016-11-26 --exclude "*" --recursive --include "*20161126*" &amp; "%USERPROFILE%\Documents\GitHub\mrs-test-scripts\Headless Mode &amp; Sideloading\WalkAndUnGZ.bat" "%USERPROFILE%\AppData\Local\Temp\OnboardLogs"\RTDC4011\2016-11-26</v>
      </c>
      <c r="S27" s="103" t="str">
        <f>VLOOKUP(C27,'Train Runs'!$A$13:$AE$9988,22,0)</f>
        <v>https://search-rtdc-monitor-bjffxe2xuh6vdkpspy63sjmuny.us-east-1.es.amazonaws.com/_plugin/kibana/#/discover/Steve-Slow-Train-Analysis-(2080s-and-2083s)?_g=(refreshInterval:(display:Off,section:0,value:0),time:(from:'2016-11-25 09:59:56-700',mode:absolute,to:'2016-11-25 12:42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T27" s="105" t="str">
        <f t="shared" si="1"/>
        <v>"C:\Program Files (x86)\AstroGrep\AstroGrep.exe" /spath="%USERPROFILE%\AppData\Local\Temp\OnboardLogs" /stypes="*4011*201611251*" /stext=" 18:.+((SYSTEM_STATE.+slice.+state.+changed )|(ment ac)|(system.+state.+changed )|(\[timeout)|(PRM\|1\|D)|(kpr)|(kdp)|(\|lc)|(penalty))" /e /r /s</v>
      </c>
      <c r="U27" s="9" t="str">
        <f t="shared" si="2"/>
        <v>4011</v>
      </c>
      <c r="V27" s="36">
        <f t="shared" si="3"/>
        <v>42699.770358796297</v>
      </c>
      <c r="W27" s="50" t="str">
        <f t="shared" si="4"/>
        <v>EC</v>
      </c>
      <c r="X27" s="50" t="str">
        <f t="shared" si="5"/>
        <v>KEEP</v>
      </c>
      <c r="Y27" s="119" t="str">
        <f t="shared" si="6"/>
        <v>echo {"issue":{"subject":"","project_id":79,"tracker_id":40,"status_id":1,"priority_id":2,"assigned_to_id":23,"start_date":"2016-11-25","description":"","custom_fields":[{"id":1,"name":"Subdivision","value":"EC"},{"id":4,"name":"Milepost","value":"11.0617"},{"id":17,"name":"Train ID","value":"159-25"},{"id":16,"name":"Locomotive ID","value":"4011"},{"id":130,"name":"Impact","value":""},{"id":150,"name":"Time of Event (Mountain Time)","value":"11:29:19"},{"id":151,"name":"Denver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3"/>
      <c r="AA27" s="53"/>
      <c r="AB27" s="53"/>
      <c r="AC27" s="138" t="str">
        <f t="shared" si="7"/>
        <v>grep -hSE -A100 "Enforcement Action" "%USERPROFILE%\AppData\Local\Temp\OnboardLogs"\RTDC4011\*4011*201611251*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"&amp;Variables!$A$2&amp;"-slicedisagreementcheck.txt"</f>
        <v>grep -hSE "Enforcement Action" "%USERPROFILE%\AppData\Local\Temp\OnboardLogs"\RTDC4011\*4011*201611251* &gt;&gt; 42699-slicedisagreementcheck.txt</v>
      </c>
    </row>
    <row r="28" spans="1:30" x14ac:dyDescent="0.25">
      <c r="A28" s="36">
        <v>42699.31690972222</v>
      </c>
      <c r="B28" s="31" t="s">
        <v>215</v>
      </c>
      <c r="C28" s="31" t="s">
        <v>414</v>
      </c>
      <c r="D28" s="31" t="s">
        <v>49</v>
      </c>
      <c r="E28" s="31" t="s">
        <v>415</v>
      </c>
      <c r="F28" s="47">
        <v>150</v>
      </c>
      <c r="G28" s="47">
        <v>284</v>
      </c>
      <c r="H28" s="47">
        <v>25880</v>
      </c>
      <c r="I28" s="47">
        <v>26456</v>
      </c>
      <c r="J28" s="31" t="s">
        <v>153</v>
      </c>
      <c r="K28" s="47">
        <v>27000</v>
      </c>
      <c r="L28" s="154" t="s">
        <v>50</v>
      </c>
      <c r="M28" s="155">
        <f t="shared" si="0"/>
        <v>287.23200000000003</v>
      </c>
      <c r="N28" s="156" t="str">
        <f>VLOOKUP(C28,'Trips&amp;Operators'!$C$1:$E$99999,3,FALSE)</f>
        <v>DAVIS</v>
      </c>
      <c r="O28" s="183" t="s">
        <v>202</v>
      </c>
      <c r="P28" s="157"/>
      <c r="Q28" s="31"/>
      <c r="R28" s="100" t="str">
        <f>VLOOKUP(C28,'Train Runs'!$A$13:$AE$9988,31,0)</f>
        <v>aws s3 cp s3://rtdc.mdm.uploadarchive.raw/RTDC4011/ "%USERPROFILE%\AppData\Local\Temp\OnboardLogs"\RTDC4011\2016-11-25 --exclude "*" --recursive --include "*20161125*" &amp; "%USERPROFILE%\Documents\GitHub\mrs-test-scripts\Headless Mode &amp; Sideloading\WalkAndUnGZ.bat" "%USERPROFILE%\AppData\Local\Temp\OnboardLogs"\RTDC4011\2016-11-25 &amp; aws s3 cp s3://rtdc.mdm.uploadarchive.raw/RTDC4011/ "%USERPROFILE%\AppData\Local\Temp\OnboardLogs"\RTDC4011\2016-11-26 --exclude "*" --recursive --include "*20161126*" &amp; "%USERPROFILE%\Documents\GitHub\mrs-test-scripts\Headless Mode &amp; Sideloading\WalkAndUnGZ.bat" "%USERPROFILE%\AppData\Local\Temp\OnboardLogs"\RTDC4011\2016-11-26</v>
      </c>
      <c r="S28" s="103" t="str">
        <f>VLOOKUP(C28,'Train Runs'!$A$13:$AE$9988,22,0)</f>
        <v>https://search-rtdc-monitor-bjffxe2xuh6vdkpspy63sjmuny.us-east-1.es.amazonaws.com/_plugin/kibana/#/discover/Steve-Slow-Train-Analysis-(2080s-and-2083s)?_g=(refreshInterval:(display:Off,section:0,value:0),time:(from:'2016-11-25 06:24:42-700',mode:absolute,to:'2016-11-25 09:07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T28" s="105" t="str">
        <f t="shared" si="1"/>
        <v>"C:\Program Files (x86)\AstroGrep\AstroGrep.exe" /spath="%USERPROFILE%\AppData\Local\Temp\OnboardLogs" /stypes="*4011*201611251*" /stext=" 14:.+((SYSTEM_STATE.+slice.+state.+changed )|(ment ac)|(system.+state.+changed )|(\[timeout)|(PRM\|1\|D)|(kpr)|(kdp)|(\|lc)|(penalty))" /e /r /s</v>
      </c>
      <c r="U28" s="9" t="str">
        <f t="shared" si="2"/>
        <v>4011</v>
      </c>
      <c r="V28" s="36">
        <f t="shared" si="3"/>
        <v>42699.608576388884</v>
      </c>
      <c r="W28" s="50" t="str">
        <f t="shared" si="4"/>
        <v>EC</v>
      </c>
      <c r="X28" s="50" t="str">
        <f t="shared" si="5"/>
        <v>KEEP</v>
      </c>
      <c r="Y28" s="119" t="str">
        <f t="shared" si="6"/>
        <v>echo {"issue":{"subject":"","project_id":79,"tracker_id":40,"status_id":1,"priority_id":2,"assigned_to_id":23,"start_date":"2016-11-25","description":"","custom_fields":[{"id":1,"name":"Subdivision","value":"EC"},{"id":4,"name":"Milepost","value":"2.7"},{"id":17,"name":"Train ID","value":"131-25"},{"id":16,"name":"Locomotive ID","value":"4011"},{"id":130,"name":"Impact","value":""},{"id":150,"name":"Time of Event (Mountain Time)","value":"07:36:21"},{"id":151,"name":"Denver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3"/>
      <c r="AA28" s="53"/>
      <c r="AB28" s="53"/>
      <c r="AC28" s="138" t="str">
        <f t="shared" si="7"/>
        <v>grep -hSE -A100 "Enforcement Action" "%USERPROFILE%\AppData\Local\Temp\OnboardLogs"\RTDC4011\*4011*201611251*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"&amp;Variables!$A$2&amp;"-slicedisagreementcheck.txt"</f>
        <v>grep -hSE "Enforcement Action" "%USERPROFILE%\AppData\Local\Temp\OnboardLogs"\RTDC4011\*4011*201611251* &gt;&gt; 42699-slicedisagreementcheck.txt</v>
      </c>
    </row>
    <row r="29" spans="1:30" x14ac:dyDescent="0.25">
      <c r="A29" s="36">
        <v>42699.339629629627</v>
      </c>
      <c r="B29" s="31" t="s">
        <v>338</v>
      </c>
      <c r="C29" s="31" t="s">
        <v>416</v>
      </c>
      <c r="D29" s="31" t="s">
        <v>49</v>
      </c>
      <c r="E29" s="31" t="s">
        <v>207</v>
      </c>
      <c r="F29" s="47">
        <v>0</v>
      </c>
      <c r="G29" s="47">
        <v>46</v>
      </c>
      <c r="H29" s="47">
        <v>170</v>
      </c>
      <c r="I29" s="47">
        <v>141</v>
      </c>
      <c r="J29" s="31" t="s">
        <v>208</v>
      </c>
      <c r="K29" s="47">
        <v>1</v>
      </c>
      <c r="L29" s="154" t="s">
        <v>51</v>
      </c>
      <c r="M29" s="155">
        <f t="shared" si="0"/>
        <v>73.92</v>
      </c>
      <c r="N29" s="156" t="str">
        <f>VLOOKUP(C29,'Trips&amp;Operators'!$C$1:$E$99999,3,FALSE)</f>
        <v>OUN</v>
      </c>
      <c r="O29" s="183" t="s">
        <v>202</v>
      </c>
      <c r="P29" s="157"/>
      <c r="Q29" s="31"/>
      <c r="R29" s="100" t="str">
        <f>VLOOKUP(C29,'Train Runs'!$A$13:$AE$9988,31,0)</f>
        <v>aws s3 cp s3://rtdc.mdm.uploadarchive.raw/RTDC4010/ "%USERPROFILE%\AppData\Local\Temp\OnboardLogs"\RTDC4010\2016-11-25 --exclude "*" --recursive --include "*20161125*" &amp; "%USERPROFILE%\Documents\GitHub\mrs-test-scripts\Headless Mode &amp; Sideloading\WalkAndUnGZ.bat" "%USERPROFILE%\AppData\Local\Temp\OnboardLogs"\RTDC4010\2016-11-25 &amp; aws s3 cp s3://rtdc.mdm.uploadarchive.raw/RTDC4010/ "%USERPROFILE%\AppData\Local\Temp\OnboardLogs"\RTDC4010\2016-11-26 --exclude "*" --recursive --include "*20161126*" &amp; "%USERPROFILE%\Documents\GitHub\mrs-test-scripts\Headless Mode &amp; Sideloading\WalkAndUnGZ.bat" "%USERPROFILE%\AppData\Local\Temp\OnboardLogs"\RTDC4010\2016-11-26</v>
      </c>
      <c r="S29" s="103" t="str">
        <f>VLOOKUP(C29,'Train Runs'!$A$13:$AE$9988,22,0)</f>
        <v>https://search-rtdc-monitor-bjffxe2xuh6vdkpspy63sjmuny.us-east-1.es.amazonaws.com/_plugin/kibana/#/discover/Steve-Slow-Train-Analysis-(2080s-and-2083s)?_g=(refreshInterval:(display:Off,section:0,value:0),time:(from:'2016-11-25 06:18:05-700',mode:absolute,to:'2016-11-25 09:09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29" s="105" t="str">
        <f t="shared" si="1"/>
        <v>"C:\Program Files (x86)\AstroGrep\AstroGrep.exe" /spath="%USERPROFILE%\AppData\Local\Temp\OnboardLogs" /stypes="*4010*201611251*" /stext=" 15:.+((SYSTEM_STATE.+slice.+state.+changed )|(ment ac)|(system.+state.+changed )|(\[timeout)|(PRM\|1\|D)|(kpr)|(kdp)|(\|lc)|(penalty))" /e /r /s</v>
      </c>
      <c r="U29" s="9" t="str">
        <f t="shared" si="2"/>
        <v>4010</v>
      </c>
      <c r="V29" s="36">
        <f t="shared" si="3"/>
        <v>42699.631296296291</v>
      </c>
      <c r="W29" s="50" t="str">
        <f t="shared" si="4"/>
        <v>EC</v>
      </c>
      <c r="X29" s="50" t="str">
        <f t="shared" si="5"/>
        <v>KEEP</v>
      </c>
      <c r="Y29" s="119" t="str">
        <f t="shared" si="6"/>
        <v>echo {"issue":{"subject":"","project_id":79,"tracker_id":40,"status_id":1,"priority_id":2,"assigned_to_id":23,"start_date":"2016-11-25","description":"","custom_fields":[{"id":1,"name":"Subdivision","value":"EC"},{"id":4,"name":"Milepost","value":"0.0001"},{"id":17,"name":"Train ID","value":"124-25"},{"id":16,"name":"Locomotive ID","value":"4010"},{"id":130,"name":"Impact","value":""},{"id":150,"name":"Time of Event (Mountain Time)","value":"08:09:04"},{"id":151,"name":"Denver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3"/>
      <c r="AA29" s="53"/>
      <c r="AB29" s="53"/>
      <c r="AC29" s="138" t="str">
        <f t="shared" si="7"/>
        <v>grep -hSE -A100 "Enforcement Action" "%USERPROFILE%\AppData\Local\Temp\OnboardLogs"\RTDC4010\*4010*201611251*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"&amp;Variables!$A$2&amp;"-slicedisagreementcheck.txt"</f>
        <v>grep -hSE "Enforcement Action" "%USERPROFILE%\AppData\Local\Temp\OnboardLogs"\RTDC4010\*4010*201611251* &gt;&gt; 42699-slicedisagreementcheck.txt</v>
      </c>
    </row>
    <row r="30" spans="1:30" ht="15" customHeight="1" x14ac:dyDescent="0.25">
      <c r="A30" s="36">
        <v>42699.347430555557</v>
      </c>
      <c r="B30" s="31" t="s">
        <v>220</v>
      </c>
      <c r="C30" s="31" t="s">
        <v>418</v>
      </c>
      <c r="D30" s="31" t="s">
        <v>49</v>
      </c>
      <c r="E30" s="31" t="s">
        <v>207</v>
      </c>
      <c r="F30" s="47">
        <v>0</v>
      </c>
      <c r="G30" s="47">
        <v>63</v>
      </c>
      <c r="H30" s="47">
        <v>231</v>
      </c>
      <c r="I30" s="47">
        <v>154</v>
      </c>
      <c r="J30" s="31" t="s">
        <v>208</v>
      </c>
      <c r="K30" s="47">
        <v>1</v>
      </c>
      <c r="L30" s="154" t="s">
        <v>51</v>
      </c>
      <c r="M30" s="155">
        <f t="shared" si="0"/>
        <v>80.784000000000006</v>
      </c>
      <c r="N30" s="156" t="str">
        <f>VLOOKUP(C30,'Trips&amp;Operators'!$C$1:$E$99999,3,FALSE)</f>
        <v>SPECTOR</v>
      </c>
      <c r="O30" s="183" t="s">
        <v>202</v>
      </c>
      <c r="P30" s="157"/>
      <c r="Q30" s="31"/>
      <c r="R30" s="100" t="str">
        <f>VLOOKUP(C30,'Train Runs'!$A$13:$AE$9988,31,0)</f>
        <v>aws s3 cp s3://rtdc.mdm.uploadarchive.raw/RTDC4039/ "%USERPROFILE%\AppData\Local\Temp\OnboardLogs"\RTDC4039\2016-11-25 --exclude "*" --recursive --include "*20161125*" &amp; "%USERPROFILE%\Documents\GitHub\mrs-test-scripts\Headless Mode &amp; Sideloading\WalkAndUnGZ.bat" "%USERPROFILE%\AppData\Local\Temp\OnboardLogs"\RTDC4039\2016-11-25 &amp; aws s3 cp s3://rtdc.mdm.uploadarchive.raw/RTDC4039/ "%USERPROFILE%\AppData\Local\Temp\OnboardLogs"\RTDC4039\2016-11-26 --exclude "*" --recursive --include "*20161126*" &amp; "%USERPROFILE%\Documents\GitHub\mrs-test-scripts\Headless Mode &amp; Sideloading\WalkAndUnGZ.bat" "%USERPROFILE%\AppData\Local\Temp\OnboardLogs"\RTDC4039\2016-11-26</v>
      </c>
      <c r="S30" s="103" t="str">
        <f>VLOOKUP(C30,'Train Runs'!$A$13:$AE$9988,22,0)</f>
        <v>https://search-rtdc-monitor-bjffxe2xuh6vdkpspy63sjmuny.us-east-1.es.amazonaws.com/_plugin/kibana/#/discover/Steve-Slow-Train-Analysis-(2080s-and-2083s)?_g=(refreshInterval:(display:Off,section:0,value:0),time:(from:'2016-11-25 06:37:08-700',mode:absolute,to:'2016-11-25 09:20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30" s="105" t="str">
        <f t="shared" si="1"/>
        <v>"C:\Program Files (x86)\AstroGrep\AstroGrep.exe" /spath="%USERPROFILE%\AppData\Local\Temp\OnboardLogs" /stypes="*4039*201611251*" /stext=" 15:.+((SYSTEM_STATE.+slice.+state.+changed )|(ment ac)|(system.+state.+changed )|(\[timeout)|(PRM\|1\|D)|(kpr)|(kdp)|(\|lc)|(penalty))" /e /r /s</v>
      </c>
      <c r="U30" s="9" t="str">
        <f t="shared" si="2"/>
        <v>4039</v>
      </c>
      <c r="V30" s="36">
        <f t="shared" si="3"/>
        <v>42699.639097222222</v>
      </c>
      <c r="W30" s="50" t="str">
        <f t="shared" si="4"/>
        <v>EC</v>
      </c>
      <c r="X30" s="50" t="str">
        <f t="shared" si="5"/>
        <v>KEEP</v>
      </c>
      <c r="Y30" s="119" t="str">
        <f t="shared" si="6"/>
        <v>echo {"issue":{"subject":"","project_id":79,"tracker_id":40,"status_id":1,"priority_id":2,"assigned_to_id":23,"start_date":"2016-11-25","description":"","custom_fields":[{"id":1,"name":"Subdivision","value":"EC"},{"id":4,"name":"Milepost","value":"0.0001"},{"id":17,"name":"Train ID","value":"126-25"},{"id":16,"name":"Locomotive ID","value":"4039"},{"id":130,"name":"Impact","value":""},{"id":150,"name":"Time of Event (Mountain Time)","value":"08:20:18"},{"id":151,"name":"Denver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3"/>
      <c r="AA30" s="53"/>
      <c r="AB30" s="53"/>
      <c r="AC30" s="138" t="str">
        <f t="shared" si="7"/>
        <v>grep -hSE -A100 "Enforcement Action" "%USERPROFILE%\AppData\Local\Temp\OnboardLogs"\RTDC4039\*4039*201611251*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"&amp;Variables!$A$2&amp;"-slicedisagreementcheck.txt"</f>
        <v>grep -hSE "Enforcement Action" "%USERPROFILE%\AppData\Local\Temp\OnboardLogs"\RTDC4039\*4039*201611251* &gt;&gt; 42699-slicedisagreementcheck.txt</v>
      </c>
    </row>
    <row r="31" spans="1:30" ht="15" customHeight="1" x14ac:dyDescent="0.25">
      <c r="A31" s="36">
        <v>42699.38244212963</v>
      </c>
      <c r="B31" s="31" t="s">
        <v>223</v>
      </c>
      <c r="C31" s="31" t="s">
        <v>419</v>
      </c>
      <c r="D31" s="31" t="s">
        <v>49</v>
      </c>
      <c r="E31" s="31" t="s">
        <v>207</v>
      </c>
      <c r="F31" s="47">
        <v>0</v>
      </c>
      <c r="G31" s="47">
        <v>39</v>
      </c>
      <c r="H31" s="47">
        <v>138</v>
      </c>
      <c r="I31" s="47">
        <v>114</v>
      </c>
      <c r="J31" s="31" t="s">
        <v>208</v>
      </c>
      <c r="K31" s="47">
        <v>1</v>
      </c>
      <c r="L31" s="154" t="s">
        <v>51</v>
      </c>
      <c r="M31" s="155">
        <f t="shared" si="0"/>
        <v>59.664000000000001</v>
      </c>
      <c r="N31" s="156" t="str">
        <f>VLOOKUP(C31,'Trips&amp;Operators'!$C$1:$E$99999,3,FALSE)</f>
        <v>DAVIS</v>
      </c>
      <c r="O31" s="183" t="s">
        <v>202</v>
      </c>
      <c r="P31" s="157"/>
      <c r="Q31" s="31"/>
      <c r="R31" s="100" t="str">
        <f>VLOOKUP(C31,'Train Runs'!$A$13:$AE$9988,31,0)</f>
        <v>aws s3 cp s3://rtdc.mdm.uploadarchive.raw/RTDC4012/ "%USERPROFILE%\AppData\Local\Temp\OnboardLogs"\RTDC4012\2016-11-25 --exclude "*" --recursive --include "*20161125*" &amp; "%USERPROFILE%\Documents\GitHub\mrs-test-scripts\Headless Mode &amp; Sideloading\WalkAndUnGZ.bat" "%USERPROFILE%\AppData\Local\Temp\OnboardLogs"\RTDC4012\2016-11-25 &amp; aws s3 cp s3://rtdc.mdm.uploadarchive.raw/RTDC4012/ "%USERPROFILE%\AppData\Local\Temp\OnboardLogs"\RTDC4012\2016-11-26 --exclude "*" --recursive --include "*20161126*" &amp; "%USERPROFILE%\Documents\GitHub\mrs-test-scripts\Headless Mode &amp; Sideloading\WalkAndUnGZ.bat" "%USERPROFILE%\AppData\Local\Temp\OnboardLogs"\RTDC4012\2016-11-26</v>
      </c>
      <c r="S31" s="103" t="str">
        <f>VLOOKUP(C31,'Train Runs'!$A$13:$AE$9988,22,0)</f>
        <v>https://search-rtdc-monitor-bjffxe2xuh6vdkpspy63sjmuny.us-east-1.es.amazonaws.com/_plugin/kibana/#/discover/Steve-Slow-Train-Analysis-(2080s-and-2083s)?_g=(refreshInterval:(display:Off,section:0,value:0),time:(from:'2016-11-25 07:19:52-700',mode:absolute,to:'2016-11-25 10:10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31" s="105" t="str">
        <f t="shared" si="1"/>
        <v>"C:\Program Files (x86)\AstroGrep\AstroGrep.exe" /spath="%USERPROFILE%\AppData\Local\Temp\OnboardLogs" /stypes="*4012*201611251*" /stext=" 16:.+((SYSTEM_STATE.+slice.+state.+changed )|(ment ac)|(system.+state.+changed )|(\[timeout)|(PRM\|1\|D)|(kpr)|(kdp)|(\|lc)|(penalty))" /e /r /s</v>
      </c>
      <c r="U31" s="9" t="str">
        <f t="shared" si="2"/>
        <v>4012</v>
      </c>
      <c r="V31" s="36">
        <f t="shared" si="3"/>
        <v>42699.674108796295</v>
      </c>
      <c r="W31" s="50" t="str">
        <f t="shared" si="4"/>
        <v>EC</v>
      </c>
      <c r="X31" s="50" t="str">
        <f t="shared" si="5"/>
        <v>KEEP</v>
      </c>
      <c r="Y31" s="119" t="str">
        <f t="shared" si="6"/>
        <v>echo {"issue":{"subject":"","project_id":79,"tracker_id":40,"status_id":1,"priority_id":2,"assigned_to_id":23,"start_date":"2016-11-25","description":"","custom_fields":[{"id":1,"name":"Subdivision","value":"EC"},{"id":4,"name":"Milepost","value":"0.0001"},{"id":17,"name":"Train ID","value":"132-25"},{"id":16,"name":"Locomotive ID","value":"4012"},{"id":130,"name":"Impact","value":""},{"id":150,"name":"Time of Event (Mountain Time)","value":"09:10:43"},{"id":151,"name":"Denver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3"/>
      <c r="AA31" s="53"/>
      <c r="AB31" s="53"/>
      <c r="AC31" s="138" t="str">
        <f t="shared" si="7"/>
        <v>grep -hSE -A100 "Enforcement Action" "%USERPROFILE%\AppData\Local\Temp\OnboardLogs"\RTDC4012\*4012*201611251*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"&amp;Variables!$A$2&amp;"-slicedisagreementcheck.txt"</f>
        <v>grep -hSE "Enforcement Action" "%USERPROFILE%\AppData\Local\Temp\OnboardLogs"\RTDC4012\*4012*201611251* &gt;&gt; 42699-slicedisagreementcheck.txt</v>
      </c>
    </row>
    <row r="32" spans="1:30" x14ac:dyDescent="0.25">
      <c r="A32" s="36">
        <v>42699.430810185186</v>
      </c>
      <c r="B32" s="31" t="s">
        <v>422</v>
      </c>
      <c r="C32" s="31" t="s">
        <v>423</v>
      </c>
      <c r="D32" s="31" t="s">
        <v>49</v>
      </c>
      <c r="E32" s="31" t="s">
        <v>207</v>
      </c>
      <c r="F32" s="47">
        <v>0</v>
      </c>
      <c r="G32" s="47">
        <v>39</v>
      </c>
      <c r="H32" s="47">
        <v>138</v>
      </c>
      <c r="I32" s="47">
        <v>112</v>
      </c>
      <c r="J32" s="31" t="s">
        <v>208</v>
      </c>
      <c r="K32" s="47">
        <v>1</v>
      </c>
      <c r="L32" s="154" t="s">
        <v>51</v>
      </c>
      <c r="M32" s="155">
        <f t="shared" si="0"/>
        <v>58.607999999999997</v>
      </c>
      <c r="N32" s="156" t="str">
        <f>VLOOKUP(C32,'Trips&amp;Operators'!$C$1:$E$99999,3,FALSE)</f>
        <v>MAELZER</v>
      </c>
      <c r="O32" s="183" t="s">
        <v>202</v>
      </c>
      <c r="P32" s="157"/>
      <c r="Q32" s="31"/>
      <c r="R32" s="100" t="str">
        <f>VLOOKUP(C32,'Train Runs'!$A$13:$AE$9988,31,0)</f>
        <v>aws s3 cp s3://rtdc.mdm.uploadarchive.raw/RTDC4032/ "%USERPROFILE%\AppData\Local\Temp\OnboardLogs"\RTDC4032\2016-11-25 --exclude "*" --recursive --include "*20161125*" &amp; "%USERPROFILE%\Documents\GitHub\mrs-test-scripts\Headless Mode &amp; Sideloading\WalkAndUnGZ.bat" "%USERPROFILE%\AppData\Local\Temp\OnboardLogs"\RTDC4032\2016-11-25 &amp; aws s3 cp s3://rtdc.mdm.uploadarchive.raw/RTDC4032/ "%USERPROFILE%\AppData\Local\Temp\OnboardLogs"\RTDC4032\2016-11-26 --exclude "*" --recursive --include "*20161126*" &amp; "%USERPROFILE%\Documents\GitHub\mrs-test-scripts\Headless Mode &amp; Sideloading\WalkAndUnGZ.bat" "%USERPROFILE%\AppData\Local\Temp\OnboardLogs"\RTDC4032\2016-11-26</v>
      </c>
      <c r="S32" s="103" t="str">
        <f>VLOOKUP(C32,'Train Runs'!$A$13:$AE$9988,22,0)</f>
        <v>https://search-rtdc-monitor-bjffxe2xuh6vdkpspy63sjmuny.us-east-1.es.amazonaws.com/_plugin/kibana/#/discover/Steve-Slow-Train-Analysis-(2080s-and-2083s)?_g=(refreshInterval:(display:Off,section:0,value:0),time:(from:'2016-11-25 08:24:17-700',mode:absolute,to:'2016-11-25 11:20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32" s="105" t="str">
        <f t="shared" si="1"/>
        <v>"C:\Program Files (x86)\AstroGrep\AstroGrep.exe" /spath="%USERPROFILE%\AppData\Local\Temp\OnboardLogs" /stypes="*4032*201611251*" /stext=" 17:.+((SYSTEM_STATE.+slice.+state.+changed )|(ment ac)|(system.+state.+changed )|(\[timeout)|(PRM\|1\|D)|(kpr)|(kdp)|(\|lc)|(penalty))" /e /r /s</v>
      </c>
      <c r="U32" s="9" t="str">
        <f t="shared" si="2"/>
        <v>4032</v>
      </c>
      <c r="V32" s="36">
        <f t="shared" si="3"/>
        <v>42699.72247685185</v>
      </c>
      <c r="W32" s="50" t="str">
        <f t="shared" si="4"/>
        <v>EC</v>
      </c>
      <c r="X32" s="50" t="str">
        <f t="shared" si="5"/>
        <v>KEEP</v>
      </c>
      <c r="Y32" s="119" t="str">
        <f t="shared" si="6"/>
        <v>echo {"issue":{"subject":"","project_id":79,"tracker_id":40,"status_id":1,"priority_id":2,"assigned_to_id":23,"start_date":"2016-11-25","description":"","custom_fields":[{"id":1,"name":"Subdivision","value":"EC"},{"id":4,"name":"Milepost","value":"0.0001"},{"id":17,"name":"Train ID","value":"142-25"},{"id":16,"name":"Locomotive ID","value":"4032"},{"id":130,"name":"Impact","value":""},{"id":150,"name":"Time of Event (Mountain Time)","value":"10:20:22"},{"id":151,"name":"Denver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3"/>
      <c r="AA32" s="53"/>
      <c r="AB32" s="53"/>
      <c r="AC32" s="138" t="str">
        <f t="shared" si="7"/>
        <v>grep -hSE -A100 "Enforcement Action" "%USERPROFILE%\AppData\Local\Temp\OnboardLogs"\RTDC4032\*4032*201611251*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"&amp;Variables!$A$2&amp;"-slicedisagreementcheck.txt"</f>
        <v>grep -hSE "Enforcement Action" "%USERPROFILE%\AppData\Local\Temp\OnboardLogs"\RTDC4032\*4032*201611251* &gt;&gt; 42699-slicedisagreementcheck.txt</v>
      </c>
    </row>
    <row r="33" spans="1:30" x14ac:dyDescent="0.25">
      <c r="A33" s="36">
        <v>42699.529074074075</v>
      </c>
      <c r="B33" s="31" t="s">
        <v>223</v>
      </c>
      <c r="C33" s="31" t="s">
        <v>432</v>
      </c>
      <c r="D33" s="31" t="s">
        <v>49</v>
      </c>
      <c r="E33" s="31" t="s">
        <v>207</v>
      </c>
      <c r="F33" s="47">
        <v>0</v>
      </c>
      <c r="G33" s="47">
        <v>40</v>
      </c>
      <c r="H33" s="47">
        <v>178</v>
      </c>
      <c r="I33" s="47">
        <v>136</v>
      </c>
      <c r="J33" s="31" t="s">
        <v>208</v>
      </c>
      <c r="K33" s="47">
        <v>1</v>
      </c>
      <c r="L33" s="154" t="s">
        <v>51</v>
      </c>
      <c r="M33" s="155">
        <f t="shared" si="0"/>
        <v>71.28</v>
      </c>
      <c r="N33" s="156" t="str">
        <f>VLOOKUP(C33,'Trips&amp;Operators'!$C$1:$E$99999,3,FALSE)</f>
        <v>DAVIS</v>
      </c>
      <c r="O33" s="183" t="s">
        <v>202</v>
      </c>
      <c r="P33" s="157"/>
      <c r="Q33" s="31"/>
      <c r="R33" s="100" t="str">
        <f>VLOOKUP(C33,'Train Runs'!$A$13:$AE$9988,31,0)</f>
        <v>aws s3 cp s3://rtdc.mdm.uploadarchive.raw/RTDC4012/ "%USERPROFILE%\AppData\Local\Temp\OnboardLogs"\RTDC4012\2016-11-25 --exclude "*" --recursive --include "*20161125*" &amp; "%USERPROFILE%\Documents\GitHub\mrs-test-scripts\Headless Mode &amp; Sideloading\WalkAndUnGZ.bat" "%USERPROFILE%\AppData\Local\Temp\OnboardLogs"\RTDC4012\2016-11-25 &amp; aws s3 cp s3://rtdc.mdm.uploadarchive.raw/RTDC4012/ "%USERPROFILE%\AppData\Local\Temp\OnboardLogs"\RTDC4012\2016-11-26 --exclude "*" --recursive --include "*20161126*" &amp; "%USERPROFILE%\Documents\GitHub\mrs-test-scripts\Headless Mode &amp; Sideloading\WalkAndUnGZ.bat" "%USERPROFILE%\AppData\Local\Temp\OnboardLogs"\RTDC4012\2016-11-26</v>
      </c>
      <c r="S33" s="103" t="str">
        <f>VLOOKUP(C33,'Train Runs'!$A$13:$AE$9988,22,0)</f>
        <v>https://search-rtdc-monitor-bjffxe2xuh6vdkpspy63sjmuny.us-east-1.es.amazonaws.com/_plugin/kibana/#/discover/Steve-Slow-Train-Analysis-(2080s-and-2083s)?_g=(refreshInterval:(display:Off,section:0,value:0),time:(from:'2016-11-25 10:53:42-700',mode:absolute,to:'2016-11-25 13:41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33" s="105" t="str">
        <f t="shared" si="1"/>
        <v>"C:\Program Files (x86)\AstroGrep\AstroGrep.exe" /spath="%USERPROFILE%\AppData\Local\Temp\OnboardLogs" /stypes="*4012*201611251*" /stext=" 19:.+((SYSTEM_STATE.+slice.+state.+changed )|(ment ac)|(system.+state.+changed )|(\[timeout)|(PRM\|1\|D)|(kpr)|(kdp)|(\|lc)|(penalty))" /e /r /s</v>
      </c>
      <c r="U33" s="9" t="str">
        <f t="shared" si="2"/>
        <v>4012</v>
      </c>
      <c r="V33" s="36">
        <f t="shared" si="3"/>
        <v>42699.820740740739</v>
      </c>
      <c r="W33" s="50" t="str">
        <f t="shared" si="4"/>
        <v>EC</v>
      </c>
      <c r="X33" s="50" t="str">
        <f t="shared" si="5"/>
        <v>KEEP</v>
      </c>
      <c r="Y33" s="119" t="str">
        <f t="shared" si="6"/>
        <v>echo {"issue":{"subject":"","project_id":79,"tracker_id":40,"status_id":1,"priority_id":2,"assigned_to_id":23,"start_date":"2016-11-25","description":"","custom_fields":[{"id":1,"name":"Subdivision","value":"EC"},{"id":4,"name":"Milepost","value":"0.0001"},{"id":17,"name":"Train ID","value":"160-25"},{"id":16,"name":"Locomotive ID","value":"4012"},{"id":130,"name":"Impact","value":""},{"id":150,"name":"Time of Event (Mountain Time)","value":"12:41:52"},{"id":151,"name":"Denver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3"/>
      <c r="AA33" s="53"/>
      <c r="AB33" s="53"/>
      <c r="AC33" s="138" t="str">
        <f t="shared" si="7"/>
        <v>grep -hSE -A100 "Enforcement Action" "%USERPROFILE%\AppData\Local\Temp\OnboardLogs"\RTDC4012\*4012*201611251*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"&amp;Variables!$A$2&amp;"-slicedisagreementcheck.txt"</f>
        <v>grep -hSE "Enforcement Action" "%USERPROFILE%\AppData\Local\Temp\OnboardLogs"\RTDC4012\*4012*201611251* &gt;&gt; 42699-slicedisagreementcheck.txt</v>
      </c>
    </row>
    <row r="34" spans="1:30" x14ac:dyDescent="0.25">
      <c r="A34" s="36">
        <v>42699.59883101852</v>
      </c>
      <c r="B34" s="31" t="s">
        <v>223</v>
      </c>
      <c r="C34" s="31" t="s">
        <v>433</v>
      </c>
      <c r="D34" s="31" t="s">
        <v>49</v>
      </c>
      <c r="E34" s="31" t="s">
        <v>207</v>
      </c>
      <c r="F34" s="47">
        <v>0</v>
      </c>
      <c r="G34" s="47">
        <v>20</v>
      </c>
      <c r="H34" s="47">
        <v>127</v>
      </c>
      <c r="I34" s="47">
        <v>119</v>
      </c>
      <c r="J34" s="31" t="s">
        <v>208</v>
      </c>
      <c r="K34" s="47">
        <v>1</v>
      </c>
      <c r="L34" s="154" t="s">
        <v>51</v>
      </c>
      <c r="M34" s="155">
        <f t="shared" si="0"/>
        <v>62.304000000000002</v>
      </c>
      <c r="N34" s="156" t="str">
        <f>VLOOKUP(C34,'Trips&amp;Operators'!$C$1:$E$99999,3,FALSE)</f>
        <v>DAVIS</v>
      </c>
      <c r="O34" s="183" t="s">
        <v>202</v>
      </c>
      <c r="P34" s="157"/>
      <c r="Q34" s="31"/>
      <c r="R34" s="100" t="str">
        <f>VLOOKUP(C34,'Train Runs'!$A$13:$AE$9988,31,0)</f>
        <v>aws s3 cp s3://rtdc.mdm.uploadarchive.raw/RTDC4012/ "%USERPROFILE%\AppData\Local\Temp\OnboardLogs"\RTDC4012\2016-11-25 --exclude "*" --recursive --include "*20161125*" &amp; "%USERPROFILE%\Documents\GitHub\mrs-test-scripts\Headless Mode &amp; Sideloading\WalkAndUnGZ.bat" "%USERPROFILE%\AppData\Local\Temp\OnboardLogs"\RTDC4012\2016-11-25 &amp; aws s3 cp s3://rtdc.mdm.uploadarchive.raw/RTDC4012/ "%USERPROFILE%\AppData\Local\Temp\OnboardLogs"\RTDC4012\2016-11-26 --exclude "*" --recursive --include "*20161126*" &amp; "%USERPROFILE%\Documents\GitHub\mrs-test-scripts\Headless Mode &amp; Sideloading\WalkAndUnGZ.bat" "%USERPROFILE%\AppData\Local\Temp\OnboardLogs"\RTDC4012\2016-11-26</v>
      </c>
      <c r="S34" s="103" t="str">
        <f>VLOOKUP(C34,'Train Runs'!$A$13:$AE$9988,22,0)</f>
        <v>https://search-rtdc-monitor-bjffxe2xuh6vdkpspy63sjmuny.us-east-1.es.amazonaws.com/_plugin/kibana/#/discover/Steve-Slow-Train-Analysis-(2080s-and-2083s)?_g=(refreshInterval:(display:Off,section:0,value:0),time:(from:'2016-11-25 12:35:48-700',mode:absolute,to:'2016-11-25 15:22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34" s="105" t="str">
        <f t="shared" si="1"/>
        <v>"C:\Program Files (x86)\AstroGrep\AstroGrep.exe" /spath="%USERPROFILE%\AppData\Local\Temp\OnboardLogs" /stypes="*4012*201611252*" /stext=" 21:.+((SYSTEM_STATE.+slice.+state.+changed )|(ment ac)|(system.+state.+changed )|(\[timeout)|(PRM\|1\|D)|(kpr)|(kdp)|(\|lc)|(penalty))" /e /r /s</v>
      </c>
      <c r="U34" s="9" t="str">
        <f t="shared" si="2"/>
        <v>4012</v>
      </c>
      <c r="V34" s="36">
        <f t="shared" si="3"/>
        <v>42699.890497685185</v>
      </c>
      <c r="W34" s="50" t="str">
        <f t="shared" si="4"/>
        <v>EC</v>
      </c>
      <c r="X34" s="50" t="str">
        <f t="shared" si="5"/>
        <v>KEEP</v>
      </c>
      <c r="Y34" s="119" t="str">
        <f t="shared" si="6"/>
        <v>echo {"issue":{"subject":"","project_id":79,"tracker_id":40,"status_id":1,"priority_id":2,"assigned_to_id":23,"start_date":"2016-11-25","description":"","custom_fields":[{"id":1,"name":"Subdivision","value":"EC"},{"id":4,"name":"Milepost","value":"0.0001"},{"id":17,"name":"Train ID","value":"174-25"},{"id":16,"name":"Locomotive ID","value":"4012"},{"id":130,"name":"Impact","value":""},{"id":150,"name":"Time of Event (Mountain Time)","value":"14:22:19"},{"id":151,"name":"Denver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3"/>
      <c r="AA34" s="53"/>
      <c r="AB34" s="53"/>
      <c r="AC34" s="138" t="str">
        <f t="shared" si="7"/>
        <v>grep -hSE -A100 "Enforcement Action" "%USERPROFILE%\AppData\Local\Temp\OnboardLogs"\RTDC4012\*4012*201611252*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"&amp;Variables!$A$2&amp;"-slicedisagreementcheck.txt"</f>
        <v>grep -hSE "Enforcement Action" "%USERPROFILE%\AppData\Local\Temp\OnboardLogs"\RTDC4012\*4012*201611252* &gt;&gt; 42699-slicedisagreementcheck.txt</v>
      </c>
    </row>
    <row r="35" spans="1:30" x14ac:dyDescent="0.25">
      <c r="A35" s="36">
        <v>42699.649571759262</v>
      </c>
      <c r="B35" s="31" t="s">
        <v>422</v>
      </c>
      <c r="C35" s="31" t="s">
        <v>437</v>
      </c>
      <c r="D35" s="31" t="s">
        <v>49</v>
      </c>
      <c r="E35" s="31" t="s">
        <v>207</v>
      </c>
      <c r="F35" s="47">
        <v>0</v>
      </c>
      <c r="G35" s="47">
        <v>65</v>
      </c>
      <c r="H35" s="47">
        <v>211</v>
      </c>
      <c r="I35" s="47">
        <v>154</v>
      </c>
      <c r="J35" s="31" t="s">
        <v>208</v>
      </c>
      <c r="K35" s="47">
        <v>1</v>
      </c>
      <c r="L35" s="154" t="s">
        <v>51</v>
      </c>
      <c r="M35" s="155">
        <f t="shared" si="0"/>
        <v>80.784000000000006</v>
      </c>
      <c r="N35" s="156" t="str">
        <f>VLOOKUP(C35,'Trips&amp;Operators'!$C$1:$E$99999,3,FALSE)</f>
        <v>HOLCOMB</v>
      </c>
      <c r="O35" s="183" t="s">
        <v>202</v>
      </c>
      <c r="P35" s="157"/>
      <c r="Q35" s="31"/>
      <c r="R35" s="100" t="str">
        <f>VLOOKUP(C35,'Train Runs'!$A$13:$AE$9988,31,0)</f>
        <v>aws s3 cp s3://rtdc.mdm.uploadarchive.raw/RTDC4032/ "%USERPROFILE%\AppData\Local\Temp\OnboardLogs"\RTDC4032\2016-11-25 --exclude "*" --recursive --include "*20161125*" &amp; "%USERPROFILE%\Documents\GitHub\mrs-test-scripts\Headless Mode &amp; Sideloading\WalkAndUnGZ.bat" "%USERPROFILE%\AppData\Local\Temp\OnboardLogs"\RTDC4032\2016-11-25 &amp; aws s3 cp s3://rtdc.mdm.uploadarchive.raw/RTDC4032/ "%USERPROFILE%\AppData\Local\Temp\OnboardLogs"\RTDC4032\2016-11-26 --exclude "*" --recursive --include "*20161126*" &amp; "%USERPROFILE%\Documents\GitHub\mrs-test-scripts\Headless Mode &amp; Sideloading\WalkAndUnGZ.bat" "%USERPROFILE%\AppData\Local\Temp\OnboardLogs"\RTDC4032\2016-11-26</v>
      </c>
      <c r="S35" s="103" t="str">
        <f>VLOOKUP(C35,'Train Runs'!$A$13:$AE$9988,22,0)</f>
        <v>https://search-rtdc-monitor-bjffxe2xuh6vdkpspy63sjmuny.us-east-1.es.amazonaws.com/_plugin/kibana/#/discover/Steve-Slow-Train-Analysis-(2080s-and-2083s)?_g=(refreshInterval:(display:Off,section:0,value:0),time:(from:'2016-11-25 13:47:50-700',mode:absolute,to:'2016-11-25 16:35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35" s="105" t="str">
        <f t="shared" si="1"/>
        <v>"C:\Program Files (x86)\AstroGrep\AstroGrep.exe" /spath="%USERPROFILE%\AppData\Local\Temp\OnboardLogs" /stypes="*4032*201611252*" /stext=" 22:.+((SYSTEM_STATE.+slice.+state.+changed )|(ment ac)|(system.+state.+changed )|(\[timeout)|(PRM\|1\|D)|(kpr)|(kdp)|(\|lc)|(penalty))" /e /r /s</v>
      </c>
      <c r="U35" s="9" t="str">
        <f t="shared" si="2"/>
        <v>4032</v>
      </c>
      <c r="V35" s="36">
        <f t="shared" si="3"/>
        <v>42699.941238425927</v>
      </c>
      <c r="W35" s="50" t="str">
        <f t="shared" si="4"/>
        <v>EC</v>
      </c>
      <c r="X35" s="50" t="str">
        <f t="shared" si="5"/>
        <v>KEEP</v>
      </c>
      <c r="Y35" s="119" t="str">
        <f t="shared" si="6"/>
        <v>echo {"issue":{"subject":"","project_id":79,"tracker_id":40,"status_id":1,"priority_id":2,"assigned_to_id":23,"start_date":"2016-11-25","description":"","custom_fields":[{"id":1,"name":"Subdivision","value":"EC"},{"id":4,"name":"Milepost","value":"0.0001"},{"id":17,"name":"Train ID","value":"184-25"},{"id":16,"name":"Locomotive ID","value":"4032"},{"id":130,"name":"Impact","value":""},{"id":150,"name":"Time of Event (Mountain Time)","value":"15:35:23"},{"id":151,"name":"Denver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3"/>
      <c r="AA35" s="53"/>
      <c r="AB35" s="53"/>
      <c r="AC35" s="138" t="str">
        <f t="shared" si="7"/>
        <v>grep -hSE -A100 "Enforcement Action" "%USERPROFILE%\AppData\Local\Temp\OnboardLogs"\RTDC4032\*4032*201611252* | grep -SE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"&amp;Variables!$A$2&amp;"-slicedisagreementcheck.txt"</f>
        <v>grep -hSE "Enforcement Action" "%USERPROFILE%\AppData\Local\Temp\OnboardLogs"\RTDC4032\*4032*201611252* &gt;&gt; 42699-slicedisagreementcheck.txt</v>
      </c>
    </row>
    <row r="36" spans="1:30" x14ac:dyDescent="0.25">
      <c r="A36" s="36">
        <v>42699.673298611109</v>
      </c>
      <c r="B36" s="31" t="s">
        <v>223</v>
      </c>
      <c r="C36" s="31" t="s">
        <v>443</v>
      </c>
      <c r="D36" s="31" t="s">
        <v>49</v>
      </c>
      <c r="E36" s="31" t="s">
        <v>207</v>
      </c>
      <c r="F36" s="47">
        <v>0</v>
      </c>
      <c r="G36" s="47">
        <v>53</v>
      </c>
      <c r="H36" s="47">
        <v>242</v>
      </c>
      <c r="I36" s="47">
        <v>172</v>
      </c>
      <c r="J36" s="31" t="s">
        <v>208</v>
      </c>
      <c r="K36" s="47">
        <v>1</v>
      </c>
      <c r="L36" s="154" t="s">
        <v>51</v>
      </c>
      <c r="M36" s="155">
        <f t="shared" si="0"/>
        <v>90.287999999999997</v>
      </c>
      <c r="N36" s="156" t="str">
        <f>VLOOKUP(C36,'Trips&amp;Operators'!$C$1:$E$99999,3,FALSE)</f>
        <v>DAVIS</v>
      </c>
      <c r="O36" s="183" t="s">
        <v>202</v>
      </c>
      <c r="P36" s="157"/>
      <c r="Q36" s="31"/>
      <c r="R36" s="100" t="str">
        <f>VLOOKUP(C36,'Train Runs'!$A$13:$AE$9988,31,0)</f>
        <v>aws s3 cp s3://rtdc.mdm.uploadarchive.raw/RTDC4012/ "%USERPROFILE%\AppData\Local\Temp\OnboardLogs"\RTDC4012\2016-11-25 --exclude "*" --recursive --include "*20161125*" &amp; "%USERPROFILE%\Documents\GitHub\mrs-test-scripts\Headless Mode &amp; Sideloading\WalkAndUnGZ.bat" "%USERPROFILE%\AppData\Local\Temp\OnboardLogs"\RTDC4012\2016-11-25 &amp; aws s3 cp s3://rtdc.mdm.uploadarchive.raw/RTDC4012/ "%USERPROFILE%\AppData\Local\Temp\OnboardLogs"\RTDC4012\2016-11-26 --exclude "*" --recursive --include "*20161126*" &amp; "%USERPROFILE%\Documents\GitHub\mrs-test-scripts\Headless Mode &amp; Sideloading\WalkAndUnGZ.bat" "%USERPROFILE%\AppData\Local\Temp\OnboardLogs"\RTDC4012\2016-11-26</v>
      </c>
      <c r="S36" s="103" t="str">
        <f>VLOOKUP(C36,'Train Runs'!$A$13:$AE$9988,22,0)</f>
        <v>https://search-rtdc-monitor-bjffxe2xuh6vdkpspy63sjmuny.us-east-1.es.amazonaws.com/_plugin/kibana/#/discover/Steve-Slow-Train-Analysis-(2080s-and-2083s)?_g=(refreshInterval:(display:Off,section:0,value:0),time:(from:'2016-11-25 14:20:42-700',mode:absolute,to:'2016-11-25 17:09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36" s="105" t="str">
        <f t="shared" si="1"/>
        <v>"C:\Program Files (x86)\AstroGrep\AstroGrep.exe" /spath="%USERPROFILE%\AppData\Local\Temp\OnboardLogs" /stypes="*4012*201611252*" /stext=" 23:.+((SYSTEM_STATE.+slice.+state.+changed )|(ment ac)|(system.+state.+changed )|(\[timeout)|(PRM\|1\|D)|(kpr)|(kdp)|(\|lc)|(penalty))" /e /r /s</v>
      </c>
      <c r="U36" s="9" t="str">
        <f t="shared" si="2"/>
        <v>4012</v>
      </c>
      <c r="V36" s="36">
        <f t="shared" si="3"/>
        <v>42699.964965277773</v>
      </c>
      <c r="W36" s="50" t="str">
        <f t="shared" si="4"/>
        <v>EC</v>
      </c>
      <c r="X36" s="50" t="str">
        <f t="shared" si="5"/>
        <v>KEEP</v>
      </c>
      <c r="Y36" s="119" t="str">
        <f t="shared" si="6"/>
        <v>echo {"issue":{"subject":"","project_id":79,"tracker_id":40,"status_id":1,"priority_id":2,"assigned_to_id":23,"start_date":"2016-11-25","description":"","custom_fields":[{"id":1,"name":"Subdivision","value":"EC"},{"id":4,"name":"Milepost","value":"0.0001"},{"id":17,"name":"Train ID","value":"188-25"},{"id":16,"name":"Locomotive ID","value":"4012"},{"id":130,"name":"Impact","value":""},{"id":150,"name":"Time of Event (Mountain Time)","value":"16:09:33"},{"id":151,"name":"Denver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3"/>
      <c r="AA36" s="53"/>
      <c r="AB36" s="53"/>
      <c r="AC36" s="138" t="str">
        <f t="shared" si="7"/>
        <v>grep -hSE -A100 "Enforcement Action" "%USERPROFILE%\AppData\Local\Temp\OnboardLogs"\RTDC4012\*4012*201611252* | grep -SE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"&amp;Variables!$A$2&amp;"-slicedisagreementcheck.txt"</f>
        <v>grep -hSE "Enforcement Action" "%USERPROFILE%\AppData\Local\Temp\OnboardLogs"\RTDC4012\*4012*201611252* &gt;&gt; 42699-slicedisagreementcheck.txt</v>
      </c>
    </row>
    <row r="37" spans="1:30" x14ac:dyDescent="0.25">
      <c r="A37" s="36">
        <v>42699.680474537039</v>
      </c>
      <c r="B37" s="31" t="s">
        <v>247</v>
      </c>
      <c r="C37" s="31" t="s">
        <v>444</v>
      </c>
      <c r="D37" s="31" t="s">
        <v>49</v>
      </c>
      <c r="E37" s="31" t="s">
        <v>207</v>
      </c>
      <c r="F37" s="47">
        <v>0</v>
      </c>
      <c r="G37" s="47">
        <v>43</v>
      </c>
      <c r="H37" s="47">
        <v>145</v>
      </c>
      <c r="I37" s="47">
        <v>118</v>
      </c>
      <c r="J37" s="31" t="s">
        <v>208</v>
      </c>
      <c r="K37" s="47">
        <v>1</v>
      </c>
      <c r="L37" s="154" t="s">
        <v>51</v>
      </c>
      <c r="M37" s="155">
        <f t="shared" si="0"/>
        <v>61.776000000000003</v>
      </c>
      <c r="N37" s="156" t="str">
        <f>VLOOKUP(C37,'Trips&amp;Operators'!$C$1:$E$99999,3,FALSE)</f>
        <v>SMITH</v>
      </c>
      <c r="O37" s="183" t="s">
        <v>202</v>
      </c>
      <c r="P37" s="157"/>
      <c r="Q37" s="31"/>
      <c r="R37" s="100" t="str">
        <f>VLOOKUP(C37,'Train Runs'!$A$13:$AE$9988,31,0)</f>
        <v>aws s3 cp s3://rtdc.mdm.uploadarchive.raw/RTDC4013/ "%USERPROFILE%\AppData\Local\Temp\OnboardLogs"\RTDC4013\2016-11-25 --exclude "*" --recursive --include "*20161125*" &amp; "%USERPROFILE%\Documents\GitHub\mrs-test-scripts\Headless Mode &amp; Sideloading\WalkAndUnGZ.bat" "%USERPROFILE%\AppData\Local\Temp\OnboardLogs"\RTDC4013\2016-11-25 &amp; aws s3 cp s3://rtdc.mdm.uploadarchive.raw/RTDC4013/ "%USERPROFILE%\AppData\Local\Temp\OnboardLogs"\RTDC4013\2016-11-26 --exclude "*" --recursive --include "*20161126*" &amp; "%USERPROFILE%\Documents\GitHub\mrs-test-scripts\Headless Mode &amp; Sideloading\WalkAndUnGZ.bat" "%USERPROFILE%\AppData\Local\Temp\OnboardLogs"\RTDC4013\2016-11-26</v>
      </c>
      <c r="S37" s="103" t="str">
        <f>VLOOKUP(C37,'Train Runs'!$A$13:$AE$9988,22,0)</f>
        <v>https://search-rtdc-monitor-bjffxe2xuh6vdkpspy63sjmuny.us-east-1.es.amazonaws.com/_plugin/kibana/#/discover/Steve-Slow-Train-Analysis-(2080s-and-2083s)?_g=(refreshInterval:(display:Off,section:0,value:0),time:(from:'2016-11-25 14:31:54-700',mode:absolute,to:'2016-11-25 17:19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37" s="105" t="str">
        <f t="shared" si="1"/>
        <v>"C:\Program Files (x86)\AstroGrep\AstroGrep.exe" /spath="%USERPROFILE%\AppData\Local\Temp\OnboardLogs" /stypes="*4013*201611252*" /stext=" 23:.+((SYSTEM_STATE.+slice.+state.+changed )|(ment ac)|(system.+state.+changed )|(\[timeout)|(PRM\|1\|D)|(kpr)|(kdp)|(\|lc)|(penalty))" /e /r /s</v>
      </c>
      <c r="U37" s="9" t="str">
        <f t="shared" si="2"/>
        <v>4013</v>
      </c>
      <c r="V37" s="36">
        <f t="shared" si="3"/>
        <v>42699.972141203703</v>
      </c>
      <c r="W37" s="50" t="str">
        <f t="shared" si="4"/>
        <v>EC</v>
      </c>
      <c r="X37" s="50" t="str">
        <f t="shared" si="5"/>
        <v>KEEP</v>
      </c>
      <c r="Y37" s="119" t="str">
        <f t="shared" si="6"/>
        <v>echo {"issue":{"subject":"","project_id":79,"tracker_id":40,"status_id":1,"priority_id":2,"assigned_to_id":23,"start_date":"2016-11-25","description":"","custom_fields":[{"id":1,"name":"Subdivision","value":"EC"},{"id":4,"name":"Milepost","value":"0.0001"},{"id":17,"name":"Train ID","value":"190-25"},{"id":16,"name":"Locomotive ID","value":"4013"},{"id":130,"name":"Impact","value":""},{"id":150,"name":"Time of Event (Mountain Time)","value":"16:19:53"},{"id":151,"name":"Denver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3"/>
      <c r="AA37" s="53"/>
      <c r="AB37" s="53"/>
      <c r="AC37" s="138" t="str">
        <f t="shared" si="7"/>
        <v>grep -hSE -A100 "Enforcement Action" "%USERPROFILE%\AppData\Local\Temp\OnboardLogs"\RTDC4013\*4013*201611252* | grep -SE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"&amp;Variables!$A$2&amp;"-slicedisagreementcheck.txt"</f>
        <v>grep -hSE "Enforcement Action" "%USERPROFILE%\AppData\Local\Temp\OnboardLogs"\RTDC4013\*4013*201611252* &gt;&gt; 42699-slicedisagreementcheck.txt</v>
      </c>
    </row>
    <row r="38" spans="1:30" x14ac:dyDescent="0.25">
      <c r="A38" s="36">
        <v>42699.724236111113</v>
      </c>
      <c r="B38" s="31" t="s">
        <v>422</v>
      </c>
      <c r="C38" s="31" t="s">
        <v>449</v>
      </c>
      <c r="D38" s="31" t="s">
        <v>49</v>
      </c>
      <c r="E38" s="31" t="s">
        <v>207</v>
      </c>
      <c r="F38" s="47">
        <v>0</v>
      </c>
      <c r="G38" s="47">
        <v>38</v>
      </c>
      <c r="H38" s="47">
        <v>194</v>
      </c>
      <c r="I38" s="47">
        <v>136</v>
      </c>
      <c r="J38" s="31" t="s">
        <v>208</v>
      </c>
      <c r="K38" s="47">
        <v>1</v>
      </c>
      <c r="L38" s="154" t="s">
        <v>51</v>
      </c>
      <c r="M38" s="155">
        <f t="shared" si="0"/>
        <v>71.28</v>
      </c>
      <c r="N38" s="156" t="str">
        <f>VLOOKUP(C38,'Trips&amp;Operators'!$C$1:$E$99999,3,FALSE)</f>
        <v>HOLCOMB</v>
      </c>
      <c r="O38" s="183" t="s">
        <v>202</v>
      </c>
      <c r="P38" s="157"/>
      <c r="Q38" s="31"/>
      <c r="R38" s="100" t="str">
        <f>VLOOKUP(C38,'Train Runs'!$A$13:$AE$9988,31,0)</f>
        <v>aws s3 cp s3://rtdc.mdm.uploadarchive.raw/RTDC4032/ "%USERPROFILE%\AppData\Local\Temp\OnboardLogs"\RTDC4032\2016-11-25 --exclude "*" --recursive --include "*20161125*" &amp; "%USERPROFILE%\Documents\GitHub\mrs-test-scripts\Headless Mode &amp; Sideloading\WalkAndUnGZ.bat" "%USERPROFILE%\AppData\Local\Temp\OnboardLogs"\RTDC4032\2016-11-25 &amp; aws s3 cp s3://rtdc.mdm.uploadarchive.raw/RTDC4032/ "%USERPROFILE%\AppData\Local\Temp\OnboardLogs"\RTDC4032\2016-11-26 --exclude "*" --recursive --include "*20161126*" &amp; "%USERPROFILE%\Documents\GitHub\mrs-test-scripts\Headless Mode &amp; Sideloading\WalkAndUnGZ.bat" "%USERPROFILE%\AppData\Local\Temp\OnboardLogs"\RTDC4032\2016-11-26</v>
      </c>
      <c r="S38" s="103" t="str">
        <f>VLOOKUP(C38,'Train Runs'!$A$13:$AE$9988,22,0)</f>
        <v>https://search-rtdc-monitor-bjffxe2xuh6vdkpspy63sjmuny.us-east-1.es.amazonaws.com/_plugin/kibana/#/discover/Steve-Slow-Train-Analysis-(2080s-and-2083s)?_g=(refreshInterval:(display:Off,section:0,value:0),time:(from:'2016-11-25 15:24:32-700',mode:absolute,to:'2016-11-25 18:22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38" s="105" t="str">
        <f t="shared" si="1"/>
        <v>"C:\Program Files (x86)\AstroGrep\AstroGrep.exe" /spath="%USERPROFILE%\AppData\Local\Temp\OnboardLogs" /stypes="*4032*201611260*" /stext=" 00:.+((SYSTEM_STATE.+slice.+state.+changed )|(ment ac)|(system.+state.+changed )|(\[timeout)|(PRM\|1\|D)|(kpr)|(kdp)|(\|lc)|(penalty))" /e /r /s</v>
      </c>
      <c r="U38" s="9" t="str">
        <f t="shared" si="2"/>
        <v>4032</v>
      </c>
      <c r="V38" s="36">
        <f t="shared" si="3"/>
        <v>42700.015902777777</v>
      </c>
      <c r="W38" s="50" t="str">
        <f t="shared" si="4"/>
        <v>EC</v>
      </c>
      <c r="X38" s="50" t="str">
        <f t="shared" si="5"/>
        <v>KEEP</v>
      </c>
      <c r="Y38" s="119" t="str">
        <f t="shared" si="6"/>
        <v>echo {"issue":{"subject":"","project_id":79,"tracker_id":40,"status_id":1,"priority_id":2,"assigned_to_id":23,"start_date":"2016-11-25","description":"","custom_fields":[{"id":1,"name":"Subdivision","value":"EC"},{"id":4,"name":"Milepost","value":"0.0001"},{"id":17,"name":"Train ID","value":"198-25"},{"id":16,"name":"Locomotive ID","value":"4032"},{"id":130,"name":"Impact","value":""},{"id":150,"name":"Time of Event (Mountain Time)","value":"17:22:54"},{"id":151,"name":"Denver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3"/>
      <c r="AA38" s="53"/>
      <c r="AB38" s="53"/>
      <c r="AC38" s="138" t="str">
        <f t="shared" si="7"/>
        <v>grep -hSE -A100 "Enforcement Action" "%USERPROFILE%\AppData\Local\Temp\OnboardLogs"\RTDC4032\*4032*201611260* | grep -SE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"&amp;Variables!$A$2&amp;"-slicedisagreementcheck.txt"</f>
        <v>grep -hSE "Enforcement Action" "%USERPROFILE%\AppData\Local\Temp\OnboardLogs"\RTDC4032\*4032*201611260* &gt;&gt; 42699-slicedisagreementcheck.txt</v>
      </c>
    </row>
    <row r="39" spans="1:30" x14ac:dyDescent="0.25">
      <c r="A39" s="36">
        <v>42699.769305555557</v>
      </c>
      <c r="B39" s="31" t="s">
        <v>285</v>
      </c>
      <c r="C39" s="31" t="s">
        <v>455</v>
      </c>
      <c r="D39" s="31" t="s">
        <v>49</v>
      </c>
      <c r="E39" s="31" t="s">
        <v>207</v>
      </c>
      <c r="F39" s="47">
        <v>0</v>
      </c>
      <c r="G39" s="47">
        <v>49</v>
      </c>
      <c r="H39" s="47">
        <v>176</v>
      </c>
      <c r="I39" s="47">
        <v>143</v>
      </c>
      <c r="J39" s="31" t="s">
        <v>208</v>
      </c>
      <c r="K39" s="47">
        <v>1</v>
      </c>
      <c r="L39" s="154" t="s">
        <v>51</v>
      </c>
      <c r="M39" s="155">
        <f t="shared" ref="M39:M70" si="8">CONVERT((I39-K39)/10000,"mi","ft")*IF(L39="Increasing Mileposts (1)",-1,1)</f>
        <v>74.975999999999999</v>
      </c>
      <c r="N39" s="156" t="str">
        <f>VLOOKUP(C39,'Trips&amp;Operators'!$C$1:$E$99999,3,FALSE)</f>
        <v>BRANDNER</v>
      </c>
      <c r="O39" s="183" t="s">
        <v>202</v>
      </c>
      <c r="P39" s="157"/>
      <c r="Q39" s="31"/>
      <c r="R39" s="100" t="str">
        <f>VLOOKUP(C39,'Train Runs'!$A$13:$AE$9988,31,0)</f>
        <v>aws s3 cp s3://rtdc.mdm.uploadarchive.raw/RTDC4041/ "%USERPROFILE%\AppData\Local\Temp\OnboardLogs"\RTDC4041\2016-11-25 --exclude "*" --recursive --include "*20161125*" &amp; "%USERPROFILE%\Documents\GitHub\mrs-test-scripts\Headless Mode &amp; Sideloading\WalkAndUnGZ.bat" "%USERPROFILE%\AppData\Local\Temp\OnboardLogs"\RTDC4041\2016-11-25 &amp; aws s3 cp s3://rtdc.mdm.uploadarchive.raw/RTDC4041/ "%USERPROFILE%\AppData\Local\Temp\OnboardLogs"\RTDC4041\2016-11-26 --exclude "*" --recursive --include "*20161126*" &amp; "%USERPROFILE%\Documents\GitHub\mrs-test-scripts\Headless Mode &amp; Sideloading\WalkAndUnGZ.bat" "%USERPROFILE%\AppData\Local\Temp\OnboardLogs"\RTDC4041\2016-11-26</v>
      </c>
      <c r="S39" s="103" t="str">
        <f>VLOOKUP(C39,'Train Runs'!$A$13:$AE$9988,22,0)</f>
        <v>https://search-rtdc-monitor-bjffxe2xuh6vdkpspy63sjmuny.us-east-1.es.amazonaws.com/_plugin/kibana/#/discover/Steve-Slow-Train-Analysis-(2080s-and-2083s)?_g=(refreshInterval:(display:Off,section:0,value:0),time:(from:'2016-11-25 16:34:28-700',mode:absolute,to:'2016-11-25 19:27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39" s="105" t="str">
        <f t="shared" ref="T39:T70" si="9">astrogrep_path&amp;" /spath="&amp;search_path&amp;" /stypes=""*"&amp;U39&amp;"*"&amp;TEXT(A39-utc_offset/24,"YYYYMMDD")&amp;LEFT(TEXT(A39-utc_offset/24,"HH"),1)&amp;"*"" /stext="" "&amp;TEXT(A39-utc_offset/24,"HH")&amp;search_regexp&amp;""" /e /r /s"</f>
        <v>"C:\Program Files (x86)\AstroGrep\AstroGrep.exe" /spath="%USERPROFILE%\AppData\Local\Temp\OnboardLogs" /stypes="*4041*201611260*" /stext=" 01:.+((SYSTEM_STATE.+slice.+state.+changed )|(ment ac)|(system.+state.+changed )|(\[timeout)|(PRM\|1\|D)|(kpr)|(kdp)|(\|lc)|(penalty))" /e /r /s</v>
      </c>
      <c r="U39" s="9" t="str">
        <f t="shared" ref="U39:U75" si="10">MID(B39,13,4)</f>
        <v>4041</v>
      </c>
      <c r="V39" s="36">
        <f t="shared" ref="V39:V75" si="11">A39-utc_offset/24</f>
        <v>42700.060972222222</v>
      </c>
      <c r="W39" s="50" t="str">
        <f t="shared" ref="W39:W75" si="12">IF(VALUE(LEFT(IF(LEN(C39)=6,"0"&amp;C39,C39),2))&lt;=2,"EC",IF(OR(VALUE(LEFT(IF(LEN(C39)=6,"0"&amp;C39,C39),2))=8,VALUE(LEFT(IF(LEN(C39)=6,"0"&amp;C39,C39),2))=18),"NW","Other"))</f>
        <v>EC</v>
      </c>
      <c r="X39" s="50" t="str">
        <f t="shared" ref="X39:X75" si="13">IF(AND(E39="TRACK WARRANT AUTHORITY",G39&lt;10),"OMIT","KEEP")</f>
        <v>KEEP</v>
      </c>
      <c r="Y39" s="119" t="str">
        <f t="shared" ref="Y39:Y70" si="14"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{"issue":{"subject":"","project_id":79,"tracker_id":40,"status_id":1,"priority_id":2,"assigned_to_id":23,"start_date":"2016-11-25","description":"","custom_fields":[{"id":1,"name":"Subdivision","value":"EC"},{"id":4,"name":"Milepost","value":"0.0001"},{"id":17,"name":"Train ID","value":"206-25"},{"id":16,"name":"Locomotive ID","value":"4041"},{"id":130,"name":"Impact","value":""},{"id":150,"name":"Time of Event (Mountain Time)","value":"18:27:48"},{"id":151,"name":"Denver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53"/>
      <c r="AA39" s="53"/>
      <c r="AB39" s="53"/>
      <c r="AC39" s="138" t="str">
        <f t="shared" ref="AC39:AC75" si="15">"grep -hSE -A100 ""Enforcement Action"" "&amp;search_path&amp;"\RTDC"&amp;U39&amp;"\*"&amp;U39&amp;"*"&amp;TEXT(A39-utc_offset/24,"YYYYMMDD")&amp;LEFT(TEXT(A39-utc_offset/24,"HH"),1)&amp;"* | grep -SE ""((Enforcement Ac)|(PRM))"" -"</f>
        <v>grep -hSE -A100 "Enforcement Action" "%USERPROFILE%\AppData\Local\Temp\OnboardLogs"\RTDC4041\*4041*201611260* | grep -SE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"&amp;Variables!$A$2&amp;"-slicedisagreementcheck.txt"</f>
        <v>grep -hSE "Enforcement Action" "%USERPROFILE%\AppData\Local\Temp\OnboardLogs"\RTDC4041\*4041*201611260* &gt;&gt; 42699-slicedisagreementcheck.txt</v>
      </c>
    </row>
    <row r="40" spans="1:30" x14ac:dyDescent="0.25">
      <c r="A40" s="36">
        <v>42700.069097222222</v>
      </c>
      <c r="B40" s="31" t="s">
        <v>247</v>
      </c>
      <c r="C40" s="31" t="s">
        <v>463</v>
      </c>
      <c r="D40" s="31" t="s">
        <v>49</v>
      </c>
      <c r="E40" s="31" t="s">
        <v>207</v>
      </c>
      <c r="F40" s="47">
        <v>0</v>
      </c>
      <c r="G40" s="47">
        <v>73</v>
      </c>
      <c r="H40" s="47">
        <v>252</v>
      </c>
      <c r="I40" s="47">
        <v>189</v>
      </c>
      <c r="J40" s="31" t="s">
        <v>208</v>
      </c>
      <c r="K40" s="47">
        <v>1</v>
      </c>
      <c r="L40" s="154" t="s">
        <v>51</v>
      </c>
      <c r="M40" s="155">
        <f t="shared" si="8"/>
        <v>99.263999999999996</v>
      </c>
      <c r="N40" s="156" t="str">
        <f>VLOOKUP(C40,'Trips&amp;Operators'!$C$1:$E$99999,3,FALSE)</f>
        <v>CHANDLER</v>
      </c>
      <c r="O40" s="183" t="s">
        <v>202</v>
      </c>
      <c r="P40" s="157"/>
      <c r="Q40" s="31"/>
      <c r="R40" s="100" t="str">
        <f>VLOOKUP(C40,'Train Runs'!$A$13:$AE$9988,31,0)</f>
        <v>aws s3 cp s3://rtdc.mdm.uploadarchive.raw/RTDC4013/ "%USERPROFILE%\AppData\Local\Temp\OnboardLogs"\RTDC4013\2016-11-26 --exclude "*" --recursive --include "*20161126*" &amp; "%USERPROFILE%\Documents\GitHub\mrs-test-scripts\Headless Mode &amp; Sideloading\WalkAndUnGZ.bat" "%USERPROFILE%\AppData\Local\Temp\OnboardLogs"\RTDC4013\2016-11-26 &amp; aws s3 cp s3://rtdc.mdm.uploadarchive.raw/RTDC4013/ "%USERPROFILE%\AppData\Local\Temp\OnboardLogs"\RTDC4013\2016-11-27 --exclude "*" --recursive --include "*20161127*" &amp; "%USERPROFILE%\Documents\GitHub\mrs-test-scripts\Headless Mode &amp; Sideloading\WalkAndUnGZ.bat" "%USERPROFILE%\AppData\Local\Temp\OnboardLogs"\RTDC4013\2016-11-27</v>
      </c>
      <c r="S40" s="103" t="str">
        <f>VLOOKUP(C40,'Train Runs'!$A$13:$AE$9988,22,0)</f>
        <v>https://search-rtdc-monitor-bjffxe2xuh6vdkpspy63sjmuny.us-east-1.es.amazonaws.com/_plugin/kibana/#/discover/Steve-Slow-Train-Analysis-(2080s-and-2083s)?_g=(refreshInterval:(display:Off,section:0,value:0),time:(from:'2016-11-25 23:46:13-700',mode:absolute,to:'2016-11-26 02:39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40" s="105" t="str">
        <f t="shared" si="9"/>
        <v>"C:\Program Files (x86)\AstroGrep\AstroGrep.exe" /spath="%USERPROFILE%\AppData\Local\Temp\OnboardLogs" /stypes="*4013*201611260*" /stext=" 08:.+((SYSTEM_STATE.+slice.+state.+changed )|(ment ac)|(system.+state.+changed )|(\[timeout)|(PRM\|1\|D)|(kpr)|(kdp)|(\|lc)|(penalty))" /e /r /s</v>
      </c>
      <c r="U40" s="9" t="str">
        <f t="shared" si="10"/>
        <v>4013</v>
      </c>
      <c r="V40" s="36">
        <f t="shared" si="11"/>
        <v>42700.360763888886</v>
      </c>
      <c r="W40" s="50" t="str">
        <f t="shared" si="12"/>
        <v>EC</v>
      </c>
      <c r="X40" s="50" t="str">
        <f t="shared" si="13"/>
        <v>KEEP</v>
      </c>
      <c r="Y40" s="119" t="str">
        <f t="shared" si="14"/>
        <v>echo {"issue":{"subject":"","project_id":79,"tracker_id":40,"status_id":1,"priority_id":2,"assigned_to_id":23,"start_date":"2016-11-26","description":"","custom_fields":[{"id":1,"name":"Subdivision","value":"EC"},{"id":4,"name":"Milepost","value":"0.0001"},{"id":17,"name":"Train ID","value":"242-25"},{"id":16,"name":"Locomotive ID","value":"4013"},{"id":130,"name":"Impact","value":""},{"id":150,"name":"Time of Event (Mountain Time)","value":"01:39:30"},{"id":151,"name":"Denver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53"/>
      <c r="AA40" s="53"/>
      <c r="AB40" s="53"/>
      <c r="AC40" s="138" t="str">
        <f t="shared" si="15"/>
        <v>grep -hSE -A100 "Enforcement Action" "%USERPROFILE%\AppData\Local\Temp\OnboardLogs"\RTDC4013\*4013*201611260* | grep -SE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"&amp;Variables!$A$2&amp;"-slicedisagreementcheck.txt"</f>
        <v>grep -hSE "Enforcement Action" "%USERPROFILE%\AppData\Local\Temp\OnboardLogs"\RTDC4013\*4013*201611260* &gt;&gt; 42699-slicedisagreementcheck.txt</v>
      </c>
    </row>
    <row r="41" spans="1:30" x14ac:dyDescent="0.25">
      <c r="A41" s="36">
        <v>42699.652442129627</v>
      </c>
      <c r="B41" s="31" t="s">
        <v>284</v>
      </c>
      <c r="C41" s="31" t="s">
        <v>440</v>
      </c>
      <c r="D41" s="31" t="s">
        <v>49</v>
      </c>
      <c r="E41" s="31" t="s">
        <v>207</v>
      </c>
      <c r="F41" s="47">
        <v>0</v>
      </c>
      <c r="G41" s="47">
        <v>37</v>
      </c>
      <c r="H41" s="47">
        <v>233314</v>
      </c>
      <c r="I41" s="47">
        <v>233332</v>
      </c>
      <c r="J41" s="31" t="s">
        <v>208</v>
      </c>
      <c r="K41" s="47">
        <v>233491</v>
      </c>
      <c r="L41" s="154" t="s">
        <v>50</v>
      </c>
      <c r="M41" s="155">
        <f t="shared" si="8"/>
        <v>83.951999999999998</v>
      </c>
      <c r="N41" s="156" t="str">
        <f>VLOOKUP(C41,'Trips&amp;Operators'!$C$1:$E$99999,3,FALSE)</f>
        <v>BRANDNER</v>
      </c>
      <c r="O41" s="183" t="s">
        <v>202</v>
      </c>
      <c r="P41" s="157"/>
      <c r="Q41" s="31"/>
      <c r="R41" s="100" t="str">
        <f>VLOOKUP(C41,'Train Runs'!$A$13:$AE$9988,31,0)</f>
        <v>aws s3 cp s3://rtdc.mdm.uploadarchive.raw/RTDC4042/ "%USERPROFILE%\AppData\Local\Temp\OnboardLogs"\RTDC4042\2016-11-25 --exclude "*" --recursive --include "*20161125*" &amp; "%USERPROFILE%\Documents\GitHub\mrs-test-scripts\Headless Mode &amp; Sideloading\WalkAndUnGZ.bat" "%USERPROFILE%\AppData\Local\Temp\OnboardLogs"\RTDC4042\2016-11-25 &amp; aws s3 cp s3://rtdc.mdm.uploadarchive.raw/RTDC4042/ "%USERPROFILE%\AppData\Local\Temp\OnboardLogs"\RTDC4042\2016-11-26 --exclude "*" --recursive --include "*20161126*" &amp; "%USERPROFILE%\Documents\GitHub\mrs-test-scripts\Headless Mode &amp; Sideloading\WalkAndUnGZ.bat" "%USERPROFILE%\AppData\Local\Temp\OnboardLogs"\RTDC4042\2016-11-26</v>
      </c>
      <c r="S41" s="103" t="str">
        <f>VLOOKUP(C41,'Train Runs'!$A$13:$AE$9988,22,0)</f>
        <v>https://search-rtdc-monitor-bjffxe2xuh6vdkpspy63sjmuny.us-east-1.es.amazonaws.com/_plugin/kibana/#/discover/Steve-Slow-Train-Analysis-(2080s-and-2083s)?_g=(refreshInterval:(display:Off,section:0,value:0),time:(from:'2016-11-25 13:53:22-700',mode:absolute,to:'2016-11-25 16:39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T41" s="105" t="str">
        <f t="shared" si="9"/>
        <v>"C:\Program Files (x86)\AstroGrep\AstroGrep.exe" /spath="%USERPROFILE%\AppData\Local\Temp\OnboardLogs" /stypes="*4042*201611252*" /stext=" 22:.+((SYSTEM_STATE.+slice.+state.+changed )|(ment ac)|(system.+state.+changed )|(\[timeout)|(PRM\|1\|D)|(kpr)|(kdp)|(\|lc)|(penalty))" /e /r /s</v>
      </c>
      <c r="U41" s="9" t="str">
        <f t="shared" si="10"/>
        <v>4042</v>
      </c>
      <c r="V41" s="36">
        <f t="shared" si="11"/>
        <v>42699.944108796291</v>
      </c>
      <c r="W41" s="50" t="str">
        <f t="shared" si="12"/>
        <v>EC</v>
      </c>
      <c r="X41" s="50" t="str">
        <f t="shared" si="13"/>
        <v>KEEP</v>
      </c>
      <c r="Y41" s="119" t="str">
        <f t="shared" si="14"/>
        <v>echo {"issue":{"subject":"","project_id":79,"tracker_id":40,"status_id":1,"priority_id":2,"assigned_to_id":23,"start_date":"2016-11-25","description":"","custom_fields":[{"id":1,"name":"Subdivision","value":"EC"},{"id":4,"name":"Milepost","value":"23.3491"},{"id":17,"name":"Train ID","value":"191-25"},{"id":16,"name":"Locomotive ID","value":"4042"},{"id":130,"name":"Impact","value":""},{"id":150,"name":"Time of Event (Mountain Time)","value":"15:39:31"},{"id":151,"name":"Denver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53"/>
      <c r="AA41" s="53"/>
      <c r="AB41" s="53"/>
      <c r="AC41" s="138" t="str">
        <f t="shared" si="15"/>
        <v>grep -hSE -A100 "Enforcement Action" "%USERPROFILE%\AppData\Local\Temp\OnboardLogs"\RTDC4042\*4042*201611252* | grep -SE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"&amp;Variables!$A$2&amp;"-slicedisagreementcheck.txt"</f>
        <v>grep -hSE "Enforcement Action" "%USERPROFILE%\AppData\Local\Temp\OnboardLogs"\RTDC4042\*4042*201611252* &gt;&gt; 42699-slicedisagreementcheck.txt</v>
      </c>
    </row>
    <row r="42" spans="1:30" x14ac:dyDescent="0.25">
      <c r="A42" s="36">
        <v>42699.409548611111</v>
      </c>
      <c r="B42" s="31" t="s">
        <v>313</v>
      </c>
      <c r="C42" s="31" t="s">
        <v>421</v>
      </c>
      <c r="D42" s="31" t="s">
        <v>49</v>
      </c>
      <c r="E42" s="31" t="s">
        <v>154</v>
      </c>
      <c r="F42" s="47">
        <v>340</v>
      </c>
      <c r="G42" s="47">
        <v>443</v>
      </c>
      <c r="H42" s="47">
        <v>18487</v>
      </c>
      <c r="I42" s="47">
        <v>16698</v>
      </c>
      <c r="J42" s="31" t="s">
        <v>153</v>
      </c>
      <c r="K42" s="47">
        <v>15777</v>
      </c>
      <c r="L42" s="154" t="s">
        <v>51</v>
      </c>
      <c r="M42" s="155">
        <f t="shared" si="8"/>
        <v>486.28800000000001</v>
      </c>
      <c r="N42" s="156" t="str">
        <f>VLOOKUP(C42,'Trips&amp;Operators'!$C$1:$E$99999,3,FALSE)</f>
        <v>YORK</v>
      </c>
      <c r="O42" s="183" t="s">
        <v>255</v>
      </c>
      <c r="P42" s="157" t="s">
        <v>795</v>
      </c>
      <c r="Q42" s="31"/>
      <c r="R42" s="100" t="str">
        <f>VLOOKUP(C42,'Train Runs'!$A$13:$AE$9988,31,0)</f>
        <v>aws s3 cp s3://rtdc.mdm.uploadarchive.raw/RTDC4004/ "%USERPROFILE%\AppData\Local\Temp\OnboardLogs"\RTDC4004\2016-11-25 --exclude "*" --recursive --include "*20161125*" &amp; "%USERPROFILE%\Documents\GitHub\mrs-test-scripts\Headless Mode &amp; Sideloading\WalkAndUnGZ.bat" "%USERPROFILE%\AppData\Local\Temp\OnboardLogs"\RTDC4004\2016-11-25 &amp; aws s3 cp s3://rtdc.mdm.uploadarchive.raw/RTDC4004/ "%USERPROFILE%\AppData\Local\Temp\OnboardLogs"\RTDC4004\2016-11-26 --exclude "*" --recursive --include "*20161126*" &amp; "%USERPROFILE%\Documents\GitHub\mrs-test-scripts\Headless Mode &amp; Sideloading\WalkAndUnGZ.bat" "%USERPROFILE%\AppData\Local\Temp\OnboardLogs"\RTDC4004\2016-11-26</v>
      </c>
      <c r="S42" s="103" t="str">
        <f>VLOOKUP(C42,'Train Runs'!$A$13:$AE$9988,22,0)</f>
        <v>https://search-rtdc-monitor-bjffxe2xuh6vdkpspy63sjmuny.us-east-1.es.amazonaws.com/_plugin/kibana/#/discover/Steve-Slow-Train-Analysis-(2080s-and-2083s)?_g=(refreshInterval:(display:Off,section:0,value:0),time:(from:'2016-11-25 08:37:37-700',mode:absolute,to:'2016-11-25 10:55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42" s="105" t="str">
        <f t="shared" si="9"/>
        <v>"C:\Program Files (x86)\AstroGrep\AstroGrep.exe" /spath="%USERPROFILE%\AppData\Local\Temp\OnboardLogs" /stypes="*4004*201611251*" /stext=" 16:.+((SYSTEM_STATE.+slice.+state.+changed )|(ment ac)|(system.+state.+changed )|(\[timeout)|(PRM\|1\|D)|(kpr)|(kdp)|(\|lc)|(penalty))" /e /r /s</v>
      </c>
      <c r="U42" s="9" t="str">
        <f t="shared" si="10"/>
        <v>4004</v>
      </c>
      <c r="V42" s="36">
        <f t="shared" si="11"/>
        <v>42699.701215277775</v>
      </c>
      <c r="W42" s="50" t="str">
        <f t="shared" si="12"/>
        <v>NW</v>
      </c>
      <c r="X42" s="50" t="str">
        <f t="shared" si="13"/>
        <v>KEEP</v>
      </c>
      <c r="Y42" s="119" t="str">
        <f t="shared" si="14"/>
        <v>echo {"issue":{"subject":"Early arrival (41st)","project_id":79,"tracker_id":40,"status_id":1,"priority_id":2,"assigned_to_id":23,"start_date":"2016-11-25","description":"","custom_fields":[{"id":1,"name":"Subdivision","value":"NW"},{"id":4,"name":"Milepost","value":"1.5777"},{"id":17,"name":"Train ID","value":"814-25"},{"id":16,"name":"Locomotive ID","value":"4004"},{"id":130,"name":"Impact","value":""},{"id":150,"name":"Time of Event (Mountain Time)","value":"09:49:45"},{"id":151,"name":"Denver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53"/>
      <c r="AA42" s="53"/>
      <c r="AB42" s="53"/>
      <c r="AC42" s="138" t="str">
        <f t="shared" si="15"/>
        <v>grep -hSE -A100 "Enforcement Action" "%USERPROFILE%\AppData\Local\Temp\OnboardLogs"\RTDC4004\*4004*201611251* | grep -SE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"&amp;Variables!$A$2&amp;"-slicedisagreementcheck.txt"</f>
        <v>grep -hSE "Enforcement Action" "%USERPROFILE%\AppData\Local\Temp\OnboardLogs"\RTDC4004\*4004*201611251* &gt;&gt; 42699-slicedisagreementcheck.txt</v>
      </c>
    </row>
    <row r="43" spans="1:30" x14ac:dyDescent="0.25">
      <c r="A43" s="36">
        <v>42699.909629629627</v>
      </c>
      <c r="B43" s="31" t="s">
        <v>313</v>
      </c>
      <c r="C43" s="31" t="s">
        <v>461</v>
      </c>
      <c r="D43" s="31" t="s">
        <v>49</v>
      </c>
      <c r="E43" s="31" t="s">
        <v>154</v>
      </c>
      <c r="F43" s="47">
        <v>0</v>
      </c>
      <c r="G43" s="47">
        <v>382</v>
      </c>
      <c r="H43" s="47">
        <v>16266</v>
      </c>
      <c r="I43" s="47">
        <v>15207</v>
      </c>
      <c r="J43" s="31" t="s">
        <v>153</v>
      </c>
      <c r="K43" s="47">
        <v>15777</v>
      </c>
      <c r="L43" s="154" t="s">
        <v>51</v>
      </c>
      <c r="M43" s="155">
        <f t="shared" si="8"/>
        <v>-300.95999999999998</v>
      </c>
      <c r="N43" s="156" t="str">
        <f>VLOOKUP(C43,'Trips&amp;Operators'!$C$1:$E$99999,3,FALSE)</f>
        <v>MAGEE</v>
      </c>
      <c r="O43" s="183" t="s">
        <v>255</v>
      </c>
      <c r="P43" s="157" t="s">
        <v>795</v>
      </c>
      <c r="Q43" s="31"/>
      <c r="R43" s="100" t="str">
        <f>VLOOKUP(C43,'Train Runs'!$A$13:$AE$9988,31,0)</f>
        <v>aws s3 cp s3://rtdc.mdm.uploadarchive.raw/RTDC4004/ "%USERPROFILE%\AppData\Local\Temp\OnboardLogs"\RTDC4004\2016-11-25 --exclude "*" --recursive --include "*20161125*" &amp; "%USERPROFILE%\Documents\GitHub\mrs-test-scripts\Headless Mode &amp; Sideloading\WalkAndUnGZ.bat" "%USERPROFILE%\AppData\Local\Temp\OnboardLogs"\RTDC4004\2016-11-25 &amp; aws s3 cp s3://rtdc.mdm.uploadarchive.raw/RTDC4004/ "%USERPROFILE%\AppData\Local\Temp\OnboardLogs"\RTDC4004\2016-11-26 --exclude "*" --recursive --include "*20161126*" &amp; "%USERPROFILE%\Documents\GitHub\mrs-test-scripts\Headless Mode &amp; Sideloading\WalkAndUnGZ.bat" "%USERPROFILE%\AppData\Local\Temp\OnboardLogs"\RTDC4004\2016-11-26</v>
      </c>
      <c r="S43" s="103" t="str">
        <f>VLOOKUP(C43,'Train Runs'!$A$13:$AE$9988,22,0)</f>
        <v>https://search-rtdc-monitor-bjffxe2xuh6vdkpspy63sjmuny.us-east-1.es.amazonaws.com/_plugin/kibana/#/discover/Steve-Slow-Train-Analysis-(2080s-and-2083s)?_g=(refreshInterval:(display:Off,section:0,value:0),time:(from:'2016-11-25 20:38:56-700',mode:absolute,to:'2016-11-25 22:56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43" s="105" t="str">
        <f t="shared" si="9"/>
        <v>"C:\Program Files (x86)\AstroGrep\AstroGrep.exe" /spath="%USERPROFILE%\AppData\Local\Temp\OnboardLogs" /stypes="*4004*201611260*" /stext=" 04:.+((SYSTEM_STATE.+slice.+state.+changed )|(ment ac)|(system.+state.+changed )|(\[timeout)|(PRM\|1\|D)|(kpr)|(kdp)|(\|lc)|(penalty))" /e /r /s</v>
      </c>
      <c r="U43" s="9" t="str">
        <f t="shared" si="10"/>
        <v>4004</v>
      </c>
      <c r="V43" s="36">
        <f t="shared" si="11"/>
        <v>42700.201296296291</v>
      </c>
      <c r="W43" s="50" t="str">
        <f t="shared" si="12"/>
        <v>NW</v>
      </c>
      <c r="X43" s="50" t="str">
        <f t="shared" si="13"/>
        <v>KEEP</v>
      </c>
      <c r="Y43" s="119" t="str">
        <f t="shared" si="14"/>
        <v>echo {"issue":{"subject":"Early arrival (41st)","project_id":79,"tracker_id":40,"status_id":1,"priority_id":2,"assigned_to_id":23,"start_date":"2016-11-25","description":"","custom_fields":[{"id":1,"name":"Subdivision","value":"NW"},{"id":4,"name":"Milepost","value":"1.5777"},{"id":17,"name":"Train ID","value":"844-25"},{"id":16,"name":"Locomotive ID","value":"4004"},{"id":130,"name":"Impact","value":""},{"id":150,"name":"Time of Event (Mountain Time)","value":"21:49:52"},{"id":151,"name":"Denver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53"/>
      <c r="AA43" s="53"/>
      <c r="AB43" s="53"/>
      <c r="AC43" s="138" t="str">
        <f t="shared" si="15"/>
        <v>grep -hSE -A100 "Enforcement Action" "%USERPROFILE%\AppData\Local\Temp\OnboardLogs"\RTDC4004\*4004*201611260* | grep -SE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"&amp;Variables!$A$2&amp;"-slicedisagreementcheck.txt"</f>
        <v>grep -hSE "Enforcement Action" "%USERPROFILE%\AppData\Local\Temp\OnboardLogs"\RTDC4004\*4004*201611260* &gt;&gt; 42699-slicedisagreementcheck.txt</v>
      </c>
    </row>
    <row r="44" spans="1:30" x14ac:dyDescent="0.25">
      <c r="A44" s="36">
        <v>42699.348599537036</v>
      </c>
      <c r="B44" s="31" t="s">
        <v>231</v>
      </c>
      <c r="C44" s="31" t="s">
        <v>417</v>
      </c>
      <c r="D44" s="31" t="s">
        <v>49</v>
      </c>
      <c r="E44" s="31" t="s">
        <v>203</v>
      </c>
      <c r="F44" s="47">
        <v>300</v>
      </c>
      <c r="G44" s="47">
        <v>409</v>
      </c>
      <c r="H44" s="47">
        <v>25010</v>
      </c>
      <c r="I44" s="47">
        <v>23741</v>
      </c>
      <c r="J44" s="31" t="s">
        <v>204</v>
      </c>
      <c r="K44" s="47">
        <v>23561</v>
      </c>
      <c r="L44" s="154" t="s">
        <v>51</v>
      </c>
      <c r="M44" s="155">
        <f t="shared" si="8"/>
        <v>95.04</v>
      </c>
      <c r="N44" s="156" t="str">
        <f>VLOOKUP(C44,'Trips&amp;Operators'!$C$1:$E$99999,3,FALSE)</f>
        <v>STRICKLAND</v>
      </c>
      <c r="O44" s="183" t="s">
        <v>202</v>
      </c>
      <c r="P44" s="157"/>
      <c r="Q44" s="31"/>
      <c r="R44" s="100" t="str">
        <f>VLOOKUP(C44,'Train Runs'!$A$13:$AE$9988,31,0)</f>
        <v>aws s3 cp s3://rtdc.mdm.uploadarchive.raw/RTDC4021/ "%USERPROFILE%\AppData\Local\Temp\OnboardLogs"\RTDC4021\2016-11-25 --exclude "*" --recursive --include "*20161125*" &amp; "%USERPROFILE%\Documents\GitHub\mrs-test-scripts\Headless Mode &amp; Sideloading\WalkAndUnGZ.bat" "%USERPROFILE%\AppData\Local\Temp\OnboardLogs"\RTDC4021\2016-11-25 &amp; aws s3 cp s3://rtdc.mdm.uploadarchive.raw/RTDC4021/ "%USERPROFILE%\AppData\Local\Temp\OnboardLogs"\RTDC4021\2016-11-26 --exclude "*" --recursive --include "*20161126*" &amp; "%USERPROFILE%\Documents\GitHub\mrs-test-scripts\Headless Mode &amp; Sideloading\WalkAndUnGZ.bat" "%USERPROFILE%\AppData\Local\Temp\OnboardLogs"\RTDC4021\2016-11-26</v>
      </c>
      <c r="S44" s="103" t="str">
        <f>VLOOKUP(C44,'Train Runs'!$A$13:$AE$9988,22,0)</f>
        <v>https://search-rtdc-monitor-bjffxe2xuh6vdkpspy63sjmuny.us-east-1.es.amazonaws.com/_plugin/kibana/#/discover/Steve-Slow-Train-Analysis-(2080s-and-2083s)?_g=(refreshInterval:(display:Off,section:0,value:0),time:(from:'2016-11-25 07:07:35-700',mode:absolute,to:'2016-11-25 09:30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T44" s="105" t="str">
        <f t="shared" si="9"/>
        <v>"C:\Program Files (x86)\AstroGrep\AstroGrep.exe" /spath="%USERPROFILE%\AppData\Local\Temp\OnboardLogs" /stypes="*4021*201611251*" /stext=" 15:.+((SYSTEM_STATE.+slice.+state.+changed )|(ment ac)|(system.+state.+changed )|(\[timeout)|(PRM\|1\|D)|(kpr)|(kdp)|(\|lc)|(penalty))" /e /r /s</v>
      </c>
      <c r="U44" s="9" t="str">
        <f t="shared" si="10"/>
        <v>4021</v>
      </c>
      <c r="V44" s="36">
        <f t="shared" si="11"/>
        <v>42699.6402662037</v>
      </c>
      <c r="W44" s="50" t="str">
        <f t="shared" si="12"/>
        <v>NW</v>
      </c>
      <c r="X44" s="50" t="str">
        <f t="shared" si="13"/>
        <v>KEEP</v>
      </c>
      <c r="Y44" s="119" t="str">
        <f t="shared" si="14"/>
        <v>echo {"issue":{"subject":"","project_id":79,"tracker_id":40,"status_id":1,"priority_id":2,"assigned_to_id":23,"start_date":"2016-11-25","description":"","custom_fields":[{"id":1,"name":"Subdivision","value":"NW"},{"id":4,"name":"Milepost","value":"2.3561"},{"id":17,"name":"Train ID","value":"810-25"},{"id":16,"name":"Locomotive ID","value":"4021"},{"id":130,"name":"Impact","value":""},{"id":150,"name":"Time of Event (Mountain Time)","value":"08:21:59"},{"id":151,"name":"Denver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53"/>
      <c r="AA44" s="53"/>
      <c r="AB44" s="53"/>
      <c r="AC44" s="138" t="str">
        <f t="shared" si="15"/>
        <v>grep -hSE -A100 "Enforcement Action" "%USERPROFILE%\AppData\Local\Temp\OnboardLogs"\RTDC4021\*4021*201611251* | grep -SE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"&amp;Variables!$A$2&amp;"-slicedisagreementcheck.txt"</f>
        <v>grep -hSE "Enforcement Action" "%USERPROFILE%\AppData\Local\Temp\OnboardLogs"\RTDC4021\*4021*201611251* &gt;&gt; 42699-slicedisagreementcheck.txt</v>
      </c>
    </row>
    <row r="45" spans="1:30" x14ac:dyDescent="0.25">
      <c r="A45" s="36">
        <v>42699.575729166667</v>
      </c>
      <c r="B45" s="31" t="s">
        <v>313</v>
      </c>
      <c r="C45" s="31" t="s">
        <v>434</v>
      </c>
      <c r="D45" s="31" t="s">
        <v>98</v>
      </c>
      <c r="E45" s="31" t="s">
        <v>203</v>
      </c>
      <c r="F45" s="47">
        <v>300</v>
      </c>
      <c r="G45" s="47">
        <v>350</v>
      </c>
      <c r="H45" s="47">
        <v>21172</v>
      </c>
      <c r="I45" s="47">
        <v>20369</v>
      </c>
      <c r="J45" s="31" t="s">
        <v>204</v>
      </c>
      <c r="K45" s="47">
        <v>23561</v>
      </c>
      <c r="L45" s="154" t="s">
        <v>51</v>
      </c>
      <c r="M45" s="155">
        <f t="shared" si="8"/>
        <v>-1685.376</v>
      </c>
      <c r="N45" s="156" t="str">
        <f>VLOOKUP(C45,'Trips&amp;Operators'!$C$1:$E$99999,3,FALSE)</f>
        <v>PERKINS</v>
      </c>
      <c r="O45" s="183" t="s">
        <v>202</v>
      </c>
      <c r="P45" s="157"/>
      <c r="Q45" s="31"/>
      <c r="R45" s="100" t="str">
        <f>VLOOKUP(C45,'Train Runs'!$A$13:$AE$9988,31,0)</f>
        <v>aws s3 cp s3://rtdc.mdm.uploadarchive.raw/RTDC4004/ "%USERPROFILE%\AppData\Local\Temp\OnboardLogs"\RTDC4004\2016-11-25 --exclude "*" --recursive --include "*20161125*" &amp; "%USERPROFILE%\Documents\GitHub\mrs-test-scripts\Headless Mode &amp; Sideloading\WalkAndUnGZ.bat" "%USERPROFILE%\AppData\Local\Temp\OnboardLogs"\RTDC4004\2016-11-25 &amp; aws s3 cp s3://rtdc.mdm.uploadarchive.raw/RTDC4004/ "%USERPROFILE%\AppData\Local\Temp\OnboardLogs"\RTDC4004\2016-11-26 --exclude "*" --recursive --include "*20161126*" &amp; "%USERPROFILE%\Documents\GitHub\mrs-test-scripts\Headless Mode &amp; Sideloading\WalkAndUnGZ.bat" "%USERPROFILE%\AppData\Local\Temp\OnboardLogs"\RTDC4004\2016-11-26</v>
      </c>
      <c r="S45" s="103" t="str">
        <f>VLOOKUP(C45,'Train Runs'!$A$13:$AE$9988,22,0)</f>
        <v>https://search-rtdc-monitor-bjffxe2xuh6vdkpspy63sjmuny.us-east-1.es.amazonaws.com/_plugin/kibana/#/discover/Steve-Slow-Train-Analysis-(2080s-and-2083s)?_g=(refreshInterval:(display:Off,section:0,value:0),time:(from:'2016-11-25 12:53:55-700',mode:absolute,to:'2016-11-25 14:59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45" s="105" t="str">
        <f t="shared" si="9"/>
        <v>"C:\Program Files (x86)\AstroGrep\AstroGrep.exe" /spath="%USERPROFILE%\AppData\Local\Temp\OnboardLogs" /stypes="*4004*201611252*" /stext=" 20:.+((SYSTEM_STATE.+slice.+state.+changed )|(ment ac)|(system.+state.+changed )|(\[timeout)|(PRM\|1\|D)|(kpr)|(kdp)|(\|lc)|(penalty))" /e /r /s</v>
      </c>
      <c r="U45" s="9" t="str">
        <f t="shared" si="10"/>
        <v>4004</v>
      </c>
      <c r="V45" s="36">
        <f t="shared" si="11"/>
        <v>42699.867395833331</v>
      </c>
      <c r="W45" s="50" t="str">
        <f t="shared" si="12"/>
        <v>NW</v>
      </c>
      <c r="X45" s="50" t="str">
        <f t="shared" si="13"/>
        <v>KEEP</v>
      </c>
      <c r="Y45" s="119" t="str">
        <f t="shared" si="14"/>
        <v>echo {"issue":{"subject":"","project_id":79,"tracker_id":40,"status_id":1,"priority_id":2,"assigned_to_id":23,"start_date":"2016-11-25","description":"","custom_fields":[{"id":1,"name":"Subdivision","value":"NW"},{"id":4,"name":"Milepost","value":"2.3561"},{"id":17,"name":"Train ID","value":"822-25"},{"id":16,"name":"Locomotive ID","value":"4004"},{"id":130,"name":"Impact","value":""},{"id":150,"name":"Time of Event (Mountain Time)","value":"13:49:03"},{"id":151,"name":"Denver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53"/>
      <c r="AA45" s="53"/>
      <c r="AB45" s="53"/>
      <c r="AC45" s="138" t="str">
        <f t="shared" si="15"/>
        <v>grep -hSE -A100 "Enforcement Action" "%USERPROFILE%\AppData\Local\Temp\OnboardLogs"\RTDC4004\*4004*201611252* | grep -SE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"&amp;Variables!$A$2&amp;"-slicedisagreementcheck.txt"</f>
        <v>grep -hSE "Enforcement Action" "%USERPROFILE%\AppData\Local\Temp\OnboardLogs"\RTDC4004\*4004*201611252* &gt;&gt; 42699-slicedisagreementcheck.txt</v>
      </c>
    </row>
    <row r="46" spans="1:30" x14ac:dyDescent="0.25">
      <c r="A46" s="36">
        <v>42699.436597222222</v>
      </c>
      <c r="B46" s="31" t="s">
        <v>312</v>
      </c>
      <c r="C46" s="31" t="s">
        <v>424</v>
      </c>
      <c r="D46" s="31" t="s">
        <v>49</v>
      </c>
      <c r="E46" s="31" t="s">
        <v>203</v>
      </c>
      <c r="F46" s="47">
        <v>500</v>
      </c>
      <c r="G46" s="47">
        <v>578</v>
      </c>
      <c r="H46" s="47">
        <v>34839</v>
      </c>
      <c r="I46" s="47">
        <v>37509</v>
      </c>
      <c r="J46" s="31" t="s">
        <v>204</v>
      </c>
      <c r="K46" s="47">
        <v>37577</v>
      </c>
      <c r="L46" s="154" t="s">
        <v>50</v>
      </c>
      <c r="M46" s="155">
        <f t="shared" si="8"/>
        <v>35.904000000000003</v>
      </c>
      <c r="N46" s="156" t="str">
        <f>VLOOKUP(C46,'Trips&amp;Operators'!$C$1:$E$99999,3,FALSE)</f>
        <v>YORK</v>
      </c>
      <c r="O46" s="183" t="s">
        <v>202</v>
      </c>
      <c r="P46" s="157"/>
      <c r="Q46" s="31"/>
      <c r="R46" s="100" t="str">
        <f>VLOOKUP(C46,'Train Runs'!$A$13:$AE$9988,31,0)</f>
        <v>aws s3 cp s3://rtdc.mdm.uploadarchive.raw/RTDC4003/ "%USERPROFILE%\AppData\Local\Temp\OnboardLogs"\RTDC4003\2016-11-25 --exclude "*" --recursive --include "*20161125*" &amp; "%USERPROFILE%\Documents\GitHub\mrs-test-scripts\Headless Mode &amp; Sideloading\WalkAndUnGZ.bat" "%USERPROFILE%\AppData\Local\Temp\OnboardLogs"\RTDC4003\2016-11-25 &amp; aws s3 cp s3://rtdc.mdm.uploadarchive.raw/RTDC4003/ "%USERPROFILE%\AppData\Local\Temp\OnboardLogs"\RTDC4003\2016-11-26 --exclude "*" --recursive --include "*20161126*" &amp; "%USERPROFILE%\Documents\GitHub\mrs-test-scripts\Headless Mode &amp; Sideloading\WalkAndUnGZ.bat" "%USERPROFILE%\AppData\Local\Temp\OnboardLogs"\RTDC4003\2016-11-26</v>
      </c>
      <c r="S46" s="103" t="str">
        <f>VLOOKUP(C46,'Train Runs'!$A$13:$AE$9988,22,0)</f>
        <v>https://search-rtdc-monitor-bjffxe2xuh6vdkpspy63sjmuny.us-east-1.es.amazonaws.com/_plugin/kibana/#/discover/Steve-Slow-Train-Analysis-(2080s-and-2083s)?_g=(refreshInterval:(display:Off,section:0,value:0),time:(from:'2016-11-25 08:58:33-700',mode:absolute,to:'2016-11-25 11:34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T46" s="105" t="str">
        <f t="shared" si="9"/>
        <v>"C:\Program Files (x86)\AstroGrep\AstroGrep.exe" /spath="%USERPROFILE%\AppData\Local\Temp\OnboardLogs" /stypes="*4003*201611251*" /stext=" 17:.+((SYSTEM_STATE.+slice.+state.+changed )|(ment ac)|(system.+state.+changed )|(\[timeout)|(PRM\|1\|D)|(kpr)|(kdp)|(\|lc)|(penalty))" /e /r /s</v>
      </c>
      <c r="U46" s="9" t="str">
        <f t="shared" si="10"/>
        <v>4003</v>
      </c>
      <c r="V46" s="36">
        <f t="shared" si="11"/>
        <v>42699.728263888886</v>
      </c>
      <c r="W46" s="50" t="str">
        <f t="shared" si="12"/>
        <v>NW</v>
      </c>
      <c r="X46" s="50" t="str">
        <f t="shared" si="13"/>
        <v>KEEP</v>
      </c>
      <c r="Y46" s="119" t="str">
        <f t="shared" si="14"/>
        <v>echo {"issue":{"subject":"","project_id":79,"tracker_id":40,"status_id":1,"priority_id":2,"assigned_to_id":23,"start_date":"2016-11-25","description":"","custom_fields":[{"id":1,"name":"Subdivision","value":"NW"},{"id":4,"name":"Milepost","value":"3.7577"},{"id":17,"name":"Train ID","value":"815-25"},{"id":16,"name":"Locomotive ID","value":"4003"},{"id":130,"name":"Impact","value":""},{"id":150,"name":"Time of Event (Mountain Time)","value":"10:28:42"},{"id":151,"name":"Denver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53"/>
      <c r="AA46" s="53"/>
      <c r="AB46" s="53"/>
      <c r="AC46" s="138" t="str">
        <f t="shared" si="15"/>
        <v>grep -hSE -A100 "Enforcement Action" "%USERPROFILE%\AppData\Local\Temp\OnboardLogs"\RTDC4003\*4003*201611251* | grep -SE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"&amp;Variables!$A$2&amp;"-slicedisagreementcheck.txt"</f>
        <v>grep -hSE "Enforcement Action" "%USERPROFILE%\AppData\Local\Temp\OnboardLogs"\RTDC4003\*4003*201611251* &gt;&gt; 42699-slicedisagreementcheck.txt</v>
      </c>
    </row>
    <row r="47" spans="1:30" x14ac:dyDescent="0.25">
      <c r="A47" s="36">
        <v>42699.346597222226</v>
      </c>
      <c r="B47" s="31" t="s">
        <v>231</v>
      </c>
      <c r="C47" s="31" t="s">
        <v>417</v>
      </c>
      <c r="D47" s="31" t="s">
        <v>98</v>
      </c>
      <c r="E47" s="31" t="s">
        <v>203</v>
      </c>
      <c r="F47" s="47">
        <v>400</v>
      </c>
      <c r="G47" s="47">
        <v>450</v>
      </c>
      <c r="H47" s="47">
        <v>38377</v>
      </c>
      <c r="I47" s="47">
        <v>37335</v>
      </c>
      <c r="J47" s="31" t="s">
        <v>204</v>
      </c>
      <c r="K47" s="47">
        <v>40977</v>
      </c>
      <c r="L47" s="154" t="s">
        <v>51</v>
      </c>
      <c r="M47" s="155">
        <f t="shared" si="8"/>
        <v>-1922.9760000000001</v>
      </c>
      <c r="N47" s="156" t="str">
        <f>VLOOKUP(C47,'Trips&amp;Operators'!$C$1:$E$99999,3,FALSE)</f>
        <v>STRICKLAND</v>
      </c>
      <c r="O47" s="183" t="s">
        <v>202</v>
      </c>
      <c r="P47" s="157"/>
      <c r="Q47" s="31"/>
      <c r="R47" s="100" t="str">
        <f>VLOOKUP(C47,'Train Runs'!$A$13:$AE$9988,31,0)</f>
        <v>aws s3 cp s3://rtdc.mdm.uploadarchive.raw/RTDC4021/ "%USERPROFILE%\AppData\Local\Temp\OnboardLogs"\RTDC4021\2016-11-25 --exclude "*" --recursive --include "*20161125*" &amp; "%USERPROFILE%\Documents\GitHub\mrs-test-scripts\Headless Mode &amp; Sideloading\WalkAndUnGZ.bat" "%USERPROFILE%\AppData\Local\Temp\OnboardLogs"\RTDC4021\2016-11-25 &amp; aws s3 cp s3://rtdc.mdm.uploadarchive.raw/RTDC4021/ "%USERPROFILE%\AppData\Local\Temp\OnboardLogs"\RTDC4021\2016-11-26 --exclude "*" --recursive --include "*20161126*" &amp; "%USERPROFILE%\Documents\GitHub\mrs-test-scripts\Headless Mode &amp; Sideloading\WalkAndUnGZ.bat" "%USERPROFILE%\AppData\Local\Temp\OnboardLogs"\RTDC4021\2016-11-26</v>
      </c>
      <c r="S47" s="103" t="str">
        <f>VLOOKUP(C47,'Train Runs'!$A$13:$AE$9988,22,0)</f>
        <v>https://search-rtdc-monitor-bjffxe2xuh6vdkpspy63sjmuny.us-east-1.es.amazonaws.com/_plugin/kibana/#/discover/Steve-Slow-Train-Analysis-(2080s-and-2083s)?_g=(refreshInterval:(display:Off,section:0,value:0),time:(from:'2016-11-25 07:07:35-700',mode:absolute,to:'2016-11-25 09:30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T47" s="105" t="str">
        <f t="shared" si="9"/>
        <v>"C:\Program Files (x86)\AstroGrep\AstroGrep.exe" /spath="%USERPROFILE%\AppData\Local\Temp\OnboardLogs" /stypes="*4021*201611251*" /stext=" 15:.+((SYSTEM_STATE.+slice.+state.+changed )|(ment ac)|(system.+state.+changed )|(\[timeout)|(PRM\|1\|D)|(kpr)|(kdp)|(\|lc)|(penalty))" /e /r /s</v>
      </c>
      <c r="U47" s="9" t="str">
        <f t="shared" si="10"/>
        <v>4021</v>
      </c>
      <c r="V47" s="36">
        <f t="shared" si="11"/>
        <v>42699.63826388889</v>
      </c>
      <c r="W47" s="50" t="str">
        <f t="shared" si="12"/>
        <v>NW</v>
      </c>
      <c r="X47" s="50" t="str">
        <f t="shared" si="13"/>
        <v>KEEP</v>
      </c>
      <c r="Y47" s="119" t="str">
        <f t="shared" si="14"/>
        <v>echo {"issue":{"subject":"","project_id":79,"tracker_id":40,"status_id":1,"priority_id":2,"assigned_to_id":23,"start_date":"2016-11-25","description":"","custom_fields":[{"id":1,"name":"Subdivision","value":"NW"},{"id":4,"name":"Milepost","value":"4.0977"},{"id":17,"name":"Train ID","value":"810-25"},{"id":16,"name":"Locomotive ID","value":"4021"},{"id":130,"name":"Impact","value":""},{"id":150,"name":"Time of Event (Mountain Time)","value":"08:19:06"},{"id":151,"name":"Denver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53"/>
      <c r="AA47" s="53"/>
      <c r="AB47" s="53"/>
      <c r="AC47" s="138" t="str">
        <f t="shared" si="15"/>
        <v>grep -hSE -A100 "Enforcement Action" "%USERPROFILE%\AppData\Local\Temp\OnboardLogs"\RTDC4021\*4021*201611251* | grep -SE "((Enforcement Ac)|(PRM))" -</v>
      </c>
      <c r="AD47" s="1" t="str">
        <f>"grep -hSE ""Enforcement Action"" "&amp;search_path&amp;"\RTDC"&amp;U47&amp;"\*"&amp;U47&amp;"*"&amp;TEXT(A47-utc_offset/24,"YYYYMMDD")&amp;LEFT(TEXT(A47-utc_offset/24,"HH"),1)&amp;"* &gt;&gt; "&amp;Variables!$A$2&amp;"-slicedisagreementcheck.txt"</f>
        <v>grep -hSE "Enforcement Action" "%USERPROFILE%\AppData\Local\Temp\OnboardLogs"\RTDC4021\*4021*201611251* &gt;&gt; 42699-slicedisagreementcheck.txt</v>
      </c>
    </row>
    <row r="48" spans="1:30" x14ac:dyDescent="0.25">
      <c r="A48" s="36">
        <v>42699.22152777778</v>
      </c>
      <c r="B48" s="31" t="s">
        <v>231</v>
      </c>
      <c r="C48" s="31" t="s">
        <v>407</v>
      </c>
      <c r="D48" s="31" t="s">
        <v>49</v>
      </c>
      <c r="E48" s="31" t="s">
        <v>203</v>
      </c>
      <c r="F48" s="47">
        <v>300</v>
      </c>
      <c r="G48" s="47">
        <v>384</v>
      </c>
      <c r="H48" s="47">
        <v>42886</v>
      </c>
      <c r="I48" s="47">
        <v>41991</v>
      </c>
      <c r="J48" s="31" t="s">
        <v>204</v>
      </c>
      <c r="K48" s="47">
        <v>41797</v>
      </c>
      <c r="L48" s="154" t="s">
        <v>51</v>
      </c>
      <c r="M48" s="155">
        <f t="shared" si="8"/>
        <v>102.432</v>
      </c>
      <c r="N48" s="156" t="str">
        <f>VLOOKUP(C48,'Trips&amp;Operators'!$C$1:$E$99999,3,FALSE)</f>
        <v>STRICKLAND</v>
      </c>
      <c r="O48" s="183" t="s">
        <v>202</v>
      </c>
      <c r="P48" s="157"/>
      <c r="Q48" s="31"/>
      <c r="R48" s="100" t="str">
        <f>VLOOKUP(C48,'Train Runs'!$A$13:$AE$9988,31,0)</f>
        <v>aws s3 cp s3://rtdc.mdm.uploadarchive.raw/RTDC4021/ "%USERPROFILE%\AppData\Local\Temp\OnboardLogs"\RTDC4021\2016-11-25 --exclude "*" --recursive --include "*20161125*" &amp; "%USERPROFILE%\Documents\GitHub\mrs-test-scripts\Headless Mode &amp; Sideloading\WalkAndUnGZ.bat" "%USERPROFILE%\AppData\Local\Temp\OnboardLogs"\RTDC4021\2016-11-25 &amp; aws s3 cp s3://rtdc.mdm.uploadarchive.raw/RTDC4021/ "%USERPROFILE%\AppData\Local\Temp\OnboardLogs"\RTDC4021\2016-11-26 --exclude "*" --recursive --include "*20161126*" &amp; "%USERPROFILE%\Documents\GitHub\mrs-test-scripts\Headless Mode &amp; Sideloading\WalkAndUnGZ.bat" "%USERPROFILE%\AppData\Local\Temp\OnboardLogs"\RTDC4021\2016-11-26</v>
      </c>
      <c r="S48" s="103" t="str">
        <f>VLOOKUP(C48,'Train Runs'!$A$13:$AE$9988,22,0)</f>
        <v>https://search-rtdc-monitor-bjffxe2xuh6vdkpspy63sjmuny.us-east-1.es.amazonaws.com/_plugin/kibana/#/discover/Steve-Slow-Train-Analysis-(2080s-and-2083s)?_g=(refreshInterval:(display:Off,section:0,value:0),time:(from:'2016-11-25 04:12:55-700',mode:absolute,to:'2016-11-25 06:29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T48" s="105" t="str">
        <f t="shared" si="9"/>
        <v>"C:\Program Files (x86)\AstroGrep\AstroGrep.exe" /spath="%USERPROFILE%\AppData\Local\Temp\OnboardLogs" /stypes="*4021*201611251*" /stext=" 12:.+((SYSTEM_STATE.+slice.+state.+changed )|(ment ac)|(system.+state.+changed )|(\[timeout)|(PRM\|1\|D)|(kpr)|(kdp)|(\|lc)|(penalty))" /e /r /s</v>
      </c>
      <c r="U48" s="9" t="str">
        <f t="shared" si="10"/>
        <v>4021</v>
      </c>
      <c r="V48" s="36">
        <f t="shared" si="11"/>
        <v>42699.513194444444</v>
      </c>
      <c r="W48" s="50" t="str">
        <f t="shared" si="12"/>
        <v>NW</v>
      </c>
      <c r="X48" s="50" t="str">
        <f t="shared" si="13"/>
        <v>KEEP</v>
      </c>
      <c r="Y48" s="119" t="str">
        <f t="shared" si="14"/>
        <v>echo {"issue":{"subject":"","project_id":79,"tracker_id":40,"status_id":1,"priority_id":2,"assigned_to_id":23,"start_date":"2016-11-25","description":"","custom_fields":[{"id":1,"name":"Subdivision","value":"NW"},{"id":4,"name":"Milepost","value":"4.1797"},{"id":17,"name":"Train ID","value":"800-25"},{"id":16,"name":"Locomotive ID","value":"4021"},{"id":130,"name":"Impact","value":""},{"id":150,"name":"Time of Event (Mountain Time)","value":"05:19:00"},{"id":151,"name":"Denver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53"/>
      <c r="AA48" s="53"/>
      <c r="AB48" s="53"/>
      <c r="AC48" s="138" t="str">
        <f t="shared" si="15"/>
        <v>grep -hSE -A100 "Enforcement Action" "%USERPROFILE%\AppData\Local\Temp\OnboardLogs"\RTDC4021\*4021*201611251* | grep -SE "((Enforcement Ac)|(PRM))" -</v>
      </c>
      <c r="AD48" s="1" t="str">
        <f>"grep -hSE ""Enforcement Action"" "&amp;search_path&amp;"\RTDC"&amp;U48&amp;"\*"&amp;U48&amp;"*"&amp;TEXT(A48-utc_offset/24,"YYYYMMDD")&amp;LEFT(TEXT(A48-utc_offset/24,"HH"),1)&amp;"* &gt;&gt; "&amp;Variables!$A$2&amp;"-slicedisagreementcheck.txt"</f>
        <v>grep -hSE "Enforcement Action" "%USERPROFILE%\AppData\Local\Temp\OnboardLogs"\RTDC4021\*4021*201611251* &gt;&gt; 42699-slicedisagreementcheck.txt</v>
      </c>
    </row>
    <row r="49" spans="1:30" x14ac:dyDescent="0.25">
      <c r="A49" s="36">
        <v>42699.272129629629</v>
      </c>
      <c r="B49" s="31" t="s">
        <v>312</v>
      </c>
      <c r="C49" s="31" t="s">
        <v>408</v>
      </c>
      <c r="D49" s="31" t="s">
        <v>49</v>
      </c>
      <c r="E49" s="31" t="s">
        <v>203</v>
      </c>
      <c r="F49" s="47">
        <v>150</v>
      </c>
      <c r="G49" s="47">
        <v>430</v>
      </c>
      <c r="H49" s="47">
        <v>54896</v>
      </c>
      <c r="I49" s="47">
        <v>55995</v>
      </c>
      <c r="J49" s="31" t="s">
        <v>204</v>
      </c>
      <c r="K49" s="47">
        <v>57008</v>
      </c>
      <c r="L49" s="154" t="s">
        <v>50</v>
      </c>
      <c r="M49" s="155">
        <f t="shared" si="8"/>
        <v>534.86400000000003</v>
      </c>
      <c r="N49" s="156" t="str">
        <f>VLOOKUP(C49,'Trips&amp;Operators'!$C$1:$E$99999,3,FALSE)</f>
        <v>YORK</v>
      </c>
      <c r="O49" s="183" t="s">
        <v>202</v>
      </c>
      <c r="P49" s="157"/>
      <c r="Q49" s="31"/>
      <c r="R49" s="100" t="str">
        <f>VLOOKUP(C49,'Train Runs'!$A$13:$AE$9988,31,0)</f>
        <v>aws s3 cp s3://rtdc.mdm.uploadarchive.raw/RTDC4003/ "%USERPROFILE%\AppData\Local\Temp\OnboardLogs"\RTDC4003\2016-11-25 --exclude "*" --recursive --include "*20161125*" &amp; "%USERPROFILE%\Documents\GitHub\mrs-test-scripts\Headless Mode &amp; Sideloading\WalkAndUnGZ.bat" "%USERPROFILE%\AppData\Local\Temp\OnboardLogs"\RTDC4003\2016-11-25 &amp; aws s3 cp s3://rtdc.mdm.uploadarchive.raw/RTDC4003/ "%USERPROFILE%\AppData\Local\Temp\OnboardLogs"\RTDC4003\2016-11-26 --exclude "*" --recursive --include "*20161126*" &amp; "%USERPROFILE%\Documents\GitHub\mrs-test-scripts\Headless Mode &amp; Sideloading\WalkAndUnGZ.bat" "%USERPROFILE%\AppData\Local\Temp\OnboardLogs"\RTDC4003\2016-11-26</v>
      </c>
      <c r="S49" s="103" t="str">
        <f>VLOOKUP(C49,'Train Runs'!$A$13:$AE$9988,22,0)</f>
        <v>https://search-rtdc-monitor-bjffxe2xuh6vdkpspy63sjmuny.us-east-1.es.amazonaws.com/_plugin/kibana/#/discover/Steve-Slow-Train-Analysis-(2080s-and-2083s)?_g=(refreshInterval:(display:Off,section:0,value:0),time:(from:'2016-11-25 05:14:25-700',mode:absolute,to:'2016-11-25 07:34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T49" s="105" t="str">
        <f t="shared" si="9"/>
        <v>"C:\Program Files (x86)\AstroGrep\AstroGrep.exe" /spath="%USERPROFILE%\AppData\Local\Temp\OnboardLogs" /stypes="*4003*201611251*" /stext=" 13:.+((SYSTEM_STATE.+slice.+state.+changed )|(ment ac)|(system.+state.+changed )|(\[timeout)|(PRM\|1\|D)|(kpr)|(kdp)|(\|lc)|(penalty))" /e /r /s</v>
      </c>
      <c r="U49" s="9" t="str">
        <f t="shared" si="10"/>
        <v>4003</v>
      </c>
      <c r="V49" s="36">
        <f t="shared" si="11"/>
        <v>42699.563796296294</v>
      </c>
      <c r="W49" s="50" t="str">
        <f t="shared" si="12"/>
        <v>NW</v>
      </c>
      <c r="X49" s="50" t="str">
        <f t="shared" si="13"/>
        <v>KEEP</v>
      </c>
      <c r="Y49" s="119" t="str">
        <f t="shared" si="14"/>
        <v>echo {"issue":{"subject":"","project_id":79,"tracker_id":40,"status_id":1,"priority_id":2,"assigned_to_id":23,"start_date":"2016-11-25","description":"","custom_fields":[{"id":1,"name":"Subdivision","value":"NW"},{"id":4,"name":"Milepost","value":"5.7008"},{"id":17,"name":"Train ID","value":"803-25"},{"id":16,"name":"Locomotive ID","value":"4003"},{"id":130,"name":"Impact","value":""},{"id":150,"name":"Time of Event (Mountain Time)","value":"06:31:52"},{"id":151,"name":"Denver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53"/>
      <c r="AA49" s="53"/>
      <c r="AB49" s="53"/>
      <c r="AC49" s="138" t="str">
        <f t="shared" si="15"/>
        <v>grep -hSE -A100 "Enforcement Action" "%USERPROFILE%\AppData\Local\Temp\OnboardLogs"\RTDC4003\*4003*201611251* | grep -SE "((Enforcement Ac)|(PRM))" -</v>
      </c>
      <c r="AD49" s="1" t="str">
        <f>"grep -hSE ""Enforcement Action"" "&amp;search_path&amp;"\RTDC"&amp;U49&amp;"\*"&amp;U49&amp;"*"&amp;TEXT(A49-utc_offset/24,"YYYYMMDD")&amp;LEFT(TEXT(A49-utc_offset/24,"HH"),1)&amp;"* &gt;&gt; "&amp;Variables!$A$2&amp;"-slicedisagreementcheck.txt"</f>
        <v>grep -hSE "Enforcement Action" "%USERPROFILE%\AppData\Local\Temp\OnboardLogs"\RTDC4003\*4003*201611251* &gt;&gt; 42699-slicedisagreementcheck.txt</v>
      </c>
    </row>
    <row r="50" spans="1:30" x14ac:dyDescent="0.25">
      <c r="A50" s="36">
        <v>42699.293773148151</v>
      </c>
      <c r="B50" s="31" t="s">
        <v>230</v>
      </c>
      <c r="C50" s="31" t="s">
        <v>411</v>
      </c>
      <c r="D50" s="31" t="s">
        <v>49</v>
      </c>
      <c r="E50" s="31" t="s">
        <v>203</v>
      </c>
      <c r="F50" s="47">
        <v>150</v>
      </c>
      <c r="G50" s="47">
        <v>316</v>
      </c>
      <c r="H50" s="47">
        <v>55849</v>
      </c>
      <c r="I50" s="47">
        <v>56591</v>
      </c>
      <c r="J50" s="31" t="s">
        <v>204</v>
      </c>
      <c r="K50" s="47">
        <v>57008</v>
      </c>
      <c r="L50" s="154" t="s">
        <v>50</v>
      </c>
      <c r="M50" s="155">
        <f t="shared" si="8"/>
        <v>220.17599999999999</v>
      </c>
      <c r="N50" s="156" t="str">
        <f>VLOOKUP(C50,'Trips&amp;Operators'!$C$1:$E$99999,3,FALSE)</f>
        <v>STRICKLAND</v>
      </c>
      <c r="O50" s="183" t="s">
        <v>202</v>
      </c>
      <c r="P50" s="157"/>
      <c r="Q50" s="31"/>
      <c r="R50" s="100" t="str">
        <f>VLOOKUP(C50,'Train Runs'!$A$13:$AE$9988,31,0)</f>
        <v>aws s3 cp s3://rtdc.mdm.uploadarchive.raw/RTDC4022/ "%USERPROFILE%\AppData\Local\Temp\OnboardLogs"\RTDC4022\2016-11-25 --exclude "*" --recursive --include "*20161125*" &amp; "%USERPROFILE%\Documents\GitHub\mrs-test-scripts\Headless Mode &amp; Sideloading\WalkAndUnGZ.bat" "%USERPROFILE%\AppData\Local\Temp\OnboardLogs"\RTDC4022\2016-11-25 &amp; aws s3 cp s3://rtdc.mdm.uploadarchive.raw/RTDC4022/ "%USERPROFILE%\AppData\Local\Temp\OnboardLogs"\RTDC4022\2016-11-26 --exclude "*" --recursive --include "*20161126*" &amp; "%USERPROFILE%\Documents\GitHub\mrs-test-scripts\Headless Mode &amp; Sideloading\WalkAndUnGZ.bat" "%USERPROFILE%\AppData\Local\Temp\OnboardLogs"\RTDC4022\2016-11-26</v>
      </c>
      <c r="S50" s="103" t="str">
        <f>VLOOKUP(C50,'Train Runs'!$A$13:$AE$9988,22,0)</f>
        <v>https://search-rtdc-monitor-bjffxe2xuh6vdkpspy63sjmuny.us-east-1.es.amazonaws.com/_plugin/kibana/#/discover/Steve-Slow-Train-Analysis-(2080s-and-2083s)?_g=(refreshInterval:(display:Off,section:0,value:0),time:(from:'2016-11-25 05:38:14-700',mode:absolute,to:'2016-11-25 08:05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T50" s="105" t="str">
        <f t="shared" si="9"/>
        <v>"C:\Program Files (x86)\AstroGrep\AstroGrep.exe" /spath="%USERPROFILE%\AppData\Local\Temp\OnboardLogs" /stypes="*4022*201611251*" /stext=" 14:.+((SYSTEM_STATE.+slice.+state.+changed )|(ment ac)|(system.+state.+changed )|(\[timeout)|(PRM\|1\|D)|(kpr)|(kdp)|(\|lc)|(penalty))" /e /r /s</v>
      </c>
      <c r="U50" s="9" t="str">
        <f t="shared" si="10"/>
        <v>4022</v>
      </c>
      <c r="V50" s="36">
        <f t="shared" si="11"/>
        <v>42699.585439814815</v>
      </c>
      <c r="W50" s="50" t="str">
        <f t="shared" si="12"/>
        <v>NW</v>
      </c>
      <c r="X50" s="50" t="str">
        <f t="shared" si="13"/>
        <v>KEEP</v>
      </c>
      <c r="Y50" s="119" t="str">
        <f t="shared" si="14"/>
        <v>echo {"issue":{"subject":"","project_id":79,"tracker_id":40,"status_id":1,"priority_id":2,"assigned_to_id":23,"start_date":"2016-11-25","description":"","custom_fields":[{"id":1,"name":"Subdivision","value":"NW"},{"id":4,"name":"Milepost","value":"5.7008"},{"id":17,"name":"Train ID","value":"805-25"},{"id":16,"name":"Locomotive ID","value":"4022"},{"id":130,"name":"Impact","value":""},{"id":150,"name":"Time of Event (Mountain Time)","value":"07:03:02"},{"id":151,"name":"Denver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53"/>
      <c r="AA50" s="53"/>
      <c r="AB50" s="53"/>
      <c r="AC50" s="138" t="str">
        <f t="shared" si="15"/>
        <v>grep -hSE -A100 "Enforcement Action" "%USERPROFILE%\AppData\Local\Temp\OnboardLogs"\RTDC4022\*4022*201611251* | grep -SE "((Enforcement Ac)|(PRM))" -</v>
      </c>
      <c r="AD50" s="1" t="str">
        <f>"grep -hSE ""Enforcement Action"" "&amp;search_path&amp;"\RTDC"&amp;U50&amp;"\*"&amp;U50&amp;"*"&amp;TEXT(A50-utc_offset/24,"YYYYMMDD")&amp;LEFT(TEXT(A50-utc_offset/24,"HH"),1)&amp;"* &gt;&gt; "&amp;Variables!$A$2&amp;"-slicedisagreementcheck.txt"</f>
        <v>grep -hSE "Enforcement Action" "%USERPROFILE%\AppData\Local\Temp\OnboardLogs"\RTDC4022\*4022*201611251* &gt;&gt; 42699-slicedisagreementcheck.txt</v>
      </c>
    </row>
    <row r="51" spans="1:30" x14ac:dyDescent="0.25">
      <c r="A51" s="36">
        <v>42699.6481712963</v>
      </c>
      <c r="B51" s="31" t="s">
        <v>312</v>
      </c>
      <c r="C51" s="31" t="s">
        <v>438</v>
      </c>
      <c r="D51" s="31" t="s">
        <v>49</v>
      </c>
      <c r="E51" s="31" t="s">
        <v>203</v>
      </c>
      <c r="F51" s="47">
        <v>150</v>
      </c>
      <c r="G51" s="47">
        <v>400</v>
      </c>
      <c r="H51" s="47">
        <v>55685</v>
      </c>
      <c r="I51" s="47">
        <v>56629</v>
      </c>
      <c r="J51" s="31" t="s">
        <v>204</v>
      </c>
      <c r="K51" s="47">
        <v>57008</v>
      </c>
      <c r="L51" s="154" t="s">
        <v>50</v>
      </c>
      <c r="M51" s="155">
        <f t="shared" si="8"/>
        <v>200.11199999999999</v>
      </c>
      <c r="N51" s="156" t="str">
        <f>VLOOKUP(C51,'Trips&amp;Operators'!$C$1:$E$99999,3,FALSE)</f>
        <v>PERKINS</v>
      </c>
      <c r="O51" s="183" t="s">
        <v>202</v>
      </c>
      <c r="P51" s="157"/>
      <c r="Q51" s="31"/>
      <c r="R51" s="100" t="str">
        <f>VLOOKUP(C51,'Train Runs'!$A$13:$AE$9988,31,0)</f>
        <v>aws s3 cp s3://rtdc.mdm.uploadarchive.raw/RTDC4003/ "%USERPROFILE%\AppData\Local\Temp\OnboardLogs"\RTDC4003\2016-11-25 --exclude "*" --recursive --include "*20161125*" &amp; "%USERPROFILE%\Documents\GitHub\mrs-test-scripts\Headless Mode &amp; Sideloading\WalkAndUnGZ.bat" "%USERPROFILE%\AppData\Local\Temp\OnboardLogs"\RTDC4003\2016-11-25 &amp; aws s3 cp s3://rtdc.mdm.uploadarchive.raw/RTDC4003/ "%USERPROFILE%\AppData\Local\Temp\OnboardLogs"\RTDC4003\2016-11-26 --exclude "*" --recursive --include "*20161126*" &amp; "%USERPROFILE%\Documents\GitHub\mrs-test-scripts\Headless Mode &amp; Sideloading\WalkAndUnGZ.bat" "%USERPROFILE%\AppData\Local\Temp\OnboardLogs"\RTDC4003\2016-11-26</v>
      </c>
      <c r="S51" s="103" t="str">
        <f>VLOOKUP(C51,'Train Runs'!$A$13:$AE$9988,22,0)</f>
        <v>https://search-rtdc-monitor-bjffxe2xuh6vdkpspy63sjmuny.us-east-1.es.amazonaws.com/_plugin/kibana/#/discover/Steve-Slow-Train-Analysis-(2080s-and-2083s)?_g=(refreshInterval:(display:Off,section:0,value:0),time:(from:'2016-11-25 14:11:05-700',mode:absolute,to:'2016-11-25 16:36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T51" s="105" t="str">
        <f t="shared" si="9"/>
        <v>"C:\Program Files (x86)\AstroGrep\AstroGrep.exe" /spath="%USERPROFILE%\AppData\Local\Temp\OnboardLogs" /stypes="*4003*201611252*" /stext=" 22:.+((SYSTEM_STATE.+slice.+state.+changed )|(ment ac)|(system.+state.+changed )|(\[timeout)|(PRM\|1\|D)|(kpr)|(kdp)|(\|lc)|(penalty))" /e /r /s</v>
      </c>
      <c r="U51" s="9" t="str">
        <f t="shared" si="10"/>
        <v>4003</v>
      </c>
      <c r="V51" s="36">
        <f t="shared" si="11"/>
        <v>42699.939837962964</v>
      </c>
      <c r="W51" s="50" t="str">
        <f t="shared" si="12"/>
        <v>NW</v>
      </c>
      <c r="X51" s="50" t="str">
        <f t="shared" si="13"/>
        <v>KEEP</v>
      </c>
      <c r="Y51" s="119" t="str">
        <f t="shared" si="14"/>
        <v>echo {"issue":{"subject":"","project_id":79,"tracker_id":40,"status_id":1,"priority_id":2,"assigned_to_id":23,"start_date":"2016-11-25","description":"","custom_fields":[{"id":1,"name":"Subdivision","value":"NW"},{"id":4,"name":"Milepost","value":"5.7008"},{"id":17,"name":"Train ID","value":"825-25"},{"id":16,"name":"Locomotive ID","value":"4003"},{"id":130,"name":"Impact","value":""},{"id":150,"name":"Time of Event (Mountain Time)","value":"15:33:22"},{"id":151,"name":"Denver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1" s="53"/>
      <c r="AA51" s="53"/>
      <c r="AB51" s="53"/>
      <c r="AC51" s="138" t="str">
        <f t="shared" si="15"/>
        <v>grep -hSE -A100 "Enforcement Action" "%USERPROFILE%\AppData\Local\Temp\OnboardLogs"\RTDC4003\*4003*201611252* | grep -SE "((Enforcement Ac)|(PRM))" -</v>
      </c>
      <c r="AD51" s="1" t="str">
        <f>"grep -hSE ""Enforcement Action"" "&amp;search_path&amp;"\RTDC"&amp;U51&amp;"\*"&amp;U51&amp;"*"&amp;TEXT(A51-utc_offset/24,"YYYYMMDD")&amp;LEFT(TEXT(A51-utc_offset/24,"HH"),1)&amp;"* &gt;&gt; "&amp;Variables!$A$2&amp;"-slicedisagreementcheck.txt"</f>
        <v>grep -hSE "Enforcement Action" "%USERPROFILE%\AppData\Local\Temp\OnboardLogs"\RTDC4003\*4003*201611252* &gt;&gt; 42699-slicedisagreementcheck.txt</v>
      </c>
    </row>
    <row r="52" spans="1:30" x14ac:dyDescent="0.25">
      <c r="A52" s="36">
        <v>42699.298518518517</v>
      </c>
      <c r="B52" s="31" t="s">
        <v>231</v>
      </c>
      <c r="C52" s="31" t="s">
        <v>413</v>
      </c>
      <c r="D52" s="31" t="s">
        <v>49</v>
      </c>
      <c r="E52" s="31" t="s">
        <v>205</v>
      </c>
      <c r="F52" s="47">
        <v>0</v>
      </c>
      <c r="G52" s="47">
        <v>88</v>
      </c>
      <c r="H52" s="47">
        <v>57747</v>
      </c>
      <c r="I52" s="47">
        <v>57553</v>
      </c>
      <c r="J52" s="31" t="s">
        <v>206</v>
      </c>
      <c r="K52" s="47">
        <v>6799</v>
      </c>
      <c r="L52" s="154" t="s">
        <v>51</v>
      </c>
      <c r="M52" s="155">
        <f t="shared" si="8"/>
        <v>26798.112000000001</v>
      </c>
      <c r="N52" s="156" t="str">
        <f>VLOOKUP(C52,'Trips&amp;Operators'!$C$1:$E$99999,3,FALSE)</f>
        <v>STRICKLAND</v>
      </c>
      <c r="O52" s="183" t="s">
        <v>202</v>
      </c>
      <c r="P52" s="157" t="s">
        <v>791</v>
      </c>
      <c r="Q52" s="31"/>
      <c r="R52" s="100" t="str">
        <f>VLOOKUP(C52,'Train Runs'!$A$13:$AE$9988,31,0)</f>
        <v>aws s3 cp s3://rtdc.mdm.uploadarchive.raw/RTDC4021/ "%USERPROFILE%\AppData\Local\Temp\OnboardLogs"\RTDC4021\2016-11-25 --exclude "*" --recursive --include "*20161125*" &amp; "%USERPROFILE%\Documents\GitHub\mrs-test-scripts\Headless Mode &amp; Sideloading\WalkAndUnGZ.bat" "%USERPROFILE%\AppData\Local\Temp\OnboardLogs"\RTDC4021\2016-11-25 &amp; aws s3 cp s3://rtdc.mdm.uploadarchive.raw/RTDC4021/ "%USERPROFILE%\AppData\Local\Temp\OnboardLogs"\RTDC4021\2016-11-26 --exclude "*" --recursive --include "*20161126*" &amp; "%USERPROFILE%\Documents\GitHub\mrs-test-scripts\Headless Mode &amp; Sideloading\WalkAndUnGZ.bat" "%USERPROFILE%\AppData\Local\Temp\OnboardLogs"\RTDC4021\2016-11-26</v>
      </c>
      <c r="S52" s="103" t="str">
        <f>VLOOKUP(C52,'Train Runs'!$A$13:$AE$9988,22,0)</f>
        <v>https://search-rtdc-monitor-bjffxe2xuh6vdkpspy63sjmuny.us-east-1.es.amazonaws.com/_plugin/kibana/#/discover/Steve-Slow-Train-Analysis-(2080s-and-2083s)?_g=(refreshInterval:(display:Off,section:0,value:0),time:(from:'2016-11-25 06:07:07-700',mode:absolute,to:'2016-11-25 08:26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T52" s="105" t="str">
        <f t="shared" si="9"/>
        <v>"C:\Program Files (x86)\AstroGrep\AstroGrep.exe" /spath="%USERPROFILE%\AppData\Local\Temp\OnboardLogs" /stypes="*4021*201611251*" /stext=" 14:.+((SYSTEM_STATE.+slice.+state.+changed )|(ment ac)|(system.+state.+changed )|(\[timeout)|(PRM\|1\|D)|(kpr)|(kdp)|(\|lc)|(penalty))" /e /r /s</v>
      </c>
      <c r="U52" s="9" t="str">
        <f t="shared" si="10"/>
        <v>4021</v>
      </c>
      <c r="V52" s="36">
        <f t="shared" si="11"/>
        <v>42699.590185185181</v>
      </c>
      <c r="W52" s="50" t="str">
        <f t="shared" si="12"/>
        <v>NW</v>
      </c>
      <c r="X52" s="50" t="str">
        <f t="shared" si="13"/>
        <v>KEEP</v>
      </c>
      <c r="Y52" s="119" t="str">
        <f t="shared" si="14"/>
        <v>echo {"issue":{"subject":"RESTRICTED aspect","project_id":79,"tracker_id":40,"status_id":1,"priority_id":2,"assigned_to_id":23,"start_date":"2016-11-25","description":"","custom_fields":[{"id":1,"name":"Subdivision","value":"NW"},{"id":4,"name":"Milepost","value":"0.6799"},{"id":17,"name":"Train ID","value":"806-25"},{"id":16,"name":"Locomotive ID","value":"4021"},{"id":130,"name":"Impact","value":""},{"id":150,"name":"Time of Event (Mountain Time)","value":"07:09:52"},{"id":151,"name":"Denver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2" s="53"/>
      <c r="AA52" s="53"/>
      <c r="AB52" s="53"/>
      <c r="AC52" s="138" t="str">
        <f t="shared" si="15"/>
        <v>grep -hSE -A100 "Enforcement Action" "%USERPROFILE%\AppData\Local\Temp\OnboardLogs"\RTDC4021\*4021*201611251* | grep -SE "((Enforcement Ac)|(PRM))" -</v>
      </c>
      <c r="AD52" s="1" t="str">
        <f>"grep -hSE ""Enforcement Action"" "&amp;search_path&amp;"\RTDC"&amp;U52&amp;"\*"&amp;U52&amp;"*"&amp;TEXT(A52-utc_offset/24,"YYYYMMDD")&amp;LEFT(TEXT(A52-utc_offset/24,"HH"),1)&amp;"* &gt;&gt; "&amp;Variables!$A$2&amp;"-slicedisagreementcheck.txt"</f>
        <v>grep -hSE "Enforcement Action" "%USERPROFILE%\AppData\Local\Temp\OnboardLogs"\RTDC4021\*4021*201611251* &gt;&gt; 42699-slicedisagreementcheck.txt</v>
      </c>
    </row>
    <row r="53" spans="1:30" x14ac:dyDescent="0.25">
      <c r="A53" s="36">
        <v>42699.577789351853</v>
      </c>
      <c r="B53" s="31" t="s">
        <v>313</v>
      </c>
      <c r="C53" s="31" t="s">
        <v>434</v>
      </c>
      <c r="D53" s="31" t="s">
        <v>49</v>
      </c>
      <c r="E53" s="31" t="s">
        <v>205</v>
      </c>
      <c r="F53" s="47">
        <v>0</v>
      </c>
      <c r="G53" s="47">
        <v>165</v>
      </c>
      <c r="H53" s="47">
        <v>16655</v>
      </c>
      <c r="I53" s="47">
        <v>16321</v>
      </c>
      <c r="J53" s="31" t="s">
        <v>206</v>
      </c>
      <c r="K53" s="47">
        <v>16590</v>
      </c>
      <c r="L53" s="154" t="s">
        <v>51</v>
      </c>
      <c r="M53" s="155">
        <f t="shared" si="8"/>
        <v>-142.03200000000001</v>
      </c>
      <c r="N53" s="156" t="str">
        <f>VLOOKUP(C53,'Trips&amp;Operators'!$C$1:$E$99999,3,FALSE)</f>
        <v>PERKINS</v>
      </c>
      <c r="O53" s="183" t="s">
        <v>255</v>
      </c>
      <c r="P53" s="157" t="s">
        <v>790</v>
      </c>
      <c r="Q53" s="31"/>
      <c r="R53" s="100" t="str">
        <f>VLOOKUP(C53,'Train Runs'!$A$13:$AE$9988,31,0)</f>
        <v>aws s3 cp s3://rtdc.mdm.uploadarchive.raw/RTDC4004/ "%USERPROFILE%\AppData\Local\Temp\OnboardLogs"\RTDC4004\2016-11-25 --exclude "*" --recursive --include "*20161125*" &amp; "%USERPROFILE%\Documents\GitHub\mrs-test-scripts\Headless Mode &amp; Sideloading\WalkAndUnGZ.bat" "%USERPROFILE%\AppData\Local\Temp\OnboardLogs"\RTDC4004\2016-11-25 &amp; aws s3 cp s3://rtdc.mdm.uploadarchive.raw/RTDC4004/ "%USERPROFILE%\AppData\Local\Temp\OnboardLogs"\RTDC4004\2016-11-26 --exclude "*" --recursive --include "*20161126*" &amp; "%USERPROFILE%\Documents\GitHub\mrs-test-scripts\Headless Mode &amp; Sideloading\WalkAndUnGZ.bat" "%USERPROFILE%\AppData\Local\Temp\OnboardLogs"\RTDC4004\2016-11-26</v>
      </c>
      <c r="S53" s="103" t="str">
        <f>VLOOKUP(C53,'Train Runs'!$A$13:$AE$9988,22,0)</f>
        <v>https://search-rtdc-monitor-bjffxe2xuh6vdkpspy63sjmuny.us-east-1.es.amazonaws.com/_plugin/kibana/#/discover/Steve-Slow-Train-Analysis-(2080s-and-2083s)?_g=(refreshInterval:(display:Off,section:0,value:0),time:(from:'2016-11-25 12:53:55-700',mode:absolute,to:'2016-11-25 14:59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53" s="105" t="str">
        <f t="shared" si="9"/>
        <v>"C:\Program Files (x86)\AstroGrep\AstroGrep.exe" /spath="%USERPROFILE%\AppData\Local\Temp\OnboardLogs" /stypes="*4004*201611252*" /stext=" 20:.+((SYSTEM_STATE.+slice.+state.+changed )|(ment ac)|(system.+state.+changed )|(\[timeout)|(PRM\|1\|D)|(kpr)|(kdp)|(\|lc)|(penalty))" /e /r /s</v>
      </c>
      <c r="U53" s="9" t="str">
        <f t="shared" si="10"/>
        <v>4004</v>
      </c>
      <c r="V53" s="36">
        <f t="shared" si="11"/>
        <v>42699.869456018518</v>
      </c>
      <c r="W53" s="50" t="str">
        <f t="shared" si="12"/>
        <v>NW</v>
      </c>
      <c r="X53" s="50" t="str">
        <f t="shared" si="13"/>
        <v>KEEP</v>
      </c>
      <c r="Y53" s="119" t="str">
        <f t="shared" si="14"/>
        <v>echo {"issue":{"subject":"Wi-MAX data drop","project_id":79,"tracker_id":40,"status_id":1,"priority_id":2,"assigned_to_id":23,"start_date":"2016-11-25","description":"","custom_fields":[{"id":1,"name":"Subdivision","value":"NW"},{"id":4,"name":"Milepost","value":"1.659"},{"id":17,"name":"Train ID","value":"822-25"},{"id":16,"name":"Locomotive ID","value":"4004"},{"id":130,"name":"Impact","value":""},{"id":150,"name":"Time of Event (Mountain Time)","value":"13:52:01"},{"id":151,"name":"Denver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3" s="53"/>
      <c r="AA53" s="53"/>
      <c r="AB53" s="53"/>
      <c r="AC53" s="138" t="str">
        <f t="shared" si="15"/>
        <v>grep -hSE -A100 "Enforcement Action" "%USERPROFILE%\AppData\Local\Temp\OnboardLogs"\RTDC4004\*4004*201611252* | grep -SE "((Enforcement Ac)|(PRM))" -</v>
      </c>
      <c r="AD53" s="1" t="str">
        <f>"grep -hSE ""Enforcement Action"" "&amp;search_path&amp;"\RTDC"&amp;U53&amp;"\*"&amp;U53&amp;"*"&amp;TEXT(A53-utc_offset/24,"YYYYMMDD")&amp;LEFT(TEXT(A53-utc_offset/24,"HH"),1)&amp;"* &gt;&gt; "&amp;Variables!$A$2&amp;"-slicedisagreementcheck.txt"</f>
        <v>grep -hSE "Enforcement Action" "%USERPROFILE%\AppData\Local\Temp\OnboardLogs"\RTDC4004\*4004*201611252* &gt;&gt; 42699-slicedisagreementcheck.txt</v>
      </c>
    </row>
    <row r="54" spans="1:30" x14ac:dyDescent="0.25">
      <c r="A54" s="36">
        <v>42699.659733796296</v>
      </c>
      <c r="B54" s="31" t="s">
        <v>313</v>
      </c>
      <c r="C54" s="31" t="s">
        <v>441</v>
      </c>
      <c r="D54" s="31" t="s">
        <v>49</v>
      </c>
      <c r="E54" s="31" t="s">
        <v>205</v>
      </c>
      <c r="F54" s="47">
        <v>0</v>
      </c>
      <c r="G54" s="47">
        <v>385</v>
      </c>
      <c r="H54" s="47">
        <v>18843</v>
      </c>
      <c r="I54" s="47">
        <v>17459</v>
      </c>
      <c r="J54" s="31" t="s">
        <v>206</v>
      </c>
      <c r="K54" s="47">
        <v>16590</v>
      </c>
      <c r="L54" s="154" t="s">
        <v>51</v>
      </c>
      <c r="M54" s="155">
        <f t="shared" si="8"/>
        <v>458.83199999999999</v>
      </c>
      <c r="N54" s="156" t="str">
        <f>VLOOKUP(C54,'Trips&amp;Operators'!$C$1:$E$99999,3,FALSE)</f>
        <v>PERKINS</v>
      </c>
      <c r="O54" s="183" t="s">
        <v>255</v>
      </c>
      <c r="P54" s="157" t="s">
        <v>790</v>
      </c>
      <c r="Q54" s="31"/>
      <c r="R54" s="100" t="str">
        <f>VLOOKUP(C54,'Train Runs'!$A$13:$AE$9988,31,0)</f>
        <v>aws s3 cp s3://rtdc.mdm.uploadarchive.raw/RTDC4004/ "%USERPROFILE%\AppData\Local\Temp\OnboardLogs"\RTDC4004\2016-11-25 --exclude "*" --recursive --include "*20161125*" &amp; "%USERPROFILE%\Documents\GitHub\mrs-test-scripts\Headless Mode &amp; Sideloading\WalkAndUnGZ.bat" "%USERPROFILE%\AppData\Local\Temp\OnboardLogs"\RTDC4004\2016-11-25 &amp; aws s3 cp s3://rtdc.mdm.uploadarchive.raw/RTDC4004/ "%USERPROFILE%\AppData\Local\Temp\OnboardLogs"\RTDC4004\2016-11-26 --exclude "*" --recursive --include "*20161126*" &amp; "%USERPROFILE%\Documents\GitHub\mrs-test-scripts\Headless Mode &amp; Sideloading\WalkAndUnGZ.bat" "%USERPROFILE%\AppData\Local\Temp\OnboardLogs"\RTDC4004\2016-11-26</v>
      </c>
      <c r="S54" s="103" t="str">
        <f>VLOOKUP(C54,'Train Runs'!$A$13:$AE$9988,22,0)</f>
        <v>https://search-rtdc-monitor-bjffxe2xuh6vdkpspy63sjmuny.us-east-1.es.amazonaws.com/_plugin/kibana/#/discover/Steve-Slow-Train-Analysis-(2080s-and-2083s)?_g=(refreshInterval:(display:Off,section:0,value:0),time:(from:'2016-11-25 14:51:36-700',mode:absolute,to:'2016-11-25 16:57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54" s="105" t="str">
        <f t="shared" si="9"/>
        <v>"C:\Program Files (x86)\AstroGrep\AstroGrep.exe" /spath="%USERPROFILE%\AppData\Local\Temp\OnboardLogs" /stypes="*4004*201611252*" /stext=" 22:.+((SYSTEM_STATE.+slice.+state.+changed )|(ment ac)|(system.+state.+changed )|(\[timeout)|(PRM\|1\|D)|(kpr)|(kdp)|(\|lc)|(penalty))" /e /r /s</v>
      </c>
      <c r="U54" s="9" t="str">
        <f t="shared" si="10"/>
        <v>4004</v>
      </c>
      <c r="V54" s="36">
        <f t="shared" si="11"/>
        <v>42699.95140046296</v>
      </c>
      <c r="W54" s="50" t="str">
        <f t="shared" si="12"/>
        <v>NW</v>
      </c>
      <c r="X54" s="50" t="str">
        <f t="shared" si="13"/>
        <v>KEEP</v>
      </c>
      <c r="Y54" s="119" t="str">
        <f t="shared" si="14"/>
        <v>echo {"issue":{"subject":"Wi-MAX data drop","project_id":79,"tracker_id":40,"status_id":1,"priority_id":2,"assigned_to_id":23,"start_date":"2016-11-25","description":"","custom_fields":[{"id":1,"name":"Subdivision","value":"NW"},{"id":4,"name":"Milepost","value":"1.659"},{"id":17,"name":"Train ID","value":"826-25"},{"id":16,"name":"Locomotive ID","value":"4004"},{"id":130,"name":"Impact","value":""},{"id":150,"name":"Time of Event (Mountain Time)","value":"15:50:01"},{"id":151,"name":"Denver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4" s="53"/>
      <c r="AA54" s="53"/>
      <c r="AB54" s="53"/>
      <c r="AC54" s="138" t="str">
        <f t="shared" si="15"/>
        <v>grep -hSE -A100 "Enforcement Action" "%USERPROFILE%\AppData\Local\Temp\OnboardLogs"\RTDC4004\*4004*201611252* | grep -SE "((Enforcement Ac)|(PRM))" -</v>
      </c>
      <c r="AD54" s="1" t="str">
        <f>"grep -hSE ""Enforcement Action"" "&amp;search_path&amp;"\RTDC"&amp;U54&amp;"\*"&amp;U54&amp;"*"&amp;TEXT(A54-utc_offset/24,"YYYYMMDD")&amp;LEFT(TEXT(A54-utc_offset/24,"HH"),1)&amp;"* &gt;&gt; "&amp;Variables!$A$2&amp;"-slicedisagreementcheck.txt"</f>
        <v>grep -hSE "Enforcement Action" "%USERPROFILE%\AppData\Local\Temp\OnboardLogs"\RTDC4004\*4004*201611252* &gt;&gt; 42699-slicedisagreementcheck.txt</v>
      </c>
    </row>
    <row r="55" spans="1:30" x14ac:dyDescent="0.25">
      <c r="A55" s="36">
        <v>42699.701435185183</v>
      </c>
      <c r="B55" s="31" t="s">
        <v>313</v>
      </c>
      <c r="C55" s="31" t="s">
        <v>447</v>
      </c>
      <c r="D55" s="31" t="s">
        <v>49</v>
      </c>
      <c r="E55" s="31" t="s">
        <v>205</v>
      </c>
      <c r="F55" s="47">
        <v>0</v>
      </c>
      <c r="G55" s="47">
        <v>356</v>
      </c>
      <c r="H55" s="47">
        <v>18492</v>
      </c>
      <c r="I55" s="47">
        <v>17398</v>
      </c>
      <c r="J55" s="31" t="s">
        <v>206</v>
      </c>
      <c r="K55" s="47">
        <v>16590</v>
      </c>
      <c r="L55" s="154" t="s">
        <v>51</v>
      </c>
      <c r="M55" s="155">
        <f t="shared" si="8"/>
        <v>426.62400000000002</v>
      </c>
      <c r="N55" s="156" t="str">
        <f>VLOOKUP(C55,'Trips&amp;Operators'!$C$1:$E$99999,3,FALSE)</f>
        <v>PERKINS</v>
      </c>
      <c r="O55" s="183" t="s">
        <v>255</v>
      </c>
      <c r="P55" s="157" t="s">
        <v>790</v>
      </c>
      <c r="Q55" s="31"/>
      <c r="R55" s="100" t="str">
        <f>VLOOKUP(C55,'Train Runs'!$A$13:$AE$9988,31,0)</f>
        <v>aws s3 cp s3://rtdc.mdm.uploadarchive.raw/RTDC4004/ "%USERPROFILE%\AppData\Local\Temp\OnboardLogs"\RTDC4004\2016-11-25 --exclude "*" --recursive --include "*20161125*" &amp; "%USERPROFILE%\Documents\GitHub\mrs-test-scripts\Headless Mode &amp; Sideloading\WalkAndUnGZ.bat" "%USERPROFILE%\AppData\Local\Temp\OnboardLogs"\RTDC4004\2016-11-25 &amp; aws s3 cp s3://rtdc.mdm.uploadarchive.raw/RTDC4004/ "%USERPROFILE%\AppData\Local\Temp\OnboardLogs"\RTDC4004\2016-11-26 --exclude "*" --recursive --include "*20161126*" &amp; "%USERPROFILE%\Documents\GitHub\mrs-test-scripts\Headless Mode &amp; Sideloading\WalkAndUnGZ.bat" "%USERPROFILE%\AppData\Local\Temp\OnboardLogs"\RTDC4004\2016-11-26</v>
      </c>
      <c r="S55" s="103" t="str">
        <f>VLOOKUP(C55,'Train Runs'!$A$13:$AE$9988,22,0)</f>
        <v>https://search-rtdc-monitor-bjffxe2xuh6vdkpspy63sjmuny.us-east-1.es.amazonaws.com/_plugin/kibana/#/discover/Steve-Slow-Train-Analysis-(2080s-and-2083s)?_g=(refreshInterval:(display:Off,section:0,value:0),time:(from:'2016-11-25 15:52:00-700',mode:absolute,to:'2016-11-25 17:58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55" s="105" t="str">
        <f t="shared" si="9"/>
        <v>"C:\Program Files (x86)\AstroGrep\AstroGrep.exe" /spath="%USERPROFILE%\AppData\Local\Temp\OnboardLogs" /stypes="*4004*201611252*" /stext=" 23:.+((SYSTEM_STATE.+slice.+state.+changed )|(ment ac)|(system.+state.+changed )|(\[timeout)|(PRM\|1\|D)|(kpr)|(kdp)|(\|lc)|(penalty))" /e /r /s</v>
      </c>
      <c r="U55" s="9" t="str">
        <f t="shared" si="10"/>
        <v>4004</v>
      </c>
      <c r="V55" s="36">
        <f t="shared" si="11"/>
        <v>42699.993101851847</v>
      </c>
      <c r="W55" s="50" t="str">
        <f t="shared" si="12"/>
        <v>NW</v>
      </c>
      <c r="X55" s="50" t="str">
        <f t="shared" si="13"/>
        <v>KEEP</v>
      </c>
      <c r="Y55" s="119" t="str">
        <f t="shared" si="14"/>
        <v>echo {"issue":{"subject":"Wi-MAX data drop","project_id":79,"tracker_id":40,"status_id":1,"priority_id":2,"assigned_to_id":23,"start_date":"2016-11-25","description":"","custom_fields":[{"id":1,"name":"Subdivision","value":"NW"},{"id":4,"name":"Milepost","value":"1.659"},{"id":17,"name":"Train ID","value":"830-25"},{"id":16,"name":"Locomotive ID","value":"4004"},{"id":130,"name":"Impact","value":""},{"id":150,"name":"Time of Event (Mountain Time)","value":"16:50:04"},{"id":151,"name":"Denver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5" s="53"/>
      <c r="AA55" s="53"/>
      <c r="AB55" s="53"/>
      <c r="AC55" s="138" t="str">
        <f t="shared" si="15"/>
        <v>grep -hSE -A100 "Enforcement Action" "%USERPROFILE%\AppData\Local\Temp\OnboardLogs"\RTDC4004\*4004*201611252* | grep -SE "((Enforcement Ac)|(PRM))" -</v>
      </c>
      <c r="AD55" s="1" t="str">
        <f>"grep -hSE ""Enforcement Action"" "&amp;search_path&amp;"\RTDC"&amp;U55&amp;"\*"&amp;U55&amp;"*"&amp;TEXT(A55-utc_offset/24,"YYYYMMDD")&amp;LEFT(TEXT(A55-utc_offset/24,"HH"),1)&amp;"* &gt;&gt; "&amp;Variables!$A$2&amp;"-slicedisagreementcheck.txt"</f>
        <v>grep -hSE "Enforcement Action" "%USERPROFILE%\AppData\Local\Temp\OnboardLogs"\RTDC4004\*4004*201611252* &gt;&gt; 42699-slicedisagreementcheck.txt</v>
      </c>
    </row>
    <row r="56" spans="1:30" x14ac:dyDescent="0.25">
      <c r="A56" s="36">
        <v>42699.742662037039</v>
      </c>
      <c r="B56" s="31" t="s">
        <v>313</v>
      </c>
      <c r="C56" s="31" t="s">
        <v>452</v>
      </c>
      <c r="D56" s="31" t="s">
        <v>49</v>
      </c>
      <c r="E56" s="31" t="s">
        <v>205</v>
      </c>
      <c r="F56" s="47">
        <v>0</v>
      </c>
      <c r="G56" s="47">
        <v>425</v>
      </c>
      <c r="H56" s="47">
        <v>17209</v>
      </c>
      <c r="I56" s="47">
        <v>15980</v>
      </c>
      <c r="J56" s="31" t="s">
        <v>206</v>
      </c>
      <c r="K56" s="47">
        <v>16590</v>
      </c>
      <c r="L56" s="154" t="s">
        <v>51</v>
      </c>
      <c r="M56" s="155">
        <f t="shared" si="8"/>
        <v>-322.08</v>
      </c>
      <c r="N56" s="156" t="str">
        <f>VLOOKUP(C56,'Trips&amp;Operators'!$C$1:$E$99999,3,FALSE)</f>
        <v>PERKINS</v>
      </c>
      <c r="O56" s="183" t="s">
        <v>255</v>
      </c>
      <c r="P56" s="157" t="s">
        <v>790</v>
      </c>
      <c r="Q56" s="31"/>
      <c r="R56" s="100" t="str">
        <f>VLOOKUP(C56,'Train Runs'!$A$13:$AE$9988,31,0)</f>
        <v>aws s3 cp s3://rtdc.mdm.uploadarchive.raw/RTDC4004/ "%USERPROFILE%\AppData\Local\Temp\OnboardLogs"\RTDC4004\2016-11-25 --exclude "*" --recursive --include "*20161125*" &amp; "%USERPROFILE%\Documents\GitHub\mrs-test-scripts\Headless Mode &amp; Sideloading\WalkAndUnGZ.bat" "%USERPROFILE%\AppData\Local\Temp\OnboardLogs"\RTDC4004\2016-11-25 &amp; aws s3 cp s3://rtdc.mdm.uploadarchive.raw/RTDC4004/ "%USERPROFILE%\AppData\Local\Temp\OnboardLogs"\RTDC4004\2016-11-26 --exclude "*" --recursive --include "*20161126*" &amp; "%USERPROFILE%\Documents\GitHub\mrs-test-scripts\Headless Mode &amp; Sideloading\WalkAndUnGZ.bat" "%USERPROFILE%\AppData\Local\Temp\OnboardLogs"\RTDC4004\2016-11-26</v>
      </c>
      <c r="S56" s="103" t="str">
        <f>VLOOKUP(C56,'Train Runs'!$A$13:$AE$9988,22,0)</f>
        <v>https://search-rtdc-monitor-bjffxe2xuh6vdkpspy63sjmuny.us-east-1.es.amazonaws.com/_plugin/kibana/#/discover/Steve-Slow-Train-Analysis-(2080s-and-2083s)?_g=(refreshInterval:(display:Off,section:0,value:0),time:(from:'2016-11-25 16:51:50-700',mode:absolute,to:'2016-11-25 18:56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56" s="105" t="str">
        <f t="shared" si="9"/>
        <v>"C:\Program Files (x86)\AstroGrep\AstroGrep.exe" /spath="%USERPROFILE%\AppData\Local\Temp\OnboardLogs" /stypes="*4004*201611260*" /stext=" 00:.+((SYSTEM_STATE.+slice.+state.+changed )|(ment ac)|(system.+state.+changed )|(\[timeout)|(PRM\|1\|D)|(kpr)|(kdp)|(\|lc)|(penalty))" /e /r /s</v>
      </c>
      <c r="U56" s="9" t="str">
        <f t="shared" si="10"/>
        <v>4004</v>
      </c>
      <c r="V56" s="36">
        <f t="shared" si="11"/>
        <v>42700.034328703703</v>
      </c>
      <c r="W56" s="50" t="str">
        <f t="shared" si="12"/>
        <v>NW</v>
      </c>
      <c r="X56" s="50" t="str">
        <f t="shared" si="13"/>
        <v>KEEP</v>
      </c>
      <c r="Y56" s="119" t="str">
        <f t="shared" si="14"/>
        <v>echo {"issue":{"subject":"Wi-MAX data drop","project_id":79,"tracker_id":40,"status_id":1,"priority_id":2,"assigned_to_id":23,"start_date":"2016-11-25","description":"","custom_fields":[{"id":1,"name":"Subdivision","value":"NW"},{"id":4,"name":"Milepost","value":"1.659"},{"id":17,"name":"Train ID","value":"834-25"},{"id":16,"name":"Locomotive ID","value":"4004"},{"id":130,"name":"Impact","value":""},{"id":150,"name":"Time of Event (Mountain Time)","value":"17:49:26"},{"id":151,"name":"Denver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6" s="53"/>
      <c r="AA56" s="53"/>
      <c r="AB56" s="53"/>
      <c r="AC56" s="138" t="str">
        <f t="shared" si="15"/>
        <v>grep -hSE -A100 "Enforcement Action" "%USERPROFILE%\AppData\Local\Temp\OnboardLogs"\RTDC4004\*4004*201611260* | grep -SE "((Enforcement Ac)|(PRM))" -</v>
      </c>
      <c r="AD56" s="1" t="str">
        <f>"grep -hSE ""Enforcement Action"" "&amp;search_path&amp;"\RTDC"&amp;U56&amp;"\*"&amp;U56&amp;"*"&amp;TEXT(A56-utc_offset/24,"YYYYMMDD")&amp;LEFT(TEXT(A56-utc_offset/24,"HH"),1)&amp;"* &gt;&gt; "&amp;Variables!$A$2&amp;"-slicedisagreementcheck.txt"</f>
        <v>grep -hSE "Enforcement Action" "%USERPROFILE%\AppData\Local\Temp\OnboardLogs"\RTDC4004\*4004*201611260* &gt;&gt; 42699-slicedisagreementcheck.txt</v>
      </c>
    </row>
    <row r="57" spans="1:30" x14ac:dyDescent="0.25">
      <c r="A57" s="36">
        <v>42699.576388888891</v>
      </c>
      <c r="B57" s="31" t="s">
        <v>313</v>
      </c>
      <c r="C57" s="31" t="s">
        <v>434</v>
      </c>
      <c r="D57" s="31" t="s">
        <v>49</v>
      </c>
      <c r="E57" s="31" t="s">
        <v>205</v>
      </c>
      <c r="F57" s="47">
        <v>0</v>
      </c>
      <c r="G57" s="47">
        <v>183</v>
      </c>
      <c r="H57" s="47">
        <v>19667</v>
      </c>
      <c r="I57" s="47">
        <v>19271</v>
      </c>
      <c r="J57" s="31" t="s">
        <v>206</v>
      </c>
      <c r="K57" s="47">
        <v>19000</v>
      </c>
      <c r="L57" s="154" t="s">
        <v>51</v>
      </c>
      <c r="M57" s="155">
        <f t="shared" si="8"/>
        <v>143.08799999999999</v>
      </c>
      <c r="N57" s="156" t="str">
        <f>VLOOKUP(C57,'Trips&amp;Operators'!$C$1:$E$99999,3,FALSE)</f>
        <v>PERKINS</v>
      </c>
      <c r="O57" s="183" t="s">
        <v>255</v>
      </c>
      <c r="P57" s="157" t="s">
        <v>790</v>
      </c>
      <c r="Q57" s="31"/>
      <c r="R57" s="100" t="str">
        <f>VLOOKUP(C57,'Train Runs'!$A$13:$AE$9988,31,0)</f>
        <v>aws s3 cp s3://rtdc.mdm.uploadarchive.raw/RTDC4004/ "%USERPROFILE%\AppData\Local\Temp\OnboardLogs"\RTDC4004\2016-11-25 --exclude "*" --recursive --include "*20161125*" &amp; "%USERPROFILE%\Documents\GitHub\mrs-test-scripts\Headless Mode &amp; Sideloading\WalkAndUnGZ.bat" "%USERPROFILE%\AppData\Local\Temp\OnboardLogs"\RTDC4004\2016-11-25 &amp; aws s3 cp s3://rtdc.mdm.uploadarchive.raw/RTDC4004/ "%USERPROFILE%\AppData\Local\Temp\OnboardLogs"\RTDC4004\2016-11-26 --exclude "*" --recursive --include "*20161126*" &amp; "%USERPROFILE%\Documents\GitHub\mrs-test-scripts\Headless Mode &amp; Sideloading\WalkAndUnGZ.bat" "%USERPROFILE%\AppData\Local\Temp\OnboardLogs"\RTDC4004\2016-11-26</v>
      </c>
      <c r="S57" s="103" t="str">
        <f>VLOOKUP(C57,'Train Runs'!$A$13:$AE$9988,22,0)</f>
        <v>https://search-rtdc-monitor-bjffxe2xuh6vdkpspy63sjmuny.us-east-1.es.amazonaws.com/_plugin/kibana/#/discover/Steve-Slow-Train-Analysis-(2080s-and-2083s)?_g=(refreshInterval:(display:Off,section:0,value:0),time:(from:'2016-11-25 12:53:55-700',mode:absolute,to:'2016-11-25 14:59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57" s="105" t="str">
        <f t="shared" si="9"/>
        <v>"C:\Program Files (x86)\AstroGrep\AstroGrep.exe" /spath="%USERPROFILE%\AppData\Local\Temp\OnboardLogs" /stypes="*4004*201611252*" /stext=" 20:.+((SYSTEM_STATE.+slice.+state.+changed )|(ment ac)|(system.+state.+changed )|(\[timeout)|(PRM\|1\|D)|(kpr)|(kdp)|(\|lc)|(penalty))" /e /r /s</v>
      </c>
      <c r="U57" s="9" t="str">
        <f t="shared" si="10"/>
        <v>4004</v>
      </c>
      <c r="V57" s="36">
        <f t="shared" si="11"/>
        <v>42699.868055555555</v>
      </c>
      <c r="W57" s="50" t="str">
        <f t="shared" si="12"/>
        <v>NW</v>
      </c>
      <c r="X57" s="50" t="str">
        <f t="shared" si="13"/>
        <v>KEEP</v>
      </c>
      <c r="Y57" s="119" t="str">
        <f t="shared" si="14"/>
        <v>echo {"issue":{"subject":"Wi-MAX data drop","project_id":79,"tracker_id":40,"status_id":1,"priority_id":2,"assigned_to_id":23,"start_date":"2016-11-25","description":"","custom_fields":[{"id":1,"name":"Subdivision","value":"NW"},{"id":4,"name":"Milepost","value":"1.9"},{"id":17,"name":"Train ID","value":"822-25"},{"id":16,"name":"Locomotive ID","value":"4004"},{"id":130,"name":"Impact","value":""},{"id":150,"name":"Time of Event (Mountain Time)","value":"13:50:00"},{"id":151,"name":"Denver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7" s="53"/>
      <c r="AA57" s="53"/>
      <c r="AB57" s="53"/>
      <c r="AC57" s="138" t="str">
        <f t="shared" si="15"/>
        <v>grep -hSE -A100 "Enforcement Action" "%USERPROFILE%\AppData\Local\Temp\OnboardLogs"\RTDC4004\*4004*201611252* | grep -SE "((Enforcement Ac)|(PRM))" -</v>
      </c>
      <c r="AD57" s="1" t="str">
        <f>"grep -hSE ""Enforcement Action"" "&amp;search_path&amp;"\RTDC"&amp;U57&amp;"\*"&amp;U57&amp;"*"&amp;TEXT(A57-utc_offset/24,"YYYYMMDD")&amp;LEFT(TEXT(A57-utc_offset/24,"HH"),1)&amp;"* &gt;&gt; "&amp;Variables!$A$2&amp;"-slicedisagreementcheck.txt"</f>
        <v>grep -hSE "Enforcement Action" "%USERPROFILE%\AppData\Local\Temp\OnboardLogs"\RTDC4004\*4004*201611252* &gt;&gt; 42699-slicedisagreementcheck.txt</v>
      </c>
    </row>
    <row r="58" spans="1:30" x14ac:dyDescent="0.25">
      <c r="A58" s="36">
        <v>42699.644074074073</v>
      </c>
      <c r="B58" s="31" t="s">
        <v>312</v>
      </c>
      <c r="C58" s="31" t="s">
        <v>438</v>
      </c>
      <c r="D58" s="31" t="s">
        <v>49</v>
      </c>
      <c r="E58" s="31" t="s">
        <v>205</v>
      </c>
      <c r="F58" s="47">
        <v>0</v>
      </c>
      <c r="G58" s="47">
        <v>340</v>
      </c>
      <c r="H58" s="47">
        <v>20583</v>
      </c>
      <c r="I58" s="47">
        <v>21481</v>
      </c>
      <c r="J58" s="31" t="s">
        <v>206</v>
      </c>
      <c r="K58" s="47">
        <v>22206</v>
      </c>
      <c r="L58" s="154" t="s">
        <v>50</v>
      </c>
      <c r="M58" s="155">
        <f t="shared" si="8"/>
        <v>382.8</v>
      </c>
      <c r="N58" s="156" t="str">
        <f>VLOOKUP(C58,'Trips&amp;Operators'!$C$1:$E$99999,3,FALSE)</f>
        <v>PERKINS</v>
      </c>
      <c r="O58" s="183" t="s">
        <v>255</v>
      </c>
      <c r="P58" s="157" t="s">
        <v>790</v>
      </c>
      <c r="Q58" s="31"/>
      <c r="R58" s="100" t="str">
        <f>VLOOKUP(C58,'Train Runs'!$A$13:$AE$9988,31,0)</f>
        <v>aws s3 cp s3://rtdc.mdm.uploadarchive.raw/RTDC4003/ "%USERPROFILE%\AppData\Local\Temp\OnboardLogs"\RTDC4003\2016-11-25 --exclude "*" --recursive --include "*20161125*" &amp; "%USERPROFILE%\Documents\GitHub\mrs-test-scripts\Headless Mode &amp; Sideloading\WalkAndUnGZ.bat" "%USERPROFILE%\AppData\Local\Temp\OnboardLogs"\RTDC4003\2016-11-25 &amp; aws s3 cp s3://rtdc.mdm.uploadarchive.raw/RTDC4003/ "%USERPROFILE%\AppData\Local\Temp\OnboardLogs"\RTDC4003\2016-11-26 --exclude "*" --recursive --include "*20161126*" &amp; "%USERPROFILE%\Documents\GitHub\mrs-test-scripts\Headless Mode &amp; Sideloading\WalkAndUnGZ.bat" "%USERPROFILE%\AppData\Local\Temp\OnboardLogs"\RTDC4003\2016-11-26</v>
      </c>
      <c r="S58" s="103" t="str">
        <f>VLOOKUP(C58,'Train Runs'!$A$13:$AE$9988,22,0)</f>
        <v>https://search-rtdc-monitor-bjffxe2xuh6vdkpspy63sjmuny.us-east-1.es.amazonaws.com/_plugin/kibana/#/discover/Steve-Slow-Train-Analysis-(2080s-and-2083s)?_g=(refreshInterval:(display:Off,section:0,value:0),time:(from:'2016-11-25 14:11:05-700',mode:absolute,to:'2016-11-25 16:36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T58" s="105" t="str">
        <f t="shared" si="9"/>
        <v>"C:\Program Files (x86)\AstroGrep\AstroGrep.exe" /spath="%USERPROFILE%\AppData\Local\Temp\OnboardLogs" /stypes="*4003*201611252*" /stext=" 22:.+((SYSTEM_STATE.+slice.+state.+changed )|(ment ac)|(system.+state.+changed )|(\[timeout)|(PRM\|1\|D)|(kpr)|(kdp)|(\|lc)|(penalty))" /e /r /s</v>
      </c>
      <c r="U58" s="9" t="str">
        <f t="shared" si="10"/>
        <v>4003</v>
      </c>
      <c r="V58" s="36">
        <f t="shared" si="11"/>
        <v>42699.935740740737</v>
      </c>
      <c r="W58" s="50" t="str">
        <f t="shared" si="12"/>
        <v>NW</v>
      </c>
      <c r="X58" s="50" t="str">
        <f t="shared" si="13"/>
        <v>KEEP</v>
      </c>
      <c r="Y58" s="119" t="str">
        <f t="shared" si="14"/>
        <v>echo {"issue":{"subject":"Wi-MAX data drop","project_id":79,"tracker_id":40,"status_id":1,"priority_id":2,"assigned_to_id":23,"start_date":"2016-11-25","description":"","custom_fields":[{"id":1,"name":"Subdivision","value":"NW"},{"id":4,"name":"Milepost","value":"2.2206"},{"id":17,"name":"Train ID","value":"825-25"},{"id":16,"name":"Locomotive ID","value":"4003"},{"id":130,"name":"Impact","value":""},{"id":150,"name":"Time of Event (Mountain Time)","value":"15:27:28"},{"id":151,"name":"Denver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8" s="53"/>
      <c r="AA58" s="53"/>
      <c r="AB58" s="53"/>
      <c r="AC58" s="138" t="str">
        <f t="shared" si="15"/>
        <v>grep -hSE -A100 "Enforcement Action" "%USERPROFILE%\AppData\Local\Temp\OnboardLogs"\RTDC4003\*4003*201611252* | grep -SE "((Enforcement Ac)|(PRM))" -</v>
      </c>
      <c r="AD58" s="1" t="str">
        <f>"grep -hSE ""Enforcement Action"" "&amp;search_path&amp;"\RTDC"&amp;U58&amp;"\*"&amp;U58&amp;"*"&amp;TEXT(A58-utc_offset/24,"YYYYMMDD")&amp;LEFT(TEXT(A58-utc_offset/24,"HH"),1)&amp;"* &gt;&gt; "&amp;Variables!$A$2&amp;"-slicedisagreementcheck.txt"</f>
        <v>grep -hSE "Enforcement Action" "%USERPROFILE%\AppData\Local\Temp\OnboardLogs"\RTDC4003\*4003*201611252* &gt;&gt; 42699-slicedisagreementcheck.txt</v>
      </c>
    </row>
    <row r="59" spans="1:30" x14ac:dyDescent="0.25">
      <c r="A59" s="36">
        <v>42699.685196759259</v>
      </c>
      <c r="B59" s="31" t="s">
        <v>312</v>
      </c>
      <c r="C59" s="31" t="s">
        <v>445</v>
      </c>
      <c r="D59" s="31" t="s">
        <v>49</v>
      </c>
      <c r="E59" s="31" t="s">
        <v>205</v>
      </c>
      <c r="F59" s="47">
        <v>0</v>
      </c>
      <c r="G59" s="47">
        <v>296</v>
      </c>
      <c r="H59" s="47">
        <v>20547</v>
      </c>
      <c r="I59" s="47">
        <v>21392</v>
      </c>
      <c r="J59" s="31" t="s">
        <v>206</v>
      </c>
      <c r="K59" s="47">
        <v>22206</v>
      </c>
      <c r="L59" s="154" t="s">
        <v>50</v>
      </c>
      <c r="M59" s="155">
        <f t="shared" si="8"/>
        <v>429.79199999999997</v>
      </c>
      <c r="N59" s="156" t="str">
        <f>VLOOKUP(C59,'Trips&amp;Operators'!$C$1:$E$99999,3,FALSE)</f>
        <v>PERKINS</v>
      </c>
      <c r="O59" s="183" t="s">
        <v>255</v>
      </c>
      <c r="P59" s="157" t="s">
        <v>790</v>
      </c>
      <c r="Q59" s="31"/>
      <c r="R59" s="100" t="str">
        <f>VLOOKUP(C59,'Train Runs'!$A$13:$AE$9988,31,0)</f>
        <v>aws s3 cp s3://rtdc.mdm.uploadarchive.raw/RTDC4003/ "%USERPROFILE%\AppData\Local\Temp\OnboardLogs"\RTDC4003\2016-11-25 --exclude "*" --recursive --include "*20161125*" &amp; "%USERPROFILE%\Documents\GitHub\mrs-test-scripts\Headless Mode &amp; Sideloading\WalkAndUnGZ.bat" "%USERPROFILE%\AppData\Local\Temp\OnboardLogs"\RTDC4003\2016-11-25 &amp; aws s3 cp s3://rtdc.mdm.uploadarchive.raw/RTDC4003/ "%USERPROFILE%\AppData\Local\Temp\OnboardLogs"\RTDC4003\2016-11-26 --exclude "*" --recursive --include "*20161126*" &amp; "%USERPROFILE%\Documents\GitHub\mrs-test-scripts\Headless Mode &amp; Sideloading\WalkAndUnGZ.bat" "%USERPROFILE%\AppData\Local\Temp\OnboardLogs"\RTDC4003\2016-11-26</v>
      </c>
      <c r="S59" s="103" t="str">
        <f>VLOOKUP(C59,'Train Runs'!$A$13:$AE$9988,22,0)</f>
        <v>https://search-rtdc-monitor-bjffxe2xuh6vdkpspy63sjmuny.us-east-1.es.amazonaws.com/_plugin/kibana/#/discover/Steve-Slow-Train-Analysis-(2080s-and-2083s)?_g=(refreshInterval:(display:Off,section:0,value:0),time:(from:'2016-11-25 15:17:17-700',mode:absolute,to:'2016-11-25 17:35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T59" s="105" t="str">
        <f t="shared" si="9"/>
        <v>"C:\Program Files (x86)\AstroGrep\AstroGrep.exe" /spath="%USERPROFILE%\AppData\Local\Temp\OnboardLogs" /stypes="*4003*201611252*" /stext=" 23:.+((SYSTEM_STATE.+slice.+state.+changed )|(ment ac)|(system.+state.+changed )|(\[timeout)|(PRM\|1\|D)|(kpr)|(kdp)|(\|lc)|(penalty))" /e /r /s</v>
      </c>
      <c r="U59" s="9" t="str">
        <f t="shared" si="10"/>
        <v>4003</v>
      </c>
      <c r="V59" s="36">
        <f t="shared" si="11"/>
        <v>42699.976863425924</v>
      </c>
      <c r="W59" s="50" t="str">
        <f t="shared" si="12"/>
        <v>NW</v>
      </c>
      <c r="X59" s="50" t="str">
        <f t="shared" si="13"/>
        <v>KEEP</v>
      </c>
      <c r="Y59" s="119" t="str">
        <f t="shared" si="14"/>
        <v>echo {"issue":{"subject":"Wi-MAX data drop","project_id":79,"tracker_id":40,"status_id":1,"priority_id":2,"assigned_to_id":23,"start_date":"2016-11-25","description":"","custom_fields":[{"id":1,"name":"Subdivision","value":"NW"},{"id":4,"name":"Milepost","value":"2.2206"},{"id":17,"name":"Train ID","value":"829-25"},{"id":16,"name":"Locomotive ID","value":"4003"},{"id":130,"name":"Impact","value":""},{"id":150,"name":"Time of Event (Mountain Time)","value":"16:26:41"},{"id":151,"name":"Denver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9" s="53"/>
      <c r="AA59" s="53"/>
      <c r="AB59" s="53"/>
      <c r="AC59" s="138" t="str">
        <f t="shared" si="15"/>
        <v>grep -hSE -A100 "Enforcement Action" "%USERPROFILE%\AppData\Local\Temp\OnboardLogs"\RTDC4003\*4003*201611252* | grep -SE "((Enforcement Ac)|(PRM))" -</v>
      </c>
      <c r="AD59" s="1" t="str">
        <f>"grep -hSE ""Enforcement Action"" "&amp;search_path&amp;"\RTDC"&amp;U59&amp;"\*"&amp;U59&amp;"*"&amp;TEXT(A59-utc_offset/24,"YYYYMMDD")&amp;LEFT(TEXT(A59-utc_offset/24,"HH"),1)&amp;"* &gt;&gt; "&amp;Variables!$A$2&amp;"-slicedisagreementcheck.txt"</f>
        <v>grep -hSE "Enforcement Action" "%USERPROFILE%\AppData\Local\Temp\OnboardLogs"\RTDC4003\*4003*201611252* &gt;&gt; 42699-slicedisagreementcheck.txt</v>
      </c>
    </row>
    <row r="60" spans="1:30" x14ac:dyDescent="0.25">
      <c r="A60" s="36">
        <v>42699.602523148147</v>
      </c>
      <c r="B60" s="31" t="s">
        <v>312</v>
      </c>
      <c r="C60" s="31" t="s">
        <v>436</v>
      </c>
      <c r="D60" s="31" t="s">
        <v>49</v>
      </c>
      <c r="E60" s="31" t="s">
        <v>205</v>
      </c>
      <c r="F60" s="47">
        <v>0</v>
      </c>
      <c r="G60" s="47">
        <v>314</v>
      </c>
      <c r="H60" s="47">
        <v>20644</v>
      </c>
      <c r="I60" s="47">
        <v>21585</v>
      </c>
      <c r="J60" s="31" t="s">
        <v>206</v>
      </c>
      <c r="K60" s="47">
        <v>22314</v>
      </c>
      <c r="L60" s="154" t="s">
        <v>50</v>
      </c>
      <c r="M60" s="155">
        <f t="shared" si="8"/>
        <v>384.91199999999998</v>
      </c>
      <c r="N60" s="156" t="str">
        <f>VLOOKUP(C60,'Trips&amp;Operators'!$C$1:$E$99999,3,FALSE)</f>
        <v>PERKINS</v>
      </c>
      <c r="O60" s="183" t="s">
        <v>255</v>
      </c>
      <c r="P60" s="157" t="s">
        <v>790</v>
      </c>
      <c r="Q60" s="31"/>
      <c r="R60" s="100" t="str">
        <f>VLOOKUP(C60,'Train Runs'!$A$13:$AE$9988,31,0)</f>
        <v>aws s3 cp s3://rtdc.mdm.uploadarchive.raw/RTDC4003/ "%USERPROFILE%\AppData\Local\Temp\OnboardLogs"\RTDC4003\2016-11-25 --exclude "*" --recursive --include "*20161125*" &amp; "%USERPROFILE%\Documents\GitHub\mrs-test-scripts\Headless Mode &amp; Sideloading\WalkAndUnGZ.bat" "%USERPROFILE%\AppData\Local\Temp\OnboardLogs"\RTDC4003\2016-11-25 &amp; aws s3 cp s3://rtdc.mdm.uploadarchive.raw/RTDC4003/ "%USERPROFILE%\AppData\Local\Temp\OnboardLogs"\RTDC4003\2016-11-26 --exclude "*" --recursive --include "*20161126*" &amp; "%USERPROFILE%\Documents\GitHub\mrs-test-scripts\Headless Mode &amp; Sideloading\WalkAndUnGZ.bat" "%USERPROFILE%\AppData\Local\Temp\OnboardLogs"\RTDC4003\2016-11-26</v>
      </c>
      <c r="S60" s="103" t="str">
        <f>VLOOKUP(C60,'Train Runs'!$A$13:$AE$9988,22,0)</f>
        <v>https://search-rtdc-monitor-bjffxe2xuh6vdkpspy63sjmuny.us-east-1.es.amazonaws.com/_plugin/kibana/#/discover/Steve-Slow-Train-Analysis-(2080s-and-2083s)?_g=(refreshInterval:(display:Off,section:0,value:0),time:(from:'2016-11-25 13:02:16-700',mode:absolute,to:'2016-11-25 15:36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T60" s="105" t="str">
        <f t="shared" si="9"/>
        <v>"C:\Program Files (x86)\AstroGrep\AstroGrep.exe" /spath="%USERPROFILE%\AppData\Local\Temp\OnboardLogs" /stypes="*4003*201611252*" /stext=" 21:.+((SYSTEM_STATE.+slice.+state.+changed )|(ment ac)|(system.+state.+changed )|(\[timeout)|(PRM\|1\|D)|(kpr)|(kdp)|(\|lc)|(penalty))" /e /r /s</v>
      </c>
      <c r="U60" s="9" t="str">
        <f t="shared" si="10"/>
        <v>4003</v>
      </c>
      <c r="V60" s="36">
        <f t="shared" si="11"/>
        <v>42699.894189814811</v>
      </c>
      <c r="W60" s="50" t="str">
        <f t="shared" si="12"/>
        <v>NW</v>
      </c>
      <c r="X60" s="50" t="str">
        <f t="shared" si="13"/>
        <v>KEEP</v>
      </c>
      <c r="Y60" s="119" t="str">
        <f t="shared" si="14"/>
        <v>echo {"issue":{"subject":"Wi-MAX data drop","project_id":79,"tracker_id":40,"status_id":1,"priority_id":2,"assigned_to_id":23,"start_date":"2016-11-25","description":"","custom_fields":[{"id":1,"name":"Subdivision","value":"NW"},{"id":4,"name":"Milepost","value":"2.2314"},{"id":17,"name":"Train ID","value":"823-25"},{"id":16,"name":"Locomotive ID","value":"4003"},{"id":130,"name":"Impact","value":""},{"id":150,"name":"Time of Event (Mountain Time)","value":"14:27:38"},{"id":151,"name":"Denver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0" s="53"/>
      <c r="AA60" s="53"/>
      <c r="AB60" s="53"/>
      <c r="AC60" s="138" t="str">
        <f t="shared" si="15"/>
        <v>grep -hSE -A100 "Enforcement Action" "%USERPROFILE%\AppData\Local\Temp\OnboardLogs"\RTDC4003\*4003*201611252* | grep -SE "((Enforcement Ac)|(PRM))" -</v>
      </c>
      <c r="AD60" s="1" t="str">
        <f>"grep -hSE ""Enforcement Action"" "&amp;search_path&amp;"\RTDC"&amp;U60&amp;"\*"&amp;U60&amp;"*"&amp;TEXT(A60-utc_offset/24,"YYYYMMDD")&amp;LEFT(TEXT(A60-utc_offset/24,"HH"),1)&amp;"* &gt;&gt; "&amp;Variables!$A$2&amp;"-slicedisagreementcheck.txt"</f>
        <v>grep -hSE "Enforcement Action" "%USERPROFILE%\AppData\Local\Temp\OnboardLogs"\RTDC4003\*4003*201611252* &gt;&gt; 42699-slicedisagreementcheck.txt</v>
      </c>
    </row>
    <row r="61" spans="1:30" x14ac:dyDescent="0.25">
      <c r="A61" s="36">
        <v>42699.756180555552</v>
      </c>
      <c r="B61" s="31" t="s">
        <v>231</v>
      </c>
      <c r="C61" s="31" t="s">
        <v>453</v>
      </c>
      <c r="D61" s="31" t="s">
        <v>49</v>
      </c>
      <c r="E61" s="31" t="s">
        <v>205</v>
      </c>
      <c r="F61" s="47">
        <v>0</v>
      </c>
      <c r="G61" s="47">
        <v>41</v>
      </c>
      <c r="H61" s="47">
        <v>57836</v>
      </c>
      <c r="I61" s="47">
        <v>57764</v>
      </c>
      <c r="J61" s="31" t="s">
        <v>206</v>
      </c>
      <c r="K61" s="47">
        <v>24235</v>
      </c>
      <c r="L61" s="154" t="s">
        <v>51</v>
      </c>
      <c r="M61" s="155">
        <f t="shared" si="8"/>
        <v>17703.312000000002</v>
      </c>
      <c r="N61" s="156" t="str">
        <f>VLOOKUP(C61,'Trips&amp;Operators'!$C$1:$E$99999,3,FALSE)</f>
        <v>MAGEE</v>
      </c>
      <c r="O61" s="183" t="s">
        <v>255</v>
      </c>
      <c r="P61" s="157" t="s">
        <v>989</v>
      </c>
      <c r="Q61" s="31"/>
      <c r="R61" s="100" t="str">
        <f>VLOOKUP(C61,'Train Runs'!$A$13:$AE$9988,31,0)</f>
        <v>aws s3 cp s3://rtdc.mdm.uploadarchive.raw/RTDC4021/ "%USERPROFILE%\AppData\Local\Temp\OnboardLogs"\RTDC4021\2016-11-25 --exclude "*" --recursive --include "*20161125*" &amp; "%USERPROFILE%\Documents\GitHub\mrs-test-scripts\Headless Mode &amp; Sideloading\WalkAndUnGZ.bat" "%USERPROFILE%\AppData\Local\Temp\OnboardLogs"\RTDC4021\2016-11-25 &amp; aws s3 cp s3://rtdc.mdm.uploadarchive.raw/RTDC4021/ "%USERPROFILE%\AppData\Local\Temp\OnboardLogs"\RTDC4021\2016-11-26 --exclude "*" --recursive --include "*20161126*" &amp; "%USERPROFILE%\Documents\GitHub\mrs-test-scripts\Headless Mode &amp; Sideloading\WalkAndUnGZ.bat" "%USERPROFILE%\AppData\Local\Temp\OnboardLogs"\RTDC4021\2016-11-26</v>
      </c>
      <c r="S61" s="103" t="str">
        <f>VLOOKUP(C61,'Train Runs'!$A$13:$AE$9988,22,0)</f>
        <v>https://search-rtdc-monitor-bjffxe2xuh6vdkpspy63sjmuny.us-east-1.es.amazonaws.com/_plugin/kibana/#/discover/Steve-Slow-Train-Analysis-(2080s-and-2083s)?_g=(refreshInterval:(display:Off,section:0,value:0),time:(from:'2016-11-25 17:06:16-700',mode:absolute,to:'2016-11-25 19:27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T61" s="105" t="str">
        <f t="shared" si="9"/>
        <v>"C:\Program Files (x86)\AstroGrep\AstroGrep.exe" /spath="%USERPROFILE%\AppData\Local\Temp\OnboardLogs" /stypes="*4021*201611260*" /stext=" 01:.+((SYSTEM_STATE.+slice.+state.+changed )|(ment ac)|(system.+state.+changed )|(\[timeout)|(PRM\|1\|D)|(kpr)|(kdp)|(\|lc)|(penalty))" /e /r /s</v>
      </c>
      <c r="U61" s="9" t="str">
        <f t="shared" si="10"/>
        <v>4021</v>
      </c>
      <c r="V61" s="36">
        <f t="shared" si="11"/>
        <v>42700.047847222217</v>
      </c>
      <c r="W61" s="50" t="str">
        <f t="shared" si="12"/>
        <v>NW</v>
      </c>
      <c r="X61" s="50" t="str">
        <f t="shared" si="13"/>
        <v>KEEP</v>
      </c>
      <c r="Y61" s="119" t="str">
        <f t="shared" si="14"/>
        <v>echo {"issue":{"subject":"Enforced for target over 2.5 miles away","project_id":79,"tracker_id":40,"status_id":1,"priority_id":2,"assigned_to_id":23,"start_date":"2016-11-25","description":"","custom_fields":[{"id":1,"name":"Subdivision","value":"NW"},{"id":4,"name":"Milepost","value":"2.4235"},{"id":17,"name":"Train ID","value":"836-25"},{"id":16,"name":"Locomotive ID","value":"4021"},{"id":130,"name":"Impact","value":""},{"id":150,"name":"Time of Event (Mountain Time)","value":"18:08:54"},{"id":151,"name":"Denver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1" s="53"/>
      <c r="AA61" s="53"/>
      <c r="AB61" s="53"/>
      <c r="AC61" s="138" t="str">
        <f t="shared" si="15"/>
        <v>grep -hSE -A100 "Enforcement Action" "%USERPROFILE%\AppData\Local\Temp\OnboardLogs"\RTDC4021\*4021*201611260* | grep -SE "((Enforcement Ac)|(PRM))" -</v>
      </c>
      <c r="AD61" s="1" t="str">
        <f>"grep -hSE ""Enforcement Action"" "&amp;search_path&amp;"\RTDC"&amp;U61&amp;"\*"&amp;U61&amp;"*"&amp;TEXT(A61-utc_offset/24,"YYYYMMDD")&amp;LEFT(TEXT(A61-utc_offset/24,"HH"),1)&amp;"* &gt;&gt; "&amp;Variables!$A$2&amp;"-slicedisagreementcheck.txt"</f>
        <v>grep -hSE "Enforcement Action" "%USERPROFILE%\AppData\Local\Temp\OnboardLogs"\RTDC4021\*4021*201611260* &gt;&gt; 42699-slicedisagreementcheck.txt</v>
      </c>
    </row>
    <row r="62" spans="1:30" x14ac:dyDescent="0.25">
      <c r="A62" s="36">
        <v>42699.44767361111</v>
      </c>
      <c r="B62" s="31" t="s">
        <v>313</v>
      </c>
      <c r="C62" s="31" t="s">
        <v>426</v>
      </c>
      <c r="D62" s="31" t="s">
        <v>49</v>
      </c>
      <c r="E62" s="31" t="s">
        <v>205</v>
      </c>
      <c r="F62" s="47">
        <v>0</v>
      </c>
      <c r="G62" s="47">
        <v>412</v>
      </c>
      <c r="H62" s="47">
        <v>50546</v>
      </c>
      <c r="I62" s="47">
        <v>49308</v>
      </c>
      <c r="J62" s="31" t="s">
        <v>206</v>
      </c>
      <c r="K62" s="47">
        <v>48773</v>
      </c>
      <c r="L62" s="154" t="s">
        <v>51</v>
      </c>
      <c r="M62" s="155">
        <f t="shared" si="8"/>
        <v>282.48</v>
      </c>
      <c r="N62" s="156" t="str">
        <f>VLOOKUP(C62,'Trips&amp;Operators'!$C$1:$E$99999,3,FALSE)</f>
        <v>YORK</v>
      </c>
      <c r="O62" s="183" t="s">
        <v>255</v>
      </c>
      <c r="P62" s="157" t="s">
        <v>790</v>
      </c>
      <c r="Q62" s="31"/>
      <c r="R62" s="100" t="str">
        <f>VLOOKUP(C62,'Train Runs'!$A$13:$AE$9988,31,0)</f>
        <v>aws s3 cp s3://rtdc.mdm.uploadarchive.raw/RTDC4004/ "%USERPROFILE%\AppData\Local\Temp\OnboardLogs"\RTDC4004\2016-11-25 --exclude "*" --recursive --include "*20161125*" &amp; "%USERPROFILE%\Documents\GitHub\mrs-test-scripts\Headless Mode &amp; Sideloading\WalkAndUnGZ.bat" "%USERPROFILE%\AppData\Local\Temp\OnboardLogs"\RTDC4004\2016-11-25 &amp; aws s3 cp s3://rtdc.mdm.uploadarchive.raw/RTDC4004/ "%USERPROFILE%\AppData\Local\Temp\OnboardLogs"\RTDC4004\2016-11-26 --exclude "*" --recursive --include "*20161126*" &amp; "%USERPROFILE%\Documents\GitHub\mrs-test-scripts\Headless Mode &amp; Sideloading\WalkAndUnGZ.bat" "%USERPROFILE%\AppData\Local\Temp\OnboardLogs"\RTDC4004\2016-11-26</v>
      </c>
      <c r="S62" s="103" t="str">
        <f>VLOOKUP(C62,'Train Runs'!$A$13:$AE$9988,22,0)</f>
        <v>https://search-rtdc-monitor-bjffxe2xuh6vdkpspy63sjmuny.us-east-1.es.amazonaws.com/_plugin/kibana/#/discover/Steve-Slow-Train-Analysis-(2080s-and-2083s)?_g=(refreshInterval:(display:Off,section:0,value:0),time:(from:'2016-11-25 09:37:41-700',mode:absolute,to:'2016-11-25 11:55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62" s="105" t="str">
        <f t="shared" si="9"/>
        <v>"C:\Program Files (x86)\AstroGrep\AstroGrep.exe" /spath="%USERPROFILE%\AppData\Local\Temp\OnboardLogs" /stypes="*4004*201611251*" /stext=" 17:.+((SYSTEM_STATE.+slice.+state.+changed )|(ment ac)|(system.+state.+changed )|(\[timeout)|(PRM\|1\|D)|(kpr)|(kdp)|(\|lc)|(penalty))" /e /r /s</v>
      </c>
      <c r="U62" s="9" t="str">
        <f t="shared" si="10"/>
        <v>4004</v>
      </c>
      <c r="V62" s="36">
        <f t="shared" si="11"/>
        <v>42699.739340277774</v>
      </c>
      <c r="W62" s="50" t="str">
        <f t="shared" si="12"/>
        <v>NW</v>
      </c>
      <c r="X62" s="50" t="str">
        <f t="shared" si="13"/>
        <v>KEEP</v>
      </c>
      <c r="Y62" s="119" t="str">
        <f t="shared" si="14"/>
        <v>echo {"issue":{"subject":"Wi-MAX data drop","project_id":79,"tracker_id":40,"status_id":1,"priority_id":2,"assigned_to_id":23,"start_date":"2016-11-25","description":"","custom_fields":[{"id":1,"name":"Subdivision","value":"NW"},{"id":4,"name":"Milepost","value":"4.8773"},{"id":17,"name":"Train ID","value":"816-25"},{"id":16,"name":"Locomotive ID","value":"4004"},{"id":130,"name":"Impact","value":""},{"id":150,"name":"Time of Event (Mountain Time)","value":"10:44:39"},{"id":151,"name":"Denver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2" s="53"/>
      <c r="AA62" s="53"/>
      <c r="AB62" s="53"/>
      <c r="AC62" s="138" t="str">
        <f t="shared" si="15"/>
        <v>grep -hSE -A100 "Enforcement Action" "%USERPROFILE%\AppData\Local\Temp\OnboardLogs"\RTDC4004\*4004*201611251* | grep -SE "((Enforcement Ac)|(PRM))" -</v>
      </c>
      <c r="AD62" s="1" t="str">
        <f>"grep -hSE ""Enforcement Action"" "&amp;search_path&amp;"\RTDC"&amp;U62&amp;"\*"&amp;U62&amp;"*"&amp;TEXT(A62-utc_offset/24,"YYYYMMDD")&amp;LEFT(TEXT(A62-utc_offset/24,"HH"),1)&amp;"* &gt;&gt; "&amp;Variables!$A$2&amp;"-slicedisagreementcheck.txt"</f>
        <v>grep -hSE "Enforcement Action" "%USERPROFILE%\AppData\Local\Temp\OnboardLogs"\RTDC4004\*4004*201611251* &gt;&gt; 42699-slicedisagreementcheck.txt</v>
      </c>
    </row>
    <row r="63" spans="1:30" x14ac:dyDescent="0.25">
      <c r="A63" s="36">
        <v>42699.228182870371</v>
      </c>
      <c r="B63" s="31" t="s">
        <v>231</v>
      </c>
      <c r="C63" s="31" t="s">
        <v>407</v>
      </c>
      <c r="D63" s="31" t="s">
        <v>49</v>
      </c>
      <c r="E63" s="31" t="s">
        <v>207</v>
      </c>
      <c r="F63" s="47">
        <v>0</v>
      </c>
      <c r="G63" s="47">
        <v>127</v>
      </c>
      <c r="H63" s="47">
        <v>1018</v>
      </c>
      <c r="I63" s="47">
        <v>829</v>
      </c>
      <c r="J63" s="31" t="s">
        <v>208</v>
      </c>
      <c r="K63" s="47">
        <v>575</v>
      </c>
      <c r="L63" s="154" t="s">
        <v>51</v>
      </c>
      <c r="M63" s="155">
        <f t="shared" si="8"/>
        <v>134.11199999999999</v>
      </c>
      <c r="N63" s="156" t="str">
        <f>VLOOKUP(C63,'Trips&amp;Operators'!$C$1:$E$99999,3,FALSE)</f>
        <v>STRICKLAND</v>
      </c>
      <c r="O63" s="183" t="s">
        <v>202</v>
      </c>
      <c r="P63" s="157"/>
      <c r="Q63" s="31"/>
      <c r="R63" s="100" t="str">
        <f>VLOOKUP(C63,'Train Runs'!$A$13:$AE$9988,31,0)</f>
        <v>aws s3 cp s3://rtdc.mdm.uploadarchive.raw/RTDC4021/ "%USERPROFILE%\AppData\Local\Temp\OnboardLogs"\RTDC4021\2016-11-25 --exclude "*" --recursive --include "*20161125*" &amp; "%USERPROFILE%\Documents\GitHub\mrs-test-scripts\Headless Mode &amp; Sideloading\WalkAndUnGZ.bat" "%USERPROFILE%\AppData\Local\Temp\OnboardLogs"\RTDC4021\2016-11-25 &amp; aws s3 cp s3://rtdc.mdm.uploadarchive.raw/RTDC4021/ "%USERPROFILE%\AppData\Local\Temp\OnboardLogs"\RTDC4021\2016-11-26 --exclude "*" --recursive --include "*20161126*" &amp; "%USERPROFILE%\Documents\GitHub\mrs-test-scripts\Headless Mode &amp; Sideloading\WalkAndUnGZ.bat" "%USERPROFILE%\AppData\Local\Temp\OnboardLogs"\RTDC4021\2016-11-26</v>
      </c>
      <c r="S63" s="103" t="str">
        <f>VLOOKUP(C63,'Train Runs'!$A$13:$AE$9988,22,0)</f>
        <v>https://search-rtdc-monitor-bjffxe2xuh6vdkpspy63sjmuny.us-east-1.es.amazonaws.com/_plugin/kibana/#/discover/Steve-Slow-Train-Analysis-(2080s-and-2083s)?_g=(refreshInterval:(display:Off,section:0,value:0),time:(from:'2016-11-25 04:12:55-700',mode:absolute,to:'2016-11-25 06:29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T63" s="105" t="str">
        <f t="shared" si="9"/>
        <v>"C:\Program Files (x86)\AstroGrep\AstroGrep.exe" /spath="%USERPROFILE%\AppData\Local\Temp\OnboardLogs" /stypes="*4021*201611251*" /stext=" 12:.+((SYSTEM_STATE.+slice.+state.+changed )|(ment ac)|(system.+state.+changed )|(\[timeout)|(PRM\|1\|D)|(kpr)|(kdp)|(\|lc)|(penalty))" /e /r /s</v>
      </c>
      <c r="U63" s="9" t="str">
        <f t="shared" si="10"/>
        <v>4021</v>
      </c>
      <c r="V63" s="36">
        <f t="shared" si="11"/>
        <v>42699.519849537035</v>
      </c>
      <c r="W63" s="50" t="str">
        <f t="shared" si="12"/>
        <v>NW</v>
      </c>
      <c r="X63" s="50" t="str">
        <f t="shared" si="13"/>
        <v>KEEP</v>
      </c>
      <c r="Y63" s="119" t="str">
        <f t="shared" si="14"/>
        <v>echo {"issue":{"subject":"","project_id":79,"tracker_id":40,"status_id":1,"priority_id":2,"assigned_to_id":23,"start_date":"2016-11-25","description":"","custom_fields":[{"id":1,"name":"Subdivision","value":"NW"},{"id":4,"name":"Milepost","value":"0.0575"},{"id":17,"name":"Train ID","value":"800-25"},{"id":16,"name":"Locomotive ID","value":"4021"},{"id":130,"name":"Impact","value":""},{"id":150,"name":"Time of Event (Mountain Time)","value":"05:28:35"},{"id":151,"name":"Denver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3" s="53"/>
      <c r="AA63" s="53"/>
      <c r="AB63" s="53"/>
      <c r="AC63" s="138" t="str">
        <f t="shared" si="15"/>
        <v>grep -hSE -A100 "Enforcement Action" "%USERPROFILE%\AppData\Local\Temp\OnboardLogs"\RTDC4021\*4021*201611251* | grep -SE "((Enforcement Ac)|(PRM))" -</v>
      </c>
      <c r="AD63" s="1" t="str">
        <f>"grep -hSE ""Enforcement Action"" "&amp;search_path&amp;"\RTDC"&amp;U63&amp;"\*"&amp;U63&amp;"*"&amp;TEXT(A63-utc_offset/24,"YYYYMMDD")&amp;LEFT(TEXT(A63-utc_offset/24,"HH"),1)&amp;"* &gt;&gt; "&amp;Variables!$A$2&amp;"-slicedisagreementcheck.txt"</f>
        <v>grep -hSE "Enforcement Action" "%USERPROFILE%\AppData\Local\Temp\OnboardLogs"\RTDC4021\*4021*201611251* &gt;&gt; 42699-slicedisagreementcheck.txt</v>
      </c>
    </row>
    <row r="64" spans="1:30" x14ac:dyDescent="0.25">
      <c r="A64" s="36">
        <v>42699.454884259256</v>
      </c>
      <c r="B64" s="31" t="s">
        <v>313</v>
      </c>
      <c r="C64" s="31" t="s">
        <v>426</v>
      </c>
      <c r="D64" s="31" t="s">
        <v>49</v>
      </c>
      <c r="E64" s="31" t="s">
        <v>207</v>
      </c>
      <c r="F64" s="47">
        <v>0</v>
      </c>
      <c r="G64" s="47">
        <v>157</v>
      </c>
      <c r="H64" s="47">
        <v>1464</v>
      </c>
      <c r="I64" s="47">
        <v>1231</v>
      </c>
      <c r="J64" s="31" t="s">
        <v>208</v>
      </c>
      <c r="K64" s="47">
        <v>575</v>
      </c>
      <c r="L64" s="154" t="s">
        <v>51</v>
      </c>
      <c r="M64" s="155">
        <f t="shared" si="8"/>
        <v>346.36800000000005</v>
      </c>
      <c r="N64" s="156" t="str">
        <f>VLOOKUP(C64,'Trips&amp;Operators'!$C$1:$E$99999,3,FALSE)</f>
        <v>YORK</v>
      </c>
      <c r="O64" s="183" t="s">
        <v>202</v>
      </c>
      <c r="P64" s="157"/>
      <c r="Q64" s="31"/>
      <c r="R64" s="100" t="str">
        <f>VLOOKUP(C64,'Train Runs'!$A$13:$AE$9988,31,0)</f>
        <v>aws s3 cp s3://rtdc.mdm.uploadarchive.raw/RTDC4004/ "%USERPROFILE%\AppData\Local\Temp\OnboardLogs"\RTDC4004\2016-11-25 --exclude "*" --recursive --include "*20161125*" &amp; "%USERPROFILE%\Documents\GitHub\mrs-test-scripts\Headless Mode &amp; Sideloading\WalkAndUnGZ.bat" "%USERPROFILE%\AppData\Local\Temp\OnboardLogs"\RTDC4004\2016-11-25 &amp; aws s3 cp s3://rtdc.mdm.uploadarchive.raw/RTDC4004/ "%USERPROFILE%\AppData\Local\Temp\OnboardLogs"\RTDC4004\2016-11-26 --exclude "*" --recursive --include "*20161126*" &amp; "%USERPROFILE%\Documents\GitHub\mrs-test-scripts\Headless Mode &amp; Sideloading\WalkAndUnGZ.bat" "%USERPROFILE%\AppData\Local\Temp\OnboardLogs"\RTDC4004\2016-11-26</v>
      </c>
      <c r="S64" s="103" t="str">
        <f>VLOOKUP(C64,'Train Runs'!$A$13:$AE$9988,22,0)</f>
        <v>https://search-rtdc-monitor-bjffxe2xuh6vdkpspy63sjmuny.us-east-1.es.amazonaws.com/_plugin/kibana/#/discover/Steve-Slow-Train-Analysis-(2080s-and-2083s)?_g=(refreshInterval:(display:Off,section:0,value:0),time:(from:'2016-11-25 09:37:41-700',mode:absolute,to:'2016-11-25 11:55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64" s="105" t="str">
        <f t="shared" si="9"/>
        <v>"C:\Program Files (x86)\AstroGrep\AstroGrep.exe" /spath="%USERPROFILE%\AppData\Local\Temp\OnboardLogs" /stypes="*4004*201611251*" /stext=" 17:.+((SYSTEM_STATE.+slice.+state.+changed )|(ment ac)|(system.+state.+changed )|(\[timeout)|(PRM\|1\|D)|(kpr)|(kdp)|(\|lc)|(penalty))" /e /r /s</v>
      </c>
      <c r="U64" s="9" t="str">
        <f t="shared" si="10"/>
        <v>4004</v>
      </c>
      <c r="V64" s="36">
        <f t="shared" si="11"/>
        <v>42699.74655092592</v>
      </c>
      <c r="W64" s="50" t="str">
        <f t="shared" si="12"/>
        <v>NW</v>
      </c>
      <c r="X64" s="50" t="str">
        <f t="shared" si="13"/>
        <v>KEEP</v>
      </c>
      <c r="Y64" s="119" t="str">
        <f t="shared" si="14"/>
        <v>echo {"issue":{"subject":"","project_id":79,"tracker_id":40,"status_id":1,"priority_id":2,"assigned_to_id":23,"start_date":"2016-11-25","description":"","custom_fields":[{"id":1,"name":"Subdivision","value":"NW"},{"id":4,"name":"Milepost","value":"0.0575"},{"id":17,"name":"Train ID","value":"816-25"},{"id":16,"name":"Locomotive ID","value":"4004"},{"id":130,"name":"Impact","value":""},{"id":150,"name":"Time of Event (Mountain Time)","value":"10:55:02"},{"id":151,"name":"Denver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4" s="53"/>
      <c r="AA64" s="53"/>
      <c r="AB64" s="53"/>
      <c r="AC64" s="138" t="str">
        <f t="shared" si="15"/>
        <v>grep -hSE -A100 "Enforcement Action" "%USERPROFILE%\AppData\Local\Temp\OnboardLogs"\RTDC4004\*4004*201611251* | grep -SE "((Enforcement Ac)|(PRM))" -</v>
      </c>
      <c r="AD64" s="1" t="str">
        <f>"grep -hSE ""Enforcement Action"" "&amp;search_path&amp;"\RTDC"&amp;U64&amp;"\*"&amp;U64&amp;"*"&amp;TEXT(A64-utc_offset/24,"YYYYMMDD")&amp;LEFT(TEXT(A64-utc_offset/24,"HH"),1)&amp;"* &gt;&gt; "&amp;Variables!$A$2&amp;"-slicedisagreementcheck.txt"</f>
        <v>grep -hSE "Enforcement Action" "%USERPROFILE%\AppData\Local\Temp\OnboardLogs"\RTDC4004\*4004*201611251* &gt;&gt; 42699-slicedisagreementcheck.txt</v>
      </c>
    </row>
    <row r="65" spans="1:30" x14ac:dyDescent="0.25">
      <c r="A65" s="36">
        <v>42699.726238425923</v>
      </c>
      <c r="B65" s="31" t="s">
        <v>231</v>
      </c>
      <c r="C65" s="31" t="s">
        <v>450</v>
      </c>
      <c r="D65" s="31" t="s">
        <v>49</v>
      </c>
      <c r="E65" s="31" t="s">
        <v>207</v>
      </c>
      <c r="F65" s="47">
        <v>0</v>
      </c>
      <c r="G65" s="47">
        <v>46</v>
      </c>
      <c r="H65" s="47">
        <v>720</v>
      </c>
      <c r="I65" s="47">
        <v>675</v>
      </c>
      <c r="J65" s="31" t="s">
        <v>208</v>
      </c>
      <c r="K65" s="47">
        <v>575</v>
      </c>
      <c r="L65" s="154" t="s">
        <v>51</v>
      </c>
      <c r="M65" s="155">
        <f t="shared" si="8"/>
        <v>52.8</v>
      </c>
      <c r="N65" s="156" t="str">
        <f>VLOOKUP(C65,'Trips&amp;Operators'!$C$1:$E$99999,3,FALSE)</f>
        <v>MAGEE</v>
      </c>
      <c r="O65" s="183" t="s">
        <v>202</v>
      </c>
      <c r="P65" s="157"/>
      <c r="Q65" s="31"/>
      <c r="R65" s="100" t="str">
        <f>VLOOKUP(C65,'Train Runs'!$A$13:$AE$9988,31,0)</f>
        <v>aws s3 cp s3://rtdc.mdm.uploadarchive.raw/RTDC4021/ "%USERPROFILE%\AppData\Local\Temp\OnboardLogs"\RTDC4021\2016-11-25 --exclude "*" --recursive --include "*20161125*" &amp; "%USERPROFILE%\Documents\GitHub\mrs-test-scripts\Headless Mode &amp; Sideloading\WalkAndUnGZ.bat" "%USERPROFILE%\AppData\Local\Temp\OnboardLogs"\RTDC4021\2016-11-25 &amp; aws s3 cp s3://rtdc.mdm.uploadarchive.raw/RTDC4021/ "%USERPROFILE%\AppData\Local\Temp\OnboardLogs"\RTDC4021\2016-11-26 --exclude "*" --recursive --include "*20161126*" &amp; "%USERPROFILE%\Documents\GitHub\mrs-test-scripts\Headless Mode &amp; Sideloading\WalkAndUnGZ.bat" "%USERPROFILE%\AppData\Local\Temp\OnboardLogs"\RTDC4021\2016-11-26</v>
      </c>
      <c r="S65" s="103" t="str">
        <f>VLOOKUP(C65,'Train Runs'!$A$13:$AE$9988,22,0)</f>
        <v>https://search-rtdc-monitor-bjffxe2xuh6vdkpspy63sjmuny.us-east-1.es.amazonaws.com/_plugin/kibana/#/discover/Steve-Slow-Train-Analysis-(2080s-and-2083s)?_g=(refreshInterval:(display:Off,section:0,value:0),time:(from:'2016-11-25 16:05:35-700',mode:absolute,to:'2016-11-25 18:25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T65" s="105" t="str">
        <f t="shared" si="9"/>
        <v>"C:\Program Files (x86)\AstroGrep\AstroGrep.exe" /spath="%USERPROFILE%\AppData\Local\Temp\OnboardLogs" /stypes="*4021*201611260*" /stext=" 00:.+((SYSTEM_STATE.+slice.+state.+changed )|(ment ac)|(system.+state.+changed )|(\[timeout)|(PRM\|1\|D)|(kpr)|(kdp)|(\|lc)|(penalty))" /e /r /s</v>
      </c>
      <c r="U65" s="9" t="str">
        <f t="shared" si="10"/>
        <v>4021</v>
      </c>
      <c r="V65" s="36">
        <f t="shared" si="11"/>
        <v>42700.017905092587</v>
      </c>
      <c r="W65" s="50" t="str">
        <f t="shared" si="12"/>
        <v>NW</v>
      </c>
      <c r="X65" s="50" t="str">
        <f t="shared" si="13"/>
        <v>KEEP</v>
      </c>
      <c r="Y65" s="119" t="str">
        <f t="shared" si="14"/>
        <v>echo {"issue":{"subject":"","project_id":79,"tracker_id":40,"status_id":1,"priority_id":2,"assigned_to_id":23,"start_date":"2016-11-25","description":"","custom_fields":[{"id":1,"name":"Subdivision","value":"NW"},{"id":4,"name":"Milepost","value":"0.0575"},{"id":17,"name":"Train ID","value":"832-25"},{"id":16,"name":"Locomotive ID","value":"4021"},{"id":130,"name":"Impact","value":""},{"id":150,"name":"Time of Event (Mountain Time)","value":"17:25:47"},{"id":151,"name":"Denver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5" s="53"/>
      <c r="AA65" s="53"/>
      <c r="AB65" s="53"/>
      <c r="AC65" s="138" t="str">
        <f t="shared" si="15"/>
        <v>grep -hSE -A100 "Enforcement Action" "%USERPROFILE%\AppData\Local\Temp\OnboardLogs"\RTDC4021\*4021*201611260* | grep -SE "((Enforcement Ac)|(PRM))" -</v>
      </c>
      <c r="AD65" s="1" t="str">
        <f>"grep -hSE ""Enforcement Action"" "&amp;search_path&amp;"\RTDC"&amp;U65&amp;"\*"&amp;U65&amp;"*"&amp;TEXT(A65-utc_offset/24,"YYYYMMDD")&amp;LEFT(TEXT(A65-utc_offset/24,"HH"),1)&amp;"* &gt;&gt; "&amp;Variables!$A$2&amp;"-slicedisagreementcheck.txt"</f>
        <v>grep -hSE "Enforcement Action" "%USERPROFILE%\AppData\Local\Temp\OnboardLogs"\RTDC4021\*4021*201611260* &gt;&gt; 42699-slicedisagreementcheck.txt</v>
      </c>
    </row>
    <row r="66" spans="1:30" x14ac:dyDescent="0.25">
      <c r="A66" s="36">
        <v>42699.650011574071</v>
      </c>
      <c r="B66" s="31" t="s">
        <v>312</v>
      </c>
      <c r="C66" s="31" t="s">
        <v>438</v>
      </c>
      <c r="D66" s="31" t="s">
        <v>49</v>
      </c>
      <c r="E66" s="31" t="s">
        <v>207</v>
      </c>
      <c r="F66" s="47">
        <v>0</v>
      </c>
      <c r="G66" s="47">
        <v>59</v>
      </c>
      <c r="H66" s="47">
        <v>58873</v>
      </c>
      <c r="I66" s="47">
        <v>58933</v>
      </c>
      <c r="J66" s="31" t="s">
        <v>208</v>
      </c>
      <c r="K66" s="47">
        <v>59048</v>
      </c>
      <c r="L66" s="154" t="s">
        <v>50</v>
      </c>
      <c r="M66" s="155">
        <f t="shared" si="8"/>
        <v>60.72</v>
      </c>
      <c r="N66" s="156" t="str">
        <f>VLOOKUP(C66,'Trips&amp;Operators'!$C$1:$E$99999,3,FALSE)</f>
        <v>PERKINS</v>
      </c>
      <c r="O66" s="183" t="s">
        <v>202</v>
      </c>
      <c r="P66" s="157"/>
      <c r="Q66" s="31"/>
      <c r="R66" s="100" t="str">
        <f>VLOOKUP(C66,'Train Runs'!$A$13:$AE$9988,31,0)</f>
        <v>aws s3 cp s3://rtdc.mdm.uploadarchive.raw/RTDC4003/ "%USERPROFILE%\AppData\Local\Temp\OnboardLogs"\RTDC4003\2016-11-25 --exclude "*" --recursive --include "*20161125*" &amp; "%USERPROFILE%\Documents\GitHub\mrs-test-scripts\Headless Mode &amp; Sideloading\WalkAndUnGZ.bat" "%USERPROFILE%\AppData\Local\Temp\OnboardLogs"\RTDC4003\2016-11-25 &amp; aws s3 cp s3://rtdc.mdm.uploadarchive.raw/RTDC4003/ "%USERPROFILE%\AppData\Local\Temp\OnboardLogs"\RTDC4003\2016-11-26 --exclude "*" --recursive --include "*20161126*" &amp; "%USERPROFILE%\Documents\GitHub\mrs-test-scripts\Headless Mode &amp; Sideloading\WalkAndUnGZ.bat" "%USERPROFILE%\AppData\Local\Temp\OnboardLogs"\RTDC4003\2016-11-26</v>
      </c>
      <c r="S66" s="103" t="str">
        <f>VLOOKUP(C66,'Train Runs'!$A$13:$AE$9988,22,0)</f>
        <v>https://search-rtdc-monitor-bjffxe2xuh6vdkpspy63sjmuny.us-east-1.es.amazonaws.com/_plugin/kibana/#/discover/Steve-Slow-Train-Analysis-(2080s-and-2083s)?_g=(refreshInterval:(display:Off,section:0,value:0),time:(from:'2016-11-25 14:11:05-700',mode:absolute,to:'2016-11-25 16:36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T66" s="105" t="str">
        <f t="shared" si="9"/>
        <v>"C:\Program Files (x86)\AstroGrep\AstroGrep.exe" /spath="%USERPROFILE%\AppData\Local\Temp\OnboardLogs" /stypes="*4003*201611252*" /stext=" 22:.+((SYSTEM_STATE.+slice.+state.+changed )|(ment ac)|(system.+state.+changed )|(\[timeout)|(PRM\|1\|D)|(kpr)|(kdp)|(\|lc)|(penalty))" /e /r /s</v>
      </c>
      <c r="U66" s="9" t="str">
        <f t="shared" si="10"/>
        <v>4003</v>
      </c>
      <c r="V66" s="36">
        <f t="shared" si="11"/>
        <v>42699.941678240735</v>
      </c>
      <c r="W66" s="50" t="str">
        <f t="shared" si="12"/>
        <v>NW</v>
      </c>
      <c r="X66" s="50" t="str">
        <f t="shared" si="13"/>
        <v>KEEP</v>
      </c>
      <c r="Y66" s="119" t="str">
        <f t="shared" si="14"/>
        <v>echo {"issue":{"subject":"","project_id":79,"tracker_id":40,"status_id":1,"priority_id":2,"assigned_to_id":23,"start_date":"2016-11-25","description":"","custom_fields":[{"id":1,"name":"Subdivision","value":"NW"},{"id":4,"name":"Milepost","value":"5.9048"},{"id":17,"name":"Train ID","value":"825-25"},{"id":16,"name":"Locomotive ID","value":"4003"},{"id":130,"name":"Impact","value":""},{"id":150,"name":"Time of Event (Mountain Time)","value":"15:36:01"},{"id":151,"name":"Denver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6" s="53"/>
      <c r="AA66" s="53"/>
      <c r="AB66" s="53"/>
      <c r="AC66" s="138" t="str">
        <f t="shared" si="15"/>
        <v>grep -hSE -A100 "Enforcement Action" "%USERPROFILE%\AppData\Local\Temp\OnboardLogs"\RTDC4003\*4003*201611252* | grep -SE "((Enforcement Ac)|(PRM))" -</v>
      </c>
      <c r="AD66" s="1" t="str">
        <f>"grep -hSE ""Enforcement Action"" "&amp;search_path&amp;"\RTDC"&amp;U66&amp;"\*"&amp;U66&amp;"*"&amp;TEXT(A66-utc_offset/24,"YYYYMMDD")&amp;LEFT(TEXT(A66-utc_offset/24,"HH"),1)&amp;"* &gt;&gt; "&amp;Variables!$A$2&amp;"-slicedisagreementcheck.txt"</f>
        <v>grep -hSE "Enforcement Action" "%USERPROFILE%\AppData\Local\Temp\OnboardLogs"\RTDC4003\*4003*201611252* &gt;&gt; 42699-slicedisagreementcheck.txt</v>
      </c>
    </row>
    <row r="67" spans="1:30" x14ac:dyDescent="0.25">
      <c r="A67" s="36">
        <v>42699.775335648148</v>
      </c>
      <c r="B67" s="31" t="s">
        <v>312</v>
      </c>
      <c r="C67" s="31" t="s">
        <v>456</v>
      </c>
      <c r="D67" s="31" t="s">
        <v>49</v>
      </c>
      <c r="E67" s="31" t="s">
        <v>207</v>
      </c>
      <c r="F67" s="47">
        <v>0</v>
      </c>
      <c r="G67" s="47">
        <v>34</v>
      </c>
      <c r="H67" s="47">
        <v>58954</v>
      </c>
      <c r="I67" s="47">
        <v>58992</v>
      </c>
      <c r="J67" s="31" t="s">
        <v>208</v>
      </c>
      <c r="K67" s="47">
        <v>59048</v>
      </c>
      <c r="L67" s="154" t="s">
        <v>50</v>
      </c>
      <c r="M67" s="155">
        <f t="shared" si="8"/>
        <v>29.568000000000001</v>
      </c>
      <c r="N67" s="156" t="str">
        <f>VLOOKUP(C67,'Trips&amp;Operators'!$C$1:$E$99999,3,FALSE)</f>
        <v>PERKINS</v>
      </c>
      <c r="O67" s="183" t="s">
        <v>202</v>
      </c>
      <c r="P67" s="157"/>
      <c r="Q67" s="31"/>
      <c r="R67" s="100" t="str">
        <f>VLOOKUP(C67,'Train Runs'!$A$13:$AE$9988,31,0)</f>
        <v>aws s3 cp s3://rtdc.mdm.uploadarchive.raw/RTDC4003/ "%USERPROFILE%\AppData\Local\Temp\OnboardLogs"\RTDC4003\2016-11-25 --exclude "*" --recursive --include "*20161125*" &amp; "%USERPROFILE%\Documents\GitHub\mrs-test-scripts\Headless Mode &amp; Sideloading\WalkAndUnGZ.bat" "%USERPROFILE%\AppData\Local\Temp\OnboardLogs"\RTDC4003\2016-11-25 &amp; aws s3 cp s3://rtdc.mdm.uploadarchive.raw/RTDC4003/ "%USERPROFILE%\AppData\Local\Temp\OnboardLogs"\RTDC4003\2016-11-26 --exclude "*" --recursive --include "*20161126*" &amp; "%USERPROFILE%\Documents\GitHub\mrs-test-scripts\Headless Mode &amp; Sideloading\WalkAndUnGZ.bat" "%USERPROFILE%\AppData\Local\Temp\OnboardLogs"\RTDC4003\2016-11-26</v>
      </c>
      <c r="S67" s="103" t="str">
        <f>VLOOKUP(C67,'Train Runs'!$A$13:$AE$9988,22,0)</f>
        <v>https://search-rtdc-monitor-bjffxe2xuh6vdkpspy63sjmuny.us-east-1.es.amazonaws.com/_plugin/kibana/#/discover/Steve-Slow-Train-Analysis-(2080s-and-2083s)?_g=(refreshInterval:(display:Off,section:0,value:0),time:(from:'2016-11-25 17:19:39-700',mode:absolute,to:'2016-11-25 19:57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T67" s="105" t="str">
        <f t="shared" si="9"/>
        <v>"C:\Program Files (x86)\AstroGrep\AstroGrep.exe" /spath="%USERPROFILE%\AppData\Local\Temp\OnboardLogs" /stypes="*4003*201611260*" /stext=" 01:.+((SYSTEM_STATE.+slice.+state.+changed )|(ment ac)|(system.+state.+changed )|(\[timeout)|(PRM\|1\|D)|(kpr)|(kdp)|(\|lc)|(penalty))" /e /r /s</v>
      </c>
      <c r="U67" s="9" t="str">
        <f t="shared" si="10"/>
        <v>4003</v>
      </c>
      <c r="V67" s="36">
        <f t="shared" si="11"/>
        <v>42700.067002314812</v>
      </c>
      <c r="W67" s="50" t="str">
        <f t="shared" si="12"/>
        <v>NW</v>
      </c>
      <c r="X67" s="50" t="str">
        <f t="shared" si="13"/>
        <v>KEEP</v>
      </c>
      <c r="Y67" s="119" t="str">
        <f t="shared" si="14"/>
        <v>echo {"issue":{"subject":"","project_id":79,"tracker_id":40,"status_id":1,"priority_id":2,"assigned_to_id":23,"start_date":"2016-11-25","description":"","custom_fields":[{"id":1,"name":"Subdivision","value":"NW"},{"id":4,"name":"Milepost","value":"5.9048"},{"id":17,"name":"Train ID","value":"837-25"},{"id":16,"name":"Locomotive ID","value":"4003"},{"id":130,"name":"Impact","value":""},{"id":150,"name":"Time of Event (Mountain Time)","value":"18:36:29"},{"id":151,"name":"Denver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7" s="53"/>
      <c r="AA67" s="53"/>
      <c r="AB67" s="53"/>
      <c r="AC67" s="138" t="str">
        <f t="shared" si="15"/>
        <v>grep -hSE -A100 "Enforcement Action" "%USERPROFILE%\AppData\Local\Temp\OnboardLogs"\RTDC4003\*4003*201611260* | grep -SE "((Enforcement Ac)|(PRM))" -</v>
      </c>
      <c r="AD67" s="1" t="str">
        <f>"grep -hSE ""Enforcement Action"" "&amp;search_path&amp;"\RTDC"&amp;U67&amp;"\*"&amp;U67&amp;"*"&amp;TEXT(A67-utc_offset/24,"YYYYMMDD")&amp;LEFT(TEXT(A67-utc_offset/24,"HH"),1)&amp;"* &gt;&gt; "&amp;Variables!$A$2&amp;"-slicedisagreementcheck.txt"</f>
        <v>grep -hSE "Enforcement Action" "%USERPROFILE%\AppData\Local\Temp\OnboardLogs"\RTDC4003\*4003*201611260* &gt;&gt; 42699-slicedisagreementcheck.txt</v>
      </c>
    </row>
    <row r="68" spans="1:30" x14ac:dyDescent="0.25">
      <c r="A68" s="36">
        <v>42699.857858796298</v>
      </c>
      <c r="B68" s="31" t="s">
        <v>312</v>
      </c>
      <c r="C68" s="31" t="s">
        <v>459</v>
      </c>
      <c r="D68" s="31" t="s">
        <v>49</v>
      </c>
      <c r="E68" s="31" t="s">
        <v>207</v>
      </c>
      <c r="F68" s="47">
        <v>0</v>
      </c>
      <c r="G68" s="47">
        <v>32</v>
      </c>
      <c r="H68" s="47">
        <v>58956</v>
      </c>
      <c r="I68" s="47">
        <v>58988</v>
      </c>
      <c r="J68" s="31" t="s">
        <v>208</v>
      </c>
      <c r="K68" s="47">
        <v>59048</v>
      </c>
      <c r="L68" s="154" t="s">
        <v>50</v>
      </c>
      <c r="M68" s="155">
        <f t="shared" si="8"/>
        <v>31.68</v>
      </c>
      <c r="N68" s="156" t="str">
        <f>VLOOKUP(C68,'Trips&amp;Operators'!$C$1:$E$99999,3,FALSE)</f>
        <v>PERKINS</v>
      </c>
      <c r="O68" s="183" t="s">
        <v>202</v>
      </c>
      <c r="P68" s="157"/>
      <c r="Q68" s="31"/>
      <c r="R68" s="100" t="str">
        <f>VLOOKUP(C68,'Train Runs'!$A$13:$AE$9988,31,0)</f>
        <v>aws s3 cp s3://rtdc.mdm.uploadarchive.raw/RTDC4003/ "%USERPROFILE%\AppData\Local\Temp\OnboardLogs"\RTDC4003\2016-11-25 --exclude "*" --recursive --include "*20161125*" &amp; "%USERPROFILE%\Documents\GitHub\mrs-test-scripts\Headless Mode &amp; Sideloading\WalkAndUnGZ.bat" "%USERPROFILE%\AppData\Local\Temp\OnboardLogs"\RTDC4003\2016-11-25 &amp; aws s3 cp s3://rtdc.mdm.uploadarchive.raw/RTDC4003/ "%USERPROFILE%\AppData\Local\Temp\OnboardLogs"\RTDC4003\2016-11-26 --exclude "*" --recursive --include "*20161126*" &amp; "%USERPROFILE%\Documents\GitHub\mrs-test-scripts\Headless Mode &amp; Sideloading\WalkAndUnGZ.bat" "%USERPROFILE%\AppData\Local\Temp\OnboardLogs"\RTDC4003\2016-11-26</v>
      </c>
      <c r="S68" s="103" t="str">
        <f>VLOOKUP(C68,'Train Runs'!$A$13:$AE$9988,22,0)</f>
        <v>https://search-rtdc-monitor-bjffxe2xuh6vdkpspy63sjmuny.us-east-1.es.amazonaws.com/_plugin/kibana/#/discover/Steve-Slow-Train-Analysis-(2080s-and-2083s)?_g=(refreshInterval:(display:Off,section:0,value:0),time:(from:'2016-11-25 19:13:39-700',mode:absolute,to:'2016-11-25 21:35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T68" s="105" t="str">
        <f t="shared" si="9"/>
        <v>"C:\Program Files (x86)\AstroGrep\AstroGrep.exe" /spath="%USERPROFILE%\AppData\Local\Temp\OnboardLogs" /stypes="*4003*201611260*" /stext=" 03:.+((SYSTEM_STATE.+slice.+state.+changed )|(ment ac)|(system.+state.+changed )|(\[timeout)|(PRM\|1\|D)|(kpr)|(kdp)|(\|lc)|(penalty))" /e /r /s</v>
      </c>
      <c r="U68" s="9" t="str">
        <f t="shared" si="10"/>
        <v>4003</v>
      </c>
      <c r="V68" s="36">
        <f t="shared" si="11"/>
        <v>42700.149525462963</v>
      </c>
      <c r="W68" s="50" t="str">
        <f t="shared" si="12"/>
        <v>NW</v>
      </c>
      <c r="X68" s="50" t="str">
        <f t="shared" si="13"/>
        <v>KEEP</v>
      </c>
      <c r="Y68" s="119" t="str">
        <f t="shared" si="14"/>
        <v>echo {"issue":{"subject":"","project_id":79,"tracker_id":40,"status_id":1,"priority_id":2,"assigned_to_id":23,"start_date":"2016-11-25","description":"","custom_fields":[{"id":1,"name":"Subdivision","value":"NW"},{"id":4,"name":"Milepost","value":"5.9048"},{"id":17,"name":"Train ID","value":"843-25"},{"id":16,"name":"Locomotive ID","value":"4003"},{"id":130,"name":"Impact","value":""},{"id":150,"name":"Time of Event (Mountain Time)","value":"20:35:19"},{"id":151,"name":"Denver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8" s="53"/>
      <c r="AA68" s="53"/>
      <c r="AB68" s="53"/>
      <c r="AC68" s="138" t="str">
        <f t="shared" si="15"/>
        <v>grep -hSE -A100 "Enforcement Action" "%USERPROFILE%\AppData\Local\Temp\OnboardLogs"\RTDC4003\*4003*201611260* | grep -SE "((Enforcement Ac)|(PRM))" -</v>
      </c>
      <c r="AD68" s="1" t="str">
        <f>"grep -hSE ""Enforcement Action"" "&amp;search_path&amp;"\RTDC"&amp;U68&amp;"\*"&amp;U68&amp;"*"&amp;TEXT(A68-utc_offset/24,"YYYYMMDD")&amp;LEFT(TEXT(A68-utc_offset/24,"HH"),1)&amp;"* &gt;&gt; "&amp;Variables!$A$2&amp;"-slicedisagreementcheck.txt"</f>
        <v>grep -hSE "Enforcement Action" "%USERPROFILE%\AppData\Local\Temp\OnboardLogs"\RTDC4003\*4003*201611260* &gt;&gt; 42699-slicedisagreementcheck.txt</v>
      </c>
    </row>
    <row r="69" spans="1:30" x14ac:dyDescent="0.25">
      <c r="A69" s="36">
        <v>42699.804560185185</v>
      </c>
      <c r="B69" s="31" t="s">
        <v>263</v>
      </c>
      <c r="C69" s="31" t="s">
        <v>457</v>
      </c>
      <c r="D69" s="31" t="s">
        <v>98</v>
      </c>
      <c r="E69" s="31" t="s">
        <v>203</v>
      </c>
      <c r="F69" s="47">
        <v>200</v>
      </c>
      <c r="G69" s="47">
        <v>250</v>
      </c>
      <c r="H69" s="47">
        <v>6066</v>
      </c>
      <c r="I69" s="47">
        <v>6607</v>
      </c>
      <c r="J69" s="31" t="s">
        <v>204</v>
      </c>
      <c r="K69" s="47">
        <v>4790</v>
      </c>
      <c r="L69" s="154" t="s">
        <v>50</v>
      </c>
      <c r="M69" s="155">
        <f t="shared" si="8"/>
        <v>-959.37599999999998</v>
      </c>
      <c r="N69" s="156" t="str">
        <f>VLOOKUP(C69,'Trips&amp;Operators'!$C$1:$E$99999,3,FALSE)</f>
        <v>HOLCOMB</v>
      </c>
      <c r="O69" s="183" t="s">
        <v>202</v>
      </c>
      <c r="P69" s="157"/>
      <c r="Q69" s="31"/>
      <c r="R69" s="100" t="str">
        <f>VLOOKUP(C69,'Train Runs'!$A$13:$AE$9988,31,0)</f>
        <v>aws s3 cp s3://rtdc.mdm.uploadarchive.raw/RTDC4031/ "%USERPROFILE%\AppData\Local\Temp\OnboardLogs"\RTDC4031\1969-12-31 --exclude "*" --recursive --include "*19691231*" &amp; "%USERPROFILE%\Documents\GitHub\mrs-test-scripts\Headless Mode &amp; Sideloading\WalkAndUnGZ.bat" "%USERPROFILE%\AppData\Local\Temp\OnboardLogs"\RTDC4031\1969-12-31 &amp; aws s3 cp s3://rtdc.mdm.uploadarchive.raw/RTDC4031/ "%USERPROFILE%\AppData\Local\Temp\OnboardLogs"\RTDC4031\1970-01-01 --exclude "*" --recursive --include "*19700101*" &amp; "%USERPROFILE%\Documents\GitHub\mrs-test-scripts\Headless Mode &amp; Sideloading\WalkAndUnGZ.bat" "%USERPROFILE%\AppData\Local\Temp\OnboardLogs"\RTDC4031\1970-01-01</v>
      </c>
      <c r="S69" s="103" t="str">
        <f>VLOOKUP(C69,'Train Runs'!$A$13:$AE$9988,22,0)</f>
        <v>https://search-rtdc-monitor-bjffxe2xuh6vdkpspy63sjmuny.us-east-1.es.amazonaws.com/_plugin/kibana/#/discover/Steve-Slow-Train-Analysis-(2080s-and-2083s)?_g=(refreshInterval:(display:Off,section:0,value:0),time:(from:'2016-11-25 18:14:00-700',mode:absolute,to:'1969-12-31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T69" s="105" t="str">
        <f t="shared" si="9"/>
        <v>"C:\Program Files (x86)\AstroGrep\AstroGrep.exe" /spath="%USERPROFILE%\AppData\Local\Temp\OnboardLogs" /stypes="*4031*201611260*" /stext=" 02:.+((SYSTEM_STATE.+slice.+state.+changed )|(ment ac)|(system.+state.+changed )|(\[timeout)|(PRM\|1\|D)|(kpr)|(kdp)|(\|lc)|(penalty))" /e /r /s</v>
      </c>
      <c r="U69" s="9" t="str">
        <f t="shared" si="10"/>
        <v>4031</v>
      </c>
      <c r="V69" s="36">
        <f t="shared" si="11"/>
        <v>42700.096226851849</v>
      </c>
      <c r="W69" s="50" t="str">
        <f t="shared" si="12"/>
        <v>Other</v>
      </c>
      <c r="X69" s="50" t="str">
        <f t="shared" si="13"/>
        <v>KEEP</v>
      </c>
      <c r="Y69" s="119" t="str">
        <f t="shared" si="14"/>
        <v>echo {"issue":{"subject":"","project_id":79,"tracker_id":40,"status_id":1,"priority_id":2,"assigned_to_id":23,"start_date":"2016-11-25","description":"","custom_fields":[{"id":1,"name":"Subdivision","value":"Other"},{"id":4,"name":"Milepost","value":"0.479"},{"id":17,"name":"Train ID","value":"305-25"},{"id":16,"name":"Locomotive ID","value":"4031"},{"id":130,"name":"Impact","value":""},{"id":150,"name":"Time of Event (Mountain Time)","value":"19:18:34"},{"id":151,"name":"Denver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9" s="53"/>
      <c r="AA69" s="53"/>
      <c r="AB69" s="53"/>
      <c r="AC69" s="138" t="str">
        <f t="shared" si="15"/>
        <v>grep -hSE -A100 "Enforcement Action" "%USERPROFILE%\AppData\Local\Temp\OnboardLogs"\RTDC4031\*4031*201611260* | grep -SE "((Enforcement Ac)|(PRM))" -</v>
      </c>
      <c r="AD69" s="1" t="str">
        <f>"grep -hSE ""Enforcement Action"" "&amp;search_path&amp;"\RTDC"&amp;U69&amp;"\*"&amp;U69&amp;"*"&amp;TEXT(A69-utc_offset/24,"YYYYMMDD")&amp;LEFT(TEXT(A69-utc_offset/24,"HH"),1)&amp;"* &gt;&gt; "&amp;Variables!$A$2&amp;"-slicedisagreementcheck.txt"</f>
        <v>grep -hSE "Enforcement Action" "%USERPROFILE%\AppData\Local\Temp\OnboardLogs"\RTDC4031\*4031*201611260* &gt;&gt; 42699-slicedisagreementcheck.txt</v>
      </c>
    </row>
    <row r="70" spans="1:30" x14ac:dyDescent="0.25">
      <c r="A70" s="36">
        <v>42699.726886574077</v>
      </c>
      <c r="B70" s="31" t="s">
        <v>188</v>
      </c>
      <c r="C70" s="31" t="s">
        <v>451</v>
      </c>
      <c r="D70" s="31" t="s">
        <v>98</v>
      </c>
      <c r="E70" s="31" t="s">
        <v>205</v>
      </c>
      <c r="F70" s="47">
        <v>0</v>
      </c>
      <c r="G70" s="47">
        <v>53</v>
      </c>
      <c r="H70" s="47">
        <v>1834</v>
      </c>
      <c r="I70" s="47">
        <v>1969</v>
      </c>
      <c r="J70" s="31" t="s">
        <v>206</v>
      </c>
      <c r="K70" s="47">
        <v>1692</v>
      </c>
      <c r="L70" s="154" t="s">
        <v>50</v>
      </c>
      <c r="M70" s="155">
        <f t="shared" si="8"/>
        <v>-146.256</v>
      </c>
      <c r="N70" s="156" t="str">
        <f>VLOOKUP(C70,'Trips&amp;Operators'!$C$1:$E$99999,3,FALSE)</f>
        <v>BROWN</v>
      </c>
      <c r="O70" s="183" t="s">
        <v>202</v>
      </c>
      <c r="P70" s="157"/>
      <c r="Q70" s="31"/>
      <c r="R70" s="100" t="str">
        <f>VLOOKUP(C70,'Train Runs'!$A$13:$AE$9988,31,0)</f>
        <v>aws s3 cp s3://rtdc.mdm.uploadarchive.raw/RTDC4044/ "%USERPROFILE%\AppData\Local\Temp\OnboardLogs"\RTDC4044\2016-11-25 --exclude "*" --recursive --include "*20161125*" &amp; "%USERPROFILE%\Documents\GitHub\mrs-test-scripts\Headless Mode &amp; Sideloading\WalkAndUnGZ.bat" "%USERPROFILE%\AppData\Local\Temp\OnboardLogs"\RTDC4044\2016-11-25 &amp; aws s3 cp s3://rtdc.mdm.uploadarchive.raw/RTDC4044/ "%USERPROFILE%\AppData\Local\Temp\OnboardLogs"\RTDC4044\2016-11-26 --exclude "*" --recursive --include "*20161126*" &amp; "%USERPROFILE%\Documents\GitHub\mrs-test-scripts\Headless Mode &amp; Sideloading\WalkAndUnGZ.bat" "%USERPROFILE%\AppData\Local\Temp\OnboardLogs"\RTDC4044\2016-11-26</v>
      </c>
      <c r="S70" s="103" t="str">
        <f>VLOOKUP(C70,'Train Runs'!$A$13:$AE$9988,22,0)</f>
        <v>https://search-rtdc-monitor-bjffxe2xuh6vdkpspy63sjmuny.us-east-1.es.amazonaws.com/_plugin/kibana/#/discover/Steve-Slow-Train-Analysis-(2080s-and-2083s)?_g=(refreshInterval:(display:Off,section:0,value:0),time:(from:'2016-11-25 16:15:38-700',mode:absolute,to:'2016-11-25 18:26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T70" s="105" t="str">
        <f t="shared" si="9"/>
        <v>"C:\Program Files (x86)\AstroGrep\AstroGrep.exe" /spath="%USERPROFILE%\AppData\Local\Temp\OnboardLogs" /stypes="*4044*201611260*" /stext=" 00:.+((SYSTEM_STATE.+slice.+state.+changed )|(ment ac)|(system.+state.+changed )|(\[timeout)|(PRM\|1\|D)|(kpr)|(kdp)|(\|lc)|(penalty))" /e /r /s</v>
      </c>
      <c r="U70" s="9" t="str">
        <f t="shared" si="10"/>
        <v>4044</v>
      </c>
      <c r="V70" s="36">
        <f t="shared" si="11"/>
        <v>42700.018553240741</v>
      </c>
      <c r="W70" s="50" t="str">
        <f t="shared" si="12"/>
        <v>Other</v>
      </c>
      <c r="X70" s="50" t="str">
        <f t="shared" si="13"/>
        <v>KEEP</v>
      </c>
      <c r="Y70" s="119" t="str">
        <f t="shared" si="14"/>
        <v>echo {"issue":{"subject":"","project_id":79,"tracker_id":40,"status_id":1,"priority_id":2,"assigned_to_id":23,"start_date":"2016-11-25","description":"","custom_fields":[{"id":1,"name":"Subdivision","value":"Other"},{"id":4,"name":"Milepost","value":"0.1692"},{"id":17,"name":"Train ID","value":"61-25"},{"id":16,"name":"Locomotive ID","value":"4044"},{"id":130,"name":"Impact","value":""},{"id":150,"name":"Time of Event (Mountain Time)","value":"17:26:43"},{"id":151,"name":"Denver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0" s="53"/>
      <c r="AA70" s="53"/>
      <c r="AB70" s="53"/>
      <c r="AC70" s="138" t="str">
        <f t="shared" si="15"/>
        <v>grep -hSE -A100 "Enforcement Action" "%USERPROFILE%\AppData\Local\Temp\OnboardLogs"\RTDC4044\*4044*201611260* | grep -SE "((Enforcement Ac)|(PRM))" -</v>
      </c>
      <c r="AD70" s="1" t="str">
        <f>"grep -hSE ""Enforcement Action"" "&amp;search_path&amp;"\RTDC"&amp;U70&amp;"\*"&amp;U70&amp;"*"&amp;TEXT(A70-utc_offset/24,"YYYYMMDD")&amp;LEFT(TEXT(A70-utc_offset/24,"HH"),1)&amp;"* &gt;&gt; "&amp;Variables!$A$2&amp;"-slicedisagreementcheck.txt"</f>
        <v>grep -hSE "Enforcement Action" "%USERPROFILE%\AppData\Local\Temp\OnboardLogs"\RTDC4044\*4044*201611260* &gt;&gt; 42699-slicedisagreementcheck.txt</v>
      </c>
    </row>
    <row r="71" spans="1:30" x14ac:dyDescent="0.25">
      <c r="A71" s="36">
        <v>42699.72755787037</v>
      </c>
      <c r="B71" s="31" t="s">
        <v>188</v>
      </c>
      <c r="C71" s="31" t="s">
        <v>451</v>
      </c>
      <c r="D71" s="31" t="s">
        <v>98</v>
      </c>
      <c r="E71" s="31" t="s">
        <v>205</v>
      </c>
      <c r="F71" s="47">
        <v>0</v>
      </c>
      <c r="G71" s="47">
        <v>3</v>
      </c>
      <c r="H71" s="47">
        <v>1980</v>
      </c>
      <c r="I71" s="47">
        <v>2019</v>
      </c>
      <c r="J71" s="31" t="s">
        <v>206</v>
      </c>
      <c r="K71" s="47">
        <v>1692</v>
      </c>
      <c r="L71" s="154" t="s">
        <v>50</v>
      </c>
      <c r="M71" s="155">
        <f t="shared" ref="M71:M75" si="16">CONVERT((I71-K71)/10000,"mi","ft")*IF(L71="Increasing Mileposts (1)",-1,1)</f>
        <v>-172.65600000000001</v>
      </c>
      <c r="N71" s="156" t="str">
        <f>VLOOKUP(C71,'Trips&amp;Operators'!$C$1:$E$99999,3,FALSE)</f>
        <v>BROWN</v>
      </c>
      <c r="O71" s="183" t="s">
        <v>202</v>
      </c>
      <c r="P71" s="157"/>
      <c r="Q71" s="31"/>
      <c r="R71" s="100" t="str">
        <f>VLOOKUP(C71,'Train Runs'!$A$13:$AE$9988,31,0)</f>
        <v>aws s3 cp s3://rtdc.mdm.uploadarchive.raw/RTDC4044/ "%USERPROFILE%\AppData\Local\Temp\OnboardLogs"\RTDC4044\2016-11-25 --exclude "*" --recursive --include "*20161125*" &amp; "%USERPROFILE%\Documents\GitHub\mrs-test-scripts\Headless Mode &amp; Sideloading\WalkAndUnGZ.bat" "%USERPROFILE%\AppData\Local\Temp\OnboardLogs"\RTDC4044\2016-11-25 &amp; aws s3 cp s3://rtdc.mdm.uploadarchive.raw/RTDC4044/ "%USERPROFILE%\AppData\Local\Temp\OnboardLogs"\RTDC4044\2016-11-26 --exclude "*" --recursive --include "*20161126*" &amp; "%USERPROFILE%\Documents\GitHub\mrs-test-scripts\Headless Mode &amp; Sideloading\WalkAndUnGZ.bat" "%USERPROFILE%\AppData\Local\Temp\OnboardLogs"\RTDC4044\2016-11-26</v>
      </c>
      <c r="S71" s="103" t="str">
        <f>VLOOKUP(C71,'Train Runs'!$A$13:$AE$9988,22,0)</f>
        <v>https://search-rtdc-monitor-bjffxe2xuh6vdkpspy63sjmuny.us-east-1.es.amazonaws.com/_plugin/kibana/#/discover/Steve-Slow-Train-Analysis-(2080s-and-2083s)?_g=(refreshInterval:(display:Off,section:0,value:0),time:(from:'2016-11-25 16:15:38-700',mode:absolute,to:'2016-11-25 18:26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T71" s="105" t="str">
        <f t="shared" ref="T71:T75" si="17">astrogrep_path&amp;" /spath="&amp;search_path&amp;" /stypes=""*"&amp;U71&amp;"*"&amp;TEXT(A71-utc_offset/24,"YYYYMMDD")&amp;LEFT(TEXT(A71-utc_offset/24,"HH"),1)&amp;"*"" /stext="" "&amp;TEXT(A71-utc_offset/24,"HH")&amp;search_regexp&amp;""" /e /r /s"</f>
        <v>"C:\Program Files (x86)\AstroGrep\AstroGrep.exe" /spath="%USERPROFILE%\AppData\Local\Temp\OnboardLogs" /stypes="*4044*201611260*" /stext=" 00:.+((SYSTEM_STATE.+slice.+state.+changed )|(ment ac)|(system.+state.+changed )|(\[timeout)|(PRM\|1\|D)|(kpr)|(kdp)|(\|lc)|(penalty))" /e /r /s</v>
      </c>
      <c r="U71" s="9" t="str">
        <f t="shared" si="10"/>
        <v>4044</v>
      </c>
      <c r="V71" s="36">
        <f t="shared" si="11"/>
        <v>42700.019224537034</v>
      </c>
      <c r="W71" s="50" t="str">
        <f t="shared" si="12"/>
        <v>Other</v>
      </c>
      <c r="X71" s="50" t="str">
        <f t="shared" si="13"/>
        <v>KEEP</v>
      </c>
      <c r="Y71" s="119" t="str">
        <f t="shared" ref="Y71:Y75" si="18">"echo {""issue"":{""subject"":"""&amp;P71&amp;""",""project_id"":79,""tracker_id"":40,""status_id"":"&amp;redmine_status&amp;",""priority_id"":"&amp;redmine_priority&amp;",""assigned_to_id"":"&amp;redmine_assignee&amp;",""start_date"":"""&amp;TEXT(A71,"YYYY-mm-dd")&amp;""",""description"":"""&amp;Z71&amp;""",""custom_fields"":[{""id"":1,""name"":""Subdivision"",""value"":"""&amp;W71&amp;"""},{""id"":4,""name"":""Milepost"",""value"":"""&amp;K71/10000&amp;"""},{""id"":17,""name"":""Train ID"",""value"":"""&amp;C71&amp;"""},{""id"":16,""name"":""Locomotive ID"",""value"":"""&amp;U71&amp;"""},{""id"":130,""name"":""Impact"",""value"":"""&amp;AA71&amp;"""},{""id"":150,""name"":""Time of Event (Mountain Time)"",""value"":"""&amp;TEXT(A71,"hh:mm:ss")&amp;"""},{""id"":151,""name"":""Denver Issue ID"",""value"":"""&amp;"""},{""id"":178,""name"":""Operational Impact"",""value"":"""&amp;redmine_op_impact&amp;"""},{""id"":179,""name"":""Denver Segment Assigned"",""value"":"""&amp;AB71&amp;"""}]}}"&amp;"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{"issue":{"subject":"","project_id":79,"tracker_id":40,"status_id":1,"priority_id":2,"assigned_to_id":23,"start_date":"2016-11-25","description":"","custom_fields":[{"id":1,"name":"Subdivision","value":"Other"},{"id":4,"name":"Milepost","value":"0.1692"},{"id":17,"name":"Train ID","value":"61-25"},{"id":16,"name":"Locomotive ID","value":"4044"},{"id":130,"name":"Impact","value":""},{"id":150,"name":"Time of Event (Mountain Time)","value":"17:27:41"},{"id":151,"name":"Denver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1" s="53"/>
      <c r="AA71" s="53"/>
      <c r="AB71" s="53"/>
      <c r="AC71" s="138" t="str">
        <f t="shared" si="15"/>
        <v>grep -hSE -A100 "Enforcement Action" "%USERPROFILE%\AppData\Local\Temp\OnboardLogs"\RTDC4044\*4044*201611260* | grep -SE "((Enforcement Ac)|(PRM))" -</v>
      </c>
      <c r="AD71" s="1" t="str">
        <f>"grep -hSE ""Enforcement Action"" "&amp;search_path&amp;"\RTDC"&amp;U71&amp;"\*"&amp;U71&amp;"*"&amp;TEXT(A71-utc_offset/24,"YYYYMMDD")&amp;LEFT(TEXT(A71-utc_offset/24,"HH"),1)&amp;"* &gt;&gt; "&amp;Variables!$A$2&amp;"-slicedisagreementcheck.txt"</f>
        <v>grep -hSE "Enforcement Action" "%USERPROFILE%\AppData\Local\Temp\OnboardLogs"\RTDC4044\*4044*201611260* &gt;&gt; 42699-slicedisagreementcheck.txt</v>
      </c>
    </row>
    <row r="72" spans="1:30" x14ac:dyDescent="0.25">
      <c r="A72" s="36">
        <v>42699.211446759262</v>
      </c>
      <c r="B72" s="31" t="s">
        <v>230</v>
      </c>
      <c r="C72" s="31" t="s">
        <v>406</v>
      </c>
      <c r="D72" s="31" t="s">
        <v>98</v>
      </c>
      <c r="E72" s="31" t="s">
        <v>205</v>
      </c>
      <c r="F72" s="47">
        <v>200</v>
      </c>
      <c r="G72" s="47">
        <v>254</v>
      </c>
      <c r="H72" s="47">
        <v>32680</v>
      </c>
      <c r="I72" s="47">
        <v>33178</v>
      </c>
      <c r="J72" s="31" t="s">
        <v>206</v>
      </c>
      <c r="K72" s="47">
        <v>28702</v>
      </c>
      <c r="L72" s="154" t="s">
        <v>50</v>
      </c>
      <c r="M72" s="155">
        <f t="shared" si="16"/>
        <v>-2363.328</v>
      </c>
      <c r="N72" s="156" t="str">
        <f>VLOOKUP(C72,'Trips&amp;Operators'!$C$1:$E$99999,3,FALSE)</f>
        <v>STRICKLAND</v>
      </c>
      <c r="O72" s="183" t="s">
        <v>202</v>
      </c>
      <c r="P72" s="157"/>
      <c r="Q72" s="31"/>
      <c r="R72" s="100" t="str">
        <f>VLOOKUP(C72,'Train Runs'!$A$13:$AE$9988,31,0)</f>
        <v>aws s3 cp s3://rtdc.mdm.uploadarchive.raw/RTDC4022/ "%USERPROFILE%\AppData\Local\Temp\OnboardLogs"\RTDC4022\2016-11-25 --exclude "*" --recursive --include "*20161125*" &amp; "%USERPROFILE%\Documents\GitHub\mrs-test-scripts\Headless Mode &amp; Sideloading\WalkAndUnGZ.bat" "%USERPROFILE%\AppData\Local\Temp\OnboardLogs"\RTDC4022\2016-11-25 &amp; aws s3 cp s3://rtdc.mdm.uploadarchive.raw/RTDC4022/ "%USERPROFILE%\AppData\Local\Temp\OnboardLogs"\RTDC4022\2016-11-26 --exclude "*" --recursive --include "*20161126*" &amp; "%USERPROFILE%\Documents\GitHub\mrs-test-scripts\Headless Mode &amp; Sideloading\WalkAndUnGZ.bat" "%USERPROFILE%\AppData\Local\Temp\OnboardLogs"\RTDC4022\2016-11-26</v>
      </c>
      <c r="S72" s="103" t="str">
        <f>VLOOKUP(C72,'Train Runs'!$A$13:$AE$9988,22,0)</f>
        <v>https://search-rtdc-monitor-bjffxe2xuh6vdkpspy63sjmuny.us-east-1.es.amazonaws.com/_plugin/kibana/#/discover/Steve-Slow-Train-Analysis-(2080s-and-2083s)?_g=(refreshInterval:(display:Off,section:0,value:0),time:(from:'2016-11-25 04:02:12-700',mode:absolute,to:'2016-11-25 06:11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T72" s="105" t="str">
        <f t="shared" si="17"/>
        <v>"C:\Program Files (x86)\AstroGrep\AstroGrep.exe" /spath="%USERPROFILE%\AppData\Local\Temp\OnboardLogs" /stypes="*4022*201611251*" /stext=" 12:.+((SYSTEM_STATE.+slice.+state.+changed )|(ment ac)|(system.+state.+changed )|(\[timeout)|(PRM\|1\|D)|(kpr)|(kdp)|(\|lc)|(penalty))" /e /r /s</v>
      </c>
      <c r="U72" s="9" t="str">
        <f t="shared" si="10"/>
        <v>4022</v>
      </c>
      <c r="V72" s="36">
        <f t="shared" si="11"/>
        <v>42699.503113425926</v>
      </c>
      <c r="W72" s="50" t="str">
        <f t="shared" si="12"/>
        <v>Other</v>
      </c>
      <c r="X72" s="50" t="str">
        <f t="shared" si="13"/>
        <v>KEEP</v>
      </c>
      <c r="Y72" s="119" t="str">
        <f t="shared" si="18"/>
        <v>echo {"issue":{"subject":"","project_id":79,"tracker_id":40,"status_id":1,"priority_id":2,"assigned_to_id":23,"start_date":"2016-11-25","description":"","custom_fields":[{"id":1,"name":"Subdivision","value":"Other"},{"id":4,"name":"Milepost","value":"2.8702"},{"id":17,"name":"Train ID","value":"901-25"},{"id":16,"name":"Locomotive ID","value":"4022"},{"id":130,"name":"Impact","value":""},{"id":150,"name":"Time of Event (Mountain Time)","value":"05:04:29"},{"id":151,"name":"Denver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2" s="53"/>
      <c r="AA72" s="53"/>
      <c r="AB72" s="53"/>
      <c r="AC72" s="138" t="str">
        <f t="shared" si="15"/>
        <v>grep -hSE -A100 "Enforcement Action" "%USERPROFILE%\AppData\Local\Temp\OnboardLogs"\RTDC4022\*4022*201611251* | grep -SE "((Enforcement Ac)|(PRM))" -</v>
      </c>
      <c r="AD72" s="1" t="str">
        <f>"grep -hSE ""Enforcement Action"" "&amp;search_path&amp;"\RTDC"&amp;U72&amp;"\*"&amp;U72&amp;"*"&amp;TEXT(A72-utc_offset/24,"YYYYMMDD")&amp;LEFT(TEXT(A72-utc_offset/24,"HH"),1)&amp;"* &gt;&gt; "&amp;Variables!$A$2&amp;"-slicedisagreementcheck.txt"</f>
        <v>grep -hSE "Enforcement Action" "%USERPROFILE%\AppData\Local\Temp\OnboardLogs"\RTDC4022\*4022*201611251* &gt;&gt; 42699-slicedisagreementcheck.txt</v>
      </c>
    </row>
    <row r="73" spans="1:30" x14ac:dyDescent="0.25">
      <c r="A73" s="36">
        <v>42699.520590277774</v>
      </c>
      <c r="B73" s="31" t="s">
        <v>289</v>
      </c>
      <c r="C73" s="31" t="s">
        <v>431</v>
      </c>
      <c r="D73" s="31" t="s">
        <v>49</v>
      </c>
      <c r="E73" s="31" t="s">
        <v>298</v>
      </c>
      <c r="F73" s="47">
        <v>0</v>
      </c>
      <c r="G73" s="47">
        <v>52</v>
      </c>
      <c r="H73" s="47">
        <v>23478</v>
      </c>
      <c r="I73" s="47">
        <v>23555</v>
      </c>
      <c r="J73" s="31" t="s">
        <v>299</v>
      </c>
      <c r="K73" s="47">
        <v>23722</v>
      </c>
      <c r="L73" s="154" t="s">
        <v>50</v>
      </c>
      <c r="M73" s="155">
        <f t="shared" si="16"/>
        <v>88.176000000000002</v>
      </c>
      <c r="N73" s="156" t="str">
        <f>VLOOKUP(C73,'Trips&amp;Operators'!$C$1:$E$99999,3,FALSE)</f>
        <v>STRICKLAND</v>
      </c>
      <c r="O73" s="183" t="s">
        <v>202</v>
      </c>
      <c r="P73" s="157"/>
      <c r="Q73" s="31"/>
      <c r="R73" s="100" t="str">
        <f>VLOOKUP(C73,'Train Runs'!$A$13:$AE$9988,31,0)</f>
        <v>aws s3 cp s3://rtdc.mdm.uploadarchive.raw/RTDC4027/ "%USERPROFILE%\AppData\Local\Temp\OnboardLogs"\RTDC4027\1969-12-31 --exclude "*" --recursive --include "*19691231*" &amp; "%USERPROFILE%\Documents\GitHub\mrs-test-scripts\Headless Mode &amp; Sideloading\WalkAndUnGZ.bat" "%USERPROFILE%\AppData\Local\Temp\OnboardLogs"\RTDC4027\1969-12-31 &amp; aws s3 cp s3://rtdc.mdm.uploadarchive.raw/RTDC4027/ "%USERPROFILE%\AppData\Local\Temp\OnboardLogs"\RTDC4027\1970-01-01 --exclude "*" --recursive --include "*19700101*" &amp; "%USERPROFILE%\Documents\GitHub\mrs-test-scripts\Headless Mode &amp; Sideloading\WalkAndUnGZ.bat" "%USERPROFILE%\AppData\Local\Temp\OnboardLogs"\RTDC4027\1970-01-01</v>
      </c>
      <c r="S73" s="103" t="str">
        <f>VLOOKUP(C73,'Train Runs'!$A$13:$AE$9988,22,0)</f>
        <v>https://search-rtdc-monitor-bjffxe2xuh6vdkpspy63sjmuny.us-east-1.es.amazonaws.com/_plugin/kibana/#/discover/Steve-Slow-Train-Analysis-(2080s-and-2083s)?_g=(refreshInterval:(display:Off,section:0,value:0),time:(from:'2016-11-25 11:18:50-700',mode:absolute,to:'1969-12-31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T73" s="105" t="str">
        <f t="shared" si="17"/>
        <v>"C:\Program Files (x86)\AstroGrep\AstroGrep.exe" /spath="%USERPROFILE%\AppData\Local\Temp\OnboardLogs" /stypes="*4027*201611251*" /stext=" 19:.+((SYSTEM_STATE.+slice.+state.+changed )|(ment ac)|(system.+state.+changed )|(\[timeout)|(PRM\|1\|D)|(kpr)|(kdp)|(\|lc)|(penalty))" /e /r /s</v>
      </c>
      <c r="U73" s="9" t="str">
        <f t="shared" si="10"/>
        <v>4027</v>
      </c>
      <c r="V73" s="36">
        <f t="shared" si="11"/>
        <v>42699.812256944439</v>
      </c>
      <c r="W73" s="50" t="str">
        <f t="shared" si="12"/>
        <v>Other</v>
      </c>
      <c r="X73" s="50" t="str">
        <f t="shared" si="13"/>
        <v>KEEP</v>
      </c>
      <c r="Y73" s="119" t="str">
        <f t="shared" si="18"/>
        <v>echo {"issue":{"subject":"","project_id":79,"tracker_id":40,"status_id":1,"priority_id":2,"assigned_to_id":23,"start_date":"2016-11-25","description":"","custom_fields":[{"id":1,"name":"Subdivision","value":"Other"},{"id":4,"name":"Milepost","value":"2.3722"},{"id":17,"name":"Train ID","value":"55-25"},{"id":16,"name":"Locomotive ID","value":"4027"},{"id":130,"name":"Impact","value":""},{"id":150,"name":"Time of Event (Mountain Time)","value":"12:29:39"},{"id":151,"name":"Denver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3" s="53"/>
      <c r="AA73" s="53"/>
      <c r="AB73" s="53"/>
      <c r="AC73" s="138" t="str">
        <f t="shared" si="15"/>
        <v>grep -hSE -A100 "Enforcement Action" "%USERPROFILE%\AppData\Local\Temp\OnboardLogs"\RTDC4027\*4027*201611251* | grep -SE "((Enforcement Ac)|(PRM))" -</v>
      </c>
      <c r="AD73" s="1" t="str">
        <f>"grep -hSE ""Enforcement Action"" "&amp;search_path&amp;"\RTDC"&amp;U73&amp;"\*"&amp;U73&amp;"*"&amp;TEXT(A73-utc_offset/24,"YYYYMMDD")&amp;LEFT(TEXT(A73-utc_offset/24,"HH"),1)&amp;"* &gt;&gt; "&amp;Variables!$A$2&amp;"-slicedisagreementcheck.txt"</f>
        <v>grep -hSE "Enforcement Action" "%USERPROFILE%\AppData\Local\Temp\OnboardLogs"\RTDC4027\*4027*201611251* &gt;&gt; 42699-slicedisagreementcheck.txt</v>
      </c>
    </row>
    <row r="74" spans="1:30" x14ac:dyDescent="0.25">
      <c r="A74" s="36">
        <v>42699.46597222222</v>
      </c>
      <c r="B74" s="31" t="s">
        <v>213</v>
      </c>
      <c r="C74" s="31" t="s">
        <v>428</v>
      </c>
      <c r="D74" s="31" t="s">
        <v>49</v>
      </c>
      <c r="E74" s="31" t="s">
        <v>207</v>
      </c>
      <c r="F74" s="47">
        <v>0</v>
      </c>
      <c r="G74" s="47">
        <v>33</v>
      </c>
      <c r="H74" s="47">
        <v>960</v>
      </c>
      <c r="I74" s="47">
        <v>934</v>
      </c>
      <c r="J74" s="31" t="s">
        <v>208</v>
      </c>
      <c r="K74" s="47">
        <v>826</v>
      </c>
      <c r="L74" s="154" t="s">
        <v>51</v>
      </c>
      <c r="M74" s="155">
        <f t="shared" si="16"/>
        <v>57.024000000000001</v>
      </c>
      <c r="N74" s="156" t="str">
        <f>VLOOKUP(C74,'Trips&amp;Operators'!$C$1:$E$99999,3,FALSE)</f>
        <v>MOSES</v>
      </c>
      <c r="O74" s="183" t="s">
        <v>202</v>
      </c>
      <c r="P74" s="157"/>
      <c r="Q74" s="31"/>
      <c r="R74" s="100" t="str">
        <f>VLOOKUP(C74,'Train Runs'!$A$13:$AE$9988,31,0)</f>
        <v>aws s3 cp s3://rtdc.mdm.uploadarchive.raw/RTDC4030/ "%USERPROFILE%\AppData\Local\Temp\OnboardLogs"\RTDC4030\2016-11-25 --exclude "*" --recursive --include "*20161125*" &amp; "%USERPROFILE%\Documents\GitHub\mrs-test-scripts\Headless Mode &amp; Sideloading\WalkAndUnGZ.bat" "%USERPROFILE%\AppData\Local\Temp\OnboardLogs"\RTDC4030\2016-11-25 &amp; aws s3 cp s3://rtdc.mdm.uploadarchive.raw/RTDC4030/ "%USERPROFILE%\AppData\Local\Temp\OnboardLogs"\RTDC4030\2016-11-26 --exclude "*" --recursive --include "*20161126*" &amp; "%USERPROFILE%\Documents\GitHub\mrs-test-scripts\Headless Mode &amp; Sideloading\WalkAndUnGZ.bat" "%USERPROFILE%\AppData\Local\Temp\OnboardLogs"\RTDC4030\2016-11-26</v>
      </c>
      <c r="S74" s="103" t="str">
        <f>VLOOKUP(C74,'Train Runs'!$A$13:$AE$9988,22,0)</f>
        <v>https://search-rtdc-monitor-bjffxe2xuh6vdkpspy63sjmuny.us-east-1.es.amazonaws.com/_plugin/kibana/#/discover/Steve-Slow-Train-Analysis-(2080s-and-2083s)?_g=(refreshInterval:(display:Off,section:0,value:0),time:(from:'2016-11-25 10:00:09-700',mode:absolute,to:'2016-11-25 12:10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T74" s="105" t="str">
        <f t="shared" si="17"/>
        <v>"C:\Program Files (x86)\AstroGrep\AstroGrep.exe" /spath="%USERPROFILE%\AppData\Local\Temp\OnboardLogs" /stypes="*4030*201611251*" /stext=" 18:.+((SYSTEM_STATE.+slice.+state.+changed )|(ment ac)|(system.+state.+changed )|(\[timeout)|(PRM\|1\|D)|(kpr)|(kdp)|(\|lc)|(penalty))" /e /r /s</v>
      </c>
      <c r="U74" s="9" t="str">
        <f t="shared" si="10"/>
        <v>4030</v>
      </c>
      <c r="V74" s="36">
        <f t="shared" si="11"/>
        <v>42699.757638888885</v>
      </c>
      <c r="W74" s="50" t="str">
        <f t="shared" si="12"/>
        <v>Other</v>
      </c>
      <c r="X74" s="50" t="str">
        <f t="shared" si="13"/>
        <v>KEEP</v>
      </c>
      <c r="Y74" s="119" t="str">
        <f t="shared" si="18"/>
        <v>echo {"issue":{"subject":"","project_id":79,"tracker_id":40,"status_id":1,"priority_id":2,"assigned_to_id":23,"start_date":"2016-11-25","description":"","custom_fields":[{"id":1,"name":"Subdivision","value":"Other"},{"id":4,"name":"Milepost","value":"0.0826"},{"id":17,"name":"Train ID","value":"52-25"},{"id":16,"name":"Locomotive ID","value":"4030"},{"id":130,"name":"Impact","value":""},{"id":150,"name":"Time of Event (Mountain Time)","value":"11:11:00"},{"id":151,"name":"Denver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4" s="53"/>
      <c r="AA74" s="53"/>
      <c r="AB74" s="53"/>
      <c r="AC74" s="138" t="str">
        <f t="shared" si="15"/>
        <v>grep -hSE -A100 "Enforcement Action" "%USERPROFILE%\AppData\Local\Temp\OnboardLogs"\RTDC4030\*4030*201611251* | grep -SE "((Enforcement Ac)|(PRM))" -</v>
      </c>
      <c r="AD74" s="1" t="str">
        <f>"grep -hSE ""Enforcement Action"" "&amp;search_path&amp;"\RTDC"&amp;U74&amp;"\*"&amp;U74&amp;"*"&amp;TEXT(A74-utc_offset/24,"YYYYMMDD")&amp;LEFT(TEXT(A74-utc_offset/24,"HH"),1)&amp;"* &gt;&gt; "&amp;Variables!$A$2&amp;"-slicedisagreementcheck.txt"</f>
        <v>grep -hSE "Enforcement Action" "%USERPROFILE%\AppData\Local\Temp\OnboardLogs"\RTDC4030\*4030*201611251* &gt;&gt; 42699-slicedisagreementcheck.txt</v>
      </c>
    </row>
    <row r="75" spans="1:30" x14ac:dyDescent="0.25">
      <c r="A75" s="36">
        <v>42699.757488425923</v>
      </c>
      <c r="B75" s="31" t="s">
        <v>336</v>
      </c>
      <c r="C75" s="31" t="s">
        <v>454</v>
      </c>
      <c r="D75" s="31" t="s">
        <v>49</v>
      </c>
      <c r="E75" s="31" t="s">
        <v>207</v>
      </c>
      <c r="F75" s="47">
        <v>0</v>
      </c>
      <c r="G75" s="47">
        <v>22</v>
      </c>
      <c r="H75" s="47">
        <v>913</v>
      </c>
      <c r="I75" s="47">
        <v>898</v>
      </c>
      <c r="J75" s="31" t="s">
        <v>208</v>
      </c>
      <c r="K75" s="47">
        <v>839</v>
      </c>
      <c r="L75" s="154" t="s">
        <v>51</v>
      </c>
      <c r="M75" s="155">
        <f t="shared" si="16"/>
        <v>31.152000000000001</v>
      </c>
      <c r="N75" s="156" t="str">
        <f>VLOOKUP(C75,'Trips&amp;Operators'!$C$1:$E$99999,3,FALSE)</f>
        <v>MCREYNOLDS</v>
      </c>
      <c r="O75" s="183" t="s">
        <v>202</v>
      </c>
      <c r="P75" s="157"/>
      <c r="Q75" s="31"/>
      <c r="R75" s="100" t="str">
        <f>VLOOKUP(C75,'Train Runs'!$A$13:$AE$9988,31,0)</f>
        <v>aws s3 cp s3://rtdc.mdm.uploadarchive.raw/RTDC4015/ "%USERPROFILE%\AppData\Local\Temp\OnboardLogs"\RTDC4015\2016-11-25 --exclude "*" --recursive --include "*20161125*" &amp; "%USERPROFILE%\Documents\GitHub\mrs-test-scripts\Headless Mode &amp; Sideloading\WalkAndUnGZ.bat" "%USERPROFILE%\AppData\Local\Temp\OnboardLogs"\RTDC4015\2016-11-25 &amp; aws s3 cp s3://rtdc.mdm.uploadarchive.raw/RTDC4015/ "%USERPROFILE%\AppData\Local\Temp\OnboardLogs"\RTDC4015\2016-11-26 --exclude "*" --recursive --include "*20161126*" &amp; "%USERPROFILE%\Documents\GitHub\mrs-test-scripts\Headless Mode &amp; Sideloading\WalkAndUnGZ.bat" "%USERPROFILE%\AppData\Local\Temp\OnboardLogs"\RTDC4015\2016-11-26</v>
      </c>
      <c r="S75" s="103" t="str">
        <f>VLOOKUP(C75,'Train Runs'!$A$13:$AE$9988,22,0)</f>
        <v>https://search-rtdc-monitor-bjffxe2xuh6vdkpspy63sjmuny.us-east-1.es.amazonaws.com/_plugin/kibana/#/discover/Steve-Slow-Train-Analysis-(2080s-and-2083s)?_g=(refreshInterval:(display:Off,section:0,value:0),time:(from:'2016-11-25 16:56:08-700',mode:absolute,to:'2016-11-25 19:10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75" s="105" t="str">
        <f t="shared" si="17"/>
        <v>"C:\Program Files (x86)\AstroGrep\AstroGrep.exe" /spath="%USERPROFILE%\AppData\Local\Temp\OnboardLogs" /stypes="*4015*201611260*" /stext=" 01:.+((SYSTEM_STATE.+slice.+state.+changed )|(ment ac)|(system.+state.+changed )|(\[timeout)|(PRM\|1\|D)|(kpr)|(kdp)|(\|lc)|(penalty))" /e /r /s</v>
      </c>
      <c r="U75" s="9" t="str">
        <f t="shared" si="10"/>
        <v>4015</v>
      </c>
      <c r="V75" s="36">
        <f t="shared" si="11"/>
        <v>42700.049155092587</v>
      </c>
      <c r="W75" s="50" t="str">
        <f t="shared" si="12"/>
        <v>Other</v>
      </c>
      <c r="X75" s="50" t="str">
        <f t="shared" si="13"/>
        <v>KEEP</v>
      </c>
      <c r="Y75" s="119" t="str">
        <f t="shared" si="18"/>
        <v>echo {"issue":{"subject":"","project_id":79,"tracker_id":40,"status_id":1,"priority_id":2,"assigned_to_id":23,"start_date":"2016-11-25","description":"","custom_fields":[{"id":1,"name":"Subdivision","value":"Other"},{"id":4,"name":"Milepost","value":"0.0839"},{"id":17,"name":"Train ID","value":"74-25"},{"id":16,"name":"Locomotive ID","value":"4015"},{"id":130,"name":"Impact","value":""},{"id":150,"name":"Time of Event (Mountain Time)","value":"18:10:47"},{"id":151,"name":"Denver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5" s="53"/>
      <c r="AA75" s="53"/>
      <c r="AB75" s="53"/>
      <c r="AC75" s="138" t="str">
        <f t="shared" si="15"/>
        <v>grep -hSE -A100 "Enforcement Action" "%USERPROFILE%\AppData\Local\Temp\OnboardLogs"\RTDC4015\*4015*201611260* | grep -SE "((Enforcement Ac)|(PRM))" -</v>
      </c>
      <c r="AD75" s="1" t="str">
        <f>"grep -hSE ""Enforcement Action"" "&amp;search_path&amp;"\RTDC"&amp;U75&amp;"\*"&amp;U75&amp;"*"&amp;TEXT(A75-utc_offset/24,"YYYYMMDD")&amp;LEFT(TEXT(A75-utc_offset/24,"HH"),1)&amp;"* &gt;&gt; "&amp;Variables!$A$2&amp;"-slicedisagreementcheck.txt"</f>
        <v>grep -hSE "Enforcement Action" "%USERPROFILE%\AppData\Local\Temp\OnboardLogs"\RTDC4015\*4015*201611260* &gt;&gt; 42699-slicedisagreementcheck.txt</v>
      </c>
    </row>
    <row r="80" spans="1:30" x14ac:dyDescent="0.25">
      <c r="N80" s="135" t="s">
        <v>987</v>
      </c>
    </row>
  </sheetData>
  <autoFilter ref="A6:AC75"/>
  <sortState ref="A7:AD75">
    <sortCondition ref="W7:W75"/>
    <sortCondition ref="E7:E75"/>
    <sortCondition ref="K7:K75"/>
    <sortCondition ref="C7:C75"/>
    <sortCondition ref="F7:F75"/>
  </sortState>
  <mergeCells count="1">
    <mergeCell ref="A5:O5"/>
  </mergeCells>
  <conditionalFormatting sqref="O6:P6 R6 O7:O1048576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75">
    <cfRule type="expression" dxfId="1" priority="20">
      <formula>$O7="Y"</formula>
    </cfRule>
  </conditionalFormatting>
  <hyperlinks>
    <hyperlink ref="Z21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AA7:AA75</xm:sqref>
        </x14:dataValidation>
        <x14:dataValidation type="list" allowBlank="1" showInputMessage="1" showErrorMessage="1">
          <x14:formula1>
            <xm:f>'Redmine List Values'!$C$2:$C$15</xm:f>
          </x14:formula1>
          <xm:sqref>AB7:AB75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7"/>
  <sheetViews>
    <sheetView workbookViewId="0"/>
  </sheetViews>
  <sheetFormatPr defaultRowHeight="15" x14ac:dyDescent="0.25"/>
  <cols>
    <col min="1" max="1" width="9.140625" style="165"/>
    <col min="2" max="2" width="9.140625" style="2" customWidth="1"/>
    <col min="3" max="3" width="8" style="108" bestFit="1" customWidth="1"/>
    <col min="4" max="4" width="9.85546875" style="161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1" customFormat="1" x14ac:dyDescent="0.25">
      <c r="A1" s="165"/>
      <c r="B1" s="186" t="str">
        <f>"Trips that did not appear in PTC Data "&amp;TEXT(Variables!$A$2,"YYYY-mm-dd")</f>
        <v>Trips that did not appear in PTC Data 2016-11-25</v>
      </c>
      <c r="C1" s="186"/>
      <c r="D1" s="186"/>
      <c r="E1" s="186"/>
      <c r="F1" s="186"/>
    </row>
    <row r="2" spans="1:11" s="24" customFormat="1" ht="45" x14ac:dyDescent="0.25">
      <c r="A2" s="178" t="s">
        <v>155</v>
      </c>
      <c r="B2" s="110" t="s">
        <v>58</v>
      </c>
      <c r="C2" s="107" t="s">
        <v>59</v>
      </c>
      <c r="D2" s="162" t="s">
        <v>60</v>
      </c>
      <c r="E2" s="24" t="s">
        <v>56</v>
      </c>
      <c r="F2" s="24" t="s">
        <v>57</v>
      </c>
      <c r="G2" s="24" t="s">
        <v>61</v>
      </c>
      <c r="H2" s="29" t="s">
        <v>62</v>
      </c>
      <c r="I2" s="29" t="s">
        <v>104</v>
      </c>
    </row>
    <row r="3" spans="1:11" x14ac:dyDescent="0.25">
      <c r="A3" s="179">
        <v>107</v>
      </c>
      <c r="B3" s="47" t="str">
        <f>A3&amp;"-"&amp;IF(DAY(Variables!$A$2)&lt;10,0,"")&amp;DAY(Variables!$A$2)</f>
        <v>107-25</v>
      </c>
      <c r="C3" s="158"/>
      <c r="D3" s="163"/>
      <c r="E3" s="31"/>
      <c r="F3" s="22" t="str">
        <f>VLOOKUP(B3,'Trips&amp;Operators'!$C$2:$E$10000,3,FALSE)</f>
        <v>ISHMAEL</v>
      </c>
      <c r="G3" s="22" t="str">
        <f>VLOOKUP(B3,'Trips&amp;Operators'!$C$1:$F$10000,4,FALSE)</f>
        <v>rtdc.l.rtdc.4042:itc</v>
      </c>
      <c r="H3" s="30">
        <f>VLOOKUP(B3,'Trips&amp;Operators'!$C$1:$H$10000,5,FALSE)</f>
        <v>42699.177314814813</v>
      </c>
      <c r="I3" s="50" t="str">
        <f t="shared" ref="I3:I7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22107-25%22)),sort:!(Time,asc))</v>
      </c>
      <c r="J3" s="31" t="str">
        <f>VLOOKUP(B3,'Train Runs'!$A$13:$A$99985,1,FALSE)</f>
        <v>107-25</v>
      </c>
      <c r="K3" s="31" t="e">
        <f>IF(VLOOKUP(A3,$K$42:$K$65,1,FALSE),"Cancelled")</f>
        <v>#N/A</v>
      </c>
    </row>
    <row r="4" spans="1:11" x14ac:dyDescent="0.25">
      <c r="A4" s="171"/>
      <c r="B4" s="47" t="str">
        <f>A4&amp;"-"&amp;IF(DAY(Variables!$A$2)&lt;10,0,"")&amp;DAY(Variables!$A$2)</f>
        <v>-25</v>
      </c>
      <c r="C4" s="158"/>
      <c r="D4" s="163"/>
      <c r="E4" s="31"/>
      <c r="F4" s="22" t="e">
        <f>VLOOKUP(B4,'Trips&amp;Operators'!$C$2:$E$10000,3,FALSE)</f>
        <v>#N/A</v>
      </c>
      <c r="G4" s="22" t="e">
        <f>VLOOKUP(B4,'Trips&amp;Operators'!$C$1:$F$10000,4,FALSE)</f>
        <v>#N/A</v>
      </c>
      <c r="H4" s="30" t="e">
        <f>VLOOKUP(B4,'Trips&amp;Operators'!$C$1:$H$10000,5,FALSE)</f>
        <v>#N/A</v>
      </c>
      <c r="I4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-25%22)),sort:!(Time,asc))</v>
      </c>
      <c r="J4" s="31" t="e">
        <f>VLOOKUP(B4,'Train Runs'!$A$13:$A$99985,1,FALSE)</f>
        <v>#N/A</v>
      </c>
      <c r="K4" s="31" t="e">
        <f>IF(VLOOKUP(A4,$K$42:$K$65,1,FALSE),"Cancelled")</f>
        <v>#N/A</v>
      </c>
    </row>
    <row r="5" spans="1:11" x14ac:dyDescent="0.25">
      <c r="A5" s="171"/>
      <c r="B5" s="47" t="str">
        <f>A5&amp;"-"&amp;IF(DAY(Variables!$A$2)&lt;10,0,"")&amp;DAY(Variables!$A$2)</f>
        <v>-25</v>
      </c>
      <c r="C5" s="158"/>
      <c r="D5" s="163"/>
      <c r="E5" s="31"/>
      <c r="F5" s="22" t="e">
        <f>VLOOKUP(B5,'Trips&amp;Operators'!$C$2:$E$10000,3,FALSE)</f>
        <v>#N/A</v>
      </c>
      <c r="G5" s="22" t="e">
        <f>VLOOKUP(B5,'Trips&amp;Operators'!$C$1:$F$10000,4,FALSE)</f>
        <v>#N/A</v>
      </c>
      <c r="H5" s="30" t="e">
        <f>VLOOKUP(B5,'Trips&amp;Operators'!$C$1:$H$10000,5,FALSE)</f>
        <v>#N/A</v>
      </c>
      <c r="I5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-25%22)),sort:!(Time,asc))</v>
      </c>
      <c r="J5" s="31" t="e">
        <f>VLOOKUP(B5,'Train Runs'!$A$13:$A$99985,1,FALSE)</f>
        <v>#N/A</v>
      </c>
      <c r="K5" s="31" t="e">
        <f>IF(VLOOKUP(A5,$K$42:$K$65,1,FALSE),"Cancelled")</f>
        <v>#N/A</v>
      </c>
    </row>
    <row r="6" spans="1:11" x14ac:dyDescent="0.25">
      <c r="A6" s="171"/>
      <c r="B6" s="47" t="str">
        <f>A6&amp;"-"&amp;IF(DAY(Variables!$A$2)&lt;10,0,"")&amp;DAY(Variables!$A$2)</f>
        <v>-25</v>
      </c>
      <c r="C6" s="158"/>
      <c r="D6" s="163"/>
      <c r="E6" s="31"/>
      <c r="F6" s="22" t="e">
        <f>VLOOKUP(B6,'Trips&amp;Operators'!$C$2:$E$10000,3,FALSE)</f>
        <v>#N/A</v>
      </c>
      <c r="G6" s="22" t="e">
        <f>VLOOKUP(B6,'Trips&amp;Operators'!$C$1:$F$10000,4,FALSE)</f>
        <v>#N/A</v>
      </c>
      <c r="H6" s="30" t="e">
        <f>VLOOKUP(B6,'Trips&amp;Operators'!$C$1:$H$10000,5,FALSE)</f>
        <v>#N/A</v>
      </c>
      <c r="I6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-25%22)),sort:!(Time,asc))</v>
      </c>
      <c r="J6" s="31" t="e">
        <f>VLOOKUP(B6,'Train Runs'!$A$13:$A$99985,1,FALSE)</f>
        <v>#N/A</v>
      </c>
      <c r="K6" s="31" t="e">
        <f>IF(VLOOKUP(A6,$K$42:$K$65,1,FALSE),"Cancelled")</f>
        <v>#N/A</v>
      </c>
    </row>
    <row r="7" spans="1:11" x14ac:dyDescent="0.25">
      <c r="A7" s="171"/>
      <c r="B7" s="47" t="str">
        <f>A7&amp;"-"&amp;IF(DAY(Variables!$A$2)&lt;10,0,"")&amp;DAY(Variables!$A$2)</f>
        <v>-25</v>
      </c>
      <c r="C7" s="158"/>
      <c r="D7" s="163"/>
      <c r="E7" s="31"/>
      <c r="F7" s="22" t="e">
        <f>VLOOKUP(B7,'Trips&amp;Operators'!$C$2:$E$10000,3,FALSE)</f>
        <v>#N/A</v>
      </c>
      <c r="G7" s="22" t="e">
        <f>VLOOKUP(B7,'Trips&amp;Operators'!$C$1:$F$10000,4,FALSE)</f>
        <v>#N/A</v>
      </c>
      <c r="H7" s="30" t="e">
        <f>VLOOKUP(B7,'Trips&amp;Operators'!$C$1:$H$10000,5,FALSE)</f>
        <v>#N/A</v>
      </c>
      <c r="I7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-25%22)),sort:!(Time,asc))</v>
      </c>
      <c r="J7" s="31" t="e">
        <f>VLOOKUP(B7,'Train Runs'!$A$13:$A$99985,1,FALSE)</f>
        <v>#N/A</v>
      </c>
      <c r="K7" s="31" t="e">
        <f>IF(VLOOKUP(A7,$K$42:$K$65,1,FALSE),"Cancelled")</f>
        <v>#N/A</v>
      </c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/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1" bestFit="1" customWidth="1"/>
    <col min="7" max="7" width="18.28515625" style="8" bestFit="1" customWidth="1"/>
  </cols>
  <sheetData>
    <row r="1" spans="1:7" s="21" customFormat="1" x14ac:dyDescent="0.25">
      <c r="A1" s="8" t="s">
        <v>180</v>
      </c>
      <c r="B1" s="21" t="s">
        <v>181</v>
      </c>
      <c r="C1" s="21" t="s">
        <v>0</v>
      </c>
      <c r="D1" s="21" t="s">
        <v>182</v>
      </c>
      <c r="E1" s="21" t="s">
        <v>183</v>
      </c>
      <c r="F1" s="21" t="str">
        <f>B1</f>
        <v>Source</v>
      </c>
      <c r="G1" s="8" t="str">
        <f>A1</f>
        <v>Time (US/Mountain)</v>
      </c>
    </row>
    <row r="2" spans="1:7" x14ac:dyDescent="0.25">
      <c r="A2" s="8">
        <v>42699.035416666666</v>
      </c>
      <c r="B2" s="21" t="s">
        <v>234</v>
      </c>
      <c r="C2" s="21" t="s">
        <v>339</v>
      </c>
      <c r="D2" s="21">
        <v>1300000</v>
      </c>
      <c r="E2" s="21" t="s">
        <v>113</v>
      </c>
      <c r="F2" s="21" t="str">
        <f t="shared" ref="F2:F65" si="0">B2</f>
        <v>rtdc.l.rtdc.4037:itc</v>
      </c>
      <c r="G2" s="8">
        <f t="shared" ref="G2:G65" si="1">A2</f>
        <v>42699.035416666666</v>
      </c>
    </row>
    <row r="3" spans="1:7" x14ac:dyDescent="0.25">
      <c r="A3" s="8">
        <v>42699.045844907407</v>
      </c>
      <c r="B3" s="21" t="s">
        <v>337</v>
      </c>
      <c r="C3" s="21" t="s">
        <v>346</v>
      </c>
      <c r="D3" s="21">
        <v>1290000</v>
      </c>
      <c r="E3" s="21" t="s">
        <v>279</v>
      </c>
      <c r="F3" s="21" t="str">
        <f t="shared" si="0"/>
        <v>rtdc.l.rtdc.4016:itc</v>
      </c>
      <c r="G3" s="8">
        <f t="shared" si="1"/>
        <v>42699.045844907407</v>
      </c>
    </row>
    <row r="4" spans="1:7" x14ac:dyDescent="0.25">
      <c r="A4" s="8">
        <v>42699.046817129631</v>
      </c>
      <c r="B4" s="21" t="s">
        <v>337</v>
      </c>
      <c r="C4" s="21" t="s">
        <v>346</v>
      </c>
      <c r="D4" s="21">
        <v>1290000</v>
      </c>
      <c r="E4" s="21" t="s">
        <v>279</v>
      </c>
      <c r="F4" s="21" t="str">
        <f t="shared" si="0"/>
        <v>rtdc.l.rtdc.4016:itc</v>
      </c>
      <c r="G4" s="8">
        <f t="shared" si="1"/>
        <v>42699.046817129631</v>
      </c>
    </row>
    <row r="5" spans="1:7" x14ac:dyDescent="0.25">
      <c r="A5" s="8">
        <v>42699.054270833331</v>
      </c>
      <c r="B5" s="21" t="s">
        <v>311</v>
      </c>
      <c r="C5" s="21" t="s">
        <v>347</v>
      </c>
      <c r="D5" s="21">
        <v>2000000</v>
      </c>
      <c r="E5" s="21" t="s">
        <v>222</v>
      </c>
      <c r="F5" s="21" t="str">
        <f t="shared" si="0"/>
        <v>rtdc.l.rtdc.4008:itc</v>
      </c>
      <c r="G5" s="8">
        <f t="shared" si="1"/>
        <v>42699.054270833331</v>
      </c>
    </row>
    <row r="6" spans="1:7" x14ac:dyDescent="0.25">
      <c r="A6" s="8">
        <v>42699.067233796297</v>
      </c>
      <c r="B6" s="21" t="s">
        <v>233</v>
      </c>
      <c r="C6" s="21" t="s">
        <v>348</v>
      </c>
      <c r="D6" s="21">
        <v>1300000</v>
      </c>
      <c r="E6" s="21" t="s">
        <v>113</v>
      </c>
      <c r="F6" s="21" t="str">
        <f t="shared" si="0"/>
        <v>rtdc.l.rtdc.4038:itc</v>
      </c>
      <c r="G6" s="8">
        <f t="shared" si="1"/>
        <v>42699.067233796297</v>
      </c>
    </row>
    <row r="7" spans="1:7" x14ac:dyDescent="0.25">
      <c r="A7" s="8">
        <v>42699.068645833337</v>
      </c>
      <c r="B7" s="21" t="s">
        <v>233</v>
      </c>
      <c r="C7" s="21" t="s">
        <v>348</v>
      </c>
      <c r="D7" s="21">
        <v>1300000</v>
      </c>
      <c r="E7" s="21" t="s">
        <v>113</v>
      </c>
      <c r="F7" s="21" t="str">
        <f t="shared" si="0"/>
        <v>rtdc.l.rtdc.4038:itc</v>
      </c>
      <c r="G7" s="8">
        <f t="shared" si="1"/>
        <v>42699.068645833337</v>
      </c>
    </row>
    <row r="8" spans="1:7" x14ac:dyDescent="0.25">
      <c r="A8" s="8">
        <v>42699.088229166664</v>
      </c>
      <c r="B8" s="21" t="s">
        <v>315</v>
      </c>
      <c r="C8" s="21" t="s">
        <v>349</v>
      </c>
      <c r="D8" s="21">
        <v>2000000</v>
      </c>
      <c r="E8" s="21" t="s">
        <v>222</v>
      </c>
      <c r="F8" s="21" t="str">
        <f t="shared" si="0"/>
        <v>rtdc.l.rtdc.4007:itc</v>
      </c>
      <c r="G8" s="8">
        <f t="shared" si="1"/>
        <v>42699.088229166664</v>
      </c>
    </row>
    <row r="9" spans="1:7" ht="15.75" thickBot="1" x14ac:dyDescent="0.3">
      <c r="A9" s="25">
        <v>42699.122442129628</v>
      </c>
      <c r="B9" s="21" t="s">
        <v>422</v>
      </c>
      <c r="C9" s="21" t="s">
        <v>464</v>
      </c>
      <c r="D9" s="21">
        <v>2010000</v>
      </c>
      <c r="E9" s="21" t="s">
        <v>314</v>
      </c>
      <c r="F9" s="21" t="str">
        <f t="shared" si="0"/>
        <v>rtdc.l.rtdc.4032:itc</v>
      </c>
      <c r="G9" s="8">
        <f t="shared" si="1"/>
        <v>42699.122442129628</v>
      </c>
    </row>
    <row r="10" spans="1:7" x14ac:dyDescent="0.25">
      <c r="A10" s="8">
        <v>42699.132025462961</v>
      </c>
      <c r="B10" s="21" t="s">
        <v>218</v>
      </c>
      <c r="C10" s="21" t="s">
        <v>465</v>
      </c>
      <c r="D10" s="21">
        <v>2010000</v>
      </c>
      <c r="E10" s="21" t="s">
        <v>314</v>
      </c>
      <c r="F10" s="21" t="str">
        <f t="shared" si="0"/>
        <v>rtdc.l.rtdc.4040:itc</v>
      </c>
      <c r="G10" s="8">
        <f t="shared" si="1"/>
        <v>42699.132025462961</v>
      </c>
    </row>
    <row r="11" spans="1:7" x14ac:dyDescent="0.25">
      <c r="A11" s="8">
        <v>42699.144085648149</v>
      </c>
      <c r="B11" s="21" t="s">
        <v>223</v>
      </c>
      <c r="C11" s="21" t="s">
        <v>466</v>
      </c>
      <c r="D11" s="21">
        <v>1990000</v>
      </c>
      <c r="E11" s="21" t="s">
        <v>269</v>
      </c>
      <c r="F11" s="21" t="str">
        <f t="shared" si="0"/>
        <v>rtdc.l.rtdc.4012:itc</v>
      </c>
      <c r="G11" s="8">
        <f t="shared" si="1"/>
        <v>42699.144085648149</v>
      </c>
    </row>
    <row r="12" spans="1:7" x14ac:dyDescent="0.25">
      <c r="A12" s="8">
        <v>42699.144675925927</v>
      </c>
      <c r="B12" s="21" t="s">
        <v>223</v>
      </c>
      <c r="C12" s="21" t="s">
        <v>467</v>
      </c>
      <c r="D12" s="21">
        <v>1990000</v>
      </c>
      <c r="E12" s="21" t="s">
        <v>269</v>
      </c>
      <c r="F12" s="21" t="str">
        <f t="shared" si="0"/>
        <v>rtdc.l.rtdc.4012:itc</v>
      </c>
      <c r="G12" s="8">
        <f t="shared" si="1"/>
        <v>42699.144675925927</v>
      </c>
    </row>
    <row r="13" spans="1:7" x14ac:dyDescent="0.25">
      <c r="A13" s="8">
        <v>42699.153912037036</v>
      </c>
      <c r="B13" s="21" t="s">
        <v>268</v>
      </c>
      <c r="C13" s="21" t="s">
        <v>466</v>
      </c>
      <c r="D13" s="21">
        <v>1990000</v>
      </c>
      <c r="E13" s="21" t="s">
        <v>269</v>
      </c>
      <c r="F13" s="21" t="str">
        <f t="shared" si="0"/>
        <v>rtdc.l.rtdc.4046:itc</v>
      </c>
      <c r="G13" s="8">
        <f t="shared" si="1"/>
        <v>42699.153912037036</v>
      </c>
    </row>
    <row r="14" spans="1:7" x14ac:dyDescent="0.25">
      <c r="A14" s="8">
        <v>42699.159386574072</v>
      </c>
      <c r="B14" s="21" t="s">
        <v>228</v>
      </c>
      <c r="C14" s="21" t="s">
        <v>468</v>
      </c>
      <c r="D14" s="21">
        <v>2140000</v>
      </c>
      <c r="E14" s="21" t="s">
        <v>340</v>
      </c>
      <c r="F14" s="21" t="str">
        <f t="shared" si="0"/>
        <v>rtdc.l.rtdc.4043:itc</v>
      </c>
      <c r="G14" s="8">
        <f t="shared" si="1"/>
        <v>42699.159386574072</v>
      </c>
    </row>
    <row r="15" spans="1:7" x14ac:dyDescent="0.25">
      <c r="A15" s="8">
        <v>42699.166365740741</v>
      </c>
      <c r="B15" s="21" t="s">
        <v>285</v>
      </c>
      <c r="C15" s="21" t="s">
        <v>469</v>
      </c>
      <c r="D15" s="21">
        <v>2100000</v>
      </c>
      <c r="E15" s="21" t="s">
        <v>470</v>
      </c>
      <c r="F15" s="21" t="str">
        <f t="shared" si="0"/>
        <v>rtdc.l.rtdc.4041:itc</v>
      </c>
      <c r="G15" s="8">
        <f t="shared" si="1"/>
        <v>42699.166365740741</v>
      </c>
    </row>
    <row r="16" spans="1:7" x14ac:dyDescent="0.25">
      <c r="A16" s="8">
        <v>42699.169976851852</v>
      </c>
      <c r="B16" s="21" t="s">
        <v>246</v>
      </c>
      <c r="C16" s="21" t="s">
        <v>471</v>
      </c>
      <c r="D16" s="21">
        <v>2140000</v>
      </c>
      <c r="E16" s="21" t="s">
        <v>340</v>
      </c>
      <c r="F16" s="21" t="str">
        <f t="shared" si="0"/>
        <v>rtdc.l.rtdc.4014:itc</v>
      </c>
      <c r="G16" s="8">
        <f t="shared" si="1"/>
        <v>42699.169976851852</v>
      </c>
    </row>
    <row r="17" spans="1:7" x14ac:dyDescent="0.25">
      <c r="A17" s="8">
        <v>42699.170671296299</v>
      </c>
      <c r="B17" s="21" t="s">
        <v>422</v>
      </c>
      <c r="C17" s="21" t="s">
        <v>472</v>
      </c>
      <c r="D17" s="21">
        <v>2010000</v>
      </c>
      <c r="E17" s="21" t="s">
        <v>314</v>
      </c>
      <c r="F17" s="21" t="str">
        <f t="shared" si="0"/>
        <v>rtdc.l.rtdc.4032:itc</v>
      </c>
      <c r="G17" s="8">
        <f t="shared" si="1"/>
        <v>42699.170671296299</v>
      </c>
    </row>
    <row r="18" spans="1:7" x14ac:dyDescent="0.25">
      <c r="A18" s="8">
        <v>42699.177314814813</v>
      </c>
      <c r="B18" s="21" t="s">
        <v>284</v>
      </c>
      <c r="C18" s="21" t="s">
        <v>473</v>
      </c>
      <c r="D18" s="21">
        <v>2100000</v>
      </c>
      <c r="E18" s="21" t="s">
        <v>470</v>
      </c>
      <c r="F18" s="21" t="str">
        <f t="shared" si="0"/>
        <v>rtdc.l.rtdc.4042:itc</v>
      </c>
      <c r="G18" s="8">
        <f t="shared" si="1"/>
        <v>42699.177314814813</v>
      </c>
    </row>
    <row r="19" spans="1:7" x14ac:dyDescent="0.25">
      <c r="A19" s="8">
        <v>42699.179479166669</v>
      </c>
      <c r="B19" s="21" t="s">
        <v>284</v>
      </c>
      <c r="C19" s="21" t="s">
        <v>473</v>
      </c>
      <c r="D19" s="21">
        <v>2100000</v>
      </c>
      <c r="E19" s="21" t="s">
        <v>470</v>
      </c>
      <c r="F19" s="21" t="str">
        <f t="shared" si="0"/>
        <v>rtdc.l.rtdc.4042:itc</v>
      </c>
      <c r="G19" s="8">
        <f t="shared" si="1"/>
        <v>42699.179479166669</v>
      </c>
    </row>
    <row r="20" spans="1:7" x14ac:dyDescent="0.25">
      <c r="A20" s="8">
        <v>42699.181122685186</v>
      </c>
      <c r="B20" s="21" t="s">
        <v>284</v>
      </c>
      <c r="C20" s="21" t="s">
        <v>473</v>
      </c>
      <c r="D20" s="21">
        <v>2100000</v>
      </c>
      <c r="E20" s="21" t="s">
        <v>470</v>
      </c>
      <c r="F20" s="21" t="str">
        <f t="shared" si="0"/>
        <v>rtdc.l.rtdc.4042:itc</v>
      </c>
      <c r="G20" s="8">
        <f t="shared" si="1"/>
        <v>42699.181122685186</v>
      </c>
    </row>
    <row r="21" spans="1:7" x14ac:dyDescent="0.25">
      <c r="A21" s="8">
        <v>42699.181608796294</v>
      </c>
      <c r="B21" s="21" t="s">
        <v>338</v>
      </c>
      <c r="C21" s="21" t="s">
        <v>474</v>
      </c>
      <c r="D21" s="21">
        <v>2110000</v>
      </c>
      <c r="E21" s="21" t="s">
        <v>343</v>
      </c>
      <c r="F21" s="21" t="str">
        <f t="shared" si="0"/>
        <v>rtdc.l.rtdc.4010:itc</v>
      </c>
      <c r="G21" s="8">
        <f t="shared" si="1"/>
        <v>42699.181608796294</v>
      </c>
    </row>
    <row r="22" spans="1:7" x14ac:dyDescent="0.25">
      <c r="A22" s="27">
        <v>42699.189953703702</v>
      </c>
      <c r="B22" s="21" t="s">
        <v>223</v>
      </c>
      <c r="C22" s="21" t="s">
        <v>405</v>
      </c>
      <c r="D22" s="21">
        <v>1990000</v>
      </c>
      <c r="E22" s="21" t="s">
        <v>269</v>
      </c>
      <c r="F22" s="21" t="str">
        <f t="shared" si="0"/>
        <v>rtdc.l.rtdc.4012:itc</v>
      </c>
      <c r="G22" s="8">
        <f t="shared" si="1"/>
        <v>42699.189953703702</v>
      </c>
    </row>
    <row r="23" spans="1:7" x14ac:dyDescent="0.25">
      <c r="A23" s="8">
        <v>42699.191412037035</v>
      </c>
      <c r="B23" s="21" t="s">
        <v>284</v>
      </c>
      <c r="C23" s="21" t="s">
        <v>473</v>
      </c>
      <c r="D23" s="21">
        <v>2100000</v>
      </c>
      <c r="E23" s="21" t="s">
        <v>470</v>
      </c>
      <c r="F23" s="21" t="str">
        <f t="shared" si="0"/>
        <v>rtdc.l.rtdc.4042:itc</v>
      </c>
      <c r="G23" s="8">
        <f t="shared" si="1"/>
        <v>42699.191412037035</v>
      </c>
    </row>
    <row r="24" spans="1:7" x14ac:dyDescent="0.25">
      <c r="A24" s="8">
        <v>42699.194374999999</v>
      </c>
      <c r="B24" s="21" t="s">
        <v>186</v>
      </c>
      <c r="C24" s="21" t="s">
        <v>475</v>
      </c>
      <c r="D24" s="21">
        <v>2110000</v>
      </c>
      <c r="E24" s="21" t="s">
        <v>343</v>
      </c>
      <c r="F24" s="21" t="str">
        <f t="shared" si="0"/>
        <v>rtdc.l.rtdc.4009:itc</v>
      </c>
      <c r="G24" s="8">
        <f t="shared" si="1"/>
        <v>42699.194374999999</v>
      </c>
    </row>
    <row r="25" spans="1:7" x14ac:dyDescent="0.25">
      <c r="A25" s="8">
        <v>42699.204652777778</v>
      </c>
      <c r="B25" s="21" t="s">
        <v>230</v>
      </c>
      <c r="C25" s="21" t="s">
        <v>407</v>
      </c>
      <c r="D25" s="21">
        <v>1760000</v>
      </c>
      <c r="E25" s="21" t="s">
        <v>341</v>
      </c>
      <c r="F25" s="21" t="str">
        <f t="shared" si="0"/>
        <v>rtdc.l.rtdc.4022:itc</v>
      </c>
      <c r="G25" s="8">
        <f t="shared" si="1"/>
        <v>42699.204652777778</v>
      </c>
    </row>
    <row r="26" spans="1:7" x14ac:dyDescent="0.25">
      <c r="A26" s="8">
        <v>42699.205428240741</v>
      </c>
      <c r="B26" s="21" t="s">
        <v>230</v>
      </c>
      <c r="C26" s="21" t="s">
        <v>406</v>
      </c>
      <c r="D26" s="21">
        <v>1760000</v>
      </c>
      <c r="E26" s="21" t="s">
        <v>341</v>
      </c>
      <c r="F26" s="21" t="str">
        <f t="shared" si="0"/>
        <v>rtdc.l.rtdc.4022:itc</v>
      </c>
      <c r="G26" s="8">
        <f t="shared" si="1"/>
        <v>42699.205428240741</v>
      </c>
    </row>
    <row r="27" spans="1:7" x14ac:dyDescent="0.25">
      <c r="A27" s="8">
        <v>42699.206354166665</v>
      </c>
      <c r="B27" s="21" t="s">
        <v>218</v>
      </c>
      <c r="C27" s="21" t="s">
        <v>476</v>
      </c>
      <c r="D27" s="21">
        <v>1090000</v>
      </c>
      <c r="E27" s="21" t="s">
        <v>300</v>
      </c>
      <c r="F27" s="21" t="str">
        <f t="shared" si="0"/>
        <v>rtdc.l.rtdc.4040:itc</v>
      </c>
      <c r="G27" s="8">
        <f t="shared" si="1"/>
        <v>42699.206354166665</v>
      </c>
    </row>
    <row r="28" spans="1:7" x14ac:dyDescent="0.25">
      <c r="A28" s="8">
        <v>42699.209618055553</v>
      </c>
      <c r="B28" s="21" t="s">
        <v>228</v>
      </c>
      <c r="C28" s="21" t="s">
        <v>477</v>
      </c>
      <c r="D28" s="21">
        <v>2140000</v>
      </c>
      <c r="E28" s="21" t="s">
        <v>340</v>
      </c>
      <c r="F28" s="21" t="str">
        <f t="shared" si="0"/>
        <v>rtdc.l.rtdc.4043:itc</v>
      </c>
      <c r="G28" s="8">
        <f t="shared" si="1"/>
        <v>42699.209618055553</v>
      </c>
    </row>
    <row r="29" spans="1:7" x14ac:dyDescent="0.25">
      <c r="A29" s="8">
        <v>42699.210034722222</v>
      </c>
      <c r="B29" s="21" t="s">
        <v>230</v>
      </c>
      <c r="C29" s="21" t="s">
        <v>406</v>
      </c>
      <c r="D29" s="21">
        <v>1760000</v>
      </c>
      <c r="E29" s="21" t="s">
        <v>341</v>
      </c>
      <c r="F29" s="21" t="str">
        <f t="shared" si="0"/>
        <v>rtdc.l.rtdc.4022:itc</v>
      </c>
      <c r="G29" s="8">
        <f t="shared" si="1"/>
        <v>42699.210034722222</v>
      </c>
    </row>
    <row r="30" spans="1:7" x14ac:dyDescent="0.25">
      <c r="A30" s="8">
        <v>42699.211851851855</v>
      </c>
      <c r="B30" s="21" t="s">
        <v>263</v>
      </c>
      <c r="C30" s="21" t="s">
        <v>478</v>
      </c>
      <c r="D30" s="21">
        <v>2010000</v>
      </c>
      <c r="E30" s="21" t="s">
        <v>314</v>
      </c>
      <c r="F30" s="21" t="str">
        <f t="shared" si="0"/>
        <v>rtdc.l.rtdc.4031:itc</v>
      </c>
      <c r="G30" s="8">
        <f t="shared" si="1"/>
        <v>42699.211851851855</v>
      </c>
    </row>
    <row r="31" spans="1:7" x14ac:dyDescent="0.25">
      <c r="A31" s="8">
        <v>42699.217847222222</v>
      </c>
      <c r="B31" s="21" t="s">
        <v>231</v>
      </c>
      <c r="C31" s="21" t="s">
        <v>407</v>
      </c>
      <c r="D31" s="21">
        <v>1760000</v>
      </c>
      <c r="E31" s="21" t="s">
        <v>341</v>
      </c>
      <c r="F31" s="21" t="str">
        <f t="shared" si="0"/>
        <v>rtdc.l.rtdc.4021:itc</v>
      </c>
      <c r="G31" s="8">
        <f t="shared" si="1"/>
        <v>42699.217847222222</v>
      </c>
    </row>
    <row r="32" spans="1:7" x14ac:dyDescent="0.25">
      <c r="A32" s="8">
        <v>42699.218611111108</v>
      </c>
      <c r="B32" s="21" t="s">
        <v>285</v>
      </c>
      <c r="C32" s="21" t="s">
        <v>479</v>
      </c>
      <c r="D32" s="21">
        <v>2100000</v>
      </c>
      <c r="E32" s="21" t="s">
        <v>470</v>
      </c>
      <c r="F32" s="21" t="str">
        <f t="shared" si="0"/>
        <v>rtdc.l.rtdc.4041:itc</v>
      </c>
      <c r="G32" s="8">
        <f t="shared" si="1"/>
        <v>42699.218611111108</v>
      </c>
    </row>
    <row r="33" spans="1:7" x14ac:dyDescent="0.25">
      <c r="A33" s="8">
        <v>42699.22724537037</v>
      </c>
      <c r="B33" s="21" t="s">
        <v>268</v>
      </c>
      <c r="C33" s="21" t="s">
        <v>480</v>
      </c>
      <c r="D33" s="21">
        <v>2430000</v>
      </c>
      <c r="E33" s="21" t="s">
        <v>288</v>
      </c>
      <c r="F33" s="21" t="str">
        <f t="shared" si="0"/>
        <v>rtdc.l.rtdc.4046:itc</v>
      </c>
      <c r="G33" s="8">
        <f t="shared" si="1"/>
        <v>42699.22724537037</v>
      </c>
    </row>
    <row r="34" spans="1:7" x14ac:dyDescent="0.25">
      <c r="A34" s="8">
        <v>42699.231562499997</v>
      </c>
      <c r="B34" s="21" t="s">
        <v>230</v>
      </c>
      <c r="C34" s="21" t="s">
        <v>481</v>
      </c>
      <c r="D34" s="21">
        <v>1760000</v>
      </c>
      <c r="E34" s="21" t="s">
        <v>341</v>
      </c>
      <c r="F34" s="21" t="str">
        <f t="shared" si="0"/>
        <v>rtdc.l.rtdc.4022:itc</v>
      </c>
      <c r="G34" s="8">
        <f t="shared" si="1"/>
        <v>42699.231562499997</v>
      </c>
    </row>
    <row r="35" spans="1:7" x14ac:dyDescent="0.25">
      <c r="A35" s="8">
        <v>42699.232141203705</v>
      </c>
      <c r="B35" s="21" t="s">
        <v>338</v>
      </c>
      <c r="C35" s="21" t="s">
        <v>482</v>
      </c>
      <c r="D35" s="21">
        <v>2110000</v>
      </c>
      <c r="E35" s="21" t="s">
        <v>343</v>
      </c>
      <c r="F35" s="21" t="str">
        <f t="shared" si="0"/>
        <v>rtdc.l.rtdc.4010:itc</v>
      </c>
      <c r="G35" s="8">
        <f t="shared" si="1"/>
        <v>42699.232141203705</v>
      </c>
    </row>
    <row r="36" spans="1:7" x14ac:dyDescent="0.25">
      <c r="A36" s="8">
        <v>42699.232210648152</v>
      </c>
      <c r="B36" s="21" t="s">
        <v>215</v>
      </c>
      <c r="C36" s="21" t="s">
        <v>483</v>
      </c>
      <c r="D36" s="21">
        <v>1990000</v>
      </c>
      <c r="E36" s="21" t="s">
        <v>269</v>
      </c>
      <c r="F36" s="21" t="str">
        <f t="shared" si="0"/>
        <v>rtdc.l.rtdc.4011:itc</v>
      </c>
      <c r="G36" s="8">
        <f t="shared" si="1"/>
        <v>42699.232210648152</v>
      </c>
    </row>
    <row r="37" spans="1:7" x14ac:dyDescent="0.25">
      <c r="A37" s="8">
        <v>42699.24291666667</v>
      </c>
      <c r="B37" s="21" t="s">
        <v>220</v>
      </c>
      <c r="C37" s="21" t="s">
        <v>484</v>
      </c>
      <c r="D37" s="21">
        <v>1090000</v>
      </c>
      <c r="E37" s="21" t="s">
        <v>300</v>
      </c>
      <c r="F37" s="21" t="str">
        <f t="shared" si="0"/>
        <v>rtdc.l.rtdc.4039:itc</v>
      </c>
      <c r="G37" s="8">
        <f t="shared" si="1"/>
        <v>42699.24291666667</v>
      </c>
    </row>
    <row r="38" spans="1:7" x14ac:dyDescent="0.25">
      <c r="A38" s="8">
        <v>42699.246238425927</v>
      </c>
      <c r="B38" s="21" t="s">
        <v>246</v>
      </c>
      <c r="C38" s="21" t="s">
        <v>485</v>
      </c>
      <c r="D38" s="21">
        <v>2140000</v>
      </c>
      <c r="E38" s="21" t="s">
        <v>340</v>
      </c>
      <c r="F38" s="21" t="str">
        <f t="shared" si="0"/>
        <v>rtdc.l.rtdc.4014:itc</v>
      </c>
      <c r="G38" s="8">
        <f t="shared" si="1"/>
        <v>42699.246238425927</v>
      </c>
    </row>
    <row r="39" spans="1:7" x14ac:dyDescent="0.25">
      <c r="A39" s="8">
        <v>42699.251805555556</v>
      </c>
      <c r="B39" s="21" t="s">
        <v>313</v>
      </c>
      <c r="C39" s="21" t="s">
        <v>486</v>
      </c>
      <c r="D39" s="21">
        <v>1830000</v>
      </c>
      <c r="E39" s="21" t="s">
        <v>342</v>
      </c>
      <c r="F39" s="21" t="str">
        <f t="shared" si="0"/>
        <v>rtdc.l.rtdc.4004:itc</v>
      </c>
      <c r="G39" s="8">
        <f t="shared" si="1"/>
        <v>42699.251805555556</v>
      </c>
    </row>
    <row r="40" spans="1:7" x14ac:dyDescent="0.25">
      <c r="A40" s="8">
        <v>42699.255324074074</v>
      </c>
      <c r="B40" s="26" t="s">
        <v>284</v>
      </c>
      <c r="C40" s="21" t="s">
        <v>487</v>
      </c>
      <c r="D40" s="21">
        <v>2100000</v>
      </c>
      <c r="E40" s="21" t="s">
        <v>470</v>
      </c>
      <c r="F40" s="21" t="str">
        <f t="shared" si="0"/>
        <v>rtdc.l.rtdc.4042:itc</v>
      </c>
      <c r="G40" s="8">
        <f t="shared" si="1"/>
        <v>42699.255324074074</v>
      </c>
    </row>
    <row r="41" spans="1:7" x14ac:dyDescent="0.25">
      <c r="A41" s="8">
        <v>42699.255428240744</v>
      </c>
      <c r="B41" s="21" t="s">
        <v>422</v>
      </c>
      <c r="C41" s="21" t="s">
        <v>488</v>
      </c>
      <c r="D41" s="21">
        <v>2010000</v>
      </c>
      <c r="E41" s="21" t="s">
        <v>314</v>
      </c>
      <c r="F41" s="21" t="str">
        <f t="shared" si="0"/>
        <v>rtdc.l.rtdc.4032:itc</v>
      </c>
      <c r="G41" s="8">
        <f t="shared" si="1"/>
        <v>42699.255428240744</v>
      </c>
    </row>
    <row r="42" spans="1:7" x14ac:dyDescent="0.25">
      <c r="A42" s="8">
        <v>42699.255752314813</v>
      </c>
      <c r="B42" s="21" t="s">
        <v>231</v>
      </c>
      <c r="C42" s="21" t="s">
        <v>489</v>
      </c>
      <c r="D42" s="21">
        <v>1760000</v>
      </c>
      <c r="E42" s="21" t="s">
        <v>341</v>
      </c>
      <c r="F42" s="21" t="str">
        <f t="shared" si="0"/>
        <v>rtdc.l.rtdc.4021:itc</v>
      </c>
      <c r="G42" s="8">
        <f t="shared" si="1"/>
        <v>42699.255752314813</v>
      </c>
    </row>
    <row r="43" spans="1:7" x14ac:dyDescent="0.25">
      <c r="A43" s="8">
        <v>42699.257395833331</v>
      </c>
      <c r="B43" s="21" t="s">
        <v>284</v>
      </c>
      <c r="C43" s="21" t="s">
        <v>487</v>
      </c>
      <c r="D43" s="21">
        <v>2100000</v>
      </c>
      <c r="E43" s="21" t="s">
        <v>470</v>
      </c>
      <c r="F43" s="21" t="str">
        <f t="shared" si="0"/>
        <v>rtdc.l.rtdc.4042:itc</v>
      </c>
      <c r="G43" s="8">
        <f t="shared" si="1"/>
        <v>42699.257395833331</v>
      </c>
    </row>
    <row r="44" spans="1:7" x14ac:dyDescent="0.25">
      <c r="A44" s="8">
        <v>42699.258703703701</v>
      </c>
      <c r="B44" s="21" t="s">
        <v>284</v>
      </c>
      <c r="C44" s="21" t="s">
        <v>487</v>
      </c>
      <c r="D44" s="21">
        <v>2100000</v>
      </c>
      <c r="E44" s="21" t="s">
        <v>470</v>
      </c>
      <c r="F44" s="21" t="str">
        <f t="shared" si="0"/>
        <v>rtdc.l.rtdc.4042:itc</v>
      </c>
      <c r="G44" s="8">
        <f t="shared" si="1"/>
        <v>42699.258703703701</v>
      </c>
    </row>
    <row r="45" spans="1:7" x14ac:dyDescent="0.25">
      <c r="A45" s="8">
        <v>42699.259328703702</v>
      </c>
      <c r="B45" s="21" t="s">
        <v>267</v>
      </c>
      <c r="C45" s="21" t="s">
        <v>490</v>
      </c>
      <c r="D45" s="21">
        <v>2430000</v>
      </c>
      <c r="E45" s="21" t="s">
        <v>288</v>
      </c>
      <c r="F45" s="21" t="str">
        <f t="shared" si="0"/>
        <v>rtdc.l.rtdc.4045:itc</v>
      </c>
      <c r="G45" s="8">
        <f t="shared" si="1"/>
        <v>42699.259328703702</v>
      </c>
    </row>
    <row r="46" spans="1:7" x14ac:dyDescent="0.25">
      <c r="A46" s="8">
        <v>42699.260370370372</v>
      </c>
      <c r="B46" s="21" t="s">
        <v>312</v>
      </c>
      <c r="C46" s="21" t="s">
        <v>408</v>
      </c>
      <c r="D46" s="21">
        <v>1830000</v>
      </c>
      <c r="E46" s="21" t="s">
        <v>342</v>
      </c>
      <c r="F46" s="21" t="str">
        <f t="shared" si="0"/>
        <v>rtdc.l.rtdc.4003:itc</v>
      </c>
      <c r="G46" s="8">
        <f t="shared" si="1"/>
        <v>42699.260370370372</v>
      </c>
    </row>
    <row r="47" spans="1:7" x14ac:dyDescent="0.25">
      <c r="A47" s="8">
        <v>42699.261099537034</v>
      </c>
      <c r="B47" s="21" t="s">
        <v>284</v>
      </c>
      <c r="C47" s="21" t="s">
        <v>487</v>
      </c>
      <c r="D47" s="21">
        <v>2100000</v>
      </c>
      <c r="E47" s="21" t="s">
        <v>470</v>
      </c>
      <c r="F47" s="21" t="str">
        <f t="shared" si="0"/>
        <v>rtdc.l.rtdc.4042:itc</v>
      </c>
      <c r="G47" s="8">
        <f t="shared" si="1"/>
        <v>42699.261099537034</v>
      </c>
    </row>
    <row r="48" spans="1:7" x14ac:dyDescent="0.25">
      <c r="A48" s="8">
        <v>42699.266412037039</v>
      </c>
      <c r="B48" s="21" t="s">
        <v>186</v>
      </c>
      <c r="C48" s="21" t="s">
        <v>491</v>
      </c>
      <c r="D48" s="21">
        <v>2110000</v>
      </c>
      <c r="E48" s="21" t="s">
        <v>343</v>
      </c>
      <c r="F48" s="21" t="str">
        <f t="shared" si="0"/>
        <v>rtdc.l.rtdc.4009:itc</v>
      </c>
      <c r="G48" s="8">
        <f t="shared" si="1"/>
        <v>42699.266412037039</v>
      </c>
    </row>
    <row r="49" spans="1:7" x14ac:dyDescent="0.25">
      <c r="A49" s="8">
        <v>42699.27548611111</v>
      </c>
      <c r="B49" s="21" t="s">
        <v>223</v>
      </c>
      <c r="C49" s="21" t="s">
        <v>410</v>
      </c>
      <c r="D49" s="21">
        <v>1990000</v>
      </c>
      <c r="E49" s="21" t="s">
        <v>269</v>
      </c>
      <c r="F49" s="21" t="str">
        <f t="shared" si="0"/>
        <v>rtdc.l.rtdc.4012:itc</v>
      </c>
      <c r="G49" s="8">
        <f t="shared" si="1"/>
        <v>42699.27548611111</v>
      </c>
    </row>
    <row r="50" spans="1:7" x14ac:dyDescent="0.25">
      <c r="A50" s="8">
        <v>42699.275995370372</v>
      </c>
      <c r="B50" s="21" t="s">
        <v>313</v>
      </c>
      <c r="C50" s="21" t="s">
        <v>492</v>
      </c>
      <c r="D50" s="21">
        <v>1830000</v>
      </c>
      <c r="E50" s="21" t="s">
        <v>342</v>
      </c>
      <c r="F50" s="21" t="str">
        <f t="shared" si="0"/>
        <v>rtdc.l.rtdc.4004:itc</v>
      </c>
      <c r="G50" s="8">
        <f t="shared" si="1"/>
        <v>42699.275995370372</v>
      </c>
    </row>
    <row r="51" spans="1:7" x14ac:dyDescent="0.25">
      <c r="A51" s="8">
        <v>42699.27715277778</v>
      </c>
      <c r="B51" s="21" t="s">
        <v>230</v>
      </c>
      <c r="C51" s="21" t="s">
        <v>411</v>
      </c>
      <c r="D51" s="21">
        <v>1760000</v>
      </c>
      <c r="E51" s="21" t="s">
        <v>341</v>
      </c>
      <c r="F51" s="21" t="str">
        <f t="shared" si="0"/>
        <v>rtdc.l.rtdc.4022:itc</v>
      </c>
      <c r="G51" s="8">
        <f t="shared" si="1"/>
        <v>42699.27715277778</v>
      </c>
    </row>
    <row r="52" spans="1:7" x14ac:dyDescent="0.25">
      <c r="A52" s="8">
        <v>42699.277673611112</v>
      </c>
      <c r="B52" s="21" t="s">
        <v>218</v>
      </c>
      <c r="C52" s="21" t="s">
        <v>493</v>
      </c>
      <c r="D52" s="21">
        <v>1090000</v>
      </c>
      <c r="E52" s="21" t="s">
        <v>300</v>
      </c>
      <c r="F52" s="21" t="str">
        <f t="shared" si="0"/>
        <v>rtdc.l.rtdc.4040:itc</v>
      </c>
      <c r="G52" s="8">
        <f t="shared" si="1"/>
        <v>42699.277673611112</v>
      </c>
    </row>
    <row r="53" spans="1:7" x14ac:dyDescent="0.25">
      <c r="A53" s="8">
        <v>42699.281087962961</v>
      </c>
      <c r="B53" s="21" t="s">
        <v>247</v>
      </c>
      <c r="C53" s="21" t="s">
        <v>409</v>
      </c>
      <c r="D53" s="21">
        <v>2140000</v>
      </c>
      <c r="E53" s="21" t="s">
        <v>340</v>
      </c>
      <c r="F53" s="21" t="str">
        <f t="shared" si="0"/>
        <v>rtdc.l.rtdc.4013:itc</v>
      </c>
      <c r="G53" s="8">
        <f t="shared" si="1"/>
        <v>42699.281087962961</v>
      </c>
    </row>
    <row r="54" spans="1:7" x14ac:dyDescent="0.25">
      <c r="A54" s="8">
        <v>42699.289664351854</v>
      </c>
      <c r="B54" s="21" t="s">
        <v>263</v>
      </c>
      <c r="C54" s="21" t="s">
        <v>412</v>
      </c>
      <c r="D54" s="21">
        <v>2010000</v>
      </c>
      <c r="E54" s="21" t="s">
        <v>314</v>
      </c>
      <c r="F54" s="21" t="str">
        <f t="shared" si="0"/>
        <v>rtdc.l.rtdc.4031:itc</v>
      </c>
      <c r="G54" s="8">
        <f t="shared" si="1"/>
        <v>42699.289664351854</v>
      </c>
    </row>
    <row r="55" spans="1:7" x14ac:dyDescent="0.25">
      <c r="A55" s="8">
        <v>42699.290069444447</v>
      </c>
      <c r="B55" s="21" t="s">
        <v>312</v>
      </c>
      <c r="C55" s="21" t="s">
        <v>494</v>
      </c>
      <c r="D55" s="21">
        <v>1830000</v>
      </c>
      <c r="E55" s="21" t="s">
        <v>342</v>
      </c>
      <c r="F55" s="21" t="str">
        <f t="shared" si="0"/>
        <v>rtdc.l.rtdc.4003:itc</v>
      </c>
      <c r="G55" s="8">
        <f t="shared" si="1"/>
        <v>42699.290069444447</v>
      </c>
    </row>
    <row r="56" spans="1:7" x14ac:dyDescent="0.25">
      <c r="A56" s="8">
        <v>42699.293923611112</v>
      </c>
      <c r="B56" s="21" t="s">
        <v>285</v>
      </c>
      <c r="C56" s="21" t="s">
        <v>495</v>
      </c>
      <c r="D56" s="21">
        <v>2100000</v>
      </c>
      <c r="E56" s="21" t="s">
        <v>470</v>
      </c>
      <c r="F56" s="21" t="str">
        <f t="shared" si="0"/>
        <v>rtdc.l.rtdc.4041:itc</v>
      </c>
      <c r="G56" s="8">
        <f t="shared" si="1"/>
        <v>42699.293923611112</v>
      </c>
    </row>
    <row r="57" spans="1:7" x14ac:dyDescent="0.25">
      <c r="A57" s="8">
        <v>42699.297037037039</v>
      </c>
      <c r="B57" s="21" t="s">
        <v>231</v>
      </c>
      <c r="C57" s="21" t="s">
        <v>413</v>
      </c>
      <c r="D57" s="21">
        <v>1760000</v>
      </c>
      <c r="E57" s="21" t="s">
        <v>341</v>
      </c>
      <c r="F57" s="21" t="str">
        <f t="shared" si="0"/>
        <v>rtdc.l.rtdc.4021:itc</v>
      </c>
      <c r="G57" s="8">
        <f t="shared" si="1"/>
        <v>42699.297037037039</v>
      </c>
    </row>
    <row r="58" spans="1:7" x14ac:dyDescent="0.25">
      <c r="A58" s="8">
        <v>42699.299004629633</v>
      </c>
      <c r="B58" s="21" t="s">
        <v>268</v>
      </c>
      <c r="C58" s="21" t="s">
        <v>496</v>
      </c>
      <c r="D58" s="21">
        <v>2430000</v>
      </c>
      <c r="E58" s="21" t="s">
        <v>288</v>
      </c>
      <c r="F58" s="21" t="str">
        <f t="shared" si="0"/>
        <v>rtdc.l.rtdc.4046:itc</v>
      </c>
      <c r="G58" s="8">
        <f t="shared" si="1"/>
        <v>42699.299004629633</v>
      </c>
    </row>
    <row r="59" spans="1:7" x14ac:dyDescent="0.25">
      <c r="A59" s="8">
        <v>42699.304976851854</v>
      </c>
      <c r="B59" s="21" t="s">
        <v>338</v>
      </c>
      <c r="C59" s="21" t="s">
        <v>416</v>
      </c>
      <c r="D59" s="21">
        <v>2110000</v>
      </c>
      <c r="E59" s="21" t="s">
        <v>343</v>
      </c>
      <c r="F59" s="21" t="str">
        <f t="shared" si="0"/>
        <v>rtdc.l.rtdc.4010:itc</v>
      </c>
      <c r="G59" s="8">
        <f t="shared" si="1"/>
        <v>42699.304976851854</v>
      </c>
    </row>
    <row r="60" spans="1:7" x14ac:dyDescent="0.25">
      <c r="A60" s="8">
        <v>42699.309120370373</v>
      </c>
      <c r="B60" s="21" t="s">
        <v>215</v>
      </c>
      <c r="C60" s="21" t="s">
        <v>414</v>
      </c>
      <c r="D60" s="21">
        <v>1990000</v>
      </c>
      <c r="E60" s="21" t="s">
        <v>269</v>
      </c>
      <c r="F60" s="21" t="str">
        <f t="shared" si="0"/>
        <v>rtdc.l.rtdc.4011:itc</v>
      </c>
      <c r="G60" s="8">
        <f t="shared" si="1"/>
        <v>42699.309120370373</v>
      </c>
    </row>
    <row r="61" spans="1:7" x14ac:dyDescent="0.25">
      <c r="A61" s="8">
        <v>42699.312627314815</v>
      </c>
      <c r="B61" s="21" t="s">
        <v>230</v>
      </c>
      <c r="C61" s="21" t="s">
        <v>497</v>
      </c>
      <c r="D61" s="21">
        <v>1760000</v>
      </c>
      <c r="E61" s="21" t="s">
        <v>341</v>
      </c>
      <c r="F61" s="21" t="str">
        <f t="shared" si="0"/>
        <v>rtdc.l.rtdc.4022:itc</v>
      </c>
      <c r="G61" s="8">
        <f t="shared" si="1"/>
        <v>42699.312627314815</v>
      </c>
    </row>
    <row r="62" spans="1:7" x14ac:dyDescent="0.25">
      <c r="A62" s="8">
        <v>42699.317187499997</v>
      </c>
      <c r="B62" s="21" t="s">
        <v>313</v>
      </c>
      <c r="C62" s="21" t="s">
        <v>498</v>
      </c>
      <c r="D62" s="21">
        <v>1830000</v>
      </c>
      <c r="E62" s="21" t="s">
        <v>342</v>
      </c>
      <c r="F62" s="21" t="str">
        <f t="shared" si="0"/>
        <v>rtdc.l.rtdc.4004:itc</v>
      </c>
      <c r="G62" s="8">
        <f t="shared" si="1"/>
        <v>42699.317187499997</v>
      </c>
    </row>
    <row r="63" spans="1:7" x14ac:dyDescent="0.25">
      <c r="A63" s="8">
        <v>42699.318078703705</v>
      </c>
      <c r="B63" s="21" t="s">
        <v>220</v>
      </c>
      <c r="C63" s="21" t="s">
        <v>418</v>
      </c>
      <c r="D63" s="21">
        <v>1090000</v>
      </c>
      <c r="E63" s="21" t="s">
        <v>300</v>
      </c>
      <c r="F63" s="21" t="str">
        <f t="shared" si="0"/>
        <v>rtdc.l.rtdc.4039:itc</v>
      </c>
      <c r="G63" s="8">
        <f t="shared" si="1"/>
        <v>42699.318078703705</v>
      </c>
    </row>
    <row r="64" spans="1:7" x14ac:dyDescent="0.25">
      <c r="A64" s="27">
        <v>42699.320150462961</v>
      </c>
      <c r="B64" s="21" t="s">
        <v>246</v>
      </c>
      <c r="C64" s="21" t="s">
        <v>499</v>
      </c>
      <c r="D64" s="21">
        <v>2140000</v>
      </c>
      <c r="E64" s="21" t="s">
        <v>340</v>
      </c>
      <c r="F64" s="21" t="str">
        <f t="shared" si="0"/>
        <v>rtdc.l.rtdc.4014:itc</v>
      </c>
      <c r="G64" s="8">
        <f t="shared" si="1"/>
        <v>42699.320150462961</v>
      </c>
    </row>
    <row r="65" spans="1:7" x14ac:dyDescent="0.25">
      <c r="A65" s="8">
        <v>42699.326342592591</v>
      </c>
      <c r="B65" s="21" t="s">
        <v>422</v>
      </c>
      <c r="C65" s="21" t="s">
        <v>500</v>
      </c>
      <c r="D65" s="21">
        <v>2010000</v>
      </c>
      <c r="E65" s="21" t="s">
        <v>314</v>
      </c>
      <c r="F65" s="21" t="str">
        <f t="shared" si="0"/>
        <v>rtdc.l.rtdc.4032:itc</v>
      </c>
      <c r="G65" s="8">
        <f t="shared" si="1"/>
        <v>42699.326342592591</v>
      </c>
    </row>
    <row r="66" spans="1:7" x14ac:dyDescent="0.25">
      <c r="A66" s="8">
        <v>42699.327881944446</v>
      </c>
      <c r="B66" s="21" t="s">
        <v>284</v>
      </c>
      <c r="C66" s="21" t="s">
        <v>501</v>
      </c>
      <c r="D66" s="21">
        <v>2100000</v>
      </c>
      <c r="E66" s="21" t="s">
        <v>470</v>
      </c>
      <c r="F66" s="21" t="str">
        <f t="shared" ref="F66:F129" si="2">B66</f>
        <v>rtdc.l.rtdc.4042:itc</v>
      </c>
      <c r="G66" s="8">
        <f t="shared" ref="G66:G129" si="3">A66</f>
        <v>42699.327881944446</v>
      </c>
    </row>
    <row r="67" spans="1:7" x14ac:dyDescent="0.25">
      <c r="A67" s="8">
        <v>42699.333958333336</v>
      </c>
      <c r="B67" s="21" t="s">
        <v>312</v>
      </c>
      <c r="C67" s="21" t="s">
        <v>502</v>
      </c>
      <c r="D67" s="21">
        <v>1830000</v>
      </c>
      <c r="E67" s="21" t="s">
        <v>342</v>
      </c>
      <c r="F67" s="21" t="str">
        <f t="shared" si="2"/>
        <v>rtdc.l.rtdc.4003:itc</v>
      </c>
      <c r="G67" s="8">
        <f t="shared" si="3"/>
        <v>42699.333958333336</v>
      </c>
    </row>
    <row r="68" spans="1:7" x14ac:dyDescent="0.25">
      <c r="A68" s="8">
        <v>42699.339108796295</v>
      </c>
      <c r="B68" s="21" t="s">
        <v>231</v>
      </c>
      <c r="C68" s="21" t="s">
        <v>417</v>
      </c>
      <c r="D68" s="21">
        <v>1760000</v>
      </c>
      <c r="E68" s="21" t="s">
        <v>341</v>
      </c>
      <c r="F68" s="21" t="str">
        <f t="shared" si="2"/>
        <v>rtdc.l.rtdc.4021:itc</v>
      </c>
      <c r="G68" s="8">
        <f t="shared" si="3"/>
        <v>42699.339108796295</v>
      </c>
    </row>
    <row r="69" spans="1:7" x14ac:dyDescent="0.25">
      <c r="A69" s="8">
        <v>42699.339791666665</v>
      </c>
      <c r="B69" s="21" t="s">
        <v>267</v>
      </c>
      <c r="C69" s="21" t="s">
        <v>503</v>
      </c>
      <c r="D69" s="21">
        <v>2430000</v>
      </c>
      <c r="E69" s="21" t="s">
        <v>288</v>
      </c>
      <c r="F69" s="21" t="str">
        <f t="shared" si="2"/>
        <v>rtdc.l.rtdc.4045:itc</v>
      </c>
      <c r="G69" s="8">
        <f t="shared" si="3"/>
        <v>42699.339791666665</v>
      </c>
    </row>
    <row r="70" spans="1:7" x14ac:dyDescent="0.25">
      <c r="A70" s="8">
        <v>42699.341851851852</v>
      </c>
      <c r="B70" s="21" t="s">
        <v>186</v>
      </c>
      <c r="C70" s="21" t="s">
        <v>504</v>
      </c>
      <c r="D70" s="21">
        <v>2110000</v>
      </c>
      <c r="E70" s="21" t="s">
        <v>343</v>
      </c>
      <c r="F70" s="21" t="str">
        <f t="shared" si="2"/>
        <v>rtdc.l.rtdc.4009:itc</v>
      </c>
      <c r="G70" s="8">
        <f t="shared" si="3"/>
        <v>42699.341851851852</v>
      </c>
    </row>
    <row r="71" spans="1:7" x14ac:dyDescent="0.25">
      <c r="A71" s="8">
        <v>42699.34746527778</v>
      </c>
      <c r="B71" s="21" t="s">
        <v>223</v>
      </c>
      <c r="C71" s="21" t="s">
        <v>419</v>
      </c>
      <c r="D71" s="21">
        <v>1990000</v>
      </c>
      <c r="E71" s="21" t="s">
        <v>269</v>
      </c>
      <c r="F71" s="21" t="str">
        <f t="shared" si="2"/>
        <v>rtdc.l.rtdc.4012:itc</v>
      </c>
      <c r="G71" s="8">
        <f t="shared" si="3"/>
        <v>42699.34746527778</v>
      </c>
    </row>
    <row r="72" spans="1:7" x14ac:dyDescent="0.25">
      <c r="A72" s="8">
        <v>42699.350277777776</v>
      </c>
      <c r="B72" s="21" t="s">
        <v>218</v>
      </c>
      <c r="C72" s="21" t="s">
        <v>505</v>
      </c>
      <c r="D72" s="21">
        <v>1090000</v>
      </c>
      <c r="E72" s="21" t="s">
        <v>300</v>
      </c>
      <c r="F72" s="21" t="str">
        <f t="shared" si="2"/>
        <v>rtdc.l.rtdc.4040:itc</v>
      </c>
      <c r="G72" s="8">
        <f t="shared" si="3"/>
        <v>42699.350277777776</v>
      </c>
    </row>
    <row r="73" spans="1:7" x14ac:dyDescent="0.25">
      <c r="A73" s="8">
        <v>42699.357245370367</v>
      </c>
      <c r="B73" s="21" t="s">
        <v>230</v>
      </c>
      <c r="C73" s="21" t="s">
        <v>506</v>
      </c>
      <c r="D73" s="21">
        <v>1760000</v>
      </c>
      <c r="E73" s="21" t="s">
        <v>341</v>
      </c>
      <c r="F73" s="21" t="str">
        <f t="shared" si="2"/>
        <v>rtdc.l.rtdc.4022:itc</v>
      </c>
      <c r="G73" s="8">
        <f t="shared" si="3"/>
        <v>42699.357245370367</v>
      </c>
    </row>
    <row r="74" spans="1:7" x14ac:dyDescent="0.25">
      <c r="A74" s="8">
        <v>42699.359351851854</v>
      </c>
      <c r="B74" s="21" t="s">
        <v>247</v>
      </c>
      <c r="C74" s="21" t="s">
        <v>507</v>
      </c>
      <c r="D74" s="21">
        <v>2140000</v>
      </c>
      <c r="E74" s="21" t="s">
        <v>340</v>
      </c>
      <c r="F74" s="21" t="str">
        <f t="shared" si="2"/>
        <v>rtdc.l.rtdc.4013:itc</v>
      </c>
      <c r="G74" s="8">
        <f t="shared" si="3"/>
        <v>42699.359351851854</v>
      </c>
    </row>
    <row r="75" spans="1:7" x14ac:dyDescent="0.25">
      <c r="A75" s="8">
        <v>42699.359548611108</v>
      </c>
      <c r="B75" s="21" t="s">
        <v>313</v>
      </c>
      <c r="C75" s="21" t="s">
        <v>508</v>
      </c>
      <c r="D75" s="21">
        <v>1830000</v>
      </c>
      <c r="E75" s="21" t="s">
        <v>342</v>
      </c>
      <c r="F75" s="21" t="str">
        <f t="shared" si="2"/>
        <v>rtdc.l.rtdc.4004:itc</v>
      </c>
      <c r="G75" s="8">
        <f t="shared" si="3"/>
        <v>42699.359548611108</v>
      </c>
    </row>
    <row r="76" spans="1:7" x14ac:dyDescent="0.25">
      <c r="A76" s="8">
        <v>42699.361689814818</v>
      </c>
      <c r="B76" s="21" t="s">
        <v>263</v>
      </c>
      <c r="C76" s="21" t="s">
        <v>509</v>
      </c>
      <c r="D76" s="21">
        <v>2010000</v>
      </c>
      <c r="E76" s="21" t="s">
        <v>314</v>
      </c>
      <c r="F76" s="21" t="str">
        <f t="shared" si="2"/>
        <v>rtdc.l.rtdc.4031:itc</v>
      </c>
      <c r="G76" s="8">
        <f t="shared" si="3"/>
        <v>42699.361689814818</v>
      </c>
    </row>
    <row r="77" spans="1:7" x14ac:dyDescent="0.25">
      <c r="A77" s="8">
        <v>42699.366527777776</v>
      </c>
      <c r="B77" s="21" t="s">
        <v>285</v>
      </c>
      <c r="C77" s="21" t="s">
        <v>510</v>
      </c>
      <c r="D77" s="21">
        <v>2100000</v>
      </c>
      <c r="E77" s="21" t="s">
        <v>470</v>
      </c>
      <c r="F77" s="21" t="str">
        <f t="shared" si="2"/>
        <v>rtdc.l.rtdc.4041:itc</v>
      </c>
      <c r="G77" s="8">
        <f t="shared" si="3"/>
        <v>42699.366527777776</v>
      </c>
    </row>
    <row r="78" spans="1:7" x14ac:dyDescent="0.25">
      <c r="A78" s="8">
        <v>42699.370324074072</v>
      </c>
      <c r="B78" s="21" t="s">
        <v>268</v>
      </c>
      <c r="C78" s="21" t="s">
        <v>511</v>
      </c>
      <c r="D78" s="21">
        <v>2430000</v>
      </c>
      <c r="E78" s="21" t="s">
        <v>288</v>
      </c>
      <c r="F78" s="21" t="str">
        <f t="shared" si="2"/>
        <v>rtdc.l.rtdc.4046:itc</v>
      </c>
      <c r="G78" s="8">
        <f t="shared" si="3"/>
        <v>42699.370324074072</v>
      </c>
    </row>
    <row r="79" spans="1:7" x14ac:dyDescent="0.25">
      <c r="A79" s="8">
        <v>42699.373865740738</v>
      </c>
      <c r="B79" s="21" t="s">
        <v>312</v>
      </c>
      <c r="C79" s="21" t="s">
        <v>512</v>
      </c>
      <c r="D79" s="21">
        <v>1830000</v>
      </c>
      <c r="E79" s="21" t="s">
        <v>342</v>
      </c>
      <c r="F79" s="21" t="str">
        <f t="shared" si="2"/>
        <v>rtdc.l.rtdc.4003:itc</v>
      </c>
      <c r="G79" s="8">
        <f t="shared" si="3"/>
        <v>42699.373865740738</v>
      </c>
    </row>
    <row r="80" spans="1:7" x14ac:dyDescent="0.25">
      <c r="A80" s="8">
        <v>42699.378159722219</v>
      </c>
      <c r="B80" s="21" t="s">
        <v>338</v>
      </c>
      <c r="C80" s="21" t="s">
        <v>513</v>
      </c>
      <c r="D80" s="21">
        <v>2110000</v>
      </c>
      <c r="E80" s="21" t="s">
        <v>343</v>
      </c>
      <c r="F80" s="21" t="str">
        <f t="shared" si="2"/>
        <v>rtdc.l.rtdc.4010:itc</v>
      </c>
      <c r="G80" s="8">
        <f t="shared" si="3"/>
        <v>42699.378159722219</v>
      </c>
    </row>
    <row r="81" spans="1:7" x14ac:dyDescent="0.25">
      <c r="A81" s="8">
        <v>42699.384305555555</v>
      </c>
      <c r="B81" s="21" t="s">
        <v>215</v>
      </c>
      <c r="C81" s="21" t="s">
        <v>514</v>
      </c>
      <c r="D81" s="21">
        <v>1990000</v>
      </c>
      <c r="E81" s="21" t="s">
        <v>269</v>
      </c>
      <c r="F81" s="21" t="str">
        <f t="shared" si="2"/>
        <v>rtdc.l.rtdc.4011:itc</v>
      </c>
      <c r="G81" s="8">
        <f t="shared" si="3"/>
        <v>42699.384305555555</v>
      </c>
    </row>
    <row r="82" spans="1:7" x14ac:dyDescent="0.25">
      <c r="A82" s="8">
        <v>42699.387395833335</v>
      </c>
      <c r="B82" s="21" t="s">
        <v>220</v>
      </c>
      <c r="C82" s="21" t="s">
        <v>515</v>
      </c>
      <c r="D82" s="21">
        <v>1090000</v>
      </c>
      <c r="E82" s="21" t="s">
        <v>300</v>
      </c>
      <c r="F82" s="21" t="str">
        <f t="shared" si="2"/>
        <v>rtdc.l.rtdc.4039:itc</v>
      </c>
      <c r="G82" s="8">
        <f t="shared" si="3"/>
        <v>42699.387395833335</v>
      </c>
    </row>
    <row r="83" spans="1:7" x14ac:dyDescent="0.25">
      <c r="A83" s="8">
        <v>42699.392118055555</v>
      </c>
      <c r="B83" s="21" t="s">
        <v>422</v>
      </c>
      <c r="C83" s="21" t="s">
        <v>423</v>
      </c>
      <c r="D83" s="21">
        <v>2010000</v>
      </c>
      <c r="E83" s="21" t="s">
        <v>314</v>
      </c>
      <c r="F83" s="21" t="str">
        <f t="shared" si="2"/>
        <v>rtdc.l.rtdc.4032:itc</v>
      </c>
      <c r="G83" s="8">
        <f t="shared" si="3"/>
        <v>42699.392118055555</v>
      </c>
    </row>
    <row r="84" spans="1:7" x14ac:dyDescent="0.25">
      <c r="A84" s="8">
        <v>42699.394293981481</v>
      </c>
      <c r="B84" s="21" t="s">
        <v>246</v>
      </c>
      <c r="C84" s="21" t="s">
        <v>420</v>
      </c>
      <c r="D84" s="21">
        <v>2380000</v>
      </c>
      <c r="E84" s="21" t="s">
        <v>287</v>
      </c>
      <c r="F84" s="21" t="str">
        <f t="shared" si="2"/>
        <v>rtdc.l.rtdc.4014:itc</v>
      </c>
      <c r="G84" s="8">
        <f t="shared" si="3"/>
        <v>42699.394293981481</v>
      </c>
    </row>
    <row r="85" spans="1:7" x14ac:dyDescent="0.25">
      <c r="A85" s="8">
        <v>42699.401435185187</v>
      </c>
      <c r="B85" s="21" t="s">
        <v>313</v>
      </c>
      <c r="C85" s="21" t="s">
        <v>421</v>
      </c>
      <c r="D85" s="21">
        <v>1830000</v>
      </c>
      <c r="E85" s="21" t="s">
        <v>342</v>
      </c>
      <c r="F85" s="21" t="str">
        <f t="shared" si="2"/>
        <v>rtdc.l.rtdc.4004:itc</v>
      </c>
      <c r="G85" s="8">
        <f t="shared" si="3"/>
        <v>42699.401435185187</v>
      </c>
    </row>
    <row r="86" spans="1:7" x14ac:dyDescent="0.25">
      <c r="A86" s="8">
        <v>42699.403101851851</v>
      </c>
      <c r="B86" s="21" t="s">
        <v>284</v>
      </c>
      <c r="C86" s="21" t="s">
        <v>516</v>
      </c>
      <c r="D86" s="21">
        <v>2100000</v>
      </c>
      <c r="E86" s="21" t="s">
        <v>470</v>
      </c>
      <c r="F86" s="21" t="str">
        <f t="shared" si="2"/>
        <v>rtdc.l.rtdc.4042:itc</v>
      </c>
      <c r="G86" s="8">
        <f t="shared" si="3"/>
        <v>42699.403101851851</v>
      </c>
    </row>
    <row r="87" spans="1:7" x14ac:dyDescent="0.25">
      <c r="A87" s="8">
        <v>42699.4059837963</v>
      </c>
      <c r="B87" s="21" t="s">
        <v>267</v>
      </c>
      <c r="C87" s="21" t="s">
        <v>517</v>
      </c>
      <c r="D87" s="21">
        <v>2430000</v>
      </c>
      <c r="E87" s="21" t="s">
        <v>288</v>
      </c>
      <c r="F87" s="21" t="str">
        <f t="shared" si="2"/>
        <v>rtdc.l.rtdc.4045:itc</v>
      </c>
      <c r="G87" s="8">
        <f t="shared" si="3"/>
        <v>42699.4059837963</v>
      </c>
    </row>
    <row r="88" spans="1:7" x14ac:dyDescent="0.25">
      <c r="A88" s="8">
        <v>42699.412442129629</v>
      </c>
      <c r="B88" s="21" t="s">
        <v>186</v>
      </c>
      <c r="C88" s="21" t="s">
        <v>425</v>
      </c>
      <c r="D88" s="21">
        <v>2110000</v>
      </c>
      <c r="E88" s="21" t="s">
        <v>343</v>
      </c>
      <c r="F88" s="21" t="str">
        <f t="shared" si="2"/>
        <v>rtdc.l.rtdc.4009:itc</v>
      </c>
      <c r="G88" s="8">
        <f t="shared" si="3"/>
        <v>42699.412442129629</v>
      </c>
    </row>
    <row r="89" spans="1:7" x14ac:dyDescent="0.25">
      <c r="A89" s="8">
        <v>42699.416168981479</v>
      </c>
      <c r="B89" s="21" t="s">
        <v>312</v>
      </c>
      <c r="C89" s="21" t="s">
        <v>424</v>
      </c>
      <c r="D89" s="21">
        <v>1830000</v>
      </c>
      <c r="E89" s="21" t="s">
        <v>342</v>
      </c>
      <c r="F89" s="21" t="str">
        <f t="shared" si="2"/>
        <v>rtdc.l.rtdc.4003:itc</v>
      </c>
      <c r="G89" s="8">
        <f t="shared" si="3"/>
        <v>42699.416168981479</v>
      </c>
    </row>
    <row r="90" spans="1:7" x14ac:dyDescent="0.25">
      <c r="A90" s="8">
        <v>42699.420439814814</v>
      </c>
      <c r="B90" s="21" t="s">
        <v>223</v>
      </c>
      <c r="C90" s="21" t="s">
        <v>518</v>
      </c>
      <c r="D90" s="21">
        <v>1990000</v>
      </c>
      <c r="E90" s="21" t="s">
        <v>269</v>
      </c>
      <c r="F90" s="21" t="str">
        <f t="shared" si="2"/>
        <v>rtdc.l.rtdc.4012:itc</v>
      </c>
      <c r="G90" s="8">
        <f t="shared" si="3"/>
        <v>42699.420439814814</v>
      </c>
    </row>
    <row r="91" spans="1:7" x14ac:dyDescent="0.25">
      <c r="A91" s="8">
        <v>42699.42465277778</v>
      </c>
      <c r="B91" s="21" t="s">
        <v>218</v>
      </c>
      <c r="C91" s="21" t="s">
        <v>519</v>
      </c>
      <c r="D91" s="21">
        <v>1090000</v>
      </c>
      <c r="E91" s="21" t="s">
        <v>300</v>
      </c>
      <c r="F91" s="21" t="str">
        <f t="shared" si="2"/>
        <v>rtdc.l.rtdc.4040:itc</v>
      </c>
      <c r="G91" s="8">
        <f t="shared" si="3"/>
        <v>42699.42465277778</v>
      </c>
    </row>
    <row r="92" spans="1:7" x14ac:dyDescent="0.25">
      <c r="A92" s="8">
        <v>42699.433807870373</v>
      </c>
      <c r="B92" s="21" t="s">
        <v>247</v>
      </c>
      <c r="C92" s="21" t="s">
        <v>520</v>
      </c>
      <c r="D92" s="21">
        <v>2380000</v>
      </c>
      <c r="E92" s="21" t="s">
        <v>287</v>
      </c>
      <c r="F92" s="21" t="str">
        <f t="shared" si="2"/>
        <v>rtdc.l.rtdc.4013:itc</v>
      </c>
      <c r="G92" s="8">
        <f t="shared" si="3"/>
        <v>42699.433807870373</v>
      </c>
    </row>
    <row r="93" spans="1:7" x14ac:dyDescent="0.25">
      <c r="A93" s="8">
        <v>42699.433877314812</v>
      </c>
      <c r="B93" s="21" t="s">
        <v>263</v>
      </c>
      <c r="C93" s="21" t="s">
        <v>427</v>
      </c>
      <c r="D93" s="21">
        <v>1760000</v>
      </c>
      <c r="E93" s="21" t="s">
        <v>341</v>
      </c>
      <c r="F93" s="21" t="str">
        <f t="shared" si="2"/>
        <v>rtdc.l.rtdc.4031:itc</v>
      </c>
      <c r="G93" s="8">
        <f t="shared" si="3"/>
        <v>42699.433877314812</v>
      </c>
    </row>
    <row r="94" spans="1:7" x14ac:dyDescent="0.25">
      <c r="A94" s="8">
        <v>42699.439120370371</v>
      </c>
      <c r="B94" s="21" t="s">
        <v>285</v>
      </c>
      <c r="C94" s="21" t="s">
        <v>521</v>
      </c>
      <c r="D94" s="21">
        <v>2100000</v>
      </c>
      <c r="E94" s="21" t="s">
        <v>470</v>
      </c>
      <c r="F94" s="21" t="str">
        <f t="shared" si="2"/>
        <v>rtdc.l.rtdc.4041:itc</v>
      </c>
      <c r="G94" s="8">
        <f t="shared" si="3"/>
        <v>42699.439120370371</v>
      </c>
    </row>
    <row r="95" spans="1:7" x14ac:dyDescent="0.25">
      <c r="A95" s="8">
        <v>42699.443124999998</v>
      </c>
      <c r="B95" s="21" t="s">
        <v>313</v>
      </c>
      <c r="C95" s="21" t="s">
        <v>426</v>
      </c>
      <c r="D95" s="21">
        <v>1830000</v>
      </c>
      <c r="E95" s="21" t="s">
        <v>342</v>
      </c>
      <c r="F95" s="21" t="str">
        <f t="shared" si="2"/>
        <v>rtdc.l.rtdc.4004:itc</v>
      </c>
      <c r="G95" s="8">
        <f t="shared" si="3"/>
        <v>42699.443124999998</v>
      </c>
    </row>
    <row r="96" spans="1:7" x14ac:dyDescent="0.25">
      <c r="A96" s="8">
        <v>42699.446550925924</v>
      </c>
      <c r="B96" s="21" t="s">
        <v>268</v>
      </c>
      <c r="C96" s="21" t="s">
        <v>522</v>
      </c>
      <c r="D96" s="21">
        <v>2430000</v>
      </c>
      <c r="E96" s="21" t="s">
        <v>288</v>
      </c>
      <c r="F96" s="21" t="str">
        <f t="shared" si="2"/>
        <v>rtdc.l.rtdc.4046:itc</v>
      </c>
      <c r="G96" s="8">
        <f t="shared" si="3"/>
        <v>42699.446550925924</v>
      </c>
    </row>
    <row r="97" spans="1:7" x14ac:dyDescent="0.25">
      <c r="A97" s="8">
        <v>42699.450833333336</v>
      </c>
      <c r="B97" s="21" t="s">
        <v>338</v>
      </c>
      <c r="C97" s="21" t="s">
        <v>523</v>
      </c>
      <c r="D97" s="21">
        <v>2110000</v>
      </c>
      <c r="E97" s="21" t="s">
        <v>343</v>
      </c>
      <c r="F97" s="21" t="str">
        <f t="shared" si="2"/>
        <v>rtdc.l.rtdc.4010:itc</v>
      </c>
      <c r="G97" s="8">
        <f t="shared" si="3"/>
        <v>42699.450833333336</v>
      </c>
    </row>
    <row r="98" spans="1:7" x14ac:dyDescent="0.25">
      <c r="A98" s="8">
        <v>42699.457604166666</v>
      </c>
      <c r="B98" s="21" t="s">
        <v>312</v>
      </c>
      <c r="C98" s="21" t="s">
        <v>524</v>
      </c>
      <c r="D98" s="21">
        <v>1830000</v>
      </c>
      <c r="E98" s="21" t="s">
        <v>342</v>
      </c>
      <c r="F98" s="21" t="str">
        <f t="shared" si="2"/>
        <v>rtdc.l.rtdc.4003:itc</v>
      </c>
      <c r="G98" s="8">
        <f t="shared" si="3"/>
        <v>42699.457604166666</v>
      </c>
    </row>
    <row r="99" spans="1:7" x14ac:dyDescent="0.25">
      <c r="A99" s="8">
        <v>42699.45888888889</v>
      </c>
      <c r="B99" s="21" t="s">
        <v>213</v>
      </c>
      <c r="C99" s="21" t="s">
        <v>428</v>
      </c>
      <c r="D99" s="21">
        <v>2040000</v>
      </c>
      <c r="E99" s="21" t="s">
        <v>317</v>
      </c>
      <c r="F99" s="21" t="str">
        <f t="shared" si="2"/>
        <v>rtdc.l.rtdc.4030:itc</v>
      </c>
      <c r="G99" s="8">
        <f t="shared" si="3"/>
        <v>42699.45888888889</v>
      </c>
    </row>
    <row r="100" spans="1:7" x14ac:dyDescent="0.25">
      <c r="A100" s="8">
        <v>42699.459074074075</v>
      </c>
      <c r="B100" s="21" t="s">
        <v>215</v>
      </c>
      <c r="C100" s="21" t="s">
        <v>429</v>
      </c>
      <c r="D100" s="21">
        <v>920000</v>
      </c>
      <c r="E100" s="21" t="s">
        <v>269</v>
      </c>
      <c r="F100" s="21" t="str">
        <f t="shared" si="2"/>
        <v>rtdc.l.rtdc.4011:itc</v>
      </c>
      <c r="G100" s="8">
        <f t="shared" si="3"/>
        <v>42699.459074074075</v>
      </c>
    </row>
    <row r="101" spans="1:7" x14ac:dyDescent="0.25">
      <c r="A101" s="8">
        <v>42699.462060185186</v>
      </c>
      <c r="B101" s="21" t="s">
        <v>220</v>
      </c>
      <c r="C101" s="21" t="s">
        <v>525</v>
      </c>
      <c r="D101" s="21">
        <v>1090000</v>
      </c>
      <c r="E101" s="21" t="s">
        <v>300</v>
      </c>
      <c r="F101" s="21" t="str">
        <f t="shared" si="2"/>
        <v>rtdc.l.rtdc.4039:itc</v>
      </c>
      <c r="G101" s="8">
        <f t="shared" si="3"/>
        <v>42699.462060185186</v>
      </c>
    </row>
    <row r="102" spans="1:7" x14ac:dyDescent="0.25">
      <c r="A102" s="8">
        <v>42699.468043981484</v>
      </c>
      <c r="B102" s="21" t="s">
        <v>246</v>
      </c>
      <c r="C102" s="21" t="s">
        <v>526</v>
      </c>
      <c r="D102" s="21">
        <v>2230000</v>
      </c>
      <c r="E102" s="21" t="s">
        <v>344</v>
      </c>
      <c r="F102" s="21" t="str">
        <f t="shared" si="2"/>
        <v>rtdc.l.rtdc.4014:itc</v>
      </c>
      <c r="G102" s="8">
        <f t="shared" si="3"/>
        <v>42699.468043981484</v>
      </c>
    </row>
    <row r="103" spans="1:7" x14ac:dyDescent="0.25">
      <c r="A103" s="8">
        <v>42699.471956018519</v>
      </c>
      <c r="B103" s="21" t="s">
        <v>422</v>
      </c>
      <c r="C103" s="21" t="s">
        <v>527</v>
      </c>
      <c r="D103" s="21">
        <v>1760000</v>
      </c>
      <c r="E103" s="21" t="s">
        <v>341</v>
      </c>
      <c r="F103" s="21" t="str">
        <f t="shared" si="2"/>
        <v>rtdc.l.rtdc.4032:itc</v>
      </c>
      <c r="G103" s="8">
        <f t="shared" si="3"/>
        <v>42699.471956018519</v>
      </c>
    </row>
    <row r="104" spans="1:7" x14ac:dyDescent="0.25">
      <c r="A104" s="8">
        <v>42699.475046296298</v>
      </c>
      <c r="B104" s="21" t="s">
        <v>267</v>
      </c>
      <c r="C104" s="21" t="s">
        <v>528</v>
      </c>
      <c r="D104" s="21">
        <v>2430000</v>
      </c>
      <c r="E104" s="21" t="s">
        <v>288</v>
      </c>
      <c r="F104" s="21" t="str">
        <f t="shared" si="2"/>
        <v>rtdc.l.rtdc.4045:itc</v>
      </c>
      <c r="G104" s="8">
        <f t="shared" si="3"/>
        <v>42699.475046296298</v>
      </c>
    </row>
    <row r="105" spans="1:7" x14ac:dyDescent="0.25">
      <c r="A105" s="8">
        <v>42699.475393518522</v>
      </c>
      <c r="B105" s="21" t="s">
        <v>284</v>
      </c>
      <c r="C105" s="21" t="s">
        <v>529</v>
      </c>
      <c r="D105" s="21">
        <v>2360000</v>
      </c>
      <c r="E105" s="21" t="s">
        <v>530</v>
      </c>
      <c r="F105" s="21" t="str">
        <f t="shared" si="2"/>
        <v>rtdc.l.rtdc.4042:itc</v>
      </c>
      <c r="G105" s="8">
        <f t="shared" si="3"/>
        <v>42699.475393518522</v>
      </c>
    </row>
    <row r="106" spans="1:7" x14ac:dyDescent="0.25">
      <c r="A106" s="8">
        <v>42699.477048611108</v>
      </c>
      <c r="B106" s="21" t="s">
        <v>267</v>
      </c>
      <c r="C106" s="21" t="s">
        <v>528</v>
      </c>
      <c r="D106" s="21">
        <v>2430000</v>
      </c>
      <c r="E106" s="21" t="s">
        <v>288</v>
      </c>
      <c r="F106" s="21" t="str">
        <f t="shared" si="2"/>
        <v>rtdc.l.rtdc.4045:itc</v>
      </c>
      <c r="G106" s="8">
        <f t="shared" si="3"/>
        <v>42699.477048611108</v>
      </c>
    </row>
    <row r="107" spans="1:7" x14ac:dyDescent="0.25">
      <c r="A107" s="8">
        <v>42699.48232638889</v>
      </c>
      <c r="B107" s="21" t="s">
        <v>286</v>
      </c>
      <c r="C107" s="21" t="s">
        <v>531</v>
      </c>
      <c r="D107" s="21">
        <v>1820000</v>
      </c>
      <c r="E107" s="21" t="s">
        <v>345</v>
      </c>
      <c r="F107" s="21" t="str">
        <f t="shared" si="2"/>
        <v>rtdc.l.rtdc.4028:itc</v>
      </c>
      <c r="G107" s="8">
        <f t="shared" si="3"/>
        <v>42699.48232638889</v>
      </c>
    </row>
    <row r="108" spans="1:7" x14ac:dyDescent="0.25">
      <c r="A108" s="8">
        <v>42699.483900462961</v>
      </c>
      <c r="B108" s="21" t="s">
        <v>313</v>
      </c>
      <c r="C108" s="21" t="s">
        <v>532</v>
      </c>
      <c r="D108" s="21">
        <v>1830000</v>
      </c>
      <c r="E108" s="21" t="s">
        <v>342</v>
      </c>
      <c r="F108" s="21" t="str">
        <f t="shared" si="2"/>
        <v>rtdc.l.rtdc.4004:itc</v>
      </c>
      <c r="G108" s="8">
        <f t="shared" si="3"/>
        <v>42699.483900462961</v>
      </c>
    </row>
    <row r="109" spans="1:7" x14ac:dyDescent="0.25">
      <c r="A109" s="8">
        <v>42699.487210648149</v>
      </c>
      <c r="B109" s="21" t="s">
        <v>186</v>
      </c>
      <c r="C109" s="21" t="s">
        <v>533</v>
      </c>
      <c r="D109" s="21">
        <v>2040000</v>
      </c>
      <c r="E109" s="21" t="s">
        <v>317</v>
      </c>
      <c r="F109" s="21" t="str">
        <f t="shared" si="2"/>
        <v>rtdc.l.rtdc.4009:itc</v>
      </c>
      <c r="G109" s="8">
        <f t="shared" si="3"/>
        <v>42699.487210648149</v>
      </c>
    </row>
    <row r="110" spans="1:7" x14ac:dyDescent="0.25">
      <c r="A110" s="8">
        <v>42699.488865740743</v>
      </c>
      <c r="B110" s="21" t="s">
        <v>301</v>
      </c>
      <c r="C110" s="21" t="s">
        <v>534</v>
      </c>
      <c r="D110" s="21">
        <v>2100000</v>
      </c>
      <c r="E110" s="21" t="s">
        <v>470</v>
      </c>
      <c r="F110" s="21" t="str">
        <f t="shared" si="2"/>
        <v>rtdc.l.rtdc.4029:itc</v>
      </c>
      <c r="G110" s="8">
        <f t="shared" si="3"/>
        <v>42699.488865740743</v>
      </c>
    </row>
    <row r="111" spans="1:7" x14ac:dyDescent="0.25">
      <c r="A111" s="8">
        <v>42699.496574074074</v>
      </c>
      <c r="B111" s="21" t="s">
        <v>223</v>
      </c>
      <c r="C111" s="21" t="s">
        <v>432</v>
      </c>
      <c r="D111" s="21">
        <v>920000</v>
      </c>
      <c r="E111" s="21" t="s">
        <v>269</v>
      </c>
      <c r="F111" s="21" t="str">
        <f t="shared" si="2"/>
        <v>rtdc.l.rtdc.4012:itc</v>
      </c>
      <c r="G111" s="8">
        <f t="shared" si="3"/>
        <v>42699.496574074074</v>
      </c>
    </row>
    <row r="112" spans="1:7" x14ac:dyDescent="0.25">
      <c r="A112" s="8">
        <v>42699.49832175926</v>
      </c>
      <c r="B112" s="21" t="s">
        <v>218</v>
      </c>
      <c r="C112" s="21" t="s">
        <v>535</v>
      </c>
      <c r="D112" s="21">
        <v>1820000</v>
      </c>
      <c r="E112" s="21" t="s">
        <v>345</v>
      </c>
      <c r="F112" s="21" t="str">
        <f t="shared" si="2"/>
        <v>rtdc.l.rtdc.4040:itc</v>
      </c>
      <c r="G112" s="8">
        <f t="shared" si="3"/>
        <v>42699.49832175926</v>
      </c>
    </row>
    <row r="113" spans="1:7" x14ac:dyDescent="0.25">
      <c r="A113" s="8">
        <v>42699.498865740738</v>
      </c>
      <c r="B113" s="21" t="s">
        <v>312</v>
      </c>
      <c r="C113" s="21" t="s">
        <v>536</v>
      </c>
      <c r="D113" s="21">
        <v>1830000</v>
      </c>
      <c r="E113" s="21" t="s">
        <v>342</v>
      </c>
      <c r="F113" s="21" t="str">
        <f t="shared" si="2"/>
        <v>rtdc.l.rtdc.4003:itc</v>
      </c>
      <c r="G113" s="8">
        <f t="shared" si="3"/>
        <v>42699.498865740738</v>
      </c>
    </row>
    <row r="114" spans="1:7" x14ac:dyDescent="0.25">
      <c r="A114" s="8">
        <v>42699.505069444444</v>
      </c>
      <c r="B114" s="21" t="s">
        <v>247</v>
      </c>
      <c r="C114" s="21" t="s">
        <v>537</v>
      </c>
      <c r="D114" s="21">
        <v>2230000</v>
      </c>
      <c r="E114" s="21" t="s">
        <v>344</v>
      </c>
      <c r="F114" s="21" t="str">
        <f t="shared" si="2"/>
        <v>rtdc.l.rtdc.4013:itc</v>
      </c>
      <c r="G114" s="8">
        <f t="shared" si="3"/>
        <v>42699.505069444444</v>
      </c>
    </row>
    <row r="115" spans="1:7" x14ac:dyDescent="0.25">
      <c r="A115" s="8">
        <v>42699.509664351855</v>
      </c>
      <c r="B115" s="21" t="s">
        <v>263</v>
      </c>
      <c r="C115" s="21" t="s">
        <v>538</v>
      </c>
      <c r="D115" s="21">
        <v>2420000</v>
      </c>
      <c r="E115" s="21" t="s">
        <v>232</v>
      </c>
      <c r="F115" s="21" t="str">
        <f t="shared" si="2"/>
        <v>rtdc.l.rtdc.4031:itc</v>
      </c>
      <c r="G115" s="8">
        <f t="shared" si="3"/>
        <v>42699.509664351855</v>
      </c>
    </row>
    <row r="116" spans="1:7" x14ac:dyDescent="0.25">
      <c r="A116" s="8">
        <v>42699.513796296298</v>
      </c>
      <c r="B116" s="21" t="s">
        <v>289</v>
      </c>
      <c r="C116" s="21" t="s">
        <v>431</v>
      </c>
      <c r="D116" s="21">
        <v>1760000</v>
      </c>
      <c r="E116" s="21" t="s">
        <v>341</v>
      </c>
      <c r="F116" s="21" t="str">
        <f t="shared" si="2"/>
        <v>rtdc.l.rtdc.4027:itc</v>
      </c>
      <c r="G116" s="8">
        <f t="shared" si="3"/>
        <v>42699.513796296298</v>
      </c>
    </row>
    <row r="117" spans="1:7" x14ac:dyDescent="0.25">
      <c r="A117" s="8">
        <v>42699.516377314816</v>
      </c>
      <c r="B117" s="21" t="s">
        <v>285</v>
      </c>
      <c r="C117" s="21" t="s">
        <v>539</v>
      </c>
      <c r="D117" s="21">
        <v>2360000</v>
      </c>
      <c r="E117" s="21" t="s">
        <v>530</v>
      </c>
      <c r="F117" s="21" t="str">
        <f t="shared" si="2"/>
        <v>rtdc.l.rtdc.4041:itc</v>
      </c>
      <c r="G117" s="8">
        <f t="shared" si="3"/>
        <v>42699.516377314816</v>
      </c>
    </row>
    <row r="118" spans="1:7" x14ac:dyDescent="0.25">
      <c r="A118" s="8">
        <v>42699.517951388887</v>
      </c>
      <c r="B118" s="21" t="s">
        <v>268</v>
      </c>
      <c r="C118" s="21" t="s">
        <v>540</v>
      </c>
      <c r="D118" s="21">
        <v>1740000</v>
      </c>
      <c r="E118" s="21" t="s">
        <v>316</v>
      </c>
      <c r="F118" s="21" t="str">
        <f t="shared" si="2"/>
        <v>rtdc.l.rtdc.4046:itc</v>
      </c>
      <c r="G118" s="8">
        <f t="shared" si="3"/>
        <v>42699.517951388887</v>
      </c>
    </row>
    <row r="119" spans="1:7" x14ac:dyDescent="0.25">
      <c r="A119" s="8">
        <v>42699.525439814817</v>
      </c>
      <c r="B119" s="21" t="s">
        <v>338</v>
      </c>
      <c r="C119" s="21" t="s">
        <v>541</v>
      </c>
      <c r="D119" s="21">
        <v>2040000</v>
      </c>
      <c r="E119" s="21" t="s">
        <v>317</v>
      </c>
      <c r="F119" s="21" t="str">
        <f t="shared" si="2"/>
        <v>rtdc.l.rtdc.4010:itc</v>
      </c>
      <c r="G119" s="8">
        <f t="shared" si="3"/>
        <v>42699.525439814817</v>
      </c>
    </row>
    <row r="120" spans="1:7" x14ac:dyDescent="0.25">
      <c r="A120" s="8">
        <v>42699.527071759258</v>
      </c>
      <c r="B120" s="21" t="s">
        <v>313</v>
      </c>
      <c r="C120" s="21" t="s">
        <v>542</v>
      </c>
      <c r="D120" s="21">
        <v>1830000</v>
      </c>
      <c r="E120" s="21" t="s">
        <v>342</v>
      </c>
      <c r="F120" s="21" t="str">
        <f t="shared" si="2"/>
        <v>rtdc.l.rtdc.4004:itc</v>
      </c>
      <c r="G120" s="8">
        <f t="shared" si="3"/>
        <v>42699.527071759258</v>
      </c>
    </row>
    <row r="121" spans="1:7" x14ac:dyDescent="0.25">
      <c r="A121" s="8">
        <v>42699.52920138889</v>
      </c>
      <c r="B121" s="21" t="s">
        <v>220</v>
      </c>
      <c r="C121" s="21" t="s">
        <v>543</v>
      </c>
      <c r="D121" s="21">
        <v>1820000</v>
      </c>
      <c r="E121" s="21" t="s">
        <v>345</v>
      </c>
      <c r="F121" s="21" t="str">
        <f t="shared" si="2"/>
        <v>rtdc.l.rtdc.4039:itc</v>
      </c>
      <c r="G121" s="8">
        <f t="shared" si="3"/>
        <v>42699.52920138889</v>
      </c>
    </row>
    <row r="122" spans="1:7" x14ac:dyDescent="0.25">
      <c r="A122" s="8">
        <v>42699.530798611115</v>
      </c>
      <c r="B122" s="26" t="s">
        <v>215</v>
      </c>
      <c r="C122" s="21" t="s">
        <v>544</v>
      </c>
      <c r="D122" s="21">
        <v>920000</v>
      </c>
      <c r="E122" s="21" t="s">
        <v>269</v>
      </c>
      <c r="F122" s="21" t="str">
        <f t="shared" si="2"/>
        <v>rtdc.l.rtdc.4011:itc</v>
      </c>
      <c r="G122" s="8">
        <f t="shared" si="3"/>
        <v>42699.530798611115</v>
      </c>
    </row>
    <row r="123" spans="1:7" x14ac:dyDescent="0.25">
      <c r="A123" s="8">
        <v>42699.538113425922</v>
      </c>
      <c r="B123" s="21" t="s">
        <v>246</v>
      </c>
      <c r="C123" s="21" t="s">
        <v>545</v>
      </c>
      <c r="D123" s="21">
        <v>2230000</v>
      </c>
      <c r="E123" s="21" t="s">
        <v>344</v>
      </c>
      <c r="F123" s="21" t="str">
        <f t="shared" si="2"/>
        <v>rtdc.l.rtdc.4014:itc</v>
      </c>
      <c r="G123" s="8">
        <f t="shared" si="3"/>
        <v>42699.538113425922</v>
      </c>
    </row>
    <row r="124" spans="1:7" x14ac:dyDescent="0.25">
      <c r="A124" s="8">
        <v>42699.545381944445</v>
      </c>
      <c r="B124" s="21" t="s">
        <v>422</v>
      </c>
      <c r="C124" s="21" t="s">
        <v>546</v>
      </c>
      <c r="D124" s="21">
        <v>2420000</v>
      </c>
      <c r="E124" s="21" t="s">
        <v>232</v>
      </c>
      <c r="F124" s="21" t="str">
        <f t="shared" si="2"/>
        <v>rtdc.l.rtdc.4032:itc</v>
      </c>
      <c r="G124" s="8">
        <f t="shared" si="3"/>
        <v>42699.545381944445</v>
      </c>
    </row>
    <row r="125" spans="1:7" x14ac:dyDescent="0.25">
      <c r="A125" s="8">
        <v>42699.548634259256</v>
      </c>
      <c r="B125" s="21" t="s">
        <v>312</v>
      </c>
      <c r="C125" s="21" t="s">
        <v>547</v>
      </c>
      <c r="D125" s="21">
        <v>2620000</v>
      </c>
      <c r="E125" s="21" t="s">
        <v>250</v>
      </c>
      <c r="F125" s="21" t="str">
        <f t="shared" si="2"/>
        <v>rtdc.l.rtdc.4003:itc</v>
      </c>
      <c r="G125" s="8">
        <f t="shared" si="3"/>
        <v>42699.548634259256</v>
      </c>
    </row>
    <row r="126" spans="1:7" x14ac:dyDescent="0.25">
      <c r="A126" s="8">
        <v>42699.549733796295</v>
      </c>
      <c r="B126" s="21" t="s">
        <v>284</v>
      </c>
      <c r="C126" s="21" t="s">
        <v>548</v>
      </c>
      <c r="D126" s="21">
        <v>2360000</v>
      </c>
      <c r="E126" s="21" t="s">
        <v>530</v>
      </c>
      <c r="F126" s="21" t="str">
        <f t="shared" si="2"/>
        <v>rtdc.l.rtdc.4042:itc</v>
      </c>
      <c r="G126" s="8">
        <f t="shared" si="3"/>
        <v>42699.549733796295</v>
      </c>
    </row>
    <row r="127" spans="1:7" x14ac:dyDescent="0.25">
      <c r="A127" s="8">
        <v>42699.557615740741</v>
      </c>
      <c r="B127" s="21" t="s">
        <v>267</v>
      </c>
      <c r="C127" s="21" t="s">
        <v>549</v>
      </c>
      <c r="D127" s="21">
        <v>1740000</v>
      </c>
      <c r="E127" s="21" t="s">
        <v>316</v>
      </c>
      <c r="F127" s="21" t="str">
        <f t="shared" si="2"/>
        <v>rtdc.l.rtdc.4045:itc</v>
      </c>
      <c r="G127" s="8">
        <f t="shared" si="3"/>
        <v>42699.557615740741</v>
      </c>
    </row>
    <row r="128" spans="1:7" x14ac:dyDescent="0.25">
      <c r="A128" s="8">
        <v>42699.559837962966</v>
      </c>
      <c r="B128" s="21" t="s">
        <v>186</v>
      </c>
      <c r="C128" s="21" t="s">
        <v>550</v>
      </c>
      <c r="D128" s="21">
        <v>2040000</v>
      </c>
      <c r="E128" s="21" t="s">
        <v>317</v>
      </c>
      <c r="F128" s="21" t="str">
        <f t="shared" si="2"/>
        <v>rtdc.l.rtdc.4009:itc</v>
      </c>
      <c r="G128" s="8">
        <f t="shared" si="3"/>
        <v>42699.559837962966</v>
      </c>
    </row>
    <row r="129" spans="1:7" x14ac:dyDescent="0.25">
      <c r="A129" s="8">
        <v>42699.567326388889</v>
      </c>
      <c r="B129" s="21" t="s">
        <v>223</v>
      </c>
      <c r="C129" s="21" t="s">
        <v>433</v>
      </c>
      <c r="D129" s="21">
        <v>920000</v>
      </c>
      <c r="E129" s="21" t="s">
        <v>269</v>
      </c>
      <c r="F129" s="21" t="str">
        <f t="shared" si="2"/>
        <v>rtdc.l.rtdc.4012:itc</v>
      </c>
      <c r="G129" s="8">
        <f t="shared" si="3"/>
        <v>42699.567326388889</v>
      </c>
    </row>
    <row r="130" spans="1:7" x14ac:dyDescent="0.25">
      <c r="A130" s="8">
        <v>42699.568055555559</v>
      </c>
      <c r="B130" s="21" t="s">
        <v>313</v>
      </c>
      <c r="C130" s="21" t="s">
        <v>434</v>
      </c>
      <c r="D130" s="21">
        <v>2620000</v>
      </c>
      <c r="E130" s="21" t="s">
        <v>250</v>
      </c>
      <c r="F130" s="21" t="str">
        <f t="shared" ref="F130:F193" si="4">B130</f>
        <v>rtdc.l.rtdc.4004:itc</v>
      </c>
      <c r="G130" s="8">
        <f t="shared" ref="G130:G193" si="5">A130</f>
        <v>42699.568055555559</v>
      </c>
    </row>
    <row r="131" spans="1:7" x14ac:dyDescent="0.25">
      <c r="A131" s="8">
        <v>42699.570092592592</v>
      </c>
      <c r="B131" s="21" t="s">
        <v>218</v>
      </c>
      <c r="C131" s="21" t="s">
        <v>551</v>
      </c>
      <c r="D131" s="21">
        <v>1820000</v>
      </c>
      <c r="E131" s="21" t="s">
        <v>345</v>
      </c>
      <c r="F131" s="21" t="str">
        <f t="shared" si="4"/>
        <v>rtdc.l.rtdc.4040:itc</v>
      </c>
      <c r="G131" s="8">
        <f t="shared" si="5"/>
        <v>42699.570092592592</v>
      </c>
    </row>
    <row r="132" spans="1:7" x14ac:dyDescent="0.25">
      <c r="A132" s="8">
        <v>42699.572997685187</v>
      </c>
      <c r="B132" s="21" t="s">
        <v>247</v>
      </c>
      <c r="C132" s="21" t="s">
        <v>552</v>
      </c>
      <c r="D132" s="21">
        <v>2230000</v>
      </c>
      <c r="E132" s="21" t="s">
        <v>344</v>
      </c>
      <c r="F132" s="21" t="str">
        <f t="shared" si="4"/>
        <v>rtdc.l.rtdc.4013:itc</v>
      </c>
      <c r="G132" s="8">
        <f t="shared" si="5"/>
        <v>42699.572997685187</v>
      </c>
    </row>
    <row r="133" spans="1:7" x14ac:dyDescent="0.25">
      <c r="A133" s="8">
        <v>42699.579375000001</v>
      </c>
      <c r="B133" s="21" t="s">
        <v>313</v>
      </c>
      <c r="C133" s="21" t="s">
        <v>434</v>
      </c>
      <c r="D133" s="21">
        <v>2620000</v>
      </c>
      <c r="E133" s="21" t="s">
        <v>250</v>
      </c>
      <c r="F133" s="21" t="str">
        <f t="shared" si="4"/>
        <v>rtdc.l.rtdc.4004:itc</v>
      </c>
      <c r="G133" s="8">
        <f t="shared" si="5"/>
        <v>42699.579375000001</v>
      </c>
    </row>
    <row r="134" spans="1:7" x14ac:dyDescent="0.25">
      <c r="A134" s="8">
        <v>42699.581736111111</v>
      </c>
      <c r="B134" s="21" t="s">
        <v>263</v>
      </c>
      <c r="C134" s="21" t="s">
        <v>553</v>
      </c>
      <c r="D134" s="21">
        <v>2420000</v>
      </c>
      <c r="E134" s="21" t="s">
        <v>232</v>
      </c>
      <c r="F134" s="21" t="str">
        <f t="shared" si="4"/>
        <v>rtdc.l.rtdc.4031:itc</v>
      </c>
      <c r="G134" s="8">
        <f t="shared" si="5"/>
        <v>42699.581736111111</v>
      </c>
    </row>
    <row r="135" spans="1:7" x14ac:dyDescent="0.25">
      <c r="A135" s="8">
        <v>42699.582002314812</v>
      </c>
      <c r="B135" s="21" t="s">
        <v>285</v>
      </c>
      <c r="C135" s="21" t="s">
        <v>554</v>
      </c>
      <c r="D135" s="21">
        <v>2360000</v>
      </c>
      <c r="E135" s="21" t="s">
        <v>530</v>
      </c>
      <c r="F135" s="21" t="str">
        <f t="shared" si="4"/>
        <v>rtdc.l.rtdc.4041:itc</v>
      </c>
      <c r="G135" s="8">
        <f t="shared" si="5"/>
        <v>42699.582002314812</v>
      </c>
    </row>
    <row r="136" spans="1:7" x14ac:dyDescent="0.25">
      <c r="A136" s="8">
        <v>42699.585289351853</v>
      </c>
      <c r="B136" s="21" t="s">
        <v>312</v>
      </c>
      <c r="C136" s="21" t="s">
        <v>436</v>
      </c>
      <c r="D136" s="21">
        <v>2620000</v>
      </c>
      <c r="E136" s="21" t="s">
        <v>250</v>
      </c>
      <c r="F136" s="21" t="str">
        <f t="shared" si="4"/>
        <v>rtdc.l.rtdc.4003:itc</v>
      </c>
      <c r="G136" s="8">
        <f t="shared" si="5"/>
        <v>42699.585289351853</v>
      </c>
    </row>
    <row r="137" spans="1:7" x14ac:dyDescent="0.25">
      <c r="A137" s="8">
        <v>42699.590127314812</v>
      </c>
      <c r="B137" s="21" t="s">
        <v>268</v>
      </c>
      <c r="C137" s="21" t="s">
        <v>435</v>
      </c>
      <c r="D137" s="21">
        <v>1740000</v>
      </c>
      <c r="E137" s="21" t="s">
        <v>316</v>
      </c>
      <c r="F137" s="21" t="str">
        <f t="shared" si="4"/>
        <v>rtdc.l.rtdc.4046:itc</v>
      </c>
      <c r="G137" s="8">
        <f t="shared" si="5"/>
        <v>42699.590127314812</v>
      </c>
    </row>
    <row r="138" spans="1:7" x14ac:dyDescent="0.25">
      <c r="A138" s="8">
        <v>42699.597303240742</v>
      </c>
      <c r="B138" s="21" t="s">
        <v>338</v>
      </c>
      <c r="C138" s="21" t="s">
        <v>555</v>
      </c>
      <c r="D138" s="21">
        <v>2040000</v>
      </c>
      <c r="E138" s="21" t="s">
        <v>317</v>
      </c>
      <c r="F138" s="21" t="str">
        <f t="shared" si="4"/>
        <v>rtdc.l.rtdc.4010:itc</v>
      </c>
      <c r="G138" s="8">
        <f t="shared" si="5"/>
        <v>42699.597303240742</v>
      </c>
    </row>
    <row r="139" spans="1:7" x14ac:dyDescent="0.25">
      <c r="A139" s="8">
        <v>42699.59957175926</v>
      </c>
      <c r="B139" s="21" t="s">
        <v>220</v>
      </c>
      <c r="C139" s="21" t="s">
        <v>556</v>
      </c>
      <c r="D139" s="21">
        <v>1820000</v>
      </c>
      <c r="E139" s="21" t="s">
        <v>345</v>
      </c>
      <c r="F139" s="21" t="str">
        <f t="shared" si="4"/>
        <v>rtdc.l.rtdc.4039:itc</v>
      </c>
      <c r="G139" s="8">
        <f t="shared" si="5"/>
        <v>42699.59957175926</v>
      </c>
    </row>
    <row r="140" spans="1:7" x14ac:dyDescent="0.25">
      <c r="A140" s="8">
        <v>42699.601331018515</v>
      </c>
      <c r="B140" s="21" t="s">
        <v>215</v>
      </c>
      <c r="C140" s="21" t="s">
        <v>557</v>
      </c>
      <c r="D140" s="21">
        <v>920000</v>
      </c>
      <c r="E140" s="21" t="s">
        <v>269</v>
      </c>
      <c r="F140" s="21" t="str">
        <f t="shared" si="4"/>
        <v>rtdc.l.rtdc.4011:itc</v>
      </c>
      <c r="G140" s="8">
        <f t="shared" si="5"/>
        <v>42699.601331018515</v>
      </c>
    </row>
    <row r="141" spans="1:7" x14ac:dyDescent="0.25">
      <c r="A141" s="8">
        <v>42699.604907407411</v>
      </c>
      <c r="B141" s="21" t="s">
        <v>268</v>
      </c>
      <c r="C141" s="21" t="s">
        <v>435</v>
      </c>
      <c r="D141" s="21">
        <v>1740000</v>
      </c>
      <c r="E141" s="21" t="s">
        <v>316</v>
      </c>
      <c r="F141" s="21" t="str">
        <f t="shared" si="4"/>
        <v>rtdc.l.rtdc.4046:itc</v>
      </c>
      <c r="G141" s="8">
        <f t="shared" si="5"/>
        <v>42699.604907407411</v>
      </c>
    </row>
    <row r="142" spans="1:7" x14ac:dyDescent="0.25">
      <c r="A142" s="8">
        <v>42699.610405092593</v>
      </c>
      <c r="B142" s="21" t="s">
        <v>313</v>
      </c>
      <c r="C142" s="21" t="s">
        <v>558</v>
      </c>
      <c r="D142" s="21">
        <v>2620000</v>
      </c>
      <c r="E142" s="21" t="s">
        <v>250</v>
      </c>
      <c r="F142" s="21" t="str">
        <f t="shared" si="4"/>
        <v>rtdc.l.rtdc.4004:itc</v>
      </c>
      <c r="G142" s="8">
        <f t="shared" si="5"/>
        <v>42699.610405092593</v>
      </c>
    </row>
    <row r="143" spans="1:7" x14ac:dyDescent="0.25">
      <c r="A143" s="8">
        <v>42699.610405092593</v>
      </c>
      <c r="B143" s="21" t="s">
        <v>246</v>
      </c>
      <c r="C143" s="21" t="s">
        <v>559</v>
      </c>
      <c r="D143" s="21">
        <v>2230000</v>
      </c>
      <c r="E143" s="21" t="s">
        <v>344</v>
      </c>
      <c r="F143" s="21" t="str">
        <f t="shared" si="4"/>
        <v>rtdc.l.rtdc.4014:itc</v>
      </c>
      <c r="G143" s="8">
        <f t="shared" si="5"/>
        <v>42699.610405092593</v>
      </c>
    </row>
    <row r="144" spans="1:7" x14ac:dyDescent="0.25">
      <c r="A144" s="8">
        <v>42699.616863425923</v>
      </c>
      <c r="B144" s="21" t="s">
        <v>422</v>
      </c>
      <c r="C144" s="21" t="s">
        <v>437</v>
      </c>
      <c r="D144" s="21">
        <v>2420000</v>
      </c>
      <c r="E144" s="21" t="s">
        <v>232</v>
      </c>
      <c r="F144" s="21" t="str">
        <f t="shared" si="4"/>
        <v>rtdc.l.rtdc.4032:itc</v>
      </c>
      <c r="G144" s="8">
        <f t="shared" si="5"/>
        <v>42699.616863425923</v>
      </c>
    </row>
    <row r="145" spans="1:7" x14ac:dyDescent="0.25">
      <c r="A145" s="8">
        <v>42699.620821759258</v>
      </c>
      <c r="B145" s="21" t="s">
        <v>284</v>
      </c>
      <c r="C145" s="21" t="s">
        <v>440</v>
      </c>
      <c r="D145" s="21">
        <v>2360000</v>
      </c>
      <c r="E145" s="21" t="s">
        <v>530</v>
      </c>
      <c r="F145" s="21" t="str">
        <f t="shared" si="4"/>
        <v>rtdc.l.rtdc.4042:itc</v>
      </c>
      <c r="G145" s="8">
        <f t="shared" si="5"/>
        <v>42699.620821759258</v>
      </c>
    </row>
    <row r="146" spans="1:7" x14ac:dyDescent="0.25">
      <c r="A146" s="8">
        <v>42699.630972222221</v>
      </c>
      <c r="B146" s="21" t="s">
        <v>267</v>
      </c>
      <c r="C146" s="21" t="s">
        <v>439</v>
      </c>
      <c r="D146" s="21">
        <v>1740000</v>
      </c>
      <c r="E146" s="21" t="s">
        <v>316</v>
      </c>
      <c r="F146" s="21" t="str">
        <f t="shared" si="4"/>
        <v>rtdc.l.rtdc.4045:itc</v>
      </c>
      <c r="G146" s="8">
        <f t="shared" si="5"/>
        <v>42699.630972222221</v>
      </c>
    </row>
    <row r="147" spans="1:7" x14ac:dyDescent="0.25">
      <c r="A147" s="8">
        <v>42699.632974537039</v>
      </c>
      <c r="B147" s="21" t="s">
        <v>186</v>
      </c>
      <c r="C147" s="21" t="s">
        <v>560</v>
      </c>
      <c r="D147" s="21">
        <v>2040000</v>
      </c>
      <c r="E147" s="21" t="s">
        <v>317</v>
      </c>
      <c r="F147" s="21" t="str">
        <f t="shared" si="4"/>
        <v>rtdc.l.rtdc.4009:itc</v>
      </c>
      <c r="G147" s="8">
        <f t="shared" si="5"/>
        <v>42699.632974537039</v>
      </c>
    </row>
    <row r="148" spans="1:7" x14ac:dyDescent="0.25">
      <c r="A148" s="8">
        <v>42699.6330787037</v>
      </c>
      <c r="B148" s="21" t="s">
        <v>312</v>
      </c>
      <c r="C148" s="21" t="s">
        <v>438</v>
      </c>
      <c r="D148" s="21">
        <v>2620000</v>
      </c>
      <c r="E148" s="21" t="s">
        <v>250</v>
      </c>
      <c r="F148" s="21" t="str">
        <f t="shared" si="4"/>
        <v>rtdc.l.rtdc.4003:itc</v>
      </c>
      <c r="G148" s="8">
        <f t="shared" si="5"/>
        <v>42699.6330787037</v>
      </c>
    </row>
    <row r="149" spans="1:7" x14ac:dyDescent="0.25">
      <c r="A149" s="8">
        <v>42699.639965277776</v>
      </c>
      <c r="B149" s="21" t="s">
        <v>223</v>
      </c>
      <c r="C149" s="21" t="s">
        <v>443</v>
      </c>
      <c r="D149" s="21">
        <v>920000</v>
      </c>
      <c r="E149" s="21" t="s">
        <v>269</v>
      </c>
      <c r="F149" s="21" t="str">
        <f t="shared" si="4"/>
        <v>rtdc.l.rtdc.4012:itc</v>
      </c>
      <c r="G149" s="8">
        <f t="shared" si="5"/>
        <v>42699.639965277776</v>
      </c>
    </row>
    <row r="150" spans="1:7" x14ac:dyDescent="0.25">
      <c r="A150" s="8">
        <v>42699.642731481479</v>
      </c>
      <c r="B150" s="21" t="s">
        <v>231</v>
      </c>
      <c r="C150" s="21" t="s">
        <v>561</v>
      </c>
      <c r="D150" s="21">
        <v>2610000</v>
      </c>
      <c r="E150" s="21" t="s">
        <v>227</v>
      </c>
      <c r="F150" s="21" t="str">
        <f t="shared" si="4"/>
        <v>rtdc.l.rtdc.4021:itc</v>
      </c>
      <c r="G150" s="8">
        <f t="shared" si="5"/>
        <v>42699.642731481479</v>
      </c>
    </row>
    <row r="151" spans="1:7" x14ac:dyDescent="0.25">
      <c r="A151" s="8">
        <v>42699.643067129633</v>
      </c>
      <c r="B151" s="21" t="s">
        <v>218</v>
      </c>
      <c r="C151" s="21" t="s">
        <v>562</v>
      </c>
      <c r="D151" s="21">
        <v>1820000</v>
      </c>
      <c r="E151" s="21" t="s">
        <v>345</v>
      </c>
      <c r="F151" s="21" t="str">
        <f t="shared" si="4"/>
        <v>rtdc.l.rtdc.4040:itc</v>
      </c>
      <c r="G151" s="8">
        <f t="shared" si="5"/>
        <v>42699.643067129633</v>
      </c>
    </row>
    <row r="152" spans="1:7" x14ac:dyDescent="0.25">
      <c r="A152" s="8">
        <v>42699.647557870368</v>
      </c>
      <c r="B152" s="21" t="s">
        <v>247</v>
      </c>
      <c r="C152" s="21" t="s">
        <v>444</v>
      </c>
      <c r="D152" s="21">
        <v>2230000</v>
      </c>
      <c r="E152" s="21" t="s">
        <v>344</v>
      </c>
      <c r="F152" s="21" t="str">
        <f t="shared" si="4"/>
        <v>rtdc.l.rtdc.4013:itc</v>
      </c>
      <c r="G152" s="8">
        <f t="shared" si="5"/>
        <v>42699.647557870368</v>
      </c>
    </row>
    <row r="153" spans="1:7" x14ac:dyDescent="0.25">
      <c r="A153" s="8">
        <v>42699.651921296296</v>
      </c>
      <c r="B153" s="21" t="s">
        <v>313</v>
      </c>
      <c r="C153" s="21" t="s">
        <v>441</v>
      </c>
      <c r="D153" s="21">
        <v>2620000</v>
      </c>
      <c r="E153" s="21" t="s">
        <v>250</v>
      </c>
      <c r="F153" s="21" t="str">
        <f t="shared" si="4"/>
        <v>rtdc.l.rtdc.4004:itc</v>
      </c>
      <c r="G153" s="8">
        <f t="shared" si="5"/>
        <v>42699.651921296296</v>
      </c>
    </row>
    <row r="154" spans="1:7" x14ac:dyDescent="0.25">
      <c r="A154" s="8">
        <v>42699.652129629627</v>
      </c>
      <c r="B154" s="21" t="s">
        <v>263</v>
      </c>
      <c r="C154" s="21" t="s">
        <v>563</v>
      </c>
      <c r="D154" s="21">
        <v>2420000</v>
      </c>
      <c r="E154" s="21" t="s">
        <v>232</v>
      </c>
      <c r="F154" s="21" t="str">
        <f t="shared" si="4"/>
        <v>rtdc.l.rtdc.4031:itc</v>
      </c>
      <c r="G154" s="8">
        <f t="shared" si="5"/>
        <v>42699.652129629627</v>
      </c>
    </row>
    <row r="155" spans="1:7" x14ac:dyDescent="0.25">
      <c r="A155" s="8">
        <v>42699.653449074074</v>
      </c>
      <c r="B155" s="21" t="s">
        <v>230</v>
      </c>
      <c r="C155" s="21" t="s">
        <v>564</v>
      </c>
      <c r="D155" s="21">
        <v>2610000</v>
      </c>
      <c r="E155" s="21" t="s">
        <v>227</v>
      </c>
      <c r="F155" s="21" t="str">
        <f t="shared" si="4"/>
        <v>rtdc.l.rtdc.4022:itc</v>
      </c>
      <c r="G155" s="8">
        <f t="shared" si="5"/>
        <v>42699.653449074074</v>
      </c>
    </row>
    <row r="156" spans="1:7" x14ac:dyDescent="0.25">
      <c r="A156" s="8">
        <v>42699.65902777778</v>
      </c>
      <c r="B156" s="21" t="s">
        <v>285</v>
      </c>
      <c r="C156" s="21" t="s">
        <v>565</v>
      </c>
      <c r="D156" s="21">
        <v>2360000</v>
      </c>
      <c r="E156" s="21" t="s">
        <v>530</v>
      </c>
      <c r="F156" s="21" t="str">
        <f t="shared" si="4"/>
        <v>rtdc.l.rtdc.4041:itc</v>
      </c>
      <c r="G156" s="8">
        <f t="shared" si="5"/>
        <v>42699.65902777778</v>
      </c>
    </row>
    <row r="157" spans="1:7" x14ac:dyDescent="0.25">
      <c r="A157" s="8">
        <v>42699.661203703705</v>
      </c>
      <c r="B157" s="21" t="s">
        <v>313</v>
      </c>
      <c r="C157" s="21" t="s">
        <v>441</v>
      </c>
      <c r="D157" s="21">
        <v>2620000</v>
      </c>
      <c r="E157" s="21" t="s">
        <v>250</v>
      </c>
      <c r="F157" s="21" t="str">
        <f t="shared" si="4"/>
        <v>rtdc.l.rtdc.4004:itc</v>
      </c>
      <c r="G157" s="8">
        <f t="shared" si="5"/>
        <v>42699.661203703705</v>
      </c>
    </row>
    <row r="158" spans="1:7" x14ac:dyDescent="0.25">
      <c r="A158" s="8">
        <v>42699.664166666669</v>
      </c>
      <c r="B158" s="21" t="s">
        <v>268</v>
      </c>
      <c r="C158" s="21" t="s">
        <v>442</v>
      </c>
      <c r="D158" s="21">
        <v>1740000</v>
      </c>
      <c r="E158" s="21" t="s">
        <v>316</v>
      </c>
      <c r="F158" s="21" t="str">
        <f t="shared" si="4"/>
        <v>rtdc.l.rtdc.4046:itc</v>
      </c>
      <c r="G158" s="8">
        <f t="shared" si="5"/>
        <v>42699.664166666669</v>
      </c>
    </row>
    <row r="159" spans="1:7" x14ac:dyDescent="0.25">
      <c r="A159" s="8">
        <v>42699.671388888892</v>
      </c>
      <c r="B159" s="21" t="s">
        <v>338</v>
      </c>
      <c r="C159" s="21" t="s">
        <v>566</v>
      </c>
      <c r="D159" s="21">
        <v>2040000</v>
      </c>
      <c r="E159" s="21" t="s">
        <v>317</v>
      </c>
      <c r="F159" s="21" t="str">
        <f t="shared" si="4"/>
        <v>rtdc.l.rtdc.4010:itc</v>
      </c>
      <c r="G159" s="8">
        <f t="shared" si="5"/>
        <v>42699.671388888892</v>
      </c>
    </row>
    <row r="160" spans="1:7" x14ac:dyDescent="0.25">
      <c r="A160" s="8">
        <v>42699.671956018516</v>
      </c>
      <c r="B160" s="21" t="s">
        <v>231</v>
      </c>
      <c r="C160" s="21" t="s">
        <v>567</v>
      </c>
      <c r="D160" s="21">
        <v>2610000</v>
      </c>
      <c r="E160" s="21" t="s">
        <v>227</v>
      </c>
      <c r="F160" s="21" t="str">
        <f t="shared" si="4"/>
        <v>rtdc.l.rtdc.4021:itc</v>
      </c>
      <c r="G160" s="8">
        <f t="shared" si="5"/>
        <v>42699.671956018516</v>
      </c>
    </row>
    <row r="161" spans="1:7" x14ac:dyDescent="0.25">
      <c r="A161" s="8">
        <v>42699.674502314818</v>
      </c>
      <c r="B161" s="21" t="s">
        <v>220</v>
      </c>
      <c r="C161" s="21" t="s">
        <v>446</v>
      </c>
      <c r="D161" s="21">
        <v>1820000</v>
      </c>
      <c r="E161" s="21" t="s">
        <v>345</v>
      </c>
      <c r="F161" s="21" t="str">
        <f t="shared" si="4"/>
        <v>rtdc.l.rtdc.4039:itc</v>
      </c>
      <c r="G161" s="8">
        <f t="shared" si="5"/>
        <v>42699.674502314818</v>
      </c>
    </row>
    <row r="162" spans="1:7" x14ac:dyDescent="0.25">
      <c r="A162" s="8">
        <v>42699.67596064815</v>
      </c>
      <c r="B162" s="21" t="s">
        <v>215</v>
      </c>
      <c r="C162" s="21" t="s">
        <v>568</v>
      </c>
      <c r="D162" s="21">
        <v>920000</v>
      </c>
      <c r="E162" s="21" t="s">
        <v>269</v>
      </c>
      <c r="F162" s="21" t="str">
        <f t="shared" si="4"/>
        <v>rtdc.l.rtdc.4011:itc</v>
      </c>
      <c r="G162" s="8">
        <f t="shared" si="5"/>
        <v>42699.67596064815</v>
      </c>
    </row>
    <row r="163" spans="1:7" x14ac:dyDescent="0.25">
      <c r="A163" s="8">
        <v>42699.679097222222</v>
      </c>
      <c r="B163" s="21" t="s">
        <v>312</v>
      </c>
      <c r="C163" s="21" t="s">
        <v>445</v>
      </c>
      <c r="D163" s="21">
        <v>2620000</v>
      </c>
      <c r="E163" s="21" t="s">
        <v>250</v>
      </c>
      <c r="F163" s="21" t="str">
        <f t="shared" si="4"/>
        <v>rtdc.l.rtdc.4003:itc</v>
      </c>
      <c r="G163" s="8">
        <f t="shared" si="5"/>
        <v>42699.679097222222</v>
      </c>
    </row>
    <row r="164" spans="1:7" x14ac:dyDescent="0.25">
      <c r="A164" s="8">
        <v>42699.680300925924</v>
      </c>
      <c r="B164" s="21" t="s">
        <v>231</v>
      </c>
      <c r="C164" s="21" t="s">
        <v>567</v>
      </c>
      <c r="D164" s="21">
        <v>2610000</v>
      </c>
      <c r="E164" s="21" t="s">
        <v>227</v>
      </c>
      <c r="F164" s="21" t="str">
        <f t="shared" si="4"/>
        <v>rtdc.l.rtdc.4021:itc</v>
      </c>
      <c r="G164" s="8">
        <f t="shared" si="5"/>
        <v>42699.680300925924</v>
      </c>
    </row>
    <row r="165" spans="1:7" x14ac:dyDescent="0.25">
      <c r="A165" s="8">
        <v>42699.683182870373</v>
      </c>
      <c r="B165" s="21" t="s">
        <v>246</v>
      </c>
      <c r="C165" s="21" t="s">
        <v>569</v>
      </c>
      <c r="D165" s="21">
        <v>2230000</v>
      </c>
      <c r="E165" s="21" t="s">
        <v>344</v>
      </c>
      <c r="F165" s="21" t="str">
        <f t="shared" si="4"/>
        <v>rtdc.l.rtdc.4014:itc</v>
      </c>
      <c r="G165" s="8">
        <f t="shared" si="5"/>
        <v>42699.683182870373</v>
      </c>
    </row>
    <row r="166" spans="1:7" x14ac:dyDescent="0.25">
      <c r="A166" s="8">
        <v>42699.684432870374</v>
      </c>
      <c r="B166" s="21" t="s">
        <v>422</v>
      </c>
      <c r="C166" s="21" t="s">
        <v>449</v>
      </c>
      <c r="D166" s="21">
        <v>2420000</v>
      </c>
      <c r="E166" s="21" t="s">
        <v>232</v>
      </c>
      <c r="F166" s="21" t="str">
        <f t="shared" si="4"/>
        <v>rtdc.l.rtdc.4032:itc</v>
      </c>
      <c r="G166" s="8">
        <f t="shared" si="5"/>
        <v>42699.684432870374</v>
      </c>
    </row>
    <row r="167" spans="1:7" x14ac:dyDescent="0.25">
      <c r="A167" s="8">
        <v>42699.692962962959</v>
      </c>
      <c r="B167" s="21" t="s">
        <v>313</v>
      </c>
      <c r="C167" s="21" t="s">
        <v>447</v>
      </c>
      <c r="D167" s="21">
        <v>2620000</v>
      </c>
      <c r="E167" s="21" t="s">
        <v>250</v>
      </c>
      <c r="F167" s="21" t="str">
        <f t="shared" si="4"/>
        <v>rtdc.l.rtdc.4004:itc</v>
      </c>
      <c r="G167" s="8">
        <f t="shared" si="5"/>
        <v>42699.692962962959</v>
      </c>
    </row>
    <row r="168" spans="1:7" x14ac:dyDescent="0.25">
      <c r="A168" s="8">
        <v>42699.694710648146</v>
      </c>
      <c r="B168" s="21" t="s">
        <v>284</v>
      </c>
      <c r="C168" s="21" t="s">
        <v>570</v>
      </c>
      <c r="D168" s="21">
        <v>2360000</v>
      </c>
      <c r="E168" s="21" t="s">
        <v>530</v>
      </c>
      <c r="F168" s="21" t="str">
        <f t="shared" si="4"/>
        <v>rtdc.l.rtdc.4042:itc</v>
      </c>
      <c r="G168" s="8">
        <f t="shared" si="5"/>
        <v>42699.694710648146</v>
      </c>
    </row>
    <row r="169" spans="1:7" x14ac:dyDescent="0.25">
      <c r="A169" s="8">
        <v>42699.697199074071</v>
      </c>
      <c r="B169" s="21" t="s">
        <v>230</v>
      </c>
      <c r="C169" s="21" t="s">
        <v>571</v>
      </c>
      <c r="D169" s="21">
        <v>2610000</v>
      </c>
      <c r="E169" s="21" t="s">
        <v>227</v>
      </c>
      <c r="F169" s="21" t="str">
        <f t="shared" si="4"/>
        <v>rtdc.l.rtdc.4022:itc</v>
      </c>
      <c r="G169" s="8">
        <f t="shared" si="5"/>
        <v>42699.697199074071</v>
      </c>
    </row>
    <row r="170" spans="1:7" x14ac:dyDescent="0.25">
      <c r="A170" s="8">
        <v>42699.699953703705</v>
      </c>
      <c r="B170" s="21" t="s">
        <v>267</v>
      </c>
      <c r="C170" s="21" t="s">
        <v>572</v>
      </c>
      <c r="D170" s="21">
        <v>1740000</v>
      </c>
      <c r="E170" s="21" t="s">
        <v>316</v>
      </c>
      <c r="F170" s="21" t="str">
        <f t="shared" si="4"/>
        <v>rtdc.l.rtdc.4045:itc</v>
      </c>
      <c r="G170" s="8">
        <f t="shared" si="5"/>
        <v>42699.699953703705</v>
      </c>
    </row>
    <row r="171" spans="1:7" x14ac:dyDescent="0.25">
      <c r="A171" s="8">
        <v>42699.702951388892</v>
      </c>
      <c r="B171" s="21" t="s">
        <v>313</v>
      </c>
      <c r="C171" s="21" t="s">
        <v>447</v>
      </c>
      <c r="D171" s="21">
        <v>2620000</v>
      </c>
      <c r="E171" s="21" t="s">
        <v>250</v>
      </c>
      <c r="F171" s="21" t="str">
        <f t="shared" si="4"/>
        <v>rtdc.l.rtdc.4004:itc</v>
      </c>
      <c r="G171" s="8">
        <f t="shared" si="5"/>
        <v>42699.702951388892</v>
      </c>
    </row>
    <row r="172" spans="1:7" x14ac:dyDescent="0.25">
      <c r="A172" s="8">
        <v>42699.706446759257</v>
      </c>
      <c r="B172" s="21" t="s">
        <v>186</v>
      </c>
      <c r="C172" s="21" t="s">
        <v>573</v>
      </c>
      <c r="D172" s="21">
        <v>2040000</v>
      </c>
      <c r="E172" s="21" t="s">
        <v>317</v>
      </c>
      <c r="F172" s="21" t="str">
        <f t="shared" si="4"/>
        <v>rtdc.l.rtdc.4009:itc</v>
      </c>
      <c r="G172" s="8">
        <f t="shared" si="5"/>
        <v>42699.706446759257</v>
      </c>
    </row>
    <row r="173" spans="1:7" x14ac:dyDescent="0.25">
      <c r="A173" s="8">
        <v>42699.712534722225</v>
      </c>
      <c r="B173" s="21" t="s">
        <v>231</v>
      </c>
      <c r="C173" s="21" t="s">
        <v>450</v>
      </c>
      <c r="D173" s="21">
        <v>2610000</v>
      </c>
      <c r="E173" s="21" t="s">
        <v>227</v>
      </c>
      <c r="F173" s="21" t="str">
        <f t="shared" si="4"/>
        <v>rtdc.l.rtdc.4021:itc</v>
      </c>
      <c r="G173" s="8">
        <f t="shared" si="5"/>
        <v>42699.712534722225</v>
      </c>
    </row>
    <row r="174" spans="1:7" x14ac:dyDescent="0.25">
      <c r="A174" s="8">
        <v>42699.713946759257</v>
      </c>
      <c r="B174" s="21" t="s">
        <v>223</v>
      </c>
      <c r="C174" s="21" t="s">
        <v>448</v>
      </c>
      <c r="D174" s="21">
        <v>920000</v>
      </c>
      <c r="E174" s="21" t="s">
        <v>269</v>
      </c>
      <c r="F174" s="21" t="str">
        <f t="shared" si="4"/>
        <v>rtdc.l.rtdc.4012:itc</v>
      </c>
      <c r="G174" s="8">
        <f t="shared" si="5"/>
        <v>42699.713946759257</v>
      </c>
    </row>
    <row r="175" spans="1:7" x14ac:dyDescent="0.25">
      <c r="A175" s="8">
        <v>42699.71565972222</v>
      </c>
      <c r="B175" s="21" t="s">
        <v>218</v>
      </c>
      <c r="C175" s="21" t="s">
        <v>574</v>
      </c>
      <c r="D175" s="21">
        <v>1820000</v>
      </c>
      <c r="E175" s="21" t="s">
        <v>345</v>
      </c>
      <c r="F175" s="21" t="str">
        <f t="shared" si="4"/>
        <v>rtdc.l.rtdc.4040:itc</v>
      </c>
      <c r="G175" s="8">
        <f t="shared" si="5"/>
        <v>42699.71565972222</v>
      </c>
    </row>
    <row r="176" spans="1:7" x14ac:dyDescent="0.25">
      <c r="A176" s="8">
        <v>42699.71947916667</v>
      </c>
      <c r="B176" s="21" t="s">
        <v>247</v>
      </c>
      <c r="C176" s="21" t="s">
        <v>575</v>
      </c>
      <c r="D176" s="21">
        <v>2230000</v>
      </c>
      <c r="E176" s="21" t="s">
        <v>344</v>
      </c>
      <c r="F176" s="21" t="str">
        <f t="shared" si="4"/>
        <v>rtdc.l.rtdc.4013:itc</v>
      </c>
      <c r="G176" s="8">
        <f t="shared" si="5"/>
        <v>42699.71947916667</v>
      </c>
    </row>
    <row r="177" spans="1:7" x14ac:dyDescent="0.25">
      <c r="A177" s="8">
        <v>42699.719525462962</v>
      </c>
      <c r="B177" s="21" t="s">
        <v>312</v>
      </c>
      <c r="C177" s="21" t="s">
        <v>576</v>
      </c>
      <c r="D177" s="21">
        <v>2620000</v>
      </c>
      <c r="E177" s="21" t="s">
        <v>250</v>
      </c>
      <c r="F177" s="21" t="str">
        <f t="shared" si="4"/>
        <v>rtdc.l.rtdc.4003:itc</v>
      </c>
      <c r="G177" s="8">
        <f t="shared" si="5"/>
        <v>42699.719525462962</v>
      </c>
    </row>
    <row r="178" spans="1:7" x14ac:dyDescent="0.25">
      <c r="A178" s="8">
        <v>42699.719814814816</v>
      </c>
      <c r="B178" s="21" t="s">
        <v>188</v>
      </c>
      <c r="C178" s="21" t="s">
        <v>451</v>
      </c>
      <c r="D178" s="21">
        <v>2270000</v>
      </c>
      <c r="E178" s="21" t="s">
        <v>577</v>
      </c>
      <c r="F178" s="21" t="str">
        <f t="shared" si="4"/>
        <v>rtdc.l.rtdc.4044:itc</v>
      </c>
      <c r="G178" s="8">
        <f t="shared" si="5"/>
        <v>42699.719814814816</v>
      </c>
    </row>
    <row r="179" spans="1:7" x14ac:dyDescent="0.25">
      <c r="A179" s="8">
        <v>42699.728055555555</v>
      </c>
      <c r="B179" s="21" t="s">
        <v>230</v>
      </c>
      <c r="C179" s="21" t="s">
        <v>578</v>
      </c>
      <c r="D179" s="21">
        <v>2610000</v>
      </c>
      <c r="E179" s="21" t="s">
        <v>227</v>
      </c>
      <c r="F179" s="21" t="str">
        <f t="shared" si="4"/>
        <v>rtdc.l.rtdc.4022:itc</v>
      </c>
      <c r="G179" s="8">
        <f t="shared" si="5"/>
        <v>42699.728055555555</v>
      </c>
    </row>
    <row r="180" spans="1:7" x14ac:dyDescent="0.25">
      <c r="A180" s="8">
        <v>42699.728310185186</v>
      </c>
      <c r="B180" s="21" t="s">
        <v>263</v>
      </c>
      <c r="C180" s="21" t="s">
        <v>579</v>
      </c>
      <c r="D180" s="21">
        <v>2420000</v>
      </c>
      <c r="E180" s="21" t="s">
        <v>232</v>
      </c>
      <c r="F180" s="21" t="str">
        <f t="shared" si="4"/>
        <v>rtdc.l.rtdc.4031:itc</v>
      </c>
      <c r="G180" s="8">
        <f t="shared" si="5"/>
        <v>42699.728310185186</v>
      </c>
    </row>
    <row r="181" spans="1:7" x14ac:dyDescent="0.25">
      <c r="A181" s="8">
        <v>42699.732754629629</v>
      </c>
      <c r="B181" s="21" t="s">
        <v>285</v>
      </c>
      <c r="C181" s="21" t="s">
        <v>455</v>
      </c>
      <c r="D181" s="21">
        <v>2360000</v>
      </c>
      <c r="E181" s="21" t="s">
        <v>530</v>
      </c>
      <c r="F181" s="21" t="str">
        <f t="shared" si="4"/>
        <v>rtdc.l.rtdc.4041:itc</v>
      </c>
      <c r="G181" s="8">
        <f t="shared" si="5"/>
        <v>42699.732754629629</v>
      </c>
    </row>
    <row r="182" spans="1:7" x14ac:dyDescent="0.25">
      <c r="A182" s="8">
        <v>42699.734224537038</v>
      </c>
      <c r="B182" s="21" t="s">
        <v>313</v>
      </c>
      <c r="C182" s="21" t="s">
        <v>452</v>
      </c>
      <c r="D182" s="21">
        <v>2620000</v>
      </c>
      <c r="E182" s="21" t="s">
        <v>250</v>
      </c>
      <c r="F182" s="21" t="str">
        <f t="shared" si="4"/>
        <v>rtdc.l.rtdc.4004:itc</v>
      </c>
      <c r="G182" s="8">
        <f t="shared" si="5"/>
        <v>42699.734224537038</v>
      </c>
    </row>
    <row r="183" spans="1:7" x14ac:dyDescent="0.25">
      <c r="A183" s="8">
        <v>42699.736805555556</v>
      </c>
      <c r="B183" s="21" t="s">
        <v>268</v>
      </c>
      <c r="C183" s="21" t="s">
        <v>580</v>
      </c>
      <c r="D183" s="21">
        <v>2630000</v>
      </c>
      <c r="E183" s="21" t="s">
        <v>291</v>
      </c>
      <c r="F183" s="21" t="str">
        <f t="shared" si="4"/>
        <v>rtdc.l.rtdc.4046:itc</v>
      </c>
      <c r="G183" s="8">
        <f t="shared" si="5"/>
        <v>42699.736805555556</v>
      </c>
    </row>
    <row r="184" spans="1:7" x14ac:dyDescent="0.25">
      <c r="A184" s="8">
        <v>42699.744143518517</v>
      </c>
      <c r="B184" s="21" t="s">
        <v>338</v>
      </c>
      <c r="C184" s="21" t="s">
        <v>581</v>
      </c>
      <c r="D184" s="21">
        <v>2040000</v>
      </c>
      <c r="E184" s="21" t="s">
        <v>317</v>
      </c>
      <c r="F184" s="21" t="str">
        <f t="shared" si="4"/>
        <v>rtdc.l.rtdc.4010:itc</v>
      </c>
      <c r="G184" s="8">
        <f t="shared" si="5"/>
        <v>42699.744143518517</v>
      </c>
    </row>
    <row r="185" spans="1:7" x14ac:dyDescent="0.25">
      <c r="A185" s="8">
        <v>42699.744571759256</v>
      </c>
      <c r="B185" s="21" t="s">
        <v>313</v>
      </c>
      <c r="C185" s="21" t="s">
        <v>452</v>
      </c>
      <c r="D185" s="21">
        <v>2620000</v>
      </c>
      <c r="E185" s="21" t="s">
        <v>250</v>
      </c>
      <c r="F185" s="21" t="str">
        <f t="shared" si="4"/>
        <v>rtdc.l.rtdc.4004:itc</v>
      </c>
      <c r="G185" s="8">
        <f t="shared" si="5"/>
        <v>42699.744571759256</v>
      </c>
    </row>
    <row r="186" spans="1:7" x14ac:dyDescent="0.25">
      <c r="A186" s="8">
        <v>42699.746006944442</v>
      </c>
      <c r="B186" s="21" t="s">
        <v>220</v>
      </c>
      <c r="C186" s="21" t="s">
        <v>582</v>
      </c>
      <c r="D186" s="21">
        <v>1820000</v>
      </c>
      <c r="E186" s="21" t="s">
        <v>345</v>
      </c>
      <c r="F186" s="21" t="str">
        <f t="shared" si="4"/>
        <v>rtdc.l.rtdc.4039:itc</v>
      </c>
      <c r="G186" s="8">
        <f t="shared" si="5"/>
        <v>42699.746006944442</v>
      </c>
    </row>
    <row r="187" spans="1:7" x14ac:dyDescent="0.25">
      <c r="A187" s="8">
        <v>42699.747824074075</v>
      </c>
      <c r="B187" s="21" t="s">
        <v>336</v>
      </c>
      <c r="C187" s="21" t="s">
        <v>454</v>
      </c>
      <c r="D187" s="21">
        <v>2540000</v>
      </c>
      <c r="E187" s="21" t="s">
        <v>583</v>
      </c>
      <c r="F187" s="21" t="str">
        <f t="shared" si="4"/>
        <v>rtdc.l.rtdc.4015:itc</v>
      </c>
      <c r="G187" s="8">
        <f t="shared" si="5"/>
        <v>42699.747824074075</v>
      </c>
    </row>
    <row r="188" spans="1:7" x14ac:dyDescent="0.25">
      <c r="A188" s="8">
        <v>42699.752141203702</v>
      </c>
      <c r="B188" s="21" t="s">
        <v>215</v>
      </c>
      <c r="C188" s="21" t="s">
        <v>584</v>
      </c>
      <c r="D188" s="21">
        <v>1740000</v>
      </c>
      <c r="E188" s="21" t="s">
        <v>316</v>
      </c>
      <c r="F188" s="21" t="str">
        <f t="shared" si="4"/>
        <v>rtdc.l.rtdc.4011:itc</v>
      </c>
      <c r="G188" s="8">
        <f t="shared" si="5"/>
        <v>42699.752141203702</v>
      </c>
    </row>
    <row r="189" spans="1:7" x14ac:dyDescent="0.25">
      <c r="A189" s="8">
        <v>42699.754733796297</v>
      </c>
      <c r="B189" s="21" t="s">
        <v>231</v>
      </c>
      <c r="C189" s="21" t="s">
        <v>453</v>
      </c>
      <c r="D189" s="21">
        <v>2610000</v>
      </c>
      <c r="E189" s="21" t="s">
        <v>227</v>
      </c>
      <c r="F189" s="21" t="str">
        <f t="shared" si="4"/>
        <v>rtdc.l.rtdc.4021:itc</v>
      </c>
      <c r="G189" s="8">
        <f t="shared" si="5"/>
        <v>42699.754733796297</v>
      </c>
    </row>
    <row r="190" spans="1:7" x14ac:dyDescent="0.25">
      <c r="A190" s="8">
        <v>42699.760428240741</v>
      </c>
      <c r="B190" s="21" t="s">
        <v>246</v>
      </c>
      <c r="C190" s="21" t="s">
        <v>585</v>
      </c>
      <c r="D190" s="21">
        <v>1800000</v>
      </c>
      <c r="E190" s="21" t="s">
        <v>586</v>
      </c>
      <c r="F190" s="21" t="str">
        <f t="shared" si="4"/>
        <v>rtdc.l.rtdc.4014:itc</v>
      </c>
      <c r="G190" s="8">
        <f t="shared" si="5"/>
        <v>42699.760428240741</v>
      </c>
    </row>
    <row r="191" spans="1:7" x14ac:dyDescent="0.25">
      <c r="A191" s="8">
        <v>42699.760520833333</v>
      </c>
      <c r="B191" s="21" t="s">
        <v>312</v>
      </c>
      <c r="C191" s="21" t="s">
        <v>456</v>
      </c>
      <c r="D191" s="21">
        <v>2620000</v>
      </c>
      <c r="E191" s="21" t="s">
        <v>250</v>
      </c>
      <c r="F191" s="21" t="str">
        <f t="shared" si="4"/>
        <v>rtdc.l.rtdc.4003:itc</v>
      </c>
      <c r="G191" s="8">
        <f t="shared" si="5"/>
        <v>42699.760520833333</v>
      </c>
    </row>
    <row r="192" spans="1:7" x14ac:dyDescent="0.25">
      <c r="A192" s="8">
        <v>42699.76152777778</v>
      </c>
      <c r="B192" s="21" t="s">
        <v>312</v>
      </c>
      <c r="C192" s="21" t="s">
        <v>456</v>
      </c>
      <c r="D192" s="21">
        <v>2620000</v>
      </c>
      <c r="E192" s="21" t="s">
        <v>250</v>
      </c>
      <c r="F192" s="21" t="str">
        <f t="shared" si="4"/>
        <v>rtdc.l.rtdc.4003:itc</v>
      </c>
      <c r="G192" s="8">
        <f t="shared" si="5"/>
        <v>42699.76152777778</v>
      </c>
    </row>
    <row r="193" spans="1:7" x14ac:dyDescent="0.25">
      <c r="A193" s="8">
        <v>42699.764004629629</v>
      </c>
      <c r="B193" s="21" t="s">
        <v>312</v>
      </c>
      <c r="C193" s="21" t="s">
        <v>456</v>
      </c>
      <c r="D193" s="21">
        <v>2620000</v>
      </c>
      <c r="E193" s="21" t="s">
        <v>250</v>
      </c>
      <c r="F193" s="21" t="str">
        <f t="shared" si="4"/>
        <v>rtdc.l.rtdc.4003:itc</v>
      </c>
      <c r="G193" s="8">
        <f t="shared" si="5"/>
        <v>42699.764004629629</v>
      </c>
    </row>
    <row r="194" spans="1:7" x14ac:dyDescent="0.25">
      <c r="A194" s="8">
        <v>42699.764918981484</v>
      </c>
      <c r="B194" s="21" t="s">
        <v>422</v>
      </c>
      <c r="C194" s="21" t="s">
        <v>587</v>
      </c>
      <c r="D194" s="21">
        <v>2420000</v>
      </c>
      <c r="E194" s="21" t="s">
        <v>232</v>
      </c>
      <c r="F194" s="21" t="str">
        <f t="shared" ref="F194:F235" si="6">B194</f>
        <v>rtdc.l.rtdc.4032:itc</v>
      </c>
      <c r="G194" s="8">
        <f t="shared" ref="G194:G235" si="7">A194</f>
        <v>42699.764918981484</v>
      </c>
    </row>
    <row r="195" spans="1:7" x14ac:dyDescent="0.25">
      <c r="A195" s="8">
        <v>42699.767210648148</v>
      </c>
      <c r="B195" s="21" t="s">
        <v>157</v>
      </c>
      <c r="C195" s="21" t="s">
        <v>588</v>
      </c>
      <c r="D195" s="21">
        <v>2530000</v>
      </c>
      <c r="E195" s="21" t="s">
        <v>589</v>
      </c>
      <c r="F195" s="21" t="str">
        <f t="shared" si="6"/>
        <v>rtdc.l.rtdc.4052:itc</v>
      </c>
      <c r="G195" s="8">
        <f t="shared" si="7"/>
        <v>42699.767210648148</v>
      </c>
    </row>
    <row r="196" spans="1:7" x14ac:dyDescent="0.25">
      <c r="A196" s="8">
        <v>42699.768020833333</v>
      </c>
      <c r="B196" s="21" t="s">
        <v>157</v>
      </c>
      <c r="C196" s="21" t="s">
        <v>588</v>
      </c>
      <c r="D196" s="21">
        <v>2530000</v>
      </c>
      <c r="E196" s="21" t="s">
        <v>589</v>
      </c>
      <c r="F196" s="21" t="str">
        <f t="shared" si="6"/>
        <v>rtdc.l.rtdc.4052:itc</v>
      </c>
      <c r="G196" s="8">
        <f t="shared" si="7"/>
        <v>42699.768020833333</v>
      </c>
    </row>
    <row r="197" spans="1:7" x14ac:dyDescent="0.25">
      <c r="A197" s="8">
        <v>42699.76902777778</v>
      </c>
      <c r="B197" s="21" t="s">
        <v>157</v>
      </c>
      <c r="C197" s="21" t="s">
        <v>588</v>
      </c>
      <c r="D197" s="21">
        <v>2530000</v>
      </c>
      <c r="E197" s="21" t="s">
        <v>589</v>
      </c>
      <c r="F197" s="21" t="str">
        <f t="shared" si="6"/>
        <v>rtdc.l.rtdc.4052:itc</v>
      </c>
      <c r="G197" s="8">
        <f t="shared" si="7"/>
        <v>42699.76902777778</v>
      </c>
    </row>
    <row r="198" spans="1:7" x14ac:dyDescent="0.25">
      <c r="A198" s="8">
        <v>42699.770439814813</v>
      </c>
      <c r="B198" s="21" t="s">
        <v>267</v>
      </c>
      <c r="C198" s="21" t="s">
        <v>590</v>
      </c>
      <c r="D198" s="21">
        <v>2630000</v>
      </c>
      <c r="E198" s="21" t="s">
        <v>291</v>
      </c>
      <c r="F198" s="21" t="str">
        <f t="shared" si="6"/>
        <v>rtdc.l.rtdc.4045:itc</v>
      </c>
      <c r="G198" s="8">
        <f t="shared" si="7"/>
        <v>42699.770439814813</v>
      </c>
    </row>
    <row r="199" spans="1:7" x14ac:dyDescent="0.25">
      <c r="A199" s="8">
        <v>42699.771516203706</v>
      </c>
      <c r="B199" s="21" t="s">
        <v>284</v>
      </c>
      <c r="C199" s="21" t="s">
        <v>591</v>
      </c>
      <c r="D199" s="21">
        <v>2000000</v>
      </c>
      <c r="E199" s="21" t="s">
        <v>222</v>
      </c>
      <c r="F199" s="21" t="str">
        <f t="shared" si="6"/>
        <v>rtdc.l.rtdc.4042:itc</v>
      </c>
      <c r="G199" s="8">
        <f t="shared" si="7"/>
        <v>42699.771516203706</v>
      </c>
    </row>
    <row r="200" spans="1:7" x14ac:dyDescent="0.25">
      <c r="A200" s="8">
        <v>42699.777094907404</v>
      </c>
      <c r="B200" s="21" t="s">
        <v>230</v>
      </c>
      <c r="C200" s="21" t="s">
        <v>592</v>
      </c>
      <c r="D200" s="21">
        <v>2610000</v>
      </c>
      <c r="E200" s="21" t="s">
        <v>227</v>
      </c>
      <c r="F200" s="21" t="str">
        <f t="shared" si="6"/>
        <v>rtdc.l.rtdc.4022:itc</v>
      </c>
      <c r="G200" s="8">
        <f t="shared" si="7"/>
        <v>42699.777094907404</v>
      </c>
    </row>
    <row r="201" spans="1:7" x14ac:dyDescent="0.25">
      <c r="A201" s="8">
        <v>42699.777141203704</v>
      </c>
      <c r="B201" s="21" t="s">
        <v>313</v>
      </c>
      <c r="C201" s="21" t="s">
        <v>456</v>
      </c>
      <c r="D201" s="21">
        <v>2620000</v>
      </c>
      <c r="E201" s="21" t="s">
        <v>250</v>
      </c>
      <c r="F201" s="21" t="str">
        <f t="shared" si="6"/>
        <v>rtdc.l.rtdc.4004:itc</v>
      </c>
      <c r="G201" s="8">
        <f t="shared" si="7"/>
        <v>42699.777141203704</v>
      </c>
    </row>
    <row r="202" spans="1:7" x14ac:dyDescent="0.25">
      <c r="A202" s="27">
        <v>42699.778240740743</v>
      </c>
      <c r="B202" s="21" t="s">
        <v>313</v>
      </c>
      <c r="C202" s="21" t="s">
        <v>456</v>
      </c>
      <c r="D202" s="21">
        <v>2620000</v>
      </c>
      <c r="E202" s="21" t="s">
        <v>250</v>
      </c>
      <c r="F202" s="21" t="str">
        <f t="shared" si="6"/>
        <v>rtdc.l.rtdc.4004:itc</v>
      </c>
      <c r="G202" s="8">
        <f t="shared" si="7"/>
        <v>42699.778240740743</v>
      </c>
    </row>
    <row r="203" spans="1:7" x14ac:dyDescent="0.25">
      <c r="A203" s="8">
        <v>42699.779039351852</v>
      </c>
      <c r="B203" s="21" t="s">
        <v>313</v>
      </c>
      <c r="C203" s="21" t="s">
        <v>593</v>
      </c>
      <c r="D203" s="21">
        <v>2620000</v>
      </c>
      <c r="E203" s="21" t="s">
        <v>250</v>
      </c>
      <c r="F203" s="21" t="str">
        <f t="shared" si="6"/>
        <v>rtdc.l.rtdc.4004:itc</v>
      </c>
      <c r="G203" s="8">
        <f t="shared" si="7"/>
        <v>42699.779039351852</v>
      </c>
    </row>
    <row r="204" spans="1:7" x14ac:dyDescent="0.25">
      <c r="A204" s="8">
        <v>42699.783391203702</v>
      </c>
      <c r="B204" s="21" t="s">
        <v>186</v>
      </c>
      <c r="C204" s="21" t="s">
        <v>594</v>
      </c>
      <c r="D204" s="21">
        <v>2040000</v>
      </c>
      <c r="E204" s="21" t="s">
        <v>317</v>
      </c>
      <c r="F204" s="21" t="str">
        <f t="shared" si="6"/>
        <v>rtdc.l.rtdc.4009:itc</v>
      </c>
      <c r="G204" s="8">
        <f t="shared" si="7"/>
        <v>42699.783391203702</v>
      </c>
    </row>
    <row r="205" spans="1:7" x14ac:dyDescent="0.25">
      <c r="A205" s="8">
        <v>42699.784375000003</v>
      </c>
      <c r="B205" s="21" t="s">
        <v>223</v>
      </c>
      <c r="C205" s="21" t="s">
        <v>595</v>
      </c>
      <c r="D205" s="21">
        <v>1740000</v>
      </c>
      <c r="E205" s="21" t="s">
        <v>316</v>
      </c>
      <c r="F205" s="21" t="str">
        <f t="shared" si="6"/>
        <v>rtdc.l.rtdc.4012:itc</v>
      </c>
      <c r="G205" s="8">
        <f t="shared" si="7"/>
        <v>42699.784375000003</v>
      </c>
    </row>
    <row r="206" spans="1:7" x14ac:dyDescent="0.25">
      <c r="A206" s="8">
        <v>42699.791620370372</v>
      </c>
      <c r="B206" s="21" t="s">
        <v>218</v>
      </c>
      <c r="C206" s="21" t="s">
        <v>596</v>
      </c>
      <c r="D206" s="21">
        <v>2600000</v>
      </c>
      <c r="E206" s="21" t="s">
        <v>290</v>
      </c>
      <c r="F206" s="21" t="str">
        <f t="shared" si="6"/>
        <v>rtdc.l.rtdc.4040:itc</v>
      </c>
      <c r="G206" s="8">
        <f t="shared" si="7"/>
        <v>42699.791620370372</v>
      </c>
    </row>
    <row r="207" spans="1:7" x14ac:dyDescent="0.25">
      <c r="A207" s="8">
        <v>42699.796643518515</v>
      </c>
      <c r="B207" s="21" t="s">
        <v>231</v>
      </c>
      <c r="C207" s="21" t="s">
        <v>597</v>
      </c>
      <c r="D207" s="21">
        <v>2610000</v>
      </c>
      <c r="E207" s="21" t="s">
        <v>227</v>
      </c>
      <c r="F207" s="21" t="str">
        <f t="shared" si="6"/>
        <v>rtdc.l.rtdc.4021:itc</v>
      </c>
      <c r="G207" s="8">
        <f t="shared" si="7"/>
        <v>42699.796643518515</v>
      </c>
    </row>
    <row r="208" spans="1:7" x14ac:dyDescent="0.25">
      <c r="A208" s="8">
        <v>42699.797847222224</v>
      </c>
      <c r="B208" s="21" t="s">
        <v>247</v>
      </c>
      <c r="C208" s="21" t="s">
        <v>598</v>
      </c>
      <c r="D208" s="21">
        <v>1800000</v>
      </c>
      <c r="E208" s="21" t="s">
        <v>586</v>
      </c>
      <c r="F208" s="21" t="str">
        <f t="shared" si="6"/>
        <v>rtdc.l.rtdc.4013:itc</v>
      </c>
      <c r="G208" s="8">
        <f t="shared" si="7"/>
        <v>42699.797847222224</v>
      </c>
    </row>
    <row r="209" spans="1:7" x14ac:dyDescent="0.25">
      <c r="A209" s="8">
        <v>42699.801550925928</v>
      </c>
      <c r="B209" s="21" t="s">
        <v>312</v>
      </c>
      <c r="C209" s="21" t="s">
        <v>599</v>
      </c>
      <c r="D209" s="21">
        <v>2620000</v>
      </c>
      <c r="E209" s="21" t="s">
        <v>250</v>
      </c>
      <c r="F209" s="21" t="str">
        <f t="shared" si="6"/>
        <v>rtdc.l.rtdc.4003:itc</v>
      </c>
      <c r="G209" s="8">
        <f t="shared" si="7"/>
        <v>42699.801550925928</v>
      </c>
    </row>
    <row r="210" spans="1:7" x14ac:dyDescent="0.25">
      <c r="A210" s="8">
        <v>42699.801932870374</v>
      </c>
      <c r="B210" s="21" t="s">
        <v>263</v>
      </c>
      <c r="C210" s="21" t="s">
        <v>457</v>
      </c>
      <c r="D210" s="21">
        <v>2420000</v>
      </c>
      <c r="E210" s="21" t="s">
        <v>232</v>
      </c>
      <c r="F210" s="21" t="str">
        <f t="shared" si="6"/>
        <v>rtdc.l.rtdc.4031:itc</v>
      </c>
      <c r="G210" s="8">
        <f t="shared" si="7"/>
        <v>42699.801932870374</v>
      </c>
    </row>
    <row r="211" spans="1:7" x14ac:dyDescent="0.25">
      <c r="A211" s="8">
        <v>42699.807349537034</v>
      </c>
      <c r="B211" s="21" t="s">
        <v>285</v>
      </c>
      <c r="C211" s="21" t="s">
        <v>458</v>
      </c>
      <c r="D211" s="21">
        <v>2000000</v>
      </c>
      <c r="E211" s="21" t="s">
        <v>222</v>
      </c>
      <c r="F211" s="21" t="str">
        <f t="shared" si="6"/>
        <v>rtdc.l.rtdc.4041:itc</v>
      </c>
      <c r="G211" s="8">
        <f t="shared" si="7"/>
        <v>42699.807349537034</v>
      </c>
    </row>
    <row r="212" spans="1:7" x14ac:dyDescent="0.25">
      <c r="A212" s="8">
        <v>42699.80940972222</v>
      </c>
      <c r="B212" s="21" t="s">
        <v>268</v>
      </c>
      <c r="C212" s="21" t="s">
        <v>600</v>
      </c>
      <c r="D212" s="21">
        <v>2630000</v>
      </c>
      <c r="E212" s="21" t="s">
        <v>291</v>
      </c>
      <c r="F212" s="21" t="str">
        <f t="shared" si="6"/>
        <v>rtdc.l.rtdc.4046:itc</v>
      </c>
      <c r="G212" s="8">
        <f t="shared" si="7"/>
        <v>42699.80940972222</v>
      </c>
    </row>
    <row r="213" spans="1:7" x14ac:dyDescent="0.25">
      <c r="A213" s="8">
        <v>42699.816550925927</v>
      </c>
      <c r="B213" s="21" t="s">
        <v>313</v>
      </c>
      <c r="C213" s="21" t="s">
        <v>601</v>
      </c>
      <c r="D213" s="21">
        <v>2620000</v>
      </c>
      <c r="E213" s="21" t="s">
        <v>250</v>
      </c>
      <c r="F213" s="21" t="str">
        <f t="shared" si="6"/>
        <v>rtdc.l.rtdc.4004:itc</v>
      </c>
      <c r="G213" s="8">
        <f t="shared" si="7"/>
        <v>42699.816550925927</v>
      </c>
    </row>
    <row r="214" spans="1:7" x14ac:dyDescent="0.25">
      <c r="A214" s="8">
        <v>42699.819236111114</v>
      </c>
      <c r="B214" s="21" t="s">
        <v>215</v>
      </c>
      <c r="C214" s="21" t="s">
        <v>602</v>
      </c>
      <c r="D214" s="21">
        <v>1740000</v>
      </c>
      <c r="E214" s="21" t="s">
        <v>316</v>
      </c>
      <c r="F214" s="21" t="str">
        <f t="shared" si="6"/>
        <v>rtdc.l.rtdc.4011:itc</v>
      </c>
      <c r="G214" s="8">
        <f t="shared" si="7"/>
        <v>42699.819236111114</v>
      </c>
    </row>
    <row r="215" spans="1:7" x14ac:dyDescent="0.25">
      <c r="A215" s="8">
        <v>42699.826944444445</v>
      </c>
      <c r="B215" s="21" t="s">
        <v>220</v>
      </c>
      <c r="C215" s="21" t="s">
        <v>603</v>
      </c>
      <c r="D215" s="21">
        <v>2600000</v>
      </c>
      <c r="E215" s="21" t="s">
        <v>290</v>
      </c>
      <c r="F215" s="21" t="str">
        <f t="shared" si="6"/>
        <v>rtdc.l.rtdc.4039:itc</v>
      </c>
      <c r="G215" s="8">
        <f t="shared" si="7"/>
        <v>42699.826944444445</v>
      </c>
    </row>
    <row r="216" spans="1:7" x14ac:dyDescent="0.25">
      <c r="A216" s="8">
        <v>42699.832939814813</v>
      </c>
      <c r="B216" s="21" t="s">
        <v>246</v>
      </c>
      <c r="C216" s="21" t="s">
        <v>604</v>
      </c>
      <c r="D216" s="21">
        <v>1800000</v>
      </c>
      <c r="E216" s="21" t="s">
        <v>586</v>
      </c>
      <c r="F216" s="21" t="str">
        <f t="shared" si="6"/>
        <v>rtdc.l.rtdc.4014:itc</v>
      </c>
      <c r="G216" s="8">
        <f t="shared" si="7"/>
        <v>42699.832939814813</v>
      </c>
    </row>
    <row r="217" spans="1:7" x14ac:dyDescent="0.25">
      <c r="A217" s="8">
        <v>42699.839733796296</v>
      </c>
      <c r="B217" s="21" t="s">
        <v>267</v>
      </c>
      <c r="C217" s="21" t="s">
        <v>605</v>
      </c>
      <c r="D217" s="21">
        <v>2630000</v>
      </c>
      <c r="E217" s="21" t="s">
        <v>291</v>
      </c>
      <c r="F217" s="21" t="str">
        <f t="shared" si="6"/>
        <v>rtdc.l.rtdc.4045:itc</v>
      </c>
      <c r="G217" s="8">
        <f t="shared" si="7"/>
        <v>42699.839733796296</v>
      </c>
    </row>
    <row r="218" spans="1:7" x14ac:dyDescent="0.25">
      <c r="A218" s="8">
        <v>42699.839918981481</v>
      </c>
      <c r="B218" s="21" t="s">
        <v>284</v>
      </c>
      <c r="C218" s="21" t="s">
        <v>606</v>
      </c>
      <c r="D218" s="21">
        <v>2000000</v>
      </c>
      <c r="E218" s="21" t="s">
        <v>222</v>
      </c>
      <c r="F218" s="21" t="str">
        <f t="shared" si="6"/>
        <v>rtdc.l.rtdc.4042:itc</v>
      </c>
      <c r="G218" s="8">
        <f t="shared" si="7"/>
        <v>42699.839918981481</v>
      </c>
    </row>
    <row r="219" spans="1:7" x14ac:dyDescent="0.25">
      <c r="A219" s="8">
        <v>42699.841793981483</v>
      </c>
      <c r="B219" s="21" t="s">
        <v>312</v>
      </c>
      <c r="C219" s="21" t="s">
        <v>459</v>
      </c>
      <c r="D219" s="21">
        <v>2620000</v>
      </c>
      <c r="E219" s="21" t="s">
        <v>250</v>
      </c>
      <c r="F219" s="21" t="str">
        <f t="shared" si="6"/>
        <v>rtdc.l.rtdc.4003:itc</v>
      </c>
      <c r="G219" s="8">
        <f t="shared" si="7"/>
        <v>42699.841793981483</v>
      </c>
    </row>
    <row r="220" spans="1:7" x14ac:dyDescent="0.25">
      <c r="A220" s="8">
        <v>42699.843148148146</v>
      </c>
      <c r="B220" s="21" t="s">
        <v>312</v>
      </c>
      <c r="C220" s="21" t="s">
        <v>459</v>
      </c>
      <c r="D220" s="21">
        <v>2620000</v>
      </c>
      <c r="E220" s="21" t="s">
        <v>250</v>
      </c>
      <c r="F220" s="21" t="str">
        <f t="shared" si="6"/>
        <v>rtdc.l.rtdc.4003:itc</v>
      </c>
      <c r="G220" s="8">
        <f t="shared" si="7"/>
        <v>42699.843148148146</v>
      </c>
    </row>
    <row r="221" spans="1:7" x14ac:dyDescent="0.25">
      <c r="A221" s="8">
        <v>42699.853587962964</v>
      </c>
      <c r="B221" s="21" t="s">
        <v>156</v>
      </c>
      <c r="C221" s="21" t="s">
        <v>607</v>
      </c>
      <c r="D221" s="21">
        <v>2530000</v>
      </c>
      <c r="E221" s="21" t="s">
        <v>589</v>
      </c>
      <c r="F221" s="21" t="str">
        <f t="shared" si="6"/>
        <v>rtdc.l.rtdc.4051:itc</v>
      </c>
      <c r="G221" s="8">
        <f t="shared" si="7"/>
        <v>42699.853587962964</v>
      </c>
    </row>
    <row r="222" spans="1:7" x14ac:dyDescent="0.25">
      <c r="A222" s="8">
        <v>42699.859270833331</v>
      </c>
      <c r="B222" s="21" t="s">
        <v>313</v>
      </c>
      <c r="C222" s="21" t="s">
        <v>608</v>
      </c>
      <c r="D222" s="21">
        <v>2620000</v>
      </c>
      <c r="E222" s="21" t="s">
        <v>250</v>
      </c>
      <c r="F222" s="21" t="str">
        <f t="shared" si="6"/>
        <v>rtdc.l.rtdc.4004:itc</v>
      </c>
      <c r="G222" s="8">
        <f t="shared" si="7"/>
        <v>42699.859270833331</v>
      </c>
    </row>
    <row r="223" spans="1:7" x14ac:dyDescent="0.25">
      <c r="A223" s="8">
        <v>42699.867986111109</v>
      </c>
      <c r="B223" s="21" t="s">
        <v>247</v>
      </c>
      <c r="C223" s="21" t="s">
        <v>609</v>
      </c>
      <c r="D223" s="21">
        <v>1800000</v>
      </c>
      <c r="E223" s="21" t="s">
        <v>586</v>
      </c>
      <c r="F223" s="21" t="str">
        <f t="shared" si="6"/>
        <v>rtdc.l.rtdc.4013:itc</v>
      </c>
      <c r="G223" s="8">
        <f t="shared" si="7"/>
        <v>42699.867986111109</v>
      </c>
    </row>
    <row r="224" spans="1:7" x14ac:dyDescent="0.25">
      <c r="A224" s="8">
        <v>42699.869050925925</v>
      </c>
      <c r="B224" t="s">
        <v>313</v>
      </c>
      <c r="C224" t="s">
        <v>608</v>
      </c>
      <c r="D224">
        <v>2620000</v>
      </c>
      <c r="E224" t="s">
        <v>250</v>
      </c>
      <c r="F224" s="21" t="str">
        <f t="shared" si="6"/>
        <v>rtdc.l.rtdc.4004:itc</v>
      </c>
      <c r="G224" s="8">
        <f t="shared" si="7"/>
        <v>42699.869050925925</v>
      </c>
    </row>
    <row r="225" spans="1:7" x14ac:dyDescent="0.25">
      <c r="A225" s="8">
        <v>42699.870312500003</v>
      </c>
      <c r="B225" t="s">
        <v>218</v>
      </c>
      <c r="C225" t="s">
        <v>460</v>
      </c>
      <c r="D225">
        <v>2600000</v>
      </c>
      <c r="E225" t="s">
        <v>290</v>
      </c>
      <c r="F225" s="21" t="str">
        <f t="shared" si="6"/>
        <v>rtdc.l.rtdc.4040:itc</v>
      </c>
      <c r="G225" s="8">
        <f t="shared" si="7"/>
        <v>42699.870312500003</v>
      </c>
    </row>
    <row r="226" spans="1:7" x14ac:dyDescent="0.25">
      <c r="A226" s="8">
        <v>42699.877210648148</v>
      </c>
      <c r="B226" t="s">
        <v>312</v>
      </c>
      <c r="C226" t="s">
        <v>610</v>
      </c>
      <c r="D226">
        <v>2610000</v>
      </c>
      <c r="E226" t="s">
        <v>227</v>
      </c>
      <c r="F226" s="21" t="str">
        <f t="shared" si="6"/>
        <v>rtdc.l.rtdc.4003:itc</v>
      </c>
      <c r="G226" s="8">
        <f t="shared" si="7"/>
        <v>42699.877210648148</v>
      </c>
    </row>
    <row r="227" spans="1:7" x14ac:dyDescent="0.25">
      <c r="A227" s="8">
        <v>42699.883900462963</v>
      </c>
      <c r="B227" t="s">
        <v>157</v>
      </c>
      <c r="C227" t="s">
        <v>611</v>
      </c>
      <c r="D227">
        <v>2530000</v>
      </c>
      <c r="E227" t="s">
        <v>589</v>
      </c>
      <c r="F227" s="21" t="str">
        <f t="shared" si="6"/>
        <v>rtdc.l.rtdc.4052:itc</v>
      </c>
      <c r="G227" s="8">
        <f t="shared" si="7"/>
        <v>42699.883900462963</v>
      </c>
    </row>
    <row r="228" spans="1:7" x14ac:dyDescent="0.25">
      <c r="A228" s="8">
        <v>42699.884143518517</v>
      </c>
      <c r="B228" t="s">
        <v>268</v>
      </c>
      <c r="C228" t="s">
        <v>612</v>
      </c>
      <c r="D228">
        <v>2630000</v>
      </c>
      <c r="E228" t="s">
        <v>291</v>
      </c>
      <c r="F228" s="21" t="str">
        <f t="shared" si="6"/>
        <v>rtdc.l.rtdc.4046:itc</v>
      </c>
      <c r="G228" s="8">
        <f t="shared" si="7"/>
        <v>42699.884143518517</v>
      </c>
    </row>
    <row r="229" spans="1:7" x14ac:dyDescent="0.25">
      <c r="A229" s="8">
        <v>42699.889386574076</v>
      </c>
      <c r="B229" t="s">
        <v>285</v>
      </c>
      <c r="C229" t="s">
        <v>462</v>
      </c>
      <c r="D229">
        <v>2000000</v>
      </c>
      <c r="E229" t="s">
        <v>222</v>
      </c>
      <c r="F229" s="21" t="str">
        <f t="shared" si="6"/>
        <v>rtdc.l.rtdc.4041:itc</v>
      </c>
      <c r="G229" s="8">
        <f t="shared" si="7"/>
        <v>42699.889386574076</v>
      </c>
    </row>
    <row r="230" spans="1:7" x14ac:dyDescent="0.25">
      <c r="A230" s="8">
        <v>42699.902557870373</v>
      </c>
      <c r="B230" t="s">
        <v>313</v>
      </c>
      <c r="C230" t="s">
        <v>461</v>
      </c>
      <c r="D230">
        <v>2610000</v>
      </c>
      <c r="E230" t="s">
        <v>227</v>
      </c>
      <c r="F230" s="21" t="str">
        <f t="shared" si="6"/>
        <v>rtdc.l.rtdc.4004:itc</v>
      </c>
      <c r="G230" s="8">
        <f t="shared" si="7"/>
        <v>42699.902557870373</v>
      </c>
    </row>
    <row r="231" spans="1:7" x14ac:dyDescent="0.25">
      <c r="A231" s="8">
        <v>42699.910057870373</v>
      </c>
      <c r="B231" t="s">
        <v>220</v>
      </c>
      <c r="C231" t="s">
        <v>613</v>
      </c>
      <c r="D231">
        <v>2600000</v>
      </c>
      <c r="E231" t="s">
        <v>290</v>
      </c>
      <c r="F231" s="21" t="str">
        <f t="shared" si="6"/>
        <v>rtdc.l.rtdc.4039:itc</v>
      </c>
      <c r="G231" s="8">
        <f t="shared" si="7"/>
        <v>42699.910057870373</v>
      </c>
    </row>
    <row r="232" spans="1:7" x14ac:dyDescent="0.25">
      <c r="A232" s="8">
        <v>42699.910868055558</v>
      </c>
      <c r="B232" t="s">
        <v>156</v>
      </c>
      <c r="C232" t="s">
        <v>607</v>
      </c>
      <c r="D232">
        <v>2530000</v>
      </c>
      <c r="E232" t="s">
        <v>589</v>
      </c>
      <c r="F232" s="21" t="str">
        <f t="shared" si="6"/>
        <v>rtdc.l.rtdc.4051:itc</v>
      </c>
      <c r="G232" s="8">
        <f t="shared" si="7"/>
        <v>42699.910868055558</v>
      </c>
    </row>
    <row r="233" spans="1:7" x14ac:dyDescent="0.25">
      <c r="A233" s="8">
        <v>42699.916064814817</v>
      </c>
      <c r="B233" t="s">
        <v>246</v>
      </c>
      <c r="C233" t="s">
        <v>614</v>
      </c>
      <c r="D233">
        <v>1800000</v>
      </c>
      <c r="E233" t="s">
        <v>586</v>
      </c>
      <c r="F233" s="21" t="str">
        <f t="shared" si="6"/>
        <v>rtdc.l.rtdc.4014:itc</v>
      </c>
      <c r="G233" s="8">
        <f t="shared" si="7"/>
        <v>42699.916064814817</v>
      </c>
    </row>
    <row r="234" spans="1:7" x14ac:dyDescent="0.25">
      <c r="A234" s="8">
        <v>42699.918020833335</v>
      </c>
      <c r="B234" t="s">
        <v>312</v>
      </c>
      <c r="C234" t="s">
        <v>615</v>
      </c>
      <c r="D234">
        <v>2610000</v>
      </c>
      <c r="E234" t="s">
        <v>227</v>
      </c>
      <c r="F234" s="21" t="str">
        <f t="shared" si="6"/>
        <v>rtdc.l.rtdc.4003:itc</v>
      </c>
      <c r="G234" s="8">
        <f t="shared" si="7"/>
        <v>42699.918020833335</v>
      </c>
    </row>
    <row r="235" spans="1:7" x14ac:dyDescent="0.25">
      <c r="A235" s="8">
        <v>42699.922662037039</v>
      </c>
      <c r="B235" t="s">
        <v>267</v>
      </c>
      <c r="C235" t="s">
        <v>616</v>
      </c>
      <c r="D235">
        <v>2630000</v>
      </c>
      <c r="E235" t="s">
        <v>291</v>
      </c>
      <c r="F235" s="21" t="str">
        <f t="shared" si="6"/>
        <v>rtdc.l.rtdc.4045:itc</v>
      </c>
      <c r="G235" s="8">
        <f t="shared" si="7"/>
        <v>42699.922662037039</v>
      </c>
    </row>
    <row r="236" spans="1:7" x14ac:dyDescent="0.25">
      <c r="A236" s="8">
        <v>42699.926388888889</v>
      </c>
      <c r="B236" t="s">
        <v>284</v>
      </c>
      <c r="C236" t="s">
        <v>617</v>
      </c>
      <c r="D236">
        <v>2000000</v>
      </c>
      <c r="E236" t="s">
        <v>222</v>
      </c>
      <c r="F236" s="21" t="str">
        <f t="shared" ref="F236:F265" si="8">B236</f>
        <v>rtdc.l.rtdc.4042:itc</v>
      </c>
      <c r="G236" s="8">
        <f t="shared" ref="G236:G265" si="9">A236</f>
        <v>42699.926388888889</v>
      </c>
    </row>
    <row r="237" spans="1:7" x14ac:dyDescent="0.25">
      <c r="A237" s="8">
        <v>42699.932384259257</v>
      </c>
      <c r="B237" t="s">
        <v>157</v>
      </c>
      <c r="C237" t="s">
        <v>611</v>
      </c>
      <c r="D237">
        <v>2530000</v>
      </c>
      <c r="E237" t="s">
        <v>589</v>
      </c>
      <c r="F237" s="21" t="str">
        <f t="shared" si="8"/>
        <v>rtdc.l.rtdc.4052:itc</v>
      </c>
      <c r="G237" s="8">
        <f t="shared" si="9"/>
        <v>42699.932384259257</v>
      </c>
    </row>
    <row r="238" spans="1:7" x14ac:dyDescent="0.25">
      <c r="A238" s="8">
        <v>42699.942499999997</v>
      </c>
      <c r="B238" t="s">
        <v>313</v>
      </c>
      <c r="C238" t="s">
        <v>618</v>
      </c>
      <c r="D238">
        <v>2610000</v>
      </c>
      <c r="E238" t="s">
        <v>227</v>
      </c>
      <c r="F238" s="21" t="str">
        <f t="shared" si="8"/>
        <v>rtdc.l.rtdc.4004:itc</v>
      </c>
      <c r="G238" s="8">
        <f t="shared" si="9"/>
        <v>42699.942499999997</v>
      </c>
    </row>
    <row r="239" spans="1:7" x14ac:dyDescent="0.25">
      <c r="A239" s="8">
        <v>42699.951481481483</v>
      </c>
      <c r="B239" t="s">
        <v>247</v>
      </c>
      <c r="C239" t="s">
        <v>619</v>
      </c>
      <c r="D239">
        <v>1800000</v>
      </c>
      <c r="E239" t="s">
        <v>586</v>
      </c>
      <c r="F239" s="21" t="str">
        <f t="shared" si="8"/>
        <v>rtdc.l.rtdc.4013:itc</v>
      </c>
      <c r="G239" s="8">
        <f t="shared" si="9"/>
        <v>42699.951481481483</v>
      </c>
    </row>
    <row r="240" spans="1:7" x14ac:dyDescent="0.25">
      <c r="A240" s="8">
        <v>42699.9528125</v>
      </c>
      <c r="B240" t="s">
        <v>218</v>
      </c>
      <c r="C240" t="s">
        <v>620</v>
      </c>
      <c r="D240">
        <v>2600000</v>
      </c>
      <c r="E240" t="s">
        <v>290</v>
      </c>
      <c r="F240" s="21" t="str">
        <f t="shared" si="8"/>
        <v>rtdc.l.rtdc.4040:itc</v>
      </c>
      <c r="G240" s="8">
        <f t="shared" si="9"/>
        <v>42699.9528125</v>
      </c>
    </row>
    <row r="241" spans="1:7" x14ac:dyDescent="0.25">
      <c r="A241" s="8">
        <v>42699.954050925924</v>
      </c>
      <c r="B241" t="s">
        <v>156</v>
      </c>
      <c r="C241" t="s">
        <v>607</v>
      </c>
      <c r="D241">
        <v>2530000</v>
      </c>
      <c r="E241" t="s">
        <v>589</v>
      </c>
      <c r="F241" s="21" t="str">
        <f t="shared" si="8"/>
        <v>rtdc.l.rtdc.4051:itc</v>
      </c>
      <c r="G241" s="8">
        <f t="shared" si="9"/>
        <v>42699.954050925924</v>
      </c>
    </row>
    <row r="242" spans="1:7" x14ac:dyDescent="0.25">
      <c r="A242" s="8">
        <v>42699.963761574072</v>
      </c>
      <c r="B242" t="s">
        <v>268</v>
      </c>
      <c r="C242" t="s">
        <v>621</v>
      </c>
      <c r="D242">
        <v>2630000</v>
      </c>
      <c r="E242" t="s">
        <v>291</v>
      </c>
      <c r="F242" s="21" t="str">
        <f t="shared" si="8"/>
        <v>rtdc.l.rtdc.4046:itc</v>
      </c>
      <c r="G242" s="8">
        <f t="shared" si="9"/>
        <v>42699.963761574072</v>
      </c>
    </row>
    <row r="243" spans="1:7" x14ac:dyDescent="0.25">
      <c r="A243" s="8">
        <v>42699.971608796295</v>
      </c>
      <c r="B243" t="s">
        <v>285</v>
      </c>
      <c r="C243" t="s">
        <v>622</v>
      </c>
      <c r="D243">
        <v>2000000</v>
      </c>
      <c r="E243" t="s">
        <v>222</v>
      </c>
      <c r="F243" s="21" t="str">
        <f t="shared" si="8"/>
        <v>rtdc.l.rtdc.4041:itc</v>
      </c>
      <c r="G243" s="8">
        <f t="shared" si="9"/>
        <v>42699.971608796295</v>
      </c>
    </row>
    <row r="244" spans="1:7" x14ac:dyDescent="0.25">
      <c r="A244" s="8">
        <v>42699.974247685182</v>
      </c>
      <c r="B244" t="s">
        <v>157</v>
      </c>
      <c r="C244" t="s">
        <v>611</v>
      </c>
      <c r="D244">
        <v>2530000</v>
      </c>
      <c r="E244" t="s">
        <v>589</v>
      </c>
      <c r="F244" s="21" t="str">
        <f t="shared" si="8"/>
        <v>rtdc.l.rtdc.4052:itc</v>
      </c>
      <c r="G244" s="8">
        <f t="shared" si="9"/>
        <v>42699.974247685182</v>
      </c>
    </row>
    <row r="245" spans="1:7" x14ac:dyDescent="0.25">
      <c r="A245" s="8">
        <v>42699.978321759256</v>
      </c>
      <c r="B245" t="s">
        <v>268</v>
      </c>
      <c r="C245" t="s">
        <v>621</v>
      </c>
      <c r="D245">
        <v>2630000</v>
      </c>
      <c r="E245" t="s">
        <v>291</v>
      </c>
      <c r="F245" s="21" t="str">
        <f t="shared" si="8"/>
        <v>rtdc.l.rtdc.4046:itc</v>
      </c>
      <c r="G245" s="8">
        <f t="shared" si="9"/>
        <v>42699.978321759256</v>
      </c>
    </row>
    <row r="246" spans="1:7" x14ac:dyDescent="0.25">
      <c r="A246" s="8">
        <v>42699.992013888892</v>
      </c>
      <c r="B246" t="s">
        <v>246</v>
      </c>
      <c r="C246" t="s">
        <v>623</v>
      </c>
      <c r="D246">
        <v>1800000</v>
      </c>
      <c r="E246" t="s">
        <v>586</v>
      </c>
      <c r="F246" s="21" t="str">
        <f t="shared" si="8"/>
        <v>rtdc.l.rtdc.4014:itc</v>
      </c>
      <c r="G246" s="8">
        <f t="shared" si="9"/>
        <v>42699.992013888892</v>
      </c>
    </row>
    <row r="247" spans="1:7" x14ac:dyDescent="0.25">
      <c r="A247" s="8">
        <v>42699.99428240741</v>
      </c>
      <c r="B247" t="s">
        <v>220</v>
      </c>
      <c r="C247" t="s">
        <v>624</v>
      </c>
      <c r="D247">
        <v>2600000</v>
      </c>
      <c r="E247" t="s">
        <v>290</v>
      </c>
      <c r="F247" s="21" t="str">
        <f t="shared" si="8"/>
        <v>rtdc.l.rtdc.4039:itc</v>
      </c>
      <c r="G247" s="8">
        <f t="shared" si="9"/>
        <v>42699.99428240741</v>
      </c>
    </row>
    <row r="248" spans="1:7" x14ac:dyDescent="0.25">
      <c r="A248" s="8">
        <v>42700.005150462966</v>
      </c>
      <c r="B248" t="s">
        <v>284</v>
      </c>
      <c r="C248" t="s">
        <v>625</v>
      </c>
      <c r="D248">
        <v>2000000</v>
      </c>
      <c r="E248" t="s">
        <v>222</v>
      </c>
      <c r="F248" s="21" t="str">
        <f t="shared" si="8"/>
        <v>rtdc.l.rtdc.4042:itc</v>
      </c>
      <c r="G248" s="8">
        <f t="shared" si="9"/>
        <v>42700.005150462966</v>
      </c>
    </row>
    <row r="249" spans="1:7" x14ac:dyDescent="0.25">
      <c r="A249" s="8">
        <v>42700.015486111108</v>
      </c>
      <c r="B249" t="s">
        <v>267</v>
      </c>
      <c r="C249" t="s">
        <v>626</v>
      </c>
      <c r="D249">
        <v>2630000</v>
      </c>
      <c r="E249" t="s">
        <v>291</v>
      </c>
      <c r="F249" s="21" t="str">
        <f t="shared" si="8"/>
        <v>rtdc.l.rtdc.4045:itc</v>
      </c>
      <c r="G249" s="8">
        <f t="shared" si="9"/>
        <v>42700.015486111108</v>
      </c>
    </row>
    <row r="250" spans="1:7" x14ac:dyDescent="0.25">
      <c r="A250" s="8">
        <v>42700.022650462961</v>
      </c>
      <c r="B250" t="s">
        <v>156</v>
      </c>
      <c r="C250" t="s">
        <v>607</v>
      </c>
      <c r="D250">
        <v>2530000</v>
      </c>
      <c r="E250" t="s">
        <v>589</v>
      </c>
      <c r="F250" s="21" t="str">
        <f t="shared" si="8"/>
        <v>rtdc.l.rtdc.4051:itc</v>
      </c>
      <c r="G250" s="8">
        <f t="shared" si="9"/>
        <v>42700.022650462961</v>
      </c>
    </row>
    <row r="251" spans="1:7" x14ac:dyDescent="0.25">
      <c r="A251" s="8">
        <v>42700.032500000001</v>
      </c>
      <c r="B251" t="s">
        <v>247</v>
      </c>
      <c r="C251" t="s">
        <v>463</v>
      </c>
      <c r="D251">
        <v>1800000</v>
      </c>
      <c r="E251" t="s">
        <v>586</v>
      </c>
      <c r="F251" s="21" t="str">
        <f t="shared" si="8"/>
        <v>rtdc.l.rtdc.4013:itc</v>
      </c>
      <c r="G251" s="8">
        <f t="shared" si="9"/>
        <v>42700.032500000001</v>
      </c>
    </row>
    <row r="252" spans="1:7" x14ac:dyDescent="0.25">
      <c r="A252" s="8">
        <v>42700.037488425929</v>
      </c>
      <c r="B252" t="s">
        <v>218</v>
      </c>
      <c r="C252" t="s">
        <v>627</v>
      </c>
      <c r="D252">
        <v>2600000</v>
      </c>
      <c r="E252" t="s">
        <v>290</v>
      </c>
      <c r="F252" s="21" t="str">
        <f t="shared" si="8"/>
        <v>rtdc.l.rtdc.4040:itc</v>
      </c>
      <c r="G252" s="8">
        <f t="shared" si="9"/>
        <v>42700.037488425929</v>
      </c>
    </row>
    <row r="253" spans="1:7" x14ac:dyDescent="0.25">
      <c r="A253" s="8">
        <v>42700.045208333337</v>
      </c>
      <c r="B253" t="s">
        <v>157</v>
      </c>
      <c r="C253" t="s">
        <v>611</v>
      </c>
      <c r="D253">
        <v>2530000</v>
      </c>
      <c r="E253" t="s">
        <v>589</v>
      </c>
      <c r="F253" s="21" t="str">
        <f t="shared" si="8"/>
        <v>rtdc.l.rtdc.4052:itc</v>
      </c>
      <c r="G253" s="8">
        <f t="shared" si="9"/>
        <v>42700.045208333337</v>
      </c>
    </row>
    <row r="254" spans="1:7" x14ac:dyDescent="0.25">
      <c r="A254" s="8">
        <v>42700.045347222222</v>
      </c>
      <c r="B254" t="s">
        <v>268</v>
      </c>
      <c r="C254" t="s">
        <v>628</v>
      </c>
      <c r="D254">
        <v>2630000</v>
      </c>
      <c r="E254" t="s">
        <v>291</v>
      </c>
      <c r="F254" s="21" t="str">
        <f t="shared" si="8"/>
        <v>rtdc.l.rtdc.4046:itc</v>
      </c>
      <c r="G254" s="8">
        <f t="shared" si="9"/>
        <v>42700.045347222222</v>
      </c>
    </row>
    <row r="255" spans="1:7" x14ac:dyDescent="0.25">
      <c r="A255" s="8">
        <v>42700.053495370368</v>
      </c>
      <c r="B255" t="s">
        <v>285</v>
      </c>
      <c r="C255" t="s">
        <v>629</v>
      </c>
      <c r="D255">
        <v>2000000</v>
      </c>
      <c r="E255" t="s">
        <v>222</v>
      </c>
      <c r="F255" s="21" t="str">
        <f t="shared" si="8"/>
        <v>rtdc.l.rtdc.4041:itc</v>
      </c>
      <c r="G255" s="8">
        <f t="shared" si="9"/>
        <v>42700.053495370368</v>
      </c>
    </row>
    <row r="256" spans="1:7" x14ac:dyDescent="0.25">
      <c r="A256" s="8">
        <v>42700.064895833333</v>
      </c>
      <c r="B256" t="s">
        <v>156</v>
      </c>
      <c r="C256" t="s">
        <v>607</v>
      </c>
      <c r="D256">
        <v>2530000</v>
      </c>
      <c r="E256" t="s">
        <v>589</v>
      </c>
      <c r="F256" s="21" t="str">
        <f t="shared" si="8"/>
        <v>rtdc.l.rtdc.4051:itc</v>
      </c>
      <c r="G256" s="8">
        <f t="shared" si="9"/>
        <v>42700.064895833333</v>
      </c>
    </row>
    <row r="257" spans="1:7" x14ac:dyDescent="0.25">
      <c r="A257" s="8">
        <v>42700.072881944441</v>
      </c>
      <c r="B257" t="s">
        <v>246</v>
      </c>
      <c r="C257" t="s">
        <v>630</v>
      </c>
      <c r="D257">
        <v>1800000</v>
      </c>
      <c r="E257" t="s">
        <v>586</v>
      </c>
      <c r="F257" s="21" t="str">
        <f t="shared" si="8"/>
        <v>rtdc.l.rtdc.4014:itc</v>
      </c>
      <c r="G257" s="8">
        <f t="shared" si="9"/>
        <v>42700.072881944441</v>
      </c>
    </row>
    <row r="258" spans="1:7" x14ac:dyDescent="0.25">
      <c r="A258" s="8">
        <v>42700.07576388889</v>
      </c>
      <c r="B258" t="s">
        <v>220</v>
      </c>
      <c r="C258" t="s">
        <v>631</v>
      </c>
      <c r="D258">
        <v>2600000</v>
      </c>
      <c r="E258" t="s">
        <v>290</v>
      </c>
      <c r="F258" s="21" t="str">
        <f t="shared" si="8"/>
        <v>rtdc.l.rtdc.4039:itc</v>
      </c>
      <c r="G258" s="8">
        <f t="shared" si="9"/>
        <v>42700.07576388889</v>
      </c>
    </row>
    <row r="259" spans="1:7" x14ac:dyDescent="0.25">
      <c r="A259" s="8">
        <v>42700.083275462966</v>
      </c>
      <c r="B259" t="s">
        <v>157</v>
      </c>
      <c r="C259" t="s">
        <v>611</v>
      </c>
      <c r="D259">
        <v>2530000</v>
      </c>
      <c r="E259" t="s">
        <v>589</v>
      </c>
      <c r="F259" s="21" t="str">
        <f t="shared" si="8"/>
        <v>rtdc.l.rtdc.4052:itc</v>
      </c>
      <c r="G259" s="8">
        <f t="shared" si="9"/>
        <v>42700.083275462966</v>
      </c>
    </row>
    <row r="260" spans="1:7" x14ac:dyDescent="0.25">
      <c r="A260" s="8">
        <v>42700.08734953704</v>
      </c>
      <c r="B260" t="s">
        <v>284</v>
      </c>
      <c r="C260" t="s">
        <v>632</v>
      </c>
      <c r="D260">
        <v>2000000</v>
      </c>
      <c r="E260" t="s">
        <v>222</v>
      </c>
      <c r="F260" s="21" t="str">
        <f t="shared" si="8"/>
        <v>rtdc.l.rtdc.4042:itc</v>
      </c>
      <c r="G260" s="8">
        <f t="shared" si="9"/>
        <v>42700.08734953704</v>
      </c>
    </row>
    <row r="261" spans="1:7" x14ac:dyDescent="0.25">
      <c r="A261" s="8">
        <v>42700.106736111113</v>
      </c>
      <c r="B261" t="s">
        <v>156</v>
      </c>
      <c r="C261" t="s">
        <v>607</v>
      </c>
      <c r="D261">
        <v>2530000</v>
      </c>
      <c r="E261" t="s">
        <v>589</v>
      </c>
      <c r="F261" s="21" t="str">
        <f t="shared" si="8"/>
        <v>rtdc.l.rtdc.4051:itc</v>
      </c>
      <c r="G261" s="8">
        <f t="shared" si="9"/>
        <v>42700.106736111113</v>
      </c>
    </row>
    <row r="262" spans="1:7" x14ac:dyDescent="0.25">
      <c r="A262" s="8">
        <v>42700.111076388886</v>
      </c>
      <c r="B262" t="s">
        <v>218</v>
      </c>
      <c r="C262" t="s">
        <v>633</v>
      </c>
      <c r="D262">
        <v>2600000</v>
      </c>
      <c r="E262" t="s">
        <v>290</v>
      </c>
      <c r="F262" s="21" t="str">
        <f t="shared" si="8"/>
        <v>rtdc.l.rtdc.4040:itc</v>
      </c>
      <c r="G262" s="8">
        <f t="shared" si="9"/>
        <v>42700.111076388886</v>
      </c>
    </row>
    <row r="263" spans="1:7" x14ac:dyDescent="0.25">
      <c r="A263" s="8">
        <v>42685.016226851854</v>
      </c>
      <c r="B263" t="s">
        <v>215</v>
      </c>
      <c r="C263" t="s">
        <v>235</v>
      </c>
      <c r="D263">
        <v>2000000</v>
      </c>
      <c r="E263" t="s">
        <v>222</v>
      </c>
      <c r="F263" s="21" t="str">
        <f t="shared" si="8"/>
        <v>rtdc.l.rtdc.4011:itc</v>
      </c>
      <c r="G263" s="8">
        <f t="shared" si="9"/>
        <v>42685.016226851854</v>
      </c>
    </row>
    <row r="264" spans="1:7" x14ac:dyDescent="0.25">
      <c r="A264" s="8">
        <v>42685.029282407406</v>
      </c>
      <c r="B264" t="s">
        <v>230</v>
      </c>
      <c r="C264" t="s">
        <v>236</v>
      </c>
      <c r="D264">
        <v>2550000</v>
      </c>
      <c r="E264" t="s">
        <v>226</v>
      </c>
      <c r="F264" s="21" t="str">
        <f t="shared" si="8"/>
        <v>rtdc.l.rtdc.4022:itc</v>
      </c>
      <c r="G264" s="8">
        <f t="shared" si="9"/>
        <v>42685.029282407406</v>
      </c>
    </row>
    <row r="265" spans="1:7" x14ac:dyDescent="0.25">
      <c r="A265" s="8">
        <v>42685.039282407408</v>
      </c>
      <c r="B265" t="s">
        <v>234</v>
      </c>
      <c r="C265" t="s">
        <v>237</v>
      </c>
      <c r="D265">
        <v>1300000</v>
      </c>
      <c r="E265" t="s">
        <v>113</v>
      </c>
      <c r="F265" s="21" t="str">
        <f t="shared" si="8"/>
        <v>rtdc.l.rtdc.4037:itc</v>
      </c>
      <c r="G265" s="8">
        <f t="shared" si="9"/>
        <v>42685.039282407408</v>
      </c>
    </row>
    <row r="266" spans="1:7" x14ac:dyDescent="0.25">
      <c r="A266" s="8">
        <v>42685.049375000002</v>
      </c>
      <c r="B266" t="s">
        <v>225</v>
      </c>
      <c r="C266" t="s">
        <v>238</v>
      </c>
      <c r="D266">
        <v>2420000</v>
      </c>
      <c r="E266" t="s">
        <v>232</v>
      </c>
      <c r="F266" s="21" t="str">
        <f t="shared" ref="F266:F281" si="10">B266</f>
        <v>rtdc.l.rtdc.4002:itc</v>
      </c>
      <c r="G266" s="8">
        <f t="shared" ref="G266:G281" si="11">A266</f>
        <v>42685.049375000002</v>
      </c>
    </row>
    <row r="267" spans="1:7" x14ac:dyDescent="0.25">
      <c r="A267" s="8">
        <v>42685.056481481479</v>
      </c>
      <c r="B267" t="s">
        <v>223</v>
      </c>
      <c r="C267" t="s">
        <v>239</v>
      </c>
      <c r="D267">
        <v>2000000</v>
      </c>
      <c r="E267" t="s">
        <v>222</v>
      </c>
      <c r="F267" s="21" t="str">
        <f t="shared" si="10"/>
        <v>rtdc.l.rtdc.4012:itc</v>
      </c>
      <c r="G267" s="8">
        <f t="shared" si="11"/>
        <v>42685.056481481479</v>
      </c>
    </row>
    <row r="268" spans="1:7" x14ac:dyDescent="0.25">
      <c r="A268" s="8">
        <v>42685.071712962963</v>
      </c>
      <c r="B268" t="s">
        <v>233</v>
      </c>
      <c r="C268" t="s">
        <v>240</v>
      </c>
      <c r="D268">
        <v>1300000</v>
      </c>
      <c r="E268" t="s">
        <v>113</v>
      </c>
      <c r="F268" s="21" t="str">
        <f t="shared" si="10"/>
        <v>rtdc.l.rtdc.4038:itc</v>
      </c>
      <c r="G268" s="8">
        <f t="shared" si="11"/>
        <v>42685.071712962963</v>
      </c>
    </row>
    <row r="269" spans="1:7" x14ac:dyDescent="0.25">
      <c r="A269" s="8">
        <v>42650.082824074074</v>
      </c>
      <c r="B269" t="s">
        <v>156</v>
      </c>
      <c r="C269" t="s">
        <v>189</v>
      </c>
      <c r="D269">
        <v>630000</v>
      </c>
      <c r="E269" t="b">
        <v>1</v>
      </c>
      <c r="F269" s="21" t="str">
        <f t="shared" si="10"/>
        <v>rtdc.l.rtdc.4051:itc</v>
      </c>
      <c r="G269" s="8">
        <f t="shared" si="11"/>
        <v>42650.082824074074</v>
      </c>
    </row>
    <row r="270" spans="1:7" x14ac:dyDescent="0.25">
      <c r="A270" s="8">
        <v>42650.090624999997</v>
      </c>
      <c r="B270" t="s">
        <v>186</v>
      </c>
      <c r="C270" t="s">
        <v>190</v>
      </c>
      <c r="D270">
        <v>1480000</v>
      </c>
      <c r="E270" t="s">
        <v>184</v>
      </c>
      <c r="F270" s="21" t="str">
        <f t="shared" si="10"/>
        <v>rtdc.l.rtdc.4009:itc</v>
      </c>
      <c r="G270" s="8">
        <f t="shared" si="11"/>
        <v>42650.090624999997</v>
      </c>
    </row>
    <row r="271" spans="1:7" x14ac:dyDescent="0.25">
      <c r="A271" s="8">
        <v>42650.101805555554</v>
      </c>
      <c r="B271" t="s">
        <v>157</v>
      </c>
      <c r="C271" t="s">
        <v>189</v>
      </c>
      <c r="D271">
        <v>630000</v>
      </c>
      <c r="E271" t="b">
        <v>1</v>
      </c>
      <c r="F271" s="21" t="str">
        <f t="shared" si="10"/>
        <v>rtdc.l.rtdc.4052:itc</v>
      </c>
      <c r="G271" s="8">
        <f t="shared" si="11"/>
        <v>42650.101805555554</v>
      </c>
    </row>
    <row r="272" spans="1:7" x14ac:dyDescent="0.25">
      <c r="A272" s="8">
        <v>42650.102453703701</v>
      </c>
      <c r="B272" t="s">
        <v>157</v>
      </c>
      <c r="C272" t="s">
        <v>189</v>
      </c>
      <c r="D272">
        <v>630000</v>
      </c>
      <c r="E272" t="b">
        <v>1</v>
      </c>
      <c r="F272" s="21" t="str">
        <f t="shared" si="10"/>
        <v>rtdc.l.rtdc.4052:itc</v>
      </c>
      <c r="G272" s="8">
        <f t="shared" si="11"/>
        <v>42650.102453703701</v>
      </c>
    </row>
    <row r="273" spans="1:7" x14ac:dyDescent="0.25">
      <c r="A273" s="8">
        <v>42650.103645833333</v>
      </c>
      <c r="B273" t="s">
        <v>157</v>
      </c>
      <c r="C273" t="s">
        <v>189</v>
      </c>
      <c r="D273">
        <v>630000</v>
      </c>
      <c r="E273" t="b">
        <v>1</v>
      </c>
      <c r="F273" s="21" t="str">
        <f t="shared" si="10"/>
        <v>rtdc.l.rtdc.4052:itc</v>
      </c>
      <c r="G273" s="8">
        <f t="shared" si="11"/>
        <v>42650.103645833333</v>
      </c>
    </row>
    <row r="274" spans="1:7" x14ac:dyDescent="0.25">
      <c r="F274" s="21">
        <f t="shared" si="10"/>
        <v>0</v>
      </c>
      <c r="G274" s="8">
        <f t="shared" si="11"/>
        <v>0</v>
      </c>
    </row>
    <row r="275" spans="1:7" x14ac:dyDescent="0.25">
      <c r="F275" s="21">
        <f t="shared" si="10"/>
        <v>0</v>
      </c>
      <c r="G275" s="8">
        <f t="shared" si="11"/>
        <v>0</v>
      </c>
    </row>
    <row r="276" spans="1:7" x14ac:dyDescent="0.25">
      <c r="F276" s="21">
        <f t="shared" si="10"/>
        <v>0</v>
      </c>
      <c r="G276" s="8">
        <f t="shared" si="11"/>
        <v>0</v>
      </c>
    </row>
    <row r="277" spans="1:7" x14ac:dyDescent="0.25">
      <c r="F277" s="21">
        <f t="shared" si="10"/>
        <v>0</v>
      </c>
      <c r="G277" s="8">
        <f t="shared" si="11"/>
        <v>0</v>
      </c>
    </row>
    <row r="278" spans="1:7" x14ac:dyDescent="0.25">
      <c r="F278" s="21">
        <f t="shared" si="10"/>
        <v>0</v>
      </c>
      <c r="G278" s="8">
        <f t="shared" si="11"/>
        <v>0</v>
      </c>
    </row>
    <row r="279" spans="1:7" x14ac:dyDescent="0.25">
      <c r="F279" s="21">
        <f t="shared" si="10"/>
        <v>0</v>
      </c>
      <c r="G279" s="8">
        <f t="shared" si="11"/>
        <v>0</v>
      </c>
    </row>
    <row r="280" spans="1:7" x14ac:dyDescent="0.25">
      <c r="F280" s="21">
        <f t="shared" si="10"/>
        <v>0</v>
      </c>
      <c r="G280" s="8">
        <f t="shared" si="11"/>
        <v>0</v>
      </c>
    </row>
    <row r="281" spans="1:7" x14ac:dyDescent="0.25">
      <c r="F281" s="21">
        <f t="shared" si="10"/>
        <v>0</v>
      </c>
      <c r="G281" s="8">
        <f t="shared" si="11"/>
        <v>0</v>
      </c>
    </row>
    <row r="282" spans="1:7" x14ac:dyDescent="0.25">
      <c r="F282" s="21">
        <f t="shared" ref="F282:F345" si="12">B282</f>
        <v>0</v>
      </c>
      <c r="G282" s="8">
        <f t="shared" ref="G282:G345" si="13">A282</f>
        <v>0</v>
      </c>
    </row>
    <row r="283" spans="1:7" x14ac:dyDescent="0.25">
      <c r="F283" s="21">
        <f t="shared" si="12"/>
        <v>0</v>
      </c>
      <c r="G283" s="8">
        <f t="shared" si="13"/>
        <v>0</v>
      </c>
    </row>
    <row r="284" spans="1:7" x14ac:dyDescent="0.25">
      <c r="F284" s="21">
        <f t="shared" si="12"/>
        <v>0</v>
      </c>
      <c r="G284" s="8">
        <f t="shared" si="13"/>
        <v>0</v>
      </c>
    </row>
    <row r="285" spans="1:7" x14ac:dyDescent="0.25">
      <c r="F285" s="21">
        <f t="shared" si="12"/>
        <v>0</v>
      </c>
      <c r="G285" s="8">
        <f t="shared" si="13"/>
        <v>0</v>
      </c>
    </row>
    <row r="286" spans="1:7" x14ac:dyDescent="0.25">
      <c r="F286" s="21">
        <f t="shared" si="12"/>
        <v>0</v>
      </c>
      <c r="G286" s="8">
        <f t="shared" si="13"/>
        <v>0</v>
      </c>
    </row>
    <row r="287" spans="1:7" x14ac:dyDescent="0.25">
      <c r="F287" s="21">
        <f t="shared" si="12"/>
        <v>0</v>
      </c>
      <c r="G287" s="8">
        <f t="shared" si="13"/>
        <v>0</v>
      </c>
    </row>
    <row r="288" spans="1:7" x14ac:dyDescent="0.25">
      <c r="F288" s="21">
        <f t="shared" si="12"/>
        <v>0</v>
      </c>
      <c r="G288" s="8">
        <f t="shared" si="13"/>
        <v>0</v>
      </c>
    </row>
    <row r="289" spans="6:7" x14ac:dyDescent="0.25">
      <c r="F289" s="21">
        <f t="shared" si="12"/>
        <v>0</v>
      </c>
      <c r="G289" s="8">
        <f t="shared" si="13"/>
        <v>0</v>
      </c>
    </row>
    <row r="290" spans="6:7" x14ac:dyDescent="0.25">
      <c r="F290" s="21">
        <f t="shared" si="12"/>
        <v>0</v>
      </c>
      <c r="G290" s="8">
        <f t="shared" si="13"/>
        <v>0</v>
      </c>
    </row>
    <row r="291" spans="6:7" x14ac:dyDescent="0.25">
      <c r="F291" s="21">
        <f t="shared" si="12"/>
        <v>0</v>
      </c>
      <c r="G291" s="8">
        <f t="shared" si="13"/>
        <v>0</v>
      </c>
    </row>
    <row r="292" spans="6:7" x14ac:dyDescent="0.25">
      <c r="F292" s="21">
        <f t="shared" si="12"/>
        <v>0</v>
      </c>
      <c r="G292" s="8">
        <f t="shared" si="13"/>
        <v>0</v>
      </c>
    </row>
    <row r="293" spans="6:7" x14ac:dyDescent="0.25">
      <c r="F293" s="21">
        <f t="shared" si="12"/>
        <v>0</v>
      </c>
      <c r="G293" s="8">
        <f t="shared" si="13"/>
        <v>0</v>
      </c>
    </row>
    <row r="294" spans="6:7" x14ac:dyDescent="0.25">
      <c r="F294" s="21">
        <f t="shared" si="12"/>
        <v>0</v>
      </c>
      <c r="G294" s="8">
        <f t="shared" si="13"/>
        <v>0</v>
      </c>
    </row>
    <row r="295" spans="6:7" x14ac:dyDescent="0.25">
      <c r="F295" s="21">
        <f t="shared" si="12"/>
        <v>0</v>
      </c>
      <c r="G295" s="8">
        <f t="shared" si="13"/>
        <v>0</v>
      </c>
    </row>
    <row r="296" spans="6:7" x14ac:dyDescent="0.25">
      <c r="F296" s="21">
        <f t="shared" si="12"/>
        <v>0</v>
      </c>
      <c r="G296" s="8">
        <f t="shared" si="13"/>
        <v>0</v>
      </c>
    </row>
    <row r="297" spans="6:7" x14ac:dyDescent="0.25">
      <c r="F297" s="21">
        <f t="shared" si="12"/>
        <v>0</v>
      </c>
      <c r="G297" s="8">
        <f t="shared" si="13"/>
        <v>0</v>
      </c>
    </row>
    <row r="298" spans="6:7" x14ac:dyDescent="0.25">
      <c r="F298" s="21">
        <f t="shared" si="12"/>
        <v>0</v>
      </c>
      <c r="G298" s="8">
        <f t="shared" si="13"/>
        <v>0</v>
      </c>
    </row>
    <row r="299" spans="6:7" x14ac:dyDescent="0.25">
      <c r="F299" s="21">
        <f t="shared" si="12"/>
        <v>0</v>
      </c>
      <c r="G299" s="8">
        <f t="shared" si="13"/>
        <v>0</v>
      </c>
    </row>
    <row r="300" spans="6:7" x14ac:dyDescent="0.25">
      <c r="F300" s="21">
        <f t="shared" si="12"/>
        <v>0</v>
      </c>
      <c r="G300" s="8">
        <f t="shared" si="13"/>
        <v>0</v>
      </c>
    </row>
    <row r="301" spans="6:7" x14ac:dyDescent="0.25">
      <c r="F301" s="21">
        <f t="shared" si="12"/>
        <v>0</v>
      </c>
      <c r="G301" s="8">
        <f t="shared" si="13"/>
        <v>0</v>
      </c>
    </row>
    <row r="302" spans="6:7" x14ac:dyDescent="0.25">
      <c r="F302" s="21">
        <f t="shared" si="12"/>
        <v>0</v>
      </c>
      <c r="G302" s="8">
        <f t="shared" si="13"/>
        <v>0</v>
      </c>
    </row>
    <row r="303" spans="6:7" x14ac:dyDescent="0.25">
      <c r="F303" s="21">
        <f t="shared" si="12"/>
        <v>0</v>
      </c>
      <c r="G303" s="8">
        <f t="shared" si="13"/>
        <v>0</v>
      </c>
    </row>
    <row r="304" spans="6:7" x14ac:dyDescent="0.25">
      <c r="F304" s="21">
        <f t="shared" si="12"/>
        <v>0</v>
      </c>
      <c r="G304" s="8">
        <f t="shared" si="13"/>
        <v>0</v>
      </c>
    </row>
    <row r="305" spans="6:7" x14ac:dyDescent="0.25">
      <c r="F305" s="21">
        <f t="shared" si="12"/>
        <v>0</v>
      </c>
      <c r="G305" s="8">
        <f t="shared" si="13"/>
        <v>0</v>
      </c>
    </row>
    <row r="306" spans="6:7" x14ac:dyDescent="0.25">
      <c r="F306" s="21">
        <f t="shared" si="12"/>
        <v>0</v>
      </c>
      <c r="G306" s="8">
        <f t="shared" si="13"/>
        <v>0</v>
      </c>
    </row>
    <row r="307" spans="6:7" x14ac:dyDescent="0.25">
      <c r="F307" s="21">
        <f t="shared" si="12"/>
        <v>0</v>
      </c>
      <c r="G307" s="8">
        <f t="shared" si="13"/>
        <v>0</v>
      </c>
    </row>
    <row r="308" spans="6:7" x14ac:dyDescent="0.25">
      <c r="F308" s="21">
        <f t="shared" si="12"/>
        <v>0</v>
      </c>
      <c r="G308" s="8">
        <f t="shared" si="13"/>
        <v>0</v>
      </c>
    </row>
    <row r="309" spans="6:7" x14ac:dyDescent="0.25">
      <c r="F309" s="21">
        <f t="shared" si="12"/>
        <v>0</v>
      </c>
      <c r="G309" s="8">
        <f t="shared" si="13"/>
        <v>0</v>
      </c>
    </row>
    <row r="310" spans="6:7" x14ac:dyDescent="0.25">
      <c r="F310" s="21">
        <f t="shared" si="12"/>
        <v>0</v>
      </c>
      <c r="G310" s="8">
        <f t="shared" si="13"/>
        <v>0</v>
      </c>
    </row>
    <row r="311" spans="6:7" x14ac:dyDescent="0.25">
      <c r="F311" s="21">
        <f t="shared" si="12"/>
        <v>0</v>
      </c>
      <c r="G311" s="8">
        <f t="shared" si="13"/>
        <v>0</v>
      </c>
    </row>
    <row r="312" spans="6:7" x14ac:dyDescent="0.25">
      <c r="F312" s="21">
        <f t="shared" si="12"/>
        <v>0</v>
      </c>
      <c r="G312" s="8">
        <f t="shared" si="13"/>
        <v>0</v>
      </c>
    </row>
    <row r="313" spans="6:7" x14ac:dyDescent="0.25">
      <c r="F313" s="21">
        <f t="shared" si="12"/>
        <v>0</v>
      </c>
      <c r="G313" s="8">
        <f t="shared" si="13"/>
        <v>0</v>
      </c>
    </row>
    <row r="314" spans="6:7" x14ac:dyDescent="0.25">
      <c r="F314" s="21">
        <f t="shared" si="12"/>
        <v>0</v>
      </c>
      <c r="G314" s="8">
        <f t="shared" si="13"/>
        <v>0</v>
      </c>
    </row>
    <row r="315" spans="6:7" x14ac:dyDescent="0.25">
      <c r="F315" s="21">
        <f t="shared" si="12"/>
        <v>0</v>
      </c>
      <c r="G315" s="8">
        <f t="shared" si="13"/>
        <v>0</v>
      </c>
    </row>
    <row r="316" spans="6:7" x14ac:dyDescent="0.25">
      <c r="F316" s="21">
        <f t="shared" si="12"/>
        <v>0</v>
      </c>
      <c r="G316" s="8">
        <f t="shared" si="13"/>
        <v>0</v>
      </c>
    </row>
    <row r="317" spans="6:7" x14ac:dyDescent="0.25">
      <c r="F317" s="21">
        <f t="shared" si="12"/>
        <v>0</v>
      </c>
      <c r="G317" s="8">
        <f t="shared" si="13"/>
        <v>0</v>
      </c>
    </row>
    <row r="318" spans="6:7" x14ac:dyDescent="0.25">
      <c r="F318" s="21">
        <f t="shared" si="12"/>
        <v>0</v>
      </c>
      <c r="G318" s="8">
        <f t="shared" si="13"/>
        <v>0</v>
      </c>
    </row>
    <row r="319" spans="6:7" x14ac:dyDescent="0.25">
      <c r="F319" s="21">
        <f t="shared" si="12"/>
        <v>0</v>
      </c>
      <c r="G319" s="8">
        <f t="shared" si="13"/>
        <v>0</v>
      </c>
    </row>
    <row r="320" spans="6:7" x14ac:dyDescent="0.25">
      <c r="F320" s="21">
        <f t="shared" si="12"/>
        <v>0</v>
      </c>
      <c r="G320" s="8">
        <f t="shared" si="13"/>
        <v>0</v>
      </c>
    </row>
    <row r="321" spans="6:7" x14ac:dyDescent="0.25">
      <c r="F321" s="21">
        <f t="shared" si="12"/>
        <v>0</v>
      </c>
      <c r="G321" s="8">
        <f t="shared" si="13"/>
        <v>0</v>
      </c>
    </row>
    <row r="322" spans="6:7" x14ac:dyDescent="0.25">
      <c r="F322" s="21">
        <f t="shared" si="12"/>
        <v>0</v>
      </c>
      <c r="G322" s="8">
        <f t="shared" si="13"/>
        <v>0</v>
      </c>
    </row>
    <row r="323" spans="6:7" x14ac:dyDescent="0.25">
      <c r="F323" s="21">
        <f t="shared" si="12"/>
        <v>0</v>
      </c>
      <c r="G323" s="8">
        <f t="shared" si="13"/>
        <v>0</v>
      </c>
    </row>
    <row r="324" spans="6:7" x14ac:dyDescent="0.25">
      <c r="F324" s="21">
        <f t="shared" si="12"/>
        <v>0</v>
      </c>
      <c r="G324" s="8">
        <f t="shared" si="13"/>
        <v>0</v>
      </c>
    </row>
    <row r="325" spans="6:7" x14ac:dyDescent="0.25">
      <c r="F325" s="21">
        <f t="shared" si="12"/>
        <v>0</v>
      </c>
      <c r="G325" s="8">
        <f t="shared" si="13"/>
        <v>0</v>
      </c>
    </row>
    <row r="326" spans="6:7" x14ac:dyDescent="0.25">
      <c r="F326" s="21">
        <f t="shared" si="12"/>
        <v>0</v>
      </c>
      <c r="G326" s="8">
        <f t="shared" si="13"/>
        <v>0</v>
      </c>
    </row>
    <row r="327" spans="6:7" x14ac:dyDescent="0.25">
      <c r="F327" s="21">
        <f t="shared" si="12"/>
        <v>0</v>
      </c>
      <c r="G327" s="8">
        <f t="shared" si="13"/>
        <v>0</v>
      </c>
    </row>
    <row r="328" spans="6:7" x14ac:dyDescent="0.25">
      <c r="F328" s="21">
        <f t="shared" si="12"/>
        <v>0</v>
      </c>
      <c r="G328" s="8">
        <f t="shared" si="13"/>
        <v>0</v>
      </c>
    </row>
    <row r="329" spans="6:7" x14ac:dyDescent="0.25">
      <c r="F329" s="21">
        <f t="shared" si="12"/>
        <v>0</v>
      </c>
      <c r="G329" s="8">
        <f t="shared" si="13"/>
        <v>0</v>
      </c>
    </row>
    <row r="330" spans="6:7" x14ac:dyDescent="0.25">
      <c r="F330" s="21">
        <f t="shared" si="12"/>
        <v>0</v>
      </c>
      <c r="G330" s="8">
        <f t="shared" si="13"/>
        <v>0</v>
      </c>
    </row>
    <row r="331" spans="6:7" x14ac:dyDescent="0.25">
      <c r="F331" s="21">
        <f t="shared" si="12"/>
        <v>0</v>
      </c>
      <c r="G331" s="8">
        <f t="shared" si="13"/>
        <v>0</v>
      </c>
    </row>
    <row r="332" spans="6:7" x14ac:dyDescent="0.25">
      <c r="F332" s="21">
        <f t="shared" si="12"/>
        <v>0</v>
      </c>
      <c r="G332" s="8">
        <f t="shared" si="13"/>
        <v>0</v>
      </c>
    </row>
    <row r="333" spans="6:7" x14ac:dyDescent="0.25">
      <c r="F333" s="21">
        <f t="shared" si="12"/>
        <v>0</v>
      </c>
      <c r="G333" s="8">
        <f t="shared" si="13"/>
        <v>0</v>
      </c>
    </row>
    <row r="334" spans="6:7" x14ac:dyDescent="0.25">
      <c r="F334" s="21">
        <f t="shared" si="12"/>
        <v>0</v>
      </c>
      <c r="G334" s="8">
        <f t="shared" si="13"/>
        <v>0</v>
      </c>
    </row>
    <row r="335" spans="6:7" x14ac:dyDescent="0.25">
      <c r="F335" s="21">
        <f t="shared" si="12"/>
        <v>0</v>
      </c>
      <c r="G335" s="8">
        <f t="shared" si="13"/>
        <v>0</v>
      </c>
    </row>
    <row r="336" spans="6:7" x14ac:dyDescent="0.25">
      <c r="F336" s="21">
        <f t="shared" si="12"/>
        <v>0</v>
      </c>
      <c r="G336" s="8">
        <f t="shared" si="13"/>
        <v>0</v>
      </c>
    </row>
    <row r="337" spans="6:7" x14ac:dyDescent="0.25">
      <c r="F337" s="21">
        <f t="shared" si="12"/>
        <v>0</v>
      </c>
      <c r="G337" s="8">
        <f t="shared" si="13"/>
        <v>0</v>
      </c>
    </row>
    <row r="338" spans="6:7" x14ac:dyDescent="0.25">
      <c r="F338" s="21">
        <f t="shared" si="12"/>
        <v>0</v>
      </c>
      <c r="G338" s="8">
        <f t="shared" si="13"/>
        <v>0</v>
      </c>
    </row>
    <row r="339" spans="6:7" x14ac:dyDescent="0.25">
      <c r="F339" s="21">
        <f t="shared" si="12"/>
        <v>0</v>
      </c>
      <c r="G339" s="8">
        <f t="shared" si="13"/>
        <v>0</v>
      </c>
    </row>
    <row r="340" spans="6:7" x14ac:dyDescent="0.25">
      <c r="F340" s="21">
        <f t="shared" si="12"/>
        <v>0</v>
      </c>
      <c r="G340" s="8">
        <f t="shared" si="13"/>
        <v>0</v>
      </c>
    </row>
    <row r="341" spans="6:7" x14ac:dyDescent="0.25">
      <c r="F341" s="21">
        <f t="shared" si="12"/>
        <v>0</v>
      </c>
      <c r="G341" s="8">
        <f t="shared" si="13"/>
        <v>0</v>
      </c>
    </row>
    <row r="342" spans="6:7" x14ac:dyDescent="0.25">
      <c r="F342" s="21">
        <f t="shared" si="12"/>
        <v>0</v>
      </c>
      <c r="G342" s="8">
        <f t="shared" si="13"/>
        <v>0</v>
      </c>
    </row>
    <row r="343" spans="6:7" x14ac:dyDescent="0.25">
      <c r="F343" s="21">
        <f t="shared" si="12"/>
        <v>0</v>
      </c>
      <c r="G343" s="8">
        <f t="shared" si="13"/>
        <v>0</v>
      </c>
    </row>
    <row r="344" spans="6:7" x14ac:dyDescent="0.25">
      <c r="F344" s="21">
        <f t="shared" si="12"/>
        <v>0</v>
      </c>
      <c r="G344" s="8">
        <f t="shared" si="13"/>
        <v>0</v>
      </c>
    </row>
    <row r="345" spans="6:7" x14ac:dyDescent="0.25">
      <c r="F345" s="21">
        <f t="shared" si="12"/>
        <v>0</v>
      </c>
      <c r="G345" s="8">
        <f t="shared" si="13"/>
        <v>0</v>
      </c>
    </row>
    <row r="346" spans="6:7" x14ac:dyDescent="0.25">
      <c r="F346" s="21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1">
        <f t="shared" si="14"/>
        <v>0</v>
      </c>
      <c r="G347" s="8">
        <f t="shared" si="15"/>
        <v>0</v>
      </c>
    </row>
    <row r="348" spans="6:7" x14ac:dyDescent="0.25">
      <c r="F348" s="21">
        <f t="shared" si="14"/>
        <v>0</v>
      </c>
      <c r="G348" s="8">
        <f t="shared" si="15"/>
        <v>0</v>
      </c>
    </row>
    <row r="349" spans="6:7" x14ac:dyDescent="0.25">
      <c r="F349" s="21">
        <f t="shared" si="14"/>
        <v>0</v>
      </c>
      <c r="G349" s="8">
        <f t="shared" si="15"/>
        <v>0</v>
      </c>
    </row>
    <row r="350" spans="6:7" x14ac:dyDescent="0.25">
      <c r="F350" s="21">
        <f t="shared" si="14"/>
        <v>0</v>
      </c>
      <c r="G350" s="8">
        <f t="shared" si="15"/>
        <v>0</v>
      </c>
    </row>
    <row r="351" spans="6:7" x14ac:dyDescent="0.25">
      <c r="F351" s="21">
        <f t="shared" si="14"/>
        <v>0</v>
      </c>
      <c r="G351" s="8">
        <f t="shared" si="15"/>
        <v>0</v>
      </c>
    </row>
    <row r="352" spans="6:7" x14ac:dyDescent="0.25">
      <c r="F352" s="21">
        <f t="shared" si="14"/>
        <v>0</v>
      </c>
      <c r="G352" s="8">
        <f t="shared" si="15"/>
        <v>0</v>
      </c>
    </row>
    <row r="353" spans="6:7" x14ac:dyDescent="0.25">
      <c r="F353" s="21">
        <f t="shared" si="14"/>
        <v>0</v>
      </c>
      <c r="G353" s="8">
        <f t="shared" si="15"/>
        <v>0</v>
      </c>
    </row>
    <row r="354" spans="6:7" x14ac:dyDescent="0.25">
      <c r="F354" s="21">
        <f t="shared" si="14"/>
        <v>0</v>
      </c>
      <c r="G354" s="8">
        <f t="shared" si="15"/>
        <v>0</v>
      </c>
    </row>
    <row r="355" spans="6:7" x14ac:dyDescent="0.25">
      <c r="F355" s="21">
        <f t="shared" si="14"/>
        <v>0</v>
      </c>
      <c r="G355" s="8">
        <f t="shared" si="15"/>
        <v>0</v>
      </c>
    </row>
    <row r="356" spans="6:7" x14ac:dyDescent="0.25">
      <c r="F356" s="21">
        <f t="shared" si="14"/>
        <v>0</v>
      </c>
      <c r="G356" s="8">
        <f t="shared" si="15"/>
        <v>0</v>
      </c>
    </row>
    <row r="357" spans="6:7" x14ac:dyDescent="0.25">
      <c r="F357" s="21">
        <f t="shared" si="14"/>
        <v>0</v>
      </c>
      <c r="G357" s="8">
        <f t="shared" si="15"/>
        <v>0</v>
      </c>
    </row>
    <row r="358" spans="6:7" x14ac:dyDescent="0.25">
      <c r="F358" s="21">
        <f t="shared" si="14"/>
        <v>0</v>
      </c>
      <c r="G358" s="8">
        <f t="shared" si="15"/>
        <v>0</v>
      </c>
    </row>
    <row r="359" spans="6:7" x14ac:dyDescent="0.25">
      <c r="F359" s="21">
        <f t="shared" si="14"/>
        <v>0</v>
      </c>
      <c r="G359" s="8">
        <f t="shared" si="15"/>
        <v>0</v>
      </c>
    </row>
    <row r="360" spans="6:7" x14ac:dyDescent="0.25">
      <c r="F360" s="21">
        <f t="shared" si="14"/>
        <v>0</v>
      </c>
      <c r="G360" s="8">
        <f t="shared" si="15"/>
        <v>0</v>
      </c>
    </row>
    <row r="361" spans="6:7" x14ac:dyDescent="0.25">
      <c r="F361" s="21">
        <f t="shared" si="14"/>
        <v>0</v>
      </c>
      <c r="G361" s="8">
        <f t="shared" si="15"/>
        <v>0</v>
      </c>
    </row>
    <row r="362" spans="6:7" x14ac:dyDescent="0.25">
      <c r="F362" s="21">
        <f t="shared" si="14"/>
        <v>0</v>
      </c>
      <c r="G362" s="8">
        <f t="shared" si="15"/>
        <v>0</v>
      </c>
    </row>
    <row r="363" spans="6:7" x14ac:dyDescent="0.25">
      <c r="F363" s="21">
        <f t="shared" si="14"/>
        <v>0</v>
      </c>
      <c r="G363" s="8">
        <f t="shared" si="15"/>
        <v>0</v>
      </c>
    </row>
    <row r="364" spans="6:7" x14ac:dyDescent="0.25">
      <c r="F364" s="21">
        <f t="shared" si="14"/>
        <v>0</v>
      </c>
      <c r="G364" s="8">
        <f t="shared" si="15"/>
        <v>0</v>
      </c>
    </row>
    <row r="365" spans="6:7" x14ac:dyDescent="0.25">
      <c r="F365" s="21">
        <f t="shared" si="14"/>
        <v>0</v>
      </c>
      <c r="G365" s="8">
        <f t="shared" si="15"/>
        <v>0</v>
      </c>
    </row>
    <row r="366" spans="6:7" x14ac:dyDescent="0.25">
      <c r="F366" s="21">
        <f t="shared" si="14"/>
        <v>0</v>
      </c>
      <c r="G366" s="8">
        <f t="shared" si="15"/>
        <v>0</v>
      </c>
    </row>
    <row r="367" spans="6:7" x14ac:dyDescent="0.25">
      <c r="F367" s="21">
        <f t="shared" si="14"/>
        <v>0</v>
      </c>
      <c r="G367" s="8">
        <f t="shared" si="15"/>
        <v>0</v>
      </c>
    </row>
    <row r="368" spans="6:7" x14ac:dyDescent="0.25">
      <c r="F368" s="21">
        <f t="shared" si="14"/>
        <v>0</v>
      </c>
      <c r="G368" s="8">
        <f t="shared" si="15"/>
        <v>0</v>
      </c>
    </row>
    <row r="369" spans="6:7" x14ac:dyDescent="0.25">
      <c r="F369" s="21">
        <f t="shared" si="14"/>
        <v>0</v>
      </c>
      <c r="G369" s="8">
        <f t="shared" si="15"/>
        <v>0</v>
      </c>
    </row>
    <row r="370" spans="6:7" x14ac:dyDescent="0.25">
      <c r="F370" s="21">
        <f t="shared" si="14"/>
        <v>0</v>
      </c>
      <c r="G370" s="8">
        <f t="shared" si="15"/>
        <v>0</v>
      </c>
    </row>
    <row r="371" spans="6:7" x14ac:dyDescent="0.25">
      <c r="F371" s="21">
        <f t="shared" si="14"/>
        <v>0</v>
      </c>
      <c r="G371" s="8">
        <f t="shared" si="15"/>
        <v>0</v>
      </c>
    </row>
    <row r="372" spans="6:7" x14ac:dyDescent="0.25">
      <c r="F372" s="21">
        <f t="shared" si="14"/>
        <v>0</v>
      </c>
      <c r="G372" s="8">
        <f t="shared" si="15"/>
        <v>0</v>
      </c>
    </row>
    <row r="373" spans="6:7" x14ac:dyDescent="0.25">
      <c r="F373" s="21">
        <f t="shared" si="14"/>
        <v>0</v>
      </c>
      <c r="G373" s="8">
        <f t="shared" si="15"/>
        <v>0</v>
      </c>
    </row>
    <row r="374" spans="6:7" x14ac:dyDescent="0.25">
      <c r="F374" s="21">
        <f t="shared" si="14"/>
        <v>0</v>
      </c>
      <c r="G374" s="8">
        <f t="shared" si="15"/>
        <v>0</v>
      </c>
    </row>
    <row r="375" spans="6:7" x14ac:dyDescent="0.25">
      <c r="F375" s="21">
        <f t="shared" si="14"/>
        <v>0</v>
      </c>
      <c r="G375" s="8">
        <f t="shared" si="15"/>
        <v>0</v>
      </c>
    </row>
    <row r="376" spans="6:7" x14ac:dyDescent="0.25">
      <c r="F376" s="21">
        <f t="shared" si="14"/>
        <v>0</v>
      </c>
      <c r="G376" s="8">
        <f t="shared" si="15"/>
        <v>0</v>
      </c>
    </row>
    <row r="377" spans="6:7" x14ac:dyDescent="0.25">
      <c r="F377" s="21">
        <f t="shared" si="14"/>
        <v>0</v>
      </c>
      <c r="G377" s="8">
        <f t="shared" si="15"/>
        <v>0</v>
      </c>
    </row>
    <row r="378" spans="6:7" x14ac:dyDescent="0.25">
      <c r="F378" s="21">
        <f t="shared" si="14"/>
        <v>0</v>
      </c>
      <c r="G378" s="8">
        <f t="shared" si="15"/>
        <v>0</v>
      </c>
    </row>
    <row r="379" spans="6:7" x14ac:dyDescent="0.25">
      <c r="F379" s="21">
        <f t="shared" si="14"/>
        <v>0</v>
      </c>
      <c r="G379" s="8">
        <f t="shared" si="15"/>
        <v>0</v>
      </c>
    </row>
    <row r="380" spans="6:7" x14ac:dyDescent="0.25">
      <c r="F380" s="21">
        <f t="shared" si="14"/>
        <v>0</v>
      </c>
      <c r="G380" s="8">
        <f t="shared" si="15"/>
        <v>0</v>
      </c>
    </row>
    <row r="381" spans="6:7" x14ac:dyDescent="0.25">
      <c r="F381" s="21">
        <f t="shared" si="14"/>
        <v>0</v>
      </c>
      <c r="G381" s="8">
        <f t="shared" si="15"/>
        <v>0</v>
      </c>
    </row>
    <row r="382" spans="6:7" x14ac:dyDescent="0.25">
      <c r="F382" s="21">
        <f t="shared" si="14"/>
        <v>0</v>
      </c>
      <c r="G382" s="8">
        <f t="shared" si="15"/>
        <v>0</v>
      </c>
    </row>
    <row r="383" spans="6:7" x14ac:dyDescent="0.25">
      <c r="F383" s="21">
        <f t="shared" si="14"/>
        <v>0</v>
      </c>
      <c r="G383" s="8">
        <f t="shared" si="15"/>
        <v>0</v>
      </c>
    </row>
    <row r="384" spans="6:7" x14ac:dyDescent="0.25">
      <c r="F384" s="21">
        <f t="shared" si="14"/>
        <v>0</v>
      </c>
      <c r="G384" s="8">
        <f t="shared" si="15"/>
        <v>0</v>
      </c>
    </row>
    <row r="385" spans="6:7" x14ac:dyDescent="0.25">
      <c r="F385" s="21">
        <f t="shared" si="14"/>
        <v>0</v>
      </c>
      <c r="G385" s="8">
        <f t="shared" si="15"/>
        <v>0</v>
      </c>
    </row>
    <row r="386" spans="6:7" x14ac:dyDescent="0.25">
      <c r="F386" s="21">
        <f t="shared" si="14"/>
        <v>0</v>
      </c>
      <c r="G386" s="8">
        <f t="shared" si="15"/>
        <v>0</v>
      </c>
    </row>
    <row r="387" spans="6:7" x14ac:dyDescent="0.25">
      <c r="F387" s="21">
        <f t="shared" si="14"/>
        <v>0</v>
      </c>
      <c r="G387" s="8">
        <f t="shared" si="15"/>
        <v>0</v>
      </c>
    </row>
    <row r="388" spans="6:7" x14ac:dyDescent="0.25">
      <c r="F388" s="21">
        <f t="shared" si="14"/>
        <v>0</v>
      </c>
      <c r="G388" s="8">
        <f t="shared" si="15"/>
        <v>0</v>
      </c>
    </row>
    <row r="389" spans="6:7" x14ac:dyDescent="0.25">
      <c r="F389" s="21">
        <f t="shared" si="14"/>
        <v>0</v>
      </c>
      <c r="G389" s="8">
        <f t="shared" si="15"/>
        <v>0</v>
      </c>
    </row>
    <row r="390" spans="6:7" x14ac:dyDescent="0.25">
      <c r="F390" s="21">
        <f t="shared" si="14"/>
        <v>0</v>
      </c>
      <c r="G390" s="8">
        <f t="shared" si="15"/>
        <v>0</v>
      </c>
    </row>
    <row r="391" spans="6:7" x14ac:dyDescent="0.25">
      <c r="F391" s="21">
        <f t="shared" si="14"/>
        <v>0</v>
      </c>
      <c r="G391" s="8">
        <f t="shared" si="15"/>
        <v>0</v>
      </c>
    </row>
    <row r="392" spans="6:7" x14ac:dyDescent="0.25">
      <c r="F392" s="21">
        <f t="shared" si="14"/>
        <v>0</v>
      </c>
      <c r="G392" s="8">
        <f t="shared" si="15"/>
        <v>0</v>
      </c>
    </row>
    <row r="393" spans="6:7" x14ac:dyDescent="0.25">
      <c r="F393" s="21">
        <f t="shared" si="14"/>
        <v>0</v>
      </c>
      <c r="G393" s="8">
        <f t="shared" si="15"/>
        <v>0</v>
      </c>
    </row>
    <row r="394" spans="6:7" x14ac:dyDescent="0.25">
      <c r="F394" s="21">
        <f t="shared" si="14"/>
        <v>0</v>
      </c>
      <c r="G394" s="8">
        <f t="shared" si="15"/>
        <v>0</v>
      </c>
    </row>
    <row r="395" spans="6:7" x14ac:dyDescent="0.25">
      <c r="F395" s="21">
        <f t="shared" si="14"/>
        <v>0</v>
      </c>
      <c r="G395" s="8">
        <f t="shared" si="15"/>
        <v>0</v>
      </c>
    </row>
    <row r="396" spans="6:7" x14ac:dyDescent="0.25">
      <c r="F396" s="21">
        <f t="shared" si="14"/>
        <v>0</v>
      </c>
      <c r="G396" s="8">
        <f t="shared" si="15"/>
        <v>0</v>
      </c>
    </row>
    <row r="397" spans="6:7" x14ac:dyDescent="0.25">
      <c r="F397" s="21">
        <f t="shared" si="14"/>
        <v>0</v>
      </c>
      <c r="G397" s="8">
        <f t="shared" si="15"/>
        <v>0</v>
      </c>
    </row>
    <row r="398" spans="6:7" x14ac:dyDescent="0.25">
      <c r="F398" s="21">
        <f t="shared" si="14"/>
        <v>0</v>
      </c>
      <c r="G398" s="8">
        <f t="shared" si="15"/>
        <v>0</v>
      </c>
    </row>
    <row r="399" spans="6:7" x14ac:dyDescent="0.25">
      <c r="F399" s="21">
        <f t="shared" si="14"/>
        <v>0</v>
      </c>
      <c r="G399" s="8">
        <f t="shared" si="15"/>
        <v>0</v>
      </c>
    </row>
    <row r="400" spans="6:7" x14ac:dyDescent="0.25">
      <c r="F400" s="21">
        <f t="shared" si="14"/>
        <v>0</v>
      </c>
      <c r="G400" s="8">
        <f t="shared" si="15"/>
        <v>0</v>
      </c>
    </row>
    <row r="401" spans="6:7" x14ac:dyDescent="0.25">
      <c r="F401" s="21">
        <f t="shared" si="14"/>
        <v>0</v>
      </c>
      <c r="G401" s="8">
        <f t="shared" si="15"/>
        <v>0</v>
      </c>
    </row>
    <row r="402" spans="6:7" x14ac:dyDescent="0.25">
      <c r="F402" s="21">
        <f t="shared" si="14"/>
        <v>0</v>
      </c>
      <c r="G402" s="8">
        <f t="shared" si="15"/>
        <v>0</v>
      </c>
    </row>
    <row r="403" spans="6:7" x14ac:dyDescent="0.25">
      <c r="F403" s="21">
        <f t="shared" si="14"/>
        <v>0</v>
      </c>
      <c r="G403" s="8">
        <f t="shared" si="15"/>
        <v>0</v>
      </c>
    </row>
    <row r="404" spans="6:7" x14ac:dyDescent="0.25">
      <c r="F404" s="21">
        <f t="shared" si="14"/>
        <v>0</v>
      </c>
      <c r="G404" s="8">
        <f t="shared" si="15"/>
        <v>0</v>
      </c>
    </row>
    <row r="405" spans="6:7" x14ac:dyDescent="0.25">
      <c r="F405" s="21">
        <f t="shared" si="14"/>
        <v>0</v>
      </c>
      <c r="G405" s="8">
        <f t="shared" si="15"/>
        <v>0</v>
      </c>
    </row>
    <row r="406" spans="6:7" x14ac:dyDescent="0.25">
      <c r="F406" s="21">
        <f t="shared" si="14"/>
        <v>0</v>
      </c>
      <c r="G406" s="8">
        <f t="shared" si="15"/>
        <v>0</v>
      </c>
    </row>
    <row r="407" spans="6:7" x14ac:dyDescent="0.25">
      <c r="F407" s="21">
        <f t="shared" si="14"/>
        <v>0</v>
      </c>
      <c r="G407" s="8">
        <f t="shared" si="15"/>
        <v>0</v>
      </c>
    </row>
    <row r="408" spans="6:7" x14ac:dyDescent="0.25">
      <c r="F408" s="21">
        <f t="shared" si="14"/>
        <v>0</v>
      </c>
      <c r="G408" s="8">
        <f t="shared" si="15"/>
        <v>0</v>
      </c>
    </row>
    <row r="409" spans="6:7" x14ac:dyDescent="0.25">
      <c r="F409" s="21">
        <f t="shared" si="14"/>
        <v>0</v>
      </c>
      <c r="G409" s="8">
        <f t="shared" si="15"/>
        <v>0</v>
      </c>
    </row>
    <row r="410" spans="6:7" x14ac:dyDescent="0.25">
      <c r="F410" s="21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1">
        <f t="shared" si="16"/>
        <v>0</v>
      </c>
      <c r="G411" s="8">
        <f t="shared" si="17"/>
        <v>0</v>
      </c>
    </row>
    <row r="412" spans="6:7" x14ac:dyDescent="0.25">
      <c r="F412" s="21">
        <f t="shared" si="16"/>
        <v>0</v>
      </c>
      <c r="G412" s="8">
        <f t="shared" si="17"/>
        <v>0</v>
      </c>
    </row>
    <row r="413" spans="6:7" x14ac:dyDescent="0.25">
      <c r="F413" s="21">
        <f t="shared" si="16"/>
        <v>0</v>
      </c>
      <c r="G413" s="8">
        <f t="shared" si="17"/>
        <v>0</v>
      </c>
    </row>
    <row r="414" spans="6:7" x14ac:dyDescent="0.25">
      <c r="F414" s="21">
        <f t="shared" si="16"/>
        <v>0</v>
      </c>
      <c r="G414" s="8">
        <f t="shared" si="17"/>
        <v>0</v>
      </c>
    </row>
    <row r="415" spans="6:7" x14ac:dyDescent="0.25">
      <c r="F415" s="21">
        <f t="shared" si="16"/>
        <v>0</v>
      </c>
      <c r="G415" s="8">
        <f t="shared" si="17"/>
        <v>0</v>
      </c>
    </row>
    <row r="416" spans="6:7" x14ac:dyDescent="0.25">
      <c r="F416" s="21">
        <f t="shared" si="16"/>
        <v>0</v>
      </c>
      <c r="G416" s="8">
        <f t="shared" si="17"/>
        <v>0</v>
      </c>
    </row>
    <row r="417" spans="6:7" x14ac:dyDescent="0.25">
      <c r="F417" s="21">
        <f t="shared" si="16"/>
        <v>0</v>
      </c>
      <c r="G417" s="8">
        <f t="shared" si="17"/>
        <v>0</v>
      </c>
    </row>
    <row r="418" spans="6:7" x14ac:dyDescent="0.25">
      <c r="F418" s="21">
        <f t="shared" si="16"/>
        <v>0</v>
      </c>
      <c r="G418" s="8">
        <f t="shared" si="17"/>
        <v>0</v>
      </c>
    </row>
    <row r="419" spans="6:7" x14ac:dyDescent="0.25">
      <c r="F419" s="21">
        <f t="shared" si="16"/>
        <v>0</v>
      </c>
      <c r="G419" s="8">
        <f t="shared" si="17"/>
        <v>0</v>
      </c>
    </row>
    <row r="420" spans="6:7" x14ac:dyDescent="0.25">
      <c r="F420" s="21">
        <f t="shared" si="16"/>
        <v>0</v>
      </c>
      <c r="G420" s="8">
        <f t="shared" si="17"/>
        <v>0</v>
      </c>
    </row>
    <row r="421" spans="6:7" x14ac:dyDescent="0.25">
      <c r="F421" s="21">
        <f t="shared" si="16"/>
        <v>0</v>
      </c>
      <c r="G421" s="8">
        <f t="shared" si="17"/>
        <v>0</v>
      </c>
    </row>
    <row r="422" spans="6:7" x14ac:dyDescent="0.25">
      <c r="F422" s="21">
        <f t="shared" si="16"/>
        <v>0</v>
      </c>
      <c r="G422" s="8">
        <f t="shared" si="17"/>
        <v>0</v>
      </c>
    </row>
    <row r="423" spans="6:7" x14ac:dyDescent="0.25">
      <c r="F423" s="21">
        <f t="shared" si="16"/>
        <v>0</v>
      </c>
      <c r="G423" s="8">
        <f t="shared" si="17"/>
        <v>0</v>
      </c>
    </row>
    <row r="424" spans="6:7" x14ac:dyDescent="0.25">
      <c r="F424" s="21">
        <f t="shared" si="16"/>
        <v>0</v>
      </c>
      <c r="G424" s="8">
        <f t="shared" si="17"/>
        <v>0</v>
      </c>
    </row>
    <row r="425" spans="6:7" x14ac:dyDescent="0.25">
      <c r="F425" s="21">
        <f t="shared" si="16"/>
        <v>0</v>
      </c>
      <c r="G425" s="8">
        <f t="shared" si="17"/>
        <v>0</v>
      </c>
    </row>
    <row r="426" spans="6:7" x14ac:dyDescent="0.25">
      <c r="F426" s="21">
        <f t="shared" si="16"/>
        <v>0</v>
      </c>
      <c r="G426" s="8">
        <f t="shared" si="17"/>
        <v>0</v>
      </c>
    </row>
    <row r="427" spans="6:7" x14ac:dyDescent="0.25">
      <c r="F427" s="21">
        <f t="shared" si="16"/>
        <v>0</v>
      </c>
      <c r="G427" s="8">
        <f t="shared" si="17"/>
        <v>0</v>
      </c>
    </row>
    <row r="428" spans="6:7" x14ac:dyDescent="0.25">
      <c r="F428" s="21">
        <f t="shared" si="16"/>
        <v>0</v>
      </c>
      <c r="G428" s="8">
        <f t="shared" si="17"/>
        <v>0</v>
      </c>
    </row>
    <row r="429" spans="6:7" x14ac:dyDescent="0.25">
      <c r="F429" s="21">
        <f t="shared" si="16"/>
        <v>0</v>
      </c>
      <c r="G429" s="8">
        <f t="shared" si="17"/>
        <v>0</v>
      </c>
    </row>
    <row r="430" spans="6:7" x14ac:dyDescent="0.25">
      <c r="F430" s="21">
        <f t="shared" si="16"/>
        <v>0</v>
      </c>
      <c r="G430" s="8">
        <f t="shared" si="17"/>
        <v>0</v>
      </c>
    </row>
    <row r="431" spans="6:7" x14ac:dyDescent="0.25">
      <c r="F431" s="21">
        <f t="shared" si="16"/>
        <v>0</v>
      </c>
      <c r="G431" s="8">
        <f t="shared" si="17"/>
        <v>0</v>
      </c>
    </row>
    <row r="432" spans="6:7" x14ac:dyDescent="0.25">
      <c r="F432" s="21">
        <f t="shared" si="16"/>
        <v>0</v>
      </c>
      <c r="G432" s="8">
        <f t="shared" si="17"/>
        <v>0</v>
      </c>
    </row>
    <row r="433" spans="6:7" x14ac:dyDescent="0.25">
      <c r="F433" s="21">
        <f t="shared" si="16"/>
        <v>0</v>
      </c>
      <c r="G433" s="8">
        <f t="shared" si="17"/>
        <v>0</v>
      </c>
    </row>
    <row r="434" spans="6:7" x14ac:dyDescent="0.25">
      <c r="F434" s="21">
        <f t="shared" si="16"/>
        <v>0</v>
      </c>
      <c r="G434" s="8">
        <f t="shared" si="17"/>
        <v>0</v>
      </c>
    </row>
    <row r="435" spans="6:7" x14ac:dyDescent="0.25">
      <c r="F435" s="21">
        <f t="shared" si="16"/>
        <v>0</v>
      </c>
      <c r="G435" s="8">
        <f t="shared" si="17"/>
        <v>0</v>
      </c>
    </row>
    <row r="436" spans="6:7" x14ac:dyDescent="0.25">
      <c r="F436" s="21">
        <f t="shared" si="16"/>
        <v>0</v>
      </c>
      <c r="G436" s="8">
        <f t="shared" si="17"/>
        <v>0</v>
      </c>
    </row>
    <row r="437" spans="6:7" x14ac:dyDescent="0.25">
      <c r="F437" s="21">
        <f t="shared" si="16"/>
        <v>0</v>
      </c>
      <c r="G437" s="8">
        <f t="shared" si="17"/>
        <v>0</v>
      </c>
    </row>
    <row r="438" spans="6:7" x14ac:dyDescent="0.25">
      <c r="F438" s="21">
        <f t="shared" si="16"/>
        <v>0</v>
      </c>
      <c r="G438" s="8">
        <f t="shared" si="17"/>
        <v>0</v>
      </c>
    </row>
    <row r="439" spans="6:7" x14ac:dyDescent="0.25">
      <c r="F439" s="21">
        <f t="shared" si="16"/>
        <v>0</v>
      </c>
      <c r="G439" s="8">
        <f t="shared" si="17"/>
        <v>0</v>
      </c>
    </row>
    <row r="440" spans="6:7" x14ac:dyDescent="0.25">
      <c r="F440" s="21">
        <f t="shared" si="16"/>
        <v>0</v>
      </c>
      <c r="G440" s="8">
        <f t="shared" si="17"/>
        <v>0</v>
      </c>
    </row>
    <row r="441" spans="6:7" x14ac:dyDescent="0.25">
      <c r="F441" s="21">
        <f t="shared" si="16"/>
        <v>0</v>
      </c>
      <c r="G441" s="8">
        <f t="shared" si="17"/>
        <v>0</v>
      </c>
    </row>
    <row r="442" spans="6:7" x14ac:dyDescent="0.25">
      <c r="F442" s="21">
        <f t="shared" si="16"/>
        <v>0</v>
      </c>
      <c r="G442" s="8">
        <f t="shared" si="17"/>
        <v>0</v>
      </c>
    </row>
    <row r="443" spans="6:7" x14ac:dyDescent="0.25">
      <c r="F443" s="21">
        <f t="shared" si="16"/>
        <v>0</v>
      </c>
      <c r="G443" s="8">
        <f t="shared" si="17"/>
        <v>0</v>
      </c>
    </row>
    <row r="444" spans="6:7" x14ac:dyDescent="0.25">
      <c r="F444" s="21">
        <f t="shared" si="16"/>
        <v>0</v>
      </c>
      <c r="G444" s="8">
        <f t="shared" si="17"/>
        <v>0</v>
      </c>
    </row>
    <row r="445" spans="6:7" x14ac:dyDescent="0.25">
      <c r="F445" s="21">
        <f t="shared" si="16"/>
        <v>0</v>
      </c>
      <c r="G445" s="8">
        <f t="shared" si="17"/>
        <v>0</v>
      </c>
    </row>
    <row r="446" spans="6:7" x14ac:dyDescent="0.25">
      <c r="F446" s="21">
        <f t="shared" si="16"/>
        <v>0</v>
      </c>
      <c r="G446" s="8">
        <f t="shared" si="17"/>
        <v>0</v>
      </c>
    </row>
    <row r="447" spans="6:7" x14ac:dyDescent="0.25">
      <c r="F447" s="21">
        <f t="shared" si="16"/>
        <v>0</v>
      </c>
      <c r="G447" s="8">
        <f t="shared" si="17"/>
        <v>0</v>
      </c>
    </row>
    <row r="448" spans="6:7" x14ac:dyDescent="0.25">
      <c r="F448" s="21">
        <f t="shared" si="16"/>
        <v>0</v>
      </c>
      <c r="G448" s="8">
        <f t="shared" si="17"/>
        <v>0</v>
      </c>
    </row>
    <row r="449" spans="6:7" x14ac:dyDescent="0.25">
      <c r="F449" s="21">
        <f t="shared" si="16"/>
        <v>0</v>
      </c>
      <c r="G449" s="8">
        <f t="shared" si="17"/>
        <v>0</v>
      </c>
    </row>
    <row r="450" spans="6:7" x14ac:dyDescent="0.25">
      <c r="F450" s="21">
        <f t="shared" si="16"/>
        <v>0</v>
      </c>
      <c r="G450" s="8">
        <f t="shared" si="17"/>
        <v>0</v>
      </c>
    </row>
    <row r="451" spans="6:7" x14ac:dyDescent="0.25">
      <c r="F451" s="21">
        <f t="shared" si="16"/>
        <v>0</v>
      </c>
      <c r="G451" s="8">
        <f t="shared" si="17"/>
        <v>0</v>
      </c>
    </row>
    <row r="452" spans="6:7" x14ac:dyDescent="0.25">
      <c r="F452" s="21">
        <f t="shared" si="16"/>
        <v>0</v>
      </c>
      <c r="G452" s="8">
        <f t="shared" si="17"/>
        <v>0</v>
      </c>
    </row>
    <row r="453" spans="6:7" x14ac:dyDescent="0.25">
      <c r="F453" s="21">
        <f t="shared" si="16"/>
        <v>0</v>
      </c>
      <c r="G453" s="8">
        <f t="shared" si="17"/>
        <v>0</v>
      </c>
    </row>
    <row r="454" spans="6:7" x14ac:dyDescent="0.25">
      <c r="F454" s="21">
        <f t="shared" si="16"/>
        <v>0</v>
      </c>
      <c r="G454" s="8">
        <f t="shared" si="17"/>
        <v>0</v>
      </c>
    </row>
    <row r="455" spans="6:7" x14ac:dyDescent="0.25">
      <c r="F455" s="21">
        <f t="shared" si="16"/>
        <v>0</v>
      </c>
      <c r="G455" s="8">
        <f t="shared" si="17"/>
        <v>0</v>
      </c>
    </row>
    <row r="456" spans="6:7" x14ac:dyDescent="0.25">
      <c r="F456" s="21">
        <f t="shared" si="16"/>
        <v>0</v>
      </c>
      <c r="G456" s="8">
        <f t="shared" si="17"/>
        <v>0</v>
      </c>
    </row>
    <row r="457" spans="6:7" x14ac:dyDescent="0.25">
      <c r="F457" s="21">
        <f t="shared" si="16"/>
        <v>0</v>
      </c>
      <c r="G457" s="8">
        <f t="shared" si="17"/>
        <v>0</v>
      </c>
    </row>
    <row r="458" spans="6:7" x14ac:dyDescent="0.25">
      <c r="F458" s="21">
        <f t="shared" si="16"/>
        <v>0</v>
      </c>
      <c r="G458" s="8">
        <f t="shared" si="17"/>
        <v>0</v>
      </c>
    </row>
    <row r="459" spans="6:7" x14ac:dyDescent="0.25">
      <c r="F459" s="21">
        <f t="shared" si="16"/>
        <v>0</v>
      </c>
      <c r="G459" s="8">
        <f t="shared" si="17"/>
        <v>0</v>
      </c>
    </row>
    <row r="460" spans="6:7" x14ac:dyDescent="0.25">
      <c r="F460" s="21">
        <f t="shared" si="16"/>
        <v>0</v>
      </c>
      <c r="G460" s="8">
        <f t="shared" si="17"/>
        <v>0</v>
      </c>
    </row>
    <row r="461" spans="6:7" x14ac:dyDescent="0.25">
      <c r="F461" s="21">
        <f t="shared" si="16"/>
        <v>0</v>
      </c>
      <c r="G461" s="8">
        <f t="shared" si="17"/>
        <v>0</v>
      </c>
    </row>
    <row r="462" spans="6:7" x14ac:dyDescent="0.25">
      <c r="F462" s="21">
        <f t="shared" si="16"/>
        <v>0</v>
      </c>
      <c r="G462" s="8">
        <f t="shared" si="17"/>
        <v>0</v>
      </c>
    </row>
    <row r="463" spans="6:7" x14ac:dyDescent="0.25">
      <c r="F463" s="21">
        <f t="shared" si="16"/>
        <v>0</v>
      </c>
      <c r="G463" s="8">
        <f t="shared" si="17"/>
        <v>0</v>
      </c>
    </row>
    <row r="464" spans="6:7" x14ac:dyDescent="0.25">
      <c r="F464" s="21">
        <f t="shared" si="16"/>
        <v>0</v>
      </c>
      <c r="G464" s="8">
        <f t="shared" si="17"/>
        <v>0</v>
      </c>
    </row>
    <row r="465" spans="6:7" x14ac:dyDescent="0.25">
      <c r="F465" s="21">
        <f t="shared" si="16"/>
        <v>0</v>
      </c>
      <c r="G465" s="8">
        <f t="shared" si="17"/>
        <v>0</v>
      </c>
    </row>
    <row r="466" spans="6:7" x14ac:dyDescent="0.25">
      <c r="F466" s="21">
        <f t="shared" si="16"/>
        <v>0</v>
      </c>
      <c r="G466" s="8">
        <f t="shared" si="17"/>
        <v>0</v>
      </c>
    </row>
    <row r="467" spans="6:7" x14ac:dyDescent="0.25">
      <c r="F467" s="21">
        <f t="shared" si="16"/>
        <v>0</v>
      </c>
      <c r="G467" s="8">
        <f t="shared" si="17"/>
        <v>0</v>
      </c>
    </row>
    <row r="468" spans="6:7" x14ac:dyDescent="0.25">
      <c r="F468" s="21">
        <f t="shared" si="16"/>
        <v>0</v>
      </c>
      <c r="G468" s="8">
        <f t="shared" si="17"/>
        <v>0</v>
      </c>
    </row>
    <row r="469" spans="6:7" x14ac:dyDescent="0.25">
      <c r="F469" s="21">
        <f t="shared" si="16"/>
        <v>0</v>
      </c>
      <c r="G469" s="8">
        <f t="shared" si="17"/>
        <v>0</v>
      </c>
    </row>
    <row r="470" spans="6:7" x14ac:dyDescent="0.25">
      <c r="F470" s="21">
        <f t="shared" si="16"/>
        <v>0</v>
      </c>
      <c r="G470" s="8">
        <f t="shared" si="17"/>
        <v>0</v>
      </c>
    </row>
    <row r="471" spans="6:7" x14ac:dyDescent="0.25">
      <c r="F471" s="21">
        <f t="shared" si="16"/>
        <v>0</v>
      </c>
      <c r="G471" s="8">
        <f t="shared" si="17"/>
        <v>0</v>
      </c>
    </row>
    <row r="472" spans="6:7" x14ac:dyDescent="0.25">
      <c r="F472" s="21">
        <f t="shared" si="16"/>
        <v>0</v>
      </c>
      <c r="G472" s="8">
        <f t="shared" si="17"/>
        <v>0</v>
      </c>
    </row>
    <row r="473" spans="6:7" x14ac:dyDescent="0.25">
      <c r="F473" s="21">
        <f t="shared" si="16"/>
        <v>0</v>
      </c>
      <c r="G473" s="8">
        <f t="shared" si="17"/>
        <v>0</v>
      </c>
    </row>
    <row r="474" spans="6:7" x14ac:dyDescent="0.25">
      <c r="F474" s="21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1">
        <f t="shared" si="18"/>
        <v>0</v>
      </c>
      <c r="G475" s="8">
        <f t="shared" si="19"/>
        <v>0</v>
      </c>
    </row>
    <row r="476" spans="6:7" x14ac:dyDescent="0.25">
      <c r="F476" s="21">
        <f t="shared" si="18"/>
        <v>0</v>
      </c>
      <c r="G476" s="8">
        <f t="shared" si="19"/>
        <v>0</v>
      </c>
    </row>
    <row r="477" spans="6:7" x14ac:dyDescent="0.25">
      <c r="F477" s="21">
        <f t="shared" si="18"/>
        <v>0</v>
      </c>
      <c r="G477" s="8">
        <f t="shared" si="19"/>
        <v>0</v>
      </c>
    </row>
    <row r="478" spans="6:7" x14ac:dyDescent="0.25">
      <c r="F478" s="21">
        <f t="shared" si="18"/>
        <v>0</v>
      </c>
      <c r="G478" s="8">
        <f t="shared" si="19"/>
        <v>0</v>
      </c>
    </row>
    <row r="479" spans="6:7" x14ac:dyDescent="0.25">
      <c r="F479" s="21">
        <f t="shared" si="18"/>
        <v>0</v>
      </c>
      <c r="G479" s="8">
        <f t="shared" si="19"/>
        <v>0</v>
      </c>
    </row>
    <row r="480" spans="6:7" x14ac:dyDescent="0.25">
      <c r="F480" s="21">
        <f t="shared" si="18"/>
        <v>0</v>
      </c>
      <c r="G480" s="8">
        <f t="shared" si="19"/>
        <v>0</v>
      </c>
    </row>
    <row r="481" spans="6:7" x14ac:dyDescent="0.25">
      <c r="F481" s="21">
        <f t="shared" si="18"/>
        <v>0</v>
      </c>
      <c r="G481" s="8">
        <f t="shared" si="19"/>
        <v>0</v>
      </c>
    </row>
    <row r="482" spans="6:7" x14ac:dyDescent="0.25">
      <c r="F482" s="21">
        <f t="shared" si="18"/>
        <v>0</v>
      </c>
      <c r="G482" s="8">
        <f t="shared" si="19"/>
        <v>0</v>
      </c>
    </row>
    <row r="483" spans="6:7" x14ac:dyDescent="0.25">
      <c r="F483" s="21">
        <f t="shared" si="18"/>
        <v>0</v>
      </c>
      <c r="G483" s="8">
        <f t="shared" si="19"/>
        <v>0</v>
      </c>
    </row>
    <row r="484" spans="6:7" x14ac:dyDescent="0.25">
      <c r="F484" s="21">
        <f t="shared" si="18"/>
        <v>0</v>
      </c>
      <c r="G484" s="8">
        <f t="shared" si="19"/>
        <v>0</v>
      </c>
    </row>
    <row r="485" spans="6:7" x14ac:dyDescent="0.25">
      <c r="F485" s="21">
        <f t="shared" si="18"/>
        <v>0</v>
      </c>
      <c r="G485" s="8">
        <f t="shared" si="19"/>
        <v>0</v>
      </c>
    </row>
    <row r="486" spans="6:7" x14ac:dyDescent="0.25">
      <c r="F486" s="21">
        <f t="shared" si="18"/>
        <v>0</v>
      </c>
      <c r="G486" s="8">
        <f t="shared" si="19"/>
        <v>0</v>
      </c>
    </row>
    <row r="487" spans="6:7" x14ac:dyDescent="0.25">
      <c r="F487" s="21">
        <f t="shared" si="18"/>
        <v>0</v>
      </c>
      <c r="G487" s="8">
        <f t="shared" si="19"/>
        <v>0</v>
      </c>
    </row>
    <row r="488" spans="6:7" x14ac:dyDescent="0.25">
      <c r="F488" s="21">
        <f t="shared" si="18"/>
        <v>0</v>
      </c>
      <c r="G488" s="8">
        <f t="shared" si="19"/>
        <v>0</v>
      </c>
    </row>
    <row r="489" spans="6:7" x14ac:dyDescent="0.25">
      <c r="F489" s="21">
        <f t="shared" si="18"/>
        <v>0</v>
      </c>
      <c r="G489" s="8">
        <f t="shared" si="19"/>
        <v>0</v>
      </c>
    </row>
    <row r="490" spans="6:7" x14ac:dyDescent="0.25">
      <c r="F490" s="21">
        <f t="shared" si="18"/>
        <v>0</v>
      </c>
      <c r="G490" s="8">
        <f t="shared" si="19"/>
        <v>0</v>
      </c>
    </row>
    <row r="491" spans="6:7" x14ac:dyDescent="0.25">
      <c r="F491" s="21">
        <f t="shared" si="18"/>
        <v>0</v>
      </c>
      <c r="G491" s="8">
        <f t="shared" si="19"/>
        <v>0</v>
      </c>
    </row>
    <row r="492" spans="6:7" x14ac:dyDescent="0.25">
      <c r="F492" s="21">
        <f t="shared" si="18"/>
        <v>0</v>
      </c>
      <c r="G492" s="8">
        <f t="shared" si="19"/>
        <v>0</v>
      </c>
    </row>
    <row r="493" spans="6:7" x14ac:dyDescent="0.25">
      <c r="F493" s="21">
        <f t="shared" si="18"/>
        <v>0</v>
      </c>
      <c r="G493" s="8">
        <f t="shared" si="19"/>
        <v>0</v>
      </c>
    </row>
    <row r="494" spans="6:7" x14ac:dyDescent="0.25">
      <c r="F494" s="21">
        <f t="shared" si="18"/>
        <v>0</v>
      </c>
      <c r="G494" s="8">
        <f t="shared" si="19"/>
        <v>0</v>
      </c>
    </row>
    <row r="495" spans="6:7" x14ac:dyDescent="0.25">
      <c r="F495" s="21">
        <f t="shared" si="18"/>
        <v>0</v>
      </c>
      <c r="G495" s="8">
        <f t="shared" si="19"/>
        <v>0</v>
      </c>
    </row>
    <row r="496" spans="6:7" x14ac:dyDescent="0.25">
      <c r="F496" s="21">
        <f t="shared" si="18"/>
        <v>0</v>
      </c>
      <c r="G496" s="8">
        <f t="shared" si="19"/>
        <v>0</v>
      </c>
    </row>
    <row r="497" spans="6:7" x14ac:dyDescent="0.25">
      <c r="F497" s="21">
        <f t="shared" si="18"/>
        <v>0</v>
      </c>
      <c r="G497" s="8">
        <f t="shared" si="19"/>
        <v>0</v>
      </c>
    </row>
    <row r="498" spans="6:7" x14ac:dyDescent="0.25">
      <c r="F498" s="21">
        <f t="shared" si="18"/>
        <v>0</v>
      </c>
      <c r="G498" s="8">
        <f t="shared" si="19"/>
        <v>0</v>
      </c>
    </row>
    <row r="499" spans="6:7" x14ac:dyDescent="0.25">
      <c r="F499" s="21">
        <f t="shared" si="18"/>
        <v>0</v>
      </c>
      <c r="G499" s="8">
        <f t="shared" si="19"/>
        <v>0</v>
      </c>
    </row>
    <row r="500" spans="6:7" x14ac:dyDescent="0.25">
      <c r="F500" s="21">
        <f t="shared" si="18"/>
        <v>0</v>
      </c>
      <c r="G500" s="8">
        <f t="shared" si="19"/>
        <v>0</v>
      </c>
    </row>
    <row r="501" spans="6:7" x14ac:dyDescent="0.25">
      <c r="F501" s="21">
        <f t="shared" si="18"/>
        <v>0</v>
      </c>
      <c r="G501" s="8">
        <f t="shared" si="19"/>
        <v>0</v>
      </c>
    </row>
    <row r="502" spans="6:7" x14ac:dyDescent="0.25">
      <c r="F502" s="21">
        <f t="shared" si="18"/>
        <v>0</v>
      </c>
      <c r="G502" s="8">
        <f t="shared" si="19"/>
        <v>0</v>
      </c>
    </row>
    <row r="503" spans="6:7" x14ac:dyDescent="0.25">
      <c r="F503" s="21">
        <f t="shared" si="18"/>
        <v>0</v>
      </c>
      <c r="G503" s="8">
        <f t="shared" si="19"/>
        <v>0</v>
      </c>
    </row>
    <row r="504" spans="6:7" x14ac:dyDescent="0.25">
      <c r="F504" s="21">
        <f t="shared" si="18"/>
        <v>0</v>
      </c>
      <c r="G504" s="8">
        <f t="shared" si="19"/>
        <v>0</v>
      </c>
    </row>
    <row r="505" spans="6:7" x14ac:dyDescent="0.25">
      <c r="F505" s="21">
        <f t="shared" si="18"/>
        <v>0</v>
      </c>
      <c r="G505" s="8">
        <f t="shared" si="19"/>
        <v>0</v>
      </c>
    </row>
    <row r="506" spans="6:7" x14ac:dyDescent="0.25">
      <c r="F506" s="21">
        <f t="shared" si="18"/>
        <v>0</v>
      </c>
      <c r="G506" s="8">
        <f t="shared" si="19"/>
        <v>0</v>
      </c>
    </row>
    <row r="507" spans="6:7" x14ac:dyDescent="0.25">
      <c r="F507" s="21">
        <f t="shared" si="18"/>
        <v>0</v>
      </c>
      <c r="G507" s="8">
        <f t="shared" si="19"/>
        <v>0</v>
      </c>
    </row>
    <row r="508" spans="6:7" x14ac:dyDescent="0.25">
      <c r="F508" s="21">
        <f t="shared" si="18"/>
        <v>0</v>
      </c>
      <c r="G508" s="8">
        <f t="shared" si="19"/>
        <v>0</v>
      </c>
    </row>
    <row r="509" spans="6:7" x14ac:dyDescent="0.25">
      <c r="F509" s="21">
        <f t="shared" si="18"/>
        <v>0</v>
      </c>
      <c r="G509" s="8">
        <f t="shared" si="19"/>
        <v>0</v>
      </c>
    </row>
    <row r="510" spans="6:7" x14ac:dyDescent="0.25">
      <c r="F510" s="21">
        <f t="shared" si="18"/>
        <v>0</v>
      </c>
      <c r="G510" s="8">
        <f t="shared" si="19"/>
        <v>0</v>
      </c>
    </row>
    <row r="511" spans="6:7" x14ac:dyDescent="0.25">
      <c r="F511" s="21">
        <f t="shared" si="18"/>
        <v>0</v>
      </c>
      <c r="G511" s="8">
        <f t="shared" si="19"/>
        <v>0</v>
      </c>
    </row>
    <row r="512" spans="6:7" x14ac:dyDescent="0.25">
      <c r="F512" s="21">
        <f t="shared" si="18"/>
        <v>0</v>
      </c>
      <c r="G512" s="8">
        <f t="shared" si="19"/>
        <v>0</v>
      </c>
    </row>
    <row r="513" spans="6:7" x14ac:dyDescent="0.25">
      <c r="F513" s="21">
        <f t="shared" si="18"/>
        <v>0</v>
      </c>
      <c r="G513" s="8">
        <f t="shared" si="19"/>
        <v>0</v>
      </c>
    </row>
    <row r="514" spans="6:7" x14ac:dyDescent="0.25">
      <c r="F514" s="21">
        <f t="shared" si="18"/>
        <v>0</v>
      </c>
      <c r="G514" s="8">
        <f t="shared" si="19"/>
        <v>0</v>
      </c>
    </row>
    <row r="515" spans="6:7" x14ac:dyDescent="0.25">
      <c r="F515" s="21">
        <f t="shared" si="18"/>
        <v>0</v>
      </c>
      <c r="G515" s="8">
        <f t="shared" si="19"/>
        <v>0</v>
      </c>
    </row>
    <row r="516" spans="6:7" x14ac:dyDescent="0.25">
      <c r="F516" s="21">
        <f t="shared" si="18"/>
        <v>0</v>
      </c>
      <c r="G516" s="8">
        <f t="shared" si="19"/>
        <v>0</v>
      </c>
    </row>
    <row r="517" spans="6:7" x14ac:dyDescent="0.25">
      <c r="F517" s="21">
        <f t="shared" si="18"/>
        <v>0</v>
      </c>
      <c r="G517" s="8">
        <f t="shared" si="19"/>
        <v>0</v>
      </c>
    </row>
    <row r="518" spans="6:7" x14ac:dyDescent="0.25">
      <c r="F518" s="21">
        <f t="shared" si="18"/>
        <v>0</v>
      </c>
      <c r="G518" s="8">
        <f t="shared" si="19"/>
        <v>0</v>
      </c>
    </row>
    <row r="519" spans="6:7" x14ac:dyDescent="0.25">
      <c r="F519" s="21">
        <f t="shared" si="18"/>
        <v>0</v>
      </c>
      <c r="G519" s="8">
        <f t="shared" si="19"/>
        <v>0</v>
      </c>
    </row>
    <row r="520" spans="6:7" x14ac:dyDescent="0.25">
      <c r="F520" s="21">
        <f t="shared" si="18"/>
        <v>0</v>
      </c>
      <c r="G520" s="8">
        <f t="shared" si="19"/>
        <v>0</v>
      </c>
    </row>
    <row r="521" spans="6:7" x14ac:dyDescent="0.25">
      <c r="F521" s="21">
        <f t="shared" si="18"/>
        <v>0</v>
      </c>
      <c r="G521" s="8">
        <f t="shared" si="19"/>
        <v>0</v>
      </c>
    </row>
    <row r="522" spans="6:7" x14ac:dyDescent="0.25">
      <c r="F522" s="21">
        <f t="shared" si="18"/>
        <v>0</v>
      </c>
      <c r="G522" s="8">
        <f t="shared" si="19"/>
        <v>0</v>
      </c>
    </row>
    <row r="523" spans="6:7" x14ac:dyDescent="0.25">
      <c r="F523" s="21">
        <f t="shared" si="18"/>
        <v>0</v>
      </c>
      <c r="G523" s="8">
        <f t="shared" si="19"/>
        <v>0</v>
      </c>
    </row>
    <row r="524" spans="6:7" x14ac:dyDescent="0.25">
      <c r="F524" s="21">
        <f t="shared" si="18"/>
        <v>0</v>
      </c>
      <c r="G524" s="8">
        <f t="shared" si="19"/>
        <v>0</v>
      </c>
    </row>
    <row r="525" spans="6:7" x14ac:dyDescent="0.25">
      <c r="F525" s="21">
        <f t="shared" si="18"/>
        <v>0</v>
      </c>
      <c r="G525" s="8">
        <f t="shared" si="19"/>
        <v>0</v>
      </c>
    </row>
    <row r="526" spans="6:7" x14ac:dyDescent="0.25">
      <c r="F526" s="21">
        <f t="shared" si="18"/>
        <v>0</v>
      </c>
      <c r="G526" s="8">
        <f t="shared" si="19"/>
        <v>0</v>
      </c>
    </row>
    <row r="527" spans="6:7" x14ac:dyDescent="0.25">
      <c r="F527" s="21">
        <f t="shared" si="18"/>
        <v>0</v>
      </c>
      <c r="G527" s="8">
        <f t="shared" si="19"/>
        <v>0</v>
      </c>
    </row>
    <row r="528" spans="6:7" x14ac:dyDescent="0.25">
      <c r="F528" s="21">
        <f t="shared" si="18"/>
        <v>0</v>
      </c>
      <c r="G528" s="8">
        <f t="shared" si="19"/>
        <v>0</v>
      </c>
    </row>
    <row r="529" spans="6:7" x14ac:dyDescent="0.25">
      <c r="F529" s="21">
        <f t="shared" si="18"/>
        <v>0</v>
      </c>
      <c r="G529" s="8">
        <f t="shared" si="19"/>
        <v>0</v>
      </c>
    </row>
    <row r="530" spans="6:7" x14ac:dyDescent="0.25">
      <c r="F530" s="21">
        <f t="shared" si="18"/>
        <v>0</v>
      </c>
      <c r="G530" s="8">
        <f t="shared" si="19"/>
        <v>0</v>
      </c>
    </row>
    <row r="531" spans="6:7" x14ac:dyDescent="0.25">
      <c r="F531" s="21">
        <f t="shared" si="18"/>
        <v>0</v>
      </c>
      <c r="G531" s="8">
        <f t="shared" si="19"/>
        <v>0</v>
      </c>
    </row>
    <row r="532" spans="6:7" x14ac:dyDescent="0.25">
      <c r="F532" s="21">
        <f t="shared" si="18"/>
        <v>0</v>
      </c>
      <c r="G532" s="8">
        <f t="shared" si="19"/>
        <v>0</v>
      </c>
    </row>
    <row r="533" spans="6:7" x14ac:dyDescent="0.25">
      <c r="F533" s="21">
        <f t="shared" si="18"/>
        <v>0</v>
      </c>
      <c r="G533" s="8">
        <f t="shared" si="19"/>
        <v>0</v>
      </c>
    </row>
    <row r="534" spans="6:7" x14ac:dyDescent="0.25">
      <c r="F534" s="21">
        <f t="shared" si="18"/>
        <v>0</v>
      </c>
      <c r="G534" s="8">
        <f t="shared" si="19"/>
        <v>0</v>
      </c>
    </row>
    <row r="535" spans="6:7" x14ac:dyDescent="0.25">
      <c r="F535" s="21">
        <f t="shared" si="18"/>
        <v>0</v>
      </c>
      <c r="G535" s="8">
        <f t="shared" si="19"/>
        <v>0</v>
      </c>
    </row>
    <row r="536" spans="6:7" x14ac:dyDescent="0.25">
      <c r="F536" s="21">
        <f t="shared" si="18"/>
        <v>0</v>
      </c>
      <c r="G536" s="8">
        <f t="shared" si="19"/>
        <v>0</v>
      </c>
    </row>
    <row r="537" spans="6:7" x14ac:dyDescent="0.25">
      <c r="F537" s="21">
        <f t="shared" si="18"/>
        <v>0</v>
      </c>
      <c r="G537" s="8">
        <f t="shared" si="19"/>
        <v>0</v>
      </c>
    </row>
    <row r="538" spans="6:7" x14ac:dyDescent="0.25">
      <c r="F538" s="21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1">
        <f t="shared" si="20"/>
        <v>0</v>
      </c>
      <c r="G539" s="8">
        <f t="shared" si="21"/>
        <v>0</v>
      </c>
    </row>
    <row r="540" spans="6:7" x14ac:dyDescent="0.25">
      <c r="F540" s="21">
        <f t="shared" si="20"/>
        <v>0</v>
      </c>
      <c r="G540" s="8">
        <f t="shared" si="21"/>
        <v>0</v>
      </c>
    </row>
    <row r="541" spans="6:7" x14ac:dyDescent="0.25">
      <c r="F541" s="21">
        <f t="shared" si="20"/>
        <v>0</v>
      </c>
      <c r="G541" s="8">
        <f t="shared" si="21"/>
        <v>0</v>
      </c>
    </row>
    <row r="542" spans="6:7" x14ac:dyDescent="0.25">
      <c r="F542" s="21">
        <f t="shared" si="20"/>
        <v>0</v>
      </c>
      <c r="G542" s="8">
        <f t="shared" si="21"/>
        <v>0</v>
      </c>
    </row>
    <row r="543" spans="6:7" x14ac:dyDescent="0.25">
      <c r="F543" s="21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/>
  </sheetViews>
  <sheetFormatPr defaultRowHeight="15" x14ac:dyDescent="0.25"/>
  <cols>
    <col min="1" max="1" width="22.5703125" style="133" customWidth="1"/>
    <col min="2" max="2" width="8.42578125" style="133" bestFit="1" customWidth="1"/>
    <col min="3" max="3" width="12.5703125" style="133" bestFit="1" customWidth="1"/>
    <col min="4" max="4" width="18.5703125" style="153" bestFit="1" customWidth="1"/>
    <col min="5" max="5" width="9.85546875" style="133" bestFit="1" customWidth="1"/>
    <col min="6" max="6" width="9" style="133" bestFit="1" customWidth="1"/>
    <col min="7" max="7" width="8.85546875" style="133" bestFit="1" customWidth="1"/>
    <col min="8" max="8" width="14" style="133" bestFit="1" customWidth="1"/>
    <col min="9" max="9" width="21.140625" style="133" bestFit="1" customWidth="1"/>
    <col min="10" max="10" width="8.7109375" style="133" bestFit="1" customWidth="1"/>
    <col min="11" max="11" width="11.28515625" style="133" bestFit="1" customWidth="1"/>
    <col min="12" max="12" width="11" style="133" bestFit="1" customWidth="1"/>
    <col min="13" max="13" width="11.28515625" style="133" bestFit="1" customWidth="1"/>
    <col min="14" max="14" width="13.7109375" style="133" bestFit="1" customWidth="1"/>
    <col min="15" max="15" width="14.85546875" style="133" bestFit="1" customWidth="1"/>
    <col min="16" max="16" width="16.7109375" style="133" bestFit="1" customWidth="1"/>
    <col min="17" max="17" width="9.42578125" style="133" bestFit="1" customWidth="1"/>
    <col min="18" max="16384" width="9.140625" style="133"/>
  </cols>
  <sheetData>
    <row r="1" spans="1:18" s="134" customFormat="1" x14ac:dyDescent="0.25">
      <c r="A1" s="164" t="s">
        <v>167</v>
      </c>
      <c r="B1" s="164" t="s">
        <v>170</v>
      </c>
      <c r="C1" s="164" t="s">
        <v>163</v>
      </c>
      <c r="D1" s="159" t="s">
        <v>176</v>
      </c>
      <c r="E1" s="164" t="s">
        <v>164</v>
      </c>
      <c r="F1" s="164" t="s">
        <v>162</v>
      </c>
      <c r="G1" s="164" t="s">
        <v>160</v>
      </c>
      <c r="H1" s="164" t="s">
        <v>173</v>
      </c>
      <c r="I1" s="164" t="s">
        <v>174</v>
      </c>
      <c r="J1" s="164" t="s">
        <v>168</v>
      </c>
      <c r="K1" s="164" t="s">
        <v>166</v>
      </c>
      <c r="L1" s="164" t="s">
        <v>161</v>
      </c>
      <c r="M1" s="164" t="s">
        <v>171</v>
      </c>
      <c r="N1" s="164" t="s">
        <v>165</v>
      </c>
      <c r="O1" s="164" t="s">
        <v>172</v>
      </c>
      <c r="P1" s="164" t="s">
        <v>169</v>
      </c>
      <c r="Q1"/>
      <c r="R1"/>
    </row>
    <row r="2" spans="1:18" x14ac:dyDescent="0.25">
      <c r="A2" s="165">
        <v>24.37</v>
      </c>
      <c r="B2" s="165">
        <v>0.01</v>
      </c>
      <c r="C2" s="165">
        <v>14.92</v>
      </c>
      <c r="D2" s="8">
        <v>42699</v>
      </c>
      <c r="E2" s="165">
        <v>0.55000000000000004</v>
      </c>
      <c r="F2" s="165" t="s">
        <v>302</v>
      </c>
      <c r="G2" s="165">
        <v>266.38</v>
      </c>
      <c r="H2" s="165">
        <v>0</v>
      </c>
      <c r="I2" s="165">
        <v>0</v>
      </c>
      <c r="J2" s="165">
        <v>1031.98</v>
      </c>
      <c r="K2" s="165" t="s">
        <v>303</v>
      </c>
      <c r="L2" s="165">
        <v>29.13</v>
      </c>
      <c r="M2" s="165">
        <v>1480057200</v>
      </c>
      <c r="N2" s="165">
        <v>5.55</v>
      </c>
      <c r="O2" s="165">
        <v>215</v>
      </c>
      <c r="P2" s="165">
        <v>4.3600000000000003</v>
      </c>
      <c r="Q2"/>
      <c r="R2"/>
    </row>
    <row r="3" spans="1:18" x14ac:dyDescent="0.25">
      <c r="A3" s="165">
        <v>25.01</v>
      </c>
      <c r="B3" s="165">
        <v>0.02</v>
      </c>
      <c r="C3" s="165">
        <v>15.61</v>
      </c>
      <c r="D3" s="8">
        <v>42699.041666666664</v>
      </c>
      <c r="E3" s="165">
        <v>0.56000000000000005</v>
      </c>
      <c r="F3" s="165" t="s">
        <v>302</v>
      </c>
      <c r="G3" s="165">
        <v>267.19</v>
      </c>
      <c r="H3" s="165">
        <v>0</v>
      </c>
      <c r="I3" s="165">
        <v>0</v>
      </c>
      <c r="J3" s="165">
        <v>1032.03</v>
      </c>
      <c r="K3" s="165" t="s">
        <v>303</v>
      </c>
      <c r="L3" s="165">
        <v>29.45</v>
      </c>
      <c r="M3" s="165">
        <v>1480060800</v>
      </c>
      <c r="N3" s="165">
        <v>5.15</v>
      </c>
      <c r="O3" s="165">
        <v>216</v>
      </c>
      <c r="P3" s="165">
        <v>4.0999999999999996</v>
      </c>
      <c r="Q3"/>
      <c r="R3"/>
    </row>
    <row r="4" spans="1:18" x14ac:dyDescent="0.25">
      <c r="A4" s="165">
        <v>24.08</v>
      </c>
      <c r="B4" s="165">
        <v>0.05</v>
      </c>
      <c r="C4" s="165">
        <v>14.57</v>
      </c>
      <c r="D4" s="8">
        <v>42699.083333333336</v>
      </c>
      <c r="E4" s="165">
        <v>0.54</v>
      </c>
      <c r="F4" s="165" t="s">
        <v>302</v>
      </c>
      <c r="G4" s="165">
        <v>268.01</v>
      </c>
      <c r="H4" s="165">
        <v>0</v>
      </c>
      <c r="I4" s="165">
        <v>0</v>
      </c>
      <c r="J4" s="165">
        <v>1032.03</v>
      </c>
      <c r="K4" s="165" t="s">
        <v>303</v>
      </c>
      <c r="L4" s="165">
        <v>29</v>
      </c>
      <c r="M4" s="165">
        <v>1480064400</v>
      </c>
      <c r="N4" s="165">
        <v>4.2</v>
      </c>
      <c r="O4" s="165">
        <v>214</v>
      </c>
      <c r="P4" s="165">
        <v>4.4800000000000004</v>
      </c>
      <c r="Q4"/>
      <c r="R4"/>
    </row>
    <row r="5" spans="1:18" x14ac:dyDescent="0.25">
      <c r="A5" s="165">
        <v>22.21</v>
      </c>
      <c r="B5" s="165">
        <v>0.02</v>
      </c>
      <c r="C5" s="165">
        <v>12.09</v>
      </c>
      <c r="D5" s="8">
        <v>42699.125</v>
      </c>
      <c r="E5" s="165">
        <v>0.53</v>
      </c>
      <c r="F5" s="165" t="s">
        <v>302</v>
      </c>
      <c r="G5" s="165">
        <v>268.2</v>
      </c>
      <c r="H5" s="165">
        <v>0</v>
      </c>
      <c r="I5" s="165">
        <v>0</v>
      </c>
      <c r="J5" s="165">
        <v>1031.74</v>
      </c>
      <c r="K5" s="165" t="s">
        <v>303</v>
      </c>
      <c r="L5" s="165">
        <v>26.78</v>
      </c>
      <c r="M5" s="165">
        <v>1480068000</v>
      </c>
      <c r="N5" s="165">
        <v>3.64</v>
      </c>
      <c r="O5" s="165">
        <v>198</v>
      </c>
      <c r="P5" s="165">
        <v>3.87</v>
      </c>
      <c r="Q5"/>
      <c r="R5"/>
    </row>
    <row r="6" spans="1:18" x14ac:dyDescent="0.25">
      <c r="A6" s="165">
        <v>25.68</v>
      </c>
      <c r="B6" s="165">
        <v>0.01</v>
      </c>
      <c r="C6" s="165">
        <v>10.37</v>
      </c>
      <c r="D6" s="8">
        <v>42699.166666666664</v>
      </c>
      <c r="E6" s="165">
        <v>0.52</v>
      </c>
      <c r="F6" s="165" t="s">
        <v>302</v>
      </c>
      <c r="G6" s="165">
        <v>268.17</v>
      </c>
      <c r="H6" s="165">
        <v>0</v>
      </c>
      <c r="I6" s="165">
        <v>0</v>
      </c>
      <c r="J6" s="165">
        <v>1031.29</v>
      </c>
      <c r="K6" s="165" t="s">
        <v>303</v>
      </c>
      <c r="L6" s="165">
        <v>25.68</v>
      </c>
      <c r="M6" s="165">
        <v>1480071600</v>
      </c>
      <c r="N6" s="165">
        <v>3.84</v>
      </c>
      <c r="O6" s="165">
        <v>238</v>
      </c>
      <c r="P6" s="165">
        <v>2.9</v>
      </c>
      <c r="Q6"/>
      <c r="R6"/>
    </row>
    <row r="7" spans="1:18" x14ac:dyDescent="0.25">
      <c r="A7" s="165">
        <v>26.76</v>
      </c>
      <c r="B7" s="165">
        <v>0.01</v>
      </c>
      <c r="C7" s="165">
        <v>12.02</v>
      </c>
      <c r="D7" s="8">
        <v>42699.208333333336</v>
      </c>
      <c r="E7" s="165">
        <v>0.53</v>
      </c>
      <c r="F7" s="165" t="s">
        <v>302</v>
      </c>
      <c r="G7" s="165">
        <v>268.45999999999998</v>
      </c>
      <c r="H7" s="165">
        <v>0</v>
      </c>
      <c r="I7" s="165">
        <v>0</v>
      </c>
      <c r="J7" s="165">
        <v>1030.8499999999999</v>
      </c>
      <c r="K7" s="165" t="s">
        <v>303</v>
      </c>
      <c r="L7" s="165">
        <v>26.76</v>
      </c>
      <c r="M7" s="165">
        <v>1480075200</v>
      </c>
      <c r="N7" s="165">
        <v>5.65</v>
      </c>
      <c r="O7" s="165">
        <v>245</v>
      </c>
      <c r="P7" s="165">
        <v>2.54</v>
      </c>
      <c r="Q7"/>
      <c r="R7"/>
    </row>
    <row r="8" spans="1:18" x14ac:dyDescent="0.25">
      <c r="A8" s="165">
        <v>26.48</v>
      </c>
      <c r="B8" s="165">
        <v>0.03</v>
      </c>
      <c r="C8" s="165">
        <v>11.63</v>
      </c>
      <c r="D8" s="8">
        <v>42699.25</v>
      </c>
      <c r="E8" s="165">
        <v>0.53</v>
      </c>
      <c r="F8" s="165" t="s">
        <v>302</v>
      </c>
      <c r="G8" s="165">
        <v>269.3</v>
      </c>
      <c r="H8" s="165">
        <v>0</v>
      </c>
      <c r="I8" s="165">
        <v>0</v>
      </c>
      <c r="J8" s="165">
        <v>1030.72</v>
      </c>
      <c r="K8" s="165" t="s">
        <v>303</v>
      </c>
      <c r="L8" s="165">
        <v>26.48</v>
      </c>
      <c r="M8" s="165">
        <v>1480078800</v>
      </c>
      <c r="N8" s="165">
        <v>3.77</v>
      </c>
      <c r="O8" s="165">
        <v>230</v>
      </c>
      <c r="P8" s="165">
        <v>2.91</v>
      </c>
      <c r="Q8"/>
      <c r="R8"/>
    </row>
    <row r="9" spans="1:18" x14ac:dyDescent="0.25">
      <c r="A9" s="165">
        <v>25.15</v>
      </c>
      <c r="B9" s="165">
        <v>0.09</v>
      </c>
      <c r="C9" s="165">
        <v>12.82</v>
      </c>
      <c r="D9" s="8">
        <v>42699.291666666664</v>
      </c>
      <c r="E9" s="165">
        <v>0.5</v>
      </c>
      <c r="F9" s="165" t="s">
        <v>302</v>
      </c>
      <c r="G9" s="165">
        <v>270.47000000000003</v>
      </c>
      <c r="H9" s="165">
        <v>0</v>
      </c>
      <c r="I9" s="165">
        <v>0</v>
      </c>
      <c r="J9" s="165">
        <v>1030.56</v>
      </c>
      <c r="K9" s="165" t="s">
        <v>303</v>
      </c>
      <c r="L9" s="165">
        <v>29.19</v>
      </c>
      <c r="M9" s="165">
        <v>1480082400</v>
      </c>
      <c r="N9" s="165">
        <v>3.12</v>
      </c>
      <c r="O9" s="165">
        <v>230</v>
      </c>
      <c r="P9" s="165">
        <v>3.73</v>
      </c>
      <c r="Q9"/>
      <c r="R9"/>
    </row>
    <row r="10" spans="1:18" x14ac:dyDescent="0.25">
      <c r="A10" s="165">
        <v>27.54</v>
      </c>
      <c r="B10" s="165">
        <v>0.09</v>
      </c>
      <c r="C10" s="165">
        <v>11.71</v>
      </c>
      <c r="D10" s="8">
        <v>42699.333333333336</v>
      </c>
      <c r="E10" s="165">
        <v>0.44</v>
      </c>
      <c r="F10" s="165" t="s">
        <v>318</v>
      </c>
      <c r="G10" s="165">
        <v>271.82</v>
      </c>
      <c r="H10" s="165">
        <v>0</v>
      </c>
      <c r="I10" s="165">
        <v>0</v>
      </c>
      <c r="J10" s="165">
        <v>1029.73</v>
      </c>
      <c r="K10" s="165" t="s">
        <v>303</v>
      </c>
      <c r="L10" s="165">
        <v>30.82</v>
      </c>
      <c r="M10" s="165">
        <v>1480086000</v>
      </c>
      <c r="N10" s="165">
        <v>2.86</v>
      </c>
      <c r="O10" s="165">
        <v>242</v>
      </c>
      <c r="P10" s="165">
        <v>3.32</v>
      </c>
      <c r="Q10"/>
      <c r="R10"/>
    </row>
    <row r="11" spans="1:18" x14ac:dyDescent="0.25">
      <c r="A11" s="165">
        <v>33.549999999999997</v>
      </c>
      <c r="B11" s="165">
        <v>0.08</v>
      </c>
      <c r="C11" s="165">
        <v>15.27</v>
      </c>
      <c r="D11" s="8">
        <v>42699.375</v>
      </c>
      <c r="E11" s="165">
        <v>0.41</v>
      </c>
      <c r="F11" s="165" t="s">
        <v>318</v>
      </c>
      <c r="G11" s="165">
        <v>273.49</v>
      </c>
      <c r="H11" s="165">
        <v>0</v>
      </c>
      <c r="I11" s="165">
        <v>0</v>
      </c>
      <c r="J11" s="165">
        <v>1027.77</v>
      </c>
      <c r="K11" s="165" t="s">
        <v>303</v>
      </c>
      <c r="L11" s="165">
        <v>36.450000000000003</v>
      </c>
      <c r="M11" s="165">
        <v>1480089600</v>
      </c>
      <c r="N11" s="165">
        <v>2.76</v>
      </c>
      <c r="O11" s="165">
        <v>235</v>
      </c>
      <c r="P11" s="165">
        <v>3.68</v>
      </c>
      <c r="Q11"/>
      <c r="R11"/>
    </row>
    <row r="12" spans="1:18" x14ac:dyDescent="0.25">
      <c r="A12" s="165">
        <v>43.45</v>
      </c>
      <c r="B12" s="165">
        <v>0.09</v>
      </c>
      <c r="C12" s="165">
        <v>14.25</v>
      </c>
      <c r="D12" s="8">
        <v>42699.416666666664</v>
      </c>
      <c r="E12" s="165">
        <v>0.3</v>
      </c>
      <c r="F12" s="165" t="s">
        <v>318</v>
      </c>
      <c r="G12" s="165">
        <v>275.35000000000002</v>
      </c>
      <c r="H12" s="165">
        <v>0</v>
      </c>
      <c r="I12" s="165">
        <v>0</v>
      </c>
      <c r="J12" s="165">
        <v>1024.94</v>
      </c>
      <c r="K12" s="165" t="s">
        <v>303</v>
      </c>
      <c r="L12" s="165">
        <v>43.45</v>
      </c>
      <c r="M12" s="165">
        <v>1480093200</v>
      </c>
      <c r="N12" s="165">
        <v>2.72</v>
      </c>
      <c r="O12" s="165">
        <v>203</v>
      </c>
      <c r="P12" s="165">
        <v>2.78</v>
      </c>
      <c r="Q12"/>
      <c r="R12"/>
    </row>
    <row r="13" spans="1:18" x14ac:dyDescent="0.25">
      <c r="A13" s="165">
        <v>50.82</v>
      </c>
      <c r="B13" s="165">
        <v>0.1</v>
      </c>
      <c r="C13" s="165">
        <v>12.66</v>
      </c>
      <c r="D13" s="8">
        <v>42699.458333333336</v>
      </c>
      <c r="E13" s="165">
        <v>0.21</v>
      </c>
      <c r="F13" s="165" t="s">
        <v>318</v>
      </c>
      <c r="G13" s="165">
        <v>276.76</v>
      </c>
      <c r="H13" s="165">
        <v>0</v>
      </c>
      <c r="I13" s="165">
        <v>0</v>
      </c>
      <c r="J13" s="165">
        <v>1023.09</v>
      </c>
      <c r="K13" s="165" t="s">
        <v>303</v>
      </c>
      <c r="L13" s="165">
        <v>50.82</v>
      </c>
      <c r="M13" s="165">
        <v>1480096800</v>
      </c>
      <c r="N13" s="165">
        <v>2.72</v>
      </c>
      <c r="O13" s="165">
        <v>202</v>
      </c>
      <c r="P13" s="165">
        <v>3.74</v>
      </c>
      <c r="Q13"/>
      <c r="R13"/>
    </row>
    <row r="14" spans="1:18" x14ac:dyDescent="0.25">
      <c r="A14" s="165">
        <v>55.21</v>
      </c>
      <c r="B14" s="165">
        <v>0.09</v>
      </c>
      <c r="C14" s="165">
        <v>11.86</v>
      </c>
      <c r="D14" s="8">
        <v>42699.5</v>
      </c>
      <c r="E14" s="165">
        <v>0.18</v>
      </c>
      <c r="F14" s="165" t="s">
        <v>318</v>
      </c>
      <c r="G14" s="165">
        <v>277.58</v>
      </c>
      <c r="H14" s="165">
        <v>0</v>
      </c>
      <c r="I14" s="165">
        <v>0</v>
      </c>
      <c r="J14" s="165">
        <v>1022.03</v>
      </c>
      <c r="K14" s="165" t="s">
        <v>303</v>
      </c>
      <c r="L14" s="165">
        <v>55.21</v>
      </c>
      <c r="M14" s="165">
        <v>1480100400</v>
      </c>
      <c r="N14" s="165">
        <v>2.72</v>
      </c>
      <c r="O14" s="165">
        <v>178</v>
      </c>
      <c r="P14" s="165">
        <v>2.27</v>
      </c>
      <c r="Q14"/>
      <c r="R14"/>
    </row>
    <row r="15" spans="1:18" x14ac:dyDescent="0.25">
      <c r="A15" s="165">
        <v>57.73</v>
      </c>
      <c r="B15" s="165">
        <v>0.08</v>
      </c>
      <c r="C15" s="165">
        <v>11.47</v>
      </c>
      <c r="D15" s="8">
        <v>42699.541666666664</v>
      </c>
      <c r="E15" s="165">
        <v>0.16</v>
      </c>
      <c r="F15" s="165" t="s">
        <v>318</v>
      </c>
      <c r="G15" s="165">
        <v>277.95999999999998</v>
      </c>
      <c r="H15" s="165">
        <v>0</v>
      </c>
      <c r="I15" s="165">
        <v>0</v>
      </c>
      <c r="J15" s="165">
        <v>1021.32</v>
      </c>
      <c r="K15" s="165" t="s">
        <v>303</v>
      </c>
      <c r="L15" s="165">
        <v>57.73</v>
      </c>
      <c r="M15" s="165">
        <v>1480104000</v>
      </c>
      <c r="N15" s="165">
        <v>2.73</v>
      </c>
      <c r="O15" s="165">
        <v>178</v>
      </c>
      <c r="P15" s="165">
        <v>3.63</v>
      </c>
      <c r="Q15"/>
      <c r="R15"/>
    </row>
    <row r="16" spans="1:18" x14ac:dyDescent="0.25">
      <c r="A16" s="165">
        <v>61.38</v>
      </c>
      <c r="B16" s="165">
        <v>0.08</v>
      </c>
      <c r="C16" s="165">
        <v>9.8800000000000008</v>
      </c>
      <c r="D16" s="8">
        <v>42699.583333333336</v>
      </c>
      <c r="E16" s="165">
        <v>0.13</v>
      </c>
      <c r="F16" s="165" t="s">
        <v>318</v>
      </c>
      <c r="G16" s="165">
        <v>277.76</v>
      </c>
      <c r="H16" s="165">
        <v>0</v>
      </c>
      <c r="I16" s="165">
        <v>0</v>
      </c>
      <c r="J16" s="165">
        <v>1020.84</v>
      </c>
      <c r="K16" s="165" t="s">
        <v>303</v>
      </c>
      <c r="L16" s="165">
        <v>61.38</v>
      </c>
      <c r="M16" s="165">
        <v>1480107600</v>
      </c>
      <c r="N16" s="165">
        <v>2.74</v>
      </c>
      <c r="O16" s="165">
        <v>167</v>
      </c>
      <c r="P16" s="165">
        <v>3.15</v>
      </c>
      <c r="Q16"/>
      <c r="R16"/>
    </row>
    <row r="17" spans="1:18" x14ac:dyDescent="0.25">
      <c r="A17" s="165">
        <v>61.48</v>
      </c>
      <c r="B17" s="165">
        <v>0.08</v>
      </c>
      <c r="C17" s="165">
        <v>8.65</v>
      </c>
      <c r="D17" s="8">
        <v>42699.625</v>
      </c>
      <c r="E17" s="165">
        <v>0.12</v>
      </c>
      <c r="F17" s="165" t="s">
        <v>318</v>
      </c>
      <c r="G17" s="165">
        <v>276.66000000000003</v>
      </c>
      <c r="H17" s="165">
        <v>0</v>
      </c>
      <c r="I17" s="165">
        <v>0</v>
      </c>
      <c r="J17" s="165">
        <v>1020.53</v>
      </c>
      <c r="K17" s="165" t="s">
        <v>303</v>
      </c>
      <c r="L17" s="165">
        <v>61.48</v>
      </c>
      <c r="M17" s="165">
        <v>1480111200</v>
      </c>
      <c r="N17" s="165">
        <v>2.79</v>
      </c>
      <c r="O17" s="165">
        <v>155</v>
      </c>
      <c r="P17" s="165">
        <v>2.92</v>
      </c>
      <c r="Q17"/>
      <c r="R17"/>
    </row>
    <row r="18" spans="1:18" x14ac:dyDescent="0.25">
      <c r="A18" s="165">
        <v>56.49</v>
      </c>
      <c r="B18" s="165">
        <v>0.06</v>
      </c>
      <c r="C18" s="165">
        <v>7.38</v>
      </c>
      <c r="D18" s="8">
        <v>42699.666666666664</v>
      </c>
      <c r="E18" s="165">
        <v>0.14000000000000001</v>
      </c>
      <c r="F18" s="165" t="s">
        <v>318</v>
      </c>
      <c r="G18" s="165">
        <v>274.98</v>
      </c>
      <c r="H18" s="165">
        <v>0</v>
      </c>
      <c r="I18" s="165">
        <v>0</v>
      </c>
      <c r="J18" s="165">
        <v>1020.44</v>
      </c>
      <c r="K18" s="165" t="s">
        <v>303</v>
      </c>
      <c r="L18" s="165">
        <v>56.49</v>
      </c>
      <c r="M18" s="165">
        <v>1480114800</v>
      </c>
      <c r="N18" s="165">
        <v>5.22</v>
      </c>
      <c r="O18" s="165">
        <v>170</v>
      </c>
      <c r="P18" s="165">
        <v>2.52</v>
      </c>
      <c r="Q18"/>
      <c r="R18"/>
    </row>
    <row r="19" spans="1:18" x14ac:dyDescent="0.25">
      <c r="A19" s="165">
        <v>52.71</v>
      </c>
      <c r="B19" s="165">
        <v>0.05</v>
      </c>
      <c r="C19" s="165">
        <v>7.67</v>
      </c>
      <c r="D19" s="8">
        <v>42699.708333333336</v>
      </c>
      <c r="E19" s="165">
        <v>0.16</v>
      </c>
      <c r="F19" s="165" t="s">
        <v>302</v>
      </c>
      <c r="G19" s="165">
        <v>273.56</v>
      </c>
      <c r="H19" s="165">
        <v>0</v>
      </c>
      <c r="I19" s="165">
        <v>0</v>
      </c>
      <c r="J19" s="165">
        <v>1020.65</v>
      </c>
      <c r="K19" s="165" t="s">
        <v>303</v>
      </c>
      <c r="L19" s="165">
        <v>52.71</v>
      </c>
      <c r="M19" s="165">
        <v>1480118400</v>
      </c>
      <c r="N19" s="165">
        <v>5.44</v>
      </c>
      <c r="O19" s="165">
        <v>139</v>
      </c>
      <c r="P19" s="165">
        <v>0.99</v>
      </c>
      <c r="Q19"/>
      <c r="R19"/>
    </row>
    <row r="20" spans="1:18" x14ac:dyDescent="0.25">
      <c r="A20" s="165">
        <v>46</v>
      </c>
      <c r="B20" s="165">
        <v>0.06</v>
      </c>
      <c r="C20" s="165">
        <v>9.08</v>
      </c>
      <c r="D20" s="8">
        <v>42699.75</v>
      </c>
      <c r="E20" s="165">
        <v>0.22</v>
      </c>
      <c r="F20" s="165" t="s">
        <v>302</v>
      </c>
      <c r="G20" s="165">
        <v>272.75</v>
      </c>
      <c r="H20" s="165">
        <v>0</v>
      </c>
      <c r="I20" s="165">
        <v>0</v>
      </c>
      <c r="J20" s="165">
        <v>1021.18</v>
      </c>
      <c r="K20" s="165" t="s">
        <v>303</v>
      </c>
      <c r="L20" s="165">
        <v>46</v>
      </c>
      <c r="M20" s="165">
        <v>1480122000</v>
      </c>
      <c r="N20" s="165">
        <v>6.13</v>
      </c>
      <c r="O20" s="165">
        <v>289</v>
      </c>
      <c r="P20" s="165">
        <v>1.35</v>
      </c>
      <c r="Q20"/>
      <c r="R20"/>
    </row>
    <row r="21" spans="1:18" x14ac:dyDescent="0.25">
      <c r="A21" s="165">
        <v>43.21</v>
      </c>
      <c r="B21" s="165">
        <v>0.03</v>
      </c>
      <c r="C21" s="165">
        <v>13.54</v>
      </c>
      <c r="D21" s="8">
        <v>42699.791666666664</v>
      </c>
      <c r="E21" s="165">
        <v>0.3</v>
      </c>
      <c r="F21" s="165" t="s">
        <v>302</v>
      </c>
      <c r="G21" s="165">
        <v>272.19</v>
      </c>
      <c r="H21" s="165">
        <v>0</v>
      </c>
      <c r="I21" s="165">
        <v>0</v>
      </c>
      <c r="J21" s="165">
        <v>1022.92</v>
      </c>
      <c r="K21" s="165" t="s">
        <v>303</v>
      </c>
      <c r="L21" s="165">
        <v>43.21</v>
      </c>
      <c r="M21" s="165">
        <v>1480125600</v>
      </c>
      <c r="N21" s="165">
        <v>7.27</v>
      </c>
      <c r="O21" s="165">
        <v>239</v>
      </c>
      <c r="P21" s="165">
        <v>1.48</v>
      </c>
      <c r="Q21"/>
      <c r="R21"/>
    </row>
    <row r="22" spans="1:18" x14ac:dyDescent="0.25">
      <c r="A22" s="165">
        <v>40.28</v>
      </c>
      <c r="B22" s="165">
        <v>0.06</v>
      </c>
      <c r="C22" s="165">
        <v>14.01</v>
      </c>
      <c r="D22" s="8">
        <v>42699.833333333336</v>
      </c>
      <c r="E22" s="165">
        <v>0.34</v>
      </c>
      <c r="F22" s="165" t="s">
        <v>302</v>
      </c>
      <c r="G22" s="165">
        <v>271.62</v>
      </c>
      <c r="H22" s="165">
        <v>0</v>
      </c>
      <c r="I22" s="165">
        <v>0</v>
      </c>
      <c r="J22" s="165">
        <v>1024.1099999999999</v>
      </c>
      <c r="K22" s="165" t="s">
        <v>303</v>
      </c>
      <c r="L22" s="165">
        <v>40.28</v>
      </c>
      <c r="M22" s="165">
        <v>1480129200</v>
      </c>
      <c r="N22" s="165">
        <v>6.84</v>
      </c>
      <c r="O22" s="165">
        <v>260</v>
      </c>
      <c r="P22" s="165">
        <v>2.4300000000000002</v>
      </c>
      <c r="Q22"/>
      <c r="R22"/>
    </row>
    <row r="23" spans="1:18" x14ac:dyDescent="0.25">
      <c r="A23" s="165">
        <v>37.82</v>
      </c>
      <c r="B23" s="165">
        <v>7.0000000000000007E-2</v>
      </c>
      <c r="C23" s="165">
        <v>12.51</v>
      </c>
      <c r="D23" s="8">
        <v>42699.875</v>
      </c>
      <c r="E23" s="165">
        <v>0.35</v>
      </c>
      <c r="F23" s="165" t="s">
        <v>302</v>
      </c>
      <c r="G23" s="165">
        <v>270.87</v>
      </c>
      <c r="H23" s="165">
        <v>0</v>
      </c>
      <c r="I23" s="165">
        <v>0</v>
      </c>
      <c r="J23" s="165">
        <v>1024.01</v>
      </c>
      <c r="K23" s="165" t="s">
        <v>303</v>
      </c>
      <c r="L23" s="165">
        <v>37.82</v>
      </c>
      <c r="M23" s="165">
        <v>1480132800</v>
      </c>
      <c r="N23" s="165">
        <v>5.93</v>
      </c>
      <c r="O23" s="165">
        <v>220</v>
      </c>
      <c r="P23" s="165">
        <v>2.46</v>
      </c>
      <c r="Q23"/>
      <c r="R23"/>
    </row>
    <row r="24" spans="1:18" x14ac:dyDescent="0.25">
      <c r="A24" s="165">
        <v>33.94</v>
      </c>
      <c r="B24" s="165">
        <v>7.0000000000000007E-2</v>
      </c>
      <c r="C24" s="165">
        <v>12.93</v>
      </c>
      <c r="D24" s="8">
        <v>42699.916666666664</v>
      </c>
      <c r="E24" s="165">
        <v>0.37</v>
      </c>
      <c r="F24" s="165" t="s">
        <v>302</v>
      </c>
      <c r="G24" s="165">
        <v>270.12</v>
      </c>
      <c r="H24" s="165">
        <v>0</v>
      </c>
      <c r="I24" s="165">
        <v>0</v>
      </c>
      <c r="J24" s="165">
        <v>1023.17</v>
      </c>
      <c r="K24" s="165" t="s">
        <v>303</v>
      </c>
      <c r="L24" s="165">
        <v>37.01</v>
      </c>
      <c r="M24" s="165">
        <v>1480136400</v>
      </c>
      <c r="N24" s="165">
        <v>6.01</v>
      </c>
      <c r="O24" s="165">
        <v>212</v>
      </c>
      <c r="P24" s="165">
        <v>3.93</v>
      </c>
      <c r="Q24"/>
      <c r="R24"/>
    </row>
    <row r="25" spans="1:18" x14ac:dyDescent="0.25">
      <c r="A25" s="165">
        <v>32.44</v>
      </c>
      <c r="B25" s="165">
        <v>7.0000000000000007E-2</v>
      </c>
      <c r="C25" s="165">
        <v>11.9</v>
      </c>
      <c r="D25" s="8">
        <v>42699.958333333336</v>
      </c>
      <c r="E25" s="165">
        <v>0.36</v>
      </c>
      <c r="F25" s="165" t="s">
        <v>302</v>
      </c>
      <c r="G25" s="165">
        <v>269.62</v>
      </c>
      <c r="H25" s="165">
        <v>0</v>
      </c>
      <c r="I25" s="165">
        <v>0</v>
      </c>
      <c r="J25" s="165">
        <v>1022.71</v>
      </c>
      <c r="K25" s="165" t="s">
        <v>303</v>
      </c>
      <c r="L25" s="165">
        <v>35.99</v>
      </c>
      <c r="M25" s="165">
        <v>1480140000</v>
      </c>
      <c r="N25" s="165">
        <v>6.57</v>
      </c>
      <c r="O25" s="165">
        <v>230</v>
      </c>
      <c r="P25" s="165">
        <v>4.24</v>
      </c>
      <c r="Q25"/>
      <c r="R25"/>
    </row>
    <row r="26" spans="1:18" x14ac:dyDescent="0.25">
      <c r="A26" s="165">
        <v>30.92</v>
      </c>
      <c r="B26" s="165">
        <v>0.11</v>
      </c>
      <c r="C26" s="165">
        <v>10.43</v>
      </c>
      <c r="D26" s="8">
        <v>42700</v>
      </c>
      <c r="E26" s="165">
        <v>0.36</v>
      </c>
      <c r="F26" s="165" t="s">
        <v>302</v>
      </c>
      <c r="G26" s="165">
        <v>269.73</v>
      </c>
      <c r="H26" s="165">
        <v>0</v>
      </c>
      <c r="I26" s="165">
        <v>0</v>
      </c>
      <c r="J26" s="165">
        <v>1023.56</v>
      </c>
      <c r="K26" s="165" t="s">
        <v>303</v>
      </c>
      <c r="L26" s="165">
        <v>34.69</v>
      </c>
      <c r="M26" s="165">
        <v>1480143600</v>
      </c>
      <c r="N26" s="165">
        <v>6.98</v>
      </c>
      <c r="O26" s="165">
        <v>235</v>
      </c>
      <c r="P26" s="165">
        <v>4.25</v>
      </c>
      <c r="Q26"/>
      <c r="R26"/>
    </row>
    <row r="27" spans="1:18" x14ac:dyDescent="0.25">
      <c r="A27" s="165">
        <v>32.64</v>
      </c>
      <c r="B27" s="165">
        <v>0.08</v>
      </c>
      <c r="C27" s="165">
        <v>11.43</v>
      </c>
      <c r="D27" s="8">
        <v>42700.041666666664</v>
      </c>
      <c r="E27" s="165">
        <v>0.37</v>
      </c>
      <c r="F27" s="165" t="s">
        <v>302</v>
      </c>
      <c r="G27" s="165">
        <v>269.85000000000002</v>
      </c>
      <c r="H27" s="165">
        <v>0</v>
      </c>
      <c r="I27" s="165">
        <v>0</v>
      </c>
      <c r="J27" s="165">
        <v>1024.3399999999999</v>
      </c>
      <c r="K27" s="165" t="s">
        <v>303</v>
      </c>
      <c r="L27" s="165">
        <v>35.08</v>
      </c>
      <c r="M27" s="165">
        <v>1480147200</v>
      </c>
      <c r="N27" s="165">
        <v>6.73</v>
      </c>
      <c r="O27" s="165">
        <v>247</v>
      </c>
      <c r="P27" s="165">
        <v>3.12</v>
      </c>
      <c r="Q27"/>
      <c r="R27"/>
    </row>
    <row r="28" spans="1:18" x14ac:dyDescent="0.25">
      <c r="A28" s="165">
        <v>34.14</v>
      </c>
      <c r="B28" s="165">
        <v>0.21</v>
      </c>
      <c r="C28" s="165">
        <v>11.29</v>
      </c>
      <c r="D28" s="8">
        <v>42700.083333333336</v>
      </c>
      <c r="E28" s="165">
        <v>0.38</v>
      </c>
      <c r="F28" s="165" t="s">
        <v>302</v>
      </c>
      <c r="G28" s="165">
        <v>269.95999999999998</v>
      </c>
      <c r="H28" s="165">
        <v>0</v>
      </c>
      <c r="I28" s="165">
        <v>0</v>
      </c>
      <c r="J28" s="165">
        <v>1025.04</v>
      </c>
      <c r="K28" s="165" t="s">
        <v>303</v>
      </c>
      <c r="L28" s="165">
        <v>34.14</v>
      </c>
      <c r="M28" s="165">
        <v>1480150800</v>
      </c>
      <c r="N28" s="165">
        <v>4.49</v>
      </c>
      <c r="O28" s="165">
        <v>266</v>
      </c>
      <c r="P28" s="165">
        <v>2.0699999999999998</v>
      </c>
      <c r="Q28"/>
      <c r="R28"/>
    </row>
    <row r="29" spans="1:18" x14ac:dyDescent="0.25">
      <c r="A29" s="165">
        <v>31.06</v>
      </c>
      <c r="B29" s="165">
        <v>0.2</v>
      </c>
      <c r="C29" s="165">
        <v>9.73</v>
      </c>
      <c r="D29" s="8">
        <v>42700.125</v>
      </c>
      <c r="E29" s="165">
        <v>0.36</v>
      </c>
      <c r="F29" s="165" t="s">
        <v>302</v>
      </c>
      <c r="G29" s="165">
        <v>269.73</v>
      </c>
      <c r="H29" s="165">
        <v>0</v>
      </c>
      <c r="I29" s="165">
        <v>0</v>
      </c>
      <c r="J29" s="165">
        <v>1025.28</v>
      </c>
      <c r="K29" s="165" t="s">
        <v>303</v>
      </c>
      <c r="L29" s="165">
        <v>33.72</v>
      </c>
      <c r="M29" s="165">
        <v>1480154400</v>
      </c>
      <c r="N29" s="165">
        <v>6.85</v>
      </c>
      <c r="O29" s="165">
        <v>236</v>
      </c>
      <c r="P29" s="165">
        <v>3.15</v>
      </c>
      <c r="Q29"/>
      <c r="R29"/>
    </row>
    <row r="30" spans="1:18" x14ac:dyDescent="0.25">
      <c r="A30"/>
      <c r="B30"/>
      <c r="C30"/>
      <c r="D30" s="8"/>
      <c r="E30"/>
      <c r="F30"/>
      <c r="G30"/>
      <c r="H30"/>
      <c r="I30"/>
      <c r="J30"/>
      <c r="K30"/>
      <c r="L30"/>
      <c r="M30"/>
      <c r="N30"/>
      <c r="O30"/>
      <c r="P30"/>
    </row>
    <row r="31" spans="1:18" x14ac:dyDescent="0.25">
      <c r="A31" s="133" t="s">
        <v>209</v>
      </c>
    </row>
    <row r="33" spans="1:1" x14ac:dyDescent="0.25">
      <c r="A33" s="133" t="s">
        <v>191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P36"/>
  <sheetViews>
    <sheetView workbookViewId="0"/>
  </sheetViews>
  <sheetFormatPr defaultRowHeight="15" x14ac:dyDescent="0.25"/>
  <cols>
    <col min="1" max="1" width="32.140625" customWidth="1"/>
    <col min="3" max="3" width="24" customWidth="1"/>
    <col min="4" max="4" width="19.140625" style="69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68" bestFit="1" customWidth="1"/>
  </cols>
  <sheetData>
    <row r="1" spans="1:16" ht="45.75" x14ac:dyDescent="0.3">
      <c r="A1" s="11" t="s">
        <v>25</v>
      </c>
      <c r="C1" s="142" t="s">
        <v>99</v>
      </c>
      <c r="D1" s="143" t="s">
        <v>100</v>
      </c>
      <c r="J1" s="32" t="s">
        <v>101</v>
      </c>
      <c r="K1" s="32" t="s">
        <v>66</v>
      </c>
      <c r="L1" s="32" t="s">
        <v>67</v>
      </c>
      <c r="O1" s="70" t="s">
        <v>102</v>
      </c>
    </row>
    <row r="2" spans="1:16" ht="15.75" thickBot="1" x14ac:dyDescent="0.3">
      <c r="A2" s="12">
        <v>42699</v>
      </c>
      <c r="B2" s="4"/>
      <c r="C2" s="144">
        <v>50</v>
      </c>
      <c r="D2" s="145">
        <v>25</v>
      </c>
      <c r="F2" t="s">
        <v>114</v>
      </c>
      <c r="J2" s="32"/>
      <c r="K2" s="32" t="s">
        <v>66</v>
      </c>
      <c r="L2" s="32" t="s">
        <v>67</v>
      </c>
    </row>
    <row r="3" spans="1:16" x14ac:dyDescent="0.25">
      <c r="C3" s="69"/>
      <c r="F3" t="s">
        <v>52</v>
      </c>
      <c r="J3" s="33" t="s">
        <v>68</v>
      </c>
      <c r="K3" s="34">
        <v>2.7052</v>
      </c>
      <c r="L3" s="34">
        <v>2.7349999999999999</v>
      </c>
      <c r="M3" s="106">
        <f t="shared" ref="M3:M14" si="0">AVERAGE(K3:L3)</f>
        <v>2.7201</v>
      </c>
      <c r="O3" t="s">
        <v>103</v>
      </c>
      <c r="P3" s="68">
        <f>AVERAGE(1.0714,1.1016)</f>
        <v>1.0865</v>
      </c>
    </row>
    <row r="4" spans="1:16" ht="45" x14ac:dyDescent="0.25">
      <c r="C4" s="142" t="s">
        <v>99</v>
      </c>
      <c r="D4" s="143" t="s">
        <v>100</v>
      </c>
      <c r="F4" t="s">
        <v>53</v>
      </c>
      <c r="J4" s="33" t="s">
        <v>69</v>
      </c>
      <c r="K4" s="34">
        <v>3.0830000000000002</v>
      </c>
      <c r="L4" s="34">
        <v>3.097</v>
      </c>
      <c r="M4" s="106">
        <f t="shared" si="0"/>
        <v>3.09</v>
      </c>
    </row>
    <row r="5" spans="1:16" x14ac:dyDescent="0.25">
      <c r="C5" s="69">
        <v>30</v>
      </c>
      <c r="D5" s="69">
        <v>9</v>
      </c>
      <c r="J5" s="33" t="s">
        <v>70</v>
      </c>
      <c r="K5" s="34">
        <v>3.3136000000000001</v>
      </c>
      <c r="L5" s="34">
        <v>3.3256999999999999</v>
      </c>
      <c r="M5" s="106">
        <f t="shared" si="0"/>
        <v>3.3196500000000002</v>
      </c>
    </row>
    <row r="6" spans="1:16" x14ac:dyDescent="0.25">
      <c r="C6" s="69"/>
      <c r="F6" t="s">
        <v>115</v>
      </c>
      <c r="J6" s="33" t="s">
        <v>71</v>
      </c>
      <c r="K6" s="34">
        <v>4.2778999999999998</v>
      </c>
      <c r="L6" s="34">
        <v>4.2961</v>
      </c>
      <c r="M6" s="106">
        <f t="shared" si="0"/>
        <v>4.2869999999999999</v>
      </c>
    </row>
    <row r="7" spans="1:16" x14ac:dyDescent="0.25">
      <c r="C7" s="69"/>
      <c r="F7" t="s">
        <v>116</v>
      </c>
      <c r="J7" s="33" t="s">
        <v>72</v>
      </c>
      <c r="K7" s="34">
        <v>4.7865000000000002</v>
      </c>
      <c r="L7" s="34">
        <v>4.8048000000000002</v>
      </c>
      <c r="M7" s="106">
        <f t="shared" si="0"/>
        <v>4.7956500000000002</v>
      </c>
    </row>
    <row r="8" spans="1:16" x14ac:dyDescent="0.25">
      <c r="C8" s="69"/>
      <c r="F8" t="s">
        <v>117</v>
      </c>
      <c r="J8" s="33" t="s">
        <v>73</v>
      </c>
      <c r="K8" s="34">
        <v>5.3155000000000001</v>
      </c>
      <c r="L8" s="34">
        <v>5.3277000000000001</v>
      </c>
      <c r="M8" s="106">
        <f t="shared" si="0"/>
        <v>5.3216000000000001</v>
      </c>
    </row>
    <row r="9" spans="1:16" x14ac:dyDescent="0.25">
      <c r="C9" s="69"/>
      <c r="J9" s="33" t="s">
        <v>74</v>
      </c>
      <c r="K9" s="34">
        <v>5.8117000000000001</v>
      </c>
      <c r="L9" s="34">
        <v>5.8300999999999998</v>
      </c>
      <c r="M9" s="106">
        <f t="shared" si="0"/>
        <v>5.8209</v>
      </c>
    </row>
    <row r="10" spans="1:16" x14ac:dyDescent="0.25">
      <c r="C10" s="69"/>
      <c r="J10" s="33" t="s">
        <v>75</v>
      </c>
      <c r="K10" s="34">
        <v>5.8783000000000003</v>
      </c>
      <c r="L10" s="34">
        <v>5.8903999999999996</v>
      </c>
      <c r="M10" s="106">
        <f t="shared" si="0"/>
        <v>5.8843499999999995</v>
      </c>
    </row>
    <row r="11" spans="1:16" x14ac:dyDescent="0.25">
      <c r="C11" s="69"/>
      <c r="J11" s="33" t="s">
        <v>76</v>
      </c>
      <c r="K11" s="34">
        <v>6.3068</v>
      </c>
      <c r="L11" s="34">
        <v>6.3308999999999997</v>
      </c>
      <c r="M11" s="106">
        <f t="shared" si="0"/>
        <v>6.3188499999999994</v>
      </c>
    </row>
    <row r="12" spans="1:16" x14ac:dyDescent="0.25">
      <c r="C12" s="69"/>
      <c r="J12" s="33" t="s">
        <v>77</v>
      </c>
      <c r="K12" s="34">
        <v>7.8349000000000002</v>
      </c>
      <c r="L12" s="34">
        <v>7.8468999999999998</v>
      </c>
      <c r="M12" s="106">
        <f t="shared" si="0"/>
        <v>7.8408999999999995</v>
      </c>
    </row>
    <row r="13" spans="1:16" x14ac:dyDescent="0.25">
      <c r="C13" s="69"/>
      <c r="J13" s="33" t="s">
        <v>78</v>
      </c>
      <c r="K13" s="34">
        <v>10.373799999999999</v>
      </c>
      <c r="L13" s="34">
        <v>10.38</v>
      </c>
      <c r="M13" s="106">
        <f t="shared" si="0"/>
        <v>10.376899999999999</v>
      </c>
    </row>
    <row r="14" spans="1:16" x14ac:dyDescent="0.25">
      <c r="C14" s="69"/>
      <c r="J14" s="33" t="s">
        <v>79</v>
      </c>
      <c r="K14" s="34">
        <v>10.8954</v>
      </c>
      <c r="L14" s="34">
        <v>10.913500000000001</v>
      </c>
      <c r="M14" s="106">
        <f t="shared" si="0"/>
        <v>10.904450000000001</v>
      </c>
    </row>
    <row r="15" spans="1:16" x14ac:dyDescent="0.25">
      <c r="C15" s="69"/>
      <c r="J15" s="33"/>
      <c r="K15" s="34"/>
      <c r="L15" s="34"/>
    </row>
    <row r="16" spans="1:16" x14ac:dyDescent="0.25">
      <c r="C16" s="69"/>
      <c r="J16" s="33"/>
      <c r="K16" s="34"/>
      <c r="L16" s="34"/>
    </row>
    <row r="17" spans="3:13" x14ac:dyDescent="0.25">
      <c r="C17" s="160" t="s">
        <v>211</v>
      </c>
      <c r="J17" s="33"/>
      <c r="K17" s="34"/>
      <c r="L17" s="34"/>
    </row>
    <row r="18" spans="3:13" x14ac:dyDescent="0.25">
      <c r="C18" t="s">
        <v>771</v>
      </c>
      <c r="J18" s="33" t="s">
        <v>85</v>
      </c>
      <c r="K18" s="34"/>
      <c r="L18" s="34"/>
      <c r="M18" s="68" t="str">
        <f>"""C:\Program Files (x86)\AstroGrep\AstroGrep.exe"""</f>
        <v>"C:\Program Files (x86)\AstroGrep\AstroGrep.exe"</v>
      </c>
    </row>
    <row r="19" spans="3:13" x14ac:dyDescent="0.25">
      <c r="C19" t="s">
        <v>772</v>
      </c>
      <c r="J19" s="33" t="s">
        <v>86</v>
      </c>
      <c r="K19" s="34"/>
      <c r="L19" s="34"/>
      <c r="M19" s="68" t="s">
        <v>112</v>
      </c>
    </row>
    <row r="20" spans="3:13" x14ac:dyDescent="0.25">
      <c r="C20" t="s">
        <v>773</v>
      </c>
      <c r="J20" t="s">
        <v>87</v>
      </c>
      <c r="M20" s="68" t="s">
        <v>229</v>
      </c>
    </row>
    <row r="21" spans="3:13" x14ac:dyDescent="0.25">
      <c r="C21" t="s">
        <v>774</v>
      </c>
      <c r="J21" s="21" t="s">
        <v>90</v>
      </c>
      <c r="K21" s="21" t="s">
        <v>91</v>
      </c>
      <c r="M21" s="68" t="s">
        <v>185</v>
      </c>
    </row>
    <row r="22" spans="3:13" x14ac:dyDescent="0.25">
      <c r="C22" t="s">
        <v>775</v>
      </c>
      <c r="J22" s="21" t="s">
        <v>92</v>
      </c>
      <c r="K22" s="21" t="s">
        <v>93</v>
      </c>
      <c r="M22" s="68" t="s">
        <v>111</v>
      </c>
    </row>
    <row r="23" spans="3:13" x14ac:dyDescent="0.25">
      <c r="C23" t="s">
        <v>776</v>
      </c>
      <c r="J23" s="29" t="s">
        <v>95</v>
      </c>
      <c r="K23" s="21"/>
      <c r="M23" s="69">
        <v>-7</v>
      </c>
    </row>
    <row r="24" spans="3:13" x14ac:dyDescent="0.25">
      <c r="C24" t="s">
        <v>777</v>
      </c>
      <c r="J24" s="21" t="s">
        <v>108</v>
      </c>
      <c r="K24" s="21"/>
      <c r="M24" s="68" t="s">
        <v>110</v>
      </c>
    </row>
    <row r="25" spans="3:13" x14ac:dyDescent="0.25">
      <c r="C25" t="s">
        <v>778</v>
      </c>
      <c r="J25" t="s">
        <v>151</v>
      </c>
      <c r="M25" s="68" t="b">
        <v>1</v>
      </c>
    </row>
    <row r="26" spans="3:13" x14ac:dyDescent="0.25">
      <c r="C26" t="s">
        <v>779</v>
      </c>
      <c r="J26" t="s">
        <v>152</v>
      </c>
      <c r="M26" s="68" t="str">
        <f>"C:\Users\stu\Documents\GitHub\eaglep3-reporting\EC\"&amp;TEXT(A2,"yyyy-mm-dd")&amp;"-refined-times.txt"</f>
        <v>C:\Users\stu\Documents\GitHub\eaglep3-reporting\EC\2016-11-25-refined-times.txt</v>
      </c>
    </row>
    <row r="27" spans="3:13" x14ac:dyDescent="0.25">
      <c r="C27" t="s">
        <v>780</v>
      </c>
      <c r="J27" t="s">
        <v>192</v>
      </c>
      <c r="M27" s="68" t="str">
        <f>"C:\Users\stu\Documents\GitHub\eaglep3-reporting\EC\"&amp;TEXT(A2,"YYYY-MM-DD")&amp;"-Enforcements.txt"</f>
        <v>C:\Users\stu\Documents\GitHub\eaglep3-reporting\EC\2016-11-25-Enforcements.txt</v>
      </c>
    </row>
    <row r="28" spans="3:13" x14ac:dyDescent="0.25">
      <c r="C28" t="s">
        <v>781</v>
      </c>
      <c r="J28" t="s">
        <v>193</v>
      </c>
      <c r="M28" s="106" t="str">
        <f>"C:\Users\stu\Documents\GitHub\eaglep3-reporting\EC\"&amp;TEXT(A2,"YYYY-MM-DD")&amp;"-Runs.txt"</f>
        <v>C:\Users\stu\Documents\GitHub\eaglep3-reporting\EC\2016-11-25-Runs.txt</v>
      </c>
    </row>
    <row r="29" spans="3:13" x14ac:dyDescent="0.25">
      <c r="C29" t="s">
        <v>782</v>
      </c>
      <c r="J29" t="s">
        <v>194</v>
      </c>
      <c r="M29" s="106" t="str">
        <f>"C:\Users\stu\Documents\GitHub\eaglep3-reporting\EC\"&amp;TEXT(A2,"YYYY-MM-DD")&amp;"-Trips.txt"</f>
        <v>C:\Users\stu\Documents\GitHub\eaglep3-reporting\EC\2016-11-25-Trips.txt</v>
      </c>
    </row>
    <row r="30" spans="3:13" x14ac:dyDescent="0.25">
      <c r="C30" t="s">
        <v>783</v>
      </c>
      <c r="J30" t="s">
        <v>195</v>
      </c>
      <c r="M30" s="106" t="str">
        <f>"C:\Users\stu\Documents\GitHub\eaglep3-reporting\EC\"&amp;TEXT(A2,"YYYY-MM-DD")&amp;"-Weather.txt"</f>
        <v>C:\Users\stu\Documents\GitHub\eaglep3-reporting\EC\2016-11-25-Weather.txt</v>
      </c>
    </row>
    <row r="31" spans="3:13" x14ac:dyDescent="0.25">
      <c r="C31" t="s">
        <v>784</v>
      </c>
    </row>
    <row r="32" spans="3:13" x14ac:dyDescent="0.25">
      <c r="C32" t="s">
        <v>785</v>
      </c>
    </row>
    <row r="33" spans="3:3" x14ac:dyDescent="0.25">
      <c r="C33" t="s">
        <v>786</v>
      </c>
    </row>
    <row r="34" spans="3:3" x14ac:dyDescent="0.25">
      <c r="C34" t="s">
        <v>787</v>
      </c>
    </row>
    <row r="35" spans="3:3" x14ac:dyDescent="0.25">
      <c r="C35" t="s">
        <v>788</v>
      </c>
    </row>
    <row r="36" spans="3:3" x14ac:dyDescent="0.25">
      <c r="C36" t="s">
        <v>789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13" bestFit="1" customWidth="1"/>
    <col min="2" max="7" width="9.140625" style="113"/>
    <col min="8" max="8" width="17.7109375" style="113" bestFit="1" customWidth="1"/>
    <col min="9" max="9" width="9.140625" style="115"/>
    <col min="10" max="16384" width="9.140625" style="113"/>
  </cols>
  <sheetData>
    <row r="1" spans="1:11" x14ac:dyDescent="0.25">
      <c r="A1" s="112" t="s">
        <v>122</v>
      </c>
      <c r="B1" s="112" t="s">
        <v>123</v>
      </c>
      <c r="C1" s="113" t="s">
        <v>124</v>
      </c>
      <c r="H1" t="s">
        <v>118</v>
      </c>
      <c r="I1" s="114" t="s">
        <v>120</v>
      </c>
      <c r="J1"/>
    </row>
    <row r="2" spans="1:11" x14ac:dyDescent="0.25">
      <c r="A2" s="113" t="s">
        <v>125</v>
      </c>
      <c r="B2" s="113" t="s">
        <v>126</v>
      </c>
      <c r="C2" s="113" t="s">
        <v>127</v>
      </c>
      <c r="H2" t="s">
        <v>119</v>
      </c>
      <c r="I2" s="106" t="s">
        <v>121</v>
      </c>
      <c r="J2"/>
    </row>
    <row r="3" spans="1:11" x14ac:dyDescent="0.25">
      <c r="A3" s="113" t="s">
        <v>128</v>
      </c>
      <c r="B3" s="113" t="s">
        <v>129</v>
      </c>
      <c r="C3" s="113" t="s">
        <v>130</v>
      </c>
      <c r="H3" t="s">
        <v>144</v>
      </c>
      <c r="I3" s="106">
        <v>1</v>
      </c>
      <c r="J3"/>
      <c r="K3" s="68"/>
    </row>
    <row r="4" spans="1:11" x14ac:dyDescent="0.25">
      <c r="A4" s="113" t="s">
        <v>131</v>
      </c>
      <c r="C4" s="113" t="s">
        <v>132</v>
      </c>
      <c r="H4" t="s">
        <v>145</v>
      </c>
      <c r="I4" s="106">
        <v>2</v>
      </c>
      <c r="J4"/>
      <c r="K4" s="68"/>
    </row>
    <row r="5" spans="1:11" x14ac:dyDescent="0.25">
      <c r="A5" s="113" t="s">
        <v>133</v>
      </c>
      <c r="C5" s="113" t="s">
        <v>134</v>
      </c>
      <c r="H5" t="s">
        <v>146</v>
      </c>
      <c r="I5" s="106">
        <v>23</v>
      </c>
      <c r="J5"/>
      <c r="K5" s="68"/>
    </row>
    <row r="6" spans="1:11" x14ac:dyDescent="0.25">
      <c r="A6" s="113" t="s">
        <v>135</v>
      </c>
      <c r="C6" s="113" t="s">
        <v>136</v>
      </c>
      <c r="H6" s="116" t="s">
        <v>147</v>
      </c>
      <c r="I6" s="117" t="s">
        <v>126</v>
      </c>
    </row>
    <row r="7" spans="1:11" x14ac:dyDescent="0.25">
      <c r="A7" s="113" t="s">
        <v>137</v>
      </c>
      <c r="C7" s="113" t="s">
        <v>138</v>
      </c>
    </row>
    <row r="8" spans="1:11" x14ac:dyDescent="0.25">
      <c r="C8" s="113" t="s">
        <v>139</v>
      </c>
    </row>
    <row r="9" spans="1:11" x14ac:dyDescent="0.25">
      <c r="C9" s="116" t="s">
        <v>177</v>
      </c>
    </row>
    <row r="10" spans="1:11" x14ac:dyDescent="0.25">
      <c r="C10" s="113" t="s">
        <v>140</v>
      </c>
    </row>
    <row r="11" spans="1:11" x14ac:dyDescent="0.25">
      <c r="C11" s="113" t="s">
        <v>141</v>
      </c>
    </row>
    <row r="12" spans="1:11" x14ac:dyDescent="0.25">
      <c r="C12" s="113" t="s">
        <v>142</v>
      </c>
    </row>
    <row r="13" spans="1:11" x14ac:dyDescent="0.25">
      <c r="C13" s="113" t="s">
        <v>143</v>
      </c>
    </row>
    <row r="14" spans="1:11" x14ac:dyDescent="0.25">
      <c r="C14" s="116" t="s">
        <v>178</v>
      </c>
    </row>
    <row r="15" spans="1:11" x14ac:dyDescent="0.25">
      <c r="C15" s="116" t="s">
        <v>221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804</v>
      </c>
      <c r="B1" t="str">
        <f t="shared" ref="B1:B64" si="0">MID(A1,6,23)</f>
        <v>2016/11/25 11:41:48.961</v>
      </c>
      <c r="C1" t="e">
        <f>ABS(B1-#REF!)</f>
        <v>#REF!</v>
      </c>
    </row>
    <row r="2" spans="1:3" x14ac:dyDescent="0.25">
      <c r="A2" t="s">
        <v>805</v>
      </c>
      <c r="B2" s="21" t="str">
        <f t="shared" si="0"/>
        <v>2016/11/25 11:41:49.078</v>
      </c>
      <c r="C2">
        <f>ABS(B2-B1)</f>
        <v>1.3541721273213625E-6</v>
      </c>
    </row>
    <row r="3" spans="1:3" x14ac:dyDescent="0.25">
      <c r="A3" t="s">
        <v>806</v>
      </c>
      <c r="B3" s="21" t="str">
        <f t="shared" si="0"/>
        <v>2016/11/25 11:41:49.844</v>
      </c>
      <c r="C3" s="21">
        <f t="shared" ref="C3:C66" si="1">ABS(B3-B2)</f>
        <v>8.8657398009672761E-6</v>
      </c>
    </row>
    <row r="4" spans="1:3" x14ac:dyDescent="0.25">
      <c r="A4" t="s">
        <v>807</v>
      </c>
      <c r="B4" s="21" t="str">
        <f t="shared" si="0"/>
        <v>2016/11/25 12:04:15.290</v>
      </c>
      <c r="C4" s="21">
        <f t="shared" si="1"/>
        <v>1.5572291660646442E-2</v>
      </c>
    </row>
    <row r="5" spans="1:3" x14ac:dyDescent="0.25">
      <c r="A5" t="s">
        <v>808</v>
      </c>
      <c r="B5" s="21" t="str">
        <f t="shared" si="0"/>
        <v>2016/11/25 12:04:15.723</v>
      </c>
      <c r="C5" s="21">
        <f t="shared" si="1"/>
        <v>5.0115777412429452E-6</v>
      </c>
    </row>
    <row r="6" spans="1:3" x14ac:dyDescent="0.25">
      <c r="A6" t="s">
        <v>809</v>
      </c>
      <c r="B6" s="21" t="str">
        <f t="shared" si="0"/>
        <v>2016/11/25 12:04:16.354</v>
      </c>
      <c r="C6" s="21">
        <f t="shared" si="1"/>
        <v>7.3032424552366138E-6</v>
      </c>
    </row>
    <row r="7" spans="1:3" x14ac:dyDescent="0.25">
      <c r="A7" t="s">
        <v>810</v>
      </c>
      <c r="B7" s="21" t="str">
        <f t="shared" si="0"/>
        <v>2016/11/25 12:18:44.090</v>
      </c>
      <c r="C7" s="21">
        <f t="shared" si="1"/>
        <v>1.0043240741651971E-2</v>
      </c>
    </row>
    <row r="8" spans="1:3" x14ac:dyDescent="0.25">
      <c r="A8" t="s">
        <v>811</v>
      </c>
      <c r="B8" s="21" t="str">
        <f t="shared" si="0"/>
        <v>2016/11/25 12:18:44.430</v>
      </c>
      <c r="C8" s="21">
        <f t="shared" si="1"/>
        <v>3.9351798477582633E-6</v>
      </c>
    </row>
    <row r="9" spans="1:3" x14ac:dyDescent="0.25">
      <c r="A9" t="s">
        <v>812</v>
      </c>
      <c r="B9" s="21" t="str">
        <f t="shared" si="0"/>
        <v>2016/11/25 12:18:44.548</v>
      </c>
      <c r="C9" s="21">
        <f t="shared" si="1"/>
        <v>1.3657408999279141E-6</v>
      </c>
    </row>
    <row r="10" spans="1:3" x14ac:dyDescent="0.25">
      <c r="A10" t="s">
        <v>813</v>
      </c>
      <c r="B10" s="21" t="str">
        <f t="shared" si="0"/>
        <v>2016/11/25 12:28:24.417</v>
      </c>
      <c r="C10" s="21">
        <f t="shared" si="1"/>
        <v>6.7114467601641081E-3</v>
      </c>
    </row>
    <row r="11" spans="1:3" x14ac:dyDescent="0.25">
      <c r="A11" t="s">
        <v>814</v>
      </c>
      <c r="B11" s="21" t="str">
        <f t="shared" si="0"/>
        <v>2016/11/25 12:28:24.527</v>
      </c>
      <c r="C11" s="21">
        <f t="shared" si="1"/>
        <v>1.2731470633298159E-6</v>
      </c>
    </row>
    <row r="12" spans="1:3" x14ac:dyDescent="0.25">
      <c r="A12" t="s">
        <v>815</v>
      </c>
      <c r="B12" s="21" t="str">
        <f t="shared" si="0"/>
        <v>2016/11/25 12:28:25.078</v>
      </c>
      <c r="C12" s="21">
        <f t="shared" si="1"/>
        <v>6.3773186411708593E-6</v>
      </c>
    </row>
    <row r="13" spans="1:3" x14ac:dyDescent="0.25">
      <c r="A13" t="s">
        <v>816</v>
      </c>
      <c r="B13" s="21" t="str">
        <f t="shared" si="0"/>
        <v>2016/11/25 13:31:33.733</v>
      </c>
      <c r="C13" s="21">
        <f t="shared" si="1"/>
        <v>4.3850173613463994E-2</v>
      </c>
    </row>
    <row r="14" spans="1:3" x14ac:dyDescent="0.25">
      <c r="A14" t="s">
        <v>817</v>
      </c>
      <c r="B14" s="21" t="str">
        <f t="shared" si="0"/>
        <v>2016/11/25 13:31:34.286</v>
      </c>
      <c r="C14" s="21">
        <f t="shared" si="1"/>
        <v>6.4004561863839626E-6</v>
      </c>
    </row>
    <row r="15" spans="1:3" x14ac:dyDescent="0.25">
      <c r="A15" t="s">
        <v>818</v>
      </c>
      <c r="B15" s="21" t="str">
        <f t="shared" si="0"/>
        <v>2016/11/25 13:31:34.376</v>
      </c>
      <c r="C15" s="21">
        <f t="shared" si="1"/>
        <v>1.0416697477921844E-6</v>
      </c>
    </row>
    <row r="16" spans="1:3" x14ac:dyDescent="0.25">
      <c r="A16" t="s">
        <v>819</v>
      </c>
      <c r="B16" s="21" t="str">
        <f t="shared" si="0"/>
        <v>2016/11/25 14:01:48.118</v>
      </c>
      <c r="C16" s="21">
        <f t="shared" si="1"/>
        <v>2.0992384255805518E-2</v>
      </c>
    </row>
    <row r="17" spans="1:3" x14ac:dyDescent="0.25">
      <c r="A17" t="s">
        <v>820</v>
      </c>
      <c r="B17" s="21" t="str">
        <f t="shared" si="0"/>
        <v>2016/11/25 14:01:48.296</v>
      </c>
      <c r="C17" s="21">
        <f t="shared" si="1"/>
        <v>2.060187398456037E-6</v>
      </c>
    </row>
    <row r="18" spans="1:3" x14ac:dyDescent="0.25">
      <c r="A18" t="s">
        <v>821</v>
      </c>
      <c r="B18" s="21" t="str">
        <f t="shared" si="0"/>
        <v>2016/11/25 14:02:09.868</v>
      </c>
      <c r="C18" s="21">
        <f t="shared" si="1"/>
        <v>2.4967592617031187E-4</v>
      </c>
    </row>
    <row r="19" spans="1:3" x14ac:dyDescent="0.25">
      <c r="A19" t="s">
        <v>822</v>
      </c>
      <c r="B19" s="21" t="str">
        <f t="shared" si="0"/>
        <v>2016/11/25 14:02:10.074</v>
      </c>
      <c r="C19" s="21">
        <f t="shared" si="1"/>
        <v>2.3842585505917668E-6</v>
      </c>
    </row>
    <row r="20" spans="1:3" x14ac:dyDescent="0.25">
      <c r="A20" t="s">
        <v>823</v>
      </c>
      <c r="B20" s="21" t="str">
        <f t="shared" si="0"/>
        <v>2016/11/25 14:02:47.341</v>
      </c>
      <c r="C20" s="21">
        <f t="shared" si="1"/>
        <v>4.3133102008141577E-4</v>
      </c>
    </row>
    <row r="21" spans="1:3" x14ac:dyDescent="0.25">
      <c r="A21" t="s">
        <v>824</v>
      </c>
      <c r="B21" s="21" t="str">
        <f t="shared" si="0"/>
        <v>2016/11/25 14:02:47.716</v>
      </c>
      <c r="C21" s="21">
        <f t="shared" si="1"/>
        <v>4.3402760638855398E-6</v>
      </c>
    </row>
    <row r="22" spans="1:3" x14ac:dyDescent="0.25">
      <c r="A22" t="s">
        <v>825</v>
      </c>
      <c r="B22" s="21" t="str">
        <f t="shared" si="0"/>
        <v>2016/11/25 14:02:48.283</v>
      </c>
      <c r="C22" s="21">
        <f t="shared" si="1"/>
        <v>6.5624990384094417E-6</v>
      </c>
    </row>
    <row r="23" spans="1:3" x14ac:dyDescent="0.25">
      <c r="A23" t="s">
        <v>826</v>
      </c>
      <c r="B23" s="21" t="str">
        <f t="shared" si="0"/>
        <v>2016/11/25 14:03:40.793</v>
      </c>
      <c r="C23" s="21">
        <f t="shared" si="1"/>
        <v>6.0775463498430327E-4</v>
      </c>
    </row>
    <row r="24" spans="1:3" x14ac:dyDescent="0.25">
      <c r="A24" t="s">
        <v>827</v>
      </c>
      <c r="B24" s="21" t="str">
        <f t="shared" si="0"/>
        <v>2016/11/25 14:03:41.542</v>
      </c>
      <c r="C24" s="21">
        <f t="shared" si="1"/>
        <v>8.6689760792069137E-6</v>
      </c>
    </row>
    <row r="25" spans="1:3" x14ac:dyDescent="0.25">
      <c r="A25" t="s">
        <v>828</v>
      </c>
      <c r="B25" s="21" t="str">
        <f t="shared" si="0"/>
        <v>2016/11/25 14:03:42.224</v>
      </c>
      <c r="C25" s="21">
        <f t="shared" si="1"/>
        <v>7.8935190686024725E-6</v>
      </c>
    </row>
    <row r="26" spans="1:3" x14ac:dyDescent="0.25">
      <c r="A26" t="s">
        <v>829</v>
      </c>
      <c r="B26" s="21" t="str">
        <f t="shared" si="0"/>
        <v>2016/11/25 14:09:40.598</v>
      </c>
      <c r="C26" s="21">
        <f t="shared" si="1"/>
        <v>4.1478472267044708E-3</v>
      </c>
    </row>
    <row r="27" spans="1:3" x14ac:dyDescent="0.25">
      <c r="A27" t="s">
        <v>830</v>
      </c>
      <c r="B27" s="21" t="str">
        <f t="shared" si="0"/>
        <v>2016/11/25 14:09:40.616</v>
      </c>
      <c r="C27" s="21">
        <f t="shared" si="1"/>
        <v>2.0833249436691403E-7</v>
      </c>
    </row>
    <row r="28" spans="1:3" x14ac:dyDescent="0.25">
      <c r="A28" t="s">
        <v>831</v>
      </c>
      <c r="B28" s="21" t="str">
        <f t="shared" si="0"/>
        <v>2016/11/25 14:09:41.167</v>
      </c>
      <c r="C28" s="21">
        <f t="shared" si="1"/>
        <v>6.3773113652132452E-6</v>
      </c>
    </row>
    <row r="29" spans="1:3" x14ac:dyDescent="0.25">
      <c r="A29" t="s">
        <v>832</v>
      </c>
      <c r="B29" s="21" t="str">
        <f t="shared" si="0"/>
        <v>2016/11/25 14:09:41.185</v>
      </c>
      <c r="C29" s="21">
        <f t="shared" si="1"/>
        <v>2.0833249436691403E-7</v>
      </c>
    </row>
    <row r="30" spans="1:3" x14ac:dyDescent="0.25">
      <c r="A30" t="s">
        <v>833</v>
      </c>
      <c r="B30" s="21" t="str">
        <f t="shared" si="0"/>
        <v>2016/11/25 14:09:41.501</v>
      </c>
      <c r="C30" s="21">
        <f t="shared" si="1"/>
        <v>3.6574128898791969E-6</v>
      </c>
    </row>
    <row r="31" spans="1:3" x14ac:dyDescent="0.25">
      <c r="A31" t="s">
        <v>834</v>
      </c>
      <c r="B31" s="21" t="str">
        <f t="shared" si="0"/>
        <v>2016/11/25 14:09:41.519</v>
      </c>
      <c r="C31" s="21">
        <f t="shared" si="1"/>
        <v>2.0833249436691403E-7</v>
      </c>
    </row>
    <row r="32" spans="1:3" x14ac:dyDescent="0.25">
      <c r="A32" t="s">
        <v>835</v>
      </c>
      <c r="B32" s="21" t="str">
        <f t="shared" si="0"/>
        <v>2016/11/25 14:11:29.549</v>
      </c>
      <c r="C32" s="21">
        <f t="shared" si="1"/>
        <v>1.2503472171374597E-3</v>
      </c>
    </row>
    <row r="33" spans="1:3" x14ac:dyDescent="0.25">
      <c r="A33" t="s">
        <v>836</v>
      </c>
      <c r="B33" s="21" t="str">
        <f t="shared" si="0"/>
        <v>2016/11/25 14:11:30.212</v>
      </c>
      <c r="C33" s="21">
        <f t="shared" si="1"/>
        <v>7.6736178016290069E-6</v>
      </c>
    </row>
    <row r="34" spans="1:3" x14ac:dyDescent="0.25">
      <c r="A34" t="s">
        <v>837</v>
      </c>
      <c r="B34" s="21" t="str">
        <f t="shared" si="0"/>
        <v>2016/11/25 14:11:30.793</v>
      </c>
      <c r="C34" s="21">
        <f t="shared" si="1"/>
        <v>6.7245346144773066E-6</v>
      </c>
    </row>
    <row r="35" spans="1:3" x14ac:dyDescent="0.25">
      <c r="A35" t="s">
        <v>838</v>
      </c>
      <c r="B35" s="21" t="str">
        <f t="shared" si="0"/>
        <v>2016/11/25 14:36:07.406</v>
      </c>
      <c r="C35" s="21">
        <f t="shared" si="1"/>
        <v>1.7090428242227063E-2</v>
      </c>
    </row>
    <row r="36" spans="1:3" x14ac:dyDescent="0.25">
      <c r="A36" t="s">
        <v>839</v>
      </c>
      <c r="B36" s="21" t="str">
        <f t="shared" si="0"/>
        <v>2016/11/25 14:36:07.478</v>
      </c>
      <c r="C36" s="21">
        <f t="shared" si="1"/>
        <v>8.3332997746765614E-7</v>
      </c>
    </row>
    <row r="37" spans="1:3" x14ac:dyDescent="0.25">
      <c r="A37" t="s">
        <v>840</v>
      </c>
      <c r="B37" s="21" t="str">
        <f t="shared" si="0"/>
        <v>2016/11/25 15:08:59.069</v>
      </c>
      <c r="C37" s="21">
        <f t="shared" si="1"/>
        <v>2.2819340279966127E-2</v>
      </c>
    </row>
    <row r="38" spans="1:3" x14ac:dyDescent="0.25">
      <c r="A38" t="s">
        <v>841</v>
      </c>
      <c r="B38" s="21" t="str">
        <f t="shared" si="0"/>
        <v>2016/11/25 15:08:59.207</v>
      </c>
      <c r="C38" s="21">
        <f t="shared" si="1"/>
        <v>1.5972182154655457E-6</v>
      </c>
    </row>
    <row r="39" spans="1:3" x14ac:dyDescent="0.25">
      <c r="A39" t="s">
        <v>842</v>
      </c>
      <c r="B39" s="21" t="str">
        <f t="shared" si="0"/>
        <v>2016/11/25 15:18:48.424</v>
      </c>
      <c r="C39" s="21">
        <f t="shared" si="1"/>
        <v>6.8196412030374631E-3</v>
      </c>
    </row>
    <row r="40" spans="1:3" x14ac:dyDescent="0.25">
      <c r="A40" t="s">
        <v>843</v>
      </c>
      <c r="B40" s="21" t="str">
        <f t="shared" si="0"/>
        <v>2016/11/25 15:18:48.996</v>
      </c>
      <c r="C40" s="21">
        <f t="shared" si="1"/>
        <v>6.6203720052726567E-6</v>
      </c>
    </row>
    <row r="41" spans="1:3" x14ac:dyDescent="0.25">
      <c r="A41" t="s">
        <v>844</v>
      </c>
      <c r="B41" s="21" t="str">
        <f t="shared" si="0"/>
        <v>2016/11/25 15:18:49.539</v>
      </c>
      <c r="C41" s="21">
        <f t="shared" si="1"/>
        <v>6.2847248045727611E-6</v>
      </c>
    </row>
    <row r="42" spans="1:3" x14ac:dyDescent="0.25">
      <c r="A42" t="s">
        <v>845</v>
      </c>
      <c r="B42" s="21" t="str">
        <f t="shared" si="0"/>
        <v>2016/11/25 15:20:11.479</v>
      </c>
      <c r="C42" s="21">
        <f t="shared" si="1"/>
        <v>9.4837963115423918E-4</v>
      </c>
    </row>
    <row r="43" spans="1:3" x14ac:dyDescent="0.25">
      <c r="A43" t="s">
        <v>846</v>
      </c>
      <c r="B43" s="21" t="str">
        <f t="shared" si="0"/>
        <v>2016/11/25 15:20:11.894</v>
      </c>
      <c r="C43" s="21">
        <f t="shared" si="1"/>
        <v>4.803237970918417E-6</v>
      </c>
    </row>
    <row r="44" spans="1:3" x14ac:dyDescent="0.25">
      <c r="A44" t="s">
        <v>847</v>
      </c>
      <c r="B44" s="21" t="str">
        <f t="shared" si="0"/>
        <v>2016/11/25 15:20:12.374</v>
      </c>
      <c r="C44" s="21">
        <f t="shared" si="1"/>
        <v>5.5555574363097548E-6</v>
      </c>
    </row>
    <row r="45" spans="1:3" x14ac:dyDescent="0.25">
      <c r="A45" t="s">
        <v>848</v>
      </c>
      <c r="B45" s="21" t="str">
        <f t="shared" si="0"/>
        <v>2016/11/25 15:21:38.420</v>
      </c>
      <c r="C45" s="21">
        <f t="shared" si="1"/>
        <v>9.9590277386596426E-4</v>
      </c>
    </row>
    <row r="46" spans="1:3" x14ac:dyDescent="0.25">
      <c r="A46" t="s">
        <v>849</v>
      </c>
      <c r="B46" s="21" t="str">
        <f t="shared" si="0"/>
        <v>2016/11/25 15:21:38.542</v>
      </c>
      <c r="C46" s="21">
        <f t="shared" si="1"/>
        <v>1.4120378182269633E-6</v>
      </c>
    </row>
    <row r="47" spans="1:3" x14ac:dyDescent="0.25">
      <c r="A47" t="s">
        <v>850</v>
      </c>
      <c r="B47" s="21" t="str">
        <f t="shared" si="0"/>
        <v>2016/11/25 15:21:38.864</v>
      </c>
      <c r="C47" s="21">
        <f t="shared" si="1"/>
        <v>3.7268546293489635E-6</v>
      </c>
    </row>
    <row r="48" spans="1:3" x14ac:dyDescent="0.25">
      <c r="A48" t="s">
        <v>851</v>
      </c>
      <c r="B48" s="21" t="str">
        <f t="shared" si="0"/>
        <v>2016/11/25 16:10:37.832</v>
      </c>
      <c r="C48" s="21">
        <f t="shared" si="1"/>
        <v>3.4015833334706258E-2</v>
      </c>
    </row>
    <row r="49" spans="1:3" x14ac:dyDescent="0.25">
      <c r="A49" t="s">
        <v>852</v>
      </c>
      <c r="B49" s="21" t="str">
        <f t="shared" si="0"/>
        <v>2016/11/25 16:10:38.066</v>
      </c>
      <c r="C49" s="21">
        <f t="shared" si="1"/>
        <v>2.7083297027274966E-6</v>
      </c>
    </row>
    <row r="50" spans="1:3" x14ac:dyDescent="0.25">
      <c r="A50" t="s">
        <v>853</v>
      </c>
      <c r="B50" s="21" t="str">
        <f t="shared" si="0"/>
        <v>2016/11/25 16:32:19.510</v>
      </c>
      <c r="C50" s="21">
        <f t="shared" si="1"/>
        <v>1.5063009261211846E-2</v>
      </c>
    </row>
    <row r="51" spans="1:3" x14ac:dyDescent="0.25">
      <c r="A51" t="s">
        <v>854</v>
      </c>
      <c r="B51" s="21" t="str">
        <f t="shared" si="0"/>
        <v>2016/11/25 16:32:19.816</v>
      </c>
      <c r="C51" s="21">
        <f t="shared" si="1"/>
        <v>3.5416669561527669E-6</v>
      </c>
    </row>
    <row r="52" spans="1:3" x14ac:dyDescent="0.25">
      <c r="A52" t="s">
        <v>855</v>
      </c>
      <c r="B52" s="21" t="str">
        <f t="shared" si="0"/>
        <v>2016/11/25 16:49:17.673</v>
      </c>
      <c r="C52" s="21">
        <f t="shared" si="1"/>
        <v>1.1780752312915865E-2</v>
      </c>
    </row>
    <row r="53" spans="1:3" x14ac:dyDescent="0.25">
      <c r="A53" t="s">
        <v>856</v>
      </c>
      <c r="B53" s="21" t="str">
        <f t="shared" si="0"/>
        <v>2016/11/25 16:49:17.874</v>
      </c>
      <c r="C53" s="21">
        <f t="shared" si="1"/>
        <v>2.326392859686166E-6</v>
      </c>
    </row>
    <row r="54" spans="1:3" x14ac:dyDescent="0.25">
      <c r="A54" t="s">
        <v>857</v>
      </c>
      <c r="B54" s="21" t="str">
        <f t="shared" si="0"/>
        <v>2016/11/25 16:49:18.091</v>
      </c>
      <c r="C54" s="21">
        <f t="shared" si="1"/>
        <v>2.5115732569247484E-6</v>
      </c>
    </row>
    <row r="55" spans="1:3" x14ac:dyDescent="0.25">
      <c r="A55" t="s">
        <v>858</v>
      </c>
      <c r="B55" s="21" t="str">
        <f t="shared" si="0"/>
        <v>2016/11/25 17:12:44.506</v>
      </c>
      <c r="C55" s="21">
        <f t="shared" si="1"/>
        <v>1.6277951384836342E-2</v>
      </c>
    </row>
    <row r="56" spans="1:3" x14ac:dyDescent="0.25">
      <c r="A56" t="s">
        <v>859</v>
      </c>
      <c r="B56" s="21" t="str">
        <f t="shared" si="0"/>
        <v>2016/11/25 17:12:44.810</v>
      </c>
      <c r="C56" s="21">
        <f t="shared" si="1"/>
        <v>3.5185221349820495E-6</v>
      </c>
    </row>
    <row r="57" spans="1:3" x14ac:dyDescent="0.25">
      <c r="A57" t="s">
        <v>860</v>
      </c>
      <c r="B57" s="21" t="str">
        <f t="shared" si="0"/>
        <v>2016/11/25 17:20:17.284</v>
      </c>
      <c r="C57" s="21">
        <f t="shared" si="1"/>
        <v>5.2369675904628821E-3</v>
      </c>
    </row>
    <row r="58" spans="1:3" x14ac:dyDescent="0.25">
      <c r="A58" t="s">
        <v>861</v>
      </c>
      <c r="B58" s="21" t="str">
        <f t="shared" si="0"/>
        <v>2016/11/25 17:20:17.570</v>
      </c>
      <c r="C58" s="21">
        <f t="shared" si="1"/>
        <v>3.3101823646575212E-6</v>
      </c>
    </row>
    <row r="59" spans="1:3" x14ac:dyDescent="0.25">
      <c r="A59" t="s">
        <v>862</v>
      </c>
      <c r="B59" s="21" t="str">
        <f t="shared" si="0"/>
        <v>2016/11/25 17:20:17.700</v>
      </c>
      <c r="C59" s="21">
        <f t="shared" si="1"/>
        <v>1.5046316548250616E-6</v>
      </c>
    </row>
    <row r="60" spans="1:3" x14ac:dyDescent="0.25">
      <c r="A60" t="s">
        <v>863</v>
      </c>
      <c r="B60" s="21" t="str">
        <f t="shared" si="0"/>
        <v>2016/11/25 17:28:08.302</v>
      </c>
      <c r="C60" s="21">
        <f t="shared" si="1"/>
        <v>5.4467824083985761E-3</v>
      </c>
    </row>
    <row r="61" spans="1:3" x14ac:dyDescent="0.25">
      <c r="A61" t="s">
        <v>864</v>
      </c>
      <c r="B61" s="21" t="str">
        <f t="shared" si="0"/>
        <v>2016/11/25 17:28:08.403</v>
      </c>
      <c r="C61" s="21">
        <f t="shared" si="1"/>
        <v>1.1689844541251659E-6</v>
      </c>
    </row>
    <row r="62" spans="1:3" x14ac:dyDescent="0.25">
      <c r="A62" t="s">
        <v>865</v>
      </c>
      <c r="B62" s="21" t="str">
        <f t="shared" si="0"/>
        <v>2016/11/25 17:28:08.747</v>
      </c>
      <c r="C62" s="21">
        <f t="shared" si="1"/>
        <v>3.9814767660573125E-6</v>
      </c>
    </row>
    <row r="63" spans="1:3" x14ac:dyDescent="0.25">
      <c r="A63" t="s">
        <v>866</v>
      </c>
      <c r="B63" s="21" t="str">
        <f t="shared" si="0"/>
        <v>2016/11/25 17:30:48.583</v>
      </c>
      <c r="C63" s="21">
        <f t="shared" si="1"/>
        <v>1.8499537036404945E-3</v>
      </c>
    </row>
    <row r="64" spans="1:3" x14ac:dyDescent="0.25">
      <c r="A64" t="s">
        <v>867</v>
      </c>
      <c r="B64" s="21" t="str">
        <f t="shared" si="0"/>
        <v>2016/11/25 17:30:48.846</v>
      </c>
      <c r="C64" s="21">
        <f t="shared" si="1"/>
        <v>3.0439841793850064E-6</v>
      </c>
    </row>
    <row r="65" spans="1:3" x14ac:dyDescent="0.25">
      <c r="A65" t="s">
        <v>868</v>
      </c>
      <c r="B65" s="21" t="str">
        <f t="shared" ref="B65:B75" si="2">MID(A65,6,23)</f>
        <v>2016/11/25 17:30:49.081</v>
      </c>
      <c r="C65" s="21">
        <f t="shared" si="1"/>
        <v>2.7199057512916625E-6</v>
      </c>
    </row>
    <row r="66" spans="1:3" x14ac:dyDescent="0.25">
      <c r="A66" t="s">
        <v>869</v>
      </c>
      <c r="B66" s="21" t="str">
        <f t="shared" si="2"/>
        <v>2016/11/25 17:44:18.928</v>
      </c>
      <c r="C66" s="21">
        <f t="shared" si="1"/>
        <v>9.3732291643391363E-3</v>
      </c>
    </row>
    <row r="67" spans="1:3" x14ac:dyDescent="0.25">
      <c r="A67" t="s">
        <v>870</v>
      </c>
      <c r="B67" s="21" t="str">
        <f t="shared" si="2"/>
        <v>2016/11/25 17:44:19.695</v>
      </c>
      <c r="C67" s="21">
        <f t="shared" ref="C67:C75" si="3">ABS(B67-B66)</f>
        <v>8.8773158495314419E-6</v>
      </c>
    </row>
    <row r="68" spans="1:3" x14ac:dyDescent="0.25">
      <c r="A68" t="s">
        <v>871</v>
      </c>
      <c r="B68" s="21" t="str">
        <f t="shared" si="2"/>
        <v>2016/11/25 17:44:20.102</v>
      </c>
      <c r="C68" s="21">
        <f t="shared" si="3"/>
        <v>4.7106514102779329E-6</v>
      </c>
    </row>
    <row r="69" spans="1:3" x14ac:dyDescent="0.25">
      <c r="A69" t="s">
        <v>872</v>
      </c>
      <c r="B69" s="21" t="str">
        <f t="shared" si="2"/>
        <v>2016/11/25 17:54:51.856</v>
      </c>
      <c r="C69" s="21">
        <f t="shared" si="3"/>
        <v>7.3119675944326445E-3</v>
      </c>
    </row>
    <row r="70" spans="1:3" x14ac:dyDescent="0.25">
      <c r="A70" t="s">
        <v>873</v>
      </c>
      <c r="B70" s="21" t="str">
        <f t="shared" si="2"/>
        <v>2016/11/25 17:54:52.065</v>
      </c>
      <c r="C70" s="21">
        <f t="shared" si="3"/>
        <v>2.4189794203266501E-6</v>
      </c>
    </row>
    <row r="71" spans="1:3" x14ac:dyDescent="0.25">
      <c r="A71" t="s">
        <v>874</v>
      </c>
      <c r="B71" s="21" t="str">
        <f t="shared" si="2"/>
        <v>2016/11/25 17:59:11.799</v>
      </c>
      <c r="C71" s="21">
        <f t="shared" si="3"/>
        <v>3.0061805518926121E-3</v>
      </c>
    </row>
    <row r="72" spans="1:3" x14ac:dyDescent="0.25">
      <c r="A72" t="s">
        <v>875</v>
      </c>
      <c r="B72" s="21" t="str">
        <f t="shared" si="2"/>
        <v>2016/11/25 17:59:11.940</v>
      </c>
      <c r="C72" s="21">
        <f t="shared" si="3"/>
        <v>1.6319463611580431E-6</v>
      </c>
    </row>
    <row r="73" spans="1:3" x14ac:dyDescent="0.25">
      <c r="A73" t="s">
        <v>876</v>
      </c>
      <c r="B73" s="21" t="str">
        <f t="shared" si="2"/>
        <v>2016/11/25 17:59:12.545</v>
      </c>
      <c r="C73" s="21">
        <f t="shared" si="3"/>
        <v>7.0023161242716014E-6</v>
      </c>
    </row>
    <row r="74" spans="1:3" x14ac:dyDescent="0.25">
      <c r="A74" t="s">
        <v>877</v>
      </c>
      <c r="B74" s="21" t="str">
        <f t="shared" si="2"/>
        <v>2016/11/25 18:28:41.420</v>
      </c>
      <c r="C74" s="21">
        <f t="shared" si="3"/>
        <v>2.0473090276937E-2</v>
      </c>
    </row>
    <row r="75" spans="1:3" x14ac:dyDescent="0.25">
      <c r="A75" t="s">
        <v>878</v>
      </c>
      <c r="B75" s="21" t="str">
        <f t="shared" si="2"/>
        <v>2016/11/25 18:28:41.467</v>
      </c>
      <c r="C75" s="21">
        <f t="shared" si="3"/>
        <v>5.4397969506680965E-7</v>
      </c>
    </row>
    <row r="76" spans="1:3" x14ac:dyDescent="0.25">
      <c r="A76" t="s">
        <v>879</v>
      </c>
      <c r="B76" s="21" t="str">
        <f t="shared" ref="B76:B139" si="4">MID(A76,6,23)</f>
        <v>2016/11/25 18:28:41.506</v>
      </c>
      <c r="C76" s="21">
        <f t="shared" ref="C76:C139" si="5">ABS(B76-B75)</f>
        <v>4.5139313442632556E-7</v>
      </c>
    </row>
    <row r="77" spans="1:3" x14ac:dyDescent="0.25">
      <c r="A77" t="s">
        <v>880</v>
      </c>
      <c r="B77" s="21" t="str">
        <f t="shared" si="4"/>
        <v>2016/11/25 19:37:37.079</v>
      </c>
      <c r="C77" s="21">
        <f t="shared" si="5"/>
        <v>4.7865428241493646E-2</v>
      </c>
    </row>
    <row r="78" spans="1:3" x14ac:dyDescent="0.25">
      <c r="A78" t="s">
        <v>881</v>
      </c>
      <c r="B78" s="21" t="str">
        <f t="shared" si="4"/>
        <v>2016/11/25 19:37:37.843</v>
      </c>
      <c r="C78" s="21">
        <f t="shared" si="5"/>
        <v>8.8425877038389444E-6</v>
      </c>
    </row>
    <row r="79" spans="1:3" x14ac:dyDescent="0.25">
      <c r="A79" t="s">
        <v>882</v>
      </c>
      <c r="B79" s="21" t="str">
        <f t="shared" si="4"/>
        <v>2016/11/25 19:41:46.834</v>
      </c>
      <c r="C79" s="21">
        <f t="shared" si="5"/>
        <v>2.8818402788601816E-3</v>
      </c>
    </row>
    <row r="80" spans="1:3" x14ac:dyDescent="0.25">
      <c r="A80" t="s">
        <v>883</v>
      </c>
      <c r="B80" s="21" t="str">
        <f t="shared" si="4"/>
        <v>2016/11/25 19:41:47.066</v>
      </c>
      <c r="C80" s="21">
        <f t="shared" si="5"/>
        <v>2.6851848815567791E-6</v>
      </c>
    </row>
    <row r="81" spans="1:3" x14ac:dyDescent="0.25">
      <c r="A81" t="s">
        <v>884</v>
      </c>
      <c r="B81" s="21" t="str">
        <f t="shared" si="4"/>
        <v>2016/11/25 20:43:46.078</v>
      </c>
      <c r="C81" s="21">
        <f t="shared" si="5"/>
        <v>4.3044120371632744E-2</v>
      </c>
    </row>
    <row r="82" spans="1:3" x14ac:dyDescent="0.25">
      <c r="A82" t="s">
        <v>885</v>
      </c>
      <c r="B82" s="21" t="str">
        <f t="shared" si="4"/>
        <v>2016/11/25 20:43:46.847</v>
      </c>
      <c r="C82" s="21">
        <f t="shared" si="5"/>
        <v>8.9004606707021594E-6</v>
      </c>
    </row>
    <row r="83" spans="1:3" x14ac:dyDescent="0.25">
      <c r="A83" t="s">
        <v>886</v>
      </c>
      <c r="B83" s="21" t="str">
        <f t="shared" si="4"/>
        <v>2016/11/25 20:48:47.864</v>
      </c>
      <c r="C83" s="21">
        <f t="shared" si="5"/>
        <v>3.483993059489876E-3</v>
      </c>
    </row>
    <row r="84" spans="1:3" x14ac:dyDescent="0.25">
      <c r="A84" t="s">
        <v>887</v>
      </c>
      <c r="B84" s="21" t="str">
        <f t="shared" si="4"/>
        <v>2016/11/25 20:48:48.072</v>
      </c>
      <c r="C84" s="21">
        <f t="shared" si="5"/>
        <v>2.4074033717624843E-6</v>
      </c>
    </row>
    <row r="85" spans="1:3" x14ac:dyDescent="0.25">
      <c r="A85" t="s">
        <v>888</v>
      </c>
      <c r="B85" s="21" t="str">
        <f t="shared" si="4"/>
        <v>2016/11/25 20:48:48.659</v>
      </c>
      <c r="C85" s="21">
        <f t="shared" si="5"/>
        <v>6.7939836299046874E-6</v>
      </c>
    </row>
    <row r="86" spans="1:3" x14ac:dyDescent="0.25">
      <c r="A86" t="s">
        <v>889</v>
      </c>
      <c r="B86" s="21" t="str">
        <f t="shared" si="4"/>
        <v>2016/11/25 20:49:47.862</v>
      </c>
      <c r="C86" s="21">
        <f t="shared" si="5"/>
        <v>6.852199076092802E-4</v>
      </c>
    </row>
    <row r="87" spans="1:3" x14ac:dyDescent="0.25">
      <c r="A87" t="s">
        <v>890</v>
      </c>
      <c r="B87" s="21" t="str">
        <f t="shared" si="4"/>
        <v>2016/11/25 20:49:48.660</v>
      </c>
      <c r="C87" s="21">
        <f t="shared" si="5"/>
        <v>9.236107871402055E-6</v>
      </c>
    </row>
    <row r="88" spans="1:3" x14ac:dyDescent="0.25">
      <c r="A88" t="s">
        <v>891</v>
      </c>
      <c r="B88" s="21" t="str">
        <f t="shared" si="4"/>
        <v>2016/11/25 20:49:49.086</v>
      </c>
      <c r="C88" s="21">
        <f t="shared" si="5"/>
        <v>4.9305599532090127E-6</v>
      </c>
    </row>
    <row r="89" spans="1:3" x14ac:dyDescent="0.25">
      <c r="A89" t="s">
        <v>892</v>
      </c>
      <c r="B89" s="21" t="str">
        <f t="shared" si="4"/>
        <v>2016/11/25 20:51:49.855</v>
      </c>
      <c r="C89" s="21">
        <f t="shared" si="5"/>
        <v>1.3977893540868536E-3</v>
      </c>
    </row>
    <row r="90" spans="1:3" x14ac:dyDescent="0.25">
      <c r="A90" t="s">
        <v>893</v>
      </c>
      <c r="B90" s="21" t="str">
        <f t="shared" si="4"/>
        <v>2016/11/25 20:51:50.666</v>
      </c>
      <c r="C90" s="21">
        <f t="shared" si="5"/>
        <v>9.3865673989057541E-6</v>
      </c>
    </row>
    <row r="91" spans="1:3" x14ac:dyDescent="0.25">
      <c r="A91" t="s">
        <v>894</v>
      </c>
      <c r="B91" s="21" t="str">
        <f t="shared" si="4"/>
        <v>2016/11/25 20:51:52.061</v>
      </c>
      <c r="C91" s="21">
        <f t="shared" si="5"/>
        <v>1.6145837435033172E-5</v>
      </c>
    </row>
    <row r="92" spans="1:3" x14ac:dyDescent="0.25">
      <c r="A92" t="s">
        <v>895</v>
      </c>
      <c r="B92" s="21" t="str">
        <f t="shared" si="4"/>
        <v>2016/11/25 20:53:44.286</v>
      </c>
      <c r="C92" s="21">
        <f t="shared" si="5"/>
        <v>1.2989004608243704E-3</v>
      </c>
    </row>
    <row r="93" spans="1:3" x14ac:dyDescent="0.25">
      <c r="A93" t="s">
        <v>896</v>
      </c>
      <c r="B93" s="21" t="str">
        <f t="shared" si="4"/>
        <v>2016/11/25 21:22:15.064</v>
      </c>
      <c r="C93" s="21">
        <f t="shared" si="5"/>
        <v>1.9800671296252403E-2</v>
      </c>
    </row>
    <row r="94" spans="1:3" x14ac:dyDescent="0.25">
      <c r="A94" t="s">
        <v>897</v>
      </c>
      <c r="B94" s="21" t="str">
        <f t="shared" si="4"/>
        <v>2016/11/25 21:22:15.835</v>
      </c>
      <c r="C94" s="21">
        <f t="shared" si="5"/>
        <v>8.9236127678304911E-6</v>
      </c>
    </row>
    <row r="95" spans="1:3" x14ac:dyDescent="0.25">
      <c r="A95" t="s">
        <v>898</v>
      </c>
      <c r="B95" s="21" t="str">
        <f t="shared" si="4"/>
        <v>2016/11/25 21:23:41.422</v>
      </c>
      <c r="C95" s="21">
        <f t="shared" si="5"/>
        <v>9.9059027706971392E-4</v>
      </c>
    </row>
    <row r="96" spans="1:3" x14ac:dyDescent="0.25">
      <c r="A96" t="s">
        <v>899</v>
      </c>
      <c r="B96" s="21" t="str">
        <f t="shared" si="4"/>
        <v>2016/11/25 21:23:41.431</v>
      </c>
      <c r="C96" s="21">
        <f t="shared" si="5"/>
        <v>1.0416988516226411E-7</v>
      </c>
    </row>
    <row r="97" spans="1:3" x14ac:dyDescent="0.25">
      <c r="A97" t="s">
        <v>900</v>
      </c>
      <c r="B97" s="21" t="str">
        <f t="shared" si="4"/>
        <v>2016/11/25 21:27:17.744</v>
      </c>
      <c r="C97" s="21">
        <f t="shared" si="5"/>
        <v>2.5036226797965355E-3</v>
      </c>
    </row>
    <row r="98" spans="1:3" x14ac:dyDescent="0.25">
      <c r="A98" t="s">
        <v>901</v>
      </c>
      <c r="B98" s="21" t="str">
        <f t="shared" si="4"/>
        <v>2016/11/25 21:27:18.278</v>
      </c>
      <c r="C98" s="21">
        <f t="shared" si="5"/>
        <v>6.180554919410497E-6</v>
      </c>
    </row>
    <row r="99" spans="1:3" x14ac:dyDescent="0.25">
      <c r="A99" t="s">
        <v>902</v>
      </c>
      <c r="B99" s="21" t="str">
        <f t="shared" si="4"/>
        <v>2016/11/25 21:27:18.389</v>
      </c>
      <c r="C99" s="21">
        <f t="shared" si="5"/>
        <v>1.2847231118939817E-6</v>
      </c>
    </row>
    <row r="100" spans="1:3" x14ac:dyDescent="0.25">
      <c r="A100" t="s">
        <v>903</v>
      </c>
      <c r="B100" s="21" t="str">
        <f t="shared" si="4"/>
        <v>2016/11/25 21:57:51.288</v>
      </c>
      <c r="C100" s="21">
        <f t="shared" si="5"/>
        <v>2.1214108797721565E-2</v>
      </c>
    </row>
    <row r="101" spans="1:3" x14ac:dyDescent="0.25">
      <c r="A101" t="s">
        <v>904</v>
      </c>
      <c r="B101" s="21" t="str">
        <f t="shared" si="4"/>
        <v>2016/11/25 21:57:51.593</v>
      </c>
      <c r="C101" s="21">
        <f t="shared" si="5"/>
        <v>3.5300909075886011E-6</v>
      </c>
    </row>
    <row r="102" spans="1:3" x14ac:dyDescent="0.25">
      <c r="A102" t="s">
        <v>905</v>
      </c>
      <c r="B102" s="21" t="str">
        <f t="shared" si="4"/>
        <v>2016/11/25 21:57:51.709</v>
      </c>
      <c r="C102" s="21">
        <f t="shared" si="5"/>
        <v>1.3425960787571967E-6</v>
      </c>
    </row>
    <row r="103" spans="1:3" x14ac:dyDescent="0.25">
      <c r="A103" t="s">
        <v>906</v>
      </c>
      <c r="B103" s="21" t="str">
        <f t="shared" si="4"/>
        <v>2016/11/25 22:27:08.477</v>
      </c>
      <c r="C103" s="21">
        <f t="shared" si="5"/>
        <v>2.0332962965767365E-2</v>
      </c>
    </row>
    <row r="104" spans="1:3" x14ac:dyDescent="0.25">
      <c r="A104" t="s">
        <v>907</v>
      </c>
      <c r="B104" s="21" t="str">
        <f t="shared" si="4"/>
        <v>2016/11/25 22:27:08.871</v>
      </c>
      <c r="C104" s="21">
        <f t="shared" si="5"/>
        <v>4.5601846068166196E-6</v>
      </c>
    </row>
    <row r="105" spans="1:3" x14ac:dyDescent="0.25">
      <c r="A105" t="s">
        <v>908</v>
      </c>
      <c r="B105" s="21" t="str">
        <f t="shared" si="4"/>
        <v>2016/11/25 22:27:10.284</v>
      </c>
      <c r="C105" s="21">
        <f t="shared" si="5"/>
        <v>1.6354162653442472E-5</v>
      </c>
    </row>
    <row r="106" spans="1:3" x14ac:dyDescent="0.25">
      <c r="A106" t="s">
        <v>909</v>
      </c>
      <c r="B106" s="21" t="str">
        <f t="shared" si="4"/>
        <v>2016/11/25 22:33:04.735</v>
      </c>
      <c r="C106" s="21">
        <f t="shared" si="5"/>
        <v>4.1024421298061498E-3</v>
      </c>
    </row>
    <row r="107" spans="1:3" x14ac:dyDescent="0.25">
      <c r="A107" t="s">
        <v>910</v>
      </c>
      <c r="B107" s="21" t="str">
        <f t="shared" si="4"/>
        <v>2016/11/25 22:33:05.283</v>
      </c>
      <c r="C107" s="21">
        <f t="shared" si="5"/>
        <v>6.3425904954783618E-6</v>
      </c>
    </row>
    <row r="108" spans="1:3" x14ac:dyDescent="0.25">
      <c r="A108" t="s">
        <v>911</v>
      </c>
      <c r="B108" s="21" t="str">
        <f t="shared" si="4"/>
        <v>2016/11/25 22:33:05.372</v>
      </c>
      <c r="C108" s="21">
        <f t="shared" si="5"/>
        <v>1.0300936992280185E-6</v>
      </c>
    </row>
    <row r="109" spans="1:3" x14ac:dyDescent="0.25">
      <c r="A109" t="s">
        <v>912</v>
      </c>
      <c r="B109" s="21" t="str">
        <f t="shared" si="4"/>
        <v>2016/11/25 22:35:16.286</v>
      </c>
      <c r="C109" s="21">
        <f t="shared" si="5"/>
        <v>1.5152083360590041E-3</v>
      </c>
    </row>
    <row r="110" spans="1:3" x14ac:dyDescent="0.25">
      <c r="A110" t="s">
        <v>913</v>
      </c>
      <c r="B110" s="21" t="str">
        <f t="shared" si="4"/>
        <v>2016/11/25 22:35:16.573</v>
      </c>
      <c r="C110" s="21">
        <f t="shared" si="5"/>
        <v>3.3217584132216871E-6</v>
      </c>
    </row>
    <row r="111" spans="1:3" x14ac:dyDescent="0.25">
      <c r="A111" t="s">
        <v>914</v>
      </c>
      <c r="B111" s="21" t="str">
        <f t="shared" si="4"/>
        <v>2016/11/25 22:35:16.694</v>
      </c>
      <c r="C111" s="21">
        <f t="shared" si="5"/>
        <v>1.4004617696627975E-6</v>
      </c>
    </row>
    <row r="112" spans="1:3" x14ac:dyDescent="0.25">
      <c r="A112" t="s">
        <v>915</v>
      </c>
      <c r="B112" s="21" t="str">
        <f t="shared" si="4"/>
        <v>2016/11/25 22:35:54.273</v>
      </c>
      <c r="C112" s="21">
        <f t="shared" si="5"/>
        <v>4.3494212877703831E-4</v>
      </c>
    </row>
    <row r="113" spans="1:3" x14ac:dyDescent="0.25">
      <c r="A113" t="s">
        <v>916</v>
      </c>
      <c r="B113" s="21" t="str">
        <f t="shared" si="4"/>
        <v>2016/11/25 22:35:54.370</v>
      </c>
      <c r="C113" s="21">
        <f t="shared" si="5"/>
        <v>1.1226875358261168E-6</v>
      </c>
    </row>
    <row r="114" spans="1:3" x14ac:dyDescent="0.25">
      <c r="A114" t="s">
        <v>917</v>
      </c>
      <c r="B114" s="21" t="str">
        <f t="shared" si="4"/>
        <v>2016/11/25 22:35:54.729</v>
      </c>
      <c r="C114" s="21">
        <f t="shared" si="5"/>
        <v>4.1550956666469574E-6</v>
      </c>
    </row>
    <row r="115" spans="1:3" x14ac:dyDescent="0.25">
      <c r="A115" t="s">
        <v>918</v>
      </c>
      <c r="B115" s="21" t="str">
        <f t="shared" si="4"/>
        <v>2016/11/25 22:38:52.890</v>
      </c>
      <c r="C115" s="21">
        <f t="shared" si="5"/>
        <v>2.062048610241618E-3</v>
      </c>
    </row>
    <row r="116" spans="1:3" x14ac:dyDescent="0.25">
      <c r="A116" t="s">
        <v>919</v>
      </c>
      <c r="B116" s="21" t="str">
        <f t="shared" si="4"/>
        <v>2016/11/25 22:38:52.907</v>
      </c>
      <c r="C116" s="21">
        <f t="shared" si="5"/>
        <v>1.967564458027482E-7</v>
      </c>
    </row>
    <row r="117" spans="1:3" x14ac:dyDescent="0.25">
      <c r="A117" t="s">
        <v>920</v>
      </c>
      <c r="B117" s="21" t="str">
        <f t="shared" si="4"/>
        <v>2016/11/25 22:38:53.090</v>
      </c>
      <c r="C117" s="21">
        <f t="shared" si="5"/>
        <v>2.1180530893616378E-6</v>
      </c>
    </row>
    <row r="118" spans="1:3" x14ac:dyDescent="0.25">
      <c r="A118" t="s">
        <v>921</v>
      </c>
      <c r="B118" s="21" t="str">
        <f t="shared" si="4"/>
        <v>2016/11/25 22:39:26.500</v>
      </c>
      <c r="C118" s="21">
        <f t="shared" si="5"/>
        <v>3.8668981869705021E-4</v>
      </c>
    </row>
    <row r="119" spans="1:3" x14ac:dyDescent="0.25">
      <c r="A119" t="s">
        <v>922</v>
      </c>
      <c r="B119" s="21" t="str">
        <f t="shared" si="4"/>
        <v>2016/11/25 22:39:26.947</v>
      </c>
      <c r="C119" s="21">
        <f t="shared" si="5"/>
        <v>5.1736133173108101E-6</v>
      </c>
    </row>
    <row r="120" spans="1:3" x14ac:dyDescent="0.25">
      <c r="A120" t="s">
        <v>923</v>
      </c>
      <c r="B120" s="21" t="str">
        <f t="shared" si="4"/>
        <v>2016/11/25 22:39:27.022</v>
      </c>
      <c r="C120" s="21">
        <f t="shared" si="5"/>
        <v>8.6805084720253944E-7</v>
      </c>
    </row>
    <row r="121" spans="1:3" x14ac:dyDescent="0.25">
      <c r="A121" t="s">
        <v>924</v>
      </c>
      <c r="B121" s="21" t="str">
        <f t="shared" si="4"/>
        <v>2016/11/25 22:49:35.882</v>
      </c>
      <c r="C121" s="21">
        <f t="shared" si="5"/>
        <v>7.0469907441292889E-3</v>
      </c>
    </row>
    <row r="122" spans="1:3" x14ac:dyDescent="0.25">
      <c r="A122" t="s">
        <v>925</v>
      </c>
      <c r="B122" s="21" t="str">
        <f t="shared" si="4"/>
        <v>2016/11/25 22:49:36.084</v>
      </c>
      <c r="C122" s="21">
        <f t="shared" si="5"/>
        <v>2.3379616322927177E-6</v>
      </c>
    </row>
    <row r="123" spans="1:3" x14ac:dyDescent="0.25">
      <c r="A123" t="s">
        <v>926</v>
      </c>
      <c r="B123" s="21" t="str">
        <f t="shared" si="4"/>
        <v>2016/11/25 22:49:36.885</v>
      </c>
      <c r="C123" s="21">
        <f t="shared" si="5"/>
        <v>9.2708360170945525E-6</v>
      </c>
    </row>
    <row r="124" spans="1:3" x14ac:dyDescent="0.25">
      <c r="A124" t="s">
        <v>927</v>
      </c>
      <c r="B124" s="21" t="str">
        <f t="shared" si="4"/>
        <v>2016/11/25 23:08:54.171</v>
      </c>
      <c r="C124" s="21">
        <f t="shared" si="5"/>
        <v>1.3394513887760695E-2</v>
      </c>
    </row>
    <row r="125" spans="1:3" x14ac:dyDescent="0.25">
      <c r="A125" t="s">
        <v>928</v>
      </c>
      <c r="B125" s="21" t="str">
        <f t="shared" si="4"/>
        <v>2016/11/25 23:08:54.631</v>
      </c>
      <c r="C125" s="21">
        <f t="shared" si="5"/>
        <v>5.3240728448145092E-6</v>
      </c>
    </row>
    <row r="126" spans="1:3" x14ac:dyDescent="0.25">
      <c r="A126" t="s">
        <v>929</v>
      </c>
      <c r="B126" s="21" t="str">
        <f t="shared" si="4"/>
        <v>2016/11/25 23:09:25.836</v>
      </c>
      <c r="C126" s="21">
        <f t="shared" si="5"/>
        <v>3.6116898263571784E-4</v>
      </c>
    </row>
    <row r="127" spans="1:3" x14ac:dyDescent="0.25">
      <c r="A127" t="s">
        <v>930</v>
      </c>
      <c r="B127" s="21" t="str">
        <f t="shared" si="4"/>
        <v>2016/11/25 23:09:26.065</v>
      </c>
      <c r="C127" s="21">
        <f t="shared" si="5"/>
        <v>2.6504640118218958E-6</v>
      </c>
    </row>
    <row r="128" spans="1:3" x14ac:dyDescent="0.25">
      <c r="A128" t="s">
        <v>931</v>
      </c>
      <c r="B128" s="21" t="str">
        <f t="shared" si="4"/>
        <v>2016/11/25 23:19:47.101</v>
      </c>
      <c r="C128" s="21">
        <f t="shared" si="5"/>
        <v>7.1879166644066572E-3</v>
      </c>
    </row>
    <row r="129" spans="1:3" x14ac:dyDescent="0.25">
      <c r="A129" t="s">
        <v>932</v>
      </c>
      <c r="B129" s="21" t="str">
        <f t="shared" si="4"/>
        <v>2016/11/25 23:19:47.279</v>
      </c>
      <c r="C129" s="21">
        <f t="shared" si="5"/>
        <v>2.060187398456037E-6</v>
      </c>
    </row>
    <row r="130" spans="1:3" x14ac:dyDescent="0.25">
      <c r="A130" t="s">
        <v>933</v>
      </c>
      <c r="B130" s="21" t="str">
        <f t="shared" si="4"/>
        <v>2016/11/25 23:26:21.286</v>
      </c>
      <c r="C130" s="21">
        <f t="shared" si="5"/>
        <v>4.5602661994053051E-3</v>
      </c>
    </row>
    <row r="131" spans="1:3" x14ac:dyDescent="0.25">
      <c r="A131" t="s">
        <v>934</v>
      </c>
      <c r="B131" s="21" t="str">
        <f t="shared" si="4"/>
        <v>2016/11/25 23:26:21.377</v>
      </c>
      <c r="C131" s="21">
        <f t="shared" si="5"/>
        <v>1.053238520398736E-6</v>
      </c>
    </row>
    <row r="132" spans="1:3" x14ac:dyDescent="0.25">
      <c r="A132" t="s">
        <v>935</v>
      </c>
      <c r="B132" s="21" t="str">
        <f t="shared" si="4"/>
        <v>2016/11/25 23:26:21.736</v>
      </c>
      <c r="C132" s="21">
        <f t="shared" si="5"/>
        <v>4.1550956666469574E-6</v>
      </c>
    </row>
    <row r="133" spans="1:3" x14ac:dyDescent="0.25">
      <c r="A133" t="s">
        <v>936</v>
      </c>
      <c r="B133" s="21" t="str">
        <f t="shared" si="4"/>
        <v>2016/11/25 23:39:38.381</v>
      </c>
      <c r="C133" s="21">
        <f t="shared" si="5"/>
        <v>9.2204282409511507E-3</v>
      </c>
    </row>
    <row r="134" spans="1:3" x14ac:dyDescent="0.25">
      <c r="A134" t="s">
        <v>937</v>
      </c>
      <c r="B134" s="21" t="str">
        <f t="shared" si="4"/>
        <v>2016/11/25 23:39:38.908</v>
      </c>
      <c r="C134" s="21">
        <f t="shared" si="5"/>
        <v>6.0995371313765645E-6</v>
      </c>
    </row>
    <row r="135" spans="1:3" x14ac:dyDescent="0.25">
      <c r="A135" t="s">
        <v>938</v>
      </c>
      <c r="B135" s="21" t="str">
        <f t="shared" si="4"/>
        <v>2016/11/25 23:39:39.497</v>
      </c>
      <c r="C135" s="21">
        <f t="shared" si="5"/>
        <v>6.8171284510754049E-6</v>
      </c>
    </row>
    <row r="136" spans="1:3" x14ac:dyDescent="0.25">
      <c r="A136" t="s">
        <v>939</v>
      </c>
      <c r="B136" s="21" t="str">
        <f t="shared" si="4"/>
        <v>2016/11/25 23:49:41.867</v>
      </c>
      <c r="C136" s="21">
        <f t="shared" si="5"/>
        <v>6.9718750019092113E-3</v>
      </c>
    </row>
    <row r="137" spans="1:3" x14ac:dyDescent="0.25">
      <c r="A137" t="s">
        <v>940</v>
      </c>
      <c r="B137" s="21" t="str">
        <f t="shared" si="4"/>
        <v>2016/11/25 23:49:42.078</v>
      </c>
      <c r="C137" s="21">
        <f t="shared" si="5"/>
        <v>2.4421315174549818E-6</v>
      </c>
    </row>
    <row r="138" spans="1:3" x14ac:dyDescent="0.25">
      <c r="A138" t="s">
        <v>941</v>
      </c>
      <c r="B138" s="21" t="str">
        <f t="shared" si="4"/>
        <v>2016/11/25 23:49:42.668</v>
      </c>
      <c r="C138" s="21">
        <f t="shared" si="5"/>
        <v>6.8287044996395707E-6</v>
      </c>
    </row>
    <row r="139" spans="1:3" x14ac:dyDescent="0.25">
      <c r="A139" t="s">
        <v>942</v>
      </c>
      <c r="B139" s="21" t="str">
        <f t="shared" si="4"/>
        <v>2016/11/26 00:13:02.844</v>
      </c>
      <c r="C139" s="21">
        <f t="shared" si="5"/>
        <v>1.6205740736040752E-2</v>
      </c>
    </row>
    <row r="140" spans="1:3" x14ac:dyDescent="0.25">
      <c r="A140" t="s">
        <v>943</v>
      </c>
      <c r="B140" s="21" t="str">
        <f t="shared" ref="B140:B183" si="6">MID(A140,6,23)</f>
        <v>2016/11/26 00:13:03.082</v>
      </c>
      <c r="C140" s="21">
        <f t="shared" ref="C140:C183" si="7">ABS(B140-B139)</f>
        <v>2.7546338969841599E-6</v>
      </c>
    </row>
    <row r="141" spans="1:3" x14ac:dyDescent="0.25">
      <c r="A141" t="s">
        <v>944</v>
      </c>
      <c r="B141" s="21" t="str">
        <f t="shared" si="6"/>
        <v>2016/11/26 00:22:46.292</v>
      </c>
      <c r="C141" s="21">
        <f t="shared" si="7"/>
        <v>6.7501157391234301E-3</v>
      </c>
    </row>
    <row r="142" spans="1:3" x14ac:dyDescent="0.25">
      <c r="A142" t="s">
        <v>945</v>
      </c>
      <c r="B142" s="21" t="str">
        <f t="shared" si="6"/>
        <v>2016/11/26 00:22:46.572</v>
      </c>
      <c r="C142" s="21">
        <f t="shared" si="7"/>
        <v>3.2407406251877546E-6</v>
      </c>
    </row>
    <row r="143" spans="1:3" x14ac:dyDescent="0.25">
      <c r="A143" t="s">
        <v>946</v>
      </c>
      <c r="B143" s="21" t="str">
        <f t="shared" si="6"/>
        <v>2016/11/26 00:22:46.699</v>
      </c>
      <c r="C143" s="21">
        <f t="shared" si="7"/>
        <v>1.4699035091325641E-6</v>
      </c>
    </row>
    <row r="144" spans="1:3" x14ac:dyDescent="0.25">
      <c r="A144" t="s">
        <v>947</v>
      </c>
      <c r="B144" s="21" t="str">
        <f t="shared" si="6"/>
        <v>2016/11/26 00:25:40.135</v>
      </c>
      <c r="C144" s="21">
        <f t="shared" si="7"/>
        <v>2.0073611158295535E-3</v>
      </c>
    </row>
    <row r="145" spans="1:3" x14ac:dyDescent="0.25">
      <c r="A145" t="s">
        <v>948</v>
      </c>
      <c r="B145" s="21" t="str">
        <f t="shared" si="6"/>
        <v>2016/11/26 00:25:40.412</v>
      </c>
      <c r="C145" s="21">
        <f t="shared" si="7"/>
        <v>3.2060197554528713E-6</v>
      </c>
    </row>
    <row r="146" spans="1:3" x14ac:dyDescent="0.25">
      <c r="A146" t="s">
        <v>949</v>
      </c>
      <c r="B146" s="21" t="str">
        <f t="shared" si="6"/>
        <v>2016/11/26 00:26:32.491</v>
      </c>
      <c r="C146" s="21">
        <f t="shared" si="7"/>
        <v>6.0276620206423104E-4</v>
      </c>
    </row>
    <row r="147" spans="1:3" x14ac:dyDescent="0.25">
      <c r="A147" t="s">
        <v>950</v>
      </c>
      <c r="B147" s="21" t="str">
        <f t="shared" si="6"/>
        <v>2016/11/26 00:26:33.920</v>
      </c>
      <c r="C147" s="21">
        <f t="shared" si="7"/>
        <v>1.6539350326638669E-5</v>
      </c>
    </row>
    <row r="148" spans="1:3" x14ac:dyDescent="0.25">
      <c r="A148" t="s">
        <v>951</v>
      </c>
      <c r="B148" s="21" t="str">
        <f t="shared" si="6"/>
        <v>2016/11/26 00:26:34.019</v>
      </c>
      <c r="C148" s="21">
        <f t="shared" si="7"/>
        <v>1.1458323569968343E-6</v>
      </c>
    </row>
    <row r="149" spans="1:3" x14ac:dyDescent="0.25">
      <c r="A149" t="s">
        <v>952</v>
      </c>
      <c r="B149" s="21" t="str">
        <f t="shared" si="6"/>
        <v>2016/11/26 00:27:33.009</v>
      </c>
      <c r="C149" s="21">
        <f t="shared" si="7"/>
        <v>6.827546312706545E-4</v>
      </c>
    </row>
    <row r="150" spans="1:3" x14ac:dyDescent="0.25">
      <c r="A150" t="s">
        <v>953</v>
      </c>
      <c r="B150" s="21" t="str">
        <f t="shared" si="6"/>
        <v>2016/11/26 00:27:33.470</v>
      </c>
      <c r="C150" s="21">
        <f t="shared" si="7"/>
        <v>5.335648893378675E-6</v>
      </c>
    </row>
    <row r="151" spans="1:3" x14ac:dyDescent="0.25">
      <c r="A151" t="s">
        <v>954</v>
      </c>
      <c r="B151" s="21" t="str">
        <f t="shared" si="6"/>
        <v>2016/11/26 00:27:33.929</v>
      </c>
      <c r="C151" s="21">
        <f t="shared" si="7"/>
        <v>5.3124967962503433E-6</v>
      </c>
    </row>
    <row r="152" spans="1:3" x14ac:dyDescent="0.25">
      <c r="A152" t="s">
        <v>955</v>
      </c>
      <c r="B152" s="21" t="str">
        <f t="shared" si="6"/>
        <v>2016/11/26 00:49:05.862</v>
      </c>
      <c r="C152" s="21">
        <f t="shared" si="7"/>
        <v>1.4952928242564667E-2</v>
      </c>
    </row>
    <row r="153" spans="1:3" x14ac:dyDescent="0.25">
      <c r="A153" t="s">
        <v>956</v>
      </c>
      <c r="B153" s="21" t="str">
        <f t="shared" si="6"/>
        <v>2016/11/26 00:49:06.068</v>
      </c>
      <c r="C153" s="21">
        <f t="shared" si="7"/>
        <v>2.3842585505917668E-6</v>
      </c>
    </row>
    <row r="154" spans="1:3" x14ac:dyDescent="0.25">
      <c r="A154" t="s">
        <v>957</v>
      </c>
      <c r="B154" s="21" t="str">
        <f t="shared" si="6"/>
        <v>2016/11/26 00:49:06.659</v>
      </c>
      <c r="C154" s="21">
        <f t="shared" si="7"/>
        <v>6.8402805482037365E-6</v>
      </c>
    </row>
    <row r="155" spans="1:3" x14ac:dyDescent="0.25">
      <c r="A155" t="s">
        <v>958</v>
      </c>
      <c r="B155" s="21" t="str">
        <f t="shared" si="6"/>
        <v>2016/11/26 01:08:46.220</v>
      </c>
      <c r="C155" s="21">
        <f t="shared" si="7"/>
        <v>1.3652326386363711E-2</v>
      </c>
    </row>
    <row r="156" spans="1:3" x14ac:dyDescent="0.25">
      <c r="A156" t="s">
        <v>959</v>
      </c>
      <c r="B156" s="21" t="str">
        <f t="shared" si="6"/>
        <v>2016/11/26 01:08:46.240</v>
      </c>
      <c r="C156" s="21">
        <f t="shared" si="7"/>
        <v>2.314845914952457E-7</v>
      </c>
    </row>
    <row r="157" spans="1:3" x14ac:dyDescent="0.25">
      <c r="A157" t="s">
        <v>960</v>
      </c>
      <c r="B157" s="21" t="str">
        <f t="shared" si="6"/>
        <v>2016/11/26 01:08:46.482</v>
      </c>
      <c r="C157" s="21">
        <f t="shared" si="7"/>
        <v>2.8009235393255949E-6</v>
      </c>
    </row>
    <row r="158" spans="1:3" x14ac:dyDescent="0.25">
      <c r="A158" t="s">
        <v>961</v>
      </c>
      <c r="B158" s="21" t="str">
        <f t="shared" si="6"/>
        <v>2016/11/26 01:08:46.505</v>
      </c>
      <c r="C158" s="21">
        <f t="shared" si="7"/>
        <v>2.66205461230129E-7</v>
      </c>
    </row>
    <row r="159" spans="1:3" x14ac:dyDescent="0.25">
      <c r="A159" t="s">
        <v>962</v>
      </c>
      <c r="B159" s="21" t="str">
        <f t="shared" si="6"/>
        <v>2016/11/26 01:08:46.640</v>
      </c>
      <c r="C159" s="21">
        <f t="shared" si="7"/>
        <v>1.5624973457306623E-6</v>
      </c>
    </row>
    <row r="160" spans="1:3" x14ac:dyDescent="0.25">
      <c r="A160" t="s">
        <v>963</v>
      </c>
      <c r="B160" s="21" t="str">
        <f t="shared" si="6"/>
        <v>2016/11/26 01:08:46.675</v>
      </c>
      <c r="C160" s="21">
        <f t="shared" si="7"/>
        <v>4.0509621612727642E-7</v>
      </c>
    </row>
    <row r="161" spans="1:3" x14ac:dyDescent="0.25">
      <c r="A161" t="s">
        <v>964</v>
      </c>
      <c r="B161" s="21" t="str">
        <f t="shared" si="6"/>
        <v>2016/11/26 01:27:41.790</v>
      </c>
      <c r="C161" s="21">
        <f t="shared" si="7"/>
        <v>1.3137905087205581E-2</v>
      </c>
    </row>
    <row r="162" spans="1:3" x14ac:dyDescent="0.25">
      <c r="A162" t="s">
        <v>965</v>
      </c>
      <c r="B162" s="21" t="str">
        <f t="shared" si="6"/>
        <v>2016/11/26 01:27:42.343</v>
      </c>
      <c r="C162" s="21">
        <f t="shared" si="7"/>
        <v>6.4004634623415768E-6</v>
      </c>
    </row>
    <row r="163" spans="1:3" x14ac:dyDescent="0.25">
      <c r="A163" t="s">
        <v>966</v>
      </c>
      <c r="B163" s="21" t="str">
        <f t="shared" si="6"/>
        <v>2016/11/26 01:33:09.753</v>
      </c>
      <c r="C163" s="21">
        <f t="shared" si="7"/>
        <v>3.7894675915595144E-3</v>
      </c>
    </row>
    <row r="164" spans="1:3" x14ac:dyDescent="0.25">
      <c r="A164" t="s">
        <v>967</v>
      </c>
      <c r="B164" s="21" t="str">
        <f t="shared" si="6"/>
        <v>2016/11/26 01:33:09.789</v>
      </c>
      <c r="C164" s="21">
        <f t="shared" si="7"/>
        <v>4.1667226469144225E-7</v>
      </c>
    </row>
    <row r="165" spans="1:3" x14ac:dyDescent="0.25">
      <c r="A165" t="s">
        <v>968</v>
      </c>
      <c r="B165" s="21" t="str">
        <f t="shared" si="6"/>
        <v>2016/11/26 01:36:23.164</v>
      </c>
      <c r="C165" s="21">
        <f t="shared" si="7"/>
        <v>2.238136570667848E-3</v>
      </c>
    </row>
    <row r="166" spans="1:3" x14ac:dyDescent="0.25">
      <c r="A166" t="s">
        <v>969</v>
      </c>
      <c r="B166" s="21" t="str">
        <f t="shared" si="6"/>
        <v>2016/11/26 01:36:23.599</v>
      </c>
      <c r="C166" s="21">
        <f t="shared" si="7"/>
        <v>5.0347225624136627E-6</v>
      </c>
    </row>
    <row r="167" spans="1:3" x14ac:dyDescent="0.25">
      <c r="A167" t="s">
        <v>970</v>
      </c>
      <c r="B167" s="21" t="str">
        <f t="shared" si="6"/>
        <v>2016/11/26 01:36:23.783</v>
      </c>
      <c r="C167" s="21">
        <f t="shared" si="7"/>
        <v>2.1296291379258037E-6</v>
      </c>
    </row>
    <row r="168" spans="1:3" x14ac:dyDescent="0.25">
      <c r="A168" t="s">
        <v>971</v>
      </c>
      <c r="B168" s="21" t="str">
        <f t="shared" si="6"/>
        <v>2016/11/26 02:18:21.535</v>
      </c>
      <c r="C168" s="21">
        <f t="shared" si="7"/>
        <v>2.914064814831363E-2</v>
      </c>
    </row>
    <row r="169" spans="1:3" x14ac:dyDescent="0.25">
      <c r="A169" t="s">
        <v>972</v>
      </c>
      <c r="B169" s="21" t="str">
        <f t="shared" si="6"/>
        <v>2016/11/26 02:18:21.792</v>
      </c>
      <c r="C169" s="21">
        <f t="shared" si="7"/>
        <v>2.9745351639576256E-6</v>
      </c>
    </row>
    <row r="170" spans="1:3" x14ac:dyDescent="0.25">
      <c r="A170" t="s">
        <v>973</v>
      </c>
      <c r="B170" s="21" t="str">
        <f t="shared" si="6"/>
        <v>2016/11/26 02:31:55.353</v>
      </c>
      <c r="C170" s="21">
        <f t="shared" si="7"/>
        <v>9.4162152818171307E-3</v>
      </c>
    </row>
    <row r="171" spans="1:3" x14ac:dyDescent="0.25">
      <c r="A171" t="s">
        <v>974</v>
      </c>
      <c r="B171" s="21" t="str">
        <f t="shared" si="6"/>
        <v>2016/11/26 02:31:55.796</v>
      </c>
      <c r="C171" s="21">
        <f t="shared" si="7"/>
        <v>5.127316399011761E-6</v>
      </c>
    </row>
    <row r="172" spans="1:3" x14ac:dyDescent="0.25">
      <c r="A172" t="s">
        <v>975</v>
      </c>
      <c r="B172" s="21" t="str">
        <f t="shared" si="6"/>
        <v>2016/11/26 03:35:12.779</v>
      </c>
      <c r="C172" s="21">
        <f t="shared" si="7"/>
        <v>4.3946562494966201E-2</v>
      </c>
    </row>
    <row r="173" spans="1:3" x14ac:dyDescent="0.25">
      <c r="A173" t="s">
        <v>976</v>
      </c>
      <c r="B173" s="21" t="str">
        <f t="shared" si="6"/>
        <v>2016/11/26 03:35:12.804</v>
      </c>
      <c r="C173" s="21">
        <f t="shared" si="7"/>
        <v>2.8935028240084648E-7</v>
      </c>
    </row>
    <row r="174" spans="1:3" x14ac:dyDescent="0.25">
      <c r="A174" t="s">
        <v>977</v>
      </c>
      <c r="B174" s="21" t="str">
        <f t="shared" si="6"/>
        <v>2016/11/26 03:35:13.126</v>
      </c>
      <c r="C174" s="21">
        <f t="shared" si="7"/>
        <v>3.7268546293489635E-6</v>
      </c>
    </row>
    <row r="175" spans="1:3" x14ac:dyDescent="0.25">
      <c r="A175" t="s">
        <v>978</v>
      </c>
      <c r="B175" s="21" t="str">
        <f t="shared" si="6"/>
        <v>2016/11/26 04:10:51.376</v>
      </c>
      <c r="C175" s="21">
        <f t="shared" si="7"/>
        <v>2.4748263887886424E-2</v>
      </c>
    </row>
    <row r="176" spans="1:3" x14ac:dyDescent="0.25">
      <c r="A176" t="s">
        <v>979</v>
      </c>
      <c r="B176" s="21" t="str">
        <f t="shared" si="6"/>
        <v>2016/11/26 04:10:51.548</v>
      </c>
      <c r="C176" s="21">
        <f t="shared" si="7"/>
        <v>1.9907456589862704E-6</v>
      </c>
    </row>
    <row r="177" spans="1:3" x14ac:dyDescent="0.25">
      <c r="A177" t="s">
        <v>980</v>
      </c>
      <c r="B177" s="21" t="str">
        <f t="shared" si="6"/>
        <v>2016/11/26 04:49:33.504</v>
      </c>
      <c r="C177" s="21">
        <f t="shared" si="7"/>
        <v>2.6874490737100132E-2</v>
      </c>
    </row>
    <row r="178" spans="1:3" x14ac:dyDescent="0.25">
      <c r="A178" t="s">
        <v>981</v>
      </c>
      <c r="B178" s="21" t="str">
        <f t="shared" si="6"/>
        <v>2016/11/26 04:49:34.406</v>
      </c>
      <c r="C178" s="21">
        <f t="shared" si="7"/>
        <v>1.0439813195262104E-5</v>
      </c>
    </row>
    <row r="179" spans="1:3" x14ac:dyDescent="0.25">
      <c r="A179" t="s">
        <v>982</v>
      </c>
      <c r="B179" s="21" t="str">
        <f t="shared" si="6"/>
        <v>2016/11/26 05:06:38.357</v>
      </c>
      <c r="C179" s="21">
        <f t="shared" si="7"/>
        <v>1.1851284725707956E-2</v>
      </c>
    </row>
    <row r="180" spans="1:3" x14ac:dyDescent="0.25">
      <c r="A180" t="s">
        <v>983</v>
      </c>
      <c r="B180" s="21" t="str">
        <f t="shared" si="6"/>
        <v>2016/11/26 05:06:38.798</v>
      </c>
      <c r="C180" s="21">
        <f t="shared" si="7"/>
        <v>5.1041643018834293E-6</v>
      </c>
    </row>
    <row r="181" spans="1:3" x14ac:dyDescent="0.25">
      <c r="A181" t="s">
        <v>984</v>
      </c>
      <c r="B181" s="21" t="str">
        <f t="shared" si="6"/>
        <v>2016/11/26 08:39:23.271</v>
      </c>
      <c r="C181" s="21">
        <f t="shared" si="7"/>
        <v>0.14773695601616055</v>
      </c>
    </row>
    <row r="182" spans="1:3" x14ac:dyDescent="0.25">
      <c r="A182" t="s">
        <v>985</v>
      </c>
      <c r="B182" s="21" t="str">
        <f t="shared" si="6"/>
        <v>2016/11/26 08:39:23.304</v>
      </c>
      <c r="C182" s="21">
        <f t="shared" si="7"/>
        <v>3.8194411899894476E-7</v>
      </c>
    </row>
    <row r="183" spans="1:3" x14ac:dyDescent="0.25">
      <c r="A183" t="s">
        <v>986</v>
      </c>
      <c r="B183" s="21" t="str">
        <f t="shared" si="6"/>
        <v>2016/11/26 08:39:24.099</v>
      </c>
      <c r="C183" s="21">
        <f t="shared" si="7"/>
        <v>9.2013942776247859E-6</v>
      </c>
    </row>
    <row r="184" spans="1:3" x14ac:dyDescent="0.25">
      <c r="B184" s="21"/>
      <c r="C184" s="21"/>
    </row>
    <row r="185" spans="1:3" x14ac:dyDescent="0.25">
      <c r="B185" s="21"/>
      <c r="C185" s="21"/>
    </row>
    <row r="186" spans="1:3" x14ac:dyDescent="0.25">
      <c r="B186" s="21"/>
      <c r="C186" s="21"/>
    </row>
    <row r="187" spans="1:3" x14ac:dyDescent="0.25">
      <c r="B187" s="21"/>
      <c r="C187" s="21"/>
    </row>
    <row r="188" spans="1:3" x14ac:dyDescent="0.25">
      <c r="B188" s="21"/>
      <c r="C188" s="21"/>
    </row>
    <row r="189" spans="1:3" x14ac:dyDescent="0.25">
      <c r="B189" s="21"/>
      <c r="C189" s="21"/>
    </row>
    <row r="190" spans="1:3" x14ac:dyDescent="0.25">
      <c r="B190" s="21"/>
      <c r="C190" s="21"/>
    </row>
    <row r="191" spans="1:3" x14ac:dyDescent="0.25">
      <c r="B191" s="21"/>
      <c r="C191" s="21"/>
    </row>
    <row r="192" spans="1:3" x14ac:dyDescent="0.25">
      <c r="B192" s="21"/>
      <c r="C192" s="21"/>
    </row>
    <row r="193" spans="2:3" x14ac:dyDescent="0.25">
      <c r="B193" s="21"/>
      <c r="C193" s="21"/>
    </row>
    <row r="194" spans="2:3" x14ac:dyDescent="0.25">
      <c r="B194" s="21"/>
      <c r="C194" s="21"/>
    </row>
    <row r="195" spans="2:3" x14ac:dyDescent="0.25">
      <c r="B195" s="21"/>
      <c r="C195" s="21"/>
    </row>
    <row r="196" spans="2:3" x14ac:dyDescent="0.25">
      <c r="B196" s="21"/>
      <c r="C196" s="21"/>
    </row>
    <row r="197" spans="2:3" x14ac:dyDescent="0.25">
      <c r="B197" s="21"/>
      <c r="C197" s="21"/>
    </row>
    <row r="198" spans="2:3" x14ac:dyDescent="0.25">
      <c r="B198" s="21"/>
      <c r="C198" s="21"/>
    </row>
    <row r="199" spans="2:3" x14ac:dyDescent="0.25">
      <c r="B199" s="21"/>
      <c r="C199" s="21"/>
    </row>
    <row r="200" spans="2:3" x14ac:dyDescent="0.25">
      <c r="B200" s="21"/>
      <c r="C200" s="21"/>
    </row>
    <row r="201" spans="2:3" x14ac:dyDescent="0.25">
      <c r="B201" s="21"/>
      <c r="C201" s="21"/>
    </row>
    <row r="202" spans="2:3" x14ac:dyDescent="0.25">
      <c r="B202" s="21"/>
      <c r="C202" s="21"/>
    </row>
    <row r="203" spans="2:3" x14ac:dyDescent="0.25">
      <c r="B203" s="21"/>
      <c r="C203" s="21"/>
    </row>
    <row r="204" spans="2:3" x14ac:dyDescent="0.25">
      <c r="B204" s="21"/>
      <c r="C204" s="21"/>
    </row>
    <row r="205" spans="2:3" x14ac:dyDescent="0.25">
      <c r="B205" s="21"/>
      <c r="C205" s="21"/>
    </row>
    <row r="206" spans="2:3" x14ac:dyDescent="0.25">
      <c r="B206" s="21"/>
      <c r="C206" s="21"/>
    </row>
    <row r="207" spans="2:3" x14ac:dyDescent="0.25">
      <c r="B207" s="21"/>
      <c r="C207" s="21"/>
    </row>
    <row r="208" spans="2:3" x14ac:dyDescent="0.25">
      <c r="B208" s="21"/>
      <c r="C208" s="21"/>
    </row>
    <row r="209" spans="2:3" x14ac:dyDescent="0.25">
      <c r="B209" s="21"/>
      <c r="C209" s="21"/>
    </row>
    <row r="210" spans="2:3" x14ac:dyDescent="0.25">
      <c r="B210" s="21"/>
      <c r="C210" s="21"/>
    </row>
    <row r="211" spans="2:3" x14ac:dyDescent="0.25">
      <c r="B211" s="21"/>
      <c r="C211" s="21"/>
    </row>
    <row r="212" spans="2:3" x14ac:dyDescent="0.25">
      <c r="B212" s="21"/>
      <c r="C212" s="21"/>
    </row>
    <row r="213" spans="2:3" x14ac:dyDescent="0.25">
      <c r="B213" s="21"/>
      <c r="C213" s="21"/>
    </row>
    <row r="214" spans="2:3" x14ac:dyDescent="0.25">
      <c r="B214" s="21"/>
      <c r="C214" s="21"/>
    </row>
    <row r="215" spans="2:3" x14ac:dyDescent="0.25">
      <c r="B215" s="21"/>
      <c r="C215" s="21"/>
    </row>
    <row r="216" spans="2:3" x14ac:dyDescent="0.25">
      <c r="B216" s="21"/>
      <c r="C216" s="21"/>
    </row>
    <row r="217" spans="2:3" x14ac:dyDescent="0.25">
      <c r="B217" s="21"/>
      <c r="C217" s="21"/>
    </row>
    <row r="218" spans="2:3" x14ac:dyDescent="0.25">
      <c r="B218" s="21"/>
      <c r="C218" s="21"/>
    </row>
    <row r="219" spans="2:3" x14ac:dyDescent="0.25">
      <c r="B219" s="21"/>
      <c r="C219" s="21"/>
    </row>
    <row r="220" spans="2:3" x14ac:dyDescent="0.25">
      <c r="B220" s="21"/>
      <c r="C220" s="21"/>
    </row>
    <row r="221" spans="2:3" x14ac:dyDescent="0.25">
      <c r="B221" s="21"/>
      <c r="C221" s="21"/>
    </row>
    <row r="222" spans="2:3" x14ac:dyDescent="0.25">
      <c r="B222" s="21"/>
      <c r="C222" s="21"/>
    </row>
    <row r="223" spans="2:3" x14ac:dyDescent="0.25">
      <c r="B223" s="21"/>
      <c r="C223" s="21"/>
    </row>
    <row r="224" spans="2:3" x14ac:dyDescent="0.25">
      <c r="B224" s="21"/>
      <c r="C224" s="21"/>
    </row>
    <row r="225" spans="2:3" x14ac:dyDescent="0.25">
      <c r="B225" s="21"/>
      <c r="C225" s="21"/>
    </row>
    <row r="226" spans="2:3" x14ac:dyDescent="0.25">
      <c r="B226" s="21"/>
      <c r="C226" s="21"/>
    </row>
    <row r="227" spans="2:3" x14ac:dyDescent="0.25">
      <c r="B227" s="21"/>
      <c r="C227" s="21"/>
    </row>
    <row r="228" spans="2:3" x14ac:dyDescent="0.25">
      <c r="B228" s="21"/>
      <c r="C228" s="21"/>
    </row>
    <row r="229" spans="2:3" x14ac:dyDescent="0.25">
      <c r="B229" s="21"/>
      <c r="C229" s="21"/>
    </row>
    <row r="230" spans="2:3" x14ac:dyDescent="0.25">
      <c r="B230" s="21"/>
      <c r="C230" s="21"/>
    </row>
    <row r="231" spans="2:3" x14ac:dyDescent="0.25">
      <c r="B231" s="21"/>
      <c r="C231" s="21"/>
    </row>
    <row r="232" spans="2:3" x14ac:dyDescent="0.25">
      <c r="B232" s="21"/>
      <c r="C232" s="21"/>
    </row>
    <row r="233" spans="2:3" x14ac:dyDescent="0.25">
      <c r="B233" s="21"/>
      <c r="C233" s="21"/>
    </row>
    <row r="234" spans="2:3" x14ac:dyDescent="0.25">
      <c r="B234" s="21"/>
      <c r="C234" s="21"/>
    </row>
    <row r="235" spans="2:3" x14ac:dyDescent="0.25">
      <c r="B235" s="21"/>
      <c r="C235" s="21"/>
    </row>
    <row r="236" spans="2:3" x14ac:dyDescent="0.25">
      <c r="B236" s="21"/>
      <c r="C236" s="21"/>
    </row>
    <row r="237" spans="2:3" x14ac:dyDescent="0.25">
      <c r="B237" s="21"/>
      <c r="C237" s="21"/>
    </row>
    <row r="238" spans="2:3" x14ac:dyDescent="0.25">
      <c r="B238" s="21"/>
      <c r="C238" s="21"/>
    </row>
    <row r="239" spans="2:3" x14ac:dyDescent="0.25">
      <c r="B239" s="21"/>
      <c r="C239" s="21"/>
    </row>
    <row r="240" spans="2:3" x14ac:dyDescent="0.25">
      <c r="B240" s="21"/>
      <c r="C240" s="21"/>
    </row>
    <row r="241" spans="2:3" x14ac:dyDescent="0.25">
      <c r="B241" s="21"/>
      <c r="C241" s="21"/>
    </row>
    <row r="242" spans="2:3" x14ac:dyDescent="0.25">
      <c r="B242" s="21"/>
      <c r="C242" s="21"/>
    </row>
    <row r="243" spans="2:3" x14ac:dyDescent="0.25">
      <c r="B243" s="21"/>
      <c r="C243" s="21"/>
    </row>
    <row r="244" spans="2:3" x14ac:dyDescent="0.25">
      <c r="B244" s="21"/>
      <c r="C244" s="21"/>
    </row>
    <row r="245" spans="2:3" x14ac:dyDescent="0.25">
      <c r="B245" s="21"/>
      <c r="C245" s="21"/>
    </row>
    <row r="246" spans="2:3" x14ac:dyDescent="0.25">
      <c r="B246" s="21"/>
      <c r="C246" s="21"/>
    </row>
    <row r="247" spans="2:3" x14ac:dyDescent="0.25">
      <c r="B247" s="21"/>
      <c r="C247" s="21"/>
    </row>
    <row r="248" spans="2:3" x14ac:dyDescent="0.25">
      <c r="B248" s="21"/>
      <c r="C248" s="21"/>
    </row>
    <row r="249" spans="2:3" x14ac:dyDescent="0.25">
      <c r="B249" s="21"/>
      <c r="C249" s="21"/>
    </row>
    <row r="250" spans="2:3" x14ac:dyDescent="0.25">
      <c r="B250" s="21"/>
      <c r="C250" s="21"/>
    </row>
    <row r="251" spans="2:3" x14ac:dyDescent="0.25">
      <c r="B251" s="21"/>
      <c r="C251" s="21"/>
    </row>
    <row r="252" spans="2:3" x14ac:dyDescent="0.25">
      <c r="B252" s="21"/>
      <c r="C252" s="21"/>
    </row>
    <row r="253" spans="2:3" x14ac:dyDescent="0.25">
      <c r="B253" s="21"/>
      <c r="C253" s="21"/>
    </row>
    <row r="254" spans="2:3" x14ac:dyDescent="0.25">
      <c r="B254" s="21"/>
      <c r="C254" s="21"/>
    </row>
    <row r="255" spans="2:3" x14ac:dyDescent="0.25">
      <c r="B255" s="21"/>
      <c r="C255" s="21"/>
    </row>
    <row r="256" spans="2:3" x14ac:dyDescent="0.25">
      <c r="B256" s="21"/>
      <c r="C256" s="21"/>
    </row>
    <row r="257" spans="2:3" x14ac:dyDescent="0.25">
      <c r="B257" s="21"/>
      <c r="C257" s="21"/>
    </row>
    <row r="258" spans="2:3" x14ac:dyDescent="0.25">
      <c r="B258" s="21"/>
      <c r="C258" s="21"/>
    </row>
    <row r="259" spans="2:3" x14ac:dyDescent="0.25">
      <c r="B259" s="21"/>
      <c r="C259" s="21"/>
    </row>
    <row r="260" spans="2:3" x14ac:dyDescent="0.25">
      <c r="B260" s="21"/>
      <c r="C260" s="21"/>
    </row>
    <row r="261" spans="2:3" x14ac:dyDescent="0.25">
      <c r="B261" s="21"/>
      <c r="C261" s="21"/>
    </row>
    <row r="262" spans="2:3" x14ac:dyDescent="0.25">
      <c r="B262" s="21"/>
      <c r="C262" s="21"/>
    </row>
    <row r="263" spans="2:3" x14ac:dyDescent="0.25">
      <c r="B263" s="21"/>
      <c r="C263" s="21"/>
    </row>
    <row r="264" spans="2:3" x14ac:dyDescent="0.25">
      <c r="B264" s="21"/>
      <c r="C264" s="21"/>
    </row>
    <row r="265" spans="2:3" x14ac:dyDescent="0.25">
      <c r="B265" s="21"/>
      <c r="C265" s="21"/>
    </row>
    <row r="266" spans="2:3" x14ac:dyDescent="0.25">
      <c r="B266" s="21"/>
      <c r="C266" s="21"/>
    </row>
    <row r="267" spans="2:3" x14ac:dyDescent="0.25">
      <c r="B267" s="21"/>
      <c r="C267" s="21"/>
    </row>
    <row r="268" spans="2:3" x14ac:dyDescent="0.25">
      <c r="B268" s="21"/>
      <c r="C268" s="21"/>
    </row>
    <row r="269" spans="2:3" x14ac:dyDescent="0.25">
      <c r="B269" s="21"/>
      <c r="C269" s="21"/>
    </row>
    <row r="270" spans="2:3" x14ac:dyDescent="0.25">
      <c r="B270" s="21"/>
      <c r="C270" s="21"/>
    </row>
    <row r="271" spans="2:3" x14ac:dyDescent="0.25">
      <c r="B271" s="21"/>
      <c r="C271" s="21"/>
    </row>
    <row r="272" spans="2:3" x14ac:dyDescent="0.25">
      <c r="B272" s="21"/>
      <c r="C272" s="21"/>
    </row>
    <row r="273" spans="2:3" x14ac:dyDescent="0.25">
      <c r="B273" s="21"/>
      <c r="C273" s="21"/>
    </row>
    <row r="274" spans="2:3" x14ac:dyDescent="0.25">
      <c r="B274" s="21"/>
      <c r="C274" s="21"/>
    </row>
    <row r="275" spans="2:3" x14ac:dyDescent="0.25">
      <c r="B275" s="21"/>
      <c r="C275" s="21"/>
    </row>
    <row r="276" spans="2:3" x14ac:dyDescent="0.25">
      <c r="B276" s="21"/>
      <c r="C276" s="21"/>
    </row>
    <row r="277" spans="2:3" x14ac:dyDescent="0.25">
      <c r="B277" s="21"/>
      <c r="C277" s="21"/>
    </row>
    <row r="278" spans="2:3" x14ac:dyDescent="0.25">
      <c r="B278" s="21"/>
      <c r="C278" s="21"/>
    </row>
    <row r="279" spans="2:3" x14ac:dyDescent="0.25">
      <c r="B279" s="21"/>
      <c r="C279" s="21"/>
    </row>
    <row r="280" spans="2:3" x14ac:dyDescent="0.25">
      <c r="B280" s="21"/>
      <c r="C280" s="21"/>
    </row>
    <row r="281" spans="2:3" x14ac:dyDescent="0.25">
      <c r="B281" s="21"/>
      <c r="C281" s="21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20</vt:i4>
      </vt:variant>
    </vt:vector>
  </HeadingPairs>
  <TitlesOfParts>
    <vt:vector size="28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2016-11-28T19:16:35Z</dcterms:modified>
</cp:coreProperties>
</file>