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9" l="1"/>
  <c r="C3" i="9"/>
  <c r="B4" i="9"/>
  <c r="C5" i="9" s="1"/>
  <c r="C4" i="9"/>
  <c r="B5" i="9"/>
  <c r="B6" i="9"/>
  <c r="C7" i="9" s="1"/>
  <c r="C6" i="9"/>
  <c r="B7" i="9"/>
  <c r="B8" i="9"/>
  <c r="C9" i="9" s="1"/>
  <c r="C8" i="9"/>
  <c r="B9" i="9"/>
  <c r="B10" i="9"/>
  <c r="C11" i="9" s="1"/>
  <c r="C10" i="9"/>
  <c r="B11" i="9"/>
  <c r="B12" i="9"/>
  <c r="C13" i="9" s="1"/>
  <c r="C12" i="9"/>
  <c r="B13" i="9"/>
  <c r="B14" i="9"/>
  <c r="C15" i="9" s="1"/>
  <c r="C14" i="9"/>
  <c r="B15" i="9"/>
  <c r="B16" i="9"/>
  <c r="C17" i="9" s="1"/>
  <c r="C16" i="9"/>
  <c r="B17" i="9"/>
  <c r="B18" i="9"/>
  <c r="C19" i="9" s="1"/>
  <c r="C18" i="9"/>
  <c r="B19" i="9"/>
  <c r="B20" i="9"/>
  <c r="C21" i="9" s="1"/>
  <c r="C20" i="9"/>
  <c r="B21" i="9"/>
  <c r="B22" i="9"/>
  <c r="C23" i="9" s="1"/>
  <c r="C22" i="9"/>
  <c r="B23" i="9"/>
  <c r="B24" i="9"/>
  <c r="C25" i="9" s="1"/>
  <c r="C24" i="9"/>
  <c r="B25" i="9"/>
  <c r="B26" i="9"/>
  <c r="C27" i="9" s="1"/>
  <c r="C26" i="9"/>
  <c r="B27" i="9"/>
  <c r="B28" i="9"/>
  <c r="C29" i="9" s="1"/>
  <c r="C28" i="9"/>
  <c r="B29" i="9"/>
  <c r="B30" i="9"/>
  <c r="C31" i="9" s="1"/>
  <c r="C30" i="9"/>
  <c r="B31" i="9"/>
  <c r="B32" i="9"/>
  <c r="C33" i="9" s="1"/>
  <c r="C32" i="9"/>
  <c r="B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6" i="9"/>
  <c r="P71" i="1"/>
  <c r="W111" i="1"/>
  <c r="X111" i="1"/>
  <c r="W112" i="1"/>
  <c r="X112" i="1"/>
  <c r="W113" i="1"/>
  <c r="X113" i="1"/>
  <c r="W114" i="1"/>
  <c r="X114" i="1"/>
  <c r="W115" i="1"/>
  <c r="X115" i="1"/>
  <c r="W116" i="1"/>
  <c r="X116" i="1"/>
  <c r="W117" i="1"/>
  <c r="X117" i="1"/>
  <c r="W118" i="1"/>
  <c r="X118" i="1"/>
  <c r="X160" i="1"/>
  <c r="AC27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R19" i="3" s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X47" i="1"/>
  <c r="Y47" i="1"/>
  <c r="Z47" i="1"/>
  <c r="AB47" i="1"/>
  <c r="AC47" i="1"/>
  <c r="AD47" i="1"/>
  <c r="T47" i="1" s="1"/>
  <c r="AE47" i="1"/>
  <c r="AF47" i="1"/>
  <c r="AG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15" i="3" s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/>
  <c r="V60" i="1"/>
  <c r="Y60" i="1"/>
  <c r="Z60" i="1"/>
  <c r="AB60" i="1"/>
  <c r="AC60" i="1"/>
  <c r="AD60" i="1"/>
  <c r="T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X61" i="1" s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X63" i="1" s="1"/>
  <c r="AE62" i="1"/>
  <c r="AF62" i="1"/>
  <c r="AH62" i="1"/>
  <c r="AM62" i="1"/>
  <c r="K63" i="1"/>
  <c r="L63" i="1"/>
  <c r="M63" i="1"/>
  <c r="N63" i="1" s="1"/>
  <c r="T63" i="1"/>
  <c r="V63" i="1"/>
  <c r="Y63" i="1"/>
  <c r="Z63" i="1"/>
  <c r="AA63" i="1" s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K68" i="1"/>
  <c r="L68" i="1"/>
  <c r="M68" i="1"/>
  <c r="N68" i="1" s="1"/>
  <c r="V68" i="1"/>
  <c r="S9" i="3" s="1"/>
  <c r="Y68" i="1"/>
  <c r="Z68" i="1"/>
  <c r="AA68" i="1" s="1"/>
  <c r="W68" i="1" s="1"/>
  <c r="AB68" i="1"/>
  <c r="AC68" i="1"/>
  <c r="AD68" i="1"/>
  <c r="AG68" i="1" s="1"/>
  <c r="AE68" i="1"/>
  <c r="AF68" i="1"/>
  <c r="AH68" i="1"/>
  <c r="AI68" i="1"/>
  <c r="AM68" i="1"/>
  <c r="K69" i="1"/>
  <c r="L69" i="1"/>
  <c r="M69" i="1"/>
  <c r="N69" i="1" s="1"/>
  <c r="V69" i="1"/>
  <c r="X69" i="1"/>
  <c r="Y69" i="1"/>
  <c r="Z69" i="1"/>
  <c r="AB69" i="1"/>
  <c r="AC69" i="1"/>
  <c r="AD69" i="1"/>
  <c r="T69" i="1" s="1"/>
  <c r="AE69" i="1"/>
  <c r="AF69" i="1"/>
  <c r="AG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K71" i="1"/>
  <c r="L71" i="1"/>
  <c r="M71" i="1"/>
  <c r="V71" i="1"/>
  <c r="Y71" i="1"/>
  <c r="Z71" i="1"/>
  <c r="AB71" i="1"/>
  <c r="AC71" i="1"/>
  <c r="AD71" i="1"/>
  <c r="AG71" i="1" s="1"/>
  <c r="AE71" i="1"/>
  <c r="AF71" i="1"/>
  <c r="AH71" i="1"/>
  <c r="AM71" i="1"/>
  <c r="K72" i="1"/>
  <c r="L72" i="1"/>
  <c r="M72" i="1"/>
  <c r="V72" i="1"/>
  <c r="Y72" i="1"/>
  <c r="Z72" i="1"/>
  <c r="AI72" i="1" s="1"/>
  <c r="AB72" i="1"/>
  <c r="AC72" i="1"/>
  <c r="AD72" i="1"/>
  <c r="AG72" i="1" s="1"/>
  <c r="AE72" i="1"/>
  <c r="AF72" i="1"/>
  <c r="AH72" i="1"/>
  <c r="AM72" i="1"/>
  <c r="K73" i="1"/>
  <c r="L73" i="1"/>
  <c r="M73" i="1"/>
  <c r="N73" i="1"/>
  <c r="V73" i="1"/>
  <c r="S11" i="3" s="1"/>
  <c r="Y73" i="1"/>
  <c r="Z73" i="1"/>
  <c r="AB73" i="1"/>
  <c r="AC73" i="1"/>
  <c r="AD73" i="1"/>
  <c r="T73" i="1" s="1"/>
  <c r="AE73" i="1"/>
  <c r="AF73" i="1"/>
  <c r="AH73" i="1"/>
  <c r="AM73" i="1"/>
  <c r="K74" i="1"/>
  <c r="L74" i="1"/>
  <c r="M74" i="1"/>
  <c r="N74" i="1" s="1"/>
  <c r="V74" i="1"/>
  <c r="Y74" i="1"/>
  <c r="Z74" i="1"/>
  <c r="AA74" i="1" s="1"/>
  <c r="W74" i="1" s="1"/>
  <c r="AB74" i="1"/>
  <c r="AC74" i="1"/>
  <c r="AD74" i="1"/>
  <c r="AG74" i="1" s="1"/>
  <c r="AE74" i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N78" i="1" s="1"/>
  <c r="V78" i="1"/>
  <c r="Y78" i="1"/>
  <c r="Z78" i="1"/>
  <c r="AI78" i="1" s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S12" i="3" s="1"/>
  <c r="Y79" i="1"/>
  <c r="Z79" i="1"/>
  <c r="AB79" i="1"/>
  <c r="AC79" i="1"/>
  <c r="AD79" i="1"/>
  <c r="X79" i="1" s="1"/>
  <c r="AE79" i="1"/>
  <c r="R12" i="3" s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I80" i="1"/>
  <c r="AM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I86" i="1"/>
  <c r="AM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S14" i="3" s="1"/>
  <c r="Y88" i="1"/>
  <c r="AA88" i="1" s="1"/>
  <c r="Z88" i="1"/>
  <c r="AB88" i="1"/>
  <c r="AC88" i="1"/>
  <c r="AD88" i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S16" i="3" s="1"/>
  <c r="Y92" i="1"/>
  <c r="Z92" i="1"/>
  <c r="AB92" i="1"/>
  <c r="AC92" i="1"/>
  <c r="AD92" i="1"/>
  <c r="AG92" i="1" s="1"/>
  <c r="AE92" i="1"/>
  <c r="AF92" i="1"/>
  <c r="AH92" i="1"/>
  <c r="AM92" i="1"/>
  <c r="K93" i="1"/>
  <c r="L93" i="1"/>
  <c r="M93" i="1"/>
  <c r="N93" i="1"/>
  <c r="V93" i="1"/>
  <c r="Y93" i="1"/>
  <c r="Z93" i="1"/>
  <c r="AA93" i="1" s="1"/>
  <c r="AB93" i="1"/>
  <c r="AC93" i="1"/>
  <c r="AD93" i="1"/>
  <c r="T93" i="1" s="1"/>
  <c r="AE93" i="1"/>
  <c r="AF93" i="1"/>
  <c r="AH93" i="1"/>
  <c r="AM93" i="1"/>
  <c r="K160" i="1"/>
  <c r="L160" i="1"/>
  <c r="M160" i="1"/>
  <c r="N160" i="1"/>
  <c r="V160" i="1"/>
  <c r="Y160" i="1"/>
  <c r="Z160" i="1"/>
  <c r="AB160" i="1"/>
  <c r="AC160" i="1"/>
  <c r="AD160" i="1"/>
  <c r="AG160" i="1" s="1"/>
  <c r="AE160" i="1"/>
  <c r="AF160" i="1"/>
  <c r="AH94" i="1"/>
  <c r="AM94" i="1"/>
  <c r="K161" i="1"/>
  <c r="L161" i="1"/>
  <c r="M161" i="1"/>
  <c r="N161" i="1" s="1"/>
  <c r="V161" i="1"/>
  <c r="Y161" i="1"/>
  <c r="Z161" i="1"/>
  <c r="AA161" i="1" s="1"/>
  <c r="AB161" i="1"/>
  <c r="AC161" i="1"/>
  <c r="AD161" i="1"/>
  <c r="X161" i="1" s="1"/>
  <c r="AE161" i="1"/>
  <c r="AF161" i="1"/>
  <c r="AH95" i="1"/>
  <c r="AM95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6" i="1"/>
  <c r="AM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0" i="1"/>
  <c r="AM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3" i="1"/>
  <c r="AM10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4" i="1"/>
  <c r="AM104" i="1"/>
  <c r="K170" i="1"/>
  <c r="L170" i="1"/>
  <c r="M170" i="1"/>
  <c r="N170" i="1" s="1"/>
  <c r="V170" i="1"/>
  <c r="Y170" i="1"/>
  <c r="Z170" i="1"/>
  <c r="AA170" i="1" s="1"/>
  <c r="W170" i="1" s="1"/>
  <c r="AB170" i="1"/>
  <c r="AC170" i="1"/>
  <c r="AD170" i="1"/>
  <c r="AG170" i="1" s="1"/>
  <c r="AE170" i="1"/>
  <c r="AF170" i="1"/>
  <c r="AH105" i="1"/>
  <c r="AM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7" i="1"/>
  <c r="AM107" i="1"/>
  <c r="K173" i="1"/>
  <c r="L173" i="1"/>
  <c r="M173" i="1"/>
  <c r="N173" i="1" s="1"/>
  <c r="V173" i="1"/>
  <c r="Y173" i="1"/>
  <c r="Z173" i="1"/>
  <c r="AA173" i="1" s="1"/>
  <c r="W173" i="1" s="1"/>
  <c r="AB173" i="1"/>
  <c r="AC173" i="1"/>
  <c r="AD173" i="1"/>
  <c r="AG173" i="1" s="1"/>
  <c r="AE173" i="1"/>
  <c r="R30" i="3" s="1"/>
  <c r="AF173" i="1"/>
  <c r="AH108" i="1"/>
  <c r="AM108" i="1"/>
  <c r="K174" i="1"/>
  <c r="L174" i="1"/>
  <c r="M174" i="1"/>
  <c r="N174" i="1" s="1"/>
  <c r="T174" i="1"/>
  <c r="V174" i="1"/>
  <c r="Y174" i="1"/>
  <c r="Z174" i="1"/>
  <c r="AB174" i="1"/>
  <c r="AC174" i="1"/>
  <c r="AD174" i="1"/>
  <c r="AG174" i="1" s="1"/>
  <c r="AE174" i="1"/>
  <c r="AF174" i="1"/>
  <c r="AH109" i="1"/>
  <c r="AM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1" i="1"/>
  <c r="AM111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2" i="1"/>
  <c r="AM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14" i="1"/>
  <c r="AM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6" i="1"/>
  <c r="AM1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7" i="1"/>
  <c r="AM117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AG183" i="1" s="1"/>
  <c r="AE183" i="1"/>
  <c r="AF183" i="1"/>
  <c r="AH118" i="1"/>
  <c r="AM11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9" i="1"/>
  <c r="AM119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0" i="1"/>
  <c r="AM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5" i="1"/>
  <c r="AM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7" i="1"/>
  <c r="AM127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128" i="1"/>
  <c r="AM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R32" i="3" s="1"/>
  <c r="AF193" i="1"/>
  <c r="AH129" i="1"/>
  <c r="AM129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0" i="1"/>
  <c r="AM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AM131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132" i="1"/>
  <c r="AM132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3" i="1"/>
  <c r="AM133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34" i="1"/>
  <c r="AM134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5" i="1"/>
  <c r="AM135" i="1"/>
  <c r="K103" i="1"/>
  <c r="L103" i="1"/>
  <c r="M103" i="1"/>
  <c r="N103" i="1" s="1"/>
  <c r="V103" i="1"/>
  <c r="Y103" i="1"/>
  <c r="Z103" i="1"/>
  <c r="AA103" i="1" s="1"/>
  <c r="W103" i="1" s="1"/>
  <c r="AB103" i="1"/>
  <c r="AC103" i="1"/>
  <c r="AD103" i="1"/>
  <c r="AG103" i="1" s="1"/>
  <c r="AE103" i="1"/>
  <c r="AF103" i="1"/>
  <c r="AH136" i="1"/>
  <c r="AM1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7" i="1"/>
  <c r="AM13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8" i="1"/>
  <c r="AM138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9" i="1"/>
  <c r="AM139" i="1"/>
  <c r="K105" i="1"/>
  <c r="L105" i="1"/>
  <c r="M105" i="1"/>
  <c r="N105" i="1" s="1"/>
  <c r="V105" i="1"/>
  <c r="Y105" i="1"/>
  <c r="Z105" i="1"/>
  <c r="AA105" i="1" s="1"/>
  <c r="W105" i="1" s="1"/>
  <c r="AB105" i="1"/>
  <c r="AC105" i="1"/>
  <c r="AD105" i="1"/>
  <c r="AG105" i="1" s="1"/>
  <c r="AE105" i="1"/>
  <c r="AF105" i="1"/>
  <c r="AH140" i="1"/>
  <c r="AM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2" i="1"/>
  <c r="AM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K109" i="1"/>
  <c r="L109" i="1"/>
  <c r="M109" i="1"/>
  <c r="N109" i="1" s="1"/>
  <c r="V109" i="1"/>
  <c r="X109" i="1"/>
  <c r="Y109" i="1"/>
  <c r="Z109" i="1"/>
  <c r="AB109" i="1"/>
  <c r="AC109" i="1"/>
  <c r="AD109" i="1"/>
  <c r="AG109" i="1" s="1"/>
  <c r="AE109" i="1"/>
  <c r="AF109" i="1"/>
  <c r="AH144" i="1"/>
  <c r="AM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6" i="1"/>
  <c r="AM146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7" i="1"/>
  <c r="AM147" i="1"/>
  <c r="AH148" i="1"/>
  <c r="AM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K114" i="1"/>
  <c r="L114" i="1"/>
  <c r="M114" i="1"/>
  <c r="N114" i="1" s="1"/>
  <c r="V114" i="1"/>
  <c r="Y114" i="1"/>
  <c r="Z114" i="1"/>
  <c r="AA114" i="1" s="1"/>
  <c r="AB114" i="1"/>
  <c r="AC114" i="1"/>
  <c r="AD114" i="1"/>
  <c r="AG114" i="1" s="1"/>
  <c r="AE114" i="1"/>
  <c r="AF114" i="1"/>
  <c r="AH150" i="1"/>
  <c r="AM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K116" i="1"/>
  <c r="L116" i="1"/>
  <c r="M116" i="1"/>
  <c r="N116" i="1" s="1"/>
  <c r="T116" i="1"/>
  <c r="V116" i="1"/>
  <c r="Y116" i="1"/>
  <c r="Z116" i="1"/>
  <c r="AB116" i="1"/>
  <c r="AC116" i="1"/>
  <c r="AD116" i="1"/>
  <c r="AG116" i="1" s="1"/>
  <c r="AE116" i="1"/>
  <c r="AF116" i="1"/>
  <c r="AH152" i="1"/>
  <c r="AM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9" i="1"/>
  <c r="AM159" i="1"/>
  <c r="K125" i="1"/>
  <c r="L125" i="1"/>
  <c r="M125" i="1"/>
  <c r="N125" i="1" s="1"/>
  <c r="V125" i="1"/>
  <c r="S20" i="3" s="1"/>
  <c r="Y125" i="1"/>
  <c r="Z125" i="1"/>
  <c r="AB125" i="1"/>
  <c r="AC125" i="1"/>
  <c r="AD125" i="1"/>
  <c r="AE125" i="1"/>
  <c r="AF125" i="1"/>
  <c r="AH160" i="1"/>
  <c r="AM160" i="1"/>
  <c r="K126" i="1"/>
  <c r="L126" i="1"/>
  <c r="M126" i="1"/>
  <c r="N126" i="1" s="1"/>
  <c r="V126" i="1"/>
  <c r="Y126" i="1"/>
  <c r="Z126" i="1"/>
  <c r="AA126" i="1" s="1"/>
  <c r="AB126" i="1"/>
  <c r="AC126" i="1"/>
  <c r="AD126" i="1"/>
  <c r="AG126" i="1" s="1"/>
  <c r="AE126" i="1"/>
  <c r="AF126" i="1"/>
  <c r="AH161" i="1"/>
  <c r="AM16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AM162" i="1"/>
  <c r="K128" i="1"/>
  <c r="L128" i="1"/>
  <c r="M128" i="1"/>
  <c r="N128" i="1" s="1"/>
  <c r="T128" i="1"/>
  <c r="V128" i="1"/>
  <c r="Y128" i="1"/>
  <c r="Z128" i="1"/>
  <c r="AB128" i="1"/>
  <c r="AC128" i="1"/>
  <c r="AD128" i="1"/>
  <c r="AG128" i="1" s="1"/>
  <c r="AE128" i="1"/>
  <c r="AF128" i="1"/>
  <c r="AH163" i="1"/>
  <c r="AM16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4" i="1"/>
  <c r="AM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AM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R21" i="3" s="1"/>
  <c r="AF133" i="1"/>
  <c r="AH168" i="1"/>
  <c r="AM168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9" i="1"/>
  <c r="AM169" i="1"/>
  <c r="K135" i="1"/>
  <c r="L135" i="1"/>
  <c r="M135" i="1"/>
  <c r="N135" i="1" s="1"/>
  <c r="V135" i="1"/>
  <c r="S22" i="3" s="1"/>
  <c r="Y135" i="1"/>
  <c r="Z135" i="1"/>
  <c r="AB135" i="1"/>
  <c r="AC135" i="1"/>
  <c r="AD135" i="1"/>
  <c r="AE135" i="1"/>
  <c r="AF135" i="1"/>
  <c r="AH170" i="1"/>
  <c r="AM170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1" i="1"/>
  <c r="AM171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2" i="1"/>
  <c r="AM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K139" i="1"/>
  <c r="L139" i="1"/>
  <c r="M139" i="1"/>
  <c r="N139" i="1" s="1"/>
  <c r="V139" i="1"/>
  <c r="S18" i="3" s="1"/>
  <c r="Y139" i="1"/>
  <c r="Z139" i="1"/>
  <c r="AB139" i="1"/>
  <c r="AC139" i="1"/>
  <c r="AD139" i="1"/>
  <c r="AE139" i="1"/>
  <c r="AF139" i="1"/>
  <c r="AH174" i="1"/>
  <c r="AM174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5" i="1"/>
  <c r="AM175" i="1"/>
  <c r="K141" i="1"/>
  <c r="L141" i="1"/>
  <c r="M141" i="1"/>
  <c r="N141" i="1" s="1"/>
  <c r="V141" i="1"/>
  <c r="S25" i="3" s="1"/>
  <c r="Y141" i="1"/>
  <c r="Z141" i="1"/>
  <c r="AA141" i="1" s="1"/>
  <c r="AB141" i="1"/>
  <c r="AC141" i="1"/>
  <c r="AD141" i="1"/>
  <c r="AG141" i="1" s="1"/>
  <c r="AE141" i="1"/>
  <c r="R24" i="3" s="1"/>
  <c r="AF141" i="1"/>
  <c r="AH176" i="1"/>
  <c r="AM176" i="1"/>
  <c r="K142" i="1"/>
  <c r="L142" i="1"/>
  <c r="M142" i="1"/>
  <c r="N142" i="1" s="1"/>
  <c r="V142" i="1"/>
  <c r="S7" i="3" s="1"/>
  <c r="Y142" i="1"/>
  <c r="Z142" i="1"/>
  <c r="AB142" i="1"/>
  <c r="AC142" i="1"/>
  <c r="AD142" i="1"/>
  <c r="AE142" i="1"/>
  <c r="AF142" i="1"/>
  <c r="AH177" i="1"/>
  <c r="AM177" i="1"/>
  <c r="K143" i="1"/>
  <c r="L143" i="1"/>
  <c r="M143" i="1"/>
  <c r="N143" i="1"/>
  <c r="V143" i="1"/>
  <c r="S13" i="3" s="1"/>
  <c r="Y143" i="1"/>
  <c r="Z143" i="1"/>
  <c r="AB143" i="1"/>
  <c r="AC143" i="1"/>
  <c r="AD143" i="1"/>
  <c r="AG143" i="1" s="1"/>
  <c r="AE143" i="1"/>
  <c r="AF143" i="1"/>
  <c r="AH178" i="1"/>
  <c r="AM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0" i="1"/>
  <c r="AM180" i="1"/>
  <c r="K146" i="1"/>
  <c r="L146" i="1"/>
  <c r="M146" i="1"/>
  <c r="N146" i="1" s="1"/>
  <c r="V146" i="1"/>
  <c r="S28" i="3" s="1"/>
  <c r="Y146" i="1"/>
  <c r="Z146" i="1"/>
  <c r="AB146" i="1"/>
  <c r="AC146" i="1"/>
  <c r="AD146" i="1"/>
  <c r="AG146" i="1" s="1"/>
  <c r="AE146" i="1"/>
  <c r="AF146" i="1"/>
  <c r="AH181" i="1"/>
  <c r="AM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AM183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4" i="1"/>
  <c r="AM184" i="1"/>
  <c r="K150" i="1"/>
  <c r="L150" i="1"/>
  <c r="M150" i="1"/>
  <c r="N150" i="1" s="1"/>
  <c r="V150" i="1"/>
  <c r="S8" i="3" s="1"/>
  <c r="Y150" i="1"/>
  <c r="Z150" i="1"/>
  <c r="AB150" i="1"/>
  <c r="AC150" i="1"/>
  <c r="AD150" i="1"/>
  <c r="AG150" i="1" s="1"/>
  <c r="AE150" i="1"/>
  <c r="AF150" i="1"/>
  <c r="AH185" i="1"/>
  <c r="AM185" i="1"/>
  <c r="K151" i="1"/>
  <c r="L151" i="1"/>
  <c r="M151" i="1"/>
  <c r="N151" i="1" s="1"/>
  <c r="V151" i="1"/>
  <c r="Y151" i="1"/>
  <c r="Z151" i="1"/>
  <c r="AA151" i="1" s="1"/>
  <c r="AB151" i="1"/>
  <c r="AC151" i="1"/>
  <c r="AD151" i="1"/>
  <c r="AG151" i="1" s="1"/>
  <c r="AE151" i="1"/>
  <c r="AF151" i="1"/>
  <c r="AH186" i="1"/>
  <c r="AM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AM187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88" i="1"/>
  <c r="AM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K156" i="1"/>
  <c r="L156" i="1"/>
  <c r="M156" i="1"/>
  <c r="N156" i="1" s="1"/>
  <c r="V156" i="1"/>
  <c r="S17" i="3" s="1"/>
  <c r="Y156" i="1"/>
  <c r="Z156" i="1"/>
  <c r="AB156" i="1"/>
  <c r="AC156" i="1"/>
  <c r="AD156" i="1"/>
  <c r="T156" i="1" s="1"/>
  <c r="AE156" i="1"/>
  <c r="R17" i="3" s="1"/>
  <c r="AF156" i="1"/>
  <c r="AH191" i="1"/>
  <c r="AM191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2" i="1"/>
  <c r="AM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H194" i="1"/>
  <c r="AM194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95" i="1"/>
  <c r="AM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AM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I196" i="1" s="1"/>
  <c r="AE196" i="1"/>
  <c r="AF196" i="1"/>
  <c r="AH198" i="1"/>
  <c r="AM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AG198" i="1" s="1"/>
  <c r="AI198" i="1" s="1"/>
  <c r="AE198" i="1"/>
  <c r="AF198" i="1"/>
  <c r="AH200" i="1"/>
  <c r="AM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AM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G204" i="1" s="1"/>
  <c r="AE204" i="1"/>
  <c r="AF204" i="1"/>
  <c r="AH206" i="1"/>
  <c r="AM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AM207" i="1"/>
  <c r="K208" i="1"/>
  <c r="L208" i="1"/>
  <c r="M208" i="1"/>
  <c r="N208" i="1" s="1"/>
  <c r="V208" i="1"/>
  <c r="S34" i="3" s="1"/>
  <c r="Y208" i="1"/>
  <c r="Z208" i="1"/>
  <c r="AB208" i="1"/>
  <c r="AC208" i="1"/>
  <c r="AD208" i="1"/>
  <c r="AG208" i="1" s="1"/>
  <c r="AE208" i="1"/>
  <c r="R38" i="3" s="1"/>
  <c r="AF208" i="1"/>
  <c r="AH208" i="1"/>
  <c r="AM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K210" i="1"/>
  <c r="L210" i="1"/>
  <c r="M210" i="1"/>
  <c r="N210" i="1" s="1"/>
  <c r="V210" i="1"/>
  <c r="S33" i="3" s="1"/>
  <c r="Y210" i="1"/>
  <c r="Z210" i="1"/>
  <c r="AA210" i="1" s="1"/>
  <c r="AB210" i="1"/>
  <c r="AC210" i="1"/>
  <c r="AD210" i="1"/>
  <c r="AG210" i="1" s="1"/>
  <c r="AE210" i="1"/>
  <c r="R33" i="3" s="1"/>
  <c r="AF210" i="1"/>
  <c r="AH210" i="1"/>
  <c r="AM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K212" i="1"/>
  <c r="L212" i="1"/>
  <c r="M212" i="1"/>
  <c r="N212" i="1" s="1"/>
  <c r="V212" i="1"/>
  <c r="S35" i="3" s="1"/>
  <c r="Y212" i="1"/>
  <c r="Z212" i="1"/>
  <c r="AB212" i="1"/>
  <c r="AC212" i="1"/>
  <c r="AD212" i="1"/>
  <c r="AG212" i="1" s="1"/>
  <c r="AE212" i="1"/>
  <c r="R35" i="3" s="1"/>
  <c r="AF212" i="1"/>
  <c r="AH212" i="1"/>
  <c r="AM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K214" i="1"/>
  <c r="L214" i="1"/>
  <c r="M214" i="1"/>
  <c r="N214" i="1" s="1"/>
  <c r="V214" i="1"/>
  <c r="Y214" i="1"/>
  <c r="Z214" i="1"/>
  <c r="AA214" i="1" s="1"/>
  <c r="AB214" i="1"/>
  <c r="AC214" i="1"/>
  <c r="AD214" i="1"/>
  <c r="AG214" i="1" s="1"/>
  <c r="AE214" i="1"/>
  <c r="AF214" i="1"/>
  <c r="AH214" i="1"/>
  <c r="AM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K216" i="1"/>
  <c r="L216" i="1"/>
  <c r="M216" i="1"/>
  <c r="N216" i="1" s="1"/>
  <c r="V216" i="1"/>
  <c r="S36" i="3" s="1"/>
  <c r="Y216" i="1"/>
  <c r="Z216" i="1"/>
  <c r="AB216" i="1"/>
  <c r="AC216" i="1"/>
  <c r="AD216" i="1"/>
  <c r="AG216" i="1" s="1"/>
  <c r="AE216" i="1"/>
  <c r="R36" i="3" s="1"/>
  <c r="AF216" i="1"/>
  <c r="AH216" i="1"/>
  <c r="AM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17" i="1"/>
  <c r="AM217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218" i="1"/>
  <c r="AM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M19" i="3"/>
  <c r="S19" i="3"/>
  <c r="U19" i="3"/>
  <c r="T19" i="3" s="1"/>
  <c r="V19" i="3"/>
  <c r="W19" i="3"/>
  <c r="X19" i="3"/>
  <c r="M27" i="3"/>
  <c r="R27" i="3"/>
  <c r="S27" i="3"/>
  <c r="U27" i="3"/>
  <c r="T27" i="3" s="1"/>
  <c r="V27" i="3"/>
  <c r="W27" i="3"/>
  <c r="X27" i="3"/>
  <c r="M34" i="3"/>
  <c r="U34" i="3"/>
  <c r="AC34" i="3" s="1"/>
  <c r="V34" i="3"/>
  <c r="W34" i="3"/>
  <c r="X34" i="3"/>
  <c r="M37" i="3"/>
  <c r="U37" i="3"/>
  <c r="AC37" i="3" s="1"/>
  <c r="V37" i="3"/>
  <c r="W37" i="3"/>
  <c r="X37" i="3"/>
  <c r="M38" i="3"/>
  <c r="U38" i="3"/>
  <c r="V38" i="3"/>
  <c r="W38" i="3"/>
  <c r="X38" i="3"/>
  <c r="M15" i="3"/>
  <c r="S15" i="3"/>
  <c r="U15" i="3"/>
  <c r="AC15" i="3" s="1"/>
  <c r="V15" i="3"/>
  <c r="W15" i="3"/>
  <c r="X15" i="3"/>
  <c r="M9" i="3"/>
  <c r="R9" i="3"/>
  <c r="U9" i="3"/>
  <c r="AC9" i="3" s="1"/>
  <c r="V9" i="3"/>
  <c r="W9" i="3"/>
  <c r="X9" i="3"/>
  <c r="M11" i="3"/>
  <c r="R11" i="3"/>
  <c r="U11" i="3"/>
  <c r="AC11" i="3" s="1"/>
  <c r="V11" i="3"/>
  <c r="W11" i="3"/>
  <c r="X11" i="3"/>
  <c r="M29" i="3"/>
  <c r="S29" i="3"/>
  <c r="U29" i="3"/>
  <c r="T29" i="3" s="1"/>
  <c r="V29" i="3"/>
  <c r="W29" i="3"/>
  <c r="X29" i="3"/>
  <c r="M30" i="3"/>
  <c r="S30" i="3"/>
  <c r="U30" i="3"/>
  <c r="T30" i="3" s="1"/>
  <c r="V30" i="3"/>
  <c r="W30" i="3"/>
  <c r="X30" i="3"/>
  <c r="M31" i="3"/>
  <c r="S31" i="3"/>
  <c r="U31" i="3"/>
  <c r="AC31" i="3" s="1"/>
  <c r="V31" i="3"/>
  <c r="W31" i="3"/>
  <c r="X31" i="3"/>
  <c r="M12" i="3"/>
  <c r="U12" i="3"/>
  <c r="V12" i="3"/>
  <c r="W12" i="3"/>
  <c r="X12" i="3"/>
  <c r="M14" i="3"/>
  <c r="R14" i="3"/>
  <c r="U14" i="3"/>
  <c r="V14" i="3"/>
  <c r="W14" i="3"/>
  <c r="X14" i="3"/>
  <c r="AD14" i="3"/>
  <c r="M16" i="3"/>
  <c r="R16" i="3"/>
  <c r="U16" i="3"/>
  <c r="V16" i="3"/>
  <c r="W16" i="3"/>
  <c r="X16" i="3"/>
  <c r="M33" i="3"/>
  <c r="U33" i="3"/>
  <c r="AC33" i="3" s="1"/>
  <c r="V33" i="3"/>
  <c r="W33" i="3"/>
  <c r="X33" i="3"/>
  <c r="M35" i="3"/>
  <c r="U35" i="3"/>
  <c r="AC35" i="3" s="1"/>
  <c r="V35" i="3"/>
  <c r="W35" i="3"/>
  <c r="X35" i="3"/>
  <c r="M39" i="3"/>
  <c r="R39" i="3"/>
  <c r="U39" i="3"/>
  <c r="T39" i="3" s="1"/>
  <c r="V39" i="3"/>
  <c r="W39" i="3"/>
  <c r="X39" i="3"/>
  <c r="M40" i="3"/>
  <c r="U40" i="3"/>
  <c r="V40" i="3"/>
  <c r="W40" i="3"/>
  <c r="X40" i="3"/>
  <c r="M20" i="3"/>
  <c r="R20" i="3"/>
  <c r="U20" i="3"/>
  <c r="AC20" i="3" s="1"/>
  <c r="V20" i="3"/>
  <c r="W20" i="3"/>
  <c r="Y20" i="3" s="1"/>
  <c r="X20" i="3"/>
  <c r="M26" i="3"/>
  <c r="R26" i="3"/>
  <c r="S26" i="3"/>
  <c r="U26" i="3"/>
  <c r="AC26" i="3" s="1"/>
  <c r="V26" i="3"/>
  <c r="W26" i="3"/>
  <c r="X26" i="3"/>
  <c r="M21" i="3"/>
  <c r="S21" i="3"/>
  <c r="U21" i="3"/>
  <c r="T21" i="3" s="1"/>
  <c r="V21" i="3"/>
  <c r="W21" i="3"/>
  <c r="X21" i="3"/>
  <c r="M22" i="3"/>
  <c r="U22" i="3"/>
  <c r="V22" i="3"/>
  <c r="W22" i="3"/>
  <c r="X22" i="3"/>
  <c r="M23" i="3"/>
  <c r="U23" i="3"/>
  <c r="AC23" i="3" s="1"/>
  <c r="V23" i="3"/>
  <c r="W23" i="3"/>
  <c r="X23" i="3"/>
  <c r="M7" i="3"/>
  <c r="R7" i="3"/>
  <c r="U7" i="3"/>
  <c r="AC7" i="3" s="1"/>
  <c r="V7" i="3"/>
  <c r="W7" i="3"/>
  <c r="Y7" i="3" s="1"/>
  <c r="X7" i="3"/>
  <c r="M18" i="3"/>
  <c r="R18" i="3"/>
  <c r="U18" i="3"/>
  <c r="T18" i="3" s="1"/>
  <c r="V18" i="3"/>
  <c r="W18" i="3"/>
  <c r="X18" i="3"/>
  <c r="M24" i="3"/>
  <c r="S24" i="3"/>
  <c r="U24" i="3"/>
  <c r="AC24" i="3" s="1"/>
  <c r="V24" i="3"/>
  <c r="W24" i="3"/>
  <c r="X24" i="3"/>
  <c r="AD24" i="3"/>
  <c r="M25" i="3"/>
  <c r="U25" i="3"/>
  <c r="AC25" i="3" s="1"/>
  <c r="V25" i="3"/>
  <c r="W25" i="3"/>
  <c r="X25" i="3"/>
  <c r="M13" i="3"/>
  <c r="R13" i="3"/>
  <c r="U13" i="3"/>
  <c r="V13" i="3"/>
  <c r="W13" i="3"/>
  <c r="X13" i="3"/>
  <c r="M32" i="3"/>
  <c r="S32" i="3"/>
  <c r="U32" i="3"/>
  <c r="V32" i="3"/>
  <c r="W32" i="3"/>
  <c r="X32" i="3"/>
  <c r="M28" i="3"/>
  <c r="R28" i="3"/>
  <c r="U28" i="3"/>
  <c r="V28" i="3"/>
  <c r="W28" i="3"/>
  <c r="X28" i="3"/>
  <c r="M36" i="3"/>
  <c r="U36" i="3"/>
  <c r="AC36" i="3" s="1"/>
  <c r="V36" i="3"/>
  <c r="W36" i="3"/>
  <c r="X36" i="3"/>
  <c r="M8" i="3"/>
  <c r="R8" i="3"/>
  <c r="U8" i="3"/>
  <c r="AC8" i="3" s="1"/>
  <c r="V8" i="3"/>
  <c r="W8" i="3"/>
  <c r="X8" i="3"/>
  <c r="M17" i="3"/>
  <c r="U17" i="3"/>
  <c r="T17" i="3" s="1"/>
  <c r="V17" i="3"/>
  <c r="W17" i="3"/>
  <c r="X17" i="3"/>
  <c r="Y25" i="3" l="1"/>
  <c r="Y11" i="3"/>
  <c r="Y34" i="3"/>
  <c r="AE8" i="3"/>
  <c r="AE12" i="3"/>
  <c r="Y17" i="3"/>
  <c r="AE28" i="3"/>
  <c r="AD32" i="3"/>
  <c r="S23" i="3"/>
  <c r="Y26" i="3"/>
  <c r="AE16" i="3"/>
  <c r="Y37" i="3"/>
  <c r="X181" i="1"/>
  <c r="X159" i="1"/>
  <c r="Y36" i="3"/>
  <c r="AD28" i="3"/>
  <c r="R25" i="3"/>
  <c r="Y24" i="3"/>
  <c r="Y21" i="3"/>
  <c r="AE13" i="3"/>
  <c r="Y33" i="3"/>
  <c r="AD16" i="3"/>
  <c r="AA208" i="1"/>
  <c r="W208" i="1" s="1"/>
  <c r="X200" i="1"/>
  <c r="AA199" i="1"/>
  <c r="AA196" i="1"/>
  <c r="AA156" i="1"/>
  <c r="T130" i="1"/>
  <c r="AA128" i="1"/>
  <c r="T118" i="1"/>
  <c r="AA116" i="1"/>
  <c r="AA111" i="1"/>
  <c r="T111" i="1"/>
  <c r="U111" i="1" s="1"/>
  <c r="S111" i="1" s="1"/>
  <c r="AA109" i="1"/>
  <c r="T109" i="1"/>
  <c r="AA107" i="1"/>
  <c r="W107" i="1" s="1"/>
  <c r="AA207" i="1"/>
  <c r="W207" i="1" s="1"/>
  <c r="T191" i="1"/>
  <c r="AA167" i="1"/>
  <c r="AA166" i="1"/>
  <c r="W166" i="1" s="1"/>
  <c r="AG93" i="1"/>
  <c r="AI93" i="1" s="1"/>
  <c r="X93" i="1"/>
  <c r="AA76" i="1"/>
  <c r="W76" i="1" s="1"/>
  <c r="AA73" i="1"/>
  <c r="AA69" i="1"/>
  <c r="W69" i="1" s="1"/>
  <c r="T55" i="1"/>
  <c r="AA44" i="1"/>
  <c r="X158" i="1"/>
  <c r="AE24" i="3"/>
  <c r="AA195" i="1"/>
  <c r="AA155" i="1"/>
  <c r="AA149" i="1"/>
  <c r="AA130" i="1"/>
  <c r="AA122" i="1"/>
  <c r="AA118" i="1"/>
  <c r="X98" i="1"/>
  <c r="AA189" i="1"/>
  <c r="AA181" i="1"/>
  <c r="W181" i="1" s="1"/>
  <c r="AA179" i="1"/>
  <c r="AA177" i="1"/>
  <c r="W177" i="1" s="1"/>
  <c r="AA171" i="1"/>
  <c r="W171" i="1" s="1"/>
  <c r="AA169" i="1"/>
  <c r="AI92" i="1"/>
  <c r="AA79" i="1"/>
  <c r="AA70" i="1"/>
  <c r="W70" i="1" s="1"/>
  <c r="AA28" i="1"/>
  <c r="AA24" i="1"/>
  <c r="AA20" i="1"/>
  <c r="AA16" i="1"/>
  <c r="AC39" i="3"/>
  <c r="X157" i="1"/>
  <c r="T28" i="3"/>
  <c r="AC28" i="3"/>
  <c r="T14" i="3"/>
  <c r="AC14" i="3"/>
  <c r="AD12" i="3"/>
  <c r="AC12" i="3"/>
  <c r="R31" i="3"/>
  <c r="R29" i="3"/>
  <c r="AC19" i="3"/>
  <c r="T32" i="3"/>
  <c r="AC32" i="3"/>
  <c r="AD22" i="3"/>
  <c r="AC22" i="3"/>
  <c r="T16" i="3"/>
  <c r="AC16" i="3"/>
  <c r="AD29" i="3"/>
  <c r="T38" i="3"/>
  <c r="AC38" i="3"/>
  <c r="R23" i="3"/>
  <c r="R22" i="3"/>
  <c r="AG132" i="1"/>
  <c r="T132" i="1"/>
  <c r="U132" i="1" s="1"/>
  <c r="S132" i="1" s="1"/>
  <c r="AG120" i="1"/>
  <c r="T120" i="1"/>
  <c r="T67" i="1"/>
  <c r="AG67" i="1"/>
  <c r="U67" i="1" s="1"/>
  <c r="S67" i="1" s="1"/>
  <c r="T40" i="3"/>
  <c r="AC40" i="3"/>
  <c r="AD17" i="3"/>
  <c r="AG124" i="1"/>
  <c r="U124" i="1" s="1"/>
  <c r="S124" i="1" s="1"/>
  <c r="T124" i="1"/>
  <c r="AD13" i="3"/>
  <c r="T13" i="3"/>
  <c r="AC13" i="3"/>
  <c r="AG175" i="1"/>
  <c r="T175" i="1"/>
  <c r="X175" i="1"/>
  <c r="W196" i="1"/>
  <c r="AA72" i="1"/>
  <c r="W72" i="1" s="1"/>
  <c r="X67" i="1"/>
  <c r="AA65" i="1"/>
  <c r="W63" i="1"/>
  <c r="AA55" i="1"/>
  <c r="W55" i="1" s="1"/>
  <c r="AA51" i="1"/>
  <c r="X42" i="1"/>
  <c r="AA41" i="1"/>
  <c r="AA38" i="1"/>
  <c r="AA36" i="1"/>
  <c r="AC30" i="3"/>
  <c r="AC18" i="3"/>
  <c r="AD15" i="3"/>
  <c r="Y31" i="3"/>
  <c r="X104" i="1"/>
  <c r="X165" i="1"/>
  <c r="AG91" i="1"/>
  <c r="X91" i="1"/>
  <c r="AG89" i="1"/>
  <c r="U89" i="1" s="1"/>
  <c r="S89" i="1" s="1"/>
  <c r="X89" i="1"/>
  <c r="X87" i="1"/>
  <c r="AC29" i="3"/>
  <c r="AC21" i="3"/>
  <c r="AC17" i="3"/>
  <c r="AD7" i="3"/>
  <c r="Y38" i="3"/>
  <c r="X218" i="1"/>
  <c r="AG155" i="1"/>
  <c r="W155" i="1" s="1"/>
  <c r="Y13" i="3"/>
  <c r="T24" i="3"/>
  <c r="AD26" i="3"/>
  <c r="AD39" i="3"/>
  <c r="Y35" i="3"/>
  <c r="Y16" i="3"/>
  <c r="Y27" i="3"/>
  <c r="AA216" i="1"/>
  <c r="W216" i="1" s="1"/>
  <c r="X210" i="1"/>
  <c r="AA209" i="1"/>
  <c r="AA194" i="1"/>
  <c r="AA143" i="1"/>
  <c r="AA132" i="1"/>
  <c r="T126" i="1"/>
  <c r="AA124" i="1"/>
  <c r="W124" i="1" s="1"/>
  <c r="T122" i="1"/>
  <c r="U122" i="1" s="1"/>
  <c r="S122" i="1" s="1"/>
  <c r="AA120" i="1"/>
  <c r="T114" i="1"/>
  <c r="AA101" i="1"/>
  <c r="AG100" i="1"/>
  <c r="AI100" i="1" s="1"/>
  <c r="AA192" i="1"/>
  <c r="AG191" i="1"/>
  <c r="T177" i="1"/>
  <c r="AA175" i="1"/>
  <c r="W175" i="1" s="1"/>
  <c r="T173" i="1"/>
  <c r="AA160" i="1"/>
  <c r="W160" i="1" s="1"/>
  <c r="AA92" i="1"/>
  <c r="W92" i="1" s="1"/>
  <c r="AA80" i="1"/>
  <c r="W80" i="1" s="1"/>
  <c r="X78" i="1"/>
  <c r="AG73" i="1"/>
  <c r="X73" i="1"/>
  <c r="T70" i="1"/>
  <c r="U70" i="1" s="1"/>
  <c r="S70" i="1" s="1"/>
  <c r="AA59" i="1"/>
  <c r="AG53" i="1"/>
  <c r="X53" i="1"/>
  <c r="X38" i="1"/>
  <c r="T127" i="1"/>
  <c r="X128" i="1"/>
  <c r="T119" i="1"/>
  <c r="X120" i="1"/>
  <c r="T112" i="1"/>
  <c r="R40" i="3"/>
  <c r="AA212" i="1"/>
  <c r="W212" i="1" s="1"/>
  <c r="AA203" i="1"/>
  <c r="AG194" i="1"/>
  <c r="AI194" i="1" s="1"/>
  <c r="AG139" i="1"/>
  <c r="X139" i="1"/>
  <c r="AG135" i="1"/>
  <c r="X135" i="1"/>
  <c r="T129" i="1"/>
  <c r="X130" i="1"/>
  <c r="T121" i="1"/>
  <c r="X122" i="1"/>
  <c r="T113" i="1"/>
  <c r="AA200" i="1"/>
  <c r="W200" i="1" s="1"/>
  <c r="X151" i="1"/>
  <c r="AG142" i="1"/>
  <c r="AI142" i="1" s="1"/>
  <c r="X143" i="1"/>
  <c r="T131" i="1"/>
  <c r="X132" i="1"/>
  <c r="T123" i="1"/>
  <c r="X124" i="1"/>
  <c r="T115" i="1"/>
  <c r="AA213" i="1"/>
  <c r="AA202" i="1"/>
  <c r="W202" i="1" s="1"/>
  <c r="AA197" i="1"/>
  <c r="X196" i="1"/>
  <c r="AA158" i="1"/>
  <c r="AG157" i="1"/>
  <c r="W157" i="1" s="1"/>
  <c r="AG147" i="1"/>
  <c r="U147" i="1" s="1"/>
  <c r="S147" i="1" s="1"/>
  <c r="X147" i="1"/>
  <c r="AG137" i="1"/>
  <c r="X137" i="1"/>
  <c r="T125" i="1"/>
  <c r="X126" i="1"/>
  <c r="T117" i="1"/>
  <c r="AA48" i="1"/>
  <c r="U47" i="1"/>
  <c r="AA153" i="1"/>
  <c r="W153" i="1" s="1"/>
  <c r="AI140" i="1"/>
  <c r="AA139" i="1"/>
  <c r="AA137" i="1"/>
  <c r="AA135" i="1"/>
  <c r="AA133" i="1"/>
  <c r="W133" i="1" s="1"/>
  <c r="AA131" i="1"/>
  <c r="AA129" i="1"/>
  <c r="AA127" i="1"/>
  <c r="AA125" i="1"/>
  <c r="AA123" i="1"/>
  <c r="AA121" i="1"/>
  <c r="AA119" i="1"/>
  <c r="AA117" i="1"/>
  <c r="AA115" i="1"/>
  <c r="AA113" i="1"/>
  <c r="AA112" i="1"/>
  <c r="AA110" i="1"/>
  <c r="AA108" i="1"/>
  <c r="AA193" i="1"/>
  <c r="AA190" i="1"/>
  <c r="AG188" i="1"/>
  <c r="AA187" i="1"/>
  <c r="X185" i="1"/>
  <c r="AA178" i="1"/>
  <c r="W178" i="1" s="1"/>
  <c r="T178" i="1"/>
  <c r="X176" i="1"/>
  <c r="AA174" i="1"/>
  <c r="W174" i="1" s="1"/>
  <c r="T171" i="1"/>
  <c r="T170" i="1"/>
  <c r="AA94" i="1"/>
  <c r="X169" i="1"/>
  <c r="X167" i="1"/>
  <c r="AA164" i="1"/>
  <c r="W164" i="1" s="1"/>
  <c r="T164" i="1"/>
  <c r="T160" i="1"/>
  <c r="AA84" i="1"/>
  <c r="W84" i="1" s="1"/>
  <c r="AG81" i="1"/>
  <c r="AI81" i="1" s="1"/>
  <c r="X81" i="1"/>
  <c r="AI76" i="1"/>
  <c r="T74" i="1"/>
  <c r="U74" i="1" s="1"/>
  <c r="S74" i="1" s="1"/>
  <c r="AG59" i="1"/>
  <c r="U59" i="1" s="1"/>
  <c r="S59" i="1" s="1"/>
  <c r="AA58" i="1"/>
  <c r="AG57" i="1"/>
  <c r="X57" i="1"/>
  <c r="AA53" i="1"/>
  <c r="W53" i="1" s="1"/>
  <c r="AG51" i="1"/>
  <c r="U51" i="1" s="1"/>
  <c r="S51" i="1" s="1"/>
  <c r="AA50" i="1"/>
  <c r="AA46" i="1"/>
  <c r="AG43" i="1"/>
  <c r="U43" i="1" s="1"/>
  <c r="S43" i="1" s="1"/>
  <c r="AA42" i="1"/>
  <c r="AA34" i="1"/>
  <c r="AA32" i="1"/>
  <c r="W32" i="1" s="1"/>
  <c r="AA29" i="1"/>
  <c r="T29" i="1"/>
  <c r="U29" i="1" s="1"/>
  <c r="S29" i="1" s="1"/>
  <c r="AA27" i="1"/>
  <c r="T27" i="1"/>
  <c r="AA25" i="1"/>
  <c r="W25" i="1" s="1"/>
  <c r="T25" i="1"/>
  <c r="U25" i="1" s="1"/>
  <c r="S25" i="1" s="1"/>
  <c r="AA23" i="1"/>
  <c r="T23" i="1"/>
  <c r="U23" i="1" s="1"/>
  <c r="S23" i="1" s="1"/>
  <c r="AA21" i="1"/>
  <c r="W21" i="1" s="1"/>
  <c r="T21" i="1"/>
  <c r="U21" i="1" s="1"/>
  <c r="S21" i="1" s="1"/>
  <c r="AA19" i="1"/>
  <c r="T19" i="1"/>
  <c r="AA17" i="1"/>
  <c r="T17" i="1"/>
  <c r="U17" i="1" s="1"/>
  <c r="S17" i="1" s="1"/>
  <c r="X177" i="1"/>
  <c r="T172" i="1"/>
  <c r="T82" i="1"/>
  <c r="U82" i="1" s="1"/>
  <c r="S82" i="1" s="1"/>
  <c r="AA71" i="1"/>
  <c r="W71" i="1" s="1"/>
  <c r="AA66" i="1"/>
  <c r="AA62" i="1"/>
  <c r="AA47" i="1"/>
  <c r="W47" i="1" s="1"/>
  <c r="AA147" i="1"/>
  <c r="AA145" i="1"/>
  <c r="AI120" i="1"/>
  <c r="AI118" i="1"/>
  <c r="AI116" i="1"/>
  <c r="AI114" i="1"/>
  <c r="AA97" i="1"/>
  <c r="AG193" i="1"/>
  <c r="U193" i="1" s="1"/>
  <c r="S193" i="1" s="1"/>
  <c r="X193" i="1"/>
  <c r="AA96" i="1"/>
  <c r="X186" i="1"/>
  <c r="AA186" i="1"/>
  <c r="AA185" i="1"/>
  <c r="W185" i="1" s="1"/>
  <c r="AA182" i="1"/>
  <c r="AA95" i="1"/>
  <c r="W95" i="1" s="1"/>
  <c r="X178" i="1"/>
  <c r="AA176" i="1"/>
  <c r="W176" i="1" s="1"/>
  <c r="T176" i="1"/>
  <c r="AA172" i="1"/>
  <c r="W172" i="1" s="1"/>
  <c r="X164" i="1"/>
  <c r="AG163" i="1"/>
  <c r="AI163" i="1" s="1"/>
  <c r="X163" i="1"/>
  <c r="AA162" i="1"/>
  <c r="W162" i="1" s="1"/>
  <c r="AA87" i="1"/>
  <c r="X86" i="1"/>
  <c r="AA82" i="1"/>
  <c r="W82" i="1" s="1"/>
  <c r="U53" i="1"/>
  <c r="S53" i="1" s="1"/>
  <c r="W51" i="1"/>
  <c r="X45" i="1"/>
  <c r="AA43" i="1"/>
  <c r="X41" i="1"/>
  <c r="AA40" i="1"/>
  <c r="W40" i="1" s="1"/>
  <c r="X34" i="1"/>
  <c r="X29" i="1"/>
  <c r="X27" i="1"/>
  <c r="X25" i="1"/>
  <c r="X23" i="1"/>
  <c r="X21" i="1"/>
  <c r="X19" i="1"/>
  <c r="X17" i="1"/>
  <c r="T204" i="1"/>
  <c r="S38" i="3"/>
  <c r="S37" i="3"/>
  <c r="T216" i="1"/>
  <c r="AA215" i="1"/>
  <c r="X212" i="1"/>
  <c r="T208" i="1"/>
  <c r="AA205" i="1"/>
  <c r="W205" i="1" s="1"/>
  <c r="X202" i="1"/>
  <c r="T198" i="1"/>
  <c r="U198" i="1" s="1"/>
  <c r="S198" i="1" s="1"/>
  <c r="T196" i="1"/>
  <c r="T194" i="1"/>
  <c r="AA154" i="1"/>
  <c r="X152" i="1"/>
  <c r="AA150" i="1"/>
  <c r="W150" i="1" s="1"/>
  <c r="X148" i="1"/>
  <c r="AA146" i="1"/>
  <c r="X144" i="1"/>
  <c r="AA142" i="1"/>
  <c r="W142" i="1" s="1"/>
  <c r="X140" i="1"/>
  <c r="U91" i="1"/>
  <c r="T218" i="1"/>
  <c r="U218" i="1" s="1"/>
  <c r="S218" i="1" s="1"/>
  <c r="X214" i="1"/>
  <c r="T210" i="1"/>
  <c r="U210" i="1" s="1"/>
  <c r="S210" i="1" s="1"/>
  <c r="X204" i="1"/>
  <c r="T200" i="1"/>
  <c r="U200" i="1" s="1"/>
  <c r="S200" i="1" s="1"/>
  <c r="U196" i="1"/>
  <c r="S196" i="1" s="1"/>
  <c r="U157" i="1"/>
  <c r="S157" i="1" s="1"/>
  <c r="X153" i="1"/>
  <c r="X149" i="1"/>
  <c r="X145" i="1"/>
  <c r="X141" i="1"/>
  <c r="AG138" i="1"/>
  <c r="AI138" i="1" s="1"/>
  <c r="X138" i="1"/>
  <c r="AG136" i="1"/>
  <c r="AI136" i="1" s="1"/>
  <c r="X136" i="1"/>
  <c r="AG134" i="1"/>
  <c r="X134" i="1"/>
  <c r="T214" i="1"/>
  <c r="U214" i="1" s="1"/>
  <c r="S214" i="1" s="1"/>
  <c r="R37" i="3"/>
  <c r="R34" i="3"/>
  <c r="S40" i="3"/>
  <c r="S39" i="3"/>
  <c r="AA219" i="1"/>
  <c r="X216" i="1"/>
  <c r="T212" i="1"/>
  <c r="U212" i="1" s="1"/>
  <c r="S212" i="1" s="1"/>
  <c r="AA211" i="1"/>
  <c r="X208" i="1"/>
  <c r="T202" i="1"/>
  <c r="U202" i="1" s="1"/>
  <c r="S202" i="1" s="1"/>
  <c r="AA201" i="1"/>
  <c r="X198" i="1"/>
  <c r="X155" i="1"/>
  <c r="X154" i="1"/>
  <c r="AA152" i="1"/>
  <c r="W152" i="1" s="1"/>
  <c r="X150" i="1"/>
  <c r="AA148" i="1"/>
  <c r="X146" i="1"/>
  <c r="AA144" i="1"/>
  <c r="W144" i="1" s="1"/>
  <c r="X142" i="1"/>
  <c r="AA140" i="1"/>
  <c r="X100" i="1"/>
  <c r="W193" i="1"/>
  <c r="X188" i="1"/>
  <c r="T185" i="1"/>
  <c r="T181" i="1"/>
  <c r="X174" i="1"/>
  <c r="X173" i="1"/>
  <c r="X172" i="1"/>
  <c r="X171" i="1"/>
  <c r="AA165" i="1"/>
  <c r="AA163" i="1"/>
  <c r="W163" i="1" s="1"/>
  <c r="AA91" i="1"/>
  <c r="W91" i="1" s="1"/>
  <c r="X88" i="1"/>
  <c r="AA86" i="1"/>
  <c r="W86" i="1" s="1"/>
  <c r="T86" i="1"/>
  <c r="U86" i="1" s="1"/>
  <c r="S86" i="1" s="1"/>
  <c r="AA83" i="1"/>
  <c r="X82" i="1"/>
  <c r="AA78" i="1"/>
  <c r="W78" i="1" s="1"/>
  <c r="T78" i="1"/>
  <c r="U78" i="1" s="1"/>
  <c r="S78" i="1" s="1"/>
  <c r="AA75" i="1"/>
  <c r="X74" i="1"/>
  <c r="X71" i="1"/>
  <c r="X70" i="1"/>
  <c r="AA67" i="1"/>
  <c r="AG65" i="1"/>
  <c r="AA64" i="1"/>
  <c r="AA60" i="1"/>
  <c r="AA56" i="1"/>
  <c r="AA52" i="1"/>
  <c r="AG49" i="1"/>
  <c r="U49" i="1" s="1"/>
  <c r="X49" i="1"/>
  <c r="AA45" i="1"/>
  <c r="T45" i="1"/>
  <c r="AI40" i="1"/>
  <c r="X39" i="1"/>
  <c r="AA37" i="1"/>
  <c r="X35" i="1"/>
  <c r="AA33" i="1"/>
  <c r="W33" i="1" s="1"/>
  <c r="X31" i="1"/>
  <c r="AG15" i="1"/>
  <c r="U15" i="1" s="1"/>
  <c r="X15" i="1"/>
  <c r="AA138" i="1"/>
  <c r="W138" i="1" s="1"/>
  <c r="AA134" i="1"/>
  <c r="W134" i="1" s="1"/>
  <c r="AG102" i="1"/>
  <c r="U102" i="1" s="1"/>
  <c r="S102" i="1" s="1"/>
  <c r="X102" i="1"/>
  <c r="T98" i="1"/>
  <c r="U191" i="1"/>
  <c r="S191" i="1" s="1"/>
  <c r="AG96" i="1"/>
  <c r="AI96" i="1" s="1"/>
  <c r="X96" i="1"/>
  <c r="AA184" i="1"/>
  <c r="W184" i="1" s="1"/>
  <c r="AA180" i="1"/>
  <c r="W180" i="1" s="1"/>
  <c r="T169" i="1"/>
  <c r="AA168" i="1"/>
  <c r="X83" i="1"/>
  <c r="X75" i="1"/>
  <c r="U63" i="1"/>
  <c r="S63" i="1" s="1"/>
  <c r="AA61" i="1"/>
  <c r="T61" i="1"/>
  <c r="X59" i="1"/>
  <c r="AA57" i="1"/>
  <c r="W57" i="1" s="1"/>
  <c r="U55" i="1"/>
  <c r="S55" i="1" s="1"/>
  <c r="X55" i="1"/>
  <c r="X51" i="1"/>
  <c r="X43" i="1"/>
  <c r="X40" i="1"/>
  <c r="X36" i="1"/>
  <c r="X32" i="1"/>
  <c r="AA14" i="1"/>
  <c r="T186" i="1"/>
  <c r="AA54" i="1"/>
  <c r="AA49" i="1"/>
  <c r="AG45" i="1"/>
  <c r="AI45" i="1" s="1"/>
  <c r="AA39" i="1"/>
  <c r="W39" i="1" s="1"/>
  <c r="X37" i="1"/>
  <c r="AA35" i="1"/>
  <c r="X33" i="1"/>
  <c r="AA31" i="1"/>
  <c r="AA15" i="1"/>
  <c r="W15" i="1" s="1"/>
  <c r="AA136" i="1"/>
  <c r="AG98" i="1"/>
  <c r="AI98" i="1" s="1"/>
  <c r="AA188" i="1"/>
  <c r="W188" i="1" s="1"/>
  <c r="AG186" i="1"/>
  <c r="AG184" i="1"/>
  <c r="X184" i="1"/>
  <c r="AG180" i="1"/>
  <c r="U180" i="1" s="1"/>
  <c r="S180" i="1" s="1"/>
  <c r="X180" i="1"/>
  <c r="AG85" i="1"/>
  <c r="X85" i="1"/>
  <c r="AI82" i="1"/>
  <c r="AG77" i="1"/>
  <c r="AI77" i="1" s="1"/>
  <c r="X77" i="1"/>
  <c r="AI74" i="1"/>
  <c r="AI70" i="1"/>
  <c r="AG61" i="1"/>
  <c r="U57" i="1"/>
  <c r="W218" i="1"/>
  <c r="U216" i="1"/>
  <c r="S216" i="1" s="1"/>
  <c r="AI216" i="1"/>
  <c r="W210" i="1"/>
  <c r="U208" i="1"/>
  <c r="S208" i="1"/>
  <c r="AI208" i="1"/>
  <c r="AI200" i="1"/>
  <c r="AI214" i="1"/>
  <c r="U204" i="1"/>
  <c r="S204" i="1"/>
  <c r="AI218" i="1"/>
  <c r="AI207" i="1"/>
  <c r="AI210" i="1"/>
  <c r="AI202" i="1"/>
  <c r="W214" i="1"/>
  <c r="AI212" i="1"/>
  <c r="W204" i="1"/>
  <c r="AI204" i="1"/>
  <c r="X133" i="1"/>
  <c r="W130" i="1"/>
  <c r="W126" i="1"/>
  <c r="W122" i="1"/>
  <c r="AG217" i="1"/>
  <c r="AG211" i="1"/>
  <c r="AG203" i="1"/>
  <c r="AG201" i="1"/>
  <c r="AG199" i="1"/>
  <c r="AG197" i="1"/>
  <c r="AG195" i="1"/>
  <c r="W195" i="1" s="1"/>
  <c r="AG159" i="1"/>
  <c r="AI159" i="1" s="1"/>
  <c r="AG158" i="1"/>
  <c r="AG156" i="1"/>
  <c r="W156" i="1" s="1"/>
  <c r="U130" i="1"/>
  <c r="S130" i="1" s="1"/>
  <c r="U126" i="1"/>
  <c r="S126" i="1" s="1"/>
  <c r="AI158" i="1"/>
  <c r="U118" i="1"/>
  <c r="S118" i="1" s="1"/>
  <c r="AI154" i="1"/>
  <c r="U114" i="1"/>
  <c r="S114" i="1" s="1"/>
  <c r="AI150" i="1"/>
  <c r="AI146" i="1"/>
  <c r="AG215" i="1"/>
  <c r="AG209" i="1"/>
  <c r="X211" i="1"/>
  <c r="X209" i="1"/>
  <c r="X205" i="1"/>
  <c r="T205" i="1"/>
  <c r="U205" i="1" s="1"/>
  <c r="S205" i="1" s="1"/>
  <c r="X203" i="1"/>
  <c r="X201" i="1"/>
  <c r="X199" i="1"/>
  <c r="X197" i="1"/>
  <c r="X195" i="1"/>
  <c r="X156" i="1"/>
  <c r="W154" i="1"/>
  <c r="T154" i="1"/>
  <c r="U154" i="1" s="1"/>
  <c r="S154" i="1" s="1"/>
  <c r="T153" i="1"/>
  <c r="U153" i="1" s="1"/>
  <c r="S153" i="1" s="1"/>
  <c r="T152" i="1"/>
  <c r="U152" i="1" s="1"/>
  <c r="S152" i="1" s="1"/>
  <c r="W151" i="1"/>
  <c r="T151" i="1"/>
  <c r="U151" i="1" s="1"/>
  <c r="S151" i="1" s="1"/>
  <c r="T150" i="1"/>
  <c r="U150" i="1" s="1"/>
  <c r="S150" i="1" s="1"/>
  <c r="W149" i="1"/>
  <c r="T149" i="1"/>
  <c r="U149" i="1" s="1"/>
  <c r="S149" i="1" s="1"/>
  <c r="W148" i="1"/>
  <c r="T148" i="1"/>
  <c r="U148" i="1" s="1"/>
  <c r="S148" i="1" s="1"/>
  <c r="W147" i="1"/>
  <c r="T147" i="1"/>
  <c r="W146" i="1"/>
  <c r="T146" i="1"/>
  <c r="U146" i="1" s="1"/>
  <c r="S146" i="1" s="1"/>
  <c r="W145" i="1"/>
  <c r="T145" i="1"/>
  <c r="U145" i="1" s="1"/>
  <c r="S145" i="1" s="1"/>
  <c r="T144" i="1"/>
  <c r="U144" i="1" s="1"/>
  <c r="S144" i="1" s="1"/>
  <c r="W143" i="1"/>
  <c r="T143" i="1"/>
  <c r="U143" i="1" s="1"/>
  <c r="S143" i="1" s="1"/>
  <c r="T142" i="1"/>
  <c r="U142" i="1" s="1"/>
  <c r="S142" i="1" s="1"/>
  <c r="W141" i="1"/>
  <c r="T141" i="1"/>
  <c r="U141" i="1" s="1"/>
  <c r="S141" i="1" s="1"/>
  <c r="W140" i="1"/>
  <c r="T140" i="1"/>
  <c r="U140" i="1" s="1"/>
  <c r="S140" i="1" s="1"/>
  <c r="W139" i="1"/>
  <c r="T139" i="1"/>
  <c r="U139" i="1" s="1"/>
  <c r="S139" i="1" s="1"/>
  <c r="T138" i="1"/>
  <c r="T137" i="1"/>
  <c r="U137" i="1" s="1"/>
  <c r="S137" i="1" s="1"/>
  <c r="T136" i="1"/>
  <c r="T135" i="1"/>
  <c r="T134" i="1"/>
  <c r="U134" i="1" s="1"/>
  <c r="S134" i="1" s="1"/>
  <c r="T133" i="1"/>
  <c r="U133" i="1" s="1"/>
  <c r="S133" i="1" s="1"/>
  <c r="W132" i="1"/>
  <c r="W128" i="1"/>
  <c r="W120" i="1"/>
  <c r="W109" i="1"/>
  <c r="AG219" i="1"/>
  <c r="AG213" i="1"/>
  <c r="W213" i="1" s="1"/>
  <c r="X219" i="1"/>
  <c r="X217" i="1"/>
  <c r="X215" i="1"/>
  <c r="X213" i="1"/>
  <c r="AI188" i="1"/>
  <c r="AI186" i="1"/>
  <c r="AI185" i="1"/>
  <c r="AI184" i="1"/>
  <c r="AI183" i="1"/>
  <c r="AI181" i="1"/>
  <c r="AI180" i="1"/>
  <c r="AI178" i="1"/>
  <c r="AI177" i="1"/>
  <c r="AI176" i="1"/>
  <c r="AI175" i="1"/>
  <c r="AI174" i="1"/>
  <c r="U138" i="1"/>
  <c r="S138" i="1" s="1"/>
  <c r="AI173" i="1"/>
  <c r="AI172" i="1"/>
  <c r="AI171" i="1"/>
  <c r="AI170" i="1"/>
  <c r="AI169" i="1"/>
  <c r="U128" i="1"/>
  <c r="S128" i="1" s="1"/>
  <c r="U120" i="1"/>
  <c r="S120" i="1" s="1"/>
  <c r="AI156" i="1"/>
  <c r="U116" i="1"/>
  <c r="S116" i="1" s="1"/>
  <c r="AI152" i="1"/>
  <c r="AI148" i="1"/>
  <c r="U109" i="1"/>
  <c r="S109" i="1" s="1"/>
  <c r="AI144" i="1"/>
  <c r="AG131" i="1"/>
  <c r="AG129" i="1"/>
  <c r="W129" i="1" s="1"/>
  <c r="AG127" i="1"/>
  <c r="W127" i="1" s="1"/>
  <c r="AG125" i="1"/>
  <c r="AG123" i="1"/>
  <c r="AG121" i="1"/>
  <c r="W121" i="1" s="1"/>
  <c r="AG119" i="1"/>
  <c r="W119" i="1" s="1"/>
  <c r="AG117" i="1"/>
  <c r="AG115" i="1"/>
  <c r="AG113" i="1"/>
  <c r="AG112" i="1"/>
  <c r="AG110" i="1"/>
  <c r="AG108" i="1"/>
  <c r="T107" i="1"/>
  <c r="AG106" i="1"/>
  <c r="AI106" i="1" s="1"/>
  <c r="X106" i="1"/>
  <c r="AA104" i="1"/>
  <c r="T207" i="1"/>
  <c r="U207" i="1" s="1"/>
  <c r="S207" i="1" s="1"/>
  <c r="AG206" i="1"/>
  <c r="AI206" i="1" s="1"/>
  <c r="X206" i="1"/>
  <c r="AA102" i="1"/>
  <c r="W102" i="1" s="1"/>
  <c r="AA191" i="1"/>
  <c r="W191" i="1" s="1"/>
  <c r="W96" i="1"/>
  <c r="X131" i="1"/>
  <c r="X129" i="1"/>
  <c r="X127" i="1"/>
  <c r="X125" i="1"/>
  <c r="X123" i="1"/>
  <c r="X121" i="1"/>
  <c r="X119" i="1"/>
  <c r="X110" i="1"/>
  <c r="X108" i="1"/>
  <c r="X107" i="1"/>
  <c r="T104" i="1"/>
  <c r="X207" i="1"/>
  <c r="AI133" i="1"/>
  <c r="AA106" i="1"/>
  <c r="T105" i="1"/>
  <c r="U105" i="1" s="1"/>
  <c r="S105" i="1" s="1"/>
  <c r="AG104" i="1"/>
  <c r="AA206" i="1"/>
  <c r="T103" i="1"/>
  <c r="U103" i="1" s="1"/>
  <c r="S103" i="1" s="1"/>
  <c r="AI135" i="1"/>
  <c r="T101" i="1"/>
  <c r="X101" i="1"/>
  <c r="AG101" i="1"/>
  <c r="AA98" i="1"/>
  <c r="W98" i="1" s="1"/>
  <c r="U188" i="1"/>
  <c r="S188" i="1" s="1"/>
  <c r="U107" i="1"/>
  <c r="S107" i="1" s="1"/>
  <c r="X105" i="1"/>
  <c r="X103" i="1"/>
  <c r="U100" i="1"/>
  <c r="S100" i="1" s="1"/>
  <c r="U96" i="1"/>
  <c r="S96" i="1" s="1"/>
  <c r="U184" i="1"/>
  <c r="S184" i="1" s="1"/>
  <c r="AG99" i="1"/>
  <c r="AG97" i="1"/>
  <c r="AG192" i="1"/>
  <c r="AI192" i="1" s="1"/>
  <c r="AG190" i="1"/>
  <c r="AI190" i="1" s="1"/>
  <c r="AG189" i="1"/>
  <c r="AI189" i="1" s="1"/>
  <c r="AG187" i="1"/>
  <c r="AI187" i="1" s="1"/>
  <c r="T183" i="1"/>
  <c r="U183" i="1" s="1"/>
  <c r="S183" i="1" s="1"/>
  <c r="AG182" i="1"/>
  <c r="AI182" i="1" s="1"/>
  <c r="X182" i="1"/>
  <c r="T95" i="1"/>
  <c r="U95" i="1" s="1"/>
  <c r="S95" i="1" s="1"/>
  <c r="AG179" i="1"/>
  <c r="W179" i="1" s="1"/>
  <c r="X179" i="1"/>
  <c r="U169" i="1"/>
  <c r="S169" i="1"/>
  <c r="AI103" i="1"/>
  <c r="X99" i="1"/>
  <c r="X97" i="1"/>
  <c r="X192" i="1"/>
  <c r="X190" i="1"/>
  <c r="X189" i="1"/>
  <c r="X187" i="1"/>
  <c r="U185" i="1"/>
  <c r="S185" i="1" s="1"/>
  <c r="X183" i="1"/>
  <c r="U181" i="1"/>
  <c r="S181" i="1" s="1"/>
  <c r="X95" i="1"/>
  <c r="U178" i="1"/>
  <c r="S178" i="1" s="1"/>
  <c r="U177" i="1"/>
  <c r="S177" i="1" s="1"/>
  <c r="U176" i="1"/>
  <c r="S176" i="1" s="1"/>
  <c r="AI111" i="1"/>
  <c r="AI110" i="1"/>
  <c r="U175" i="1"/>
  <c r="S175" i="1" s="1"/>
  <c r="U174" i="1"/>
  <c r="S174" i="1" s="1"/>
  <c r="AI109" i="1"/>
  <c r="AI108" i="1"/>
  <c r="U173" i="1"/>
  <c r="S173" i="1" s="1"/>
  <c r="U172" i="1"/>
  <c r="S172" i="1" s="1"/>
  <c r="AI107" i="1"/>
  <c r="U171" i="1"/>
  <c r="S171" i="1" s="1"/>
  <c r="U170" i="1"/>
  <c r="S170" i="1" s="1"/>
  <c r="AI105" i="1"/>
  <c r="T168" i="1"/>
  <c r="X168" i="1"/>
  <c r="AG168" i="1"/>
  <c r="AI69" i="1"/>
  <c r="U69" i="1"/>
  <c r="S69" i="1" s="1"/>
  <c r="AI115" i="1"/>
  <c r="T94" i="1"/>
  <c r="X94" i="1"/>
  <c r="AG94" i="1"/>
  <c r="U163" i="1"/>
  <c r="S163" i="1" s="1"/>
  <c r="X170" i="1"/>
  <c r="W169" i="1"/>
  <c r="U93" i="1"/>
  <c r="S93" i="1" s="1"/>
  <c r="T165" i="1"/>
  <c r="T161" i="1"/>
  <c r="AI89" i="1"/>
  <c r="T166" i="1"/>
  <c r="U166" i="1" s="1"/>
  <c r="S166" i="1" s="1"/>
  <c r="AG165" i="1"/>
  <c r="T162" i="1"/>
  <c r="U162" i="1" s="1"/>
  <c r="S162" i="1" s="1"/>
  <c r="AG161" i="1"/>
  <c r="W161" i="1" s="1"/>
  <c r="W93" i="1"/>
  <c r="T92" i="1"/>
  <c r="U92" i="1" s="1"/>
  <c r="S92" i="1" s="1"/>
  <c r="S91" i="1"/>
  <c r="AI91" i="1"/>
  <c r="AI85" i="1"/>
  <c r="U85" i="1"/>
  <c r="S85" i="1" s="1"/>
  <c r="U81" i="1"/>
  <c r="S81" i="1" s="1"/>
  <c r="AI73" i="1"/>
  <c r="U73" i="1"/>
  <c r="S73" i="1" s="1"/>
  <c r="AG167" i="1"/>
  <c r="W167" i="1" s="1"/>
  <c r="X166" i="1"/>
  <c r="U164" i="1"/>
  <c r="S164" i="1" s="1"/>
  <c r="X162" i="1"/>
  <c r="U160" i="1"/>
  <c r="S160" i="1" s="1"/>
  <c r="X92" i="1"/>
  <c r="AA89" i="1"/>
  <c r="W89" i="1" s="1"/>
  <c r="T87" i="1"/>
  <c r="T83" i="1"/>
  <c r="T79" i="1"/>
  <c r="T75" i="1"/>
  <c r="T71" i="1"/>
  <c r="U71" i="1" s="1"/>
  <c r="S71" i="1" s="1"/>
  <c r="T64" i="1"/>
  <c r="X64" i="1"/>
  <c r="AG64" i="1"/>
  <c r="AG90" i="1"/>
  <c r="AG88" i="1"/>
  <c r="T88" i="1"/>
  <c r="AG87" i="1"/>
  <c r="AA85" i="1"/>
  <c r="W85" i="1" s="1"/>
  <c r="T84" i="1"/>
  <c r="U84" i="1" s="1"/>
  <c r="S84" i="1" s="1"/>
  <c r="AG83" i="1"/>
  <c r="AA81" i="1"/>
  <c r="T80" i="1"/>
  <c r="U80" i="1" s="1"/>
  <c r="S80" i="1" s="1"/>
  <c r="AG79" i="1"/>
  <c r="W79" i="1" s="1"/>
  <c r="AA77" i="1"/>
  <c r="W77" i="1" s="1"/>
  <c r="T76" i="1"/>
  <c r="U76" i="1" s="1"/>
  <c r="S76" i="1" s="1"/>
  <c r="AG75" i="1"/>
  <c r="W75" i="1" s="1"/>
  <c r="W73" i="1"/>
  <c r="T72" i="1"/>
  <c r="U72" i="1" s="1"/>
  <c r="AI71" i="1"/>
  <c r="T68" i="1"/>
  <c r="U68" i="1" s="1"/>
  <c r="S68" i="1" s="1"/>
  <c r="X90" i="1"/>
  <c r="X84" i="1"/>
  <c r="X80" i="1"/>
  <c r="X76" i="1"/>
  <c r="X72" i="1"/>
  <c r="X68" i="1"/>
  <c r="T66" i="1"/>
  <c r="X66" i="1"/>
  <c r="AG66" i="1"/>
  <c r="U65" i="1"/>
  <c r="S65" i="1" s="1"/>
  <c r="X65" i="1"/>
  <c r="T62" i="1"/>
  <c r="X62" i="1"/>
  <c r="AG62" i="1"/>
  <c r="T41" i="1"/>
  <c r="AI29" i="1"/>
  <c r="AI25" i="1"/>
  <c r="AI21" i="1"/>
  <c r="AI17" i="1"/>
  <c r="AI63" i="1"/>
  <c r="AG60" i="1"/>
  <c r="AI59" i="1"/>
  <c r="AG58" i="1"/>
  <c r="AI57" i="1"/>
  <c r="S57" i="1"/>
  <c r="AG56" i="1"/>
  <c r="AI55" i="1"/>
  <c r="AG54" i="1"/>
  <c r="AI53" i="1"/>
  <c r="AG52" i="1"/>
  <c r="AI51" i="1"/>
  <c r="AG50" i="1"/>
  <c r="AI49" i="1"/>
  <c r="S49" i="1"/>
  <c r="AG48" i="1"/>
  <c r="AI47" i="1"/>
  <c r="S47" i="1"/>
  <c r="AG46" i="1"/>
  <c r="AG44" i="1"/>
  <c r="AI43" i="1"/>
  <c r="AG42" i="1"/>
  <c r="T42" i="1"/>
  <c r="AG41" i="1"/>
  <c r="T40" i="1"/>
  <c r="U40" i="1" s="1"/>
  <c r="S40" i="1" s="1"/>
  <c r="T39" i="1"/>
  <c r="U39" i="1" s="1"/>
  <c r="S39" i="1" s="1"/>
  <c r="W38" i="1"/>
  <c r="T38" i="1"/>
  <c r="U38" i="1" s="1"/>
  <c r="S38" i="1" s="1"/>
  <c r="W37" i="1"/>
  <c r="T37" i="1"/>
  <c r="U37" i="1" s="1"/>
  <c r="S37" i="1" s="1"/>
  <c r="W36" i="1"/>
  <c r="T36" i="1"/>
  <c r="U36" i="1" s="1"/>
  <c r="S36" i="1" s="1"/>
  <c r="W35" i="1"/>
  <c r="T35" i="1"/>
  <c r="U35" i="1" s="1"/>
  <c r="S35" i="1" s="1"/>
  <c r="W34" i="1"/>
  <c r="T34" i="1"/>
  <c r="U34" i="1" s="1"/>
  <c r="S34" i="1" s="1"/>
  <c r="T33" i="1"/>
  <c r="T32" i="1"/>
  <c r="U32" i="1" s="1"/>
  <c r="S32" i="1" s="1"/>
  <c r="W31" i="1"/>
  <c r="T31" i="1"/>
  <c r="U31" i="1" s="1"/>
  <c r="S31" i="1" s="1"/>
  <c r="W27" i="1"/>
  <c r="W23" i="1"/>
  <c r="W19" i="1"/>
  <c r="X60" i="1"/>
  <c r="X58" i="1"/>
  <c r="X56" i="1"/>
  <c r="X54" i="1"/>
  <c r="X52" i="1"/>
  <c r="X50" i="1"/>
  <c r="X48" i="1"/>
  <c r="X46" i="1"/>
  <c r="X44" i="1"/>
  <c r="AI39" i="1"/>
  <c r="AI38" i="1"/>
  <c r="AI37" i="1"/>
  <c r="AI36" i="1"/>
  <c r="AI35" i="1"/>
  <c r="AI34" i="1"/>
  <c r="U33" i="1"/>
  <c r="S33" i="1" s="1"/>
  <c r="AI33" i="1"/>
  <c r="AI32" i="1"/>
  <c r="AI31" i="1"/>
  <c r="T30" i="1"/>
  <c r="X30" i="1"/>
  <c r="AG30" i="1"/>
  <c r="U27" i="1"/>
  <c r="S27" i="1" s="1"/>
  <c r="AI27" i="1"/>
  <c r="AI23" i="1"/>
  <c r="U19" i="1"/>
  <c r="S19" i="1" s="1"/>
  <c r="AI19" i="1"/>
  <c r="W29" i="1"/>
  <c r="W17" i="1"/>
  <c r="AG28" i="1"/>
  <c r="W28" i="1" s="1"/>
  <c r="AG26" i="1"/>
  <c r="W26" i="1" s="1"/>
  <c r="AG24" i="1"/>
  <c r="AG22" i="1"/>
  <c r="W22" i="1" s="1"/>
  <c r="AG20" i="1"/>
  <c r="W20" i="1" s="1"/>
  <c r="AG18" i="1"/>
  <c r="W18" i="1" s="1"/>
  <c r="AG16" i="1"/>
  <c r="AI15" i="1"/>
  <c r="S15" i="1"/>
  <c r="AG14" i="1"/>
  <c r="X28" i="1"/>
  <c r="X26" i="1"/>
  <c r="X24" i="1"/>
  <c r="X22" i="1"/>
  <c r="X20" i="1"/>
  <c r="X18" i="1"/>
  <c r="X16" i="1"/>
  <c r="AD8" i="3"/>
  <c r="AE35" i="3"/>
  <c r="T12" i="3"/>
  <c r="Y9" i="3"/>
  <c r="AD38" i="3"/>
  <c r="AD27" i="3"/>
  <c r="AE27" i="3"/>
  <c r="Y19" i="3"/>
  <c r="AD40" i="3"/>
  <c r="AE40" i="3"/>
  <c r="Y39" i="3"/>
  <c r="AD35" i="3"/>
  <c r="Y12" i="3"/>
  <c r="Y30" i="3"/>
  <c r="AE37" i="3"/>
  <c r="Y28" i="3"/>
  <c r="Y8" i="3"/>
  <c r="Y23" i="3"/>
  <c r="AD21" i="3"/>
  <c r="AD30" i="3"/>
  <c r="AE30" i="3"/>
  <c r="AD11" i="3"/>
  <c r="AD37" i="3"/>
  <c r="AD19" i="3"/>
  <c r="T11" i="3"/>
  <c r="T15" i="3"/>
  <c r="T22" i="3"/>
  <c r="AE7" i="3"/>
  <c r="T26" i="3"/>
  <c r="Y14" i="3"/>
  <c r="AE11" i="3"/>
  <c r="Y15" i="3"/>
  <c r="T37" i="3"/>
  <c r="AD18" i="3"/>
  <c r="T7" i="3"/>
  <c r="Y32" i="3"/>
  <c r="Y22" i="3"/>
  <c r="T8" i="3"/>
  <c r="Y18" i="3"/>
  <c r="AE22" i="3"/>
  <c r="AE26" i="3"/>
  <c r="Y40" i="3"/>
  <c r="T35" i="3"/>
  <c r="Y29" i="3"/>
  <c r="AE15" i="3"/>
  <c r="AE36" i="3"/>
  <c r="T36" i="3"/>
  <c r="AE25" i="3"/>
  <c r="T25" i="3"/>
  <c r="AE23" i="3"/>
  <c r="T23" i="3"/>
  <c r="AE20" i="3"/>
  <c r="T20" i="3"/>
  <c r="AE33" i="3"/>
  <c r="T33" i="3"/>
  <c r="AE31" i="3"/>
  <c r="T31" i="3"/>
  <c r="AE9" i="3"/>
  <c r="T9" i="3"/>
  <c r="T34" i="3"/>
  <c r="AD25" i="3"/>
  <c r="AD23" i="3"/>
  <c r="AD20" i="3"/>
  <c r="AD33" i="3"/>
  <c r="AD31" i="3"/>
  <c r="AD9" i="3"/>
  <c r="AD36" i="3"/>
  <c r="AE17" i="3"/>
  <c r="AE32" i="3"/>
  <c r="AE18" i="3"/>
  <c r="AE21" i="3"/>
  <c r="AE39" i="3"/>
  <c r="AE14" i="3"/>
  <c r="AE29" i="3"/>
  <c r="AE38" i="3"/>
  <c r="AE19" i="3"/>
  <c r="AM13" i="1"/>
  <c r="AI129" i="1" l="1"/>
  <c r="W108" i="1"/>
  <c r="W123" i="1"/>
  <c r="W131" i="1"/>
  <c r="U135" i="1"/>
  <c r="S135" i="1" s="1"/>
  <c r="W49" i="1"/>
  <c r="W65" i="1"/>
  <c r="W43" i="1"/>
  <c r="W59" i="1"/>
  <c r="W135" i="1"/>
  <c r="W182" i="1"/>
  <c r="W100" i="1"/>
  <c r="W197" i="1"/>
  <c r="W41" i="1"/>
  <c r="AI67" i="1"/>
  <c r="W81" i="1"/>
  <c r="W87" i="1"/>
  <c r="W64" i="1"/>
  <c r="W165" i="1"/>
  <c r="AI121" i="1"/>
  <c r="U98" i="1"/>
  <c r="S98" i="1" s="1"/>
  <c r="AI123" i="1"/>
  <c r="W110" i="1"/>
  <c r="W125" i="1"/>
  <c r="W201" i="1"/>
  <c r="U61" i="1"/>
  <c r="S61" i="1" s="1"/>
  <c r="U186" i="1"/>
  <c r="S186" i="1" s="1"/>
  <c r="W67" i="1"/>
  <c r="U155" i="1"/>
  <c r="S155" i="1" s="1"/>
  <c r="W206" i="1"/>
  <c r="AI125" i="1"/>
  <c r="W137" i="1"/>
  <c r="AI61" i="1"/>
  <c r="AI65" i="1"/>
  <c r="W186" i="1"/>
  <c r="AI131" i="1"/>
  <c r="U136" i="1"/>
  <c r="S136" i="1" s="1"/>
  <c r="W45" i="1"/>
  <c r="W46" i="1"/>
  <c r="U77" i="1"/>
  <c r="S77" i="1" s="1"/>
  <c r="W168" i="1"/>
  <c r="AI112" i="1"/>
  <c r="W97" i="1"/>
  <c r="AI119" i="1"/>
  <c r="W211" i="1"/>
  <c r="U45" i="1"/>
  <c r="S45" i="1" s="1"/>
  <c r="U194" i="1"/>
  <c r="S194" i="1" s="1"/>
  <c r="W194" i="1"/>
  <c r="W52" i="1"/>
  <c r="AI127" i="1"/>
  <c r="W136" i="1"/>
  <c r="W61" i="1"/>
  <c r="AI167" i="1"/>
  <c r="AI179" i="1"/>
  <c r="AI97" i="1"/>
  <c r="AI165" i="1"/>
  <c r="W94" i="1"/>
  <c r="AI94" i="1"/>
  <c r="AI168" i="1"/>
  <c r="AI161" i="1"/>
  <c r="AI16" i="1"/>
  <c r="U16" i="1"/>
  <c r="S16" i="1" s="1"/>
  <c r="AI50" i="1"/>
  <c r="U50" i="1"/>
  <c r="S50" i="1" s="1"/>
  <c r="AI58" i="1"/>
  <c r="U58" i="1"/>
  <c r="S58" i="1" s="1"/>
  <c r="U190" i="1"/>
  <c r="S190" i="1" s="1"/>
  <c r="AI126" i="1"/>
  <c r="AI219" i="1"/>
  <c r="U219" i="1"/>
  <c r="S219" i="1" s="1"/>
  <c r="AI209" i="1"/>
  <c r="U209" i="1"/>
  <c r="S209" i="1" s="1"/>
  <c r="AI193" i="1"/>
  <c r="U158" i="1"/>
  <c r="S158" i="1" s="1"/>
  <c r="AI14" i="1"/>
  <c r="U14" i="1"/>
  <c r="S14" i="1" s="1"/>
  <c r="AI26" i="1"/>
  <c r="U26" i="1"/>
  <c r="S26" i="1" s="1"/>
  <c r="AI30" i="1"/>
  <c r="U30" i="1"/>
  <c r="S30" i="1" s="1"/>
  <c r="W30" i="1"/>
  <c r="AI48" i="1"/>
  <c r="U48" i="1"/>
  <c r="S48" i="1" s="1"/>
  <c r="U192" i="1"/>
  <c r="S192" i="1" s="1"/>
  <c r="AI128" i="1"/>
  <c r="W192" i="1"/>
  <c r="U101" i="1"/>
  <c r="S101" i="1" s="1"/>
  <c r="AI134" i="1"/>
  <c r="AI137" i="1"/>
  <c r="U206" i="1"/>
  <c r="S206" i="1" s="1"/>
  <c r="AI141" i="1"/>
  <c r="U106" i="1"/>
  <c r="S106" i="1" s="1"/>
  <c r="AI147" i="1"/>
  <c r="U112" i="1"/>
  <c r="S112" i="1" s="1"/>
  <c r="AI155" i="1"/>
  <c r="U119" i="1"/>
  <c r="S119" i="1" s="1"/>
  <c r="AI162" i="1"/>
  <c r="U127" i="1"/>
  <c r="S127" i="1" s="1"/>
  <c r="W101" i="1"/>
  <c r="AI215" i="1"/>
  <c r="U215" i="1"/>
  <c r="S215" i="1" s="1"/>
  <c r="AI195" i="1"/>
  <c r="U159" i="1"/>
  <c r="S159" i="1" s="1"/>
  <c r="AI203" i="1"/>
  <c r="U201" i="1"/>
  <c r="S201" i="1" s="1"/>
  <c r="W219" i="1"/>
  <c r="W215" i="1"/>
  <c r="U42" i="1"/>
  <c r="S42" i="1" s="1"/>
  <c r="AI42" i="1"/>
  <c r="AI62" i="1"/>
  <c r="U62" i="1"/>
  <c r="S62" i="1" s="1"/>
  <c r="W42" i="1"/>
  <c r="W62" i="1"/>
  <c r="AI83" i="1"/>
  <c r="U83" i="1"/>
  <c r="S83" i="1" s="1"/>
  <c r="AI201" i="1"/>
  <c r="U199" i="1"/>
  <c r="S199" i="1" s="1"/>
  <c r="AI217" i="1"/>
  <c r="U217" i="1"/>
  <c r="S217" i="1" s="1"/>
  <c r="AI18" i="1"/>
  <c r="U18" i="1"/>
  <c r="S18" i="1" s="1"/>
  <c r="AI56" i="1"/>
  <c r="U56" i="1"/>
  <c r="S56" i="1" s="1"/>
  <c r="U66" i="1"/>
  <c r="S66" i="1" s="1"/>
  <c r="AI66" i="1"/>
  <c r="W50" i="1"/>
  <c r="W66" i="1"/>
  <c r="AI79" i="1"/>
  <c r="U79" i="1"/>
  <c r="S79" i="1" s="1"/>
  <c r="U88" i="1"/>
  <c r="S88" i="1" s="1"/>
  <c r="AI88" i="1"/>
  <c r="AI20" i="1"/>
  <c r="U20" i="1"/>
  <c r="S20" i="1" s="1"/>
  <c r="AI28" i="1"/>
  <c r="U28" i="1"/>
  <c r="S28" i="1" s="1"/>
  <c r="W14" i="1"/>
  <c r="AI41" i="1"/>
  <c r="U41" i="1"/>
  <c r="S41" i="1" s="1"/>
  <c r="AI46" i="1"/>
  <c r="U46" i="1"/>
  <c r="S46" i="1" s="1"/>
  <c r="AI54" i="1"/>
  <c r="U54" i="1"/>
  <c r="S54" i="1" s="1"/>
  <c r="W54" i="1"/>
  <c r="AI75" i="1"/>
  <c r="U75" i="1"/>
  <c r="S75" i="1" s="1"/>
  <c r="U90" i="1"/>
  <c r="S90" i="1" s="1"/>
  <c r="AI90" i="1"/>
  <c r="W90" i="1"/>
  <c r="W83" i="1"/>
  <c r="W56" i="1"/>
  <c r="U187" i="1"/>
  <c r="S187" i="1" s="1"/>
  <c r="AI122" i="1"/>
  <c r="U97" i="1"/>
  <c r="S97" i="1" s="1"/>
  <c r="AI130" i="1"/>
  <c r="W106" i="1"/>
  <c r="AI149" i="1"/>
  <c r="U113" i="1"/>
  <c r="S113" i="1" s="1"/>
  <c r="AI157" i="1"/>
  <c r="U121" i="1"/>
  <c r="S121" i="1" s="1"/>
  <c r="AI164" i="1"/>
  <c r="U129" i="1"/>
  <c r="S129" i="1" s="1"/>
  <c r="W187" i="1"/>
  <c r="AI197" i="1"/>
  <c r="U195" i="1"/>
  <c r="S195" i="1" s="1"/>
  <c r="AI205" i="1"/>
  <c r="U203" i="1"/>
  <c r="S203" i="1" s="1"/>
  <c r="W199" i="1"/>
  <c r="W209" i="1"/>
  <c r="W217" i="1"/>
  <c r="W158" i="1"/>
  <c r="AI24" i="1"/>
  <c r="U24" i="1"/>
  <c r="S24" i="1" s="1"/>
  <c r="AI64" i="1"/>
  <c r="U64" i="1"/>
  <c r="S64" i="1" s="1"/>
  <c r="AI95" i="1"/>
  <c r="U161" i="1"/>
  <c r="S161" i="1" s="1"/>
  <c r="AI139" i="1"/>
  <c r="U104" i="1"/>
  <c r="S104" i="1" s="1"/>
  <c r="AI145" i="1"/>
  <c r="U110" i="1"/>
  <c r="S110" i="1" s="1"/>
  <c r="AI153" i="1"/>
  <c r="U117" i="1"/>
  <c r="S117" i="1" s="1"/>
  <c r="AI160" i="1"/>
  <c r="U125" i="1"/>
  <c r="S125" i="1" s="1"/>
  <c r="W190" i="1"/>
  <c r="AI22" i="1"/>
  <c r="U22" i="1"/>
  <c r="S22" i="1" s="1"/>
  <c r="W16" i="1"/>
  <c r="W24" i="1"/>
  <c r="AI44" i="1"/>
  <c r="U44" i="1"/>
  <c r="S44" i="1" s="1"/>
  <c r="AI52" i="1"/>
  <c r="U52" i="1"/>
  <c r="S52" i="1" s="1"/>
  <c r="AI60" i="1"/>
  <c r="U60" i="1"/>
  <c r="S60" i="1" s="1"/>
  <c r="W44" i="1"/>
  <c r="W58" i="1"/>
  <c r="AI87" i="1"/>
  <c r="U87" i="1"/>
  <c r="S87" i="1" s="1"/>
  <c r="W48" i="1"/>
  <c r="U167" i="1"/>
  <c r="S167" i="1" s="1"/>
  <c r="AI101" i="1"/>
  <c r="AI99" i="1"/>
  <c r="U165" i="1"/>
  <c r="S165" i="1" s="1"/>
  <c r="W88" i="1"/>
  <c r="AI104" i="1"/>
  <c r="U94" i="1"/>
  <c r="S94" i="1" s="1"/>
  <c r="AI102" i="1"/>
  <c r="U168" i="1"/>
  <c r="S168" i="1" s="1"/>
  <c r="W60" i="1"/>
  <c r="AI113" i="1"/>
  <c r="U179" i="1"/>
  <c r="S179" i="1" s="1"/>
  <c r="AI117" i="1"/>
  <c r="U182" i="1"/>
  <c r="S182" i="1" s="1"/>
  <c r="U189" i="1"/>
  <c r="S189" i="1" s="1"/>
  <c r="W189" i="1"/>
  <c r="AI124" i="1"/>
  <c r="U99" i="1"/>
  <c r="S99" i="1" s="1"/>
  <c r="W99" i="1"/>
  <c r="AI132" i="1"/>
  <c r="W104" i="1"/>
  <c r="AI143" i="1"/>
  <c r="U108" i="1"/>
  <c r="S108" i="1" s="1"/>
  <c r="AI151" i="1"/>
  <c r="U115" i="1"/>
  <c r="S115" i="1" s="1"/>
  <c r="U123" i="1"/>
  <c r="S123" i="1" s="1"/>
  <c r="AI166" i="1"/>
  <c r="U131" i="1"/>
  <c r="S131" i="1" s="1"/>
  <c r="AI213" i="1"/>
  <c r="U213" i="1"/>
  <c r="S213" i="1" s="1"/>
  <c r="AI191" i="1"/>
  <c r="U156" i="1"/>
  <c r="S156" i="1" s="1"/>
  <c r="AI199" i="1"/>
  <c r="U197" i="1"/>
  <c r="S197" i="1" s="1"/>
  <c r="AI211" i="1"/>
  <c r="U211" i="1"/>
  <c r="S211" i="1" s="1"/>
  <c r="W159" i="1"/>
  <c r="W203" i="1"/>
  <c r="M10" i="3"/>
  <c r="R10" i="3"/>
  <c r="S10" i="3"/>
  <c r="U10" i="3"/>
  <c r="AC10" i="3" s="1"/>
  <c r="V10" i="3"/>
  <c r="W10" i="3"/>
  <c r="X10" i="3"/>
  <c r="AD34" i="3" l="1"/>
  <c r="AE34" i="3"/>
  <c r="T10" i="3"/>
  <c r="AE10" i="3"/>
  <c r="Y10" i="3"/>
  <c r="AD10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19" i="3" s="1"/>
  <c r="G31" i="4"/>
  <c r="G32" i="4"/>
  <c r="G33" i="4"/>
  <c r="N27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15" i="3" s="1"/>
  <c r="G77" i="4"/>
  <c r="N10" i="3" s="1"/>
  <c r="G78" i="4"/>
  <c r="G79" i="4"/>
  <c r="G80" i="4"/>
  <c r="G81" i="4"/>
  <c r="G82" i="4"/>
  <c r="G83" i="4"/>
  <c r="G84" i="4"/>
  <c r="G85" i="4"/>
  <c r="G86" i="4"/>
  <c r="G87" i="4"/>
  <c r="G88" i="4"/>
  <c r="G89" i="4"/>
  <c r="N9" i="3" s="1"/>
  <c r="G90" i="4"/>
  <c r="G91" i="4"/>
  <c r="G92" i="4"/>
  <c r="G93" i="4"/>
  <c r="G94" i="4"/>
  <c r="G95" i="4"/>
  <c r="N11" i="3" s="1"/>
  <c r="G96" i="4"/>
  <c r="G97" i="4"/>
  <c r="G98" i="4"/>
  <c r="G99" i="4"/>
  <c r="G100" i="4"/>
  <c r="G101" i="4"/>
  <c r="G102" i="4"/>
  <c r="N12" i="3" s="1"/>
  <c r="G103" i="4"/>
  <c r="G104" i="4"/>
  <c r="G105" i="4"/>
  <c r="G106" i="4"/>
  <c r="N14" i="3" s="1"/>
  <c r="G107" i="4"/>
  <c r="G108" i="4"/>
  <c r="G109" i="4"/>
  <c r="G110" i="4"/>
  <c r="G111" i="4"/>
  <c r="N16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33" i="3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20" i="3" s="1"/>
  <c r="G166" i="4"/>
  <c r="G167" i="4"/>
  <c r="G168" i="4"/>
  <c r="G169" i="4"/>
  <c r="G170" i="4"/>
  <c r="G171" i="4"/>
  <c r="G172" i="4"/>
  <c r="G173" i="4"/>
  <c r="N26" i="3" s="1"/>
  <c r="G174" i="4"/>
  <c r="G175" i="4"/>
  <c r="G176" i="4"/>
  <c r="N21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7" i="3" s="1"/>
  <c r="G190" i="4"/>
  <c r="N18" i="3" s="1"/>
  <c r="G191" i="4"/>
  <c r="G192" i="4"/>
  <c r="G193" i="4"/>
  <c r="G194" i="4"/>
  <c r="N28" i="3" s="1"/>
  <c r="G195" i="4"/>
  <c r="G196" i="4"/>
  <c r="N13" i="3" s="1"/>
  <c r="G197" i="4"/>
  <c r="N32" i="3" s="1"/>
  <c r="G198" i="4"/>
  <c r="G199" i="4"/>
  <c r="G200" i="4"/>
  <c r="N36" i="3" s="1"/>
  <c r="G201" i="4"/>
  <c r="N8" i="3" s="1"/>
  <c r="G202" i="4"/>
  <c r="G203" i="4"/>
  <c r="G204" i="4"/>
  <c r="G205" i="4"/>
  <c r="G206" i="4"/>
  <c r="G207" i="4"/>
  <c r="G208" i="4"/>
  <c r="G209" i="4"/>
  <c r="G210" i="4"/>
  <c r="G211" i="4"/>
  <c r="G212" i="4"/>
  <c r="N17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22" i="3"/>
  <c r="N30" i="3"/>
  <c r="N31" i="3"/>
  <c r="N29" i="3"/>
  <c r="N40" i="3"/>
  <c r="N35" i="3"/>
  <c r="N39" i="3"/>
  <c r="N25" i="3"/>
  <c r="N24" i="3"/>
  <c r="N37" i="3"/>
  <c r="N38" i="3"/>
  <c r="N34" i="3"/>
  <c r="H6" i="6"/>
  <c r="H4" i="6"/>
  <c r="H5" i="6"/>
  <c r="H3" i="6"/>
  <c r="L13" i="1"/>
  <c r="B2" i="9" l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B1" i="9"/>
  <c r="C1" i="9" s="1"/>
  <c r="C2" i="9" l="1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<sst xmlns="http://schemas.openxmlformats.org/spreadsheetml/2006/main" count="2514" uniqueCount="911">
  <si>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</si>
  <si>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</si>
  <si>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</si>
  <si>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</si>
  <si>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</si>
  <si>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</si>
  <si>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</si>
  <si>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</si>
  <si>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</si>
  <si>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</si>
  <si>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</si>
  <si>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</si>
  <si>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</si>
  <si>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</si>
  <si>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</si>
  <si>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</si>
  <si>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</si>
  <si>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</si>
  <si>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</si>
  <si>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</si>
  <si>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</si>
  <si>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</si>
  <si>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</si>
  <si>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</si>
  <si>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</si>
  <si>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</si>
  <si>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</si>
  <si>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</si>
  <si>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</si>
  <si>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</si>
  <si>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</si>
  <si>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</si>
  <si>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</si>
  <si>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</si>
  <si>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</si>
  <si>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</si>
  <si>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</si>
  <si>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</si>
  <si>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</si>
  <si>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</si>
  <si>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</si>
  <si>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</si>
  <si>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</si>
  <si>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</si>
  <si>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</si>
  <si>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</si>
  <si>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</si>
  <si>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</si>
  <si>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</si>
  <si>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</si>
  <si>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</si>
  <si>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</si>
  <si>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</si>
  <si>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</si>
  <si>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</si>
  <si>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</si>
  <si>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</si>
  <si>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</si>
  <si>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</si>
  <si>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</si>
  <si>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</si>
  <si>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</si>
  <si>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</si>
  <si>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</si>
  <si>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</si>
  <si>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</si>
  <si>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</si>
  <si>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</si>
  <si>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</si>
  <si>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</si>
  <si>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</si>
  <si>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</si>
  <si>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</si>
  <si>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</si>
  <si>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</si>
  <si>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</si>
  <si>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</si>
  <si>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</si>
  <si>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</si>
  <si>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</si>
  <si>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</si>
  <si>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</si>
  <si>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</si>
  <si>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</si>
  <si>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</si>
  <si>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</si>
  <si>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</si>
  <si>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</si>
  <si>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</si>
  <si>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</si>
  <si>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</si>
  <si>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</si>
  <si>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</si>
  <si>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</si>
  <si>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</si>
  <si>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</si>
  <si>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</si>
  <si>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</si>
  <si>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</si>
  <si>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</si>
  <si>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</si>
  <si>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</si>
  <si>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</si>
  <si>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</si>
  <si>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</si>
  <si>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</si>
  <si>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</si>
  <si>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</si>
  <si>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</si>
  <si>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</si>
  <si>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</si>
  <si>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</si>
  <si>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</si>
  <si>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</si>
  <si>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</si>
  <si>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</si>
  <si>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</si>
  <si>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</si>
  <si>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</si>
  <si>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</si>
  <si>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</si>
  <si>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</si>
  <si>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</si>
  <si>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</si>
  <si>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</si>
  <si>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</si>
  <si>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</si>
  <si>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</si>
  <si>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</si>
  <si>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</si>
  <si>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</si>
  <si>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</si>
  <si>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</si>
  <si>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</si>
  <si>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</si>
  <si>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</si>
  <si>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</si>
  <si>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</si>
  <si>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</si>
  <si>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</si>
  <si>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</si>
  <si>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</si>
  <si>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</si>
  <si>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</si>
  <si>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</si>
  <si>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</si>
  <si>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</si>
  <si>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</si>
  <si>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</si>
  <si>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</si>
  <si>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</si>
  <si>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</si>
  <si>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</si>
  <si>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</si>
  <si>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</si>
  <si>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</si>
  <si>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</si>
  <si>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</si>
  <si>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</si>
  <si>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</si>
  <si>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</si>
  <si>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</si>
  <si>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</si>
  <si>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</si>
  <si>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</si>
  <si>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</si>
  <si>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</si>
  <si>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</si>
  <si>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</si>
  <si>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</si>
  <si>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</si>
  <si>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</si>
  <si>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</si>
  <si>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</si>
  <si>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</si>
  <si>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</si>
  <si>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</si>
  <si>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</si>
  <si>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</si>
  <si>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</si>
  <si>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</si>
  <si>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</si>
  <si>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</si>
  <si>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</si>
  <si>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</si>
  <si>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</si>
  <si>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</si>
  <si>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</si>
  <si>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</si>
  <si>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</si>
  <si>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</si>
  <si>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</si>
  <si>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</si>
  <si>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</si>
  <si>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</si>
  <si>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</si>
  <si>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</si>
  <si>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</si>
  <si>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</si>
  <si>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</si>
  <si>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</si>
  <si>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</si>
  <si>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</si>
  <si>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</si>
  <si>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</si>
  <si>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</si>
  <si>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</si>
  <si>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</si>
  <si>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</si>
  <si>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</si>
  <si>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</si>
  <si>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</si>
  <si>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</si>
  <si>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</si>
  <si>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</si>
  <si>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</si>
  <si>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</si>
  <si>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</si>
  <si>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</si>
  <si>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</si>
  <si>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</si>
  <si>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</si>
  <si>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</si>
  <si>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</si>
  <si>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</si>
  <si>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</si>
  <si>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</si>
  <si>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</si>
  <si>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</si>
  <si>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</si>
  <si>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</si>
  <si>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</si>
  <si>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</si>
  <si>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</si>
  <si>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</si>
  <si>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</si>
  <si>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</si>
  <si>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</si>
  <si>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</si>
  <si>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204:458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</si>
  <si>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</si>
  <si>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</si>
  <si>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</si>
  <si>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</si>
  <si>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</si>
  <si>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</si>
  <si>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</si>
  <si>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</si>
  <si>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</si>
  <si>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</si>
  <si>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</si>
  <si>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</si>
  <si>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</si>
  <si>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rtdc.l.rtdc.4045:itc</t>
  </si>
  <si>
    <t>204:139</t>
  </si>
  <si>
    <t>MICHAEL</t>
  </si>
  <si>
    <t>DAVIS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</si>
  <si>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</si>
  <si>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</si>
  <si>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</si>
  <si>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</si>
  <si>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</si>
  <si>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</si>
  <si>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</si>
  <si>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204:233289</t>
  </si>
  <si>
    <t>204:232986</t>
  </si>
  <si>
    <t>204:440</t>
  </si>
  <si>
    <t>204:233299</t>
  </si>
  <si>
    <t>SMITH</t>
  </si>
  <si>
    <t>NEWELL</t>
  </si>
  <si>
    <t>204:449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</si>
  <si>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</si>
  <si>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</si>
  <si>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</si>
  <si>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</si>
  <si>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</si>
  <si>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</si>
  <si>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</si>
  <si>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</si>
  <si>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</si>
  <si>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</si>
  <si>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</si>
  <si>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</si>
  <si>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</si>
  <si>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</si>
  <si>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</si>
  <si>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</si>
  <si>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</si>
  <si>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</si>
  <si>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</si>
  <si>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</si>
  <si>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</si>
  <si>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</si>
  <si>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</si>
  <si>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</si>
  <si>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</si>
  <si>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204:233312</t>
  </si>
  <si>
    <t>204:233293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</si>
  <si>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</si>
  <si>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</si>
  <si>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</si>
  <si>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</si>
  <si>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</si>
  <si>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</si>
  <si>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</si>
  <si>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</si>
  <si>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</si>
  <si>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</si>
  <si>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204:232987</t>
  </si>
  <si>
    <t>204:141</t>
  </si>
  <si>
    <t>204:233307</t>
  </si>
  <si>
    <t>rtdc.l.rtdc.4025:itc</t>
  </si>
  <si>
    <t>rtdc.l.rtdc.4026:itc</t>
  </si>
  <si>
    <t>244-23</t>
  </si>
  <si>
    <t>311-23</t>
  </si>
  <si>
    <t>246-23</t>
  </si>
  <si>
    <t>313-23</t>
  </si>
  <si>
    <t>315-23</t>
  </si>
  <si>
    <t>Clear</t>
  </si>
  <si>
    <t>clear-night</t>
  </si>
  <si>
    <t>204:457</t>
  </si>
  <si>
    <t>204:233291</t>
  </si>
  <si>
    <t>204:232976</t>
  </si>
  <si>
    <t>204:156</t>
  </si>
  <si>
    <t>204:233317</t>
  </si>
  <si>
    <t>300:23304</t>
  </si>
  <si>
    <t>rtdc.l.rtdc.4017:itc</t>
  </si>
  <si>
    <t>rtdc.l.rtdc.4018:itc</t>
  </si>
  <si>
    <t>204:444</t>
  </si>
  <si>
    <t>204:232989</t>
  </si>
  <si>
    <t>204:233006</t>
  </si>
  <si>
    <t>204:232996</t>
  </si>
  <si>
    <t>204:172</t>
  </si>
  <si>
    <t>300:58944</t>
  </si>
  <si>
    <t>rtdc.l.rtdc.4001:itc</t>
  </si>
  <si>
    <t>SIMONEAUX</t>
  </si>
  <si>
    <t>TERA</t>
  </si>
  <si>
    <t>204:466</t>
  </si>
  <si>
    <t>204:232975</t>
  </si>
  <si>
    <t>204:469</t>
  </si>
  <si>
    <t>204:169</t>
  </si>
  <si>
    <t>300:23310</t>
  </si>
  <si>
    <t>204:965</t>
  </si>
  <si>
    <t>Wi-MAX data drop</t>
  </si>
  <si>
    <t>Banner without braking</t>
  </si>
  <si>
    <t>rtdc.l.rtdc.4041:itc</t>
  </si>
  <si>
    <t>rtdc.l.rtdc.4019:itc</t>
  </si>
  <si>
    <t>MAELZER</t>
  </si>
  <si>
    <t>KURT</t>
  </si>
  <si>
    <t>BRANNON</t>
  </si>
  <si>
    <t>JEFFREY</t>
  </si>
  <si>
    <t>244-27</t>
  </si>
  <si>
    <t>313-27</t>
  </si>
  <si>
    <t>315-27</t>
  </si>
  <si>
    <t>partly-cloudy-day</t>
  </si>
  <si>
    <t>204:232675</t>
  </si>
  <si>
    <t>204:233310</t>
  </si>
  <si>
    <t>204:232961</t>
  </si>
  <si>
    <t>204:233321</t>
  </si>
  <si>
    <t>204:174</t>
  </si>
  <si>
    <t>204:233309</t>
  </si>
  <si>
    <t>204:478</t>
  </si>
  <si>
    <t>204:233318</t>
  </si>
  <si>
    <t>204:233286</t>
  </si>
  <si>
    <t>204:233314</t>
  </si>
  <si>
    <t>204:232991</t>
  </si>
  <si>
    <t>204:471</t>
  </si>
  <si>
    <t>204:233004</t>
  </si>
  <si>
    <t>204:134</t>
  </si>
  <si>
    <t>300:58630</t>
  </si>
  <si>
    <t>204:755</t>
  </si>
  <si>
    <t>300:58937</t>
  </si>
  <si>
    <t>300:58636</t>
  </si>
  <si>
    <t>204:754</t>
  </si>
  <si>
    <t>rtdc.l.rtdc.4030:itc</t>
  </si>
  <si>
    <t>TEMPORARY SPEED RESTRICTION</t>
  </si>
  <si>
    <t>rtdc.l.rtdc.4020:itc</t>
  </si>
  <si>
    <t>rtdc.l.rtdc.4029:itc</t>
  </si>
  <si>
    <t>ISHMAEL</t>
  </si>
  <si>
    <t>JOSEPH</t>
  </si>
  <si>
    <t>BEAM</t>
  </si>
  <si>
    <t>ROSS</t>
  </si>
  <si>
    <t>JOHN</t>
  </si>
  <si>
    <t>HELVIE</t>
  </si>
  <si>
    <t>ADAM</t>
  </si>
  <si>
    <t>ROMERO</t>
  </si>
  <si>
    <t>CHAD</t>
  </si>
  <si>
    <t>BRUDER</t>
  </si>
  <si>
    <t>RICHARD</t>
  </si>
  <si>
    <t>DELGADO</t>
  </si>
  <si>
    <t>DIANAH</t>
  </si>
  <si>
    <t>MCREYNOLDS</t>
  </si>
  <si>
    <t>KYLE</t>
  </si>
  <si>
    <t>239-28</t>
  </si>
  <si>
    <t>238-28</t>
  </si>
  <si>
    <t>241-28</t>
  </si>
  <si>
    <t>240-28</t>
  </si>
  <si>
    <t>315-28</t>
  </si>
  <si>
    <t>242-28</t>
  </si>
  <si>
    <t>309-28</t>
  </si>
  <si>
    <t>311-28</t>
  </si>
  <si>
    <t>313-28</t>
  </si>
  <si>
    <t>51-29</t>
  </si>
  <si>
    <t>SPECTOR</t>
  </si>
  <si>
    <t>302-29</t>
  </si>
  <si>
    <t>clear-day</t>
  </si>
  <si>
    <t>204:233346</t>
  </si>
  <si>
    <t>204:429</t>
  </si>
  <si>
    <t>204:442</t>
  </si>
  <si>
    <t>204:232969</t>
  </si>
  <si>
    <t>204:233316</t>
  </si>
  <si>
    <t>204:136</t>
  </si>
  <si>
    <t>204:233305</t>
  </si>
  <si>
    <t>204:233311</t>
  </si>
  <si>
    <t>204:232984</t>
  </si>
  <si>
    <t>204:233319</t>
  </si>
  <si>
    <t>204:486</t>
  </si>
  <si>
    <t>204:233387</t>
  </si>
  <si>
    <t>204:233302</t>
  </si>
  <si>
    <t>204:112</t>
  </si>
  <si>
    <t>300:23306</t>
  </si>
  <si>
    <t>204:978</t>
  </si>
  <si>
    <t>204:691</t>
  </si>
  <si>
    <t>300:58673</t>
  </si>
  <si>
    <t>300:58685</t>
  </si>
  <si>
    <t>300:58933</t>
  </si>
  <si>
    <t>300:58935</t>
  </si>
  <si>
    <t>204:930</t>
  </si>
  <si>
    <t>300:58624</t>
  </si>
  <si>
    <t>204:983</t>
  </si>
  <si>
    <t>204:715</t>
  </si>
  <si>
    <t>204:675</t>
  </si>
  <si>
    <t>300:58941</t>
  </si>
  <si>
    <t>Cancelled due to Form O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</si>
  <si>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</si>
  <si>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</si>
  <si>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</si>
  <si>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</si>
  <si>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104-31</t>
  </si>
  <si>
    <t>110-31</t>
  </si>
  <si>
    <t>119-31</t>
  </si>
  <si>
    <t>50-31</t>
  </si>
  <si>
    <t>146-31</t>
  </si>
  <si>
    <t>156-31</t>
  </si>
  <si>
    <t>160-31</t>
  </si>
  <si>
    <t>1813-31</t>
  </si>
  <si>
    <t>166-31</t>
  </si>
  <si>
    <t>175-31</t>
  </si>
  <si>
    <t>179-31</t>
  </si>
  <si>
    <t>SWITCH UNKNOWN</t>
  </si>
  <si>
    <t>Track device (7)</t>
  </si>
  <si>
    <t>59-31</t>
  </si>
  <si>
    <t>70-31</t>
  </si>
  <si>
    <t>212-31</t>
  </si>
  <si>
    <t>216-31</t>
  </si>
  <si>
    <t>220-31</t>
  </si>
  <si>
    <t>222-31</t>
  </si>
  <si>
    <t>229-31</t>
  </si>
  <si>
    <t>226-31</t>
  </si>
  <si>
    <t>228-31</t>
  </si>
  <si>
    <t>230-31</t>
  </si>
  <si>
    <t>1833-31</t>
  </si>
  <si>
    <t>233-31</t>
  </si>
  <si>
    <t>rtdc.l.rtdc.4021:itc</t>
  </si>
  <si>
    <t>76-31</t>
  </si>
  <si>
    <t>237-31</t>
  </si>
  <si>
    <t>rtdc.l.rtdc.4031:itc</t>
  </si>
  <si>
    <t>243-31</t>
  </si>
  <si>
    <t>245-30</t>
  </si>
  <si>
    <t>242-30</t>
  </si>
  <si>
    <t>rtdc.l.rtdc.4007:itc</t>
  </si>
  <si>
    <t>309-30</t>
  </si>
  <si>
    <t>244-30</t>
  </si>
  <si>
    <t>311-30</t>
  </si>
  <si>
    <t>246-30</t>
  </si>
  <si>
    <t>313-30</t>
  </si>
  <si>
    <t>315-30</t>
  </si>
  <si>
    <t>302-31</t>
  </si>
  <si>
    <t>101-31</t>
  </si>
  <si>
    <t>304-31</t>
  </si>
  <si>
    <t>ROBINSON</t>
  </si>
  <si>
    <t>KADDIBA</t>
  </si>
  <si>
    <t>103-31</t>
  </si>
  <si>
    <t>306-31</t>
  </si>
  <si>
    <t>102-31</t>
  </si>
  <si>
    <t>105-31</t>
  </si>
  <si>
    <t>308-31</t>
  </si>
  <si>
    <t>MAHAN</t>
  </si>
  <si>
    <t>DUANE</t>
  </si>
  <si>
    <t>310-31</t>
  </si>
  <si>
    <t>107-31</t>
  </si>
  <si>
    <t>109-31</t>
  </si>
  <si>
    <t>111-31</t>
  </si>
  <si>
    <t>ARVIDSON</t>
  </si>
  <si>
    <t>DANIEL</t>
  </si>
  <si>
    <t>106-31</t>
  </si>
  <si>
    <t>113-31</t>
  </si>
  <si>
    <t>108-31</t>
  </si>
  <si>
    <t>1901-31</t>
  </si>
  <si>
    <t>SHOOK</t>
  </si>
  <si>
    <t>115-31</t>
  </si>
  <si>
    <t>GEBRETEKLE</t>
  </si>
  <si>
    <t>DAGNEW</t>
  </si>
  <si>
    <t>117-31</t>
  </si>
  <si>
    <t>1800-31</t>
  </si>
  <si>
    <t>112-31</t>
  </si>
  <si>
    <t>1801-31</t>
  </si>
  <si>
    <t>114-31</t>
  </si>
  <si>
    <t>121-31</t>
  </si>
  <si>
    <t>116-31</t>
  </si>
  <si>
    <t>123-31</t>
  </si>
  <si>
    <t>118-31</t>
  </si>
  <si>
    <t>1802-31</t>
  </si>
  <si>
    <t>125-31</t>
  </si>
  <si>
    <t>120-31</t>
  </si>
  <si>
    <t>127-31</t>
  </si>
  <si>
    <t>1803-31</t>
  </si>
  <si>
    <t>122-31</t>
  </si>
  <si>
    <t>129-31</t>
  </si>
  <si>
    <t>124-31</t>
  </si>
  <si>
    <t>131-31</t>
  </si>
  <si>
    <t>126-31</t>
  </si>
  <si>
    <t>1804-31</t>
  </si>
  <si>
    <t>133-31</t>
  </si>
  <si>
    <t>128-31</t>
  </si>
  <si>
    <t>135-31</t>
  </si>
  <si>
    <t>1805-31</t>
  </si>
  <si>
    <t>130-31</t>
  </si>
  <si>
    <t>137-31</t>
  </si>
  <si>
    <t>132-31</t>
  </si>
  <si>
    <t>139-31</t>
  </si>
  <si>
    <t>134-31</t>
  </si>
  <si>
    <t>141-31</t>
  </si>
  <si>
    <t>1806-31</t>
  </si>
  <si>
    <t>136-31</t>
  </si>
  <si>
    <t>143-31</t>
  </si>
  <si>
    <t>1807-31</t>
  </si>
  <si>
    <t>138-31</t>
  </si>
  <si>
    <t>145-31</t>
  </si>
  <si>
    <t>140-31</t>
  </si>
  <si>
    <t>147-31</t>
  </si>
  <si>
    <t>142-31</t>
  </si>
  <si>
    <t>149-31</t>
  </si>
  <si>
    <t>1808-31</t>
  </si>
  <si>
    <t>144-31</t>
  </si>
  <si>
    <t>151-31</t>
  </si>
  <si>
    <t>1809-31</t>
  </si>
  <si>
    <t>ADANE</t>
  </si>
  <si>
    <t>ELSHADAY</t>
  </si>
  <si>
    <t>153-31</t>
  </si>
  <si>
    <t>148-31</t>
  </si>
  <si>
    <t>155-31</t>
  </si>
  <si>
    <t>51-31</t>
  </si>
  <si>
    <t>150-31</t>
  </si>
  <si>
    <t>157-31</t>
  </si>
  <si>
    <t>1810-31</t>
  </si>
  <si>
    <t>152-31</t>
  </si>
  <si>
    <t>159-31</t>
  </si>
  <si>
    <t>STEWART</t>
  </si>
  <si>
    <t>1811-31</t>
  </si>
  <si>
    <t>154-31</t>
  </si>
  <si>
    <t>161-31</t>
  </si>
  <si>
    <t>163-31</t>
  </si>
  <si>
    <t>158-31</t>
  </si>
  <si>
    <t>165-31</t>
  </si>
  <si>
    <t>KILLION</t>
  </si>
  <si>
    <t>DAVID</t>
  </si>
  <si>
    <t>1812-31</t>
  </si>
  <si>
    <t>167-31</t>
  </si>
  <si>
    <t>162-31</t>
  </si>
  <si>
    <t>169-31</t>
  </si>
  <si>
    <t>164-31</t>
  </si>
  <si>
    <t>171-31</t>
  </si>
  <si>
    <t>173-31</t>
  </si>
  <si>
    <t>168-31</t>
  </si>
  <si>
    <t>1814-31</t>
  </si>
  <si>
    <t>170-31</t>
  </si>
  <si>
    <t>1815-31</t>
  </si>
  <si>
    <t>177-31</t>
  </si>
  <si>
    <t>172-31</t>
  </si>
  <si>
    <t>174-31</t>
  </si>
  <si>
    <t>181-31</t>
  </si>
  <si>
    <t>WHITED</t>
  </si>
  <si>
    <t>1816-31</t>
  </si>
  <si>
    <t>176-31</t>
  </si>
  <si>
    <t>183-31</t>
  </si>
  <si>
    <t>178-31</t>
  </si>
  <si>
    <t>1817-31</t>
  </si>
  <si>
    <t>185-31</t>
  </si>
  <si>
    <t>180-31</t>
  </si>
  <si>
    <t>187-31</t>
  </si>
  <si>
    <t>182-31</t>
  </si>
  <si>
    <t>184-31</t>
  </si>
  <si>
    <t>1818-31</t>
  </si>
  <si>
    <t>189-31</t>
  </si>
  <si>
    <t>191-31</t>
  </si>
  <si>
    <t>186-31</t>
  </si>
  <si>
    <t>193-31</t>
  </si>
  <si>
    <t>1819-31</t>
  </si>
  <si>
    <t>188-31</t>
  </si>
  <si>
    <t>195-31</t>
  </si>
  <si>
    <t>190-31</t>
  </si>
  <si>
    <t>197-31</t>
  </si>
  <si>
    <t>1820-31</t>
  </si>
  <si>
    <t>192-31</t>
  </si>
  <si>
    <t>199-31</t>
  </si>
  <si>
    <t>KAMDEN</t>
  </si>
  <si>
    <t>194-31</t>
  </si>
  <si>
    <t>201-31</t>
  </si>
  <si>
    <t>1821-31</t>
  </si>
  <si>
    <t>196-31</t>
  </si>
  <si>
    <t>203-31</t>
  </si>
  <si>
    <t>198-31</t>
  </si>
  <si>
    <t>205-31</t>
  </si>
  <si>
    <t>1822-31</t>
  </si>
  <si>
    <t>207-31</t>
  </si>
  <si>
    <t>200-31</t>
  </si>
  <si>
    <t>209-31</t>
  </si>
  <si>
    <t>202-31</t>
  </si>
  <si>
    <t>1823-31</t>
  </si>
  <si>
    <t>204-31</t>
  </si>
  <si>
    <t>211-31</t>
  </si>
  <si>
    <t>206-31</t>
  </si>
  <si>
    <t>1824-31</t>
  </si>
  <si>
    <t>213-31</t>
  </si>
  <si>
    <t>208-31</t>
  </si>
  <si>
    <t>210-31</t>
  </si>
  <si>
    <t>215-31</t>
  </si>
  <si>
    <t>rtdc.l.rtdc.4032:itc</t>
  </si>
  <si>
    <t>68-31</t>
  </si>
  <si>
    <t>MACDONALD</t>
  </si>
  <si>
    <t>THOMAS</t>
  </si>
  <si>
    <t>72-31</t>
  </si>
  <si>
    <t>SAFIEF</t>
  </si>
  <si>
    <t>AEIMEN</t>
  </si>
  <si>
    <t>217-31</t>
  </si>
  <si>
    <t>1825-31</t>
  </si>
  <si>
    <t>71-31</t>
  </si>
  <si>
    <t>219-31</t>
  </si>
  <si>
    <t>214-31</t>
  </si>
  <si>
    <t>1826-31</t>
  </si>
  <si>
    <t>303-31</t>
  </si>
  <si>
    <t>221-31</t>
  </si>
  <si>
    <t>218-31</t>
  </si>
  <si>
    <t>305-31</t>
  </si>
  <si>
    <t>1827-31</t>
  </si>
  <si>
    <t>223-31</t>
  </si>
  <si>
    <t>1828-31</t>
  </si>
  <si>
    <t>307-31</t>
  </si>
  <si>
    <t>225-31</t>
  </si>
  <si>
    <t>1829-31</t>
  </si>
  <si>
    <t>227-31</t>
  </si>
  <si>
    <t>224-31</t>
  </si>
  <si>
    <t>74-31</t>
  </si>
  <si>
    <t>1830-31</t>
  </si>
  <si>
    <t>231-31</t>
  </si>
  <si>
    <t>1831-31</t>
  </si>
  <si>
    <t>1832-31</t>
  </si>
  <si>
    <t>232-31</t>
  </si>
  <si>
    <t>235-31</t>
  </si>
  <si>
    <t>234-31</t>
  </si>
  <si>
    <t>77-31</t>
  </si>
  <si>
    <t>236-31</t>
  </si>
  <si>
    <t>239-31</t>
  </si>
  <si>
    <t>78-31</t>
  </si>
  <si>
    <t>241-31</t>
  </si>
  <si>
    <t>238-31</t>
  </si>
  <si>
    <t>79-31</t>
  </si>
  <si>
    <t>240-31</t>
  </si>
  <si>
    <t>1904-31</t>
  </si>
  <si>
    <t>245-31</t>
  </si>
  <si>
    <t>242-31</t>
  </si>
  <si>
    <t>309-31</t>
  </si>
  <si>
    <t>244-31</t>
  </si>
  <si>
    <t>311-31</t>
  </si>
  <si>
    <t>246-31</t>
  </si>
  <si>
    <t>313-31</t>
  </si>
  <si>
    <t>204:233298</t>
  </si>
  <si>
    <t>204:232672</t>
  </si>
  <si>
    <t>204:710</t>
  </si>
  <si>
    <t>204:233391</t>
  </si>
  <si>
    <t>204:232792</t>
  </si>
  <si>
    <t>204:161</t>
  </si>
  <si>
    <t>204:752</t>
  </si>
  <si>
    <t>204:232690</t>
  </si>
  <si>
    <t>204:132</t>
  </si>
  <si>
    <t>204:233284</t>
  </si>
  <si>
    <t>204:233003</t>
  </si>
  <si>
    <t>204:431</t>
  </si>
  <si>
    <t>204:774</t>
  </si>
  <si>
    <t>204:475</t>
  </si>
  <si>
    <t>204:232983</t>
  </si>
  <si>
    <t>204:233320</t>
  </si>
  <si>
    <t>204:233327</t>
  </si>
  <si>
    <t>204:233013</t>
  </si>
  <si>
    <t>204:110</t>
  </si>
  <si>
    <t>204:232965</t>
  </si>
  <si>
    <t>204:473</t>
  </si>
  <si>
    <t>204:233336</t>
  </si>
  <si>
    <t>204:167</t>
  </si>
  <si>
    <t>204:233005</t>
  </si>
  <si>
    <t>204:233338</t>
  </si>
  <si>
    <t>204:233023</t>
  </si>
  <si>
    <t>204:480</t>
  </si>
  <si>
    <t>204:233303</t>
  </si>
  <si>
    <t>204:418</t>
  </si>
  <si>
    <t>204:233010</t>
  </si>
  <si>
    <t>204:233021</t>
  </si>
  <si>
    <t>204:495</t>
  </si>
  <si>
    <t>204:233306</t>
  </si>
  <si>
    <t>204:19130</t>
  </si>
  <si>
    <t>204:1302</t>
  </si>
  <si>
    <t>204:232963</t>
  </si>
  <si>
    <t>204:435</t>
  </si>
  <si>
    <t>204:233278</t>
  </si>
  <si>
    <t>204:232979</t>
  </si>
  <si>
    <t>204:433</t>
  </si>
  <si>
    <t>204:232981</t>
  </si>
  <si>
    <t>204:488</t>
  </si>
  <si>
    <t>300:58668</t>
  </si>
  <si>
    <t>204:741</t>
  </si>
  <si>
    <t>204:1035</t>
  </si>
  <si>
    <t>300:58986</t>
  </si>
  <si>
    <t>300:58656</t>
  </si>
  <si>
    <t>204:708</t>
  </si>
  <si>
    <t>204:1011</t>
  </si>
  <si>
    <t>300:58993</t>
  </si>
  <si>
    <t>300:58666</t>
  </si>
  <si>
    <t>204:724</t>
  </si>
  <si>
    <t>204:1020</t>
  </si>
  <si>
    <t>300:58088</t>
  </si>
  <si>
    <t>300:58990</t>
  </si>
  <si>
    <t>300:58662</t>
  </si>
  <si>
    <t>204:1034</t>
  </si>
  <si>
    <t>300:58978</t>
  </si>
  <si>
    <t>300:58670</t>
  </si>
  <si>
    <t>204:727</t>
  </si>
  <si>
    <t>204:712</t>
  </si>
  <si>
    <t>204:1013</t>
  </si>
  <si>
    <t>300:58873</t>
  </si>
  <si>
    <t>300:58555</t>
  </si>
  <si>
    <t>300:58973</t>
  </si>
  <si>
    <t>300:58660</t>
  </si>
  <si>
    <t>204:733</t>
  </si>
  <si>
    <t>204:1023</t>
  </si>
  <si>
    <t>204:729</t>
  </si>
  <si>
    <t>300:58617</t>
  </si>
  <si>
    <t>204:743</t>
  </si>
  <si>
    <t>204:1030</t>
  </si>
  <si>
    <t>204:1041</t>
  </si>
  <si>
    <t>300:58939</t>
  </si>
  <si>
    <t>300:58634</t>
  </si>
  <si>
    <t>204:1027</t>
  </si>
  <si>
    <t>300:58946</t>
  </si>
  <si>
    <t>300:58623</t>
  </si>
  <si>
    <t>204:757</t>
  </si>
  <si>
    <t>300:58952</t>
  </si>
  <si>
    <t>300:58632</t>
  </si>
  <si>
    <t>204:1009</t>
  </si>
  <si>
    <t>300:29940</t>
  </si>
  <si>
    <t>300:58976</t>
  </si>
  <si>
    <t>300:58638</t>
  </si>
  <si>
    <t>300:21930</t>
  </si>
  <si>
    <t>204:422</t>
  </si>
  <si>
    <t>204:233007</t>
  </si>
  <si>
    <t>204:233002</t>
  </si>
  <si>
    <t>204:233282</t>
  </si>
  <si>
    <t>204:438</t>
  </si>
  <si>
    <t>204:932</t>
  </si>
  <si>
    <t>204:489</t>
  </si>
  <si>
    <t>204:233090</t>
  </si>
  <si>
    <t>204:76</t>
  </si>
  <si>
    <t>204:699</t>
  </si>
  <si>
    <t>204:209</t>
  </si>
  <si>
    <t>204:744</t>
  </si>
  <si>
    <t>204:232652</t>
  </si>
  <si>
    <t>204:734</t>
  </si>
  <si>
    <t>204:232664</t>
  </si>
  <si>
    <t>204:130</t>
  </si>
  <si>
    <t>204:704</t>
  </si>
  <si>
    <t>204:232744</t>
  </si>
  <si>
    <t>204:107</t>
  </si>
  <si>
    <t>204:821</t>
  </si>
  <si>
    <t>204:232670</t>
  </si>
  <si>
    <t>204:763</t>
  </si>
  <si>
    <t>204:233334</t>
  </si>
  <si>
    <t>204:233351</t>
  </si>
  <si>
    <t>204:232739</t>
  </si>
  <si>
    <t>204:732</t>
  </si>
  <si>
    <t>204:232646</t>
  </si>
  <si>
    <t>204:165</t>
  </si>
  <si>
    <t>204:232662</t>
  </si>
  <si>
    <t>204:233257</t>
  </si>
  <si>
    <t>204:232648</t>
  </si>
  <si>
    <t>204:232753</t>
  </si>
  <si>
    <t>204:761</t>
  </si>
  <si>
    <t>204:233439</t>
  </si>
  <si>
    <t>204:232756</t>
  </si>
  <si>
    <t>204:233287</t>
  </si>
  <si>
    <t>204:232655</t>
  </si>
  <si>
    <t>300:20045</t>
  </si>
  <si>
    <t>300:23295</t>
  </si>
  <si>
    <t>300:22011</t>
  </si>
  <si>
    <t>300:19840</t>
  </si>
  <si>
    <t>204:996</t>
  </si>
  <si>
    <t>300:23192</t>
  </si>
  <si>
    <t>204:823</t>
  </si>
  <si>
    <t>300:22837</t>
  </si>
  <si>
    <t>300:23292</t>
  </si>
  <si>
    <t>300:23126</t>
  </si>
  <si>
    <t>300:23122</t>
  </si>
  <si>
    <t>204:880</t>
  </si>
  <si>
    <t>204:1194</t>
  </si>
  <si>
    <t>300:24262</t>
  </si>
  <si>
    <t>204:1486</t>
  </si>
  <si>
    <t>204:1771</t>
  </si>
  <si>
    <t>300:22314</t>
  </si>
  <si>
    <t>204:95</t>
  </si>
  <si>
    <t>300:23277</t>
  </si>
  <si>
    <t>204:1088</t>
  </si>
  <si>
    <t>204:1394</t>
  </si>
  <si>
    <t>300:21977</t>
  </si>
  <si>
    <t>204:945</t>
  </si>
  <si>
    <t>300:22153</t>
  </si>
  <si>
    <t>204:913</t>
  </si>
  <si>
    <t>start /low /b %USERPROFILE%\Documents\GitHub\eaglep3\Utilities\DownloadLogsFromS3.py --loco 4003 --day 2016-12-31</t>
  </si>
  <si>
    <t>start /low /b %USERPROFILE%\Documents\GitHub\eaglep3\Utilities\DownloadLogsFromS3.py --loco 4018 --day 2017-01-01</t>
  </si>
  <si>
    <t>start /low /b %USERPROFILE%\Documents\GitHub\eaglep3\Utilities\DownloadLogsFromS3.py --loco 4012 --day 2016-12-31</t>
  </si>
  <si>
    <t>start /low /b %USERPROFILE%\Documents\GitHub\eaglep3\Utilities\DownloadLogsFromS3.py --loco 4004 --day 2016-12-31</t>
  </si>
  <si>
    <t>start /low /b %USERPROFILE%\Documents\GitHub\eaglep3\Utilities\DownloadLogsFromS3.py --loco 4026 --day 2016-12-31</t>
  </si>
  <si>
    <t>start /low /b %USERPROFILE%\Documents\GitHub\eaglep3\Utilities\DownloadLogsFromS3.py --loco 4019 --day 2017-01-01</t>
  </si>
  <si>
    <t>start /low /b %USERPROFILE%\Documents\GitHub\eaglep3\Utilities\DownloadLogsFromS3.py --loco 4016 --day 2016-12-31</t>
  </si>
  <si>
    <t>start /low /b %USERPROFILE%\Documents\GitHub\eaglep3\Utilities\DownloadLogsFromS3.py --loco 4025 --day 2016-12-31</t>
  </si>
  <si>
    <t>start /low /b %USERPROFILE%\Documents\GitHub\eaglep3\Utilities\DownloadLogsFromS3.py --loco 4031 --day 2017-01-01</t>
  </si>
  <si>
    <t>start /low /b %USERPROFILE%\Documents\GitHub\eaglep3\Utilities\DownloadLogsFromS3.py --loco 4028 --day 2017-01-01</t>
  </si>
  <si>
    <t>start /low /b %USERPROFILE%\Documents\GitHub\eaglep3\Utilities\DownloadLogsFromS3.py --loco 4012 --day 2017-01-01</t>
  </si>
  <si>
    <t>start /low /b %USERPROFILE%\Documents\GitHub\eaglep3\Utilities\DownloadLogsFromS3.py --loco 4045 --day 2017-01-01</t>
  </si>
  <si>
    <t>start /low /b %USERPROFILE%\Documents\GitHub\eaglep3\Utilities\DownloadLogsFromS3.py --loco 4004 --day 2017-01-01</t>
  </si>
  <si>
    <t>start /low /b %USERPROFILE%\Documents\GitHub\eaglep3\Utilities\DownloadLogsFromS3.py --loco 4016 --day 2017-01-01</t>
  </si>
  <si>
    <t>start /low /b %USERPROFILE%\Documents\GitHub\eaglep3\Utilities\DownloadLogsFromS3.py --loco 4042 --day 2016-12-31</t>
  </si>
  <si>
    <t>start /low /b %USERPROFILE%\Documents\GitHub\eaglep3\Utilities\DownloadLogsFromS3.py --loco 4022 --day 2017-01-01</t>
  </si>
  <si>
    <t>Early arrival</t>
  </si>
  <si>
    <t>DUS SW 9 was reverse (this train was Main 1)</t>
  </si>
  <si>
    <t>SYS :2017/01/01 04:08:36.052:ENFORCEMENT:Predictive Enforcement Action:  Target Number: 000170D4  Target Speed:   0.0  Current Speed:  39.8</t>
  </si>
  <si>
    <t>SYS :2017/01/01 06:08:35.039:ENFORCEMENT:Reactive Enforcement Action:  Target Number: 000170F2  Target Speed:   0.0  Current Speed:  31.9</t>
  </si>
  <si>
    <t>SYS :2017/01/01 04:08:34.305:ENFORCEMENT:Predictive Enforcement Action:  Target Number: 000170D4  Target Speed:   0.0  Current Speed:  40.0</t>
  </si>
  <si>
    <t>SYS :2017/01/01 06:08:33.308:ENFORCEMENT:Predictive Enforcement Action:  Target Number: 000170F2  Target Speed:   0.0  Current Speed:  33.7</t>
  </si>
  <si>
    <t>SYS :2016/12/31 18:55:43.499:ENFORCEMENT:Predictive Enforcement Action:  Target Number: 00017075  Target Speed:   0.0  Current Speed:  25.4</t>
  </si>
  <si>
    <t>SYS :2016/12/31 18:55:42.976:ENFORCEMENT:Predictive Enforcement Action:  Target Number: 00017075  Target Speed:   0.0  Current Speed:  26.7</t>
  </si>
  <si>
    <t>SYS :2016/12/31 18:55:42.814:ENFORCEMENT:Predictive Enforcement Action:  Target Number: 00017075  Target Speed:   0.0  Current Speed:  26.7</t>
  </si>
  <si>
    <t>SYS :2016/12/31 12:07:23.825:ENFORCEMENT:Predictive Enforcement Action:  Target Number: 00017014  Target Speed:   0.0  Current Speed:  55.3</t>
  </si>
  <si>
    <t>SYS :2016/12/31 17:12:06.825:ENFORCEMENT:Reactive Enforcement Action:  Target Number: 00010091  Target Speed:  35.0  Current Speed:  40.5</t>
  </si>
  <si>
    <t>SYS :2016/12/31 19:27:25.813:ENFORCEMENT:Predictive Enforcement Action:  Target Number: 000100C1  Target Speed:  30.0  Current Speed:  40.1</t>
  </si>
  <si>
    <t>SYS :2016/12/31 12:07:20.493:ENFORCEMENT:Predictive Enforcement Action:  Target Number: 00017014  Target Speed:  55.0  Current Speed:  61.7</t>
  </si>
  <si>
    <t>SYS :2016/12/31 17:12:06.489:ENFORCEMENT:Reactive Enforcement Action:  Target Number: 00010091  Target Speed:  35.0  Current Speed:  40.5</t>
  </si>
  <si>
    <t>SYS :2016/12/31 19:27:25.479:ENFORCEMENT:Predictive Enforcement Action:  Target Number: 000100BE  Target Speed:  30.0  Current Speed:  40.1</t>
  </si>
  <si>
    <t>SYS :2016/12/31 12:07:22.122:ENFORCEMENT:Predictive Enforcement Action:  Target Number: 00017014  Target Speed:  55.0  Current Speed:  61.1</t>
  </si>
  <si>
    <t>SYS :2016/12/31 17:12:07.107:ENFORCEMENT:Reactive Enforcement Action:  Target Number: 00010091  Target Speed:  35.0  Current Speed:  40.5</t>
  </si>
  <si>
    <t>SYS :2016/12/31 19:27:26.116:ENFORCEMENT:Predictive Enforcement Action:  Target Number: 000100C1  Target Speed:  30.0  Current Speed:  39.0</t>
  </si>
  <si>
    <t>SYS :2016/12/31 20:12:49.250:ENFORCEMENT:Predictive Enforcement Action:  Target Number: 000100C1  Target Speed:  30.0  Current Speed:  42.4</t>
  </si>
  <si>
    <t>SYS :2016/12/31 20:12:49.267:ENFORCEMENT:Predictive Enforcement Action:  Target Number: 000100C1  Target Speed:  30.0  Current Speed:  42.4</t>
  </si>
  <si>
    <t>SYS :2017/01/01 03:38:51.085:ENFORCEMENT:Predictive Enforcement Action:  Target Number: 00001003  Target Speed:   0.0  Current Speed:  11.2</t>
  </si>
  <si>
    <t>SYS :2017/01/01 03:39:37.084:ENFORCEMENT:Predictive Enforcement Action:  Target Number: 00001003  Target Speed:   0.0  Current Speed:   5.2</t>
  </si>
  <si>
    <t>SYS :2017/01/01 05:14:26.125:ENFORCEMENT:Predictive Enforcement Action:  Target Number: 00010031  Target Speed:  40.0  Current Speed:  48.6</t>
  </si>
  <si>
    <t>SYS :2017/01/01 03:38:50.789:ENFORCEMENT:Predictive Enforcement Action:  Target Number: 00001003  Target Speed:   0.0  Current Speed:  11.2</t>
  </si>
  <si>
    <t>SYS :2017/01/01 03:39:29.790:ENFORCEMENT:Predictive Enforcement Action:  Target Number: 00001003  Target Speed:   0.0  Current Speed:   5.3</t>
  </si>
  <si>
    <t>SYS :2017/01/01 03:38:51.387:ENFORCEMENT:Predictive Enforcement Action:  Target Number: 00001003  Target Speed:   0.0  Current Speed:  11.2</t>
  </si>
  <si>
    <t>SYS :2017/01/01 03:39:37.384:ENFORCEMENT:Predictive Enforcement Action:  Target Number: 00001003  Target Speed:   0.0  Current Speed:   5.2</t>
  </si>
  <si>
    <t>SYS :2017/01/01 05:14:26.404:ENFORCEMENT:Predictive Enforcement Action:  Target Number: 00010031  Target Speed:  40.0  Current Speed:  48.6</t>
  </si>
  <si>
    <t>SYS :2016/12/31 20:35:51.504:ENFORCEMENT:Predictive Enforcement Action:  Target Number: 000100F9  Target Speed:  35.0  Current Speed:  48.4</t>
  </si>
  <si>
    <t>SYS :2016/12/31 20:35:50.663:ENFORCEMENT:Predictive Enforcement Action:  Target Number: 000100FC  Target Speed:  35.0  Current Speed:  49.1</t>
  </si>
  <si>
    <t>SYS :2016/12/31 20:35:51.374:ENFORCEMENT:Predictive Enforcement Action:  Target Number: 000100FB  Target Speed:  35.0  Current Speed:  49.1</t>
  </si>
  <si>
    <t>SYS :2016/12/31 21:02:45.383:ENFORCEMENT:Predictive Enforcement Action:  Target Number: 00004072  Target Speed:   0.0  Current Speed:  70.8</t>
  </si>
  <si>
    <t>SYS :2016/12/31 21:02:45.133:ENFORCEMENT:Predictive Enforcement Action:  Target Number: 0000408C  Target Speed:   0.0  Current Speed:  69.4</t>
  </si>
  <si>
    <t>SYS :2016/12/31 21:02:45.472:ENFORCEMENT:Predictive Enforcement Action:  Target Number: 0000404B  Target Speed:   0.0  Current Speed:  69.4</t>
  </si>
  <si>
    <t>SYS :2017/01/01 07:44:39.428:ENFORCEMENT:Predictive Enforcement Action:  Target Number: 0000A004  Target Speed:  15.0  Current Speed:  38.5</t>
  </si>
  <si>
    <t>SYS :2017/01/01 07:44:39.845:ENFORCEMENT:Predictive Enforcement Action:  Target Number: 0000A004  Target Speed:  15.0  Current Speed:  38.5</t>
  </si>
  <si>
    <t>SYS :2017/01/01 07:44:39.979:ENFORCEMENT:Predictive Enforcement Action:  Target Number: 0000A004  Target Speed:  15.0  Current Speed:  38.5</t>
  </si>
  <si>
    <t>SYS :2016/12/31 13:20:50.263:ENFORCEMENT:Predictive Enforcement Action:  Target Number: 00001006  Target Speed:   0.0  Current Speed:   5.9</t>
  </si>
  <si>
    <t>SYS :2017/01/01 02:05:22.489:ENFORCEMENT:Predictive Enforcement Action:  Target Number: 00001015  Target Speed:   0.0  Current Speed:   4.4</t>
  </si>
  <si>
    <t>SYS :2017/01/01 02:05:22.958:ENFORCEMENT:Predictive Enforcement Action:  Target Number: 00001015  Target Speed:   0.0  Current Speed:   4.4</t>
  </si>
  <si>
    <t>SYS :2017/01/01 02:05:22.782:ENFORCEMENT:Predictive Enforcement Action:  Target Number: 00001015  Target Speed:   0.0  Current Speed:   4.4</t>
  </si>
  <si>
    <t>SYS :2017/01/01 03:11:07.083:ENFORCEMENT:Predictive Enforcement Action:  Target Number: 0000101D  Target Speed:   0.0  Current Speed:   3.3</t>
  </si>
  <si>
    <t>SYS :2017/01/01 05:08:24.084:ENFORCEMENT:Predictive Enforcement Action:  Target Number: 00001020  Target Speed:   0.0  Current Speed:  15.4</t>
  </si>
  <si>
    <t>SYS :2017/01/01 05:09:36.082:ENFORCEMENT:Predictive Enforcement Action:  Target Number: 00001020  Target Speed:   0.0  Current Speed:   3.5</t>
  </si>
  <si>
    <t>SYS :2017/01/01 03:11:07.143:ENFORCEMENT:Predictive Enforcement Action:  Target Number: 0000101D  Target Speed:   0.0  Current Speed:   3.3</t>
  </si>
  <si>
    <t>SYS :2017/01/01 05:09:35.151:ENFORCEMENT:Predictive Enforcement Action:  Target Number: 00001020  Target Speed:   0.0  Current Speed:   3.5</t>
  </si>
  <si>
    <t>SYS :2017/01/01 03:11:06.908:ENFORCEMENT:Predictive Enforcement Action:  Target Number: 00001011  Target Speed:   0.0  Current Speed:   3.5</t>
  </si>
  <si>
    <t>SYS :2017/01/01 05:08:23.913:ENFORCEMENT:Predictive Enforcement Action:  Target Number: 00001014  Target Speed:   0.0  Current Speed:  15.4</t>
  </si>
  <si>
    <t>SYS :2017/01/01 05:09:35.909:ENFORCEMENT:Predictive Enforcement Action:  Target Number: 00001014  Target Speed:   0.0  Current Speed:   3.5</t>
  </si>
  <si>
    <t>SYS :2017/01/01 02:34:51.799:ENFORCEMENT:Predictive Enforcement Action:  Target Number: 0000101B  Target Speed:   0.0  Current Speed:   4.3</t>
  </si>
  <si>
    <t>SYS :2017/01/01 02:34:51.454:ENFORCEMENT:Predictive Enforcement Action:  Target Number: 0000101A  Target Speed:   0.0  Current Speed:   4.3</t>
  </si>
  <si>
    <t>SYS :2017/01/01 02:34:52.093:ENFORCEMENT:Predictive Enforcement Action:  Target Number: 0000101A  Target Speed:   0.0  Current Speed:   4.3</t>
  </si>
  <si>
    <t>SYS :2016/12/31 13:36:27.659:ENFORCEMENT:Predictive Enforcement Action:  Target Number: 00001004  Target Speed:   0.0  Current Speed:   3.9</t>
  </si>
  <si>
    <t>SYS :2017/01/01 05:45:02.491:ENFORCEMENT:Predictive Enforcement Action:  Target Number: 00001018  Target Speed:   0.0  Current Speed:   4.1</t>
  </si>
  <si>
    <t>SYS :2017/01/01 05:45:02.639:ENFORCEMENT:Predictive Enforcement Action:  Target Number: 00001018  Target Speed:   0.0  Current Speed:   4.1</t>
  </si>
  <si>
    <t>SYS :2017/01/01 05:45:03.366:ENFORCEMENT:Predictive Enforcement Action:  Target Number: 00001018  Target Speed:   0.0  Current Speed:   4.1</t>
  </si>
  <si>
    <t>SYS :2016/12/31 19:35:26.418:ENFORCEMENT:Predictive Enforcement Action:  Target Number: 00001017  Target Speed:   0.0  Current Speed:  17.8</t>
  </si>
  <si>
    <t>SYS :2016/12/31 19:36:46.409:ENFORCEMENT:Predictive Enforcement Action:  Target Number: 00001017  Target Speed:   0.0  Current Speed:   7.6</t>
  </si>
  <si>
    <t>SYS :2016/12/31 19:37:52.414:ENFORCEMENT:Predictive Enforcement Action:  Target Number: 00001017  Target Speed:   0.0  Current Speed:   3.5</t>
  </si>
  <si>
    <t>SYS :2016/12/31 19:35:25.784:ENFORCEMENT:Predictive Enforcement Action:  Target Number: 00001017  Target Speed:   0.0  Current Speed:  17.6</t>
  </si>
  <si>
    <t>SYS :2016/12/31 19:36:46.780:ENFORCEMENT:Predictive Enforcement Action:  Target Number: 00001017  Target Speed:   0.0  Current Speed:   7.2</t>
  </si>
  <si>
    <t>SYS :2016/12/31 19:37:52.780:ENFORCEMENT:Predictive Enforcement Action:  Target Number: 00001017  Target Speed:   0.0  Current Speed:   3.2</t>
  </si>
  <si>
    <t>SYS :2016/12/31 19:35:25.415:ENFORCEMENT:Predictive Enforcement Action:  Target Number: 0000100E  Target Speed:   0.0  Current Speed:  17.8</t>
  </si>
  <si>
    <t>SYS :2016/12/31 19:36:47.412:ENFORCEMENT:Predictive Enforcement Action:  Target Number: 0000100E  Target Speed:   0.0  Current Speed:   7.2</t>
  </si>
  <si>
    <t>SYS :2016/12/31 19:37:53.410:ENFORCEMENT:Predictive Enforcement Action:  Target Number: 0000100E  Target Speed:   0.0  Current Speed:   3.2</t>
  </si>
  <si>
    <t>SYS :2017/01/01 05:36:39.284:ENFORCEMENT:Predictive Enforcement Action:  Target Number: 0000101B  Target Speed:   0.0  Current Speed:   4.1</t>
  </si>
  <si>
    <t>SYS :2017/01/01 05:36:39.087:ENFORCEMENT:Predictive Enforcement Action:  Target Number: 00001018  Target Speed:   0.0  Current Speed:   4.1</t>
  </si>
  <si>
    <t>SYS :2017/01/01 05:36:38.846:ENFORCEMENT:Predictive Enforcement Action:  Target Number: 0000101A  Target Speed:   0.0  Current Speed:   4.1</t>
  </si>
  <si>
    <t>PTC logs don't show any penalties commanded or detected</t>
  </si>
  <si>
    <t>Departure delayed by poor GPS at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</si>
</sst>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topLeftCell="A76" workbookViewId="0">
      <selection activeCell="R93" sqref="R93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42735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42735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146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34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COUNTIFS($N$13:$N$9353,"&gt;0",$AG$13:$AG$9353,I1)</f>
        <v>145</v>
      </c>
      <c r="K5" s="41"/>
      <c r="L5" s="41"/>
      <c r="M5" s="42">
        <f>AVERAGEIFS($N$13:$N$9353,$AG$13:$AG$9353,I1)</f>
        <v>38.289770114845759</v>
      </c>
      <c r="N5" s="40">
        <f t="array" ref="N5">MIN(IF($AG$13:$AG$9353=I1,IF(ISNUMBER($N$13:$N$9353),IF($N$13:$N$9353&gt;0,$N$13:$N$9353))))</f>
        <v>34.083333327434957</v>
      </c>
      <c r="O5" s="3">
        <f t="array" ref="O5">MAX(IF($AG$13:$AG$9353=I1,IF(ISNUMBER($N$13:$N$9353),IF($N$13:$N$9353&gt;0,$N$13:$N$9353))))</f>
        <v>45.06666666129604</v>
      </c>
      <c r="P5" s="2"/>
      <c r="R5" s="76" t="s">
        <v>17</v>
      </c>
      <c r="S5" s="52">
        <f>COUNTIFS($N$13:$N$9353,"&gt;0",$AG$13:$AG$9353,R1)</f>
        <v>34</v>
      </c>
      <c r="T5" s="41"/>
      <c r="U5" s="164"/>
      <c r="V5" s="42">
        <f>AVERAGEIFS($N$13:$N$9353,$AG$13:$AG$9353,R1)</f>
        <v>15.44068627357346</v>
      </c>
      <c r="W5" s="40">
        <f t="array" ref="W5">MIN(IF($AG$13:$AG$9353=R1,IF(ISNUMBER($N$13:$N$9353),IF($N$13:$N$9353&gt;0,$N$13:$N$9353))))</f>
        <v>13.216666665393859</v>
      </c>
      <c r="X5" s="169">
        <f t="array" ref="X5">MAX(IF($AG$13:$AG$9353=R1,IF(ISNUMBER($N$13:$N$9353),IF($N$13:$N$9353&gt;0,$N$13:$N$9353))))</f>
        <v>19.416666668839753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COUNT($O$13:$O$132)</f>
        <v>0</v>
      </c>
      <c r="K6" s="41"/>
      <c r="L6" s="41"/>
      <c r="M6" s="42">
        <f>IFERROR(AVERAGE($O$13:$O$132),0)</f>
        <v>0</v>
      </c>
      <c r="N6" s="40">
        <f>MIN($O$13:$O$132)</f>
        <v>0</v>
      </c>
      <c r="O6" s="3">
        <f>MAX($O$13:$O$132)</f>
        <v>0</v>
      </c>
      <c r="P6" s="2"/>
      <c r="R6" s="77" t="s">
        <v>43</v>
      </c>
      <c r="S6" s="52">
        <f>COUNT($O$13:$O$132)</f>
        <v>0</v>
      </c>
      <c r="T6" s="41"/>
      <c r="U6" s="164"/>
      <c r="V6" s="42">
        <f>IFERROR(AVERAGE($O$13:$O$132),0)</f>
        <v>0</v>
      </c>
      <c r="W6" s="40">
        <f>MIN($O$13:$O$132)</f>
        <v>0</v>
      </c>
      <c r="X6" s="169">
        <f>MAX($O$13:$O$132)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COUNTIFS($P$13:$P$9353,"&gt;0",$AG$13:$AG$9353,I1)</f>
        <v>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COUNTIFS($P$13:$P$9353,"&gt;0",$AG$13:$AG$9353,R1)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145</v>
      </c>
      <c r="K8" s="41"/>
      <c r="L8" s="41"/>
      <c r="M8" s="42">
        <f>M5</f>
        <v>38.289770114845759</v>
      </c>
      <c r="N8" s="40">
        <f>N5</f>
        <v>34.083333327434957</v>
      </c>
      <c r="O8" s="3">
        <f>O5</f>
        <v>45.06666666129604</v>
      </c>
      <c r="P8" s="2"/>
      <c r="R8" s="76" t="s">
        <v>16</v>
      </c>
      <c r="S8" s="52">
        <f>S5</f>
        <v>34</v>
      </c>
      <c r="T8" s="41"/>
      <c r="U8" s="164"/>
      <c r="V8" s="42">
        <f>V5</f>
        <v>15.44068627357346</v>
      </c>
      <c r="W8" s="40">
        <f>W5</f>
        <v>13.216666665393859</v>
      </c>
      <c r="X8" s="169">
        <f>X5</f>
        <v>19.416666668839753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0.99315068493150682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- 2016-12-31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AVERAGE(S13:S96)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434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478</v>
      </c>
      <c r="B13" s="7">
        <v>4018</v>
      </c>
      <c r="C13" s="22" t="s">
        <v>205</v>
      </c>
      <c r="D13" s="22" t="s">
        <v>370</v>
      </c>
      <c r="E13" s="13">
        <v>42735.130231481482</v>
      </c>
      <c r="F13" s="13">
        <v>42735.135613425926</v>
      </c>
      <c r="G13" s="7">
        <v>1</v>
      </c>
      <c r="H13" s="22" t="s">
        <v>677</v>
      </c>
      <c r="I13" s="13">
        <v>42735.160486111112</v>
      </c>
      <c r="J13" s="7">
        <v>0</v>
      </c>
      <c r="K13" s="105" t="str">
        <f t="shared" ref="K13:K76" si="0">IF(ISEVEN(B13),(B13-1)&amp;"/"&amp;B13,B13&amp;"/"&amp;(B13+1))</f>
        <v>4017/4018</v>
      </c>
      <c r="L13" s="22" t="str">
        <f>VLOOKUP(A13,'Trips&amp;Operators'!$C$1:$G$99999,5,FALSE)</f>
        <v>BEAM ROSS</v>
      </c>
      <c r="M13" s="6">
        <f t="shared" ref="M13:M76" si="1">I13-F13</f>
        <v>2.4872685185982846E-2</v>
      </c>
      <c r="N13" s="7">
        <f t="shared" ref="N13:N44" si="2">24*60*SUM($M13:$M13)</f>
        <v>35.816666667815298</v>
      </c>
      <c r="O13" s="7"/>
      <c r="P13" s="7"/>
      <c r="Q13" s="23"/>
      <c r="R13" s="23"/>
      <c r="S13" s="32">
        <f t="shared" ref="S13:S44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https://search-rtdc-monitor-bjffxe2xuh6vdkpspy63sjmuny.us-east-1.es.amazonaws.com/_plugin/kibana/#/discover/Steve-Slow-Train-Analysis-(2080s-and-2083s)?_g=(refreshInterval:(display:Off,section:0,value:0),time:(from:'2016-12-31 02:07:32-700',mode:absolute,to:'2016-12-31 04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49" t="str">
        <f t="shared" ref="W13:W44" si="6">IF(AA13&lt;IF(AG13="EC",23,5.65),"Y","N")</f>
        <v>N</v>
      </c>
      <c r="X13" s="173" t="e">
        <f t="shared" ref="X13:X44" si="7">VALUE(LEFT(AD13,4))-VALUE(LEFT(AD12,4))</f>
        <v>#VALUE!</v>
      </c>
      <c r="Y13" s="64">
        <f t="shared" ref="Y13:Y76" si="8">RIGHT(D13,LEN(D13)-4)/10000</f>
        <v>7.5499999999999998E-2</v>
      </c>
      <c r="Z13" s="64">
        <f t="shared" ref="Z13:Z76" si="9">RIGHT(H13,LEN(H13)-4)/10000</f>
        <v>23.329799999999999</v>
      </c>
      <c r="AA13" s="64">
        <f t="shared" ref="AA13:AA76" si="10">ABS(Z13-Y13)</f>
        <v>23.254299999999997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 t="shared" ref="AD13:AD76" si="11">IF(LEN(A13)=6,"0"&amp;A13,A13)</f>
        <v>0101-31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/stypes="app*4018*20161231*"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4018 --swversion DE.1.0.8.0 --startMP 204:755 --initTime 2016-12-31T03:07:32 --startdatetime 2016-12-31T03:15:17 --delay 1 --endMP 204:233298 --enddatetime 2016-12-31T03:51:06 --enforcementcount 0 &gt;&gt;C:\Users\stu\Documents\GitHub\eaglep3-reporting\EC\2016-12-31-refined-times.txt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{"issue":{"subject":"","project_id":79,"tracker_id":40,"status_id":1,"priority_id":2,"assigned_to_id":23,"start_date":"2016-12-31","description":"","custom_fields":[{"id":1,"name":"Subdivision","value":"EC"},{"id":4,"name":"Milepost","value":"23.3298"},{"id":17,"name":"Train ID","value":"101-31"},{"id":16,"name":"Locomotive ID","value":"4018"},{"id":130,"name":"Impact","value":""},{"id":150,"name":"Time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4018 --day 2016-12-31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484</v>
      </c>
      <c r="B14" s="7">
        <v>4012</v>
      </c>
      <c r="C14" s="22" t="s">
        <v>205</v>
      </c>
      <c r="D14" s="22" t="s">
        <v>678</v>
      </c>
      <c r="E14" s="13">
        <v>42735.167569444442</v>
      </c>
      <c r="F14" s="13">
        <v>42735.174571759257</v>
      </c>
      <c r="G14" s="7">
        <v>1</v>
      </c>
      <c r="H14" s="22" t="s">
        <v>411</v>
      </c>
      <c r="I14" s="13">
        <v>42735.202199074076</v>
      </c>
      <c r="J14" s="7">
        <v>0</v>
      </c>
      <c r="K14" s="105" t="str">
        <f t="shared" si="0"/>
        <v>4011/4012</v>
      </c>
      <c r="L14" s="22" t="str">
        <f>VLOOKUP(A14,'Trips&amp;Operators'!$C$1:$G$99999,5,FALSE)</f>
        <v>BEAM ROSS</v>
      </c>
      <c r="M14" s="6">
        <f t="shared" si="1"/>
        <v>2.7627314819255844E-2</v>
      </c>
      <c r="N14" s="7">
        <f t="shared" si="2"/>
        <v>39.783333339728415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03:01:18-700',mode:absolute,to:'2016-12-31 05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23.267199999999999</v>
      </c>
      <c r="Z14" s="64">
        <f t="shared" si="9"/>
        <v>1.3599999999999999E-2</v>
      </c>
      <c r="AA14" s="64">
        <f t="shared" si="10"/>
        <v>23.253599999999999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si="11"/>
        <v>0102-31</v>
      </c>
      <c r="AE14" s="87" t="str">
        <f t="shared" si="12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14" s="84" t="str">
        <f t="shared" si="13"/>
        <v>"C:\Program Files (x86)\AstroGrep\AstroGrep.exe" /spath="%USERPROFILE%\AppData\Local\Temp\OnboardLogs" /stypes="app*4012*20161231*"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4012 --swversion DE.1.0.8.0 --startMP 204:232672 --initTime 2016-12-31T04:01:18 --startdatetime 2016-12-31T04:11:23 --delay 1 --endMP 204:136 --enddatetime 2016-12-31T04:51:10 --enforcementcount 0 &gt;&gt;C:\Users\stu\Documents\GitHub\eaglep3-reporting\EC\2016-12-31-refined-times.txt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{"issue":{"subject":"","project_id":79,"tracker_id":40,"status_id":1,"priority_id":2,"assigned_to_id":23,"start_date":"2016-12-31","description":"","custom_fields":[{"id":1,"name":"Subdivision","value":"EC"},{"id":4,"name":"Milepost","value":"0.0136"},{"id":17,"name":"Train ID","value":"102-31"},{"id":16,"name":"Locomotive ID","value":"4012"},{"id":130,"name":"Impact","value":""},{"id":150,"name":"Time of Event (Mountain Time)","value":"04:51:10"},{"id":151,"name":"Denver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7" si="20">"start /low /b "&amp;dls3logs&amp;" --loco "&amp;B14&amp;" --day "&amp;TEXT(F14,"YYYY-MM-DD")</f>
        <v>start /low /b %USERPROFILE%\Documents\GitHub\eaglep3\Utilities\DownloadLogsFromS3.py --loco 4012 --day 2016-12-31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482</v>
      </c>
      <c r="B15" s="7">
        <v>4044</v>
      </c>
      <c r="C15" s="22" t="s">
        <v>205</v>
      </c>
      <c r="D15" s="22" t="s">
        <v>679</v>
      </c>
      <c r="E15" s="13">
        <v>42735.151736111111</v>
      </c>
      <c r="F15" s="13">
        <v>42735.156458333331</v>
      </c>
      <c r="G15" s="7">
        <v>1</v>
      </c>
      <c r="H15" s="22" t="s">
        <v>680</v>
      </c>
      <c r="I15" s="13">
        <v>42735.181666666664</v>
      </c>
      <c r="J15" s="7">
        <v>0</v>
      </c>
      <c r="K15" s="105" t="str">
        <f t="shared" si="0"/>
        <v>4043/4044</v>
      </c>
      <c r="L15" s="22" t="str">
        <f>VLOOKUP(A15,'Trips&amp;Operators'!$C$1:$G$99999,5,FALSE)</f>
        <v>ROBINSON KADDIBA</v>
      </c>
      <c r="M15" s="6">
        <f t="shared" si="1"/>
        <v>2.5208333332557231E-2</v>
      </c>
      <c r="N15" s="7">
        <f t="shared" si="2"/>
        <v>36.299999998882413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02:38:30-700',mode:absolute,to:'2016-12-31 05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7.0999999999999994E-2</v>
      </c>
      <c r="Z15" s="64">
        <f t="shared" si="9"/>
        <v>23.339099999999998</v>
      </c>
      <c r="AA15" s="64">
        <f t="shared" si="10"/>
        <v>23.268099999999997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1"/>
        <v>0103-31</v>
      </c>
      <c r="AE15" s="87" t="str">
        <f t="shared" si="12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15" s="84" t="str">
        <f t="shared" si="13"/>
        <v>"C:\Program Files (x86)\AstroGrep\AstroGrep.exe" /spath="%USERPROFILE%\AppData\Local\Temp\OnboardLogs" /stypes="app*4044*20161231*"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103-31 --locoid 4044 --swversion DE.1.0.8.0 --startMP 204:710 --initTime 2016-12-31T03:38:30 --startdatetime 2016-12-31T03:45:18 --delay 1 --endMP 204:233391 --enddatetime 2016-12-31T04:21:36 --enforcementcount 0 &gt;&gt;C:\Users\stu\Documents\GitHub\eaglep3-reporting\EC\2016-12-31-refined-times.txt</v>
      </c>
      <c r="AI1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{"issue":{"subject":"","project_id":79,"tracker_id":40,"status_id":1,"priority_id":2,"assigned_to_id":23,"start_date":"2016-12-31","description":"","custom_fields":[{"id":1,"name":"Subdivision","value":"EC"},{"id":4,"name":"Milepost","value":"23.3391"},{"id":17,"name":"Train ID","value":"103-31"},{"id":16,"name":"Locomotive ID","value":"4044"},{"id":130,"name":"Impact","value":""},{"id":150,"name":"Time of Event (Mountain Time)","value":"04:21:36"},{"id":151,"name":"Denver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4044 --day 2016-12-31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438</v>
      </c>
      <c r="B16" s="7">
        <v>4004</v>
      </c>
      <c r="C16" s="22" t="s">
        <v>205</v>
      </c>
      <c r="D16" s="22" t="s">
        <v>681</v>
      </c>
      <c r="E16" s="13">
        <v>42735.186979166669</v>
      </c>
      <c r="F16" s="13">
        <v>42735.195324074077</v>
      </c>
      <c r="G16" s="7">
        <v>1</v>
      </c>
      <c r="H16" s="22" t="s">
        <v>682</v>
      </c>
      <c r="I16" s="13">
        <v>42735.223749999997</v>
      </c>
      <c r="J16" s="7">
        <v>0</v>
      </c>
      <c r="K16" s="105" t="str">
        <f t="shared" si="0"/>
        <v>4003/4004</v>
      </c>
      <c r="L16" s="22" t="str">
        <f>VLOOKUP(A16,'Trips&amp;Operators'!$C$1:$G$99999,5,FALSE)</f>
        <v>ROBINSON KADDIBA</v>
      </c>
      <c r="M16" s="6">
        <f t="shared" si="1"/>
        <v>2.8425925920601003E-2</v>
      </c>
      <c r="N16" s="7">
        <f t="shared" si="2"/>
        <v>40.933333325665444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03:29:15-700',mode:absolute,to:'2016-12-31 06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23.279199999999999</v>
      </c>
      <c r="Z16" s="64">
        <f t="shared" si="9"/>
        <v>1.61E-2</v>
      </c>
      <c r="AA16" s="64">
        <f t="shared" si="10"/>
        <v>23.263099999999998</v>
      </c>
      <c r="AB16" s="61" t="str">
        <f>VLOOKUP(A16,Enforcements!$C$7:$K$19,8,0)</f>
        <v>Bulletin (2)</v>
      </c>
      <c r="AC16" s="57" t="str">
        <f>VLOOKUP(A16,Enforcements!$C$7:$E$19,3,0)</f>
        <v>GRADE CROSSING</v>
      </c>
      <c r="AD16" s="58" t="str">
        <f t="shared" si="11"/>
        <v>0104-31</v>
      </c>
      <c r="AE16" s="87" t="str">
        <f t="shared" si="12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16" s="84" t="str">
        <f t="shared" si="13"/>
        <v>"C:\Program Files (x86)\AstroGrep\AstroGrep.exe" /spath="%USERPROFILE%\AppData\Local\Temp\OnboardLogs" /stypes="app*4004*20161231*"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104-31 --locoid 4004 --swversion DE.1.0.8.0 --startMP 204:232792 --initTime 2016-12-31T04:29:15 --startdatetime 2016-12-31T04:41:16 --delay 1 --endMP 204:161 --enddatetime 2016-12-31T05:22:12 --enforcementcount 0 &gt;&gt;C:\Users\stu\Documents\GitHub\eaglep3-reporting\EC\2016-12-31-refined-times.txt</v>
      </c>
      <c r="AI1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{"issue":{"subject":"","project_id":79,"tracker_id":40,"status_id":1,"priority_id":2,"assigned_to_id":23,"start_date":"2016-12-31","description":"","custom_fields":[{"id":1,"name":"Subdivision","value":"EC"},{"id":4,"name":"Milepost","value":"0.0161"},{"id":17,"name":"Train ID","value":"104-31"},{"id":16,"name":"Locomotive ID","value":"4004"},{"id":130,"name":"Impact","value":""},{"id":150,"name":"Time of Event (Mountain Time)","value":"05:22:12"},{"id":151,"name":"Denver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4004 --day 2016-12-31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485</v>
      </c>
      <c r="B17" s="7">
        <v>4016</v>
      </c>
      <c r="C17" s="22" t="s">
        <v>205</v>
      </c>
      <c r="D17" s="22" t="s">
        <v>683</v>
      </c>
      <c r="E17" s="13">
        <v>42735.172685185185</v>
      </c>
      <c r="F17" s="13">
        <v>42735.177337962959</v>
      </c>
      <c r="G17" s="7">
        <v>1</v>
      </c>
      <c r="H17" s="22" t="s">
        <v>364</v>
      </c>
      <c r="I17" s="13">
        <v>42735.202835648146</v>
      </c>
      <c r="J17" s="7">
        <v>0</v>
      </c>
      <c r="K17" s="105" t="str">
        <f t="shared" si="0"/>
        <v>4015/4016</v>
      </c>
      <c r="L17" s="22" t="str">
        <f>VLOOKUP(A17,'Trips&amp;Operators'!$C$1:$G$99999,5,FALSE)</f>
        <v>MAELZER KURT</v>
      </c>
      <c r="M17" s="6">
        <f t="shared" si="1"/>
        <v>2.5497685186564922E-2</v>
      </c>
      <c r="N17" s="7">
        <f t="shared" si="2"/>
        <v>36.716666668653488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03:08:40-700',mode:absolute,to:'2016-12-31 05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7.5200000000000003E-2</v>
      </c>
      <c r="Z17" s="64">
        <f t="shared" si="9"/>
        <v>23.331399999999999</v>
      </c>
      <c r="AA17" s="64">
        <f t="shared" si="10"/>
        <v>23.2562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1"/>
        <v>0105-31</v>
      </c>
      <c r="AE17" s="87" t="str">
        <f t="shared" si="12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7" s="84" t="str">
        <f t="shared" si="13"/>
        <v>"C:\Program Files (x86)\AstroGrep\AstroGrep.exe" /spath="%USERPROFILE%\AppData\Local\Temp\OnboardLogs" /stypes="app*4016*20161231*"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105-31 --locoid 4016 --swversion DE.1.0.8.0 --startMP 204:752 --initTime 2016-12-31T04:08:40 --startdatetime 2016-12-31T04:15:22 --delay 1 --endMP 204:233314 --enddatetime 2016-12-31T04:52:05 --enforcementcount 0 &gt;&gt;C:\Users\stu\Documents\GitHub\eaglep3-reporting\EC\2016-12-31-refined-times.txt</v>
      </c>
      <c r="AI1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{"issue":{"subject":"","project_id":79,"tracker_id":40,"status_id":1,"priority_id":2,"assigned_to_id":23,"start_date":"2016-12-31","description":"","custom_fields":[{"id":1,"name":"Subdivision","value":"EC"},{"id":4,"name":"Milepost","value":"23.3314"},{"id":17,"name":"Train ID","value":"105-31"},{"id":16,"name":"Locomotive ID","value":"4016"},{"id":130,"name":"Impact","value":""},{"id":150,"name":"Time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4016 --day 2016-12-31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495</v>
      </c>
      <c r="B18" s="7">
        <v>4021</v>
      </c>
      <c r="C18" s="22" t="s">
        <v>205</v>
      </c>
      <c r="D18" s="22" t="s">
        <v>684</v>
      </c>
      <c r="E18" s="13">
        <v>42735.212685185186</v>
      </c>
      <c r="F18" s="13">
        <v>42735.216412037036</v>
      </c>
      <c r="G18" s="7">
        <v>1</v>
      </c>
      <c r="H18" s="22" t="s">
        <v>323</v>
      </c>
      <c r="I18" s="13">
        <v>42735.243252314816</v>
      </c>
      <c r="J18" s="7">
        <v>0</v>
      </c>
      <c r="K18" s="105" t="str">
        <f t="shared" si="0"/>
        <v>4021/4022</v>
      </c>
      <c r="L18" s="22" t="str">
        <f>VLOOKUP(A18,'Trips&amp;Operators'!$C$1:$G$99999,5,FALSE)</f>
        <v>MAELZER KURT</v>
      </c>
      <c r="M18" s="6">
        <f t="shared" si="1"/>
        <v>2.6840277780138422E-2</v>
      </c>
      <c r="N18" s="7">
        <f t="shared" si="2"/>
        <v>38.650000003399327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04:06:16-700',mode:absolute,to:'2016-12-31 06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23.268999999999998</v>
      </c>
      <c r="Z18" s="64">
        <f t="shared" si="9"/>
        <v>1.5599999999999999E-2</v>
      </c>
      <c r="AA18" s="64">
        <f t="shared" si="10"/>
        <v>23.253399999999999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1"/>
        <v>0106-31</v>
      </c>
      <c r="AE18" s="87" t="str">
        <f t="shared" si="12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" s="84" t="str">
        <f t="shared" si="13"/>
        <v>"C:\Program Files (x86)\AstroGrep\AstroGrep.exe" /spath="%USERPROFILE%\AppData\Local\Temp\OnboardLogs" /stypes="app*4021*20161231*"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106-31 --locoid 4021 --swversion DE.1.0.8.0 --startMP 204:232690 --initTime 2016-12-31T05:06:16 --startdatetime 2016-12-31T05:11:38 --delay 1 --endMP 204:156 --enddatetime 2016-12-31T05:50:17 --enforcementcount 0 &gt;&gt;C:\Users\stu\Documents\GitHub\eaglep3-reporting\EC\2016-12-31-refined-times.txt</v>
      </c>
      <c r="AI1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{"issue":{"subject":"","project_id":79,"tracker_id":40,"status_id":1,"priority_id":2,"assigned_to_id":23,"start_date":"2016-12-31","description":"","custom_fields":[{"id":1,"name":"Subdivision","value":"EC"},{"id":4,"name":"Milepost","value":"0.0156"},{"id":17,"name":"Train ID","value":"106-31"},{"id":16,"name":"Locomotive ID","value":"4021"},{"id":130,"name":"Impact","value":""},{"id":150,"name":"Time of Event (Mountain Time)","value":"05:50:17"},{"id":151,"name":"Denver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4021 --day 2016-12-31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490</v>
      </c>
      <c r="B19" s="7">
        <v>4046</v>
      </c>
      <c r="C19" s="22" t="s">
        <v>205</v>
      </c>
      <c r="D19" s="22" t="s">
        <v>339</v>
      </c>
      <c r="E19" s="13">
        <v>42735.184328703705</v>
      </c>
      <c r="F19" s="13">
        <v>42735.187800925924</v>
      </c>
      <c r="G19" s="7">
        <v>1</v>
      </c>
      <c r="H19" s="22" t="s">
        <v>412</v>
      </c>
      <c r="I19" s="13">
        <v>42735.213807870372</v>
      </c>
      <c r="J19" s="7">
        <v>0</v>
      </c>
      <c r="K19" s="105" t="str">
        <f t="shared" si="0"/>
        <v>4045/4046</v>
      </c>
      <c r="L19" s="22" t="str">
        <f>VLOOKUP(A19,'Trips&amp;Operators'!$C$1:$G$99999,5,FALSE)</f>
        <v>MAHAN DUANE</v>
      </c>
      <c r="M19" s="6">
        <f t="shared" si="1"/>
        <v>2.6006944448454306E-2</v>
      </c>
      <c r="N19" s="7">
        <f t="shared" si="2"/>
        <v>37.4500000057742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03:25:26-700',mode:absolute,to:'2016-12-31 06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4.6899999999999997E-2</v>
      </c>
      <c r="Z19" s="64">
        <f t="shared" si="9"/>
        <v>23.330500000000001</v>
      </c>
      <c r="AA19" s="64">
        <f t="shared" si="10"/>
        <v>23.2836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 t="shared" si="11"/>
        <v>0107-31</v>
      </c>
      <c r="AE19" s="87" t="str">
        <f t="shared" si="12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19" s="84" t="str">
        <f t="shared" si="13"/>
        <v>"C:\Program Files (x86)\AstroGrep\AstroGrep.exe" /spath="%USERPROFILE%\AppData\Local\Temp\OnboardLogs" /stypes="app*4046*20161231*"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107-31 --locoid 4046 --swversion DE.1.0.8.0 --startMP 204:469 --initTime 2016-12-31T04:25:26 --startdatetime 2016-12-31T04:30:26 --delay 1 --endMP 204:233305 --enddatetime 2016-12-31T05:07:53 --enforcementcount 0 &gt;&gt;C:\Users\stu\Documents\GitHub\eaglep3-reporting\EC\2016-12-31-refined-times.txt</v>
      </c>
      <c r="AI1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{"issue":{"subject":"","project_id":79,"tracker_id":40,"status_id":1,"priority_id":2,"assigned_to_id":23,"start_date":"2016-12-31","description":"","custom_fields":[{"id":1,"name":"Subdivision","value":"EC"},{"id":4,"name":"Milepost","value":"23.3305"},{"id":17,"name":"Train ID","value":"107-31"},{"id":16,"name":"Locomotive ID","value":"4046"},{"id":130,"name":"Impact","value":""},{"id":150,"name":"Time of Event (Mountain Time)","value":"05:07:53"},{"id":151,"name":"Denver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4046 --day 2016-12-31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497</v>
      </c>
      <c r="B20" s="7">
        <v>4045</v>
      </c>
      <c r="C20" s="22" t="s">
        <v>205</v>
      </c>
      <c r="D20" s="22" t="s">
        <v>338</v>
      </c>
      <c r="E20" s="13">
        <v>42735.220439814817</v>
      </c>
      <c r="F20" s="13">
        <v>42735.2266087963</v>
      </c>
      <c r="G20" s="7">
        <v>1</v>
      </c>
      <c r="H20" s="22" t="s">
        <v>233</v>
      </c>
      <c r="I20" s="13">
        <v>42735.254756944443</v>
      </c>
      <c r="J20" s="7">
        <v>0</v>
      </c>
      <c r="K20" s="105" t="str">
        <f t="shared" si="0"/>
        <v>4045/4046</v>
      </c>
      <c r="L20" s="22" t="str">
        <f>VLOOKUP(A20,'Trips&amp;Operators'!$C$1:$G$99999,5,FALSE)</f>
        <v>MAHAN DUANE</v>
      </c>
      <c r="M20" s="6">
        <f t="shared" si="1"/>
        <v>2.8148148143372964E-2</v>
      </c>
      <c r="N20" s="7">
        <f t="shared" si="2"/>
        <v>40.533333326457068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04:17:26-700',mode:absolute,to:'2016-12-31 07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23.297499999999999</v>
      </c>
      <c r="Z20" s="64">
        <f t="shared" si="9"/>
        <v>1.4500000000000001E-2</v>
      </c>
      <c r="AA20" s="64">
        <f t="shared" si="10"/>
        <v>23.282999999999998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1"/>
        <v>0108-31</v>
      </c>
      <c r="AE20" s="87" t="str">
        <f t="shared" si="12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20" s="84" t="str">
        <f t="shared" si="13"/>
        <v>"C:\Program Files (x86)\AstroGrep\AstroGrep.exe" /spath="%USERPROFILE%\AppData\Local\Temp\OnboardLogs" /stypes="app*4045*20161231*"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108-31 --locoid 4045 --swversion DE.1.0.8.0 --startMP 204:232975 --initTime 2016-12-31T05:17:26 --startdatetime 2016-12-31T05:26:19 --delay 1 --endMP 204:145 --enddatetime 2016-12-31T06:06:51 --enforcementcount 0 &gt;&gt;C:\Users\stu\Documents\GitHub\eaglep3-reporting\EC\2016-12-31-refined-times.txt</v>
      </c>
      <c r="AI2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ID","value":"108-31"},{"id":16,"name":"Locomotive ID","value":"4045"},{"id":130,"name":"Impact","value":""},{"id":150,"name":"Time of Event (Mountain Time)","value":"06:06:51"},{"id":151,"name":"Denver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4045 --day 2016-12-31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491</v>
      </c>
      <c r="B21" s="7">
        <v>4025</v>
      </c>
      <c r="C21" s="22" t="s">
        <v>205</v>
      </c>
      <c r="D21" s="22" t="s">
        <v>230</v>
      </c>
      <c r="E21" s="13">
        <v>42735.193252314813</v>
      </c>
      <c r="F21" s="13">
        <v>42735.198148148149</v>
      </c>
      <c r="G21" s="7">
        <v>1</v>
      </c>
      <c r="H21" s="22" t="s">
        <v>415</v>
      </c>
      <c r="I21" s="13">
        <v>42735.22446759259</v>
      </c>
      <c r="J21" s="7">
        <v>0</v>
      </c>
      <c r="K21" s="105" t="str">
        <f t="shared" si="0"/>
        <v>4025/4026</v>
      </c>
      <c r="L21" s="22" t="str">
        <f>VLOOKUP(A21,'Trips&amp;Operators'!$C$1:$G$99999,5,FALSE)</f>
        <v>OUN ZACK</v>
      </c>
      <c r="M21" s="6">
        <f t="shared" si="1"/>
        <v>2.6319444441469386E-2</v>
      </c>
      <c r="N21" s="7">
        <f t="shared" si="2"/>
        <v>37.899999995715916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03:38:17-700',mode:absolute,to:'2016-12-31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4.5999999999999999E-2</v>
      </c>
      <c r="Z21" s="64">
        <f t="shared" si="9"/>
        <v>23.331900000000001</v>
      </c>
      <c r="AA21" s="64">
        <f t="shared" si="10"/>
        <v>23.285900000000002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1"/>
        <v>0109-31</v>
      </c>
      <c r="AE21" s="87" t="str">
        <f t="shared" si="12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21" s="84" t="str">
        <f t="shared" si="13"/>
        <v>"C:\Program Files (x86)\AstroGrep\AstroGrep.exe" /spath="%USERPROFILE%\AppData\Local\Temp\OnboardLogs" /stypes="app*4025*20161231*"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109-31 --locoid 4025 --swversion DE.1.0.8.0 --startMP 204:460 --initTime 2016-12-31T04:38:17 --startdatetime 2016-12-31T04:45:20 --delay 1 --endMP 204:233319 --enddatetime 2016-12-31T05:23:14 --enforcementcount 0 &gt;&gt;C:\Users\stu\Documents\GitHub\eaglep3-reporting\EC\2016-12-31-refined-times.txt</v>
      </c>
      <c r="AI21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{"issue":{"subject":"","project_id":79,"tracker_id":40,"status_id":1,"priority_id":2,"assigned_to_id":23,"start_date":"2016-12-31","description":"","custom_fields":[{"id":1,"name":"Subdivision","value":"EC"},{"id":4,"name":"Milepost","value":"23.3319"},{"id":17,"name":"Train ID","value":"109-31"},{"id":16,"name":"Locomotive ID","value":"4025"},{"id":130,"name":"Impact","value":""},{"id":150,"name":"Time of Event (Mountain Time)","value":"05:23:14"},{"id":151,"name":"Denver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4025 --day 2016-12-31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439</v>
      </c>
      <c r="B22" s="7">
        <v>4026</v>
      </c>
      <c r="C22" s="22" t="s">
        <v>205</v>
      </c>
      <c r="D22" s="22" t="s">
        <v>308</v>
      </c>
      <c r="E22" s="13">
        <v>42735.231793981482</v>
      </c>
      <c r="F22" s="13">
        <v>42735.237060185187</v>
      </c>
      <c r="G22" s="7">
        <v>1</v>
      </c>
      <c r="H22" s="22" t="s">
        <v>685</v>
      </c>
      <c r="I22" s="13">
        <v>42735.264618055553</v>
      </c>
      <c r="J22" s="7">
        <v>0</v>
      </c>
      <c r="K22" s="105" t="str">
        <f t="shared" si="0"/>
        <v>4025/4026</v>
      </c>
      <c r="L22" s="22" t="str">
        <f>VLOOKUP(A22,'Trips&amp;Operators'!$C$1:$G$99999,5,FALSE)</f>
        <v>OUN ZACK</v>
      </c>
      <c r="M22" s="6">
        <f t="shared" si="1"/>
        <v>2.7557870365853887E-2</v>
      </c>
      <c r="N22" s="7">
        <f t="shared" si="2"/>
        <v>39.683333326829597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04:33:47-700',mode:absolute,to:'2016-12-31 07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23.2987</v>
      </c>
      <c r="Z22" s="64">
        <f t="shared" si="9"/>
        <v>1.32E-2</v>
      </c>
      <c r="AA22" s="64">
        <f t="shared" si="10"/>
        <v>23.285499999999999</v>
      </c>
      <c r="AB22" s="61" t="str">
        <f>VLOOKUP(A22,Enforcements!$C$7:$K$19,8,0)</f>
        <v>Form based authority (4)</v>
      </c>
      <c r="AC22" s="57" t="str">
        <f>VLOOKUP(A22,Enforcements!$C$7:$E$19,3,0)</f>
        <v>TRACK WARRANT AUTHORITY</v>
      </c>
      <c r="AD22" s="58" t="str">
        <f t="shared" si="11"/>
        <v>0110-31</v>
      </c>
      <c r="AE22" s="87" t="str">
        <f t="shared" si="12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22" s="84" t="str">
        <f t="shared" si="13"/>
        <v>"C:\Program Files (x86)\AstroGrep\AstroGrep.exe" /spath="%USERPROFILE%\AppData\Local\Temp\OnboardLogs" /stypes="app*4026*20161231*"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110-31 --locoid 4026 --swversion DE.1.0.8.0 --startMP 204:232987 --initTime 2016-12-31T05:33:47 --startdatetime 2016-12-31T05:41:22 --delay 1 --endMP 204:132 --enddatetime 2016-12-31T06:21:03 --enforcementcount 0 &gt;&gt;C:\Users\stu\Documents\GitHub\eaglep3-reporting\EC\2016-12-31-refined-times.txt</v>
      </c>
      <c r="AI2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{"issue":{"subject":"","project_id":79,"tracker_id":40,"status_id":1,"priority_id":2,"assigned_to_id":23,"start_date":"2016-12-31","description":"","custom_fields":[{"id":1,"name":"Subdivision","value":"EC"},{"id":4,"name":"Milepost","value":"0.0132"},{"id":17,"name":"Train ID","value":"110-31"},{"id":16,"name":"Locomotive ID","value":"4026"},{"id":130,"name":"Impact","value":""},{"id":150,"name":"Time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4026 --day 2016-12-31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492</v>
      </c>
      <c r="B23" s="7">
        <v>4018</v>
      </c>
      <c r="C23" s="22" t="s">
        <v>205</v>
      </c>
      <c r="D23" s="22" t="s">
        <v>370</v>
      </c>
      <c r="E23" s="13">
        <v>42735.206180555557</v>
      </c>
      <c r="F23" s="13">
        <v>42735.208784722221</v>
      </c>
      <c r="G23" s="7">
        <v>1</v>
      </c>
      <c r="H23" s="22" t="s">
        <v>686</v>
      </c>
      <c r="I23" s="13">
        <v>42735.234178240738</v>
      </c>
      <c r="J23" s="7">
        <v>0</v>
      </c>
      <c r="K23" s="105" t="str">
        <f t="shared" si="0"/>
        <v>4017/4018</v>
      </c>
      <c r="L23" s="22" t="str">
        <f>VLOOKUP(A23,'Trips&amp;Operators'!$C$1:$G$99999,5,FALSE)</f>
        <v>ARVIDSON DANIEL</v>
      </c>
      <c r="M23" s="6">
        <f t="shared" si="1"/>
        <v>2.5393518517375924E-2</v>
      </c>
      <c r="N23" s="7">
        <f t="shared" si="2"/>
        <v>36.56666666502133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03:56:54-700',mode:absolute,to:'2016-12-31 06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7.5499999999999998E-2</v>
      </c>
      <c r="Z23" s="64">
        <f t="shared" si="9"/>
        <v>23.328399999999998</v>
      </c>
      <c r="AA23" s="64">
        <f t="shared" si="10"/>
        <v>23.252899999999997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1"/>
        <v>0111-31</v>
      </c>
      <c r="AE23" s="87" t="str">
        <f t="shared" si="12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23" s="84" t="str">
        <f t="shared" si="13"/>
        <v>"C:\Program Files (x86)\AstroGrep\AstroGrep.exe" /spath="%USERPROFILE%\AppData\Local\Temp\OnboardLogs" /stypes="app*4018*20161231*"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111-31 --locoid 4018 --swversion DE.1.0.8.0 --startMP 204:755 --initTime 2016-12-31T04:56:54 --startdatetime 2016-12-31T05:00:39 --delay 1 --endMP 204:233284 --enddatetime 2016-12-31T05:37:13 --enforcementcount 0 &gt;&gt;C:\Users\stu\Documents\GitHub\eaglep3-reporting\EC\2016-12-31-refined-times.txt</v>
      </c>
      <c r="AI2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{"issue":{"subject":"","project_id":79,"tracker_id":40,"status_id":1,"priority_id":2,"assigned_to_id":23,"start_date":"2016-12-31","description":"","custom_fields":[{"id":1,"name":"Subdivision","value":"EC"},{"id":4,"name":"Milepost","value":"23.3284"},{"id":17,"name":"Train ID","value":"111-31"},{"id":16,"name":"Locomotive ID","value":"4018"},{"id":130,"name":"Impact","value":""},{"id":150,"name":"Time of Event (Mountain Time)","value":"05:37:13"},{"id":151,"name":"Denver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4018 --day 2016-12-31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505</v>
      </c>
      <c r="B24" s="7">
        <v>4017</v>
      </c>
      <c r="C24" s="22" t="s">
        <v>205</v>
      </c>
      <c r="D24" s="22" t="s">
        <v>687</v>
      </c>
      <c r="E24" s="13">
        <v>42735.240069444444</v>
      </c>
      <c r="F24" s="13">
        <v>42735.247499999998</v>
      </c>
      <c r="G24" s="7">
        <v>1</v>
      </c>
      <c r="H24" s="22" t="s">
        <v>233</v>
      </c>
      <c r="I24" s="13">
        <v>42735.275671296295</v>
      </c>
      <c r="J24" s="7">
        <v>0</v>
      </c>
      <c r="K24" s="105" t="str">
        <f t="shared" si="0"/>
        <v>4017/4018</v>
      </c>
      <c r="L24" s="22" t="str">
        <f>VLOOKUP(A24,'Trips&amp;Operators'!$C$1:$G$99999,5,FALSE)</f>
        <v>ARVIDSON DANIEL</v>
      </c>
      <c r="M24" s="6">
        <f t="shared" si="1"/>
        <v>2.8171296296932269E-2</v>
      </c>
      <c r="N24" s="7">
        <f t="shared" si="2"/>
        <v>40.566666667582467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04:45:42-700',mode:absolute,to:'2016-12-31 07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23.3003</v>
      </c>
      <c r="Z24" s="64">
        <f t="shared" si="9"/>
        <v>1.4500000000000001E-2</v>
      </c>
      <c r="AA24" s="64">
        <f t="shared" si="10"/>
        <v>23.285799999999998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1"/>
        <v>0112-31</v>
      </c>
      <c r="AE24" s="87" t="str">
        <f t="shared" si="12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24" s="84" t="str">
        <f t="shared" si="13"/>
        <v>"C:\Program Files (x86)\AstroGrep\AstroGrep.exe" /spath="%USERPROFILE%\AppData\Local\Temp\OnboardLogs" /stypes="app*4017*20161231*"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112-31 --locoid 4017 --swversion DE.1.0.8.0 --startMP 204:233003 --initTime 2016-12-31T05:45:42 --startdatetime 2016-12-31T05:56:24 --delay 1 --endMP 204:145 --enddatetime 2016-12-31T06:36:58 --enforcementcount 0 &gt;&gt;C:\Users\stu\Documents\GitHub\eaglep3-reporting\EC\2016-12-31-refined-times.txt</v>
      </c>
      <c r="AI2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ID","value":"112-31"},{"id":16,"name":"Locomotive ID","value":"4017"},{"id":130,"name":"Impact","value":""},{"id":150,"name":"Time of Event (Mountain Time)","value":"06:36:58"},{"id":151,"name":"Denver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4017 --day 2016-12-31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496</v>
      </c>
      <c r="B25" s="7">
        <v>4011</v>
      </c>
      <c r="C25" s="22" t="s">
        <v>205</v>
      </c>
      <c r="D25" s="22" t="s">
        <v>688</v>
      </c>
      <c r="E25" s="13">
        <v>42735.214525462965</v>
      </c>
      <c r="F25" s="13">
        <v>42735.219039351854</v>
      </c>
      <c r="G25" s="7">
        <v>1</v>
      </c>
      <c r="H25" s="22" t="s">
        <v>356</v>
      </c>
      <c r="I25" s="13">
        <v>42735.244687500002</v>
      </c>
      <c r="J25" s="7">
        <v>0</v>
      </c>
      <c r="K25" s="105" t="str">
        <f t="shared" si="0"/>
        <v>4011/4012</v>
      </c>
      <c r="L25" s="22" t="str">
        <f>VLOOKUP(A25,'Trips&amp;Operators'!$C$1:$G$99999,5,FALSE)</f>
        <v>BEAM ROSS</v>
      </c>
      <c r="M25" s="6">
        <f t="shared" si="1"/>
        <v>2.5648148148320615E-2</v>
      </c>
      <c r="N25" s="7">
        <f t="shared" si="2"/>
        <v>36.933333333581686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04:08:55-700',mode:absolute,to:'2016-12-31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4.3099999999999999E-2</v>
      </c>
      <c r="Z25" s="64">
        <f t="shared" si="9"/>
        <v>23.331</v>
      </c>
      <c r="AA25" s="64">
        <f t="shared" si="10"/>
        <v>23.2879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1"/>
        <v>0113-31</v>
      </c>
      <c r="AE25" s="87" t="str">
        <f t="shared" si="12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25" s="84" t="str">
        <f t="shared" si="13"/>
        <v>"C:\Program Files (x86)\AstroGrep\AstroGrep.exe" /spath="%USERPROFILE%\AppData\Local\Temp\OnboardLogs" /stypes="app*4011*20161231*"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113-31 --locoid 4011 --swversion DE.1.0.8.0 --startMP 204:431 --initTime 2016-12-31T05:08:55 --startdatetime 2016-12-31T05:15:25 --delay 1 --endMP 204:233310 --enddatetime 2016-12-31T05:52:21 --enforcementcount 0 &gt;&gt;C:\Users\stu\Documents\GitHub\eaglep3-reporting\EC\2016-12-31-refined-times.txt</v>
      </c>
      <c r="AI2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{"issue":{"subject":"","project_id":79,"tracker_id":40,"status_id":1,"priority_id":2,"assigned_to_id":23,"start_date":"2016-12-31","description":"","custom_fields":[{"id":1,"name":"Subdivision","value":"EC"},{"id":4,"name":"Milepost","value":"23.331"},{"id":17,"name":"Train ID","value":"113-31"},{"id":16,"name":"Locomotive ID","value":"4011"},{"id":130,"name":"Impact","value":""},{"id":150,"name":"Time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4011 --day 2016-12-31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507</v>
      </c>
      <c r="B26" s="7">
        <v>4012</v>
      </c>
      <c r="C26" s="22" t="s">
        <v>205</v>
      </c>
      <c r="D26" s="22" t="s">
        <v>365</v>
      </c>
      <c r="E26" s="13">
        <v>42735.252418981479</v>
      </c>
      <c r="F26" s="13">
        <v>42735.257800925923</v>
      </c>
      <c r="G26" s="7">
        <v>1</v>
      </c>
      <c r="H26" s="22" t="s">
        <v>299</v>
      </c>
      <c r="I26" s="13">
        <v>42735.283912037034</v>
      </c>
      <c r="J26" s="7">
        <v>0</v>
      </c>
      <c r="K26" s="105" t="str">
        <f t="shared" si="0"/>
        <v>4011/4012</v>
      </c>
      <c r="L26" s="22" t="str">
        <f>VLOOKUP(A26,'Trips&amp;Operators'!$C$1:$G$99999,5,FALSE)</f>
        <v>BEAM ROSS</v>
      </c>
      <c r="M26" s="6">
        <f t="shared" si="1"/>
        <v>2.6111111110367347E-2</v>
      </c>
      <c r="N26" s="7">
        <f t="shared" si="2"/>
        <v>37.599999998928979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05:03:29-700',mode:absolute,to:'2016-12-31 07:48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23.299099999999999</v>
      </c>
      <c r="Z26" s="64">
        <f t="shared" si="9"/>
        <v>1.52E-2</v>
      </c>
      <c r="AA26" s="64">
        <f t="shared" si="10"/>
        <v>23.283899999999999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1"/>
        <v>0114-31</v>
      </c>
      <c r="AE26" s="87" t="str">
        <f t="shared" si="12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26" s="84" t="str">
        <f t="shared" si="13"/>
        <v>"C:\Program Files (x86)\AstroGrep\AstroGrep.exe" /spath="%USERPROFILE%\AppData\Local\Temp\OnboardLogs" /stypes="app*4012*20161231*"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114-31 --locoid 4012 --swversion DE.1.0.8.0 --startMP 204:232991 --initTime 2016-12-31T06:03:29 --startdatetime 2016-12-31T06:11:14 --delay 1 --endMP 204:152 --enddatetime 2016-12-31T06:48:50 --enforcementcount 0 &gt;&gt;C:\Users\stu\Documents\GitHub\eaglep3-reporting\EC\2016-12-31-refined-times.txt</v>
      </c>
      <c r="AI2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{"issue":{"subject":"","project_id":79,"tracker_id":40,"status_id":1,"priority_id":2,"assigned_to_id":23,"start_date":"2016-12-31","description":"","custom_fields":[{"id":1,"name":"Subdivision","value":"EC"},{"id":4,"name":"Milepost","value":"0.0152"},{"id":17,"name":"Train ID","value":"114-31"},{"id":16,"name":"Locomotive ID","value":"4012"},{"id":130,"name":"Impact","value":""},{"id":150,"name":"Time of Event (Mountain Time)","value":"06:48:50"},{"id":151,"name":"Denver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4012 --day 2016-12-31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500</v>
      </c>
      <c r="B27" s="7">
        <v>4044</v>
      </c>
      <c r="C27" s="22" t="s">
        <v>205</v>
      </c>
      <c r="D27" s="22" t="s">
        <v>370</v>
      </c>
      <c r="E27" s="13">
        <v>42735.225590277776</v>
      </c>
      <c r="F27" s="13">
        <v>42735.22934027778</v>
      </c>
      <c r="G27" s="7">
        <v>5</v>
      </c>
      <c r="H27" s="22" t="s">
        <v>363</v>
      </c>
      <c r="I27" s="13">
        <v>42735.254791666666</v>
      </c>
      <c r="J27" s="7">
        <v>0</v>
      </c>
      <c r="K27" s="105" t="str">
        <f t="shared" si="0"/>
        <v>4043/4044</v>
      </c>
      <c r="L27" s="22" t="str">
        <f>VLOOKUP(A27,'Trips&amp;Operators'!$C$1:$G$99999,5,FALSE)</f>
        <v>GEBRETEKLE DAGNEW</v>
      </c>
      <c r="M27" s="6">
        <f t="shared" si="1"/>
        <v>2.545138888672227E-2</v>
      </c>
      <c r="N27" s="7">
        <f t="shared" si="2"/>
        <v>36.649999996880069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04:24:51-700',mode:absolute,to:'2016-12-31 07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7.5499999999999998E-2</v>
      </c>
      <c r="Z27" s="64">
        <f t="shared" si="9"/>
        <v>23.328600000000002</v>
      </c>
      <c r="AA27" s="64">
        <f t="shared" si="10"/>
        <v>23.2531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 t="shared" si="11"/>
        <v>0115-31</v>
      </c>
      <c r="AE27" s="87" t="str">
        <f t="shared" si="12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27" s="84" t="str">
        <f t="shared" si="13"/>
        <v>"C:\Program Files (x86)\AstroGrep\AstroGrep.exe" /spath="%USERPROFILE%\AppData\Local\Temp\OnboardLogs" /stypes="app*4044*20161231*"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115-31 --locoid 4044 --swversion DE.1.0.8.0 --startMP 204:755 --initTime 2016-12-31T05:24:51 --startdatetime 2016-12-31T05:30:15 --delay 5 --endMP 204:233286 --enddatetime 2016-12-31T06:06:54 --enforcementcount 0 &gt;&gt;C:\Users\stu\Documents\GitHub\eaglep3-reporting\EC\2016-12-31-refined-times.txt</v>
      </c>
      <c r="AI2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{"issue":{"subject":"","project_id":79,"tracker_id":40,"status_id":1,"priority_id":2,"assigned_to_id":23,"start_date":"2016-12-31","description":"","custom_fields":[{"id":1,"name":"Subdivision","value":"EC"},{"id":4,"name":"Milepost","value":"23.3286"},{"id":17,"name":"Train ID","value":"115-31"},{"id":16,"name":"Locomotive ID","value":"4044"},{"id":130,"name":"Impact","value":""},{"id":150,"name":"Time of Event (Mountain Time)","value":"06:06:54"},{"id":151,"name":"Denver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4044 --day 2016-12-31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509</v>
      </c>
      <c r="B28" s="7">
        <v>4043</v>
      </c>
      <c r="C28" s="22" t="s">
        <v>205</v>
      </c>
      <c r="D28" s="22" t="s">
        <v>274</v>
      </c>
      <c r="E28" s="13">
        <v>42735.262395833335</v>
      </c>
      <c r="F28" s="13">
        <v>42735.268252314818</v>
      </c>
      <c r="G28" s="7">
        <v>1</v>
      </c>
      <c r="H28" s="22" t="s">
        <v>241</v>
      </c>
      <c r="I28" s="13">
        <v>42735.294560185182</v>
      </c>
      <c r="J28" s="7">
        <v>0</v>
      </c>
      <c r="K28" s="105" t="str">
        <f t="shared" si="0"/>
        <v>4043/4044</v>
      </c>
      <c r="L28" s="22" t="str">
        <f>VLOOKUP(A28,'Trips&amp;Operators'!$C$1:$G$99999,5,FALSE)</f>
        <v>GEBRETEKLE DAGNEW</v>
      </c>
      <c r="M28" s="6">
        <f t="shared" si="1"/>
        <v>2.6307870364689734E-2</v>
      </c>
      <c r="N28" s="7">
        <f t="shared" si="2"/>
        <v>37.883333325153217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05:17:51-700',mode:absolute,to:'2016-12-31 08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23.297799999999999</v>
      </c>
      <c r="Z28" s="64">
        <f t="shared" si="9"/>
        <v>1.6299999999999999E-2</v>
      </c>
      <c r="AA28" s="64">
        <f t="shared" si="10"/>
        <v>23.281499999999998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11"/>
        <v>0116-31</v>
      </c>
      <c r="AE28" s="87" t="str">
        <f t="shared" si="12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28" s="84" t="str">
        <f t="shared" si="13"/>
        <v>"C:\Program Files (x86)\AstroGrep\AstroGrep.exe" /spath="%USERPROFILE%\AppData\Local\Temp\OnboardLogs" /stypes="app*4043*20161231*"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116-31 --locoid 4043 --swversion DE.1.0.8.0 --startMP 204:232978 --initTime 2016-12-31T06:17:51 --startdatetime 2016-12-31T06:26:17 --delay 1 --endMP 204:163 --enddatetime 2016-12-31T07:04:10 --enforcementcount 0 &gt;&gt;C:\Users\stu\Documents\GitHub\eaglep3-reporting\EC\2016-12-31-refined-times.txt</v>
      </c>
      <c r="AI2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{"issue":{"subject":"","project_id":79,"tracker_id":40,"status_id":1,"priority_id":2,"assigned_to_id":23,"start_date":"2016-12-31","description":"","custom_fields":[{"id":1,"name":"Subdivision","value":"EC"},{"id":4,"name":"Milepost","value":"0.0163"},{"id":17,"name":"Train ID","value":"116-31"},{"id":16,"name":"Locomotive ID","value":"4043"},{"id":130,"name":"Impact","value":""},{"id":150,"name":"Time of Event (Mountain Time)","value":"07:04:10"},{"id":151,"name":"Denver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4043 --day 2016-12-31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503</v>
      </c>
      <c r="B29" s="7">
        <v>4003</v>
      </c>
      <c r="C29" s="22" t="s">
        <v>205</v>
      </c>
      <c r="D29" s="22" t="s">
        <v>408</v>
      </c>
      <c r="E29" s="13">
        <v>42735.226944444446</v>
      </c>
      <c r="F29" s="13">
        <v>42735.23982638889</v>
      </c>
      <c r="G29" s="7">
        <v>1</v>
      </c>
      <c r="H29" s="22" t="s">
        <v>677</v>
      </c>
      <c r="I29" s="13">
        <v>42735.265405092592</v>
      </c>
      <c r="J29" s="7">
        <v>0</v>
      </c>
      <c r="K29" s="105" t="str">
        <f t="shared" si="0"/>
        <v>4003/4004</v>
      </c>
      <c r="L29" s="22" t="str">
        <f>VLOOKUP(A29,'Trips&amp;Operators'!$C$1:$G$99999,5,FALSE)</f>
        <v>ROBINSON KADDIBA</v>
      </c>
      <c r="M29" s="6">
        <f t="shared" si="1"/>
        <v>2.5578703702194616E-2</v>
      </c>
      <c r="N29" s="7">
        <f t="shared" si="2"/>
        <v>36.833333331160247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04:26:48-700',mode:absolute,to:'2016-12-31 07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4.4200000000000003E-2</v>
      </c>
      <c r="Z29" s="64">
        <f t="shared" si="9"/>
        <v>23.329799999999999</v>
      </c>
      <c r="AA29" s="64">
        <f t="shared" si="10"/>
        <v>23.285599999999999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1"/>
        <v>0117-31</v>
      </c>
      <c r="AE29" s="87" t="str">
        <f t="shared" si="12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29" s="84" t="str">
        <f t="shared" si="13"/>
        <v>"C:\Program Files (x86)\AstroGrep\AstroGrep.exe" /spath="%USERPROFILE%\AppData\Local\Temp\OnboardLogs" /stypes="app*4003*20161231*"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117-31 --locoid 4003 --swversion DE.1.0.8.0 --startMP 204:442 --initTime 2016-12-31T05:26:48 --startdatetime 2016-12-31T05:45:21 --delay 1 --endMP 204:233298 --enddatetime 2016-12-31T06:22:11 --enforcementcount 0 &gt;&gt;C:\Users\stu\Documents\GitHub\eaglep3-reporting\EC\2016-12-31-refined-times.txt</v>
      </c>
      <c r="AI2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{"issue":{"subject":"","project_id":79,"tracker_id":40,"status_id":1,"priority_id":2,"assigned_to_id":23,"start_date":"2016-12-31","description":"","custom_fields":[{"id":1,"name":"Subdivision","value":"EC"},{"id":4,"name":"Milepost","value":"23.3298"},{"id":17,"name":"Train ID","value":"117-31"},{"id":16,"name":"Locomotive ID","value":"4003"},{"id":130,"name":"Impact","value":""},{"id":150,"name":"Time of Event (Mountain Time)","value":"06:22:11"},{"id":151,"name":"Denver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4003 --day 2016-12-31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511</v>
      </c>
      <c r="B30" s="7">
        <v>4004</v>
      </c>
      <c r="C30" s="22" t="s">
        <v>205</v>
      </c>
      <c r="D30" s="22" t="s">
        <v>329</v>
      </c>
      <c r="E30" s="13">
        <v>42735.268067129633</v>
      </c>
      <c r="F30" s="13">
        <v>42735.278645833336</v>
      </c>
      <c r="G30" s="7">
        <v>1</v>
      </c>
      <c r="H30" s="22" t="s">
        <v>254</v>
      </c>
      <c r="I30" s="13">
        <v>42735.305497685185</v>
      </c>
      <c r="J30" s="7">
        <v>0</v>
      </c>
      <c r="K30" s="105" t="str">
        <f t="shared" si="0"/>
        <v>4003/4004</v>
      </c>
      <c r="L30" s="22" t="str">
        <f>VLOOKUP(A30,'Trips&amp;Operators'!$C$1:$G$99999,5,FALSE)</f>
        <v>ROBINSON KADDIBA</v>
      </c>
      <c r="M30" s="6">
        <f t="shared" si="1"/>
        <v>2.6851851849642117E-2</v>
      </c>
      <c r="N30" s="7">
        <f t="shared" si="2"/>
        <v>38.666666663484648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05:26:01-700',mode:absolute,to:'2016-12-31 08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23.2989</v>
      </c>
      <c r="Z30" s="64">
        <f t="shared" si="9"/>
        <v>1.3899999999999999E-2</v>
      </c>
      <c r="AA30" s="64">
        <f t="shared" si="10"/>
        <v>23.285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1"/>
        <v>0118-31</v>
      </c>
      <c r="AE30" s="87" t="str">
        <f t="shared" si="12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30" s="84" t="str">
        <f t="shared" si="13"/>
        <v>"C:\Program Files (x86)\AstroGrep\AstroGrep.exe" /spath="%USERPROFILE%\AppData\Local\Temp\OnboardLogs" /stypes="app*4004*20161231*"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118-31 --locoid 4004 --swversion DE.1.0.8.0 --startMP 204:232989 --initTime 2016-12-31T06:26:01 --startdatetime 2016-12-31T06:41:15 --delay 1 --endMP 204:139 --enddatetime 2016-12-31T07:19:55 --enforcementcount 0 &gt;&gt;C:\Users\stu\Documents\GitHub\eaglep3-reporting\EC\2016-12-31-refined-times.txt</v>
      </c>
      <c r="AI3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{"issue":{"subject":"","project_id":79,"tracker_id":40,"status_id":1,"priority_id":2,"assigned_to_id":23,"start_date":"2016-12-31","description":"","custom_fields":[{"id":1,"name":"Subdivision","value":"EC"},{"id":4,"name":"Milepost","value":"0.0139"},{"id":17,"name":"Train ID","value":"118-31"},{"id":16,"name":"Locomotive ID","value":"4004"},{"id":130,"name":"Impact","value":""},{"id":150,"name":"Time of Event (Mountain Time)","value":"07:19:55"},{"id":151,"name":"Denver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4004 --day 2016-12-31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440</v>
      </c>
      <c r="B31" s="7">
        <v>4016</v>
      </c>
      <c r="C31" s="22" t="s">
        <v>205</v>
      </c>
      <c r="D31" s="22" t="s">
        <v>689</v>
      </c>
      <c r="E31" s="13">
        <v>42735.247511574074</v>
      </c>
      <c r="F31" s="13">
        <v>42735.250555555554</v>
      </c>
      <c r="G31" s="7">
        <v>1</v>
      </c>
      <c r="H31" s="22" t="s">
        <v>410</v>
      </c>
      <c r="I31" s="13">
        <v>42735.275358796294</v>
      </c>
      <c r="J31" s="7">
        <v>0</v>
      </c>
      <c r="K31" s="105" t="str">
        <f t="shared" si="0"/>
        <v>4015/4016</v>
      </c>
      <c r="L31" s="22" t="str">
        <f>VLOOKUP(A31,'Trips&amp;Operators'!$C$1:$G$99999,5,FALSE)</f>
        <v>MAELZER KURT</v>
      </c>
      <c r="M31" s="6">
        <f t="shared" si="1"/>
        <v>2.4803240739856847E-2</v>
      </c>
      <c r="N31" s="7">
        <f t="shared" si="2"/>
        <v>35.716666665393859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04:56:25-700',mode:absolute,to:'2016-12-31 07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7.7399999999999997E-2</v>
      </c>
      <c r="Z31" s="64">
        <f t="shared" si="9"/>
        <v>23.331600000000002</v>
      </c>
      <c r="AA31" s="64">
        <f t="shared" si="10"/>
        <v>23.254200000000001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11"/>
        <v>0119-31</v>
      </c>
      <c r="AE31" s="87" t="str">
        <f t="shared" si="12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31" s="84" t="str">
        <f t="shared" si="13"/>
        <v>"C:\Program Files (x86)\AstroGrep\AstroGrep.exe" /spath="%USERPROFILE%\AppData\Local\Temp\OnboardLogs" /stypes="app*4016*20161231*"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119-31 --locoid 4016 --swversion DE.1.0.8.0 --startMP 204:774 --initTime 2016-12-31T05:56:25 --startdatetime 2016-12-31T06:00:48 --delay 1 --endMP 204:233316 --enddatetime 2016-12-31T06:36:31 --enforcementcount 0 &gt;&gt;C:\Users\stu\Documents\GitHub\eaglep3-reporting\EC\2016-12-31-refined-times.txt</v>
      </c>
      <c r="AI31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{"issue":{"subject":"","project_id":79,"tracker_id":40,"status_id":1,"priority_id":2,"assigned_to_id":23,"start_date":"2016-12-31","description":"","custom_fields":[{"id":1,"name":"Subdivision","value":"EC"},{"id":4,"name":"Milepost","value":"23.3316"},{"id":17,"name":"Train ID","value":"119-31"},{"id":16,"name":"Locomotive ID","value":"4016"},{"id":130,"name":"Impact","value":""},{"id":150,"name":"Time of Event (Mountain Time)","value":"06:36:31"},{"id":151,"name":"Denver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4016 --day 2016-12-31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514</v>
      </c>
      <c r="B32" s="7">
        <v>4015</v>
      </c>
      <c r="C32" s="22" t="s">
        <v>205</v>
      </c>
      <c r="D32" s="22" t="s">
        <v>251</v>
      </c>
      <c r="E32" s="13">
        <v>42735.280462962961</v>
      </c>
      <c r="F32" s="13">
        <v>42735.289189814815</v>
      </c>
      <c r="G32" s="7">
        <v>1</v>
      </c>
      <c r="H32" s="22" t="s">
        <v>192</v>
      </c>
      <c r="I32" s="13">
        <v>42735.316666666666</v>
      </c>
      <c r="J32" s="7">
        <v>0</v>
      </c>
      <c r="K32" s="105" t="str">
        <f t="shared" si="0"/>
        <v>4015/4016</v>
      </c>
      <c r="L32" s="22" t="str">
        <f>VLOOKUP(A32,'Trips&amp;Operators'!$C$1:$G$99999,5,FALSE)</f>
        <v>MAELZER KURT</v>
      </c>
      <c r="M32" s="6">
        <f t="shared" si="1"/>
        <v>2.7476851850224193E-2</v>
      </c>
      <c r="N32" s="7">
        <f t="shared" si="2"/>
        <v>39.566666664322838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05:43:52-700',mode:absolute,to:'2016-12-31 08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49" t="str">
        <f t="shared" si="6"/>
        <v>N</v>
      </c>
      <c r="X32" s="173">
        <f t="shared" si="7"/>
        <v>1</v>
      </c>
      <c r="Y32" s="64">
        <f t="shared" si="8"/>
        <v>23.299399999999999</v>
      </c>
      <c r="Z32" s="64">
        <f t="shared" si="9"/>
        <v>1.43E-2</v>
      </c>
      <c r="AA32" s="64">
        <f t="shared" si="10"/>
        <v>23.2851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11"/>
        <v>0120-31</v>
      </c>
      <c r="AE32" s="87" t="str">
        <f t="shared" si="12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32" s="84" t="str">
        <f t="shared" si="13"/>
        <v>"C:\Program Files (x86)\AstroGrep\AstroGrep.exe" /spath="%USERPROFILE%\AppData\Local\Temp\OnboardLogs" /stypes="app*4015*20161231*"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120-31 --locoid 4015 --swversion DE.1.0.8.0 --startMP 204:232994 --initTime 2016-12-31T06:43:52 --startdatetime 2016-12-31T06:56:26 --delay 1 --endMP 204:143 --enddatetime 2016-12-31T07:36:00 --enforcementcount 0 &gt;&gt;C:\Users\stu\Documents\GitHub\eaglep3-reporting\EC\2016-12-31-refined-times.txt</v>
      </c>
      <c r="AI3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{"issue":{"subject":"","project_id":79,"tracker_id":40,"status_id":1,"priority_id":2,"assigned_to_id":23,"start_date":"2016-12-31","description":"","custom_fields":[{"id":1,"name":"Subdivision","value":"EC"},{"id":4,"name":"Milepost","value":"0.0143"},{"id":17,"name":"Train ID","value":"120-31"},{"id":16,"name":"Locomotive ID","value":"4015"},{"id":130,"name":"Impact","value":""},{"id":150,"name":"Time of Event (Mountain Time)","value":"07:36:00"},{"id":151,"name":"Denver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4015 --day 2016-12-31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508</v>
      </c>
      <c r="B33" s="7">
        <v>4046</v>
      </c>
      <c r="C33" s="22" t="s">
        <v>205</v>
      </c>
      <c r="D33" s="22" t="s">
        <v>690</v>
      </c>
      <c r="E33" s="13">
        <v>42735.256608796299</v>
      </c>
      <c r="F33" s="13">
        <v>42735.260659722226</v>
      </c>
      <c r="G33" s="7">
        <v>1</v>
      </c>
      <c r="H33" s="22" t="s">
        <v>297</v>
      </c>
      <c r="I33" s="13">
        <v>42735.28701388889</v>
      </c>
      <c r="J33" s="7">
        <v>0</v>
      </c>
      <c r="K33" s="105" t="str">
        <f t="shared" si="0"/>
        <v>4045/4046</v>
      </c>
      <c r="L33" s="22" t="str">
        <f>VLOOKUP(A33,'Trips&amp;Operators'!$C$1:$G$99999,5,FALSE)</f>
        <v>MAHAN DUANE</v>
      </c>
      <c r="M33" s="6">
        <f t="shared" si="1"/>
        <v>2.6354166664532386E-2</v>
      </c>
      <c r="N33" s="7">
        <f t="shared" si="2"/>
        <v>37.949999996926636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05:09:31-700',mode:absolute,to:'2016-12-31 07:53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4.7500000000000001E-2</v>
      </c>
      <c r="Z33" s="64">
        <f t="shared" si="9"/>
        <v>23.3293</v>
      </c>
      <c r="AA33" s="64">
        <f t="shared" si="10"/>
        <v>23.2818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1"/>
        <v>0121-31</v>
      </c>
      <c r="AE33" s="87" t="str">
        <f t="shared" si="12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33" s="84" t="str">
        <f t="shared" si="13"/>
        <v>"C:\Program Files (x86)\AstroGrep\AstroGrep.exe" /spath="%USERPROFILE%\AppData\Local\Temp\OnboardLogs" /stypes="app*4046*20161231*"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121-31 --locoid 4046 --swversion DE.1.0.8.0 --startMP 204:475 --initTime 2016-12-31T06:09:31 --startdatetime 2016-12-31T06:15:21 --delay 1 --endMP 204:233293 --enddatetime 2016-12-31T06:53:18 --enforcementcount 0 &gt;&gt;C:\Users\stu\Documents\GitHub\eaglep3-reporting\EC\2016-12-31-refined-times.txt</v>
      </c>
      <c r="AI3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{"issue":{"subject":"","project_id":79,"tracker_id":40,"status_id":1,"priority_id":2,"assigned_to_id":23,"start_date":"2016-12-31","description":"","custom_fields":[{"id":1,"name":"Subdivision","value":"EC"},{"id":4,"name":"Milepost","value":"23.3293"},{"id":17,"name":"Train ID","value":"121-31"},{"id":16,"name":"Locomotive ID","value":"4046"},{"id":130,"name":"Impact","value":""},{"id":150,"name":"Time of Event (Mountain Time)","value":"06:53:18"},{"id":151,"name":"Denver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4046 --day 2016-12-31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517</v>
      </c>
      <c r="B34" s="7">
        <v>4045</v>
      </c>
      <c r="C34" s="22" t="s">
        <v>205</v>
      </c>
      <c r="D34" s="22" t="s">
        <v>691</v>
      </c>
      <c r="E34" s="13">
        <v>42735.295277777775</v>
      </c>
      <c r="F34" s="13">
        <v>42735.299513888887</v>
      </c>
      <c r="G34" s="7">
        <v>1</v>
      </c>
      <c r="H34" s="22" t="s">
        <v>254</v>
      </c>
      <c r="I34" s="13">
        <v>42735.326990740738</v>
      </c>
      <c r="J34" s="7">
        <v>0</v>
      </c>
      <c r="K34" s="105" t="str">
        <f t="shared" si="0"/>
        <v>4045/4046</v>
      </c>
      <c r="L34" s="22" t="str">
        <f>VLOOKUP(A34,'Trips&amp;Operators'!$C$1:$G$99999,5,FALSE)</f>
        <v>MAHAN DUANE</v>
      </c>
      <c r="M34" s="6">
        <f t="shared" si="1"/>
        <v>2.7476851850224193E-2</v>
      </c>
      <c r="N34" s="7">
        <f t="shared" si="2"/>
        <v>39.566666664322838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06:05:12-700',mode:absolute,to:'2016-12-31 08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23.298300000000001</v>
      </c>
      <c r="Z34" s="64">
        <f t="shared" si="9"/>
        <v>1.3899999999999999E-2</v>
      </c>
      <c r="AA34" s="64">
        <f t="shared" si="10"/>
        <v>23.284400000000002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1"/>
        <v>0122-31</v>
      </c>
      <c r="AE34" s="87" t="str">
        <f t="shared" si="12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34" s="84" t="str">
        <f t="shared" si="13"/>
        <v>"C:\Program Files (x86)\AstroGrep\AstroGrep.exe" /spath="%USERPROFILE%\AppData\Local\Temp\OnboardLogs" /stypes="app*4045*20161231*"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122-31 --locoid 4045 --swversion DE.1.0.8.0 --startMP 204:232983 --initTime 2016-12-31T07:05:12 --startdatetime 2016-12-31T07:11:18 --delay 1 --endMP 204:139 --enddatetime 2016-12-31T07:50:52 --enforcementcount 0 &gt;&gt;C:\Users\stu\Documents\GitHub\eaglep3-reporting\EC\2016-12-31-refined-times.txt</v>
      </c>
      <c r="AI3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{"issue":{"subject":"","project_id":79,"tracker_id":40,"status_id":1,"priority_id":2,"assigned_to_id":23,"start_date":"2016-12-31","description":"","custom_fields":[{"id":1,"name":"Subdivision","value":"EC"},{"id":4,"name":"Milepost","value":"0.0139"},{"id":17,"name":"Train ID","value":"122-31"},{"id":16,"name":"Locomotive ID","value":"4045"},{"id":130,"name":"Impact","value":""},{"id":150,"name":"Time of Event (Mountain Time)","value":"07:50:52"},{"id":151,"name":"Denver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4045 --day 2016-12-31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510</v>
      </c>
      <c r="B35" s="7">
        <v>4025</v>
      </c>
      <c r="C35" s="22" t="s">
        <v>205</v>
      </c>
      <c r="D35" s="22" t="s">
        <v>266</v>
      </c>
      <c r="E35" s="13">
        <v>42735.266296296293</v>
      </c>
      <c r="F35" s="13">
        <v>42735.271064814813</v>
      </c>
      <c r="G35" s="7">
        <v>1</v>
      </c>
      <c r="H35" s="22" t="s">
        <v>692</v>
      </c>
      <c r="I35" s="13">
        <v>42735.296944444446</v>
      </c>
      <c r="J35" s="7">
        <v>0</v>
      </c>
      <c r="K35" s="105" t="str">
        <f t="shared" si="0"/>
        <v>4025/4026</v>
      </c>
      <c r="L35" s="22" t="str">
        <f>VLOOKUP(A35,'Trips&amp;Operators'!$C$1:$G$99999,5,FALSE)</f>
        <v>OUN ZACK</v>
      </c>
      <c r="M35" s="6">
        <f t="shared" si="1"/>
        <v>2.587962963298196E-2</v>
      </c>
      <c r="N35" s="7">
        <f t="shared" si="2"/>
        <v>37.266666671494022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05:23:28-700',mode:absolute,to:'2016-12-31 08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4.3999999999999997E-2</v>
      </c>
      <c r="Z35" s="64">
        <f t="shared" si="9"/>
        <v>23.332000000000001</v>
      </c>
      <c r="AA35" s="64">
        <f t="shared" si="10"/>
        <v>23.288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1"/>
        <v>0123-31</v>
      </c>
      <c r="AE35" s="87" t="str">
        <f t="shared" si="12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35" s="84" t="str">
        <f t="shared" si="13"/>
        <v>"C:\Program Files (x86)\AstroGrep\AstroGrep.exe" /spath="%USERPROFILE%\AppData\Local\Temp\OnboardLogs" /stypes="app*4025*20161231*"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123-31 --locoid 4025 --swversion DE.1.0.8.0 --startMP 204:440 --initTime 2016-12-31T06:23:28 --startdatetime 2016-12-31T06:30:20 --delay 1 --endMP 204:233320 --enddatetime 2016-12-31T07:07:36 --enforcementcount 0 &gt;&gt;C:\Users\stu\Documents\GitHub\eaglep3-reporting\EC\2016-12-31-refined-times.txt</v>
      </c>
      <c r="AI3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{"issue":{"subject":"","project_id":79,"tracker_id":40,"status_id":1,"priority_id":2,"assigned_to_id":23,"start_date":"2016-12-31","description":"","custom_fields":[{"id":1,"name":"Subdivision","value":"EC"},{"id":4,"name":"Milepost","value":"23.332"},{"id":17,"name":"Train ID","value":"123-31"},{"id":16,"name":"Locomotive ID","value":"4025"},{"id":130,"name":"Impact","value":""},{"id":150,"name":"Time of Event (Mountain Time)","value":"07:07:36"},{"id":151,"name":"Denver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4025 --day 2016-12-31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519</v>
      </c>
      <c r="B36" s="7">
        <v>4026</v>
      </c>
      <c r="C36" s="22" t="s">
        <v>205</v>
      </c>
      <c r="D36" s="22" t="s">
        <v>307</v>
      </c>
      <c r="E36" s="13">
        <v>42735.304293981484</v>
      </c>
      <c r="F36" s="13">
        <v>42735.309965277775</v>
      </c>
      <c r="G36" s="7">
        <v>1</v>
      </c>
      <c r="H36" s="22" t="s">
        <v>323</v>
      </c>
      <c r="I36" s="13">
        <v>42735.337060185186</v>
      </c>
      <c r="J36" s="7">
        <v>0</v>
      </c>
      <c r="K36" s="105" t="str">
        <f t="shared" si="0"/>
        <v>4025/4026</v>
      </c>
      <c r="L36" s="22" t="str">
        <f>VLOOKUP(A36,'Trips&amp;Operators'!$C$1:$G$99999,5,FALSE)</f>
        <v>OUN ZACK</v>
      </c>
      <c r="M36" s="6">
        <f t="shared" si="1"/>
        <v>2.7094907411083113E-2</v>
      </c>
      <c r="N36" s="7">
        <f t="shared" si="2"/>
        <v>39.016666671959683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06:18:11-700',mode:absolute,to:'2016-12-31 09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23.299800000000001</v>
      </c>
      <c r="Z36" s="64">
        <f t="shared" si="9"/>
        <v>1.5599999999999999E-2</v>
      </c>
      <c r="AA36" s="64">
        <f t="shared" si="10"/>
        <v>23.284200000000002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1"/>
        <v>0124-31</v>
      </c>
      <c r="AE36" s="87" t="str">
        <f t="shared" si="12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36" s="84" t="str">
        <f t="shared" si="13"/>
        <v>"C:\Program Files (x86)\AstroGrep\AstroGrep.exe" /spath="%USERPROFILE%\AppData\Local\Temp\OnboardLogs" /stypes="app*4026*20161231*"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124-31 --locoid 4026 --swversion DE.1.0.8.0 --startMP 204:232998 --initTime 2016-12-31T07:18:11 --startdatetime 2016-12-31T07:26:21 --delay 1 --endMP 204:156 --enddatetime 2016-12-31T08:05:22 --enforcementcount 0 &gt;&gt;C:\Users\stu\Documents\GitHub\eaglep3-reporting\EC\2016-12-31-refined-times.txt</v>
      </c>
      <c r="AI3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{"issue":{"subject":"","project_id":79,"tracker_id":40,"status_id":1,"priority_id":2,"assigned_to_id":23,"start_date":"2016-12-31","description":"","custom_fields":[{"id":1,"name":"Subdivision","value":"EC"},{"id":4,"name":"Milepost","value":"0.0156"},{"id":17,"name":"Train ID","value":"124-31"},{"id":16,"name":"Locomotive ID","value":"4026"},{"id":130,"name":"Impact","value":""},{"id":150,"name":"Time of Event (Mountain Time)","value":"08:05:22"},{"id":151,"name":"Denver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4026 --day 2016-12-31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513</v>
      </c>
      <c r="B37" s="7">
        <v>4018</v>
      </c>
      <c r="C37" s="22" t="s">
        <v>205</v>
      </c>
      <c r="D37" s="22" t="s">
        <v>194</v>
      </c>
      <c r="E37" s="13">
        <v>42735.277604166666</v>
      </c>
      <c r="F37" s="13">
        <v>42735.281724537039</v>
      </c>
      <c r="G37" s="7">
        <v>1</v>
      </c>
      <c r="H37" s="22" t="s">
        <v>693</v>
      </c>
      <c r="I37" s="13">
        <v>42735.308564814812</v>
      </c>
      <c r="J37" s="7">
        <v>0</v>
      </c>
      <c r="K37" s="105" t="str">
        <f t="shared" si="0"/>
        <v>4017/4018</v>
      </c>
      <c r="L37" s="22" t="str">
        <f>VLOOKUP(A37,'Trips&amp;Operators'!$C$1:$G$99999,5,FALSE)</f>
        <v>ARVIDSON DANIEL</v>
      </c>
      <c r="M37" s="6">
        <f t="shared" si="1"/>
        <v>2.6840277772862464E-2</v>
      </c>
      <c r="N37" s="7">
        <f t="shared" si="2"/>
        <v>38.649999992921948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05:39:45-700',mode:absolute,to:'2016-12-31 08:24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4.5100000000000001E-2</v>
      </c>
      <c r="Z37" s="64">
        <f t="shared" si="9"/>
        <v>23.332699999999999</v>
      </c>
      <c r="AA37" s="64">
        <f t="shared" si="10"/>
        <v>23.287599999999998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1"/>
        <v>0125-31</v>
      </c>
      <c r="AE37" s="87" t="str">
        <f t="shared" si="12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37" s="84" t="str">
        <f t="shared" si="13"/>
        <v>"C:\Program Files (x86)\AstroGrep\AstroGrep.exe" /spath="%USERPROFILE%\AppData\Local\Temp\OnboardLogs" /stypes="app*4018*20161231*"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125-31 --locoid 4018 --swversion DE.1.0.8.0 --startMP 204:451 --initTime 2016-12-31T06:39:45 --startdatetime 2016-12-31T06:45:41 --delay 1 --endMP 204:233327 --enddatetime 2016-12-31T07:24:20 --enforcementcount 0 &gt;&gt;C:\Users\stu\Documents\GitHub\eaglep3-reporting\EC\2016-12-31-refined-times.txt</v>
      </c>
      <c r="AI3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{"issue":{"subject":"","project_id":79,"tracker_id":40,"status_id":1,"priority_id":2,"assigned_to_id":23,"start_date":"2016-12-31","description":"","custom_fields":[{"id":1,"name":"Subdivision","value":"EC"},{"id":4,"name":"Milepost","value":"23.3327"},{"id":17,"name":"Train ID","value":"125-31"},{"id":16,"name":"Locomotive ID","value":"4018"},{"id":130,"name":"Impact","value":""},{"id":150,"name":"Time of Event (Mountain Time)","value":"07:24:20"},{"id":151,"name":"Denver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4018 --day 2016-12-31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521</v>
      </c>
      <c r="B38" s="7">
        <v>4017</v>
      </c>
      <c r="C38" s="22" t="s">
        <v>205</v>
      </c>
      <c r="D38" s="22" t="s">
        <v>694</v>
      </c>
      <c r="E38" s="13">
        <v>42735.314872685187</v>
      </c>
      <c r="F38" s="13">
        <v>42735.320706018516</v>
      </c>
      <c r="G38" s="7">
        <v>1</v>
      </c>
      <c r="H38" s="22" t="s">
        <v>695</v>
      </c>
      <c r="I38" s="13">
        <v>42735.347962962966</v>
      </c>
      <c r="J38" s="7">
        <v>0</v>
      </c>
      <c r="K38" s="105" t="str">
        <f t="shared" si="0"/>
        <v>4017/4018</v>
      </c>
      <c r="L38" s="22" t="str">
        <f>VLOOKUP(A38,'Trips&amp;Operators'!$C$1:$G$99999,5,FALSE)</f>
        <v>ARVIDSON DANIEL</v>
      </c>
      <c r="M38" s="6">
        <f t="shared" si="1"/>
        <v>2.7256944449618459E-2</v>
      </c>
      <c r="N38" s="7">
        <f t="shared" si="2"/>
        <v>39.250000007450581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06:33:25-700',mode:absolute,to:'2016-12-31 09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23.301300000000001</v>
      </c>
      <c r="Z38" s="64">
        <f t="shared" si="9"/>
        <v>1.0999999999999999E-2</v>
      </c>
      <c r="AA38" s="64">
        <f t="shared" si="10"/>
        <v>23.290300000000002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1"/>
        <v>0126-31</v>
      </c>
      <c r="AE38" s="87" t="str">
        <f t="shared" si="12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38" s="84" t="str">
        <f t="shared" si="13"/>
        <v>"C:\Program Files (x86)\AstroGrep\AstroGrep.exe" /spath="%USERPROFILE%\AppData\Local\Temp\OnboardLogs" /stypes="app*4017*20161231*"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126-31 --locoid 4017 --swversion DE.1.0.8.0 --startMP 204:233013 --initTime 2016-12-31T07:33:25 --startdatetime 2016-12-31T07:41:49 --delay 1 --endMP 204:110 --enddatetime 2016-12-31T08:21:04 --enforcementcount 0 &gt;&gt;C:\Users\stu\Documents\GitHub\eaglep3-reporting\EC\2016-12-31-refined-times.txt</v>
      </c>
      <c r="AI3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{"issue":{"subject":"","project_id":79,"tracker_id":40,"status_id":1,"priority_id":2,"assigned_to_id":23,"start_date":"2016-12-31","description":"","custom_fields":[{"id":1,"name":"Subdivision","value":"EC"},{"id":4,"name":"Milepost","value":"0.011"},{"id":17,"name":"Train ID","value":"126-31"},{"id":16,"name":"Locomotive ID","value":"4017"},{"id":130,"name":"Impact","value":""},{"id":150,"name":"Time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4017 --day 2016-12-31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515</v>
      </c>
      <c r="B39" s="7">
        <v>4011</v>
      </c>
      <c r="C39" s="22" t="s">
        <v>205</v>
      </c>
      <c r="D39" s="22" t="s">
        <v>328</v>
      </c>
      <c r="E39" s="13">
        <v>42735.28707175926</v>
      </c>
      <c r="F39" s="13">
        <v>42735.291828703703</v>
      </c>
      <c r="G39" s="7">
        <v>1</v>
      </c>
      <c r="H39" s="22" t="s">
        <v>360</v>
      </c>
      <c r="I39" s="13">
        <v>42735.316296296296</v>
      </c>
      <c r="J39" s="7">
        <v>0</v>
      </c>
      <c r="K39" s="105" t="str">
        <f t="shared" si="0"/>
        <v>4011/4012</v>
      </c>
      <c r="L39" s="22" t="str">
        <f>VLOOKUP(A39,'Trips&amp;Operators'!$C$1:$G$99999,5,FALSE)</f>
        <v>BEAM ROSS</v>
      </c>
      <c r="M39" s="6">
        <f t="shared" si="1"/>
        <v>2.4467592593282461E-2</v>
      </c>
      <c r="N39" s="7">
        <f t="shared" si="2"/>
        <v>35.233333334326744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05:53:23-700',mode:absolute,to:'2016-12-31 08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4.4400000000000002E-2</v>
      </c>
      <c r="Z39" s="64">
        <f t="shared" si="9"/>
        <v>23.3309</v>
      </c>
      <c r="AA39" s="64">
        <f t="shared" si="10"/>
        <v>23.2865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1"/>
        <v>0127-31</v>
      </c>
      <c r="AE39" s="87" t="str">
        <f t="shared" si="12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39" s="84" t="str">
        <f t="shared" si="13"/>
        <v>"C:\Program Files (x86)\AstroGrep\AstroGrep.exe" /spath="%USERPROFILE%\AppData\Local\Temp\OnboardLogs" /stypes="app*4011*20161231*"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127-31 --locoid 4011 --swversion DE.1.0.8.0 --startMP 204:444 --initTime 2016-12-31T06:53:23 --startdatetime 2016-12-31T07:00:14 --delay 1 --endMP 204:233309 --enddatetime 2016-12-31T07:35:28 --enforcementcount 0 &gt;&gt;C:\Users\stu\Documents\GitHub\eaglep3-reporting\EC\2016-12-31-refined-times.txt</v>
      </c>
      <c r="AI3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{"issue":{"subject":"","project_id":79,"tracker_id":40,"status_id":1,"priority_id":2,"assigned_to_id":23,"start_date":"2016-12-31","description":"","custom_fields":[{"id":1,"name":"Subdivision","value":"EC"},{"id":4,"name":"Milepost","value":"23.3309"},{"id":17,"name":"Train ID","value":"127-31"},{"id":16,"name":"Locomotive ID","value":"4011"},{"id":130,"name":"Impact","value":""},{"id":150,"name":"Time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4011 --day 2016-12-31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524</v>
      </c>
      <c r="B40" s="7">
        <v>4012</v>
      </c>
      <c r="C40" s="22" t="s">
        <v>205</v>
      </c>
      <c r="D40" s="22" t="s">
        <v>696</v>
      </c>
      <c r="E40" s="13">
        <v>42735.321747685186</v>
      </c>
      <c r="F40" s="13">
        <v>42735.330729166664</v>
      </c>
      <c r="G40" s="7">
        <v>1</v>
      </c>
      <c r="H40" s="22" t="s">
        <v>211</v>
      </c>
      <c r="I40" s="13">
        <v>42735.356736111113</v>
      </c>
      <c r="J40" s="7">
        <v>0</v>
      </c>
      <c r="K40" s="105" t="str">
        <f t="shared" si="0"/>
        <v>4011/4012</v>
      </c>
      <c r="L40" s="22" t="str">
        <f>VLOOKUP(A40,'Trips&amp;Operators'!$C$1:$G$99999,5,FALSE)</f>
        <v>BEAM ROSS</v>
      </c>
      <c r="M40" s="6">
        <f t="shared" si="1"/>
        <v>2.6006944448454306E-2</v>
      </c>
      <c r="N40" s="7">
        <f t="shared" si="2"/>
        <v>37.4500000057742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06:43:19-700',mode:absolute,to:'2016-12-31 09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23.296500000000002</v>
      </c>
      <c r="Z40" s="64">
        <f t="shared" si="9"/>
        <v>1.4999999999999999E-2</v>
      </c>
      <c r="AA40" s="64">
        <f t="shared" si="10"/>
        <v>23.281500000000001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1"/>
        <v>0128-31</v>
      </c>
      <c r="AE40" s="87" t="str">
        <f t="shared" si="12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40" s="84" t="str">
        <f t="shared" si="13"/>
        <v>"C:\Program Files (x86)\AstroGrep\AstroGrep.exe" /spath="%USERPROFILE%\AppData\Local\Temp\OnboardLogs" /stypes="app*4012*20161231*"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128-31 --locoid 4012 --swversion DE.1.0.8.0 --startMP 204:232965 --initTime 2016-12-31T07:43:19 --startdatetime 2016-12-31T07:56:15 --delay 1 --endMP 204:150 --enddatetime 2016-12-31T08:33:42 --enforcementcount 0 &gt;&gt;C:\Users\stu\Documents\GitHub\eaglep3-reporting\EC\2016-12-31-refined-times.txt</v>
      </c>
      <c r="AI4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ID","value":"128-31"},{"id":16,"name":"Locomotive ID","value":"4012"},{"id":130,"name":"Impact","value":""},{"id":150,"name":"Time of Event (Mountain Time)","value":"08:33:42"},{"id":151,"name":"Denver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4012 --day 2016-12-31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518</v>
      </c>
      <c r="B41" s="7">
        <v>4044</v>
      </c>
      <c r="C41" s="22" t="s">
        <v>205</v>
      </c>
      <c r="D41" s="22" t="s">
        <v>697</v>
      </c>
      <c r="E41" s="13">
        <v>42735.296712962961</v>
      </c>
      <c r="F41" s="13">
        <v>42735.302268518521</v>
      </c>
      <c r="G41" s="7">
        <v>1</v>
      </c>
      <c r="H41" s="22" t="s">
        <v>698</v>
      </c>
      <c r="I41" s="13">
        <v>42735.327800925923</v>
      </c>
      <c r="J41" s="7">
        <v>0</v>
      </c>
      <c r="K41" s="105" t="str">
        <f t="shared" si="0"/>
        <v>4043/4044</v>
      </c>
      <c r="L41" s="22" t="str">
        <f>VLOOKUP(A41,'Trips&amp;Operators'!$C$1:$G$99999,5,FALSE)</f>
        <v>GEBRETEKLE DAGNEW</v>
      </c>
      <c r="M41" s="6">
        <f t="shared" si="1"/>
        <v>2.5532407402351964E-2</v>
      </c>
      <c r="N41" s="7">
        <f t="shared" si="2"/>
        <v>36.766666659386829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06:07:16-700',mode:absolute,to:'2016-12-31 08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4.7300000000000002E-2</v>
      </c>
      <c r="Z41" s="64">
        <f t="shared" si="9"/>
        <v>23.333600000000001</v>
      </c>
      <c r="AA41" s="64">
        <f t="shared" si="10"/>
        <v>23.286300000000001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1"/>
        <v>0129-31</v>
      </c>
      <c r="AE41" s="87" t="str">
        <f t="shared" si="12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41" s="84" t="str">
        <f t="shared" si="13"/>
        <v>"C:\Program Files (x86)\AstroGrep\AstroGrep.exe" /spath="%USERPROFILE%\AppData\Local\Temp\OnboardLogs" /stypes="app*4044*20161231*"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129-31 --locoid 4044 --swversion DE.1.0.8.0 --startMP 204:473 --initTime 2016-12-31T07:07:16 --startdatetime 2016-12-31T07:15:16 --delay 1 --endMP 204:233336 --enddatetime 2016-12-31T07:52:02 --enforcementcount 0 &gt;&gt;C:\Users\stu\Documents\GitHub\eaglep3-reporting\EC\2016-12-31-refined-times.txt</v>
      </c>
      <c r="AI41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{"issue":{"subject":"","project_id":79,"tracker_id":40,"status_id":1,"priority_id":2,"assigned_to_id":23,"start_date":"2016-12-31","description":"","custom_fields":[{"id":1,"name":"Subdivision","value":"EC"},{"id":4,"name":"Milepost","value":"23.3336"},{"id":17,"name":"Train ID","value":"129-31"},{"id":16,"name":"Locomotive ID","value":"4044"},{"id":130,"name":"Impact","value":""},{"id":150,"name":"Time of Event (Mountain Time)","value":"07:52:02"},{"id":151,"name":"Denver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4044 --day 2016-12-31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527</v>
      </c>
      <c r="B42" s="7">
        <v>4043</v>
      </c>
      <c r="C42" s="22" t="s">
        <v>205</v>
      </c>
      <c r="D42" s="22" t="s">
        <v>331</v>
      </c>
      <c r="E42" s="13">
        <v>42735.336817129632</v>
      </c>
      <c r="F42" s="13">
        <v>42735.341238425928</v>
      </c>
      <c r="G42" s="7">
        <v>1</v>
      </c>
      <c r="H42" s="22" t="s">
        <v>699</v>
      </c>
      <c r="I42" s="13">
        <v>42735.367164351854</v>
      </c>
      <c r="J42" s="7">
        <v>0</v>
      </c>
      <c r="K42" s="105" t="str">
        <f t="shared" si="0"/>
        <v>4043/4044</v>
      </c>
      <c r="L42" s="22" t="str">
        <f>VLOOKUP(A42,'Trips&amp;Operators'!$C$1:$G$99999,5,FALSE)</f>
        <v>GEBRETEKLE DAGNEW</v>
      </c>
      <c r="M42" s="6">
        <f t="shared" si="1"/>
        <v>2.5925925925548654E-2</v>
      </c>
      <c r="N42" s="7">
        <f t="shared" si="2"/>
        <v>37.333333332790062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07:05:01-700',mode:absolute,to:'2016-12-31 09:48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23.299600000000002</v>
      </c>
      <c r="Z42" s="64">
        <f t="shared" si="9"/>
        <v>1.67E-2</v>
      </c>
      <c r="AA42" s="64">
        <f t="shared" si="10"/>
        <v>23.282900000000001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1"/>
        <v>0130-31</v>
      </c>
      <c r="AE42" s="87" t="str">
        <f t="shared" si="12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42" s="84" t="str">
        <f t="shared" si="13"/>
        <v>"C:\Program Files (x86)\AstroGrep\AstroGrep.exe" /spath="%USERPROFILE%\AppData\Local\Temp\OnboardLogs" /stypes="app*4043*20161231*"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130-31 --locoid 4043 --swversion DE.1.0.8.0 --startMP 204:232996 --initTime 2016-12-31T08:05:01 --startdatetime 2016-12-31T08:11:23 --delay 1 --endMP 204:167 --enddatetime 2016-12-31T08:48:43 --enforcementcount 0 &gt;&gt;C:\Users\stu\Documents\GitHub\eaglep3-reporting\EC\2016-12-31-refined-times.txt</v>
      </c>
      <c r="AI4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{"issue":{"subject":"","project_id":79,"tracker_id":40,"status_id":1,"priority_id":2,"assigned_to_id":23,"start_date":"2016-12-31","description":"","custom_fields":[{"id":1,"name":"Subdivision","value":"EC"},{"id":4,"name":"Milepost","value":"0.0167"},{"id":17,"name":"Train ID","value":"130-31"},{"id":16,"name":"Locomotive ID","value":"4043"},{"id":130,"name":"Impact","value":""},{"id":150,"name":"Time of Event (Mountain Time)","value":"08:48:43"},{"id":151,"name":"Denver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4043 --day 2016-12-31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520</v>
      </c>
      <c r="B43" s="7">
        <v>4003</v>
      </c>
      <c r="C43" s="22" t="s">
        <v>205</v>
      </c>
      <c r="D43" s="22" t="s">
        <v>266</v>
      </c>
      <c r="E43" s="13">
        <v>42735.308831018519</v>
      </c>
      <c r="F43" s="13">
        <v>42735.312650462962</v>
      </c>
      <c r="G43" s="7">
        <v>1</v>
      </c>
      <c r="H43" s="22" t="s">
        <v>410</v>
      </c>
      <c r="I43" s="13">
        <v>42735.337233796294</v>
      </c>
      <c r="J43" s="7">
        <v>0</v>
      </c>
      <c r="K43" s="105" t="str">
        <f t="shared" si="0"/>
        <v>4003/4004</v>
      </c>
      <c r="L43" s="22" t="str">
        <f>VLOOKUP(A43,'Trips&amp;Operators'!$C$1:$G$99999,5,FALSE)</f>
        <v>ROBINSON KADDIBA</v>
      </c>
      <c r="M43" s="6">
        <f t="shared" si="1"/>
        <v>2.4583333331975155E-2</v>
      </c>
      <c r="N43" s="7">
        <f t="shared" si="2"/>
        <v>35.399999998044223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06:24:43-700',mode:absolute,to:'2016-12-31 09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4.3999999999999997E-2</v>
      </c>
      <c r="Z43" s="64">
        <f t="shared" si="9"/>
        <v>23.331600000000002</v>
      </c>
      <c r="AA43" s="64">
        <f t="shared" si="10"/>
        <v>23.287600000000001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1"/>
        <v>0131-31</v>
      </c>
      <c r="AE43" s="87" t="str">
        <f t="shared" si="12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43" s="84" t="str">
        <f t="shared" si="13"/>
        <v>"C:\Program Files (x86)\AstroGrep\AstroGrep.exe" /spath="%USERPROFILE%\AppData\Local\Temp\OnboardLogs" /stypes="app*4003*20161231*"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131-31 --locoid 4003 --swversion DE.1.0.8.0 --startMP 204:440 --initTime 2016-12-31T07:24:43 --startdatetime 2016-12-31T07:30:13 --delay 1 --endMP 204:233316 --enddatetime 2016-12-31T08:05:37 --enforcementcount 0 &gt;&gt;C:\Users\stu\Documents\GitHub\eaglep3-reporting\EC\2016-12-31-refined-times.txt</v>
      </c>
      <c r="AI4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{"issue":{"subject":"","project_id":79,"tracker_id":40,"status_id":1,"priority_id":2,"assigned_to_id":23,"start_date":"2016-12-31","description":"","custom_fields":[{"id":1,"name":"Subdivision","value":"EC"},{"id":4,"name":"Milepost","value":"23.3316"},{"id":17,"name":"Train ID","value":"131-31"},{"id":16,"name":"Locomotive ID","value":"4003"},{"id":130,"name":"Impact","value":""},{"id":150,"name":"Time of Event (Mountain Time)","value":"08:05:37"},{"id":151,"name":"Denver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4003 --day 2016-12-31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529</v>
      </c>
      <c r="B44" s="7">
        <v>4004</v>
      </c>
      <c r="C44" s="22" t="s">
        <v>205</v>
      </c>
      <c r="D44" s="22" t="s">
        <v>700</v>
      </c>
      <c r="E44" s="13">
        <v>42735.346562500003</v>
      </c>
      <c r="F44" s="13">
        <v>42735.351550925923</v>
      </c>
      <c r="G44" s="7">
        <v>1</v>
      </c>
      <c r="H44" s="22" t="s">
        <v>299</v>
      </c>
      <c r="I44" s="13">
        <v>42735.378194444442</v>
      </c>
      <c r="J44" s="7">
        <v>0</v>
      </c>
      <c r="K44" s="105" t="str">
        <f t="shared" si="0"/>
        <v>4003/4004</v>
      </c>
      <c r="L44" s="22" t="str">
        <f>VLOOKUP(A44,'Trips&amp;Operators'!$C$1:$G$99999,5,FALSE)</f>
        <v>ROBINSON KADDIBA</v>
      </c>
      <c r="M44" s="6">
        <f t="shared" si="1"/>
        <v>2.6643518518540077E-2</v>
      </c>
      <c r="N44" s="7">
        <f t="shared" si="2"/>
        <v>38.366666666697711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07:19:03-700',mode:absolute,to:'2016-12-31 10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23.3005</v>
      </c>
      <c r="Z44" s="64">
        <f t="shared" si="9"/>
        <v>1.52E-2</v>
      </c>
      <c r="AA44" s="64">
        <f t="shared" si="10"/>
        <v>23.285299999999999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1"/>
        <v>0132-31</v>
      </c>
      <c r="AE44" s="87" t="str">
        <f t="shared" si="12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44" s="84" t="str">
        <f t="shared" si="13"/>
        <v>"C:\Program Files (x86)\AstroGrep\AstroGrep.exe" /spath="%USERPROFILE%\AppData\Local\Temp\OnboardLogs" /stypes="app*4004*20161231*"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132-31 --locoid 4004 --swversion DE.1.0.8.0 --startMP 204:233005 --initTime 2016-12-31T08:19:03 --startdatetime 2016-12-31T08:26:14 --delay 1 --endMP 204:152 --enddatetime 2016-12-31T09:04:36 --enforcementcount 0 &gt;&gt;C:\Users\stu\Documents\GitHub\eaglep3-reporting\EC\2016-12-31-refined-times.txt</v>
      </c>
      <c r="AI4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{"issue":{"subject":"","project_id":79,"tracker_id":40,"status_id":1,"priority_id":2,"assigned_to_id":23,"start_date":"2016-12-31","description":"","custom_fields":[{"id":1,"name":"Subdivision","value":"EC"},{"id":4,"name":"Milepost","value":"0.0152"},{"id":17,"name":"Train ID","value":"132-31"},{"id":16,"name":"Locomotive ID","value":"4004"},{"id":130,"name":"Impact","value":""},{"id":150,"name":"Time of Event (Mountain Time)","value":"09:04:36"},{"id":151,"name":"Denver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4004 --day 2016-12-31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523</v>
      </c>
      <c r="B45" s="7">
        <v>4016</v>
      </c>
      <c r="C45" s="22" t="s">
        <v>205</v>
      </c>
      <c r="D45" s="22" t="s">
        <v>239</v>
      </c>
      <c r="E45" s="13">
        <v>42735.320393518516</v>
      </c>
      <c r="F45" s="13">
        <v>42735.323182870372</v>
      </c>
      <c r="G45" s="7">
        <v>1</v>
      </c>
      <c r="H45" s="22" t="s">
        <v>701</v>
      </c>
      <c r="I45" s="13">
        <v>42735.349444444444</v>
      </c>
      <c r="J45" s="7">
        <v>0</v>
      </c>
      <c r="K45" s="105" t="str">
        <f t="shared" si="0"/>
        <v>4015/4016</v>
      </c>
      <c r="L45" s="22" t="str">
        <f>VLOOKUP(A45,'Trips&amp;Operators'!$C$1:$G$99999,5,FALSE)</f>
        <v>MAELZER KURT</v>
      </c>
      <c r="M45" s="6">
        <f t="shared" si="1"/>
        <v>2.626157407212304E-2</v>
      </c>
      <c r="N45" s="7">
        <f t="shared" ref="N45:N70" si="21">24*60*SUM($M45:$M45)</f>
        <v>37.816666663857177</v>
      </c>
      <c r="O45" s="7"/>
      <c r="P45" s="7"/>
      <c r="Q45" s="23"/>
      <c r="R45" s="23"/>
      <c r="S45" s="32">
        <f t="shared" ref="S45:S71" si="22">SUM(U45:U45)/IF(AG45="EC",12,1)</f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06:41:22-700',mode:absolute,to:'2016-12-31 09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5" s="49" t="str">
        <f t="shared" ref="W45:W76" si="23">IF(AA45&lt;IF(AG45="EC",23,5.65),"Y","N")</f>
        <v>N</v>
      </c>
      <c r="X45" s="173">
        <f t="shared" ref="X45:X76" si="24">VALUE(LEFT(AD45,4))-VALUE(LEFT(AD44,4))</f>
        <v>1</v>
      </c>
      <c r="Y45" s="64">
        <f t="shared" si="8"/>
        <v>4.58E-2</v>
      </c>
      <c r="Z45" s="64">
        <f t="shared" si="9"/>
        <v>23.3338</v>
      </c>
      <c r="AA45" s="64">
        <f t="shared" si="10"/>
        <v>23.288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1"/>
        <v>0133-31</v>
      </c>
      <c r="AE45" s="87" t="str">
        <f t="shared" si="12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45" s="84" t="str">
        <f t="shared" si="13"/>
        <v>"C:\Program Files (x86)\AstroGrep\AstroGrep.exe" /spath="%USERPROFILE%\AppData\Local\Temp\OnboardLogs" /stypes="app*4016*20161231*"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133-31 --locoid 4016 --swversion DE.1.0.8.0 --startMP 204:458 --initTime 2016-12-31T07:41:22 --startdatetime 2016-12-31T07:45:23 --delay 1 --endMP 204:233338 --enddatetime 2016-12-31T08:23:12 --enforcementcount 0 &gt;&gt;C:\Users\stu\Documents\GitHub\eaglep3-reporting\EC\2016-12-31-refined-times.txt</v>
      </c>
      <c r="AI4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{"issue":{"subject":"","project_id":79,"tracker_id":40,"status_id":1,"priority_id":2,"assigned_to_id":23,"start_date":"2016-12-31","description":"","custom_fields":[{"id":1,"name":"Subdivision","value":"EC"},{"id":4,"name":"Milepost","value":"23.3338"},{"id":17,"name":"Train ID","value":"133-31"},{"id":16,"name":"Locomotive ID","value":"4016"},{"id":130,"name":"Impact","value":""},{"id":150,"name":"Time of Event (Mountain Time)","value":"08:23:12"},{"id":151,"name":"Denver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4016 --day 2016-12-31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531</v>
      </c>
      <c r="B46" s="7">
        <v>4015</v>
      </c>
      <c r="C46" s="22" t="s">
        <v>205</v>
      </c>
      <c r="D46" s="22" t="s">
        <v>702</v>
      </c>
      <c r="E46" s="13">
        <v>42735.354050925926</v>
      </c>
      <c r="F46" s="13">
        <v>42735.362500000003</v>
      </c>
      <c r="G46" s="7">
        <v>0</v>
      </c>
      <c r="H46" s="22" t="s">
        <v>192</v>
      </c>
      <c r="I46" s="13">
        <v>42735.388391203705</v>
      </c>
      <c r="J46" s="7">
        <v>0</v>
      </c>
      <c r="K46" s="105" t="str">
        <f t="shared" si="0"/>
        <v>4015/4016</v>
      </c>
      <c r="L46" s="22" t="str">
        <f>VLOOKUP(A46,'Trips&amp;Operators'!$C$1:$G$99999,5,FALSE)</f>
        <v>MAELZER KURT</v>
      </c>
      <c r="M46" s="6">
        <f t="shared" si="1"/>
        <v>2.5891203702485655E-2</v>
      </c>
      <c r="N46" s="7">
        <f t="shared" si="21"/>
        <v>37.283333331579342</v>
      </c>
      <c r="O46" s="7"/>
      <c r="P46" s="7"/>
      <c r="Q46" s="23"/>
      <c r="R46" s="23"/>
      <c r="S46" s="32">
        <f t="shared" si="22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07:29:50-700',mode:absolute,to:'2016-12-31 10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6" s="49" t="str">
        <f t="shared" si="23"/>
        <v>N</v>
      </c>
      <c r="X46" s="173">
        <f t="shared" si="24"/>
        <v>1</v>
      </c>
      <c r="Y46" s="64">
        <f t="shared" si="8"/>
        <v>23.302299999999999</v>
      </c>
      <c r="Z46" s="64">
        <f t="shared" si="9"/>
        <v>1.43E-2</v>
      </c>
      <c r="AA46" s="64">
        <f t="shared" si="10"/>
        <v>23.288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1"/>
        <v>0134-31</v>
      </c>
      <c r="AE46" s="87" t="str">
        <f t="shared" si="12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46" s="84" t="str">
        <f t="shared" si="13"/>
        <v>"C:\Program Files (x86)\AstroGrep\AstroGrep.exe" /spath="%USERPROFILE%\AppData\Local\Temp\OnboardLogs" /stypes="app*4015*20161231*"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134-31 --locoid 4015 --swversion DE.1.0.8.0 --startMP 204:233023 --initTime 2016-12-31T08:29:50 --startdatetime 2016-12-31T08:42:00 --delay 0 --endMP 204:143 --enddatetime 2016-12-31T09:19:17 --enforcementcount 0 &gt;&gt;C:\Users\stu\Documents\GitHub\eaglep3-reporting\EC\2016-12-31-refined-times.txt</v>
      </c>
      <c r="AI4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{"issue":{"subject":"","project_id":79,"tracker_id":40,"status_id":1,"priority_id":2,"assigned_to_id":23,"start_date":"2016-12-31","description":"","custom_fields":[{"id":1,"name":"Subdivision","value":"EC"},{"id":4,"name":"Milepost","value":"0.0143"},{"id":17,"name":"Train ID","value":"134-31"},{"id":16,"name":"Locomotive ID","value":"4015"},{"id":130,"name":"Impact","value":""},{"id":150,"name":"Time of Event (Mountain Time)","value":"09:19:17"},{"id":151,"name":"Denver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4015 --day 2016-12-31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525</v>
      </c>
      <c r="B47" s="7">
        <v>4046</v>
      </c>
      <c r="C47" s="22" t="s">
        <v>205</v>
      </c>
      <c r="D47" s="22" t="s">
        <v>703</v>
      </c>
      <c r="E47" s="13">
        <v>42735.329143518517</v>
      </c>
      <c r="F47" s="13">
        <v>42735.333553240744</v>
      </c>
      <c r="G47" s="7">
        <v>1</v>
      </c>
      <c r="H47" s="22" t="s">
        <v>704</v>
      </c>
      <c r="I47" s="13">
        <v>42735.358576388891</v>
      </c>
      <c r="J47" s="7">
        <v>0</v>
      </c>
      <c r="K47" s="105" t="str">
        <f t="shared" si="0"/>
        <v>4045/4046</v>
      </c>
      <c r="L47" s="22" t="str">
        <f>VLOOKUP(A47,'Trips&amp;Operators'!$C$1:$G$99999,5,FALSE)</f>
        <v>MAHAN DUANE</v>
      </c>
      <c r="M47" s="6">
        <f t="shared" si="1"/>
        <v>2.5023148147738539E-2</v>
      </c>
      <c r="N47" s="7">
        <f t="shared" si="21"/>
        <v>36.033333332743496</v>
      </c>
      <c r="O47" s="7"/>
      <c r="P47" s="7"/>
      <c r="Q47" s="23"/>
      <c r="R47" s="23"/>
      <c r="S47" s="32">
        <f t="shared" si="22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06:53:58-700',mode:absolute,to:'2016-12-31 09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49" t="str">
        <f t="shared" si="23"/>
        <v>N</v>
      </c>
      <c r="X47" s="173">
        <f t="shared" si="24"/>
        <v>1</v>
      </c>
      <c r="Y47" s="64">
        <f t="shared" si="8"/>
        <v>4.8000000000000001E-2</v>
      </c>
      <c r="Z47" s="64">
        <f t="shared" si="9"/>
        <v>23.330300000000001</v>
      </c>
      <c r="AA47" s="64">
        <f t="shared" si="10"/>
        <v>23.282300000000003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1"/>
        <v>0135-31</v>
      </c>
      <c r="AE47" s="87" t="str">
        <f t="shared" si="12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47" s="84" t="str">
        <f t="shared" si="13"/>
        <v>"C:\Program Files (x86)\AstroGrep\AstroGrep.exe" /spath="%USERPROFILE%\AppData\Local\Temp\OnboardLogs" /stypes="app*4046*20161231*"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135-31 --locoid 4046 --swversion DE.1.0.8.0 --startMP 204:480 --initTime 2016-12-31T07:53:58 --startdatetime 2016-12-31T08:00:19 --delay 1 --endMP 204:233303 --enddatetime 2016-12-31T08:36:21 --enforcementcount 0 &gt;&gt;C:\Users\stu\Documents\GitHub\eaglep3-reporting\EC\2016-12-31-refined-times.txt</v>
      </c>
      <c r="AI4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{"issue":{"subject":"","project_id":79,"tracker_id":40,"status_id":1,"priority_id":2,"assigned_to_id":23,"start_date":"2016-12-31","description":"","custom_fields":[{"id":1,"name":"Subdivision","value":"EC"},{"id":4,"name":"Milepost","value":"23.3303"},{"id":17,"name":"Train ID","value":"135-31"},{"id":16,"name":"Locomotive ID","value":"4046"},{"id":130,"name":"Impact","value":""},{"id":150,"name":"Time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4046 --day 2016-12-31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534</v>
      </c>
      <c r="B48" s="7">
        <v>4045</v>
      </c>
      <c r="C48" s="22" t="s">
        <v>205</v>
      </c>
      <c r="D48" s="22" t="s">
        <v>338</v>
      </c>
      <c r="E48" s="13">
        <v>42735.366087962961</v>
      </c>
      <c r="F48" s="13">
        <v>42735.372800925928</v>
      </c>
      <c r="G48" s="7">
        <v>1</v>
      </c>
      <c r="H48" s="22" t="s">
        <v>685</v>
      </c>
      <c r="I48" s="13">
        <v>42735.400254629632</v>
      </c>
      <c r="J48" s="7">
        <v>0</v>
      </c>
      <c r="K48" s="105" t="str">
        <f t="shared" si="0"/>
        <v>4045/4046</v>
      </c>
      <c r="L48" s="22" t="str">
        <f>VLOOKUP(A48,'Trips&amp;Operators'!$C$1:$G$99999,5,FALSE)</f>
        <v>MAHAN DUANE</v>
      </c>
      <c r="M48" s="6">
        <f t="shared" si="1"/>
        <v>2.7453703703940846E-2</v>
      </c>
      <c r="N48" s="7">
        <f t="shared" si="21"/>
        <v>39.533333333674818</v>
      </c>
      <c r="O48" s="7"/>
      <c r="P48" s="7"/>
      <c r="Q48" s="23"/>
      <c r="R48" s="23"/>
      <c r="S48" s="32">
        <f t="shared" si="22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07:47:10-700',mode:absolute,to:'2016-12-31 10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49" t="str">
        <f t="shared" si="23"/>
        <v>N</v>
      </c>
      <c r="X48" s="173">
        <f t="shared" si="24"/>
        <v>1</v>
      </c>
      <c r="Y48" s="64">
        <f t="shared" si="8"/>
        <v>23.297499999999999</v>
      </c>
      <c r="Z48" s="64">
        <f t="shared" si="9"/>
        <v>1.32E-2</v>
      </c>
      <c r="AA48" s="64">
        <f t="shared" si="10"/>
        <v>23.284299999999998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1"/>
        <v>0136-31</v>
      </c>
      <c r="AE48" s="87" t="str">
        <f t="shared" si="12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48" s="84" t="str">
        <f t="shared" si="13"/>
        <v>"C:\Program Files (x86)\AstroGrep\AstroGrep.exe" /spath="%USERPROFILE%\AppData\Local\Temp\OnboardLogs" /stypes="app*4045*20161231*"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136-31 --locoid 4045 --swversion DE.1.0.8.0 --startMP 204:232975 --initTime 2016-12-31T08:47:10 --startdatetime 2016-12-31T08:56:50 --delay 1 --endMP 204:132 --enddatetime 2016-12-31T09:36:22 --enforcementcount 0 &gt;&gt;C:\Users\stu\Documents\GitHub\eaglep3-reporting\EC\2016-12-31-refined-times.txt</v>
      </c>
      <c r="AI4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{"issue":{"subject":"","project_id":79,"tracker_id":40,"status_id":1,"priority_id":2,"assigned_to_id":23,"start_date":"2016-12-31","description":"","custom_fields":[{"id":1,"name":"Subdivision","value":"EC"},{"id":4,"name":"Milepost","value":"0.0132"},{"id":17,"name":"Train ID","value":"136-31"},{"id":16,"name":"Locomotive ID","value":"4045"},{"id":130,"name":"Impact","value":""},{"id":150,"name":"Time of Event (Mountain Time)","value":"09:36:22"},{"id":151,"name":"Denver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4045 --day 2016-12-31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528</v>
      </c>
      <c r="B49" s="7">
        <v>4025</v>
      </c>
      <c r="C49" s="22" t="s">
        <v>205</v>
      </c>
      <c r="D49" s="22" t="s">
        <v>228</v>
      </c>
      <c r="E49" s="13">
        <v>42735.339131944442</v>
      </c>
      <c r="F49" s="13">
        <v>42735.343969907408</v>
      </c>
      <c r="G49" s="7">
        <v>1</v>
      </c>
      <c r="H49" s="22" t="s">
        <v>272</v>
      </c>
      <c r="I49" s="13">
        <v>42735.36996527778</v>
      </c>
      <c r="J49" s="7">
        <v>0</v>
      </c>
      <c r="K49" s="105" t="str">
        <f t="shared" si="0"/>
        <v>4025/4026</v>
      </c>
      <c r="L49" s="22" t="str">
        <f>VLOOKUP(A49,'Trips&amp;Operators'!$C$1:$G$99999,5,FALSE)</f>
        <v>OUN ZACK</v>
      </c>
      <c r="M49" s="6">
        <f t="shared" si="1"/>
        <v>2.5995370371674653E-2</v>
      </c>
      <c r="N49" s="7">
        <f t="shared" si="21"/>
        <v>37.433333335211501</v>
      </c>
      <c r="O49" s="7"/>
      <c r="P49" s="7"/>
      <c r="Q49" s="23"/>
      <c r="R49" s="23"/>
      <c r="S49" s="32">
        <f t="shared" si="22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07:08:21-700',mode:absolute,to:'2016-12-31 09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9" s="49" t="str">
        <f t="shared" si="23"/>
        <v>N</v>
      </c>
      <c r="X49" s="173">
        <f t="shared" si="24"/>
        <v>1</v>
      </c>
      <c r="Y49" s="64">
        <f t="shared" si="8"/>
        <v>4.5499999999999999E-2</v>
      </c>
      <c r="Z49" s="64">
        <f t="shared" si="9"/>
        <v>23.3308</v>
      </c>
      <c r="AA49" s="64">
        <f t="shared" si="10"/>
        <v>23.285299999999999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1"/>
        <v>0137-31</v>
      </c>
      <c r="AE49" s="87" t="str">
        <f t="shared" si="12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49" s="84" t="str">
        <f t="shared" si="13"/>
        <v>"C:\Program Files (x86)\AstroGrep\AstroGrep.exe" /spath="%USERPROFILE%\AppData\Local\Temp\OnboardLogs" /stypes="app*4025*20161231*"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137-31 --locoid 4025 --swversion DE.1.0.8.0 --startMP 204:455 --initTime 2016-12-31T08:08:21 --startdatetime 2016-12-31T08:15:19 --delay 1 --endMP 204:233308 --enddatetime 2016-12-31T08:52:45 --enforcementcount 0 &gt;&gt;C:\Users\stu\Documents\GitHub\eaglep3-reporting\EC\2016-12-31-refined-times.txt</v>
      </c>
      <c r="AI4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{"issue":{"subject":"","project_id":79,"tracker_id":40,"status_id":1,"priority_id":2,"assigned_to_id":23,"start_date":"2016-12-31","description":"","custom_fields":[{"id":1,"name":"Subdivision","value":"EC"},{"id":4,"name":"Milepost","value":"23.3308"},{"id":17,"name":"Train ID","value":"137-31"},{"id":16,"name":"Locomotive ID","value":"4025"},{"id":130,"name":"Impact","value":""},{"id":150,"name":"Time of Event (Mountain Time)","value":"08:52:45"},{"id":151,"name":"Denver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4025 --day 2016-12-31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537</v>
      </c>
      <c r="B50" s="7">
        <v>4026</v>
      </c>
      <c r="C50" s="22" t="s">
        <v>205</v>
      </c>
      <c r="D50" s="22" t="s">
        <v>367</v>
      </c>
      <c r="E50" s="13">
        <v>42735.37909722222</v>
      </c>
      <c r="F50" s="13">
        <v>42735.382916666669</v>
      </c>
      <c r="G50" s="7">
        <v>1</v>
      </c>
      <c r="H50" s="22" t="s">
        <v>233</v>
      </c>
      <c r="I50" s="13">
        <v>42735.40960648148</v>
      </c>
      <c r="J50" s="7">
        <v>0</v>
      </c>
      <c r="K50" s="105" t="str">
        <f t="shared" si="0"/>
        <v>4025/4026</v>
      </c>
      <c r="L50" s="22" t="str">
        <f>VLOOKUP(A50,'Trips&amp;Operators'!$C$1:$G$99999,5,FALSE)</f>
        <v>OUN ZACK</v>
      </c>
      <c r="M50" s="6">
        <f t="shared" si="1"/>
        <v>2.6689814811106771E-2</v>
      </c>
      <c r="N50" s="7">
        <f t="shared" si="21"/>
        <v>38.433333327993751</v>
      </c>
      <c r="O50" s="7"/>
      <c r="P50" s="7"/>
      <c r="Q50" s="23"/>
      <c r="R50" s="23"/>
      <c r="S50" s="32">
        <f t="shared" si="22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08:05:54-700',mode:absolute,to:'2016-12-31 10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0" s="49" t="str">
        <f t="shared" si="23"/>
        <v>N</v>
      </c>
      <c r="X50" s="173">
        <f t="shared" si="24"/>
        <v>1</v>
      </c>
      <c r="Y50" s="64">
        <f t="shared" si="8"/>
        <v>23.3004</v>
      </c>
      <c r="Z50" s="64">
        <f t="shared" si="9"/>
        <v>1.4500000000000001E-2</v>
      </c>
      <c r="AA50" s="64">
        <f t="shared" si="10"/>
        <v>23.285899999999998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1"/>
        <v>0138-31</v>
      </c>
      <c r="AE50" s="87" t="str">
        <f t="shared" si="12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50" s="84" t="str">
        <f t="shared" si="13"/>
        <v>"C:\Program Files (x86)\AstroGrep\AstroGrep.exe" /spath="%USERPROFILE%\AppData\Local\Temp\OnboardLogs" /stypes="app*4026*20161231*"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138-31 --locoid 4026 --swversion DE.1.0.8.0 --startMP 204:233004 --initTime 2016-12-31T09:05:54 --startdatetime 2016-12-31T09:11:24 --delay 1 --endMP 204:145 --enddatetime 2016-12-31T09:49:50 --enforcementcount 0 &gt;&gt;C:\Users\stu\Documents\GitHub\eaglep3-reporting\EC\2016-12-31-refined-times.txt</v>
      </c>
      <c r="AI5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ID","value":"138-31"},{"id":16,"name":"Locomotive ID","value":"4026"},{"id":130,"name":"Impact","value":""},{"id":150,"name":"Time of Event (Mountain Time)","value":"09:49:50"},{"id":151,"name":"Denver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4026 --day 2016-12-31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530</v>
      </c>
      <c r="B51" s="7">
        <v>4018</v>
      </c>
      <c r="C51" s="22" t="s">
        <v>205</v>
      </c>
      <c r="D51" s="22" t="s">
        <v>705</v>
      </c>
      <c r="E51" s="13">
        <v>42735.350578703707</v>
      </c>
      <c r="F51" s="13">
        <v>42735.354375000003</v>
      </c>
      <c r="G51" s="7">
        <v>1</v>
      </c>
      <c r="H51" s="22" t="s">
        <v>412</v>
      </c>
      <c r="I51" s="13">
        <v>42735.380208333336</v>
      </c>
      <c r="J51" s="7">
        <v>0</v>
      </c>
      <c r="K51" s="105" t="str">
        <f t="shared" si="0"/>
        <v>4017/4018</v>
      </c>
      <c r="L51" s="22" t="str">
        <f>VLOOKUP(A51,'Trips&amp;Operators'!$C$1:$G$99999,5,FALSE)</f>
        <v>ARVIDSON DANIEL</v>
      </c>
      <c r="M51" s="6">
        <f t="shared" si="1"/>
        <v>2.5833333333139308E-2</v>
      </c>
      <c r="N51" s="7">
        <f t="shared" si="21"/>
        <v>37.199999999720603</v>
      </c>
      <c r="O51" s="7"/>
      <c r="P51" s="7"/>
      <c r="Q51" s="23"/>
      <c r="R51" s="23"/>
      <c r="S51" s="32">
        <f t="shared" si="22"/>
        <v>1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07:24:50-700',mode:absolute,to:'2016-12-31 10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49" t="str">
        <f t="shared" si="23"/>
        <v>N</v>
      </c>
      <c r="X51" s="173">
        <f t="shared" si="24"/>
        <v>1</v>
      </c>
      <c r="Y51" s="64">
        <f t="shared" si="8"/>
        <v>4.1799999999999997E-2</v>
      </c>
      <c r="Z51" s="64">
        <f t="shared" si="9"/>
        <v>23.330500000000001</v>
      </c>
      <c r="AA51" s="64">
        <f t="shared" si="10"/>
        <v>23.288700000000002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 t="shared" si="11"/>
        <v>0139-31</v>
      </c>
      <c r="AE51" s="87" t="str">
        <f t="shared" si="12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51" s="84" t="str">
        <f t="shared" si="13"/>
        <v>"C:\Program Files (x86)\AstroGrep\AstroGrep.exe" /spath="%USERPROFILE%\AppData\Local\Temp\OnboardLogs" /stypes="app*4018*20161231*"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139-31 --locoid 4018 --swversion DE.1.0.8.0 --startMP 204:418 --initTime 2016-12-31T08:24:50 --startdatetime 2016-12-31T08:30:18 --delay 1 --endMP 204:233305 --enddatetime 2016-12-31T09:07:30 --enforcementcount 0 &gt;&gt;C:\Users\stu\Documents\GitHub\eaglep3-reporting\EC\2016-12-31-refined-times.txt</v>
      </c>
      <c r="AI51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{"issue":{"subject":"","project_id":79,"tracker_id":40,"status_id":1,"priority_id":2,"assigned_to_id":23,"start_date":"2016-12-31","description":"","custom_fields":[{"id":1,"name":"Subdivision","value":"EC"},{"id":4,"name":"Milepost","value":"23.3305"},{"id":17,"name":"Train ID","value":"139-31"},{"id":16,"name":"Locomotive ID","value":"4018"},{"id":130,"name":"Impact","value":""},{"id":150,"name":"Time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4018 --day 2016-12-31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539</v>
      </c>
      <c r="B52" s="7">
        <v>4017</v>
      </c>
      <c r="C52" s="22" t="s">
        <v>205</v>
      </c>
      <c r="D52" s="22" t="s">
        <v>274</v>
      </c>
      <c r="E52" s="13">
        <v>42735.388472222221</v>
      </c>
      <c r="F52" s="13">
        <v>42735.393310185187</v>
      </c>
      <c r="G52" s="7">
        <v>1</v>
      </c>
      <c r="H52" s="22" t="s">
        <v>340</v>
      </c>
      <c r="I52" s="13">
        <v>42735.421643518515</v>
      </c>
      <c r="J52" s="7">
        <v>0</v>
      </c>
      <c r="K52" s="105" t="str">
        <f t="shared" si="0"/>
        <v>4017/4018</v>
      </c>
      <c r="L52" s="22" t="str">
        <f>VLOOKUP(A52,'Trips&amp;Operators'!$C$1:$G$99999,5,FALSE)</f>
        <v>ARVIDSON DANIEL</v>
      </c>
      <c r="M52" s="6">
        <f t="shared" si="1"/>
        <v>2.8333333328191657E-2</v>
      </c>
      <c r="N52" s="7">
        <f t="shared" si="21"/>
        <v>40.799999992595986</v>
      </c>
      <c r="O52" s="7"/>
      <c r="P52" s="7"/>
      <c r="Q52" s="23"/>
      <c r="R52" s="23"/>
      <c r="S52" s="32">
        <f t="shared" si="22"/>
        <v>1</v>
      </c>
      <c r="T52" s="47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08:19:24-700',mode:absolute,to:'2016-12-31 11:07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49" t="str">
        <f t="shared" si="23"/>
        <v>N</v>
      </c>
      <c r="X52" s="173">
        <f t="shared" si="24"/>
        <v>1</v>
      </c>
      <c r="Y52" s="64">
        <f t="shared" si="8"/>
        <v>23.297799999999999</v>
      </c>
      <c r="Z52" s="64">
        <f t="shared" si="9"/>
        <v>1.6899999999999998E-2</v>
      </c>
      <c r="AA52" s="64">
        <f t="shared" si="10"/>
        <v>23.280899999999999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1"/>
        <v>0140-31</v>
      </c>
      <c r="AE52" s="87" t="str">
        <f t="shared" si="12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52" s="84" t="str">
        <f t="shared" si="13"/>
        <v>"C:\Program Files (x86)\AstroGrep\AstroGrep.exe" /spath="%USERPROFILE%\AppData\Local\Temp\OnboardLogs" /stypes="app*4017*20161231*"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140-31 --locoid 4017 --swversion DE.1.0.8.0 --startMP 204:232978 --initTime 2016-12-31T09:19:24 --startdatetime 2016-12-31T09:26:22 --delay 1 --endMP 204:169 --enddatetime 2016-12-31T10:07:10 --enforcementcount 0 &gt;&gt;C:\Users\stu\Documents\GitHub\eaglep3-reporting\EC\2016-12-31-refined-times.txt</v>
      </c>
      <c r="AI5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{"issue":{"subject":"","project_id":79,"tracker_id":40,"status_id":1,"priority_id":2,"assigned_to_id":23,"start_date":"2016-12-31","description":"","custom_fields":[{"id":1,"name":"Subdivision","value":"EC"},{"id":4,"name":"Milepost","value":"0.0169"},{"id":17,"name":"Train ID","value":"140-31"},{"id":16,"name":"Locomotive ID","value":"4017"},{"id":130,"name":"Impact","value":""},{"id":150,"name":"Time of Event (Mountain Time)","value":"10:07:10"},{"id":151,"name":"Denver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4017 --day 2016-12-31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4" t="s">
        <v>532</v>
      </c>
      <c r="B53" s="7">
        <v>4011</v>
      </c>
      <c r="C53" s="22" t="s">
        <v>205</v>
      </c>
      <c r="D53" s="22" t="s">
        <v>416</v>
      </c>
      <c r="E53" s="13">
        <v>42735.359305555554</v>
      </c>
      <c r="F53" s="13">
        <v>42735.36482638889</v>
      </c>
      <c r="G53" s="7">
        <v>1</v>
      </c>
      <c r="H53" s="22" t="s">
        <v>356</v>
      </c>
      <c r="I53" s="13">
        <v>42735.3903125</v>
      </c>
      <c r="J53" s="7">
        <v>0</v>
      </c>
      <c r="K53" s="105" t="str">
        <f t="shared" si="0"/>
        <v>4011/4012</v>
      </c>
      <c r="L53" s="22" t="str">
        <f>VLOOKUP(A53,'Trips&amp;Operators'!$C$1:$G$99999,5,FALSE)</f>
        <v>BEAM ROSS</v>
      </c>
      <c r="M53" s="6">
        <f t="shared" si="1"/>
        <v>2.548611110978527E-2</v>
      </c>
      <c r="N53" s="7">
        <f t="shared" si="21"/>
        <v>36.699999998090789</v>
      </c>
      <c r="O53" s="7"/>
      <c r="P53" s="7"/>
      <c r="Q53" s="23"/>
      <c r="R53" s="23"/>
      <c r="S53" s="32">
        <f t="shared" si="22"/>
        <v>1</v>
      </c>
      <c r="T53" s="47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07:37:24-700',mode:absolute,to:'2016-12-31 10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49" t="str">
        <f t="shared" si="23"/>
        <v>N</v>
      </c>
      <c r="X53" s="173">
        <f t="shared" si="24"/>
        <v>1</v>
      </c>
      <c r="Y53" s="64">
        <f t="shared" si="8"/>
        <v>4.8599999999999997E-2</v>
      </c>
      <c r="Z53" s="64">
        <f t="shared" si="9"/>
        <v>23.331</v>
      </c>
      <c r="AA53" s="64">
        <f t="shared" si="10"/>
        <v>23.282399999999999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11"/>
        <v>0141-31</v>
      </c>
      <c r="AE53" s="87" t="str">
        <f t="shared" si="12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53" s="84" t="str">
        <f t="shared" si="13"/>
        <v>"C:\Program Files (x86)\AstroGrep\AstroGrep.exe" /spath="%USERPROFILE%\AppData\Local\Temp\OnboardLogs" /stypes="app*4011*20161231*"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141-31 --locoid 4011 --swversion DE.1.0.8.0 --startMP 204:486 --initTime 2016-12-31T08:37:24 --startdatetime 2016-12-31T08:45:21 --delay 1 --endMP 204:233310 --enddatetime 2016-12-31T09:22:03 --enforcementcount 0 &gt;&gt;C:\Users\stu\Documents\GitHub\eaglep3-reporting\EC\2016-12-31-refined-times.txt</v>
      </c>
      <c r="AI5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{"issue":{"subject":"","project_id":79,"tracker_id":40,"status_id":1,"priority_id":2,"assigned_to_id":23,"start_date":"2016-12-31","description":"","custom_fields":[{"id":1,"name":"Subdivision","value":"EC"},{"id":4,"name":"Milepost","value":"23.331"},{"id":17,"name":"Train ID","value":"141-31"},{"id":16,"name":"Locomotive ID","value":"4011"},{"id":130,"name":"Impact","value":""},{"id":150,"name":"Time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4011 --day 2016-12-31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541</v>
      </c>
      <c r="B54" s="7">
        <v>4012</v>
      </c>
      <c r="C54" s="22" t="s">
        <v>205</v>
      </c>
      <c r="D54" s="22" t="s">
        <v>307</v>
      </c>
      <c r="E54" s="13">
        <v>42735.398981481485</v>
      </c>
      <c r="F54" s="13">
        <v>42735.403645833336</v>
      </c>
      <c r="G54" s="7">
        <v>1</v>
      </c>
      <c r="H54" s="22" t="s">
        <v>192</v>
      </c>
      <c r="I54" s="13">
        <v>42735.429710648146</v>
      </c>
      <c r="J54" s="7">
        <v>0</v>
      </c>
      <c r="K54" s="105" t="str">
        <f t="shared" si="0"/>
        <v>4011/4012</v>
      </c>
      <c r="L54" s="22" t="str">
        <f>VLOOKUP(A54,'Trips&amp;Operators'!$C$1:$G$99999,5,FALSE)</f>
        <v>BEAM ROSS</v>
      </c>
      <c r="M54" s="6">
        <f t="shared" si="1"/>
        <v>2.6064814810524695E-2</v>
      </c>
      <c r="N54" s="7">
        <f t="shared" si="21"/>
        <v>37.53333332715556</v>
      </c>
      <c r="O54" s="7"/>
      <c r="P54" s="7"/>
      <c r="Q54" s="23"/>
      <c r="R54" s="23"/>
      <c r="S54" s="32">
        <f t="shared" si="22"/>
        <v>1</v>
      </c>
      <c r="T54" s="47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08:34:32-700',mode:absolute,to:'2016-12-31 11:18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49" t="str">
        <f t="shared" si="23"/>
        <v>N</v>
      </c>
      <c r="X54" s="173">
        <f t="shared" si="24"/>
        <v>1</v>
      </c>
      <c r="Y54" s="64">
        <f t="shared" si="8"/>
        <v>23.299800000000001</v>
      </c>
      <c r="Z54" s="64">
        <f t="shared" si="9"/>
        <v>1.43E-2</v>
      </c>
      <c r="AA54" s="64">
        <f t="shared" si="10"/>
        <v>23.285500000000003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1"/>
        <v>0142-31</v>
      </c>
      <c r="AE54" s="87" t="str">
        <f t="shared" si="12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54" s="84" t="str">
        <f t="shared" si="13"/>
        <v>"C:\Program Files (x86)\AstroGrep\AstroGrep.exe" /spath="%USERPROFILE%\AppData\Local\Temp\OnboardLogs" /stypes="app*4012*20161231*"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142-31 --locoid 4012 --swversion DE.1.0.8.0 --startMP 204:232998 --initTime 2016-12-31T09:34:32 --startdatetime 2016-12-31T09:41:15 --delay 1 --endMP 204:143 --enddatetime 2016-12-31T10:18:47 --enforcementcount 0 &gt;&gt;C:\Users\stu\Documents\GitHub\eaglep3-reporting\EC\2016-12-31-refined-times.txt</v>
      </c>
      <c r="AI5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{"issue":{"subject":"","project_id":79,"tracker_id":40,"status_id":1,"priority_id":2,"assigned_to_id":23,"start_date":"2016-12-31","description":"","custom_fields":[{"id":1,"name":"Subdivision","value":"EC"},{"id":4,"name":"Milepost","value":"0.0143"},{"id":17,"name":"Train ID","value":"142-31"},{"id":16,"name":"Locomotive ID","value":"4012"},{"id":130,"name":"Impact","value":""},{"id":150,"name":"Time of Event (Mountain Time)","value":"10:18:47"},{"id":151,"name":"Denver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4012 --day 2016-12-31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535</v>
      </c>
      <c r="B55" s="7">
        <v>4044</v>
      </c>
      <c r="C55" s="22" t="s">
        <v>205</v>
      </c>
      <c r="D55" s="22" t="s">
        <v>361</v>
      </c>
      <c r="E55" s="13">
        <v>42735.371388888889</v>
      </c>
      <c r="F55" s="13">
        <v>42735.375196759262</v>
      </c>
      <c r="G55" s="7">
        <v>5</v>
      </c>
      <c r="H55" s="22" t="s">
        <v>267</v>
      </c>
      <c r="I55" s="13">
        <v>42735.399675925924</v>
      </c>
      <c r="J55" s="7">
        <v>0</v>
      </c>
      <c r="K55" s="105" t="str">
        <f t="shared" si="0"/>
        <v>4043/4044</v>
      </c>
      <c r="L55" s="22" t="str">
        <f>VLOOKUP(A55,'Trips&amp;Operators'!$C$1:$G$99999,5,FALSE)</f>
        <v>GEBRETEKLE DAGNEW</v>
      </c>
      <c r="M55" s="6">
        <f t="shared" si="1"/>
        <v>2.4479166662786156E-2</v>
      </c>
      <c r="N55" s="7">
        <f t="shared" si="21"/>
        <v>35.249999994412065</v>
      </c>
      <c r="O55" s="7"/>
      <c r="P55" s="7"/>
      <c r="Q55" s="23"/>
      <c r="R55" s="23"/>
      <c r="S55" s="32">
        <f t="shared" si="22"/>
        <v>1</v>
      </c>
      <c r="T55" s="47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07:54:48-700',mode:absolute,to:'2016-12-31 10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5" s="49" t="str">
        <f t="shared" si="23"/>
        <v>N</v>
      </c>
      <c r="X55" s="173">
        <f t="shared" si="24"/>
        <v>1</v>
      </c>
      <c r="Y55" s="64">
        <f t="shared" si="8"/>
        <v>4.7800000000000002E-2</v>
      </c>
      <c r="Z55" s="64">
        <f t="shared" si="9"/>
        <v>23.329899999999999</v>
      </c>
      <c r="AA55" s="64">
        <f t="shared" si="10"/>
        <v>23.2821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1"/>
        <v>0143-31</v>
      </c>
      <c r="AE55" s="87" t="str">
        <f t="shared" si="12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55" s="84" t="str">
        <f t="shared" si="13"/>
        <v>"C:\Program Files (x86)\AstroGrep\AstroGrep.exe" /spath="%USERPROFILE%\AppData\Local\Temp\OnboardLogs" /stypes="app*4044*20161231*"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143-31 --locoid 4044 --swversion DE.1.0.8.0 --startMP 204:478 --initTime 2016-12-31T08:54:48 --startdatetime 2016-12-31T09:00:17 --delay 5 --endMP 204:233299 --enddatetime 2016-12-31T09:35:32 --enforcementcount 0 &gt;&gt;C:\Users\stu\Documents\GitHub\eaglep3-reporting\EC\2016-12-31-refined-times.txt</v>
      </c>
      <c r="AI5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{"issue":{"subject":"","project_id":79,"tracker_id":40,"status_id":1,"priority_id":2,"assigned_to_id":23,"start_date":"2016-12-31","description":"","custom_fields":[{"id":1,"name":"Subdivision","value":"EC"},{"id":4,"name":"Milepost","value":"23.3299"},{"id":17,"name":"Train ID","value":"143-31"},{"id":16,"name":"Locomotive ID","value":"4044"},{"id":130,"name":"Impact","value":""},{"id":150,"name":"Time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4044 --day 2016-12-31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544</v>
      </c>
      <c r="B56" s="7">
        <v>4043</v>
      </c>
      <c r="C56" s="22" t="s">
        <v>205</v>
      </c>
      <c r="D56" s="22" t="s">
        <v>300</v>
      </c>
      <c r="E56" s="13">
        <v>42735.406527777777</v>
      </c>
      <c r="F56" s="13">
        <v>42735.414236111108</v>
      </c>
      <c r="G56" s="7">
        <v>1</v>
      </c>
      <c r="H56" s="22" t="s">
        <v>233</v>
      </c>
      <c r="I56" s="13">
        <v>42735.440162037034</v>
      </c>
      <c r="J56" s="7">
        <v>0</v>
      </c>
      <c r="K56" s="105" t="str">
        <f t="shared" si="0"/>
        <v>4043/4044</v>
      </c>
      <c r="L56" s="22" t="str">
        <f>VLOOKUP(A56,'Trips&amp;Operators'!$C$1:$G$99999,5,FALSE)</f>
        <v>GEBRETEKLE DAGNEW</v>
      </c>
      <c r="M56" s="6">
        <f t="shared" si="1"/>
        <v>2.5925925925548654E-2</v>
      </c>
      <c r="N56" s="7">
        <f t="shared" si="21"/>
        <v>37.333333332790062</v>
      </c>
      <c r="O56" s="7"/>
      <c r="P56" s="7"/>
      <c r="Q56" s="23"/>
      <c r="R56" s="23"/>
      <c r="S56" s="32">
        <f t="shared" si="22"/>
        <v>1</v>
      </c>
      <c r="T56" s="47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08:45:24-700',mode:absolute,to:'2016-12-31 11:33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6" s="49" t="str">
        <f t="shared" si="23"/>
        <v>N</v>
      </c>
      <c r="X56" s="173">
        <f t="shared" si="24"/>
        <v>1</v>
      </c>
      <c r="Y56" s="64">
        <f t="shared" si="8"/>
        <v>23.297999999999998</v>
      </c>
      <c r="Z56" s="64">
        <f t="shared" si="9"/>
        <v>1.4500000000000001E-2</v>
      </c>
      <c r="AA56" s="64">
        <f t="shared" si="10"/>
        <v>23.283499999999997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1"/>
        <v>0144-31</v>
      </c>
      <c r="AE56" s="87" t="str">
        <f t="shared" si="12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56" s="84" t="str">
        <f t="shared" si="13"/>
        <v>"C:\Program Files (x86)\AstroGrep\AstroGrep.exe" /spath="%USERPROFILE%\AppData\Local\Temp\OnboardLogs" /stypes="app*4043*20161231*"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144-31 --locoid 4043 --swversion DE.1.0.8.0 --startMP 204:232980 --initTime 2016-12-31T09:45:24 --startdatetime 2016-12-31T09:56:30 --delay 1 --endMP 204:145 --enddatetime 2016-12-31T10:33:50 --enforcementcount 0 &gt;&gt;C:\Users\stu\Documents\GitHub\eaglep3-reporting\EC\2016-12-31-refined-times.txt</v>
      </c>
      <c r="AI5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ID","value":"144-31"},{"id":16,"name":"Locomotive ID","value":"4043"},{"id":130,"name":"Impact","value":""},{"id":150,"name":"Time of Event (Mountain Time)","value":"10:33:50"},{"id":151,"name":"Denver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4043 --day 2016-12-31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538</v>
      </c>
      <c r="B57" s="7">
        <v>4003</v>
      </c>
      <c r="C57" s="22" t="s">
        <v>205</v>
      </c>
      <c r="D57" s="22" t="s">
        <v>337</v>
      </c>
      <c r="E57" s="13">
        <v>42735.380243055559</v>
      </c>
      <c r="F57" s="13">
        <v>42735.385567129626</v>
      </c>
      <c r="G57" s="7">
        <v>6</v>
      </c>
      <c r="H57" s="22" t="s">
        <v>415</v>
      </c>
      <c r="I57" s="13">
        <v>42735.411620370367</v>
      </c>
      <c r="J57" s="7">
        <v>0</v>
      </c>
      <c r="K57" s="105" t="str">
        <f t="shared" si="0"/>
        <v>4003/4004</v>
      </c>
      <c r="L57" s="22" t="str">
        <f>VLOOKUP(A57,'Trips&amp;Operators'!$C$1:$G$99999,5,FALSE)</f>
        <v>ROBINSON KADDIBA</v>
      </c>
      <c r="M57" s="6">
        <f t="shared" si="1"/>
        <v>2.6053240741021E-2</v>
      </c>
      <c r="N57" s="7">
        <f t="shared" si="21"/>
        <v>37.51666666707024</v>
      </c>
      <c r="O57" s="7"/>
      <c r="P57" s="7"/>
      <c r="Q57" s="23"/>
      <c r="R57" s="23"/>
      <c r="S57" s="32">
        <f t="shared" si="22"/>
        <v>1</v>
      </c>
      <c r="T57" s="47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08:07:33-700',mode:absolute,to:'2016-12-31 10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7" s="49" t="str">
        <f t="shared" si="23"/>
        <v>N</v>
      </c>
      <c r="X57" s="173">
        <f t="shared" si="24"/>
        <v>1</v>
      </c>
      <c r="Y57" s="64">
        <f t="shared" si="8"/>
        <v>4.6600000000000003E-2</v>
      </c>
      <c r="Z57" s="64">
        <f t="shared" si="9"/>
        <v>23.331900000000001</v>
      </c>
      <c r="AA57" s="64">
        <f t="shared" si="10"/>
        <v>23.285299999999999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1"/>
        <v>0145-31</v>
      </c>
      <c r="AE57" s="87" t="str">
        <f t="shared" si="12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57" s="84" t="str">
        <f t="shared" si="13"/>
        <v>"C:\Program Files (x86)\AstroGrep\AstroGrep.exe" /spath="%USERPROFILE%\AppData\Local\Temp\OnboardLogs" /stypes="app*4003*20161231*"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145-31 --locoid 4003 --swversion DE.1.0.8.0 --startMP 204:466 --initTime 2016-12-31T09:07:33 --startdatetime 2016-12-31T09:15:13 --delay 6 --endMP 204:233319 --enddatetime 2016-12-31T09:52:44 --enforcementcount 0 &gt;&gt;C:\Users\stu\Documents\GitHub\eaglep3-reporting\EC\2016-12-31-refined-times.txt</v>
      </c>
      <c r="AI5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{"issue":{"subject":"","project_id":79,"tracker_id":40,"status_id":1,"priority_id":2,"assigned_to_id":23,"start_date":"2016-12-31","description":"","custom_fields":[{"id":1,"name":"Subdivision","value":"EC"},{"id":4,"name":"Milepost","value":"23.3319"},{"id":17,"name":"Train ID","value":"145-31"},{"id":16,"name":"Locomotive ID","value":"4003"},{"id":130,"name":"Impact","value":""},{"id":150,"name":"Time of Event (Mountain Time)","value":"09:52:44"},{"id":151,"name":"Denver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4003 --day 2016-12-31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442</v>
      </c>
      <c r="B58" s="7">
        <v>4004</v>
      </c>
      <c r="C58" s="22" t="s">
        <v>205</v>
      </c>
      <c r="D58" s="22" t="s">
        <v>706</v>
      </c>
      <c r="E58" s="13">
        <v>42735.421342592592</v>
      </c>
      <c r="F58" s="13">
        <v>42735.424502314818</v>
      </c>
      <c r="G58" s="7">
        <v>1</v>
      </c>
      <c r="H58" s="22" t="s">
        <v>211</v>
      </c>
      <c r="I58" s="13">
        <v>42735.451249999998</v>
      </c>
      <c r="J58" s="7">
        <v>0</v>
      </c>
      <c r="K58" s="105" t="str">
        <f t="shared" si="0"/>
        <v>4003/4004</v>
      </c>
      <c r="L58" s="22" t="str">
        <f>VLOOKUP(A58,'Trips&amp;Operators'!$C$1:$G$99999,5,FALSE)</f>
        <v>ROBINSON KADDIBA</v>
      </c>
      <c r="M58" s="6">
        <f t="shared" si="1"/>
        <v>2.6747685180453118E-2</v>
      </c>
      <c r="N58" s="7">
        <f t="shared" si="21"/>
        <v>38.51666665985249</v>
      </c>
      <c r="O58" s="7"/>
      <c r="P58" s="7"/>
      <c r="Q58" s="23"/>
      <c r="R58" s="23"/>
      <c r="S58" s="32">
        <f t="shared" si="22"/>
        <v>1</v>
      </c>
      <c r="T58" s="47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09:06:44-700',mode:absolute,to:'2016-12-31 11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8" s="49" t="str">
        <f t="shared" si="23"/>
        <v>N</v>
      </c>
      <c r="X58" s="173">
        <f t="shared" si="24"/>
        <v>1</v>
      </c>
      <c r="Y58" s="64">
        <f t="shared" si="8"/>
        <v>23.300999999999998</v>
      </c>
      <c r="Z58" s="64">
        <f t="shared" si="9"/>
        <v>1.4999999999999999E-2</v>
      </c>
      <c r="AA58" s="64">
        <f t="shared" si="10"/>
        <v>23.285999999999998</v>
      </c>
      <c r="AB58" s="61" t="str">
        <f>VLOOKUP(A58,Enforcements!$C$7:$K$19,8,0)</f>
        <v>Speed (6)</v>
      </c>
      <c r="AC58" s="57" t="str">
        <f>VLOOKUP(A58,Enforcements!$C$7:$E$19,3,0)</f>
        <v>PERMANENT SPEED RESTRICTION</v>
      </c>
      <c r="AD58" s="58" t="str">
        <f t="shared" si="11"/>
        <v>0146-31</v>
      </c>
      <c r="AE58" s="87" t="str">
        <f t="shared" si="12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58" s="84" t="str">
        <f t="shared" si="13"/>
        <v>"C:\Program Files (x86)\AstroGrep\AstroGrep.exe" /spath="%USERPROFILE%\AppData\Local\Temp\OnboardLogs" /stypes="app*4004*20161231*"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146-31 --locoid 4004 --swversion DE.1.0.8.0 --startMP 204:233010 --initTime 2016-12-31T10:06:44 --startdatetime 2016-12-31T10:11:17 --delay 1 --endMP 204:150 --enddatetime 2016-12-31T10:49:48 --enforcementcount 0 &gt;&gt;C:\Users\stu\Documents\GitHub\eaglep3-reporting\EC\2016-12-31-refined-times.txt</v>
      </c>
      <c r="AI5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ID","value":"146-31"},{"id":16,"name":"Locomotive ID","value":"4004"},{"id":130,"name":"Impact","value":""},{"id":150,"name":"Time of Event (Mountain Time)","value":"10:49:48"},{"id":151,"name":"Denver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4004 --day 2016-12-31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540</v>
      </c>
      <c r="B59" s="7">
        <v>4016</v>
      </c>
      <c r="C59" s="22" t="s">
        <v>205</v>
      </c>
      <c r="D59" s="22" t="s">
        <v>250</v>
      </c>
      <c r="E59" s="13">
        <v>42735.390729166669</v>
      </c>
      <c r="F59" s="13">
        <v>42735.39607638889</v>
      </c>
      <c r="G59" s="7">
        <v>1</v>
      </c>
      <c r="H59" s="22" t="s">
        <v>412</v>
      </c>
      <c r="I59" s="13">
        <v>42735.420891203707</v>
      </c>
      <c r="J59" s="7">
        <v>0</v>
      </c>
      <c r="K59" s="105" t="str">
        <f t="shared" si="0"/>
        <v>4015/4016</v>
      </c>
      <c r="L59" s="22" t="str">
        <f>VLOOKUP(A59,'Trips&amp;Operators'!$C$1:$G$99999,5,FALSE)</f>
        <v>MAELZER KURT</v>
      </c>
      <c r="M59" s="6">
        <f t="shared" si="1"/>
        <v>2.4814814816636499E-2</v>
      </c>
      <c r="N59" s="7">
        <f t="shared" si="21"/>
        <v>35.733333335956559</v>
      </c>
      <c r="O59" s="7"/>
      <c r="P59" s="7"/>
      <c r="Q59" s="23"/>
      <c r="R59" s="23"/>
      <c r="S59" s="32">
        <f t="shared" si="22"/>
        <v>1</v>
      </c>
      <c r="T59" s="47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08:22:39-700',mode:absolute,to:'2016-12-31 11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9" s="49" t="str">
        <f t="shared" si="23"/>
        <v>N</v>
      </c>
      <c r="X59" s="173">
        <f t="shared" si="24"/>
        <v>1</v>
      </c>
      <c r="Y59" s="64">
        <f t="shared" si="8"/>
        <v>4.6399999999999997E-2</v>
      </c>
      <c r="Z59" s="64">
        <f t="shared" si="9"/>
        <v>23.330500000000001</v>
      </c>
      <c r="AA59" s="64">
        <f t="shared" si="10"/>
        <v>23.284100000000002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11"/>
        <v>0147-31</v>
      </c>
      <c r="AE59" s="87" t="str">
        <f t="shared" si="12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59" s="84" t="str">
        <f t="shared" si="13"/>
        <v>"C:\Program Files (x86)\AstroGrep\AstroGrep.exe" /spath="%USERPROFILE%\AppData\Local\Temp\OnboardLogs" /stypes="app*4016*20161231*"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147-31 --locoid 4016 --swversion DE.1.0.8.0 --startMP 204:464 --initTime 2016-12-31T09:22:39 --startdatetime 2016-12-31T09:30:21 --delay 1 --endMP 204:233305 --enddatetime 2016-12-31T10:06:05 --enforcementcount 0 &gt;&gt;C:\Users\stu\Documents\GitHub\eaglep3-reporting\EC\2016-12-31-refined-times.txt</v>
      </c>
      <c r="AI5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{"issue":{"subject":"","project_id":79,"tracker_id":40,"status_id":1,"priority_id":2,"assigned_to_id":23,"start_date":"2016-12-31","description":"","custom_fields":[{"id":1,"name":"Subdivision","value":"EC"},{"id":4,"name":"Milepost","value":"23.3305"},{"id":17,"name":"Train ID","value":"147-31"},{"id":16,"name":"Locomotive ID","value":"4016"},{"id":130,"name":"Impact","value":""},{"id":150,"name":"Time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4016 --day 2016-12-31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550</v>
      </c>
      <c r="B60" s="7">
        <v>4015</v>
      </c>
      <c r="C60" s="22" t="s">
        <v>205</v>
      </c>
      <c r="D60" s="22" t="s">
        <v>707</v>
      </c>
      <c r="E60" s="13">
        <v>42735.428506944445</v>
      </c>
      <c r="F60" s="13">
        <v>42735.436180555553</v>
      </c>
      <c r="G60" s="7">
        <v>1</v>
      </c>
      <c r="H60" s="22" t="s">
        <v>309</v>
      </c>
      <c r="I60" s="13">
        <v>42735.463541666664</v>
      </c>
      <c r="J60" s="7">
        <v>0</v>
      </c>
      <c r="K60" s="105" t="str">
        <f t="shared" si="0"/>
        <v>4015/4016</v>
      </c>
      <c r="L60" s="22" t="str">
        <f>VLOOKUP(A60,'Trips&amp;Operators'!$C$1:$G$99999,5,FALSE)</f>
        <v>MAELZER KURT</v>
      </c>
      <c r="M60" s="6">
        <f t="shared" si="1"/>
        <v>2.73611111115315E-2</v>
      </c>
      <c r="N60" s="7">
        <f t="shared" si="21"/>
        <v>39.40000000060536</v>
      </c>
      <c r="O60" s="7"/>
      <c r="P60" s="7"/>
      <c r="Q60" s="23"/>
      <c r="R60" s="23"/>
      <c r="S60" s="32">
        <f t="shared" si="22"/>
        <v>1</v>
      </c>
      <c r="T60" s="47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09:17:03-700',mode:absolute,to:'2016-12-31 12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0" s="49" t="str">
        <f t="shared" si="23"/>
        <v>N</v>
      </c>
      <c r="X60" s="173">
        <f t="shared" si="24"/>
        <v>1</v>
      </c>
      <c r="Y60" s="64">
        <f t="shared" si="8"/>
        <v>23.302099999999999</v>
      </c>
      <c r="Z60" s="64">
        <f t="shared" si="9"/>
        <v>1.41E-2</v>
      </c>
      <c r="AA60" s="64">
        <f t="shared" si="10"/>
        <v>23.288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1"/>
        <v>0148-31</v>
      </c>
      <c r="AE60" s="87" t="str">
        <f t="shared" si="12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60" s="84" t="str">
        <f t="shared" si="13"/>
        <v>"C:\Program Files (x86)\AstroGrep\AstroGrep.exe" /spath="%USERPROFILE%\AppData\Local\Temp\OnboardLogs" /stypes="app*4015*20161231*"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148-31 --locoid 4015 --swversion DE.1.0.8.0 --startMP 204:233021 --initTime 2016-12-31T10:17:03 --startdatetime 2016-12-31T10:28:06 --delay 1 --endMP 204:141 --enddatetime 2016-12-31T11:07:30 --enforcementcount 0 &gt;&gt;C:\Users\stu\Documents\GitHub\eaglep3-reporting\EC\2016-12-31-refined-times.txt</v>
      </c>
      <c r="AI6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{"issue":{"subject":"","project_id":79,"tracker_id":40,"status_id":1,"priority_id":2,"assigned_to_id":23,"start_date":"2016-12-31","description":"","custom_fields":[{"id":1,"name":"Subdivision","value":"EC"},{"id":4,"name":"Milepost","value":"0.0141"},{"id":17,"name":"Train ID","value":"148-31"},{"id":16,"name":"Locomotive ID","value":"4015"},{"id":130,"name":"Impact","value":""},{"id":150,"name":"Time of Event (Mountain Time)","value":"11:07:30"},{"id":151,"name":"Denver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4015 --day 2016-12-31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542</v>
      </c>
      <c r="B61" s="7">
        <v>4046</v>
      </c>
      <c r="C61" s="22" t="s">
        <v>205</v>
      </c>
      <c r="D61" s="22" t="s">
        <v>708</v>
      </c>
      <c r="E61" s="13">
        <v>42735.402094907404</v>
      </c>
      <c r="F61" s="13">
        <v>42735.406608796293</v>
      </c>
      <c r="G61" s="7">
        <v>1</v>
      </c>
      <c r="H61" s="22" t="s">
        <v>418</v>
      </c>
      <c r="I61" s="13">
        <v>42735.432662037034</v>
      </c>
      <c r="J61" s="7">
        <v>0</v>
      </c>
      <c r="K61" s="105" t="str">
        <f t="shared" si="0"/>
        <v>4045/4046</v>
      </c>
      <c r="L61" s="22" t="str">
        <f>VLOOKUP(A61,'Trips&amp;Operators'!$C$1:$G$99999,5,FALSE)</f>
        <v>MAHAN DUANE</v>
      </c>
      <c r="M61" s="6">
        <f t="shared" si="1"/>
        <v>2.6053240741021E-2</v>
      </c>
      <c r="N61" s="7">
        <f t="shared" si="21"/>
        <v>37.51666666707024</v>
      </c>
      <c r="O61" s="7"/>
      <c r="P61" s="7"/>
      <c r="Q61" s="23"/>
      <c r="R61" s="23"/>
      <c r="S61" s="32">
        <f t="shared" si="22"/>
        <v>1</v>
      </c>
      <c r="T61" s="47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08:39:01-700',mode:absolute,to:'2016-12-31 11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1" s="49" t="str">
        <f t="shared" si="23"/>
        <v>N</v>
      </c>
      <c r="X61" s="173">
        <f t="shared" si="24"/>
        <v>1</v>
      </c>
      <c r="Y61" s="64">
        <f t="shared" si="8"/>
        <v>4.9500000000000002E-2</v>
      </c>
      <c r="Z61" s="64">
        <f t="shared" si="9"/>
        <v>23.330200000000001</v>
      </c>
      <c r="AA61" s="64">
        <f t="shared" si="10"/>
        <v>23.280700000000003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1"/>
        <v>0149-31</v>
      </c>
      <c r="AE61" s="87" t="str">
        <f t="shared" si="12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61" s="84" t="str">
        <f t="shared" si="13"/>
        <v>"C:\Program Files (x86)\AstroGrep\AstroGrep.exe" /spath="%USERPROFILE%\AppData\Local\Temp\OnboardLogs" /stypes="app*4046*20161231*"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149-31 --locoid 4046 --swversion DE.1.0.8.0 --startMP 204:495 --initTime 2016-12-31T09:39:01 --startdatetime 2016-12-31T09:45:31 --delay 1 --endMP 204:233302 --enddatetime 2016-12-31T10:23:02 --enforcementcount 0 &gt;&gt;C:\Users\stu\Documents\GitHub\eaglep3-reporting\EC\2016-12-31-refined-times.txt</v>
      </c>
      <c r="AI61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{"issue":{"subject":"","project_id":79,"tracker_id":40,"status_id":1,"priority_id":2,"assigned_to_id":23,"start_date":"2016-12-31","description":"","custom_fields":[{"id":1,"name":"Subdivision","value":"EC"},{"id":4,"name":"Milepost","value":"23.3302"},{"id":17,"name":"Train ID","value":"149-31"},{"id":16,"name":"Locomotive ID","value":"4046"},{"id":130,"name":"Impact","value":""},{"id":150,"name":"Time of Event (Mountain Time)","value":"10:23:02"},{"id":151,"name":"Denver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4046 --day 2016-12-31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553</v>
      </c>
      <c r="B62" s="7">
        <v>4045</v>
      </c>
      <c r="C62" s="22" t="s">
        <v>205</v>
      </c>
      <c r="D62" s="22" t="s">
        <v>322</v>
      </c>
      <c r="E62" s="13">
        <v>42735.440960648149</v>
      </c>
      <c r="F62" s="13">
        <v>42735.445740740739</v>
      </c>
      <c r="G62" s="7">
        <v>1</v>
      </c>
      <c r="H62" s="22" t="s">
        <v>309</v>
      </c>
      <c r="I62" s="13">
        <v>42735.473483796297</v>
      </c>
      <c r="J62" s="7">
        <v>0</v>
      </c>
      <c r="K62" s="105" t="str">
        <f t="shared" si="0"/>
        <v>4045/4046</v>
      </c>
      <c r="L62" s="22" t="str">
        <f>VLOOKUP(A62,'Trips&amp;Operators'!$C$1:$G$99999,5,FALSE)</f>
        <v>MAHAN DUANE</v>
      </c>
      <c r="M62" s="6">
        <f t="shared" si="1"/>
        <v>2.7743055557948537E-2</v>
      </c>
      <c r="N62" s="7">
        <f t="shared" si="21"/>
        <v>39.950000003445894</v>
      </c>
      <c r="O62" s="7"/>
      <c r="P62" s="7"/>
      <c r="Q62" s="23"/>
      <c r="R62" s="23"/>
      <c r="S62" s="32">
        <f t="shared" si="22"/>
        <v>1</v>
      </c>
      <c r="T62" s="47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09:34:59-700',mode:absolute,to:'2016-12-31 12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2" s="49" t="str">
        <f t="shared" si="23"/>
        <v>N</v>
      </c>
      <c r="X62" s="173">
        <f t="shared" si="24"/>
        <v>1</v>
      </c>
      <c r="Y62" s="64">
        <f t="shared" si="8"/>
        <v>23.297599999999999</v>
      </c>
      <c r="Z62" s="64">
        <f t="shared" si="9"/>
        <v>1.41E-2</v>
      </c>
      <c r="AA62" s="64">
        <f t="shared" si="10"/>
        <v>23.2835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11"/>
        <v>0150-31</v>
      </c>
      <c r="AE62" s="87" t="str">
        <f t="shared" si="12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62" s="84" t="str">
        <f t="shared" si="13"/>
        <v>"C:\Program Files (x86)\AstroGrep\AstroGrep.exe" /spath="%USERPROFILE%\AppData\Local\Temp\OnboardLogs" /stypes="app*4045*20161231*"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150-31 --locoid 4045 --swversion DE.1.0.8.0 --startMP 204:232976 --initTime 2016-12-31T10:34:59 --startdatetime 2016-12-31T10:41:52 --delay 1 --endMP 204:141 --enddatetime 2016-12-31T11:21:49 --enforcementcount 0 &gt;&gt;C:\Users\stu\Documents\GitHub\eaglep3-reporting\EC\2016-12-31-refined-times.txt</v>
      </c>
      <c r="AI6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{"issue":{"subject":"","project_id":79,"tracker_id":40,"status_id":1,"priority_id":2,"assigned_to_id":23,"start_date":"2016-12-31","description":"","custom_fields":[{"id":1,"name":"Subdivision","value":"EC"},{"id":4,"name":"Milepost","value":"0.0141"},{"id":17,"name":"Train ID","value":"150-31"},{"id":16,"name":"Locomotive ID","value":"4045"},{"id":130,"name":"Impact","value":""},{"id":150,"name":"Time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4045 --day 2016-12-31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545</v>
      </c>
      <c r="B63" s="7">
        <v>4025</v>
      </c>
      <c r="C63" s="22" t="s">
        <v>205</v>
      </c>
      <c r="D63" s="22" t="s">
        <v>249</v>
      </c>
      <c r="E63" s="13">
        <v>42735.411296296297</v>
      </c>
      <c r="F63" s="13">
        <v>42735.416909722226</v>
      </c>
      <c r="G63" s="7">
        <v>1</v>
      </c>
      <c r="H63" s="22" t="s">
        <v>413</v>
      </c>
      <c r="I63" s="13">
        <v>42735.442013888889</v>
      </c>
      <c r="J63" s="7">
        <v>0</v>
      </c>
      <c r="K63" s="105" t="str">
        <f t="shared" si="0"/>
        <v>4025/4026</v>
      </c>
      <c r="L63" s="22" t="str">
        <f>VLOOKUP(A63,'Trips&amp;Operators'!$C$1:$G$99999,5,FALSE)</f>
        <v>OUN ZACK</v>
      </c>
      <c r="M63" s="6">
        <f t="shared" si="1"/>
        <v>2.5104166663368233E-2</v>
      </c>
      <c r="N63" s="7">
        <f t="shared" si="21"/>
        <v>36.149999995250255</v>
      </c>
      <c r="O63" s="7"/>
      <c r="P63" s="7"/>
      <c r="Q63" s="23"/>
      <c r="R63" s="23"/>
      <c r="S63" s="32">
        <f t="shared" si="22"/>
        <v>1</v>
      </c>
      <c r="T63" s="47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08:52:16-700',mode:absolute,to:'2016-12-31 11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3" s="49" t="str">
        <f t="shared" si="23"/>
        <v>N</v>
      </c>
      <c r="X63" s="173">
        <f t="shared" si="24"/>
        <v>1</v>
      </c>
      <c r="Y63" s="64">
        <f t="shared" si="8"/>
        <v>4.53E-2</v>
      </c>
      <c r="Z63" s="64">
        <f t="shared" si="9"/>
        <v>23.331099999999999</v>
      </c>
      <c r="AA63" s="64">
        <f t="shared" si="10"/>
        <v>23.285799999999998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1"/>
        <v>0151-31</v>
      </c>
      <c r="AE63" s="87" t="str">
        <f t="shared" si="12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63" s="84" t="str">
        <f t="shared" si="13"/>
        <v>"C:\Program Files (x86)\AstroGrep\AstroGrep.exe" /spath="%USERPROFILE%\AppData\Local\Temp\OnboardLogs" /stypes="app*4025*20161231*"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151-31 --locoid 4025 --swversion DE.1.0.8.0 --startMP 204:453 --initTime 2016-12-31T09:52:16 --startdatetime 2016-12-31T10:00:21 --delay 1 --endMP 204:233311 --enddatetime 2016-12-31T10:36:30 --enforcementcount 0 &gt;&gt;C:\Users\stu\Documents\GitHub\eaglep3-reporting\EC\2016-12-31-refined-times.txt</v>
      </c>
      <c r="AI6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{"issue":{"subject":"","project_id":79,"tracker_id":40,"status_id":1,"priority_id":2,"assigned_to_id":23,"start_date":"2016-12-31","description":"","custom_fields":[{"id":1,"name":"Subdivision","value":"EC"},{"id":4,"name":"Milepost","value":"23.3311"},{"id":17,"name":"Train ID","value":"151-31"},{"id":16,"name":"Locomotive ID","value":"4025"},{"id":130,"name":"Impact","value":""},{"id":150,"name":"Time of Event (Mountain Time)","value":"10:36:30"},{"id":151,"name":"Denver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4025 --day 2016-12-31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556</v>
      </c>
      <c r="B64" s="7">
        <v>4026</v>
      </c>
      <c r="C64" s="22" t="s">
        <v>205</v>
      </c>
      <c r="D64" s="22" t="s">
        <v>301</v>
      </c>
      <c r="E64" s="13">
        <v>42735.451516203706</v>
      </c>
      <c r="F64" s="13">
        <v>42735.45584490741</v>
      </c>
      <c r="G64" s="7">
        <v>1</v>
      </c>
      <c r="H64" s="22" t="s">
        <v>411</v>
      </c>
      <c r="I64" s="13">
        <v>42735.482673611114</v>
      </c>
      <c r="J64" s="7">
        <v>0</v>
      </c>
      <c r="K64" s="105" t="str">
        <f t="shared" si="0"/>
        <v>4025/4026</v>
      </c>
      <c r="L64" s="22" t="str">
        <f>VLOOKUP(A64,'Trips&amp;Operators'!$C$1:$G$99999,5,FALSE)</f>
        <v>OUN ZACK</v>
      </c>
      <c r="M64" s="6">
        <f t="shared" si="1"/>
        <v>2.6828703703358769E-2</v>
      </c>
      <c r="N64" s="7">
        <f t="shared" si="21"/>
        <v>38.633333332836628</v>
      </c>
      <c r="O64" s="7"/>
      <c r="P64" s="7"/>
      <c r="Q64" s="23"/>
      <c r="R64" s="23"/>
      <c r="S64" s="32">
        <f t="shared" si="22"/>
        <v>1</v>
      </c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09:50:11-700',mode:absolute,to:'2016-12-31 12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4" s="49" t="str">
        <f t="shared" si="23"/>
        <v>N</v>
      </c>
      <c r="X64" s="173">
        <f t="shared" si="24"/>
        <v>1</v>
      </c>
      <c r="Y64" s="64">
        <f t="shared" si="8"/>
        <v>23.298200000000001</v>
      </c>
      <c r="Z64" s="64">
        <f t="shared" si="9"/>
        <v>1.3599999999999999E-2</v>
      </c>
      <c r="AA64" s="64">
        <f t="shared" si="10"/>
        <v>23.284600000000001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11"/>
        <v>0152-31</v>
      </c>
      <c r="AE64" s="87" t="str">
        <f t="shared" si="12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64" s="84" t="str">
        <f t="shared" si="13"/>
        <v>"C:\Program Files (x86)\AstroGrep\AstroGrep.exe" /spath="%USERPROFILE%\AppData\Local\Temp\OnboardLogs" /stypes="app*4026*20161231*"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152-31 --locoid 4026 --swversion DE.1.0.8.0 --startMP 204:232982 --initTime 2016-12-31T10:50:11 --startdatetime 2016-12-31T10:56:25 --delay 1 --endMP 204:136 --enddatetime 2016-12-31T11:35:03 --enforcementcount 0 &gt;&gt;C:\Users\stu\Documents\GitHub\eaglep3-reporting\EC\2016-12-31-refined-times.txt</v>
      </c>
      <c r="AI6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{"issue":{"subject":"","project_id":79,"tracker_id":40,"status_id":1,"priority_id":2,"assigned_to_id":23,"start_date":"2016-12-31","description":"","custom_fields":[{"id":1,"name":"Subdivision","value":"EC"},{"id":4,"name":"Milepost","value":"0.0136"},{"id":17,"name":"Train ID","value":"152-31"},{"id":16,"name":"Locomotive ID","value":"4026"},{"id":130,"name":"Impact","value":""},{"id":150,"name":"Time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4026 --day 2016-12-31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549</v>
      </c>
      <c r="B65" s="7">
        <v>4018</v>
      </c>
      <c r="C65" s="22" t="s">
        <v>205</v>
      </c>
      <c r="D65" s="22" t="s">
        <v>250</v>
      </c>
      <c r="E65" s="13">
        <v>42735.424664351849</v>
      </c>
      <c r="F65" s="13">
        <v>42735.427395833336</v>
      </c>
      <c r="G65" s="7">
        <v>1</v>
      </c>
      <c r="H65" s="22" t="s">
        <v>693</v>
      </c>
      <c r="I65" s="13">
        <v>42735.453518518516</v>
      </c>
      <c r="J65" s="7">
        <v>0</v>
      </c>
      <c r="K65" s="105" t="str">
        <f t="shared" si="0"/>
        <v>4017/4018</v>
      </c>
      <c r="L65" s="22" t="str">
        <f>VLOOKUP(A65,'Trips&amp;Operators'!$C$1:$G$99999,5,FALSE)</f>
        <v>ARVIDSON DANIEL</v>
      </c>
      <c r="M65" s="6">
        <f t="shared" si="1"/>
        <v>2.6122685179871041E-2</v>
      </c>
      <c r="N65" s="7">
        <f t="shared" si="21"/>
        <v>37.6166666590143</v>
      </c>
      <c r="O65" s="7"/>
      <c r="P65" s="7"/>
      <c r="Q65" s="23"/>
      <c r="R65" s="23"/>
      <c r="S65" s="32">
        <f t="shared" si="22"/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09:11:31-700',mode:absolute,to:'2016-12-31 11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5" s="49" t="str">
        <f t="shared" si="23"/>
        <v>N</v>
      </c>
      <c r="X65" s="173">
        <f t="shared" si="24"/>
        <v>1</v>
      </c>
      <c r="Y65" s="64">
        <f t="shared" si="8"/>
        <v>4.6399999999999997E-2</v>
      </c>
      <c r="Z65" s="64">
        <f t="shared" si="9"/>
        <v>23.332699999999999</v>
      </c>
      <c r="AA65" s="64">
        <f t="shared" si="10"/>
        <v>23.286300000000001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 t="shared" si="11"/>
        <v>0153-31</v>
      </c>
      <c r="AE65" s="87" t="str">
        <f t="shared" si="12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65" s="84" t="str">
        <f t="shared" si="13"/>
        <v>"C:\Program Files (x86)\AstroGrep\AstroGrep.exe" /spath="%USERPROFILE%\AppData\Local\Temp\OnboardLogs" /stypes="app*4018*20161231*"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153-31 --locoid 4018 --swversion DE.1.0.8.0 --startMP 204:464 --initTime 2016-12-31T10:11:31 --startdatetime 2016-12-31T10:15:27 --delay 1 --endMP 204:233327 --enddatetime 2016-12-31T10:53:04 --enforcementcount 0 &gt;&gt;C:\Users\stu\Documents\GitHub\eaglep3-reporting\EC\2016-12-31-refined-times.txt</v>
      </c>
      <c r="AI6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{"issue":{"subject":"","project_id":79,"tracker_id":40,"status_id":1,"priority_id":2,"assigned_to_id":23,"start_date":"2016-12-31","description":"","custom_fields":[{"id":1,"name":"Subdivision","value":"EC"},{"id":4,"name":"Milepost","value":"23.3327"},{"id":17,"name":"Train ID","value":"153-31"},{"id":16,"name":"Locomotive ID","value":"4018"},{"id":130,"name":"Impact","value":""},{"id":150,"name":"Time of Event (Mountain Time)","value":"10:53:04"},{"id":151,"name":"Denver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4018 --day 2016-12-31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560</v>
      </c>
      <c r="B66" s="7">
        <v>4017</v>
      </c>
      <c r="C66" s="22" t="s">
        <v>205</v>
      </c>
      <c r="D66" s="22" t="s">
        <v>706</v>
      </c>
      <c r="E66" s="13">
        <v>42735.462337962963</v>
      </c>
      <c r="F66" s="13">
        <v>42735.466261574074</v>
      </c>
      <c r="G66" s="7">
        <v>1</v>
      </c>
      <c r="H66" s="22" t="s">
        <v>419</v>
      </c>
      <c r="I66" s="13">
        <v>42735.494386574072</v>
      </c>
      <c r="J66" s="7">
        <v>0</v>
      </c>
      <c r="K66" s="105" t="str">
        <f t="shared" si="0"/>
        <v>4017/4018</v>
      </c>
      <c r="L66" s="22" t="str">
        <f>VLOOKUP(A66,'Trips&amp;Operators'!$C$1:$G$99999,5,FALSE)</f>
        <v>ARVIDSON DANIEL</v>
      </c>
      <c r="M66" s="6">
        <f t="shared" si="1"/>
        <v>2.8124999997089617E-2</v>
      </c>
      <c r="N66" s="7">
        <f t="shared" si="21"/>
        <v>40.499999995809048</v>
      </c>
      <c r="O66" s="7"/>
      <c r="P66" s="7"/>
      <c r="Q66" s="23"/>
      <c r="R66" s="23"/>
      <c r="S66" s="32">
        <f t="shared" si="22"/>
        <v>1</v>
      </c>
      <c r="T66" s="47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10:05:46-700',mode:absolute,to:'2016-12-31 12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6" s="49" t="str">
        <f t="shared" si="23"/>
        <v>N</v>
      </c>
      <c r="X66" s="173">
        <f t="shared" si="24"/>
        <v>1</v>
      </c>
      <c r="Y66" s="64">
        <f t="shared" si="8"/>
        <v>23.300999999999998</v>
      </c>
      <c r="Z66" s="64">
        <f t="shared" si="9"/>
        <v>1.12E-2</v>
      </c>
      <c r="AA66" s="64">
        <f t="shared" si="10"/>
        <v>23.2898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1"/>
        <v>0154-31</v>
      </c>
      <c r="AE66" s="87" t="str">
        <f t="shared" si="12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66" s="84" t="str">
        <f t="shared" si="13"/>
        <v>"C:\Program Files (x86)\AstroGrep\AstroGrep.exe" /spath="%USERPROFILE%\AppData\Local\Temp\OnboardLogs" /stypes="app*4017*20161231*"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154-31 --locoid 4017 --swversion DE.1.0.8.0 --startMP 204:233010 --initTime 2016-12-31T11:05:46 --startdatetime 2016-12-31T11:11:25 --delay 1 --endMP 204:112 --enddatetime 2016-12-31T11:51:55 --enforcementcount 0 &gt;&gt;C:\Users\stu\Documents\GitHub\eaglep3-reporting\EC\2016-12-31-refined-times.txt</v>
      </c>
      <c r="AI6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{"issue":{"subject":"","project_id":79,"tracker_id":40,"status_id":1,"priority_id":2,"assigned_to_id":23,"start_date":"2016-12-31","description":"","custom_fields":[{"id":1,"name":"Subdivision","value":"EC"},{"id":4,"name":"Milepost","value":"0.0112"},{"id":17,"name":"Train ID","value":"154-31"},{"id":16,"name":"Locomotive ID","value":"4017"},{"id":130,"name":"Impact","value":""},{"id":150,"name":"Time of Event (Mountain Time)","value":"11:51:55"},{"id":151,"name":"Denver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4017 --day 2016-12-31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551</v>
      </c>
      <c r="B67" s="7">
        <v>4011</v>
      </c>
      <c r="C67" s="22" t="s">
        <v>205</v>
      </c>
      <c r="D67" s="22" t="s">
        <v>228</v>
      </c>
      <c r="E67" s="13">
        <v>42735.434571759259</v>
      </c>
      <c r="F67" s="13">
        <v>42735.437858796293</v>
      </c>
      <c r="G67" s="7">
        <v>1</v>
      </c>
      <c r="H67" s="22" t="s">
        <v>362</v>
      </c>
      <c r="I67" s="13">
        <v>42735.462222222224</v>
      </c>
      <c r="J67" s="7">
        <v>0</v>
      </c>
      <c r="K67" s="105" t="str">
        <f t="shared" si="0"/>
        <v>4011/4012</v>
      </c>
      <c r="L67" s="22" t="str">
        <f>VLOOKUP(A67,'Trips&amp;Operators'!$C$1:$G$99999,5,FALSE)</f>
        <v>ADANE ELSHADAY</v>
      </c>
      <c r="M67" s="6">
        <f t="shared" si="1"/>
        <v>2.436342593136942E-2</v>
      </c>
      <c r="N67" s="7">
        <f t="shared" si="21"/>
        <v>35.083333341171965</v>
      </c>
      <c r="O67" s="7"/>
      <c r="P67" s="7"/>
      <c r="Q67" s="23"/>
      <c r="R67" s="23"/>
      <c r="S67" s="32">
        <f t="shared" si="22"/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09:25:47-700',mode:absolute,to:'2016-12-31 12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49" t="str">
        <f t="shared" si="23"/>
        <v>N</v>
      </c>
      <c r="X67" s="173">
        <f t="shared" si="24"/>
        <v>1</v>
      </c>
      <c r="Y67" s="64">
        <f t="shared" si="8"/>
        <v>4.5499999999999999E-2</v>
      </c>
      <c r="Z67" s="64">
        <f t="shared" si="9"/>
        <v>23.331800000000001</v>
      </c>
      <c r="AA67" s="64">
        <f t="shared" si="10"/>
        <v>23.286300000000001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1"/>
        <v>0155-31</v>
      </c>
      <c r="AE67" s="87" t="str">
        <f t="shared" si="12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67" s="84" t="str">
        <f t="shared" si="13"/>
        <v>"C:\Program Files (x86)\AstroGrep\AstroGrep.exe" /spath="%USERPROFILE%\AppData\Local\Temp\OnboardLogs" /stypes="app*4011*20161231*"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155-31 --locoid 4011 --swversion DE.1.0.8.0 --startMP 204:455 --initTime 2016-12-31T10:25:47 --startdatetime 2016-12-31T10:30:31 --delay 1 --endMP 204:233318 --enddatetime 2016-12-31T11:05:36 --enforcementcount 0 &gt;&gt;C:\Users\stu\Documents\GitHub\eaglep3-reporting\EC\2016-12-31-refined-times.txt</v>
      </c>
      <c r="AI6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{"issue":{"subject":"","project_id":79,"tracker_id":40,"status_id":1,"priority_id":2,"assigned_to_id":23,"start_date":"2016-12-31","description":"","custom_fields":[{"id":1,"name":"Subdivision","value":"EC"},{"id":4,"name":"Milepost","value":"23.3318"},{"id":17,"name":"Train ID","value":"155-31"},{"id":16,"name":"Locomotive ID","value":"4011"},{"id":130,"name":"Impact","value":""},{"id":150,"name":"Time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4011 --day 2016-12-31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443</v>
      </c>
      <c r="B68" s="7">
        <v>4012</v>
      </c>
      <c r="C68" s="22" t="s">
        <v>205</v>
      </c>
      <c r="D68" s="22" t="s">
        <v>414</v>
      </c>
      <c r="E68" s="13">
        <v>42735.463784722226</v>
      </c>
      <c r="F68" s="13">
        <v>42735.476701388892</v>
      </c>
      <c r="G68" s="7">
        <v>1</v>
      </c>
      <c r="H68" s="22" t="s">
        <v>299</v>
      </c>
      <c r="I68" s="13">
        <v>42735.503854166665</v>
      </c>
      <c r="J68" s="7">
        <v>0</v>
      </c>
      <c r="K68" s="105" t="str">
        <f t="shared" si="0"/>
        <v>4011/4012</v>
      </c>
      <c r="L68" s="22" t="str">
        <f>VLOOKUP(A68,'Trips&amp;Operators'!$C$1:$G$99999,5,FALSE)</f>
        <v>ADANE ELSHADAY</v>
      </c>
      <c r="M68" s="6">
        <f t="shared" si="1"/>
        <v>2.7152777773153502E-2</v>
      </c>
      <c r="N68" s="7">
        <f t="shared" si="21"/>
        <v>39.099999993341044</v>
      </c>
      <c r="O68" s="7"/>
      <c r="P68" s="7"/>
      <c r="Q68" s="23"/>
      <c r="R68" s="23"/>
      <c r="S68" s="32">
        <f t="shared" si="22"/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10:07:51-700',mode:absolute,to:'2016-12-31 13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49" t="str">
        <f t="shared" si="23"/>
        <v>N</v>
      </c>
      <c r="X68" s="173">
        <f t="shared" si="24"/>
        <v>1</v>
      </c>
      <c r="Y68" s="64">
        <f t="shared" si="8"/>
        <v>23.298400000000001</v>
      </c>
      <c r="Z68" s="64">
        <f t="shared" si="9"/>
        <v>1.52E-2</v>
      </c>
      <c r="AA68" s="64">
        <f t="shared" si="10"/>
        <v>23.283200000000001</v>
      </c>
      <c r="AB68" s="61" t="str">
        <f>VLOOKUP(A68,Enforcements!$C$7:$K$19,8,0)</f>
        <v>Bulletin (2)</v>
      </c>
      <c r="AC68" s="57" t="str">
        <f>VLOOKUP(A68,Enforcements!$C$7:$E$19,3,0)</f>
        <v>GRADE CROSSING</v>
      </c>
      <c r="AD68" s="58" t="str">
        <f t="shared" si="11"/>
        <v>0156-31</v>
      </c>
      <c r="AE68" s="87" t="str">
        <f t="shared" si="12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68" s="84" t="str">
        <f t="shared" si="13"/>
        <v>"C:\Program Files (x86)\AstroGrep\AstroGrep.exe" /spath="%USERPROFILE%\AppData\Local\Temp\OnboardLogs" /stypes="app*4012*20161231*"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156-31 --locoid 4012 --swversion DE.1.0.8.0 --startMP 204:232984 --initTime 2016-12-31T11:07:51 --startdatetime 2016-12-31T11:26:27 --delay 1 --endMP 204:152 --enddatetime 2016-12-31T12:05:33 --enforcementcount 0 &gt;&gt;C:\Users\stu\Documents\GitHub\eaglep3-reporting\EC\2016-12-31-refined-times.txt</v>
      </c>
      <c r="AI68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{"issue":{"subject":"","project_id":79,"tracker_id":40,"status_id":1,"priority_id":2,"assigned_to_id":23,"start_date":"2016-12-31","description":"","custom_fields":[{"id":1,"name":"Subdivision","value":"EC"},{"id":4,"name":"Milepost","value":"0.0152"},{"id":17,"name":"Train ID","value":"156-31"},{"id":16,"name":"Locomotive ID","value":"4012"},{"id":130,"name":"Impact","value":""},{"id":150,"name":"Time of Event (Mountain Time)","value":"12:05:33"},{"id":151,"name":"Denver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4012 --day 2016-12-31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554</v>
      </c>
      <c r="B69" s="7">
        <v>4044</v>
      </c>
      <c r="C69" s="22" t="s">
        <v>205</v>
      </c>
      <c r="D69" s="22" t="s">
        <v>230</v>
      </c>
      <c r="E69" s="13">
        <v>42735.443368055552</v>
      </c>
      <c r="F69" s="13">
        <v>42735.448101851849</v>
      </c>
      <c r="G69" s="7">
        <v>1</v>
      </c>
      <c r="H69" s="22" t="s">
        <v>709</v>
      </c>
      <c r="I69" s="13">
        <v>42735.473715277774</v>
      </c>
      <c r="J69" s="7">
        <v>0</v>
      </c>
      <c r="K69" s="105" t="str">
        <f t="shared" si="0"/>
        <v>4043/4044</v>
      </c>
      <c r="L69" s="22" t="str">
        <f>VLOOKUP(A69,'Trips&amp;Operators'!$C$1:$G$99999,5,FALSE)</f>
        <v>GEBRETEKLE DAGNEW</v>
      </c>
      <c r="M69" s="6">
        <f t="shared" si="1"/>
        <v>2.5613425925257616E-2</v>
      </c>
      <c r="N69" s="7">
        <f t="shared" si="21"/>
        <v>36.883333332370967</v>
      </c>
      <c r="O69" s="7"/>
      <c r="P69" s="7"/>
      <c r="Q69" s="23"/>
      <c r="R69" s="23"/>
      <c r="S69" s="32">
        <f t="shared" si="22"/>
        <v>1</v>
      </c>
      <c r="T69" s="47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09:38:27-700',mode:absolute,to:'2016-12-31 12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9" s="49" t="str">
        <f t="shared" si="23"/>
        <v>N</v>
      </c>
      <c r="X69" s="173">
        <f t="shared" si="24"/>
        <v>1</v>
      </c>
      <c r="Y69" s="64">
        <f t="shared" si="8"/>
        <v>4.5999999999999999E-2</v>
      </c>
      <c r="Z69" s="64">
        <f t="shared" si="9"/>
        <v>23.3306</v>
      </c>
      <c r="AA69" s="64">
        <f t="shared" si="10"/>
        <v>23.284600000000001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1"/>
        <v>0157-31</v>
      </c>
      <c r="AE69" s="87" t="str">
        <f t="shared" si="12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69" s="84" t="str">
        <f t="shared" si="13"/>
        <v>"C:\Program Files (x86)\AstroGrep\AstroGrep.exe" /spath="%USERPROFILE%\AppData\Local\Temp\OnboardLogs" /stypes="app*4044*20161231*"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157-31 --locoid 4044 --swversion DE.1.0.8.0 --startMP 204:460 --initTime 2016-12-31T10:38:27 --startdatetime 2016-12-31T10:45:16 --delay 1 --endMP 204:233306 --enddatetime 2016-12-31T11:22:09 --enforcementcount 0 &gt;&gt;C:\Users\stu\Documents\GitHub\eaglep3-reporting\EC\2016-12-31-refined-times.txt</v>
      </c>
      <c r="AI69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{"issue":{"subject":"","project_id":79,"tracker_id":40,"status_id":1,"priority_id":2,"assigned_to_id":23,"start_date":"2016-12-31","description":"","custom_fields":[{"id":1,"name":"Subdivision","value":"EC"},{"id":4,"name":"Milepost","value":"23.3306"},{"id":17,"name":"Train ID","value":"157-31"},{"id":16,"name":"Locomotive ID","value":"4044"},{"id":130,"name":"Impact","value":""},{"id":150,"name":"Time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4044 --day 2016-12-31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563</v>
      </c>
      <c r="B70" s="7">
        <v>4043</v>
      </c>
      <c r="C70" s="22" t="s">
        <v>205</v>
      </c>
      <c r="D70" s="22" t="s">
        <v>329</v>
      </c>
      <c r="E70" s="13">
        <v>42735.484502314815</v>
      </c>
      <c r="F70" s="13">
        <v>42735.487083333333</v>
      </c>
      <c r="G70" s="7">
        <v>1</v>
      </c>
      <c r="H70" s="22" t="s">
        <v>682</v>
      </c>
      <c r="I70" s="13">
        <v>42735.514004629629</v>
      </c>
      <c r="J70" s="7">
        <v>0</v>
      </c>
      <c r="K70" s="105" t="str">
        <f t="shared" si="0"/>
        <v>4043/4044</v>
      </c>
      <c r="L70" s="22" t="str">
        <f>VLOOKUP(A70,'Trips&amp;Operators'!$C$1:$G$99999,5,FALSE)</f>
        <v>GEBRETEKLE DAGNEW</v>
      </c>
      <c r="M70" s="6">
        <f t="shared" si="1"/>
        <v>2.6921296295768116E-2</v>
      </c>
      <c r="N70" s="7">
        <f t="shared" si="21"/>
        <v>38.766666665906087</v>
      </c>
      <c r="O70" s="7"/>
      <c r="P70" s="7"/>
      <c r="Q70" s="23"/>
      <c r="R70" s="23"/>
      <c r="S70" s="32">
        <f t="shared" si="22"/>
        <v>1</v>
      </c>
      <c r="T70" s="47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10:37:41-700',mode:absolute,to:'2016-12-31 13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0" s="49" t="str">
        <f t="shared" si="23"/>
        <v>N</v>
      </c>
      <c r="X70" s="173">
        <f t="shared" si="24"/>
        <v>1</v>
      </c>
      <c r="Y70" s="64">
        <f t="shared" si="8"/>
        <v>23.2989</v>
      </c>
      <c r="Z70" s="64">
        <f t="shared" si="9"/>
        <v>1.61E-2</v>
      </c>
      <c r="AA70" s="64">
        <f t="shared" si="10"/>
        <v>23.282799999999998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1"/>
        <v>0158-31</v>
      </c>
      <c r="AE70" s="87" t="str">
        <f t="shared" si="12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70" s="84" t="str">
        <f t="shared" si="13"/>
        <v>"C:\Program Files (x86)\AstroGrep\AstroGrep.exe" /spath="%USERPROFILE%\AppData\Local\Temp\OnboardLogs" /stypes="app*4043*20161231*"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158-31 --locoid 4043 --swversion DE.1.0.8.0 --startMP 204:232989 --initTime 2016-12-31T11:37:41 --startdatetime 2016-12-31T11:41:24 --delay 1 --endMP 204:161 --enddatetime 2016-12-31T12:20:10 --enforcementcount 0 &gt;&gt;C:\Users\stu\Documents\GitHub\eaglep3-reporting\EC\2016-12-31-refined-times.txt</v>
      </c>
      <c r="AI70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{"issue":{"subject":"","project_id":79,"tracker_id":40,"status_id":1,"priority_id":2,"assigned_to_id":23,"start_date":"2016-12-31","description":"","custom_fields":[{"id":1,"name":"Subdivision","value":"EC"},{"id":4,"name":"Milepost","value":"0.0161"},{"id":17,"name":"Train ID","value":"158-31"},{"id":16,"name":"Locomotive ID","value":"4043"},{"id":130,"name":"Impact","value":""},{"id":150,"name":"Time of Event (Mountain Time)","value":"12:20:10"},{"id":151,"name":"Denver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4043 --day 2016-12-31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557</v>
      </c>
      <c r="B71" s="7">
        <v>4003</v>
      </c>
      <c r="C71" s="22" t="s">
        <v>205</v>
      </c>
      <c r="D71" s="22" t="s">
        <v>710</v>
      </c>
      <c r="E71" s="13">
        <v>42735.46234953704</v>
      </c>
      <c r="F71" s="13">
        <v>42735.463425925926</v>
      </c>
      <c r="G71" s="7">
        <v>1</v>
      </c>
      <c r="H71" s="22" t="s">
        <v>264</v>
      </c>
      <c r="I71" s="13">
        <v>42735.485312500001</v>
      </c>
      <c r="J71" s="7">
        <v>0</v>
      </c>
      <c r="K71" s="105" t="str">
        <f t="shared" si="0"/>
        <v>4003/4004</v>
      </c>
      <c r="L71" s="22" t="str">
        <f>VLOOKUP(A71,'Trips&amp;Operators'!$C$1:$G$99999,5,FALSE)</f>
        <v>STEWART MICHAEL</v>
      </c>
      <c r="M71" s="6">
        <f t="shared" si="1"/>
        <v>2.1886574075324461E-2</v>
      </c>
      <c r="N71" s="7"/>
      <c r="O71" s="7"/>
      <c r="P71" s="7">
        <f>24*60*SUM($M71:$M71)</f>
        <v>31.516666668467224</v>
      </c>
      <c r="Q71" s="23"/>
      <c r="R71" s="23" t="s">
        <v>842</v>
      </c>
      <c r="S71" s="32">
        <f t="shared" si="22"/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10:05:47-700',mode:absolute,to:'2016-12-31 12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1" s="49" t="str">
        <f t="shared" si="23"/>
        <v>Y</v>
      </c>
      <c r="X71" s="173">
        <f t="shared" si="24"/>
        <v>1</v>
      </c>
      <c r="Y71" s="64">
        <f t="shared" si="8"/>
        <v>1.913</v>
      </c>
      <c r="Z71" s="64">
        <f t="shared" si="9"/>
        <v>23.328900000000001</v>
      </c>
      <c r="AA71" s="64">
        <f t="shared" si="10"/>
        <v>21.415900000000001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11"/>
        <v>0159-31</v>
      </c>
      <c r="AE71" s="87" t="str">
        <f t="shared" si="12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71" s="84" t="str">
        <f t="shared" si="13"/>
        <v>"C:\Program Files (x86)\AstroGrep\AstroGrep.exe" /spath="%USERPROFILE%\AppData\Local\Temp\OnboardLogs" /stypes="app*4003*20161231*"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159-31 --locoid 4003 --swversion DE.1.0.8.0 --startMP 204:19130 --initTime 2016-12-31T11:05:47 --startdatetime 2016-12-31T11:07:20 --delay 1 --endMP 204:233289 --enddatetime 2016-12-31T11:38:51 --enforcementcount 0 &gt;&gt;C:\Users\stu\Documents\GitHub\eaglep3-reporting\EC\2016-12-31-refined-times.txt</v>
      </c>
      <c r="AI71" s="115" t="str">
        <f t="shared" si="19"/>
        <v>echo {"issue":{"subject":"DUS SW 9 was reverse (this train was Main 1)","project_id":79,"tracker_id":40,"status_id":1,"priority_id":2,"assigned_to_id":23,"start_date":"2016-12-31","description":"","custom_fields":[{"id":1,"name":"Subdivision","value":"EC"},{"id":4,"name":"Milepost","value":"23.3289"},{"id":17,"name":"Train ID","value":"159-31"},{"id":16,"name":"Locomotive ID","value":"4003"},{"id":130,"name":"Impact","value":""},{"id":150,"name":"Time of Event (Mountain Time)","value":"11:38:51"},{"id":151,"name":"Denver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4003 --day 2016-12-31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557</v>
      </c>
      <c r="B72" s="7">
        <v>4003</v>
      </c>
      <c r="C72" s="22" t="s">
        <v>205</v>
      </c>
      <c r="D72" s="22" t="s">
        <v>228</v>
      </c>
      <c r="E72" s="13">
        <v>42735.453645833331</v>
      </c>
      <c r="F72" s="13">
        <v>42735.463425925926</v>
      </c>
      <c r="G72" s="7">
        <v>2</v>
      </c>
      <c r="H72" s="22" t="s">
        <v>711</v>
      </c>
      <c r="I72" s="13">
        <v>42735.485312500001</v>
      </c>
      <c r="J72" s="7">
        <v>0</v>
      </c>
      <c r="K72" s="105" t="str">
        <f t="shared" si="0"/>
        <v>4003/4004</v>
      </c>
      <c r="L72" s="22" t="str">
        <f>VLOOKUP(A72,'Trips&amp;Operators'!$C$1:$G$99999,5,FALSE)</f>
        <v>STEWART MICHAEL</v>
      </c>
      <c r="M72" s="6">
        <f t="shared" si="1"/>
        <v>2.1886574075324461E-2</v>
      </c>
      <c r="N72" s="7"/>
      <c r="O72" s="7"/>
      <c r="P72" s="7"/>
      <c r="Q72" s="23"/>
      <c r="R72" s="23"/>
      <c r="S72" s="32"/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09:53:15-700',mode:absolute,to:'2016-12-31 12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2" s="49" t="str">
        <f t="shared" si="23"/>
        <v>Y</v>
      </c>
      <c r="X72" s="173">
        <f t="shared" si="24"/>
        <v>0</v>
      </c>
      <c r="Y72" s="64">
        <f t="shared" si="8"/>
        <v>4.5499999999999999E-2</v>
      </c>
      <c r="Z72" s="64">
        <f t="shared" si="9"/>
        <v>0.13020000000000001</v>
      </c>
      <c r="AA72" s="64">
        <f t="shared" si="10"/>
        <v>8.4700000000000011E-2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1"/>
        <v>0159-31</v>
      </c>
      <c r="AE72" s="87" t="str">
        <f t="shared" si="12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72" s="84" t="str">
        <f t="shared" si="13"/>
        <v>"C:\Program Files (x86)\AstroGrep\AstroGrep.exe" /spath="%USERPROFILE%\AppData\Local\Temp\OnboardLogs" /stypes="app*4003*20161231*"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159-31 --locoid 4003 --swversion DE.1.0.8.0 --startMP 204:455 --initTime 2016-12-31T10:53:15 --startdatetime 2016-12-31T11:07:20 --delay 2 --endMP 204:1302 --enddatetime 2016-12-31T11:38:51 --enforcementcount 0 &gt;&gt;C:\Users\stu\Documents\GitHub\eaglep3-reporting\EC\2016-12-31-refined-times.txt</v>
      </c>
      <c r="AI72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{"issue":{"subject":"","project_id":79,"tracker_id":40,"status_id":1,"priority_id":2,"assigned_to_id":23,"start_date":"2016-12-31","description":"","custom_fields":[{"id":1,"name":"Subdivision","value":"EC"},{"id":4,"name":"Milepost","value":"0.1302"},{"id":17,"name":"Train ID","value":"159-31"},{"id":16,"name":"Locomotive ID","value":"4003"},{"id":130,"name":"Impact","value":""},{"id":150,"name":"Time of Event (Mountain Time)","value":"11:38:51"},{"id":151,"name":"Denver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4003 --day 2016-12-31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444</v>
      </c>
      <c r="B73" s="7">
        <v>4004</v>
      </c>
      <c r="C73" s="22" t="s">
        <v>205</v>
      </c>
      <c r="D73" s="22" t="s">
        <v>712</v>
      </c>
      <c r="E73" s="13">
        <v>42735.492858796293</v>
      </c>
      <c r="F73" s="13">
        <v>42735.497465277775</v>
      </c>
      <c r="G73" s="7">
        <v>1</v>
      </c>
      <c r="H73" s="22" t="s">
        <v>192</v>
      </c>
      <c r="I73" s="13">
        <v>42735.524502314816</v>
      </c>
      <c r="J73" s="7">
        <v>0</v>
      </c>
      <c r="K73" s="105" t="str">
        <f t="shared" si="0"/>
        <v>4003/4004</v>
      </c>
      <c r="L73" s="22" t="str">
        <f>VLOOKUP(A73,'Trips&amp;Operators'!$C$1:$G$99999,5,FALSE)</f>
        <v>STEWART MICHAEL</v>
      </c>
      <c r="M73" s="6">
        <f t="shared" si="1"/>
        <v>2.7037037041736767E-2</v>
      </c>
      <c r="N73" s="7">
        <f t="shared" ref="N73:N104" si="25">24*60*SUM($M73:$M73)</f>
        <v>38.933333340100944</v>
      </c>
      <c r="O73" s="7"/>
      <c r="P73" s="7"/>
      <c r="Q73" s="23"/>
      <c r="R73" s="23"/>
      <c r="S73" s="32">
        <f t="shared" ref="S73:S104" si="26">SUM(U73:U73)/IF(AG73="EC",12,1)</f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10:49:43-700',mode:absolute,to:'2016-12-31 13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3" s="49" t="str">
        <f t="shared" si="23"/>
        <v>N</v>
      </c>
      <c r="X73" s="173">
        <f t="shared" si="24"/>
        <v>1</v>
      </c>
      <c r="Y73" s="64">
        <f t="shared" si="8"/>
        <v>23.296299999999999</v>
      </c>
      <c r="Z73" s="64">
        <f t="shared" si="9"/>
        <v>1.43E-2</v>
      </c>
      <c r="AA73" s="64">
        <f t="shared" si="10"/>
        <v>23.282</v>
      </c>
      <c r="AB73" s="61" t="str">
        <f>VLOOKUP(A73,Enforcements!$C$7:$K$19,8,0)</f>
        <v>Speed (6)</v>
      </c>
      <c r="AC73" s="57" t="str">
        <f>VLOOKUP(A73,Enforcements!$C$7:$E$19,3,0)</f>
        <v>PERMANENT SPEED RESTRICTION</v>
      </c>
      <c r="AD73" s="58" t="str">
        <f t="shared" si="11"/>
        <v>0160-31</v>
      </c>
      <c r="AE73" s="87" t="str">
        <f t="shared" si="12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73" s="84" t="str">
        <f t="shared" si="13"/>
        <v>"C:\Program Files (x86)\AstroGrep\AstroGrep.exe" /spath="%USERPROFILE%\AppData\Local\Temp\OnboardLogs" /stypes="app*4004*20161231*"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160-31 --locoid 4004 --swversion DE.1.0.8.0 --startMP 204:232963 --initTime 2016-12-31T11:49:43 --startdatetime 2016-12-31T11:56:21 --delay 1 --endMP 204:143 --enddatetime 2016-12-31T12:35:17 --enforcementcount 0 &gt;&gt;C:\Users\stu\Documents\GitHub\eaglep3-reporting\EC\2016-12-31-refined-times.txt</v>
      </c>
      <c r="AI73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{"issue":{"subject":"","project_id":79,"tracker_id":40,"status_id":1,"priority_id":2,"assigned_to_id":23,"start_date":"2016-12-31","description":"","custom_fields":[{"id":1,"name":"Subdivision","value":"EC"},{"id":4,"name":"Milepost","value":"0.0143"},{"id":17,"name":"Train ID","value":"160-31"},{"id":16,"name":"Locomotive ID","value":"4004"},{"id":130,"name":"Impact","value":""},{"id":150,"name":"Time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4004 --day 2016-12-31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561</v>
      </c>
      <c r="B74" s="7">
        <v>4016</v>
      </c>
      <c r="C74" s="22" t="s">
        <v>205</v>
      </c>
      <c r="D74" s="22" t="s">
        <v>713</v>
      </c>
      <c r="E74" s="13">
        <v>42735.467604166668</v>
      </c>
      <c r="F74" s="13">
        <v>42735.470069444447</v>
      </c>
      <c r="G74" s="7">
        <v>1</v>
      </c>
      <c r="H74" s="22" t="s">
        <v>714</v>
      </c>
      <c r="I74" s="13">
        <v>42735.497106481482</v>
      </c>
      <c r="J74" s="7">
        <v>0</v>
      </c>
      <c r="K74" s="105" t="str">
        <f t="shared" si="0"/>
        <v>4015/4016</v>
      </c>
      <c r="L74" s="22" t="str">
        <f>VLOOKUP(A74,'Trips&amp;Operators'!$C$1:$G$99999,5,FALSE)</f>
        <v>DAVIS MICHAEL</v>
      </c>
      <c r="M74" s="6">
        <f t="shared" si="1"/>
        <v>2.7037037034460809E-2</v>
      </c>
      <c r="N74" s="7">
        <f t="shared" si="25"/>
        <v>38.933333329623565</v>
      </c>
      <c r="O74" s="7"/>
      <c r="P74" s="7"/>
      <c r="Q74" s="23"/>
      <c r="R74" s="23"/>
      <c r="S74" s="32">
        <f t="shared" si="26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10:13:21-700',mode:absolute,to:'2016-12-31 12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4" s="49" t="str">
        <f t="shared" si="23"/>
        <v>N</v>
      </c>
      <c r="X74" s="173">
        <f t="shared" si="24"/>
        <v>1</v>
      </c>
      <c r="Y74" s="64">
        <f t="shared" si="8"/>
        <v>4.3499999999999997E-2</v>
      </c>
      <c r="Z74" s="64">
        <f t="shared" si="9"/>
        <v>23.3278</v>
      </c>
      <c r="AA74" s="64">
        <f t="shared" si="10"/>
        <v>23.284299999999998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 t="shared" si="11"/>
        <v>0161-31</v>
      </c>
      <c r="AE74" s="87" t="str">
        <f t="shared" si="12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74" s="84" t="str">
        <f t="shared" si="13"/>
        <v>"C:\Program Files (x86)\AstroGrep\AstroGrep.exe" /spath="%USERPROFILE%\AppData\Local\Temp\OnboardLogs" /stypes="app*4016*20161231*"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161-31 --locoid 4016 --swversion DE.1.0.8.0 --startMP 204:435 --initTime 2016-12-31T11:13:21 --startdatetime 2016-12-31T11:16:54 --delay 1 --endMP 204:233278 --enddatetime 2016-12-31T11:55:50 --enforcementcount 0 &gt;&gt;C:\Users\stu\Documents\GitHub\eaglep3-reporting\EC\2016-12-31-refined-times.txt</v>
      </c>
      <c r="AI74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{"issue":{"subject":"","project_id":79,"tracker_id":40,"status_id":1,"priority_id":2,"assigned_to_id":23,"start_date":"2016-12-31","description":"","custom_fields":[{"id":1,"name":"Subdivision","value":"EC"},{"id":4,"name":"Milepost","value":"23.3278"},{"id":17,"name":"Train ID","value":"161-31"},{"id":16,"name":"Locomotive ID","value":"4016"},{"id":130,"name":"Impact","value":""},{"id":150,"name":"Time of Event (Mountain Time)","value":"11:55:50"},{"id":151,"name":"Denver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4016 --day 2016-12-31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569</v>
      </c>
      <c r="B75" s="7">
        <v>4015</v>
      </c>
      <c r="C75" s="22" t="s">
        <v>205</v>
      </c>
      <c r="D75" s="22" t="s">
        <v>715</v>
      </c>
      <c r="E75" s="13">
        <v>42735.503923611112</v>
      </c>
      <c r="F75" s="13">
        <v>42735.508217592593</v>
      </c>
      <c r="G75" s="7">
        <v>1</v>
      </c>
      <c r="H75" s="22" t="s">
        <v>191</v>
      </c>
      <c r="I75" s="13">
        <v>42735.536226851851</v>
      </c>
      <c r="J75" s="7">
        <v>0</v>
      </c>
      <c r="K75" s="105" t="str">
        <f t="shared" si="0"/>
        <v>4015/4016</v>
      </c>
      <c r="L75" s="22" t="str">
        <f>VLOOKUP(A75,'Trips&amp;Operators'!$C$1:$G$99999,5,FALSE)</f>
        <v>DAVIS MICHAEL</v>
      </c>
      <c r="M75" s="6">
        <f t="shared" si="1"/>
        <v>2.8009259258396924E-2</v>
      </c>
      <c r="N75" s="7">
        <f t="shared" si="25"/>
        <v>40.33333333209157</v>
      </c>
      <c r="O75" s="7"/>
      <c r="P75" s="7"/>
      <c r="Q75" s="23"/>
      <c r="R75" s="23"/>
      <c r="S75" s="32">
        <f t="shared" si="26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11:05:39-700',mode:absolute,to:'2016-12-31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5" s="49" t="str">
        <f t="shared" si="23"/>
        <v>N</v>
      </c>
      <c r="X75" s="173">
        <f t="shared" si="24"/>
        <v>1</v>
      </c>
      <c r="Y75" s="64">
        <f t="shared" si="8"/>
        <v>23.297899999999998</v>
      </c>
      <c r="Z75" s="64">
        <f t="shared" si="9"/>
        <v>1.49E-2</v>
      </c>
      <c r="AA75" s="64">
        <f t="shared" si="10"/>
        <v>23.282999999999998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1"/>
        <v>0162-31</v>
      </c>
      <c r="AE75" s="87" t="str">
        <f t="shared" si="12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75" s="84" t="str">
        <f t="shared" si="13"/>
        <v>"C:\Program Files (x86)\AstroGrep\AstroGrep.exe" /spath="%USERPROFILE%\AppData\Local\Temp\OnboardLogs" /stypes="app*4015*20161231*"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162-31 --locoid 4015 --swversion DE.1.0.8.0 --startMP 204:232979 --initTime 2016-12-31T12:05:39 --startdatetime 2016-12-31T12:11:50 --delay 1 --endMP 204:149 --enddatetime 2016-12-31T12:52:10 --enforcementcount 0 &gt;&gt;C:\Users\stu\Documents\GitHub\eaglep3-reporting\EC\2016-12-31-refined-times.txt</v>
      </c>
      <c r="AI75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{"issue":{"subject":"","project_id":79,"tracker_id":40,"status_id":1,"priority_id":2,"assigned_to_id":23,"start_date":"2016-12-31","description":"","custom_fields":[{"id":1,"name":"Subdivision","value":"EC"},{"id":4,"name":"Milepost","value":"0.0149"},{"id":17,"name":"Train ID","value":"162-31"},{"id":16,"name":"Locomotive ID","value":"4015"},{"id":130,"name":"Impact","value":""},{"id":150,"name":"Time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4015 --day 2016-12-31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562</v>
      </c>
      <c r="B76" s="7">
        <v>4046</v>
      </c>
      <c r="C76" s="22" t="s">
        <v>205</v>
      </c>
      <c r="D76" s="22" t="s">
        <v>250</v>
      </c>
      <c r="E76" s="13">
        <v>42735.476909722223</v>
      </c>
      <c r="F76" s="13">
        <v>42735.479375000003</v>
      </c>
      <c r="G76" s="7">
        <v>1</v>
      </c>
      <c r="H76" s="22" t="s">
        <v>704</v>
      </c>
      <c r="I76" s="13">
        <v>42735.503645833334</v>
      </c>
      <c r="J76" s="7">
        <v>0</v>
      </c>
      <c r="K76" s="105" t="str">
        <f t="shared" si="0"/>
        <v>4045/4046</v>
      </c>
      <c r="L76" s="22" t="str">
        <f>VLOOKUP(A76,'Trips&amp;Operators'!$C$1:$G$99999,5,FALSE)</f>
        <v>BRUDER RICHARD</v>
      </c>
      <c r="M76" s="6">
        <f t="shared" si="1"/>
        <v>2.4270833331684116E-2</v>
      </c>
      <c r="N76" s="7">
        <f t="shared" si="25"/>
        <v>34.949999997625127</v>
      </c>
      <c r="O76" s="7"/>
      <c r="P76" s="7"/>
      <c r="Q76" s="23"/>
      <c r="R76" s="23"/>
      <c r="S76" s="32">
        <f t="shared" si="26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https://search-rtdc-monitor-bjffxe2xuh6vdkpspy63sjmuny.us-east-1.es.amazonaws.com/_plugin/kibana/#/discover/Steve-Slow-Train-Analysis-(2080s-and-2083s)?_g=(refreshInterval:(display:Off,section:0,value:0),time:(from:'2016-12-31 10:26:45-700',mode:absolute,to:'2016-12-31 13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6" s="49" t="str">
        <f t="shared" si="23"/>
        <v>N</v>
      </c>
      <c r="X76" s="173">
        <f t="shared" si="24"/>
        <v>1</v>
      </c>
      <c r="Y76" s="64">
        <f t="shared" si="8"/>
        <v>4.6399999999999997E-2</v>
      </c>
      <c r="Z76" s="64">
        <f t="shared" si="9"/>
        <v>23.330300000000001</v>
      </c>
      <c r="AA76" s="64">
        <f t="shared" si="10"/>
        <v>23.283900000000003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11"/>
        <v>0163-31</v>
      </c>
      <c r="AE76" s="87" t="str">
        <f t="shared" si="12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76" s="84" t="str">
        <f t="shared" si="13"/>
        <v>"C:\Program Files (x86)\AstroGrep\AstroGrep.exe" /spath="%USERPROFILE%\AppData\Local\Temp\OnboardLogs" /stypes="app*4046*20161231*"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163-31 --locoid 4046 --swversion DE.1.0.8.0 --startMP 204:464 --initTime 2016-12-31T11:26:45 --startdatetime 2016-12-31T11:30:18 --delay 1 --endMP 204:233303 --enddatetime 2016-12-31T12:05:15 --enforcementcount 0 &gt;&gt;C:\Users\stu\Documents\GitHub\eaglep3-reporting\EC\2016-12-31-refined-times.txt</v>
      </c>
      <c r="AI76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{"issue":{"subject":"","project_id":79,"tracker_id":40,"status_id":1,"priority_id":2,"assigned_to_id":23,"start_date":"2016-12-31","description":"","custom_fields":[{"id":1,"name":"Subdivision","value":"EC"},{"id":4,"name":"Milepost","value":"23.3303"},{"id":17,"name":"Train ID","value":"163-31"},{"id":16,"name":"Locomotive ID","value":"4046"},{"id":130,"name":"Impact","value":""},{"id":150,"name":"Time of Event (Mountain Time)","value":"12:05:15"},{"id":151,"name":"Denver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4046 --day 2016-12-31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571</v>
      </c>
      <c r="B77" s="7">
        <v>4045</v>
      </c>
      <c r="C77" s="22" t="s">
        <v>205</v>
      </c>
      <c r="D77" s="22" t="s">
        <v>301</v>
      </c>
      <c r="E77" s="13">
        <v>42735.51363425926</v>
      </c>
      <c r="F77" s="13">
        <v>42735.518425925926</v>
      </c>
      <c r="G77" s="7">
        <v>1</v>
      </c>
      <c r="H77" s="22" t="s">
        <v>682</v>
      </c>
      <c r="I77" s="13">
        <v>42735.544861111113</v>
      </c>
      <c r="J77" s="7">
        <v>0</v>
      </c>
      <c r="K77" s="105" t="str">
        <f t="shared" ref="K77:K140" si="27">IF(ISEVEN(B77),(B77-1)&amp;"/"&amp;B77,B77&amp;"/"&amp;(B77+1))</f>
        <v>4045/4046</v>
      </c>
      <c r="L77" s="22" t="str">
        <f>VLOOKUP(A77,'Trips&amp;Operators'!$C$1:$G$99999,5,FALSE)</f>
        <v>BRUDER RICHARD</v>
      </c>
      <c r="M77" s="6">
        <f t="shared" ref="M77:M140" si="28">I77-F77</f>
        <v>2.6435185187438037E-2</v>
      </c>
      <c r="N77" s="7">
        <f t="shared" si="25"/>
        <v>38.066666669910774</v>
      </c>
      <c r="O77" s="7"/>
      <c r="P77" s="7"/>
      <c r="Q77" s="23"/>
      <c r="R77" s="23"/>
      <c r="S77" s="32">
        <f t="shared" si="26"/>
        <v>1</v>
      </c>
      <c r="T77" s="47" t="str">
        <f t="shared" ref="T77:T140" si="29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https://search-rtdc-monitor-bjffxe2xuh6vdkpspy63sjmuny.us-east-1.es.amazonaws.com/_plugin/kibana/#/discover/Steve-Slow-Train-Analysis-(2080s-and-2083s)?_g=(refreshInterval:(display:Off,section:0,value:0),time:(from:'2016-12-31 11:19:38-700',mode:absolute,to:'2016-12-31 14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49" t="str">
        <f t="shared" ref="W77:W110" si="31">IF(AA77&lt;IF(AG77="EC",23,5.65),"Y","N")</f>
        <v>N</v>
      </c>
      <c r="X77" s="173">
        <f t="shared" ref="X77:X110" si="32">VALUE(LEFT(AD77,4))-VALUE(LEFT(AD76,4))</f>
        <v>1</v>
      </c>
      <c r="Y77" s="64">
        <f t="shared" ref="Y77:Y140" si="33">RIGHT(D77,LEN(D77)-4)/10000</f>
        <v>23.298200000000001</v>
      </c>
      <c r="Z77" s="64">
        <f t="shared" ref="Z77:Z140" si="34">RIGHT(H77,LEN(H77)-4)/10000</f>
        <v>1.61E-2</v>
      </c>
      <c r="AA77" s="64">
        <f t="shared" ref="AA77:AA140" si="35">ABS(Z77-Y77)</f>
        <v>23.2821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ref="AD77:AD140" si="36">IF(LEN(A77)=6,"0"&amp;A77,A77)</f>
        <v>0164-31</v>
      </c>
      <c r="AE77" s="8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77" s="84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/stypes="app*4045*20161231*" /stext=" 20:.+((SYSTEM_STATE.+slice.+state.+changed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164-31 --locoid 4045 --swversion DE.1.0.8.0 --startMP 204:232982 --initTime 2016-12-31T12:19:38 --startdatetime 2016-12-31T12:26:32 --delay 1 --endMP 204:161 --enddatetime 2016-12-31T13:04:36 --enforcementcount 0 &gt;&gt;C:\Users\stu\Documents\GitHub\eaglep3-reporting\EC\2016-12-31-refined-times.txt</v>
      </c>
      <c r="AI77" s="115" t="str">
        <f t="shared" si="19"/>
        <v>echo {"issue":{"subject":"","project_id":79,"tracker_id":40,"status_id":1,"priority_id":2,"assigned_to_id":23,"start_date":"2016-12-31","description":"","custom_fields":[{"id":1,"name":"Subdivision","value":"EC"},{"id":4,"name":"Milepost","value":"0.0161"},{"id":17,"name":"Train ID","value":"164-31"},{"id":16,"name":"Locomotive ID","value":"4045"},{"id":130,"name":"Impact","value":""},{"id":150,"name":"Time of Event (Mountain Time)","value":"13:04:36"},{"id":151,"name":"Denver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0"/>
        <v>start /low /b %USERPROFILE%\Documents\GitHub\eaglep3\Utilities\DownloadLogsFromS3.py --loco 4045 --day 2016-12-31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564</v>
      </c>
      <c r="B78" s="7">
        <v>4025</v>
      </c>
      <c r="C78" s="22" t="s">
        <v>205</v>
      </c>
      <c r="D78" s="22" t="s">
        <v>193</v>
      </c>
      <c r="E78" s="13">
        <v>42735.484409722223</v>
      </c>
      <c r="F78" s="13">
        <v>42735.48978009259</v>
      </c>
      <c r="G78" s="7">
        <v>1</v>
      </c>
      <c r="H78" s="22" t="s">
        <v>271</v>
      </c>
      <c r="I78" s="13">
        <v>42735.515752314815</v>
      </c>
      <c r="J78" s="7">
        <v>0</v>
      </c>
      <c r="K78" s="105" t="str">
        <f t="shared" si="27"/>
        <v>4025/4026</v>
      </c>
      <c r="L78" s="22" t="str">
        <f>VLOOKUP(A78,'Trips&amp;Operators'!$C$1:$G$99999,5,FALSE)</f>
        <v>KILLION DAVID</v>
      </c>
      <c r="M78" s="6">
        <f t="shared" si="28"/>
        <v>2.5972222225391306E-2</v>
      </c>
      <c r="N78" s="7">
        <f t="shared" si="25"/>
        <v>37.400000004563481</v>
      </c>
      <c r="O78" s="7"/>
      <c r="P78" s="7"/>
      <c r="Q78" s="23"/>
      <c r="R78" s="23"/>
      <c r="S78" s="32">
        <f t="shared" si="26"/>
        <v>1</v>
      </c>
      <c r="T78" s="47" t="str">
        <f t="shared" si="29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10:37:33-700',mode:absolute,to:'2016-12-31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8" s="49" t="str">
        <f t="shared" si="31"/>
        <v>N</v>
      </c>
      <c r="X78" s="173">
        <f t="shared" si="32"/>
        <v>1</v>
      </c>
      <c r="Y78" s="64">
        <f t="shared" si="33"/>
        <v>4.4699999999999997E-2</v>
      </c>
      <c r="Z78" s="64">
        <f t="shared" si="34"/>
        <v>23.329499999999999</v>
      </c>
      <c r="AA78" s="64">
        <f t="shared" si="35"/>
        <v>23.284800000000001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6"/>
        <v>0165-31</v>
      </c>
      <c r="AE78" s="87" t="str">
        <f t="shared" si="37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78" s="84" t="str">
        <f t="shared" si="38"/>
        <v>"C:\Program Files (x86)\AstroGrep\AstroGrep.exe" /spath="%USERPROFILE%\AppData\Local\Temp\OnboardLogs" /stypes="app*4025*20161231*" /stext=" 19:.+((SYSTEM_STATE.+slice.+state.+changed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88" t="str">
        <f t="shared" ref="AH78:AH140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165-31 --locoid 4025 --swversion DE.1.0.8.0 --startMP 204:447 --initTime 2016-12-31T11:37:33 --startdatetime 2016-12-31T11:45:17 --delay 1 --endMP 204:233295 --enddatetime 2016-12-31T12:22:41 --enforcementcount 0 &gt;&gt;C:\Users\stu\Documents\GitHub\eaglep3-reporting\EC\2016-12-31-refined-times.txt</v>
      </c>
      <c r="AI78" s="115" t="str">
        <f t="shared" ref="AI78:AI140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{"issue":{"subject":"","project_id":79,"tracker_id":40,"status_id":1,"priority_id":2,"assigned_to_id":23,"start_date":"2016-12-31","description":"","custom_fields":[{"id":1,"name":"Subdivision","value":"EC"},{"id":4,"name":"Milepost","value":"23.3295"},{"id":17,"name":"Train ID","value":"165-31"},{"id":16,"name":"Locomotive ID","value":"4025"},{"id":130,"name":"Impact","value":""},{"id":150,"name":"Time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ref="AM78:AM140" si="42">"start /low /b "&amp;dls3logs&amp;" --loco "&amp;B78&amp;" --day "&amp;TEXT(F78,"YYYY-MM-DD")</f>
        <v>start /low /b %USERPROFILE%\Documents\GitHub\eaglep3\Utilities\DownloadLogsFromS3.py --loco 4025 --day 2016-12-31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446</v>
      </c>
      <c r="B79" s="7">
        <v>4026</v>
      </c>
      <c r="C79" s="22" t="s">
        <v>205</v>
      </c>
      <c r="D79" s="22" t="s">
        <v>329</v>
      </c>
      <c r="E79" s="13">
        <v>42735.522048611114</v>
      </c>
      <c r="F79" s="13">
        <v>42735.528807870367</v>
      </c>
      <c r="G79" s="7">
        <v>1</v>
      </c>
      <c r="H79" s="22" t="s">
        <v>211</v>
      </c>
      <c r="I79" s="13">
        <v>42735.556620370371</v>
      </c>
      <c r="J79" s="7">
        <v>0</v>
      </c>
      <c r="K79" s="105" t="str">
        <f t="shared" si="27"/>
        <v>4025/4026</v>
      </c>
      <c r="L79" s="22" t="str">
        <f>VLOOKUP(A79,'Trips&amp;Operators'!$C$1:$G$99999,5,FALSE)</f>
        <v>KILLION DAVID</v>
      </c>
      <c r="M79" s="6">
        <f t="shared" si="28"/>
        <v>2.7812500004074536E-2</v>
      </c>
      <c r="N79" s="7">
        <f t="shared" si="25"/>
        <v>40.050000005867332</v>
      </c>
      <c r="O79" s="7"/>
      <c r="P79" s="7"/>
      <c r="Q79" s="23"/>
      <c r="R79" s="23"/>
      <c r="S79" s="32">
        <f t="shared" si="26"/>
        <v>1</v>
      </c>
      <c r="T79" s="47" t="str">
        <f t="shared" si="29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11:31:45-700',mode:absolute,to:'2016-12-31 14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9" s="49" t="str">
        <f t="shared" si="31"/>
        <v>N</v>
      </c>
      <c r="X79" s="173">
        <f t="shared" si="32"/>
        <v>1</v>
      </c>
      <c r="Y79" s="64">
        <f t="shared" si="33"/>
        <v>23.2989</v>
      </c>
      <c r="Z79" s="64">
        <f t="shared" si="34"/>
        <v>1.4999999999999999E-2</v>
      </c>
      <c r="AA79" s="64">
        <f t="shared" si="35"/>
        <v>23.283899999999999</v>
      </c>
      <c r="AB79" s="61" t="str">
        <f>VLOOKUP(A79,Enforcements!$C$7:$K$19,8,0)</f>
        <v>Speed (6)</v>
      </c>
      <c r="AC79" s="57" t="str">
        <f>VLOOKUP(A79,Enforcements!$C$7:$E$19,3,0)</f>
        <v>PERMANENT SPEED RESTRICTION</v>
      </c>
      <c r="AD79" s="58" t="str">
        <f t="shared" si="36"/>
        <v>0166-31</v>
      </c>
      <c r="AE79" s="87" t="str">
        <f t="shared" si="37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79" s="84" t="str">
        <f t="shared" si="38"/>
        <v>"C:\Program Files (x86)\AstroGrep\AstroGrep.exe" /spath="%USERPROFILE%\AppData\Local\Temp\OnboardLogs" /stypes="app*4026*20161231*" /stext=" 20:.+((SYSTEM_STATE.+slice.+state.+changed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88" t="str">
        <f t="shared" si="40"/>
        <v>"%USERPROFILE%\Documents\GitHub\eaglep3\Utilities\RefineRTDCRunTimes.py" --tripid 166-31 --locoid 4026 --swversion DE.1.0.8.0 --startMP 204:232989 --initTime 2016-12-31T12:31:45 --startdatetime 2016-12-31T12:41:29 --delay 1 --endMP 204:150 --enddatetime 2016-12-31T13:21:32 --enforcementcount 0 &gt;&gt;C:\Users\stu\Documents\GitHub\eaglep3-reporting\EC\2016-12-31-refined-times.txt</v>
      </c>
      <c r="AI7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ID","value":"166-31"},{"id":16,"name":"Locomotive ID","value":"4026"},{"id":130,"name":"Impact","value":""},{"id":150,"name":"Time of Event (Mountain Time)","value":"13:21:32"},{"id":151,"name":"Denver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2"/>
        <v>start /low /b %USERPROFILE%\Documents\GitHub\eaglep3\Utilities\DownloadLogsFromS3.py --loco 4026 --day 2016-12-31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568</v>
      </c>
      <c r="B80" s="7">
        <v>4018</v>
      </c>
      <c r="C80" s="22" t="s">
        <v>205</v>
      </c>
      <c r="D80" s="22" t="s">
        <v>716</v>
      </c>
      <c r="E80" s="13">
        <v>42735.496111111112</v>
      </c>
      <c r="F80" s="13">
        <v>42735.500150462962</v>
      </c>
      <c r="G80" s="7">
        <v>2</v>
      </c>
      <c r="H80" s="22" t="s">
        <v>412</v>
      </c>
      <c r="I80" s="13">
        <v>42735.524525462963</v>
      </c>
      <c r="J80" s="7">
        <v>0</v>
      </c>
      <c r="K80" s="105" t="str">
        <f t="shared" si="27"/>
        <v>4017/4018</v>
      </c>
      <c r="L80" s="22" t="str">
        <f>VLOOKUP(A80,'Trips&amp;Operators'!$C$1:$G$99999,5,FALSE)</f>
        <v>ROMERO CHAD</v>
      </c>
      <c r="M80" s="6">
        <f t="shared" si="28"/>
        <v>2.4375000000873115E-2</v>
      </c>
      <c r="N80" s="7">
        <f t="shared" si="25"/>
        <v>35.100000001257285</v>
      </c>
      <c r="O80" s="7"/>
      <c r="P80" s="7"/>
      <c r="Q80" s="23"/>
      <c r="R80" s="23"/>
      <c r="S80" s="32">
        <f t="shared" si="26"/>
        <v>1</v>
      </c>
      <c r="T80" s="47" t="str">
        <f t="shared" si="29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10:54:24-700',mode:absolute,to:'2016-12-31 13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0" s="49" t="str">
        <f t="shared" si="31"/>
        <v>N</v>
      </c>
      <c r="X80" s="173">
        <f t="shared" si="32"/>
        <v>1</v>
      </c>
      <c r="Y80" s="64">
        <f t="shared" si="33"/>
        <v>4.3299999999999998E-2</v>
      </c>
      <c r="Z80" s="64">
        <f t="shared" si="34"/>
        <v>23.330500000000001</v>
      </c>
      <c r="AA80" s="64">
        <f t="shared" si="35"/>
        <v>23.287200000000002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36"/>
        <v>0167-31</v>
      </c>
      <c r="AE80" s="87" t="str">
        <f t="shared" si="37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80" s="84" t="str">
        <f t="shared" si="38"/>
        <v>"C:\Program Files (x86)\AstroGrep\AstroGrep.exe" /spath="%USERPROFILE%\AppData\Local\Temp\OnboardLogs" /stypes="app*4018*20161231*" /stext=" 19:.+((SYSTEM_STATE.+slice.+state.+changed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88" t="str">
        <f t="shared" si="40"/>
        <v>"%USERPROFILE%\Documents\GitHub\eaglep3\Utilities\RefineRTDCRunTimes.py" --tripid 167-31 --locoid 4018 --swversion DE.1.0.8.0 --startMP 204:433 --initTime 2016-12-31T11:54:24 --startdatetime 2016-12-31T12:00:13 --delay 2 --endMP 204:233305 --enddatetime 2016-12-31T12:35:19 --enforcementcount 0 &gt;&gt;C:\Users\stu\Documents\GitHub\eaglep3-reporting\EC\2016-12-31-refined-times.txt</v>
      </c>
      <c r="AI8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{"issue":{"subject":"","project_id":79,"tracker_id":40,"status_id":1,"priority_id":2,"assigned_to_id":23,"start_date":"2016-12-31","description":"","custom_fields":[{"id":1,"name":"Subdivision","value":"EC"},{"id":4,"name":"Milepost","value":"23.3305"},{"id":17,"name":"Train ID","value":"167-31"},{"id":16,"name":"Locomotive ID","value":"4018"},{"id":130,"name":"Impact","value":""},{"id":150,"name":"Time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2"/>
        <v>start /low /b %USERPROFILE%\Documents\GitHub\eaglep3\Utilities\DownloadLogsFromS3.py --loco 4018 --day 2016-12-31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574</v>
      </c>
      <c r="B81" s="7">
        <v>4017</v>
      </c>
      <c r="C81" s="22" t="s">
        <v>205</v>
      </c>
      <c r="D81" s="22" t="s">
        <v>409</v>
      </c>
      <c r="E81" s="13">
        <v>42735.527060185188</v>
      </c>
      <c r="F81" s="13">
        <v>42735.539097222223</v>
      </c>
      <c r="G81" s="7">
        <v>1</v>
      </c>
      <c r="H81" s="22" t="s">
        <v>411</v>
      </c>
      <c r="I81" s="13">
        <v>42735.566134259258</v>
      </c>
      <c r="J81" s="7">
        <v>0</v>
      </c>
      <c r="K81" s="105" t="str">
        <f t="shared" si="27"/>
        <v>4017/4018</v>
      </c>
      <c r="L81" s="22" t="str">
        <f>VLOOKUP(A81,'Trips&amp;Operators'!$C$1:$G$99999,5,FALSE)</f>
        <v>DELGADO DIANAH</v>
      </c>
      <c r="M81" s="6">
        <f t="shared" si="28"/>
        <v>2.7037037034460809E-2</v>
      </c>
      <c r="N81" s="7">
        <f t="shared" si="25"/>
        <v>38.933333329623565</v>
      </c>
      <c r="O81" s="7"/>
      <c r="P81" s="7"/>
      <c r="Q81" s="23"/>
      <c r="R81" s="23"/>
      <c r="S81" s="32">
        <f t="shared" si="26"/>
        <v>1</v>
      </c>
      <c r="T81" s="47" t="str">
        <f t="shared" si="29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11:38:58-700',mode:absolute,to:'2016-12-31 14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1" s="49" t="str">
        <f t="shared" si="31"/>
        <v>N</v>
      </c>
      <c r="X81" s="173">
        <f t="shared" si="32"/>
        <v>1</v>
      </c>
      <c r="Y81" s="64">
        <f t="shared" si="33"/>
        <v>23.296900000000001</v>
      </c>
      <c r="Z81" s="64">
        <f t="shared" si="34"/>
        <v>1.3599999999999999E-2</v>
      </c>
      <c r="AA81" s="64">
        <f t="shared" si="35"/>
        <v>23.283300000000001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36"/>
        <v>0168-31</v>
      </c>
      <c r="AE81" s="87" t="str">
        <f t="shared" si="37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81" s="84" t="str">
        <f t="shared" si="38"/>
        <v>"C:\Program Files (x86)\AstroGrep\AstroGrep.exe" /spath="%USERPROFILE%\AppData\Local\Temp\OnboardLogs" /stypes="app*4017*20161231*" /stext=" 20:.+((SYSTEM_STATE.+slice.+state.+changed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88" t="str">
        <f t="shared" si="40"/>
        <v>"%USERPROFILE%\Documents\GitHub\eaglep3\Utilities\RefineRTDCRunTimes.py" --tripid 168-31 --locoid 4017 --swversion DE.1.0.8.0 --startMP 204:232969 --initTime 2016-12-31T12:38:58 --startdatetime 2016-12-31T12:56:18 --delay 1 --endMP 204:136 --enddatetime 2016-12-31T13:35:14 --enforcementcount 0 &gt;&gt;C:\Users\stu\Documents\GitHub\eaglep3-reporting\EC\2016-12-31-refined-times.txt</v>
      </c>
      <c r="AI8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{"issue":{"subject":"","project_id":79,"tracker_id":40,"status_id":1,"priority_id":2,"assigned_to_id":23,"start_date":"2016-12-31","description":"","custom_fields":[{"id":1,"name":"Subdivision","value":"EC"},{"id":4,"name":"Milepost","value":"0.0136"},{"id":17,"name":"Train ID","value":"168-31"},{"id":16,"name":"Locomotive ID","value":"4017"},{"id":130,"name":"Impact","value":""},{"id":150,"name":"Time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2"/>
        <v>start /low /b %USERPROFILE%\Documents\GitHub\eaglep3\Utilities\DownloadLogsFromS3.py --loco 4017 --day 2016-12-31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570</v>
      </c>
      <c r="B82" s="7">
        <v>4011</v>
      </c>
      <c r="C82" s="22" t="s">
        <v>205</v>
      </c>
      <c r="D82" s="22" t="s">
        <v>228</v>
      </c>
      <c r="E82" s="13">
        <v>42735.508240740739</v>
      </c>
      <c r="F82" s="13">
        <v>42735.51116898148</v>
      </c>
      <c r="G82" s="7">
        <v>1</v>
      </c>
      <c r="H82" s="22" t="s">
        <v>271</v>
      </c>
      <c r="I82" s="13">
        <v>42735.536631944444</v>
      </c>
      <c r="J82" s="7">
        <v>0</v>
      </c>
      <c r="K82" s="105" t="str">
        <f t="shared" si="27"/>
        <v>4011/4012</v>
      </c>
      <c r="L82" s="22" t="str">
        <f>VLOOKUP(A82,'Trips&amp;Operators'!$C$1:$G$99999,5,FALSE)</f>
        <v>ADANE ELSHADAY</v>
      </c>
      <c r="M82" s="6">
        <f t="shared" si="28"/>
        <v>2.5462962963501923E-2</v>
      </c>
      <c r="N82" s="7">
        <f t="shared" si="25"/>
        <v>36.666666667442769</v>
      </c>
      <c r="O82" s="7"/>
      <c r="P82" s="7"/>
      <c r="Q82" s="23"/>
      <c r="R82" s="23"/>
      <c r="S82" s="32">
        <f t="shared" si="26"/>
        <v>1</v>
      </c>
      <c r="T82" s="47" t="str">
        <f t="shared" si="29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11:11:52-700',mode:absolute,to:'2016-12-31 13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2" s="49" t="str">
        <f t="shared" si="31"/>
        <v>N</v>
      </c>
      <c r="X82" s="173">
        <f t="shared" si="32"/>
        <v>1</v>
      </c>
      <c r="Y82" s="64">
        <f t="shared" si="33"/>
        <v>4.5499999999999999E-2</v>
      </c>
      <c r="Z82" s="64">
        <f t="shared" si="34"/>
        <v>23.329499999999999</v>
      </c>
      <c r="AA82" s="64">
        <f t="shared" si="35"/>
        <v>23.283999999999999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36"/>
        <v>0169-31</v>
      </c>
      <c r="AE82" s="87" t="str">
        <f t="shared" si="37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82" s="84" t="str">
        <f t="shared" si="38"/>
        <v>"C:\Program Files (x86)\AstroGrep\AstroGrep.exe" /spath="%USERPROFILE%\AppData\Local\Temp\OnboardLogs" /stypes="app*4011*20161231*" /stext=" 19:.+((SYSTEM_STATE.+slice.+state.+changed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88" t="str">
        <f t="shared" si="40"/>
        <v>"%USERPROFILE%\Documents\GitHub\eaglep3\Utilities\RefineRTDCRunTimes.py" --tripid 169-31 --locoid 4011 --swversion DE.1.0.8.0 --startMP 204:455 --initTime 2016-12-31T12:11:52 --startdatetime 2016-12-31T12:16:05 --delay 1 --endMP 204:233295 --enddatetime 2016-12-31T12:52:45 --enforcementcount 0 &gt;&gt;C:\Users\stu\Documents\GitHub\eaglep3-reporting\EC\2016-12-31-refined-times.txt</v>
      </c>
      <c r="AI8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{"issue":{"subject":"","project_id":79,"tracker_id":40,"status_id":1,"priority_id":2,"assigned_to_id":23,"start_date":"2016-12-31","description":"","custom_fields":[{"id":1,"name":"Subdivision","value":"EC"},{"id":4,"name":"Milepost","value":"23.3295"},{"id":17,"name":"Train ID","value":"169-31"},{"id":16,"name":"Locomotive ID","value":"4011"},{"id":130,"name":"Impact","value":""},{"id":150,"name":"Time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2"/>
        <v>start /low /b %USERPROFILE%\Documents\GitHub\eaglep3\Utilities\DownloadLogsFromS3.py --loco 4011 --day 2016-12-31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576</v>
      </c>
      <c r="B83" s="7">
        <v>4012</v>
      </c>
      <c r="C83" s="22" t="s">
        <v>205</v>
      </c>
      <c r="D83" s="22" t="s">
        <v>322</v>
      </c>
      <c r="E83" s="13">
        <v>42735.538715277777</v>
      </c>
      <c r="F83" s="13">
        <v>42735.549583333333</v>
      </c>
      <c r="G83" s="7">
        <v>2</v>
      </c>
      <c r="H83" s="22" t="s">
        <v>306</v>
      </c>
      <c r="I83" s="13">
        <v>42735.576018518521</v>
      </c>
      <c r="J83" s="7">
        <v>0</v>
      </c>
      <c r="K83" s="105" t="str">
        <f t="shared" si="27"/>
        <v>4011/4012</v>
      </c>
      <c r="L83" s="22" t="str">
        <f>VLOOKUP(A83,'Trips&amp;Operators'!$C$1:$G$99999,5,FALSE)</f>
        <v>ADANE ELSHADAY</v>
      </c>
      <c r="M83" s="6">
        <f t="shared" si="28"/>
        <v>2.6435185187438037E-2</v>
      </c>
      <c r="N83" s="7">
        <f t="shared" si="25"/>
        <v>38.066666669910774</v>
      </c>
      <c r="O83" s="7"/>
      <c r="P83" s="7"/>
      <c r="Q83" s="23"/>
      <c r="R83" s="23"/>
      <c r="S83" s="32">
        <f t="shared" si="26"/>
        <v>1</v>
      </c>
      <c r="T83" s="47" t="str">
        <f t="shared" si="29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11:55:45-700',mode:absolute,to:'2016-12-31 14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3" s="49" t="str">
        <f t="shared" si="31"/>
        <v>N</v>
      </c>
      <c r="X83" s="173">
        <f t="shared" si="32"/>
        <v>1</v>
      </c>
      <c r="Y83" s="64">
        <f t="shared" si="33"/>
        <v>23.297599999999999</v>
      </c>
      <c r="Z83" s="64">
        <f t="shared" si="34"/>
        <v>1.5800000000000002E-2</v>
      </c>
      <c r="AA83" s="64">
        <f t="shared" si="35"/>
        <v>23.2818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36"/>
        <v>0170-31</v>
      </c>
      <c r="AE83" s="87" t="str">
        <f t="shared" si="37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83" s="84" t="str">
        <f t="shared" si="38"/>
        <v>"C:\Program Files (x86)\AstroGrep\AstroGrep.exe" /spath="%USERPROFILE%\AppData\Local\Temp\OnboardLogs" /stypes="app*4012*20161231*"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88" t="str">
        <f t="shared" si="40"/>
        <v>"%USERPROFILE%\Documents\GitHub\eaglep3\Utilities\RefineRTDCRunTimes.py" --tripid 170-31 --locoid 4012 --swversion DE.1.0.8.0 --startMP 204:232976 --initTime 2016-12-31T12:55:45 --startdatetime 2016-12-31T13:11:24 --delay 2 --endMP 204:158 --enddatetime 2016-12-31T13:49:28 --enforcementcount 0 &gt;&gt;C:\Users\stu\Documents\GitHub\eaglep3-reporting\EC\2016-12-31-refined-times.txt</v>
      </c>
      <c r="AI83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ID","value":"170-31"},{"id":16,"name":"Locomotive ID","value":"4012"},{"id":130,"name":"Impact","value":""},{"id":150,"name":"Time of Event (Mountain Time)","value":"13:49:28"},{"id":151,"name":"Denver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2"/>
        <v>start /low /b %USERPROFILE%\Documents\GitHub\eaglep3\Utilities\DownloadLogsFromS3.py --loco 4012 --day 2016-12-31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572</v>
      </c>
      <c r="B84" s="7">
        <v>4044</v>
      </c>
      <c r="C84" s="22" t="s">
        <v>205</v>
      </c>
      <c r="D84" s="22" t="s">
        <v>259</v>
      </c>
      <c r="E84" s="13">
        <v>42735.516967592594</v>
      </c>
      <c r="F84" s="13">
        <v>42735.521006944444</v>
      </c>
      <c r="G84" s="7">
        <v>1</v>
      </c>
      <c r="H84" s="22" t="s">
        <v>692</v>
      </c>
      <c r="I84" s="13">
        <v>42735.545486111114</v>
      </c>
      <c r="J84" s="7">
        <v>0</v>
      </c>
      <c r="K84" s="105" t="str">
        <f t="shared" si="27"/>
        <v>4043/4044</v>
      </c>
      <c r="L84" s="22" t="str">
        <f>VLOOKUP(A84,'Trips&amp;Operators'!$C$1:$G$99999,5,FALSE)</f>
        <v>BRANNON JEFFREY</v>
      </c>
      <c r="M84" s="6">
        <f t="shared" si="28"/>
        <v>2.4479166670062114E-2</v>
      </c>
      <c r="N84" s="7">
        <f t="shared" si="25"/>
        <v>35.250000004889444</v>
      </c>
      <c r="O84" s="7"/>
      <c r="P84" s="7"/>
      <c r="Q84" s="23"/>
      <c r="R84" s="23"/>
      <c r="S84" s="32">
        <f t="shared" si="26"/>
        <v>1</v>
      </c>
      <c r="T84" s="47" t="str">
        <f t="shared" si="29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11:24:26-700',mode:absolute,to:'2016-12-31 14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4" s="49" t="str">
        <f t="shared" si="31"/>
        <v>N</v>
      </c>
      <c r="X84" s="173">
        <f t="shared" si="32"/>
        <v>1</v>
      </c>
      <c r="Y84" s="64">
        <f t="shared" si="33"/>
        <v>4.6199999999999998E-2</v>
      </c>
      <c r="Z84" s="64">
        <f t="shared" si="34"/>
        <v>23.332000000000001</v>
      </c>
      <c r="AA84" s="64">
        <f t="shared" si="35"/>
        <v>23.285800000000002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36"/>
        <v>0171-31</v>
      </c>
      <c r="AE84" s="87" t="str">
        <f t="shared" si="37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84" s="84" t="str">
        <f t="shared" si="38"/>
        <v>"C:\Program Files (x86)\AstroGrep\AstroGrep.exe" /spath="%USERPROFILE%\AppData\Local\Temp\OnboardLogs" /stypes="app*4044*20161231*"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88" t="str">
        <f t="shared" si="40"/>
        <v>"%USERPROFILE%\Documents\GitHub\eaglep3\Utilities\RefineRTDCRunTimes.py" --tripid 171-31 --locoid 4044 --swversion DE.1.0.8.0 --startMP 204:462 --initTime 2016-12-31T12:24:26 --startdatetime 2016-12-31T12:30:15 --delay 1 --endMP 204:233320 --enddatetime 2016-12-31T13:05:30 --enforcementcount 0 &gt;&gt;C:\Users\stu\Documents\GitHub\eaglep3-reporting\EC\2016-12-31-refined-times.txt</v>
      </c>
      <c r="AI84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{"issue":{"subject":"","project_id":79,"tracker_id":40,"status_id":1,"priority_id":2,"assigned_to_id":23,"start_date":"2016-12-31","description":"","custom_fields":[{"id":1,"name":"Subdivision","value":"EC"},{"id":4,"name":"Milepost","value":"23.332"},{"id":17,"name":"Train ID","value":"171-31"},{"id":16,"name":"Locomotive ID","value":"4044"},{"id":130,"name":"Impact","value":""},{"id":150,"name":"Time of Event (Mountain Time)","value":"13:05:30"},{"id":151,"name":"Denver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2"/>
        <v>start /low /b %USERPROFILE%\Documents\GitHub\eaglep3\Utilities\DownloadLogsFromS3.py --loco 4044 --day 2016-12-31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579</v>
      </c>
      <c r="B85" s="7">
        <v>4043</v>
      </c>
      <c r="C85" s="22" t="s">
        <v>205</v>
      </c>
      <c r="D85" s="22" t="s">
        <v>273</v>
      </c>
      <c r="E85" s="13">
        <v>42735.555983796294</v>
      </c>
      <c r="F85" s="13">
        <v>42735.559907407405</v>
      </c>
      <c r="G85" s="7">
        <v>2</v>
      </c>
      <c r="H85" s="22" t="s">
        <v>211</v>
      </c>
      <c r="I85" s="13">
        <v>42735.58798611111</v>
      </c>
      <c r="J85" s="7">
        <v>0</v>
      </c>
      <c r="K85" s="105" t="str">
        <f t="shared" si="27"/>
        <v>4043/4044</v>
      </c>
      <c r="L85" s="22" t="str">
        <f>VLOOKUP(A85,'Trips&amp;Operators'!$C$1:$G$99999,5,FALSE)</f>
        <v>BRANNON JEFFREY</v>
      </c>
      <c r="M85" s="6">
        <f t="shared" si="28"/>
        <v>2.8078703704522923E-2</v>
      </c>
      <c r="N85" s="7">
        <f t="shared" si="25"/>
        <v>40.433333334513009</v>
      </c>
      <c r="O85" s="7"/>
      <c r="P85" s="7"/>
      <c r="Q85" s="23"/>
      <c r="R85" s="23"/>
      <c r="S85" s="32">
        <f t="shared" si="26"/>
        <v>1</v>
      </c>
      <c r="T85" s="47" t="str">
        <f t="shared" si="29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12:20:37-700',mode:absolute,to:'2016-12-31 15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5" s="49" t="str">
        <f t="shared" si="31"/>
        <v>N</v>
      </c>
      <c r="X85" s="173">
        <f t="shared" si="32"/>
        <v>1</v>
      </c>
      <c r="Y85" s="64">
        <f t="shared" si="33"/>
        <v>23.2973</v>
      </c>
      <c r="Z85" s="64">
        <f t="shared" si="34"/>
        <v>1.4999999999999999E-2</v>
      </c>
      <c r="AA85" s="64">
        <f t="shared" si="35"/>
        <v>23.282299999999999</v>
      </c>
      <c r="AB85" s="61" t="e">
        <f>VLOOKUP(A85,Enforcements!$C$7:$K$19,8,0)</f>
        <v>#N/A</v>
      </c>
      <c r="AC85" s="57" t="e">
        <f>VLOOKUP(A85,Enforcements!$C$7:$E$19,3,0)</f>
        <v>#N/A</v>
      </c>
      <c r="AD85" s="58" t="str">
        <f t="shared" si="36"/>
        <v>0172-31</v>
      </c>
      <c r="AE85" s="87" t="str">
        <f t="shared" si="37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85" s="84" t="str">
        <f t="shared" si="38"/>
        <v>"C:\Program Files (x86)\AstroGrep\AstroGrep.exe" /spath="%USERPROFILE%\AppData\Local\Temp\OnboardLogs" /stypes="app*4043*20161231*" /stext=" 21:.+((SYSTEM_STATE.+slice.+state.+changed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88" t="str">
        <f t="shared" si="40"/>
        <v>"%USERPROFILE%\Documents\GitHub\eaglep3\Utilities\RefineRTDCRunTimes.py" --tripid 172-31 --locoid 4043 --swversion DE.1.0.8.0 --startMP 204:232973 --initTime 2016-12-31T13:20:37 --startdatetime 2016-12-31T13:26:16 --delay 2 --endMP 204:150 --enddatetime 2016-12-31T14:06:42 --enforcementcount 0 &gt;&gt;C:\Users\stu\Documents\GitHub\eaglep3-reporting\EC\2016-12-31-refined-times.txt</v>
      </c>
      <c r="AI8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ID","value":"172-31"},{"id":16,"name":"Locomotive ID","value":"4043"},{"id":130,"name":"Impact","value":""},{"id":150,"name":"Time of Event (Mountain Time)","value":"14:06:42"},{"id":151,"name":"Denver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2"/>
        <v>start /low /b %USERPROFILE%\Documents\GitHub\eaglep3\Utilities\DownloadLogsFromS3.py --loco 4043 --day 2016-12-31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573</v>
      </c>
      <c r="B86" s="7">
        <v>4003</v>
      </c>
      <c r="C86" s="22" t="s">
        <v>205</v>
      </c>
      <c r="D86" s="22" t="s">
        <v>708</v>
      </c>
      <c r="E86" s="13">
        <v>42735.526678240742</v>
      </c>
      <c r="F86" s="13">
        <v>42735.531574074077</v>
      </c>
      <c r="G86" s="7">
        <v>1</v>
      </c>
      <c r="H86" s="22" t="s">
        <v>295</v>
      </c>
      <c r="I86" s="13">
        <v>42735.557453703703</v>
      </c>
      <c r="J86" s="7">
        <v>0</v>
      </c>
      <c r="K86" s="105" t="str">
        <f t="shared" si="27"/>
        <v>4003/4004</v>
      </c>
      <c r="L86" s="22" t="str">
        <f>VLOOKUP(A86,'Trips&amp;Operators'!$C$1:$G$99999,5,FALSE)</f>
        <v>STEWART MICHAEL</v>
      </c>
      <c r="M86" s="6">
        <f t="shared" si="28"/>
        <v>2.5879629625706002E-2</v>
      </c>
      <c r="N86" s="7">
        <f t="shared" si="25"/>
        <v>37.266666661016643</v>
      </c>
      <c r="O86" s="7"/>
      <c r="P86" s="7"/>
      <c r="Q86" s="23"/>
      <c r="R86" s="23"/>
      <c r="S86" s="32">
        <f t="shared" si="26"/>
        <v>1</v>
      </c>
      <c r="T86" s="47" t="str">
        <f t="shared" si="29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11:38:25-700',mode:absolute,to:'2016-12-31 14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6" s="49" t="str">
        <f t="shared" si="31"/>
        <v>N</v>
      </c>
      <c r="X86" s="173">
        <f t="shared" si="32"/>
        <v>1</v>
      </c>
      <c r="Y86" s="64">
        <f t="shared" si="33"/>
        <v>4.9500000000000002E-2</v>
      </c>
      <c r="Z86" s="64">
        <f t="shared" si="34"/>
        <v>23.329699999999999</v>
      </c>
      <c r="AA86" s="64">
        <f t="shared" si="35"/>
        <v>23.280200000000001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36"/>
        <v>0173-31</v>
      </c>
      <c r="AE86" s="87" t="str">
        <f t="shared" si="37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86" s="84" t="str">
        <f t="shared" si="38"/>
        <v>"C:\Program Files (x86)\AstroGrep\AstroGrep.exe" /spath="%USERPROFILE%\AppData\Local\Temp\OnboardLogs" /stypes="app*4003*20161231*" /stext=" 20:.+((SYSTEM_STATE.+slice.+state.+changed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88" t="str">
        <f t="shared" si="40"/>
        <v>"%USERPROFILE%\Documents\GitHub\eaglep3\Utilities\RefineRTDCRunTimes.py" --tripid 173-31 --locoid 4003 --swversion DE.1.0.8.0 --startMP 204:495 --initTime 2016-12-31T12:38:25 --startdatetime 2016-12-31T12:45:28 --delay 1 --endMP 204:233297 --enddatetime 2016-12-31T13:22:44 --enforcementcount 0 &gt;&gt;C:\Users\stu\Documents\GitHub\eaglep3-reporting\EC\2016-12-31-refined-times.txt</v>
      </c>
      <c r="AI8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{"issue":{"subject":"","project_id":79,"tracker_id":40,"status_id":1,"priority_id":2,"assigned_to_id":23,"start_date":"2016-12-31","description":"","custom_fields":[{"id":1,"name":"Subdivision","value":"EC"},{"id":4,"name":"Milepost","value":"23.3297"},{"id":17,"name":"Train ID","value":"173-31"},{"id":16,"name":"Locomotive ID","value":"4003"},{"id":130,"name":"Impact","value":""},{"id":150,"name":"Time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2"/>
        <v>start /low /b %USERPROFILE%\Documents\GitHub\eaglep3\Utilities\DownloadLogsFromS3.py --loco 4003 --day 2016-12-31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580</v>
      </c>
      <c r="B87" s="7">
        <v>4004</v>
      </c>
      <c r="C87" s="22" t="s">
        <v>205</v>
      </c>
      <c r="D87" s="22" t="s">
        <v>717</v>
      </c>
      <c r="E87" s="13">
        <v>42735.567349537036</v>
      </c>
      <c r="F87" s="13">
        <v>42735.570324074077</v>
      </c>
      <c r="G87" s="7">
        <v>1</v>
      </c>
      <c r="H87" s="22" t="s">
        <v>306</v>
      </c>
      <c r="I87" s="13">
        <v>42735.596782407411</v>
      </c>
      <c r="J87" s="7">
        <v>0</v>
      </c>
      <c r="K87" s="105" t="str">
        <f t="shared" si="27"/>
        <v>4003/4004</v>
      </c>
      <c r="L87" s="22" t="str">
        <f>VLOOKUP(A87,'Trips&amp;Operators'!$C$1:$G$99999,5,FALSE)</f>
        <v>STEWART MICHAEL</v>
      </c>
      <c r="M87" s="6">
        <f t="shared" si="28"/>
        <v>2.6458333333721384E-2</v>
      </c>
      <c r="N87" s="7">
        <f t="shared" si="25"/>
        <v>38.100000000558794</v>
      </c>
      <c r="O87" s="7"/>
      <c r="P87" s="7"/>
      <c r="Q87" s="23"/>
      <c r="R87" s="23"/>
      <c r="S87" s="32">
        <f t="shared" si="26"/>
        <v>1</v>
      </c>
      <c r="T87" s="47" t="str">
        <f t="shared" si="29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12:36:59-700',mode:absolute,to:'2016-12-31 15:19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7" s="49" t="str">
        <f t="shared" si="31"/>
        <v>N</v>
      </c>
      <c r="X87" s="173">
        <f t="shared" si="32"/>
        <v>1</v>
      </c>
      <c r="Y87" s="64">
        <f t="shared" si="33"/>
        <v>23.298100000000002</v>
      </c>
      <c r="Z87" s="64">
        <f t="shared" si="34"/>
        <v>1.5800000000000002E-2</v>
      </c>
      <c r="AA87" s="64">
        <f t="shared" si="35"/>
        <v>23.282300000000003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36"/>
        <v>0174-31</v>
      </c>
      <c r="AE87" s="87" t="str">
        <f t="shared" si="37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87" s="84" t="str">
        <f t="shared" si="38"/>
        <v>"C:\Program Files (x86)\AstroGrep\AstroGrep.exe" /spath="%USERPROFILE%\AppData\Local\Temp\OnboardLogs" /stypes="app*4004*20161231*" /stext=" 21:.+((SYSTEM_STATE.+slice.+state.+changed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88" t="str">
        <f t="shared" si="40"/>
        <v>"%USERPROFILE%\Documents\GitHub\eaglep3\Utilities\RefineRTDCRunTimes.py" --tripid 174-31 --locoid 4004 --swversion DE.1.0.8.0 --startMP 204:232981 --initTime 2016-12-31T13:36:59 --startdatetime 2016-12-31T13:41:16 --delay 1 --endMP 204:158 --enddatetime 2016-12-31T14:19:22 --enforcementcount 0 &gt;&gt;C:\Users\stu\Documents\GitHub\eaglep3-reporting\EC\2016-12-31-refined-times.txt</v>
      </c>
      <c r="AI8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ID","value":"174-31"},{"id":16,"name":"Locomotive ID","value":"4004"},{"id":130,"name":"Impact","value":""},{"id":150,"name":"Time of Event (Mountain Time)","value":"14:19:22"},{"id":151,"name":"Denver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2"/>
        <v>start /low /b %USERPROFILE%\Documents\GitHub\eaglep3\Utilities\DownloadLogsFromS3.py --loco 4004 --day 2016-12-31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447</v>
      </c>
      <c r="B88" s="7">
        <v>4016</v>
      </c>
      <c r="C88" s="22" t="s">
        <v>205</v>
      </c>
      <c r="D88" s="22" t="s">
        <v>249</v>
      </c>
      <c r="E88" s="13">
        <v>42735.538541666669</v>
      </c>
      <c r="F88" s="13">
        <v>42735.54310185185</v>
      </c>
      <c r="G88" s="7">
        <v>1</v>
      </c>
      <c r="H88" s="22" t="s">
        <v>686</v>
      </c>
      <c r="I88" s="13">
        <v>42735.569965277777</v>
      </c>
      <c r="J88" s="7">
        <v>0</v>
      </c>
      <c r="K88" s="105" t="str">
        <f t="shared" si="27"/>
        <v>4015/4016</v>
      </c>
      <c r="L88" s="22" t="str">
        <f>VLOOKUP(A88,'Trips&amp;Operators'!$C$1:$G$99999,5,FALSE)</f>
        <v>DAVIS MICHAEL</v>
      </c>
      <c r="M88" s="6">
        <f t="shared" si="28"/>
        <v>2.6863425926421769E-2</v>
      </c>
      <c r="N88" s="7">
        <f t="shared" si="25"/>
        <v>38.683333334047347</v>
      </c>
      <c r="O88" s="7"/>
      <c r="P88" s="7"/>
      <c r="Q88" s="23"/>
      <c r="R88" s="23"/>
      <c r="S88" s="32">
        <f t="shared" si="26"/>
        <v>1</v>
      </c>
      <c r="T88" s="47" t="str">
        <f t="shared" si="29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11:55:30-700',mode:absolute,to:'2016-12-31 14:40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8" s="49" t="str">
        <f t="shared" si="31"/>
        <v>N</v>
      </c>
      <c r="X88" s="173">
        <f t="shared" si="32"/>
        <v>1</v>
      </c>
      <c r="Y88" s="64">
        <f t="shared" si="33"/>
        <v>4.53E-2</v>
      </c>
      <c r="Z88" s="64">
        <f t="shared" si="34"/>
        <v>23.328399999999998</v>
      </c>
      <c r="AA88" s="64">
        <f t="shared" si="35"/>
        <v>23.283099999999997</v>
      </c>
      <c r="AB88" s="61" t="str">
        <f>VLOOKUP(A88,Enforcements!$C$7:$K$19,8,0)</f>
        <v>Speed (6)</v>
      </c>
      <c r="AC88" s="57" t="str">
        <f>VLOOKUP(A88,Enforcements!$C$7:$E$19,3,0)</f>
        <v>PERMANENT SPEED RESTRICTION</v>
      </c>
      <c r="AD88" s="58" t="str">
        <f t="shared" si="36"/>
        <v>0175-31</v>
      </c>
      <c r="AE88" s="87" t="str">
        <f t="shared" si="37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88" s="84" t="str">
        <f t="shared" si="38"/>
        <v>"C:\Program Files (x86)\AstroGrep\AstroGrep.exe" /spath="%USERPROFILE%\AppData\Local\Temp\OnboardLogs" /stypes="app*4016*20161231*" /stext=" 20:.+((SYSTEM_STATE.+slice.+state.+changed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88" t="str">
        <f t="shared" si="40"/>
        <v>"%USERPROFILE%\Documents\GitHub\eaglep3\Utilities\RefineRTDCRunTimes.py" --tripid 175-31 --locoid 4016 --swversion DE.1.0.8.0 --startMP 204:453 --initTime 2016-12-31T12:55:30 --startdatetime 2016-12-31T13:02:04 --delay 1 --endMP 204:233284 --enddatetime 2016-12-31T13:40:45 --enforcementcount 0 &gt;&gt;C:\Users\stu\Documents\GitHub\eaglep3-reporting\EC\2016-12-31-refined-times.txt</v>
      </c>
      <c r="AI8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{"issue":{"subject":"","project_id":79,"tracker_id":40,"status_id":1,"priority_id":2,"assigned_to_id":23,"start_date":"2016-12-31","description":"","custom_fields":[{"id":1,"name":"Subdivision","value":"EC"},{"id":4,"name":"Milepost","value":"23.3284"},{"id":17,"name":"Train ID","value":"175-31"},{"id":16,"name":"Locomotive ID","value":"4016"},{"id":130,"name":"Impact","value":""},{"id":150,"name":"Time of Event (Mountain Time)","value":"13:40:45"},{"id":151,"name":"Denver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2"/>
        <v>start /low /b %USERPROFILE%\Documents\GitHub\eaglep3\Utilities\DownloadLogsFromS3.py --loco 4016 --day 2016-12-31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584</v>
      </c>
      <c r="B89" s="7">
        <v>4015</v>
      </c>
      <c r="C89" s="22" t="s">
        <v>205</v>
      </c>
      <c r="D89" s="22" t="s">
        <v>712</v>
      </c>
      <c r="E89" s="13">
        <v>42735.5778125</v>
      </c>
      <c r="F89" s="13">
        <v>42735.581331018519</v>
      </c>
      <c r="G89" s="7">
        <v>1</v>
      </c>
      <c r="H89" s="22" t="s">
        <v>306</v>
      </c>
      <c r="I89" s="13">
        <v>42735.609872685185</v>
      </c>
      <c r="J89" s="7">
        <v>0</v>
      </c>
      <c r="K89" s="105" t="str">
        <f t="shared" si="27"/>
        <v>4015/4016</v>
      </c>
      <c r="L89" s="22" t="str">
        <f>VLOOKUP(A89,'Trips&amp;Operators'!$C$1:$G$99999,5,FALSE)</f>
        <v>DAVIS MICHAEL</v>
      </c>
      <c r="M89" s="6">
        <f t="shared" si="28"/>
        <v>2.8541666666569654E-2</v>
      </c>
      <c r="N89" s="7">
        <f t="shared" si="25"/>
        <v>41.099999999860302</v>
      </c>
      <c r="O89" s="7"/>
      <c r="P89" s="7"/>
      <c r="Q89" s="23"/>
      <c r="R89" s="23"/>
      <c r="S89" s="32">
        <f t="shared" si="26"/>
        <v>1</v>
      </c>
      <c r="T89" s="47" t="str">
        <f t="shared" si="29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12:52:03-700',mode:absolute,to:'2016-12-31 15:38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9" s="49" t="str">
        <f t="shared" si="31"/>
        <v>N</v>
      </c>
      <c r="X89" s="173">
        <f t="shared" si="32"/>
        <v>1</v>
      </c>
      <c r="Y89" s="64">
        <f t="shared" si="33"/>
        <v>23.296299999999999</v>
      </c>
      <c r="Z89" s="64">
        <f t="shared" si="34"/>
        <v>1.5800000000000002E-2</v>
      </c>
      <c r="AA89" s="64">
        <f t="shared" si="35"/>
        <v>23.2805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36"/>
        <v>0176-31</v>
      </c>
      <c r="AE89" s="87" t="str">
        <f t="shared" si="37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89" s="84" t="str">
        <f t="shared" si="38"/>
        <v>"C:\Program Files (x86)\AstroGrep\AstroGrep.exe" /spath="%USERPROFILE%\AppData\Local\Temp\OnboardLogs" /stypes="app*4015*20161231*" /stext=" 21:.+((SYSTEM_STATE.+slice.+state.+changed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88" t="str">
        <f t="shared" si="40"/>
        <v>"%USERPROFILE%\Documents\GitHub\eaglep3\Utilities\RefineRTDCRunTimes.py" --tripid 176-31 --locoid 4015 --swversion DE.1.0.8.0 --startMP 204:232963 --initTime 2016-12-31T13:52:03 --startdatetime 2016-12-31T13:57:07 --delay 1 --endMP 204:158 --enddatetime 2016-12-31T14:38:13 --enforcementcount 0 &gt;&gt;C:\Users\stu\Documents\GitHub\eaglep3-reporting\EC\2016-12-31-refined-times.txt</v>
      </c>
      <c r="AI8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ID","value":"176-31"},{"id":16,"name":"Locomotive ID","value":"4015"},{"id":130,"name":"Impact","value":""},{"id":150,"name":"Time of Event (Mountain Time)","value":"14:38:13"},{"id":151,"name":"Denver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2"/>
        <v>start /low /b %USERPROFILE%\Documents\GitHub\eaglep3\Utilities\DownloadLogsFromS3.py --loco 4015 --day 2016-12-31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578</v>
      </c>
      <c r="B90" s="7">
        <v>4046</v>
      </c>
      <c r="C90" s="22" t="s">
        <v>205</v>
      </c>
      <c r="D90" s="22" t="s">
        <v>718</v>
      </c>
      <c r="E90" s="13">
        <v>42735.547071759262</v>
      </c>
      <c r="F90" s="13">
        <v>42735.552256944444</v>
      </c>
      <c r="G90" s="7">
        <v>1</v>
      </c>
      <c r="H90" s="22" t="s">
        <v>324</v>
      </c>
      <c r="I90" s="13">
        <v>42735.577766203707</v>
      </c>
      <c r="J90" s="7">
        <v>0</v>
      </c>
      <c r="K90" s="105" t="str">
        <f t="shared" si="27"/>
        <v>4045/4046</v>
      </c>
      <c r="L90" s="22" t="str">
        <f>VLOOKUP(A90,'Trips&amp;Operators'!$C$1:$G$99999,5,FALSE)</f>
        <v>BRUDER RICHARD</v>
      </c>
      <c r="M90" s="6">
        <f t="shared" si="28"/>
        <v>2.5509259263344575E-2</v>
      </c>
      <c r="N90" s="7">
        <f t="shared" si="25"/>
        <v>36.733333339216188</v>
      </c>
      <c r="O90" s="7"/>
      <c r="P90" s="7"/>
      <c r="Q90" s="23"/>
      <c r="R90" s="23"/>
      <c r="S90" s="32">
        <f t="shared" si="26"/>
        <v>1</v>
      </c>
      <c r="T90" s="47" t="str">
        <f t="shared" si="29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12:07:47-700',mode:absolute,to:'2016-12-31 14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0" s="49" t="str">
        <f t="shared" si="31"/>
        <v>N</v>
      </c>
      <c r="X90" s="173">
        <f t="shared" si="32"/>
        <v>1</v>
      </c>
      <c r="Y90" s="64">
        <f t="shared" si="33"/>
        <v>4.8800000000000003E-2</v>
      </c>
      <c r="Z90" s="64">
        <f t="shared" si="34"/>
        <v>23.331700000000001</v>
      </c>
      <c r="AA90" s="64">
        <f t="shared" si="35"/>
        <v>23.282900000000001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36"/>
        <v>0177-31</v>
      </c>
      <c r="AE90" s="87" t="str">
        <f t="shared" si="37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90" s="84" t="str">
        <f t="shared" si="38"/>
        <v>"C:\Program Files (x86)\AstroGrep\AstroGrep.exe" /spath="%USERPROFILE%\AppData\Local\Temp\OnboardLogs" /stypes="app*4046*20161231*" /stext=" 20:.+((SYSTEM_STATE.+slice.+state.+changed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88" t="str">
        <f t="shared" si="40"/>
        <v>"%USERPROFILE%\Documents\GitHub\eaglep3\Utilities\RefineRTDCRunTimes.py" --tripid 177-31 --locoid 4046 --swversion DE.1.0.8.0 --startMP 204:488 --initTime 2016-12-31T13:07:47 --startdatetime 2016-12-31T13:15:15 --delay 1 --endMP 204:233317 --enddatetime 2016-12-31T13:51:59 --enforcementcount 0 &gt;&gt;C:\Users\stu\Documents\GitHub\eaglep3-reporting\EC\2016-12-31-refined-times.txt</v>
      </c>
      <c r="AI9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{"issue":{"subject":"","project_id":79,"tracker_id":40,"status_id":1,"priority_id":2,"assigned_to_id":23,"start_date":"2016-12-31","description":"","custom_fields":[{"id":1,"name":"Subdivision","value":"EC"},{"id":4,"name":"Milepost","value":"23.3317"},{"id":17,"name":"Train ID","value":"177-31"},{"id":16,"name":"Locomotive ID","value":"4046"},{"id":130,"name":"Impact","value":""},{"id":150,"name":"Time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2"/>
        <v>start /low /b %USERPROFILE%\Documents\GitHub\eaglep3\Utilities\DownloadLogsFromS3.py --loco 4046 --day 2016-12-31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586</v>
      </c>
      <c r="B91" s="7">
        <v>4045</v>
      </c>
      <c r="C91" s="22" t="s">
        <v>205</v>
      </c>
      <c r="D91" s="22" t="s">
        <v>329</v>
      </c>
      <c r="E91" s="13">
        <v>42735.584224537037</v>
      </c>
      <c r="F91" s="13">
        <v>42735.591157407405</v>
      </c>
      <c r="G91" s="7">
        <v>1</v>
      </c>
      <c r="H91" s="22" t="s">
        <v>233</v>
      </c>
      <c r="I91" s="13">
        <v>42735.617673611108</v>
      </c>
      <c r="J91" s="7">
        <v>0</v>
      </c>
      <c r="K91" s="105" t="str">
        <f t="shared" si="27"/>
        <v>4045/4046</v>
      </c>
      <c r="L91" s="22" t="str">
        <f>VLOOKUP(A91,'Trips&amp;Operators'!$C$1:$G$99999,5,FALSE)</f>
        <v>BRUDER RICHARD</v>
      </c>
      <c r="M91" s="6">
        <f t="shared" si="28"/>
        <v>2.6516203703067731E-2</v>
      </c>
      <c r="N91" s="7">
        <f t="shared" si="25"/>
        <v>38.183333332417533</v>
      </c>
      <c r="O91" s="7"/>
      <c r="P91" s="7"/>
      <c r="Q91" s="23"/>
      <c r="R91" s="23"/>
      <c r="S91" s="32">
        <f t="shared" si="26"/>
        <v>1</v>
      </c>
      <c r="T91" s="47" t="str">
        <f t="shared" si="29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13:01:17-700',mode:absolute,to:'2016-12-31 15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1" s="49" t="str">
        <f t="shared" si="31"/>
        <v>N</v>
      </c>
      <c r="X91" s="173">
        <f t="shared" si="32"/>
        <v>1</v>
      </c>
      <c r="Y91" s="64">
        <f t="shared" si="33"/>
        <v>23.2989</v>
      </c>
      <c r="Z91" s="64">
        <f t="shared" si="34"/>
        <v>1.4500000000000001E-2</v>
      </c>
      <c r="AA91" s="64">
        <f t="shared" si="35"/>
        <v>23.284399999999998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36"/>
        <v>0178-31</v>
      </c>
      <c r="AE91" s="87" t="str">
        <f t="shared" si="37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91" s="84" t="str">
        <f t="shared" si="38"/>
        <v>"C:\Program Files (x86)\AstroGrep\AstroGrep.exe" /spath="%USERPROFILE%\AppData\Local\Temp\OnboardLogs" /stypes="app*4045*20161231*"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88" t="str">
        <f t="shared" si="40"/>
        <v>"%USERPROFILE%\Documents\GitHub\eaglep3\Utilities\RefineRTDCRunTimes.py" --tripid 178-31 --locoid 4045 --swversion DE.1.0.8.0 --startMP 204:232989 --initTime 2016-12-31T14:01:17 --startdatetime 2016-12-31T14:11:16 --delay 1 --endMP 204:145 --enddatetime 2016-12-31T14:49:27 --enforcementcount 0 &gt;&gt;C:\Users\stu\Documents\GitHub\eaglep3-reporting\EC\2016-12-31-refined-times.txt</v>
      </c>
      <c r="AI9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{"issue":{"subject":"","project_id":79,"tracker_id":40,"status_id":1,"priority_id":2,"assigned_to_id":23,"start_date":"2016-12-31","description":"","custom_fields":[{"id":1,"name":"Subdivision","value":"EC"},{"id":4,"name":"Milepost","value":"0.0145"},{"id":17,"name":"Train ID","value":"178-31"},{"id":16,"name":"Locomotive ID","value":"4045"},{"id":130,"name":"Impact","value":""},{"id":150,"name":"Time of Event (Mountain Time)","value":"14:49:27"},{"id":151,"name":"Denver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2"/>
        <v>start /low /b %USERPROFILE%\Documents\GitHub\eaglep3\Utilities\DownloadLogsFromS3.py --loco 4045 --day 2016-12-31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448</v>
      </c>
      <c r="B92" s="7">
        <v>4025</v>
      </c>
      <c r="C92" s="22" t="s">
        <v>205</v>
      </c>
      <c r="D92" s="22" t="s">
        <v>328</v>
      </c>
      <c r="E92" s="13">
        <v>42735.558553240742</v>
      </c>
      <c r="F92" s="13">
        <v>42735.563298611109</v>
      </c>
      <c r="G92" s="7">
        <v>1</v>
      </c>
      <c r="H92" s="22" t="s">
        <v>297</v>
      </c>
      <c r="I92" s="13">
        <v>42735.589062500003</v>
      </c>
      <c r="J92" s="7">
        <v>0</v>
      </c>
      <c r="K92" s="105" t="str">
        <f t="shared" si="27"/>
        <v>4025/4026</v>
      </c>
      <c r="L92" s="22" t="str">
        <f>VLOOKUP(A92,'Trips&amp;Operators'!$C$1:$G$99999,5,FALSE)</f>
        <v>KILLION DAVID</v>
      </c>
      <c r="M92" s="6">
        <f t="shared" si="28"/>
        <v>2.5763888894289266E-2</v>
      </c>
      <c r="N92" s="7">
        <f t="shared" si="25"/>
        <v>37.100000007776543</v>
      </c>
      <c r="O92" s="7"/>
      <c r="P92" s="7"/>
      <c r="Q92" s="23"/>
      <c r="R92" s="23"/>
      <c r="S92" s="32">
        <f t="shared" si="26"/>
        <v>1</v>
      </c>
      <c r="T92" s="47" t="str">
        <f t="shared" si="29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12:24:19-700',mode:absolute,to:'2016-12-31 15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2" s="49" t="str">
        <f t="shared" si="31"/>
        <v>N</v>
      </c>
      <c r="X92" s="173">
        <f t="shared" si="32"/>
        <v>1</v>
      </c>
      <c r="Y92" s="64">
        <f t="shared" si="33"/>
        <v>4.4400000000000002E-2</v>
      </c>
      <c r="Z92" s="64">
        <f t="shared" si="34"/>
        <v>23.3293</v>
      </c>
      <c r="AA92" s="64">
        <f t="shared" si="35"/>
        <v>23.2849</v>
      </c>
      <c r="AB92" s="61" t="str">
        <f>VLOOKUP(A92,Enforcements!$C$7:$K$19,8,0)</f>
        <v>Track device (7)</v>
      </c>
      <c r="AC92" s="57" t="str">
        <f>VLOOKUP(A92,Enforcements!$C$7:$E$19,3,0)</f>
        <v>SWITCH UNKNOWN</v>
      </c>
      <c r="AD92" s="58" t="str">
        <f t="shared" si="36"/>
        <v>0179-31</v>
      </c>
      <c r="AE92" s="87" t="str">
        <f t="shared" si="37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92" s="84" t="str">
        <f t="shared" si="38"/>
        <v>"C:\Program Files (x86)\AstroGrep\AstroGrep.exe" /spath="%USERPROFILE%\AppData\Local\Temp\OnboardLogs" /stypes="app*4025*20161231*"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88" t="str">
        <f t="shared" si="40"/>
        <v>"%USERPROFILE%\Documents\GitHub\eaglep3\Utilities\RefineRTDCRunTimes.py" --tripid 179-31 --locoid 4025 --swversion DE.1.0.8.0 --startMP 204:444 --initTime 2016-12-31T13:24:19 --startdatetime 2016-12-31T13:31:09 --delay 1 --endMP 204:233293 --enddatetime 2016-12-31T14:08:15 --enforcementcount 0 &gt;&gt;C:\Users\stu\Documents\GitHub\eaglep3-reporting\EC\2016-12-31-refined-times.txt</v>
      </c>
      <c r="AI9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{"issue":{"subject":"","project_id":79,"tracker_id":40,"status_id":1,"priority_id":2,"assigned_to_id":23,"start_date":"2016-12-31","description":"","custom_fields":[{"id":1,"name":"Subdivision","value":"EC"},{"id":4,"name":"Milepost","value":"23.3293"},{"id":17,"name":"Train ID","value":"179-31"},{"id":16,"name":"Locomotive ID","value":"4025"},{"id":130,"name":"Impact","value":""},{"id":150,"name":"Time of Event (Mountain Time)","value":"14:08:15"},{"id":151,"name":"Denver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2"/>
        <v>start /low /b %USERPROFILE%\Documents\GitHub\eaglep3\Utilities\DownloadLogsFromS3.py --loco 4025 --day 2016-12-31</v>
      </c>
    </row>
    <row r="93" spans="1:91" x14ac:dyDescent="0.25">
      <c r="A93" s="34" t="s">
        <v>589</v>
      </c>
      <c r="B93" s="7">
        <v>4026</v>
      </c>
      <c r="C93" s="22" t="s">
        <v>205</v>
      </c>
      <c r="D93" s="22" t="s">
        <v>301</v>
      </c>
      <c r="E93" s="13">
        <v>42735.598587962966</v>
      </c>
      <c r="F93" s="13">
        <v>42735.601597222223</v>
      </c>
      <c r="G93" s="7">
        <v>3</v>
      </c>
      <c r="H93" s="22" t="s">
        <v>191</v>
      </c>
      <c r="I93" s="13">
        <v>42735.628391203703</v>
      </c>
      <c r="J93" s="7">
        <v>0</v>
      </c>
      <c r="K93" s="105" t="str">
        <f t="shared" si="27"/>
        <v>4025/4026</v>
      </c>
      <c r="L93" s="22" t="str">
        <f>VLOOKUP(A93,'Trips&amp;Operators'!$C$1:$G$99999,5,FALSE)</f>
        <v>KILLION DAVID</v>
      </c>
      <c r="M93" s="6">
        <f t="shared" si="28"/>
        <v>2.679398148029577E-2</v>
      </c>
      <c r="N93" s="7">
        <f t="shared" si="25"/>
        <v>38.583333331625909</v>
      </c>
      <c r="O93" s="7"/>
      <c r="P93" s="7"/>
      <c r="Q93" s="23"/>
      <c r="R93" s="23" t="s">
        <v>910</v>
      </c>
      <c r="S93" s="32">
        <f t="shared" si="26"/>
        <v>1</v>
      </c>
      <c r="T93" s="47" t="str">
        <f t="shared" si="29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13:21:58-700',mode:absolute,to:'2016-12-31 16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3" s="49" t="str">
        <f t="shared" si="31"/>
        <v>N</v>
      </c>
      <c r="X93" s="173">
        <f t="shared" si="32"/>
        <v>1</v>
      </c>
      <c r="Y93" s="64">
        <f t="shared" si="33"/>
        <v>23.298200000000001</v>
      </c>
      <c r="Z93" s="64">
        <f t="shared" si="34"/>
        <v>1.49E-2</v>
      </c>
      <c r="AA93" s="64">
        <f t="shared" si="35"/>
        <v>23.283300000000001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36"/>
        <v>0180-31</v>
      </c>
      <c r="AE93" s="87" t="str">
        <f t="shared" si="37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93" s="84" t="str">
        <f t="shared" si="38"/>
        <v>"C:\Program Files (x86)\AstroGrep\AstroGrep.exe" /spath="%USERPROFILE%\AppData\Local\Temp\OnboardLogs" /stypes="app*4026*20161231*" /stext=" 22:.+((SYSTEM_STATE.+slice.+state.+changed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88" t="str">
        <f t="shared" si="40"/>
        <v>"%USERPROFILE%\Documents\GitHub\eaglep3\Utilities\RefineRTDCRunTimes.py" --tripid 180-31 --locoid 4026 --swversion DE.1.0.8.0 --startMP 204:232982 --initTime 2016-12-31T14:21:58 --startdatetime 2016-12-31T14:26:18 --delay 3 --endMP 204:149 --enddatetime 2016-12-31T15:04:53 --enforcementcount 0 &gt;&gt;C:\Users\stu\Documents\GitHub\eaglep3-reporting\EC\2016-12-31-refined-times.txt</v>
      </c>
      <c r="AI93" s="115" t="str">
        <f t="shared" si="41"/>
        <v>echo {"issue":{"subject":"Departure delayed by poor GPS at DIA","project_id":79,"tracker_id":40,"status_id":1,"priority_id":2,"assigned_to_id":23,"start_date":"2016-12-31","description":"","custom_fields":[{"id":1,"name":"Subdivision","value":"EC"},{"id":4,"name":"Milepost","value":"0.0149"},{"id":17,"name":"Train ID","value":"180-31"},{"id":16,"name":"Locomotive ID","value":"4026"},{"id":130,"name":"Impact","value":""},{"id":150,"name":"Time of Event (Mountain Time)","value":"15:04:53"},{"id":151,"name":"Denver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2"/>
        <v>start /low /b %USERPROFILE%\Documents\GitHub\eaglep3\Utilities\DownloadLogsFromS3.py --loco 4026 --day 2016-12-31</v>
      </c>
    </row>
    <row r="94" spans="1:91" x14ac:dyDescent="0.25">
      <c r="A94" s="34" t="s">
        <v>581</v>
      </c>
      <c r="B94" s="7">
        <v>4018</v>
      </c>
      <c r="C94" s="22" t="s">
        <v>205</v>
      </c>
      <c r="D94" s="22" t="s">
        <v>407</v>
      </c>
      <c r="E94" s="13">
        <v>42735.568807870368</v>
      </c>
      <c r="F94" s="13">
        <v>42735.573194444441</v>
      </c>
      <c r="G94" s="7">
        <v>1</v>
      </c>
      <c r="H94" s="22" t="s">
        <v>709</v>
      </c>
      <c r="I94" s="13">
        <v>42735.598379629628</v>
      </c>
      <c r="J94" s="7">
        <v>0</v>
      </c>
      <c r="K94" s="105" t="str">
        <f t="shared" si="27"/>
        <v>4017/4018</v>
      </c>
      <c r="L94" s="22" t="str">
        <f>VLOOKUP(A94,'Trips&amp;Operators'!$C$1:$G$99999,5,FALSE)</f>
        <v>WHITED DUSTIN</v>
      </c>
      <c r="M94" s="6">
        <f t="shared" si="28"/>
        <v>2.5185185186273884E-2</v>
      </c>
      <c r="N94" s="7">
        <f t="shared" si="25"/>
        <v>36.266666668234393</v>
      </c>
      <c r="O94" s="7"/>
      <c r="P94" s="7"/>
      <c r="Q94" s="23"/>
      <c r="R94" s="23"/>
      <c r="S94" s="32">
        <f t="shared" si="26"/>
        <v>1</v>
      </c>
      <c r="T94" s="47" t="str">
        <f t="shared" si="29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12:39:05-700',mode:absolute,to:'2016-12-31 15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4" s="49" t="str">
        <f t="shared" si="31"/>
        <v>N</v>
      </c>
      <c r="X94" s="173">
        <f t="shared" si="32"/>
        <v>1</v>
      </c>
      <c r="Y94" s="64">
        <f t="shared" si="33"/>
        <v>4.2900000000000001E-2</v>
      </c>
      <c r="Z94" s="64">
        <f t="shared" si="34"/>
        <v>23.3306</v>
      </c>
      <c r="AA94" s="64">
        <f t="shared" si="35"/>
        <v>23.287700000000001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36"/>
        <v>0181-31</v>
      </c>
      <c r="AE94" s="87" t="str">
        <f t="shared" si="37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94" s="84" t="str">
        <f t="shared" si="38"/>
        <v>"C:\Program Files (x86)\AstroGrep\AstroGrep.exe" /spath="%USERPROFILE%\AppData\Local\Temp\OnboardLogs" /stypes="app*4018*20161231*" /stext=" 21:.+((SYSTEM_STATE.+slice.+state.+changed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88" t="str">
        <f t="shared" si="40"/>
        <v>"%USERPROFILE%\Documents\GitHub\eaglep3\Utilities\RefineRTDCRunTimes.py" --tripid 181-31 --locoid 4018 --swversion DE.1.0.8.0 --startMP 204:429 --initTime 2016-12-31T13:39:05 --startdatetime 2016-12-31T13:45:24 --delay 1 --endMP 204:233306 --enddatetime 2016-12-31T14:21:40 --enforcementcount 0 &gt;&gt;C:\Users\stu\Documents\GitHub\eaglep3-reporting\EC\2016-12-31-refined-times.txt</v>
      </c>
      <c r="AI94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{"issue":{"subject":"","project_id":79,"tracker_id":40,"status_id":1,"priority_id":2,"assigned_to_id":23,"start_date":"2016-12-31","description":"","custom_fields":[{"id":1,"name":"Subdivision","value":"EC"},{"id":4,"name":"Milepost","value":"23.3306"},{"id":17,"name":"Train ID","value":"181-31"},{"id":16,"name":"Locomotive ID","value":"4018"},{"id":130,"name":"Impact","value":""},{"id":150,"name":"Time of Event (Mountain Time)","value":"14:21:40"},{"id":151,"name":"Denver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2"/>
        <v>start /low /b %USERPROFILE%\Documents\GitHub\eaglep3\Utilities\DownloadLogsFromS3.py --loco 4018 --day 2016-12-31</v>
      </c>
    </row>
    <row r="95" spans="1:91" s="21" customFormat="1" x14ac:dyDescent="0.25">
      <c r="A95" s="34" t="s">
        <v>591</v>
      </c>
      <c r="B95" s="7">
        <v>4017</v>
      </c>
      <c r="C95" s="22" t="s">
        <v>205</v>
      </c>
      <c r="D95" s="22" t="s">
        <v>260</v>
      </c>
      <c r="E95" s="13">
        <v>42735.603668981479</v>
      </c>
      <c r="F95" s="13">
        <v>42735.611979166664</v>
      </c>
      <c r="G95" s="7">
        <v>1</v>
      </c>
      <c r="H95" s="22" t="s">
        <v>411</v>
      </c>
      <c r="I95" s="13">
        <v>42735.639050925929</v>
      </c>
      <c r="J95" s="7">
        <v>0</v>
      </c>
      <c r="K95" s="105" t="str">
        <f t="shared" si="27"/>
        <v>4017/4018</v>
      </c>
      <c r="L95" s="22" t="str">
        <f>VLOOKUP(A95,'Trips&amp;Operators'!$C$1:$G$99999,5,FALSE)</f>
        <v>WHITED DUSTIN</v>
      </c>
      <c r="M95" s="6">
        <f t="shared" si="28"/>
        <v>2.7071759264799766E-2</v>
      </c>
      <c r="N95" s="7">
        <f t="shared" si="25"/>
        <v>38.983333341311663</v>
      </c>
      <c r="O95" s="7"/>
      <c r="P95" s="7"/>
      <c r="Q95" s="23"/>
      <c r="R95" s="23"/>
      <c r="S95" s="32">
        <f t="shared" si="26"/>
        <v>1</v>
      </c>
      <c r="T95" s="47" t="str">
        <f t="shared" si="29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13:29:17-700',mode:absolute,to:'2016-12-31 16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5" s="49" t="str">
        <f t="shared" si="31"/>
        <v>N</v>
      </c>
      <c r="X95" s="173">
        <f t="shared" si="32"/>
        <v>1</v>
      </c>
      <c r="Y95" s="64">
        <f t="shared" si="33"/>
        <v>23.299299999999999</v>
      </c>
      <c r="Z95" s="64">
        <f t="shared" si="34"/>
        <v>1.3599999999999999E-2</v>
      </c>
      <c r="AA95" s="64">
        <f t="shared" si="35"/>
        <v>23.285699999999999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36"/>
        <v>0182-31</v>
      </c>
      <c r="AE95" s="87" t="str">
        <f t="shared" si="37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95" s="84" t="str">
        <f t="shared" si="38"/>
        <v>"C:\Program Files (x86)\AstroGrep\AstroGrep.exe" /spath="%USERPROFILE%\AppData\Local\Temp\OnboardLogs" /stypes="app*4017*20161231*" /stext=" 22:.+((SYSTEM_STATE.+slice.+state.+changed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88" t="str">
        <f t="shared" si="40"/>
        <v>"%USERPROFILE%\Documents\GitHub\eaglep3\Utilities\RefineRTDCRunTimes.py" --tripid 182-31 --locoid 4017 --swversion DE.1.0.8.0 --startMP 204:232993 --initTime 2016-12-31T14:29:17 --startdatetime 2016-12-31T14:41:15 --delay 1 --endMP 204:136 --enddatetime 2016-12-31T15:20:14 --enforcementcount 0 &gt;&gt;C:\Users\stu\Documents\GitHub\eaglep3-reporting\EC\2016-12-31-refined-times.txt</v>
      </c>
      <c r="AI9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{"issue":{"subject":"","project_id":79,"tracker_id":40,"status_id":1,"priority_id":2,"assigned_to_id":23,"start_date":"2016-12-31","description":"","custom_fields":[{"id":1,"name":"Subdivision","value":"EC"},{"id":4,"name":"Milepost","value":"0.0136"},{"id":17,"name":"Train ID","value":"182-31"},{"id":16,"name":"Locomotive ID","value":"4017"},{"id":130,"name":"Impact","value":""},{"id":150,"name":"Time of Event (Mountain Time)","value":"15:20:14"},{"id":151,"name":"Denver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2"/>
        <v>start /low /b %USERPROFILE%\Documents\GitHub\eaglep3\Utilities\DownloadLogsFromS3.py --loco 4017 --day 2016-12-31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585</v>
      </c>
      <c r="B96" s="7">
        <v>4011</v>
      </c>
      <c r="C96" s="22" t="s">
        <v>205</v>
      </c>
      <c r="D96" s="22" t="s">
        <v>337</v>
      </c>
      <c r="E96" s="13">
        <v>42735.578541666669</v>
      </c>
      <c r="F96" s="13">
        <v>42735.583749999998</v>
      </c>
      <c r="G96" s="7">
        <v>1</v>
      </c>
      <c r="H96" s="22" t="s">
        <v>310</v>
      </c>
      <c r="I96" s="13">
        <v>42735.608159722222</v>
      </c>
      <c r="J96" s="7">
        <v>0</v>
      </c>
      <c r="K96" s="105" t="str">
        <f t="shared" si="27"/>
        <v>4011/4012</v>
      </c>
      <c r="L96" s="22" t="str">
        <f>VLOOKUP(A96,'Trips&amp;Operators'!$C$1:$G$99999,5,FALSE)</f>
        <v>ADANE ELSHADAY</v>
      </c>
      <c r="M96" s="6">
        <f t="shared" si="28"/>
        <v>2.4409722223936114E-2</v>
      </c>
      <c r="N96" s="7">
        <f t="shared" si="25"/>
        <v>35.150000002468005</v>
      </c>
      <c r="O96" s="7"/>
      <c r="P96" s="7"/>
      <c r="Q96" s="23"/>
      <c r="R96" s="23"/>
      <c r="S96" s="32">
        <f t="shared" si="26"/>
        <v>1</v>
      </c>
      <c r="T96" s="47" t="str">
        <f t="shared" si="29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12:53:06-700',mode:absolute,to:'2016-12-31 15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6" s="49" t="str">
        <f t="shared" si="31"/>
        <v>N</v>
      </c>
      <c r="X96" s="173">
        <f t="shared" si="32"/>
        <v>1</v>
      </c>
      <c r="Y96" s="64">
        <f t="shared" si="33"/>
        <v>4.6600000000000003E-2</v>
      </c>
      <c r="Z96" s="64">
        <f t="shared" si="34"/>
        <v>23.3307</v>
      </c>
      <c r="AA96" s="64">
        <f t="shared" si="35"/>
        <v>23.284099999999999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36"/>
        <v>0183-31</v>
      </c>
      <c r="AE96" s="87" t="str">
        <f t="shared" si="37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96" s="84" t="str">
        <f t="shared" si="38"/>
        <v>"C:\Program Files (x86)\AstroGrep\AstroGrep.exe" /spath="%USERPROFILE%\AppData\Local\Temp\OnboardLogs" /stypes="app*4011*20161231*" /stext=" 21:.+((SYSTEM_STATE.+slice.+state.+changed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88" t="str">
        <f t="shared" si="40"/>
        <v>"%USERPROFILE%\Documents\GitHub\eaglep3\Utilities\RefineRTDCRunTimes.py" --tripid 183-31 --locoid 4011 --swversion DE.1.0.8.0 --startMP 204:466 --initTime 2016-12-31T13:53:06 --startdatetime 2016-12-31T14:00:36 --delay 1 --endMP 204:233307 --enddatetime 2016-12-31T14:35:45 --enforcementcount 0 &gt;&gt;C:\Users\stu\Documents\GitHub\eaglep3-reporting\EC\2016-12-31-refined-times.txt</v>
      </c>
      <c r="AI9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{"issue":{"subject":"","project_id":79,"tracker_id":40,"status_id":1,"priority_id":2,"assigned_to_id":23,"start_date":"2016-12-31","description":"","custom_fields":[{"id":1,"name":"Subdivision","value":"EC"},{"id":4,"name":"Milepost","value":"23.3307"},{"id":17,"name":"Train ID","value":"183-31"},{"id":16,"name":"Locomotive ID","value":"4011"},{"id":130,"name":"Impact","value":""},{"id":150,"name":"Time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2"/>
        <v>start /low /b %USERPROFILE%\Documents\GitHub\eaglep3\Utilities\DownloadLogsFromS3.py --loco 4011 --day 2016-12-31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592</v>
      </c>
      <c r="B97" s="7">
        <v>4012</v>
      </c>
      <c r="C97" s="22" t="s">
        <v>205</v>
      </c>
      <c r="D97" s="22" t="s">
        <v>414</v>
      </c>
      <c r="E97" s="13">
        <v>42735.609513888892</v>
      </c>
      <c r="F97" s="13">
        <v>42735.622499999998</v>
      </c>
      <c r="G97" s="7">
        <v>1</v>
      </c>
      <c r="H97" s="22" t="s">
        <v>224</v>
      </c>
      <c r="I97" s="13">
        <v>42735.648645833331</v>
      </c>
      <c r="J97" s="7">
        <v>0</v>
      </c>
      <c r="K97" s="105" t="str">
        <f t="shared" si="27"/>
        <v>4011/4012</v>
      </c>
      <c r="L97" s="22" t="str">
        <f>VLOOKUP(A97,'Trips&amp;Operators'!$C$1:$G$99999,5,FALSE)</f>
        <v>ADANE ELSHADAY</v>
      </c>
      <c r="M97" s="6">
        <f t="shared" si="28"/>
        <v>2.6145833333430346E-2</v>
      </c>
      <c r="N97" s="7">
        <f t="shared" si="25"/>
        <v>37.650000000139698</v>
      </c>
      <c r="O97" s="7"/>
      <c r="P97" s="7"/>
      <c r="Q97" s="23"/>
      <c r="R97" s="23"/>
      <c r="S97" s="32">
        <f t="shared" si="26"/>
        <v>1</v>
      </c>
      <c r="T97" s="47" t="str">
        <f t="shared" si="29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13:37:42-700',mode:absolute,to:'2016-12-31 16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7" s="49" t="str">
        <f t="shared" si="31"/>
        <v>N</v>
      </c>
      <c r="X97" s="173">
        <f t="shared" si="32"/>
        <v>1</v>
      </c>
      <c r="Y97" s="64">
        <f t="shared" si="33"/>
        <v>23.298400000000001</v>
      </c>
      <c r="Z97" s="64">
        <f t="shared" si="34"/>
        <v>1.54E-2</v>
      </c>
      <c r="AA97" s="64">
        <f t="shared" si="35"/>
        <v>23.283000000000001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36"/>
        <v>0184-31</v>
      </c>
      <c r="AE97" s="87" t="str">
        <f t="shared" si="37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97" s="84" t="str">
        <f t="shared" si="38"/>
        <v>"C:\Program Files (x86)\AstroGrep\AstroGrep.exe" /spath="%USERPROFILE%\AppData\Local\Temp\OnboardLogs" /stypes="app*4012*20161231*" /stext=" 22:.+((SYSTEM_STATE.+slice.+state.+changed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88" t="str">
        <f t="shared" si="40"/>
        <v>"%USERPROFILE%\Documents\GitHub\eaglep3\Utilities\RefineRTDCRunTimes.py" --tripid 184-31 --locoid 4012 --swversion DE.1.0.8.0 --startMP 204:232984 --initTime 2016-12-31T14:37:42 --startdatetime 2016-12-31T14:56:24 --delay 1 --endMP 204:154 --enddatetime 2016-12-31T15:34:03 --enforcementcount 0 &gt;&gt;C:\Users\stu\Documents\GitHub\eaglep3-reporting\EC\2016-12-31-refined-times.txt</v>
      </c>
      <c r="AI9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{"issue":{"subject":"","project_id":79,"tracker_id":40,"status_id":1,"priority_id":2,"assigned_to_id":23,"start_date":"2016-12-31","description":"","custom_fields":[{"id":1,"name":"Subdivision","value":"EC"},{"id":4,"name":"Milepost","value":"0.0154"},{"id":17,"name":"Train ID","value":"184-31"},{"id":16,"name":"Locomotive ID","value":"4012"},{"id":130,"name":"Impact","value":""},{"id":150,"name":"Time of Event (Mountain Time)","value":"15:34:03"},{"id":151,"name":"Denver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2"/>
        <v>start /low /b %USERPROFILE%\Documents\GitHub\eaglep3\Utilities\DownloadLogsFromS3.py --loco 4012 --day 2016-12-31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588</v>
      </c>
      <c r="B98" s="7">
        <v>4044</v>
      </c>
      <c r="C98" s="22" t="s">
        <v>205</v>
      </c>
      <c r="D98" s="22" t="s">
        <v>228</v>
      </c>
      <c r="E98" s="13">
        <v>42735.589131944442</v>
      </c>
      <c r="F98" s="13">
        <v>42735.593912037039</v>
      </c>
      <c r="G98" s="7">
        <v>6</v>
      </c>
      <c r="H98" s="22" t="s">
        <v>356</v>
      </c>
      <c r="I98" s="13">
        <v>42735.618831018517</v>
      </c>
      <c r="J98" s="7">
        <v>0</v>
      </c>
      <c r="K98" s="105" t="str">
        <f t="shared" si="27"/>
        <v>4043/4044</v>
      </c>
      <c r="L98" s="22" t="str">
        <f>VLOOKUP(A98,'Trips&amp;Operators'!$C$1:$G$99999,5,FALSE)</f>
        <v>BRANNON JEFFREY</v>
      </c>
      <c r="M98" s="6">
        <f t="shared" si="28"/>
        <v>2.491898147854954E-2</v>
      </c>
      <c r="N98" s="7">
        <f t="shared" si="25"/>
        <v>35.883333329111338</v>
      </c>
      <c r="O98" s="7"/>
      <c r="P98" s="7"/>
      <c r="Q98" s="23"/>
      <c r="R98" s="23"/>
      <c r="S98" s="32">
        <f t="shared" si="26"/>
        <v>1</v>
      </c>
      <c r="T98" s="47" t="str">
        <f t="shared" si="29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13:08:21-700',mode:absolute,to:'2016-12-31 15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8" s="49" t="str">
        <f t="shared" si="31"/>
        <v>N</v>
      </c>
      <c r="X98" s="173">
        <f t="shared" si="32"/>
        <v>1</v>
      </c>
      <c r="Y98" s="64">
        <f t="shared" si="33"/>
        <v>4.5499999999999999E-2</v>
      </c>
      <c r="Z98" s="64">
        <f t="shared" si="34"/>
        <v>23.331</v>
      </c>
      <c r="AA98" s="64">
        <f t="shared" si="35"/>
        <v>23.285499999999999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36"/>
        <v>0185-31</v>
      </c>
      <c r="AE98" s="87" t="str">
        <f t="shared" si="37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98" s="84" t="str">
        <f t="shared" si="38"/>
        <v>"C:\Program Files (x86)\AstroGrep\AstroGrep.exe" /spath="%USERPROFILE%\AppData\Local\Temp\OnboardLogs" /stypes="app*4044*20161231*" /stext=" 21:.+((SYSTEM_STATE.+slice.+state.+changed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88" t="str">
        <f t="shared" si="40"/>
        <v>"%USERPROFILE%\Documents\GitHub\eaglep3\Utilities\RefineRTDCRunTimes.py" --tripid 185-31 --locoid 4044 --swversion DE.1.0.8.0 --startMP 204:455 --initTime 2016-12-31T14:08:21 --startdatetime 2016-12-31T14:15:14 --delay 6 --endMP 204:233310 --enddatetime 2016-12-31T14:51:07 --enforcementcount 0 &gt;&gt;C:\Users\stu\Documents\GitHub\eaglep3-reporting\EC\2016-12-31-refined-times.txt</v>
      </c>
      <c r="AI9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{"issue":{"subject":"","project_id":79,"tracker_id":40,"status_id":1,"priority_id":2,"assigned_to_id":23,"start_date":"2016-12-31","description":"","custom_fields":[{"id":1,"name":"Subdivision","value":"EC"},{"id":4,"name":"Milepost","value":"23.331"},{"id":17,"name":"Train ID","value":"185-31"},{"id":16,"name":"Locomotive ID","value":"4044"},{"id":130,"name":"Impact","value":""},{"id":150,"name":"Time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2"/>
        <v>start /low /b %USERPROFILE%\Documents\GitHub\eaglep3\Utilities\DownloadLogsFromS3.py --loco 4044 --day 2016-12-31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596</v>
      </c>
      <c r="B99" s="7">
        <v>4043</v>
      </c>
      <c r="C99" s="22" t="s">
        <v>205</v>
      </c>
      <c r="D99" s="22" t="s">
        <v>717</v>
      </c>
      <c r="E99" s="13">
        <v>42735.628391203703</v>
      </c>
      <c r="F99" s="13">
        <v>42735.632800925923</v>
      </c>
      <c r="G99" s="7">
        <v>2</v>
      </c>
      <c r="H99" s="22" t="s">
        <v>309</v>
      </c>
      <c r="I99" s="13">
        <v>42735.659803240742</v>
      </c>
      <c r="J99" s="7">
        <v>0</v>
      </c>
      <c r="K99" s="105" t="str">
        <f t="shared" si="27"/>
        <v>4043/4044</v>
      </c>
      <c r="L99" s="22" t="str">
        <f>VLOOKUP(A99,'Trips&amp;Operators'!$C$1:$G$99999,5,FALSE)</f>
        <v>BRANNON JEFFREY</v>
      </c>
      <c r="M99" s="6">
        <f t="shared" si="28"/>
        <v>2.7002314818673767E-2</v>
      </c>
      <c r="N99" s="7">
        <f t="shared" si="25"/>
        <v>38.883333338890225</v>
      </c>
      <c r="O99" s="7"/>
      <c r="P99" s="7"/>
      <c r="Q99" s="23"/>
      <c r="R99" s="23"/>
      <c r="S99" s="32">
        <f t="shared" si="26"/>
        <v>1</v>
      </c>
      <c r="T99" s="47" t="str">
        <f t="shared" si="29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14:04:53-700',mode:absolute,to:'2016-12-31 16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9" s="49" t="str">
        <f t="shared" si="31"/>
        <v>N</v>
      </c>
      <c r="X99" s="173">
        <f t="shared" si="32"/>
        <v>1</v>
      </c>
      <c r="Y99" s="64">
        <f t="shared" si="33"/>
        <v>23.298100000000002</v>
      </c>
      <c r="Z99" s="64">
        <f t="shared" si="34"/>
        <v>1.41E-2</v>
      </c>
      <c r="AA99" s="64">
        <f t="shared" si="35"/>
        <v>23.284000000000002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36"/>
        <v>0186-31</v>
      </c>
      <c r="AE99" s="87" t="str">
        <f t="shared" si="37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99" s="84" t="str">
        <f t="shared" si="38"/>
        <v>"C:\Program Files (x86)\AstroGrep\AstroGrep.exe" /spath="%USERPROFILE%\AppData\Local\Temp\OnboardLogs" /stypes="app*4043*20161231*"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88" t="str">
        <f t="shared" si="40"/>
        <v>"%USERPROFILE%\Documents\GitHub\eaglep3\Utilities\RefineRTDCRunTimes.py" --tripid 186-31 --locoid 4043 --swversion DE.1.0.8.0 --startMP 204:232981 --initTime 2016-12-31T15:04:53 --startdatetime 2016-12-31T15:11:14 --delay 2 --endMP 204:141 --enddatetime 2016-12-31T15:50:07 --enforcementcount 0 &gt;&gt;C:\Users\stu\Documents\GitHub\eaglep3-reporting\EC\2016-12-31-refined-times.txt</v>
      </c>
      <c r="AI9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{"issue":{"subject":"","project_id":79,"tracker_id":40,"status_id":1,"priority_id":2,"assigned_to_id":23,"start_date":"2016-12-31","description":"","custom_fields":[{"id":1,"name":"Subdivision","value":"EC"},{"id":4,"name":"Milepost","value":"0.0141"},{"id":17,"name":"Train ID","value":"186-31"},{"id":16,"name":"Locomotive ID","value":"4043"},{"id":130,"name":"Impact","value":""},{"id":150,"name":"Time of Event (Mountain Time)","value":"15:50:07"},{"id":151,"name":"Denver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2"/>
        <v>start /low /b %USERPROFILE%\Documents\GitHub\eaglep3\Utilities\DownloadLogsFromS3.py --loco 4043 --day 2016-12-31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4" t="s">
        <v>590</v>
      </c>
      <c r="B100" s="7">
        <v>4003</v>
      </c>
      <c r="C100" s="22" t="s">
        <v>205</v>
      </c>
      <c r="D100" s="22" t="s">
        <v>194</v>
      </c>
      <c r="E100" s="13">
        <v>42735.599537037036</v>
      </c>
      <c r="F100" s="13">
        <v>42735.604363425926</v>
      </c>
      <c r="G100" s="7">
        <v>1</v>
      </c>
      <c r="H100" s="22" t="s">
        <v>294</v>
      </c>
      <c r="I100" s="13">
        <v>42735.628750000003</v>
      </c>
      <c r="J100" s="7">
        <v>0</v>
      </c>
      <c r="K100" s="105" t="str">
        <f t="shared" si="27"/>
        <v>4003/4004</v>
      </c>
      <c r="L100" s="22" t="str">
        <f>VLOOKUP(A100,'Trips&amp;Operators'!$C$1:$G$99999,5,FALSE)</f>
        <v>STEWART MICHAEL</v>
      </c>
      <c r="M100" s="6">
        <f t="shared" si="28"/>
        <v>2.4386574077652767E-2</v>
      </c>
      <c r="N100" s="7">
        <f t="shared" si="25"/>
        <v>35.116666671819985</v>
      </c>
      <c r="O100" s="7"/>
      <c r="P100" s="7"/>
      <c r="Q100" s="23"/>
      <c r="R100" s="23"/>
      <c r="S100" s="32">
        <f t="shared" si="26"/>
        <v>1</v>
      </c>
      <c r="T100" s="47" t="str">
        <f t="shared" si="29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13:23:20-700',mode:absolute,to:'2016-12-31 16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0" s="49" t="str">
        <f t="shared" si="31"/>
        <v>N</v>
      </c>
      <c r="X100" s="173">
        <f t="shared" si="32"/>
        <v>1</v>
      </c>
      <c r="Y100" s="64">
        <f t="shared" si="33"/>
        <v>4.5100000000000001E-2</v>
      </c>
      <c r="Z100" s="64">
        <f t="shared" si="34"/>
        <v>23.330100000000002</v>
      </c>
      <c r="AA100" s="64">
        <f t="shared" si="35"/>
        <v>23.285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36"/>
        <v>0187-31</v>
      </c>
      <c r="AE100" s="87" t="str">
        <f t="shared" si="37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100" s="84" t="str">
        <f t="shared" si="38"/>
        <v>"C:\Program Files (x86)\AstroGrep\AstroGrep.exe" /spath="%USERPROFILE%\AppData\Local\Temp\OnboardLogs" /stypes="app*4003*20161231*"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88" t="str">
        <f t="shared" si="40"/>
        <v>"%USERPROFILE%\Documents\GitHub\eaglep3\Utilities\RefineRTDCRunTimes.py" --tripid 187-31 --locoid 4003 --swversion DE.1.0.8.0 --startMP 204:451 --initTime 2016-12-31T14:23:20 --startdatetime 2016-12-31T14:30:17 --delay 1 --endMP 204:233301 --enddatetime 2016-12-31T15:05:24 --enforcementcount 0 &gt;&gt;C:\Users\stu\Documents\GitHub\eaglep3-reporting\EC\2016-12-31-refined-times.txt</v>
      </c>
      <c r="AI10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{"issue":{"subject":"","project_id":79,"tracker_id":40,"status_id":1,"priority_id":2,"assigned_to_id":23,"start_date":"2016-12-31","description":"","custom_fields":[{"id":1,"name":"Subdivision","value":"EC"},{"id":4,"name":"Milepost","value":"23.3301"},{"id":17,"name":"Train ID","value":"187-31"},{"id":16,"name":"Locomotive ID","value":"4003"},{"id":130,"name":"Impact","value":""},{"id":150,"name":"Time of Event (Mountain Time)","value":"15:05:24"},{"id":151,"name":"Denver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2"/>
        <v>start /low /b %USERPROFILE%\Documents\GitHub\eaglep3\Utilities\DownloadLogsFromS3.py --loco 4003 --day 2016-12-31</v>
      </c>
    </row>
    <row r="101" spans="1:91" s="21" customFormat="1" x14ac:dyDescent="0.25">
      <c r="A101" s="34" t="s">
        <v>599</v>
      </c>
      <c r="B101" s="7">
        <v>4004</v>
      </c>
      <c r="C101" s="22" t="s">
        <v>205</v>
      </c>
      <c r="D101" s="22" t="s">
        <v>414</v>
      </c>
      <c r="E101" s="13">
        <v>42735.6405787037</v>
      </c>
      <c r="F101" s="13">
        <v>42735.64329861111</v>
      </c>
      <c r="G101" s="7">
        <v>1</v>
      </c>
      <c r="H101" s="22" t="s">
        <v>306</v>
      </c>
      <c r="I101" s="13">
        <v>42735.669803240744</v>
      </c>
      <c r="J101" s="7">
        <v>0</v>
      </c>
      <c r="K101" s="105" t="str">
        <f t="shared" si="27"/>
        <v>4003/4004</v>
      </c>
      <c r="L101" s="22" t="str">
        <f>VLOOKUP(A101,'Trips&amp;Operators'!$C$1:$G$99999,5,FALSE)</f>
        <v>STEWART MICHAEL</v>
      </c>
      <c r="M101" s="6">
        <f t="shared" si="28"/>
        <v>2.6504629633564036E-2</v>
      </c>
      <c r="N101" s="7">
        <f t="shared" si="25"/>
        <v>38.166666672332212</v>
      </c>
      <c r="O101" s="7"/>
      <c r="P101" s="7"/>
      <c r="Q101" s="23"/>
      <c r="R101" s="23"/>
      <c r="S101" s="32">
        <f t="shared" si="26"/>
        <v>1</v>
      </c>
      <c r="T101" s="47" t="str">
        <f t="shared" si="29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14:22:26-700',mode:absolute,to:'2016-12-31 17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1" s="49" t="str">
        <f t="shared" si="31"/>
        <v>N</v>
      </c>
      <c r="X101" s="173">
        <f t="shared" si="32"/>
        <v>1</v>
      </c>
      <c r="Y101" s="64">
        <f t="shared" si="33"/>
        <v>23.298400000000001</v>
      </c>
      <c r="Z101" s="64">
        <f t="shared" si="34"/>
        <v>1.5800000000000002E-2</v>
      </c>
      <c r="AA101" s="64">
        <f t="shared" si="35"/>
        <v>23.282600000000002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36"/>
        <v>0188-31</v>
      </c>
      <c r="AE101" s="87" t="str">
        <f t="shared" si="37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101" s="84" t="str">
        <f t="shared" si="38"/>
        <v>"C:\Program Files (x86)\AstroGrep\AstroGrep.exe" /spath="%USERPROFILE%\AppData\Local\Temp\OnboardLogs" /stypes="app*4004*20161231*" /stext=" 23:.+((SYSTEM_STATE.+slice.+state.+changed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88" t="str">
        <f t="shared" si="40"/>
        <v>"%USERPROFILE%\Documents\GitHub\eaglep3\Utilities\RefineRTDCRunTimes.py" --tripid 188-31 --locoid 4004 --swversion DE.1.0.8.0 --startMP 204:232984 --initTime 2016-12-31T15:22:26 --startdatetime 2016-12-31T15:26:21 --delay 1 --endMP 204:158 --enddatetime 2016-12-31T16:04:31 --enforcementcount 0 &gt;&gt;C:\Users\stu\Documents\GitHub\eaglep3-reporting\EC\2016-12-31-refined-times.txt</v>
      </c>
      <c r="AI10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ID","value":"188-31"},{"id":16,"name":"Locomotive ID","value":"4004"},{"id":130,"name":"Impact","value":""},{"id":150,"name":"Time of Event (Mountain Time)","value":"16:04:31"},{"id":151,"name":"Denver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2"/>
        <v>start /low /b %USERPROFILE%\Documents\GitHub\eaglep3\Utilities\DownloadLogsFromS3.py --loco 4004 --day 2016-12-31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594</v>
      </c>
      <c r="B102" s="7">
        <v>4016</v>
      </c>
      <c r="C102" s="22" t="s">
        <v>205</v>
      </c>
      <c r="D102" s="22" t="s">
        <v>366</v>
      </c>
      <c r="E102" s="13">
        <v>42735.611354166664</v>
      </c>
      <c r="F102" s="13">
        <v>42735.614999999998</v>
      </c>
      <c r="G102" s="7">
        <v>1</v>
      </c>
      <c r="H102" s="22" t="s">
        <v>296</v>
      </c>
      <c r="I102" s="13">
        <v>42735.641157407408</v>
      </c>
      <c r="J102" s="7">
        <v>0</v>
      </c>
      <c r="K102" s="105" t="str">
        <f t="shared" si="27"/>
        <v>4015/4016</v>
      </c>
      <c r="L102" s="22" t="str">
        <f>VLOOKUP(A102,'Trips&amp;Operators'!$C$1:$G$99999,5,FALSE)</f>
        <v>DAVIS MICHAEL</v>
      </c>
      <c r="M102" s="6">
        <f t="shared" si="28"/>
        <v>2.6157407410209998E-2</v>
      </c>
      <c r="N102" s="7">
        <f t="shared" si="25"/>
        <v>37.666666670702398</v>
      </c>
      <c r="O102" s="7"/>
      <c r="P102" s="7"/>
      <c r="Q102" s="23"/>
      <c r="R102" s="23"/>
      <c r="S102" s="32">
        <f t="shared" si="26"/>
        <v>1</v>
      </c>
      <c r="T102" s="47" t="str">
        <f t="shared" si="29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13:40:21-700',mode:absolute,to:'2016-12-31 16:23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2" s="49" t="str">
        <f t="shared" si="31"/>
        <v>N</v>
      </c>
      <c r="X102" s="173">
        <f t="shared" si="32"/>
        <v>1</v>
      </c>
      <c r="Y102" s="64">
        <f t="shared" si="33"/>
        <v>4.7100000000000003E-2</v>
      </c>
      <c r="Z102" s="64">
        <f t="shared" si="34"/>
        <v>23.331199999999999</v>
      </c>
      <c r="AA102" s="64">
        <f t="shared" si="35"/>
        <v>23.284099999999999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36"/>
        <v>0189-31</v>
      </c>
      <c r="AE102" s="87" t="str">
        <f t="shared" si="37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02" s="84" t="str">
        <f t="shared" si="38"/>
        <v>"C:\Program Files (x86)\AstroGrep\AstroGrep.exe" /spath="%USERPROFILE%\AppData\Local\Temp\OnboardLogs" /stypes="app*4016*20161231*" /stext=" 22:.+((SYSTEM_STATE.+slice.+state.+changed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88" t="str">
        <f t="shared" si="40"/>
        <v>"%USERPROFILE%\Documents\GitHub\eaglep3\Utilities\RefineRTDCRunTimes.py" --tripid 189-31 --locoid 4016 --swversion DE.1.0.8.0 --startMP 204:471 --initTime 2016-12-31T14:40:21 --startdatetime 2016-12-31T14:45:36 --delay 1 --endMP 204:233312 --enddatetime 2016-12-31T15:23:16 --enforcementcount 0 &gt;&gt;C:\Users\stu\Documents\GitHub\eaglep3-reporting\EC\2016-12-31-refined-times.txt</v>
      </c>
      <c r="AI10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{"issue":{"subject":"","project_id":79,"tracker_id":40,"status_id":1,"priority_id":2,"assigned_to_id":23,"start_date":"2016-12-31","description":"","custom_fields":[{"id":1,"name":"Subdivision","value":"EC"},{"id":4,"name":"Milepost","value":"23.3312"},{"id":17,"name":"Train ID","value":"189-31"},{"id":16,"name":"Locomotive ID","value":"4016"},{"id":130,"name":"Impact","value":""},{"id":150,"name":"Time of Event (Mountain Time)","value":"15:23:16"},{"id":151,"name":"Denver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2"/>
        <v>start /low /b %USERPROFILE%\Documents\GitHub\eaglep3\Utilities\DownloadLogsFromS3.py --loco 4016 --day 2016-12-31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601</v>
      </c>
      <c r="B103" s="7">
        <v>4015</v>
      </c>
      <c r="C103" s="22" t="s">
        <v>205</v>
      </c>
      <c r="D103" s="22" t="s">
        <v>717</v>
      </c>
      <c r="E103" s="13">
        <v>42735.649641203701</v>
      </c>
      <c r="F103" s="13">
        <v>42735.653912037036</v>
      </c>
      <c r="G103" s="7">
        <v>1</v>
      </c>
      <c r="H103" s="22" t="s">
        <v>224</v>
      </c>
      <c r="I103" s="13">
        <v>42735.682268518518</v>
      </c>
      <c r="J103" s="7">
        <v>0</v>
      </c>
      <c r="K103" s="105" t="str">
        <f t="shared" si="27"/>
        <v>4015/4016</v>
      </c>
      <c r="L103" s="22" t="str">
        <f>VLOOKUP(A103,'Trips&amp;Operators'!$C$1:$G$99999,5,FALSE)</f>
        <v>DAVIS MICHAEL</v>
      </c>
      <c r="M103" s="6">
        <f t="shared" si="28"/>
        <v>2.8356481481750961E-2</v>
      </c>
      <c r="N103" s="7">
        <f t="shared" si="25"/>
        <v>40.833333333721384</v>
      </c>
      <c r="O103" s="7"/>
      <c r="P103" s="7"/>
      <c r="Q103" s="23"/>
      <c r="R103" s="23"/>
      <c r="S103" s="32">
        <f t="shared" si="26"/>
        <v>1</v>
      </c>
      <c r="T103" s="47" t="str">
        <f t="shared" si="29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14:35:29-700',mode:absolute,to:'2016-12-31 17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3" s="49" t="str">
        <f t="shared" si="31"/>
        <v>N</v>
      </c>
      <c r="X103" s="173">
        <f t="shared" si="32"/>
        <v>1</v>
      </c>
      <c r="Y103" s="64">
        <f t="shared" si="33"/>
        <v>23.298100000000002</v>
      </c>
      <c r="Z103" s="64">
        <f t="shared" si="34"/>
        <v>1.54E-2</v>
      </c>
      <c r="AA103" s="64">
        <f t="shared" si="35"/>
        <v>23.282700000000002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36"/>
        <v>0190-31</v>
      </c>
      <c r="AE103" s="87" t="str">
        <f t="shared" si="37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103" s="84" t="str">
        <f t="shared" si="38"/>
        <v>"C:\Program Files (x86)\AstroGrep\AstroGrep.exe" /spath="%USERPROFILE%\AppData\Local\Temp\OnboardLogs" /stypes="app*4015*20161231*" /stext=" 23:.+((SYSTEM_STATE.+slice.+state.+changed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88" t="str">
        <f t="shared" si="40"/>
        <v>"%USERPROFILE%\Documents\GitHub\eaglep3\Utilities\RefineRTDCRunTimes.py" --tripid 190-31 --locoid 4015 --swversion DE.1.0.8.0 --startMP 204:232981 --initTime 2016-12-31T15:35:29 --startdatetime 2016-12-31T15:41:38 --delay 1 --endMP 204:154 --enddatetime 2016-12-31T16:22:28 --enforcementcount 0 &gt;&gt;C:\Users\stu\Documents\GitHub\eaglep3-reporting\EC\2016-12-31-refined-times.txt</v>
      </c>
      <c r="AI103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{"issue":{"subject":"","project_id":79,"tracker_id":40,"status_id":1,"priority_id":2,"assigned_to_id":23,"start_date":"2016-12-31","description":"","custom_fields":[{"id":1,"name":"Subdivision","value":"EC"},{"id":4,"name":"Milepost","value":"0.0154"},{"id":17,"name":"Train ID","value":"190-31"},{"id":16,"name":"Locomotive ID","value":"4015"},{"id":130,"name":"Impact","value":""},{"id":150,"name":"Time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2"/>
        <v>start /low /b %USERPROFILE%\Documents\GitHub\eaglep3\Utilities\DownloadLogsFromS3.py --loco 4015 --day 2016-12-31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595</v>
      </c>
      <c r="B104" s="7">
        <v>4046</v>
      </c>
      <c r="C104" s="22" t="s">
        <v>205</v>
      </c>
      <c r="D104" s="22" t="s">
        <v>228</v>
      </c>
      <c r="E104" s="13">
        <v>42735.61991898148</v>
      </c>
      <c r="F104" s="13">
        <v>42735.625196759262</v>
      </c>
      <c r="G104" s="7">
        <v>1</v>
      </c>
      <c r="H104" s="22" t="s">
        <v>360</v>
      </c>
      <c r="I104" s="13">
        <v>42735.649606481478</v>
      </c>
      <c r="J104" s="7">
        <v>0</v>
      </c>
      <c r="K104" s="105" t="str">
        <f t="shared" si="27"/>
        <v>4045/4046</v>
      </c>
      <c r="L104" s="22" t="str">
        <f>VLOOKUP(A104,'Trips&amp;Operators'!$C$1:$G$99999,5,FALSE)</f>
        <v>BRUDER RICHARD</v>
      </c>
      <c r="M104" s="6">
        <f t="shared" si="28"/>
        <v>2.4409722216660157E-2</v>
      </c>
      <c r="N104" s="7">
        <f t="shared" si="25"/>
        <v>35.149999991990626</v>
      </c>
      <c r="O104" s="7"/>
      <c r="P104" s="7"/>
      <c r="Q104" s="23"/>
      <c r="R104" s="23"/>
      <c r="S104" s="32">
        <f t="shared" si="26"/>
        <v>1</v>
      </c>
      <c r="T104" s="47" t="str">
        <f t="shared" si="29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13:52:41-700',mode:absolute,to:'2016-12-31 16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4" s="49" t="str">
        <f t="shared" si="31"/>
        <v>N</v>
      </c>
      <c r="X104" s="173">
        <f t="shared" si="32"/>
        <v>1</v>
      </c>
      <c r="Y104" s="64">
        <f t="shared" si="33"/>
        <v>4.5499999999999999E-2</v>
      </c>
      <c r="Z104" s="64">
        <f t="shared" si="34"/>
        <v>23.3309</v>
      </c>
      <c r="AA104" s="64">
        <f t="shared" si="35"/>
        <v>23.285399999999999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36"/>
        <v>0191-31</v>
      </c>
      <c r="AE104" s="87" t="str">
        <f t="shared" si="37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104" s="84" t="str">
        <f t="shared" si="38"/>
        <v>"C:\Program Files (x86)\AstroGrep\AstroGrep.exe" /spath="%USERPROFILE%\AppData\Local\Temp\OnboardLogs" /stypes="app*4046*20161231*" /stext=" 22:.+((SYSTEM_STATE.+slice.+state.+changed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88" t="str">
        <f t="shared" si="40"/>
        <v>"%USERPROFILE%\Documents\GitHub\eaglep3\Utilities\RefineRTDCRunTimes.py" --tripid 191-31 --locoid 4046 --swversion DE.1.0.8.0 --startMP 204:455 --initTime 2016-12-31T14:52:41 --startdatetime 2016-12-31T15:00:17 --delay 1 --endMP 204:233309 --enddatetime 2016-12-31T15:35:26 --enforcementcount 0 &gt;&gt;C:\Users\stu\Documents\GitHub\eaglep3-reporting\EC\2016-12-31-refined-times.txt</v>
      </c>
      <c r="AI104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{"issue":{"subject":"","project_id":79,"tracker_id":40,"status_id":1,"priority_id":2,"assigned_to_id":23,"start_date":"2016-12-31","description":"","custom_fields":[{"id":1,"name":"Subdivision","value":"EC"},{"id":4,"name":"Milepost","value":"23.3309"},{"id":17,"name":"Train ID","value":"191-31"},{"id":16,"name":"Locomotive ID","value":"4046"},{"id":130,"name":"Impact","value":""},{"id":150,"name":"Time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2"/>
        <v>start /low /b %USERPROFILE%\Documents\GitHub\eaglep3\Utilities\DownloadLogsFromS3.py --loco 4046 --day 2016-12-31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604</v>
      </c>
      <c r="B105" s="7">
        <v>4045</v>
      </c>
      <c r="C105" s="22" t="s">
        <v>205</v>
      </c>
      <c r="D105" s="22" t="s">
        <v>265</v>
      </c>
      <c r="E105" s="13">
        <v>42735.65828703704</v>
      </c>
      <c r="F105" s="13">
        <v>42735.664074074077</v>
      </c>
      <c r="G105" s="7">
        <v>1</v>
      </c>
      <c r="H105" s="22" t="s">
        <v>258</v>
      </c>
      <c r="I105" s="13">
        <v>42735.69054398148</v>
      </c>
      <c r="J105" s="7">
        <v>0</v>
      </c>
      <c r="K105" s="105" t="str">
        <f t="shared" si="27"/>
        <v>4045/4046</v>
      </c>
      <c r="L105" s="22" t="str">
        <f>VLOOKUP(A105,'Trips&amp;Operators'!$C$1:$G$99999,5,FALSE)</f>
        <v>BRUDER RICHARD</v>
      </c>
      <c r="M105" s="6">
        <f t="shared" si="28"/>
        <v>2.6469907403225079E-2</v>
      </c>
      <c r="N105" s="7">
        <f t="shared" ref="N105:N136" si="43">24*60*SUM($M105:$M105)</f>
        <v>38.116666660644114</v>
      </c>
      <c r="O105" s="7"/>
      <c r="P105" s="7"/>
      <c r="Q105" s="23"/>
      <c r="R105" s="23"/>
      <c r="S105" s="32">
        <f t="shared" ref="S105:S136" si="44">SUM(U105:U105)/IF(AG105="EC",12,1)</f>
        <v>1</v>
      </c>
      <c r="T105" s="47" t="str">
        <f t="shared" si="29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14:47:56-700',mode:absolute,to:'2016-12-31 17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5" s="49" t="str">
        <f t="shared" si="31"/>
        <v>N</v>
      </c>
      <c r="X105" s="173">
        <f t="shared" si="32"/>
        <v>1</v>
      </c>
      <c r="Y105" s="64">
        <f t="shared" si="33"/>
        <v>23.2986</v>
      </c>
      <c r="Z105" s="64">
        <f t="shared" si="34"/>
        <v>1.6E-2</v>
      </c>
      <c r="AA105" s="64">
        <f t="shared" si="35"/>
        <v>23.282600000000002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36"/>
        <v>0192-31</v>
      </c>
      <c r="AE105" s="87" t="str">
        <f t="shared" si="37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05" s="84" t="str">
        <f t="shared" si="38"/>
        <v>"C:\Program Files (x86)\AstroGrep\AstroGrep.exe" /spath="%USERPROFILE%\AppData\Local\Temp\OnboardLogs" /stypes="app*4045*20161231*" /stext=" 23:.+((SYSTEM_STATE.+slice.+state.+changed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88" t="str">
        <f t="shared" si="40"/>
        <v>"%USERPROFILE%\Documents\GitHub\eaglep3\Utilities\RefineRTDCRunTimes.py" --tripid 192-31 --locoid 4045 --swversion DE.1.0.8.0 --startMP 204:232986 --initTime 2016-12-31T15:47:56 --startdatetime 2016-12-31T15:56:16 --delay 1 --endMP 204:160 --enddatetime 2016-12-31T16:34:23 --enforcementcount 0 &gt;&gt;C:\Users\stu\Documents\GitHub\eaglep3-reporting\EC\2016-12-31-refined-times.txt</v>
      </c>
      <c r="AI10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{"issue":{"subject":"","project_id":79,"tracker_id":40,"status_id":1,"priority_id":2,"assigned_to_id":23,"start_date":"2016-12-31","description":"","custom_fields":[{"id":1,"name":"Subdivision","value":"EC"},{"id":4,"name":"Milepost","value":"0.016"},{"id":17,"name":"Train ID","value":"192-31"},{"id":16,"name":"Locomotive ID","value":"4045"},{"id":130,"name":"Impact","value":""},{"id":150,"name":"Time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2"/>
        <v>start /low /b %USERPROFILE%\Documents\GitHub\eaglep3\Utilities\DownloadLogsFromS3.py --loco 4045 --day 2016-12-31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597</v>
      </c>
      <c r="B106" s="7">
        <v>4025</v>
      </c>
      <c r="C106" s="22" t="s">
        <v>205</v>
      </c>
      <c r="D106" s="22" t="s">
        <v>763</v>
      </c>
      <c r="E106" s="13">
        <v>42735.630914351852</v>
      </c>
      <c r="F106" s="13">
        <v>42735.63559027778</v>
      </c>
      <c r="G106" s="7">
        <v>1</v>
      </c>
      <c r="H106" s="22" t="s">
        <v>321</v>
      </c>
      <c r="I106" s="13">
        <v>42735.660798611112</v>
      </c>
      <c r="J106" s="7">
        <v>0</v>
      </c>
      <c r="K106" s="105" t="str">
        <f t="shared" si="27"/>
        <v>4025/4026</v>
      </c>
      <c r="L106" s="22" t="str">
        <f>VLOOKUP(A106,'Trips&amp;Operators'!$C$1:$G$99999,5,FALSE)</f>
        <v>KILLION DAVID</v>
      </c>
      <c r="M106" s="6">
        <f t="shared" si="28"/>
        <v>2.5208333332557231E-2</v>
      </c>
      <c r="N106" s="7">
        <f t="shared" si="43"/>
        <v>36.299999998882413</v>
      </c>
      <c r="O106" s="7"/>
      <c r="P106" s="7"/>
      <c r="Q106" s="23"/>
      <c r="R106" s="23"/>
      <c r="S106" s="32">
        <f t="shared" si="44"/>
        <v>1</v>
      </c>
      <c r="T106" s="47" t="str">
        <f t="shared" si="29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14:08:31-700',mode:absolute,to:'2016-12-31 16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6" s="49" t="str">
        <f t="shared" si="31"/>
        <v>N</v>
      </c>
      <c r="X106" s="173">
        <f t="shared" si="32"/>
        <v>1</v>
      </c>
      <c r="Y106" s="64">
        <f t="shared" si="33"/>
        <v>4.2200000000000001E-2</v>
      </c>
      <c r="Z106" s="64">
        <f t="shared" si="34"/>
        <v>23.3291</v>
      </c>
      <c r="AA106" s="64">
        <f t="shared" si="35"/>
        <v>23.286899999999999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36"/>
        <v>0193-31</v>
      </c>
      <c r="AE106" s="87" t="str">
        <f t="shared" si="37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106" s="84" t="str">
        <f t="shared" si="38"/>
        <v>"C:\Program Files (x86)\AstroGrep\AstroGrep.exe" /spath="%USERPROFILE%\AppData\Local\Temp\OnboardLogs" /stypes="app*4025*20161231*" /stext=" 22:.+((SYSTEM_STATE.+slice.+state.+changed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88" t="str">
        <f t="shared" si="40"/>
        <v>"%USERPROFILE%\Documents\GitHub\eaglep3\Utilities\RefineRTDCRunTimes.py" --tripid 193-31 --locoid 4025 --swversion DE.1.0.8.0 --startMP 204:422 --initTime 2016-12-31T15:08:31 --startdatetime 2016-12-31T15:15:15 --delay 1 --endMP 204:233291 --enddatetime 2016-12-31T15:51:33 --enforcementcount 0 &gt;&gt;C:\Users\stu\Documents\GitHub\eaglep3-reporting\EC\2016-12-31-refined-times.txt</v>
      </c>
      <c r="AI10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{"issue":{"subject":"","project_id":79,"tracker_id":40,"status_id":1,"priority_id":2,"assigned_to_id":23,"start_date":"2016-12-31","description":"","custom_fields":[{"id":1,"name":"Subdivision","value":"EC"},{"id":4,"name":"Milepost","value":"23.3291"},{"id":17,"name":"Train ID","value":"193-31"},{"id":16,"name":"Locomotive ID","value":"4025"},{"id":130,"name":"Impact","value":""},{"id":150,"name":"Time of Event (Mountain Time)","value":"15:51:33"},{"id":151,"name":"Denver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2"/>
        <v>start /low /b %USERPROFILE%\Documents\GitHub\eaglep3\Utilities\DownloadLogsFromS3.py --loco 4025 --day 2016-12-31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607</v>
      </c>
      <c r="B107" s="7">
        <v>4026</v>
      </c>
      <c r="C107" s="22" t="s">
        <v>205</v>
      </c>
      <c r="D107" s="22" t="s">
        <v>257</v>
      </c>
      <c r="E107" s="13">
        <v>42735.668726851851</v>
      </c>
      <c r="F107" s="13">
        <v>42735.674513888887</v>
      </c>
      <c r="G107" s="7">
        <v>1</v>
      </c>
      <c r="H107" s="22" t="s">
        <v>306</v>
      </c>
      <c r="I107" s="13">
        <v>42735.700902777775</v>
      </c>
      <c r="J107" s="7">
        <v>0</v>
      </c>
      <c r="K107" s="105" t="str">
        <f t="shared" si="27"/>
        <v>4025/4026</v>
      </c>
      <c r="L107" s="22" t="str">
        <f>VLOOKUP(A107,'Trips&amp;Operators'!$C$1:$G$99999,5,FALSE)</f>
        <v>KILLION DAVID</v>
      </c>
      <c r="M107" s="6">
        <f t="shared" si="28"/>
        <v>2.6388888887595385E-2</v>
      </c>
      <c r="N107" s="7">
        <f t="shared" si="43"/>
        <v>37.999999998137355</v>
      </c>
      <c r="O107" s="7"/>
      <c r="P107" s="7"/>
      <c r="Q107" s="23"/>
      <c r="R107" s="23"/>
      <c r="S107" s="32">
        <f t="shared" si="44"/>
        <v>1</v>
      </c>
      <c r="T107" s="47" t="str">
        <f t="shared" si="29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15:02:58-700',mode:absolute,to:'2016-12-31 17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7" s="49" t="str">
        <f t="shared" si="31"/>
        <v>N</v>
      </c>
      <c r="X107" s="173">
        <f t="shared" si="32"/>
        <v>1</v>
      </c>
      <c r="Y107" s="64">
        <f t="shared" si="33"/>
        <v>23.297699999999999</v>
      </c>
      <c r="Z107" s="64">
        <f t="shared" si="34"/>
        <v>1.5800000000000002E-2</v>
      </c>
      <c r="AA107" s="64">
        <f t="shared" si="35"/>
        <v>23.2819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36"/>
        <v>0194-31</v>
      </c>
      <c r="AE107" s="87" t="str">
        <f t="shared" si="37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107" s="84" t="str">
        <f t="shared" si="38"/>
        <v>"C:\Program Files (x86)\AstroGrep\AstroGrep.exe" /spath="%USERPROFILE%\AppData\Local\Temp\OnboardLogs" /stypes="app*4026*20161231*"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88" t="str">
        <f t="shared" si="40"/>
        <v>"%USERPROFILE%\Documents\GitHub\eaglep3\Utilities\RefineRTDCRunTimes.py" --tripid 194-31 --locoid 4026 --swversion DE.1.0.8.0 --startMP 204:232977 --initTime 2016-12-31T16:02:58 --startdatetime 2016-12-31T16:11:18 --delay 1 --endMP 204:158 --enddatetime 2016-12-31T16:49:18 --enforcementcount 0 &gt;&gt;C:\Users\stu\Documents\GitHub\eaglep3-reporting\EC\2016-12-31-refined-times.txt</v>
      </c>
      <c r="AI10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ID","value":"194-31"},{"id":16,"name":"Locomotive ID","value":"4026"},{"id":130,"name":"Impact","value":""},{"id":150,"name":"Time of Event (Mountain Time)","value":"16:49:18"},{"id":151,"name":"Denver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2"/>
        <v>start /low /b %USERPROFILE%\Documents\GitHub\eaglep3\Utilities\DownloadLogsFromS3.py --loco 4026 --day 2016-12-31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600</v>
      </c>
      <c r="B108" s="7">
        <v>4018</v>
      </c>
      <c r="C108" s="22" t="s">
        <v>205</v>
      </c>
      <c r="D108" s="22" t="s">
        <v>270</v>
      </c>
      <c r="E108" s="13">
        <v>42735.641585648147</v>
      </c>
      <c r="F108" s="13">
        <v>42735.645972222221</v>
      </c>
      <c r="G108" s="7">
        <v>1</v>
      </c>
      <c r="H108" s="22" t="s">
        <v>264</v>
      </c>
      <c r="I108" s="13">
        <v>42735.670300925929</v>
      </c>
      <c r="J108" s="7">
        <v>0</v>
      </c>
      <c r="K108" s="105" t="str">
        <f t="shared" si="27"/>
        <v>4017/4018</v>
      </c>
      <c r="L108" s="22" t="str">
        <f>VLOOKUP(A108,'Trips&amp;Operators'!$C$1:$G$99999,5,FALSE)</f>
        <v>ROMERO CHAD</v>
      </c>
      <c r="M108" s="6">
        <f t="shared" si="28"/>
        <v>2.4328703708306421E-2</v>
      </c>
      <c r="N108" s="7">
        <f t="shared" si="43"/>
        <v>35.033333339961246</v>
      </c>
      <c r="O108" s="7"/>
      <c r="P108" s="7"/>
      <c r="Q108" s="23"/>
      <c r="R108" s="23"/>
      <c r="S108" s="32">
        <f t="shared" si="44"/>
        <v>1</v>
      </c>
      <c r="T108" s="47" t="str">
        <f t="shared" si="29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14:23:53-700',mode:absolute,to:'2016-12-31 17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8" s="49" t="str">
        <f t="shared" si="31"/>
        <v>N</v>
      </c>
      <c r="X108" s="173">
        <f t="shared" si="32"/>
        <v>1</v>
      </c>
      <c r="Y108" s="64">
        <f t="shared" si="33"/>
        <v>4.4900000000000002E-2</v>
      </c>
      <c r="Z108" s="64">
        <f t="shared" si="34"/>
        <v>23.328900000000001</v>
      </c>
      <c r="AA108" s="64">
        <f t="shared" si="35"/>
        <v>23.284000000000002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36"/>
        <v>0195-31</v>
      </c>
      <c r="AE108" s="87" t="str">
        <f t="shared" si="37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08" s="84" t="str">
        <f t="shared" si="38"/>
        <v>"C:\Program Files (x86)\AstroGrep\AstroGrep.exe" /spath="%USERPROFILE%\AppData\Local\Temp\OnboardLogs" /stypes="app*4018*20161231*"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88" t="str">
        <f t="shared" si="40"/>
        <v>"%USERPROFILE%\Documents\GitHub\eaglep3\Utilities\RefineRTDCRunTimes.py" --tripid 195-31 --locoid 4018 --swversion DE.1.0.8.0 --startMP 204:449 --initTime 2016-12-31T15:23:53 --startdatetime 2016-12-31T15:30:12 --delay 1 --endMP 204:233289 --enddatetime 2016-12-31T16:05:14 --enforcementcount 0 &gt;&gt;C:\Users\stu\Documents\GitHub\eaglep3-reporting\EC\2016-12-31-refined-times.txt</v>
      </c>
      <c r="AI10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{"issue":{"subject":"","project_id":79,"tracker_id":40,"status_id":1,"priority_id":2,"assigned_to_id":23,"start_date":"2016-12-31","description":"","custom_fields":[{"id":1,"name":"Subdivision","value":"EC"},{"id":4,"name":"Milepost","value":"23.3289"},{"id":17,"name":"Train ID","value":"195-31"},{"id":16,"name":"Locomotive ID","value":"4018"},{"id":130,"name":"Impact","value":""},{"id":150,"name":"Time of Event (Mountain Time)","value":"16:05:14"},{"id":151,"name":"Denver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2"/>
        <v>start /low /b %USERPROFILE%\Documents\GitHub\eaglep3\Utilities\DownloadLogsFromS3.py --loco 4018 --day 2016-12-31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610</v>
      </c>
      <c r="B109" s="7">
        <v>4017</v>
      </c>
      <c r="C109" s="22" t="s">
        <v>205</v>
      </c>
      <c r="D109" s="22" t="s">
        <v>274</v>
      </c>
      <c r="E109" s="13">
        <v>42735.678622685184</v>
      </c>
      <c r="F109" s="13">
        <v>42735.684884259259</v>
      </c>
      <c r="G109" s="7">
        <v>1</v>
      </c>
      <c r="H109" s="22" t="s">
        <v>211</v>
      </c>
      <c r="I109" s="13">
        <v>42735.7109837963</v>
      </c>
      <c r="J109" s="7">
        <v>0</v>
      </c>
      <c r="K109" s="105" t="str">
        <f t="shared" si="27"/>
        <v>4017/4018</v>
      </c>
      <c r="L109" s="22" t="str">
        <f>VLOOKUP(A109,'Trips&amp;Operators'!$C$1:$G$99999,5,FALSE)</f>
        <v>ROMERO CHAD</v>
      </c>
      <c r="M109" s="6">
        <f t="shared" si="28"/>
        <v>2.6099537040863652E-2</v>
      </c>
      <c r="N109" s="7">
        <f t="shared" si="43"/>
        <v>37.583333338843659</v>
      </c>
      <c r="O109" s="7"/>
      <c r="P109" s="7"/>
      <c r="Q109" s="23"/>
      <c r="R109" s="23"/>
      <c r="S109" s="32">
        <f t="shared" si="44"/>
        <v>1</v>
      </c>
      <c r="T109" s="47" t="str">
        <f t="shared" si="29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15:17:13-700',mode:absolute,to:'2016-12-31 18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9" s="49" t="str">
        <f t="shared" si="31"/>
        <v>N</v>
      </c>
      <c r="X109" s="173">
        <f t="shared" si="32"/>
        <v>1</v>
      </c>
      <c r="Y109" s="64">
        <f t="shared" si="33"/>
        <v>23.297799999999999</v>
      </c>
      <c r="Z109" s="64">
        <f t="shared" si="34"/>
        <v>1.4999999999999999E-2</v>
      </c>
      <c r="AA109" s="64">
        <f t="shared" si="35"/>
        <v>23.282799999999998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36"/>
        <v>0196-31</v>
      </c>
      <c r="AE109" s="87" t="str">
        <f t="shared" si="37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109" s="84" t="str">
        <f t="shared" si="38"/>
        <v>"C:\Program Files (x86)\AstroGrep\AstroGrep.exe" /spath="%USERPROFILE%\AppData\Local\Temp\OnboardLogs" /stypes="app*4017*20170101*" /stext=" 00:.+((SYSTEM_STATE.+slice.+state.+changed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88" t="str">
        <f t="shared" si="40"/>
        <v>"%USERPROFILE%\Documents\GitHub\eaglep3\Utilities\RefineRTDCRunTimes.py" --tripid 196-31 --locoid 4017 --swversion DE.1.0.8.0 --startMP 204:232978 --initTime 2016-12-31T16:17:13 --startdatetime 2016-12-31T16:26:14 --delay 1 --endMP 204:150 --enddatetime 2016-12-31T17:03:49 --enforcementcount 0 &gt;&gt;C:\Users\stu\Documents\GitHub\eaglep3-reporting\EC\2016-12-31-refined-times.txt</v>
      </c>
      <c r="AI10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ID","value":"196-31"},{"id":16,"name":"Locomotive ID","value":"4017"},{"id":130,"name":"Impact","value":""},{"id":150,"name":"Time of Event (Mountain Time)","value":"17:03:49"},{"id":151,"name":"Denver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2"/>
        <v>start /low /b %USERPROFILE%\Documents\GitHub\eaglep3\Utilities\DownloadLogsFromS3.py --loco 4017 --day 2016-12-31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602</v>
      </c>
      <c r="B110" s="7">
        <v>4011</v>
      </c>
      <c r="C110" s="22" t="s">
        <v>205</v>
      </c>
      <c r="D110" s="22" t="s">
        <v>266</v>
      </c>
      <c r="E110" s="13">
        <v>42735.649988425925</v>
      </c>
      <c r="F110" s="13">
        <v>42735.656782407408</v>
      </c>
      <c r="G110" s="7">
        <v>1</v>
      </c>
      <c r="H110" s="22" t="s">
        <v>272</v>
      </c>
      <c r="I110" s="13">
        <v>42735.681226851855</v>
      </c>
      <c r="J110" s="7">
        <v>0</v>
      </c>
      <c r="K110" s="105" t="str">
        <f t="shared" si="27"/>
        <v>4011/4012</v>
      </c>
      <c r="L110" s="22" t="str">
        <f>VLOOKUP(A110,'Trips&amp;Operators'!$C$1:$G$99999,5,FALSE)</f>
        <v>ADANE ELSHADAY</v>
      </c>
      <c r="M110" s="6">
        <f t="shared" si="28"/>
        <v>2.4444444446999114E-2</v>
      </c>
      <c r="N110" s="7">
        <f t="shared" si="43"/>
        <v>35.200000003678724</v>
      </c>
      <c r="O110" s="7"/>
      <c r="P110" s="7"/>
      <c r="Q110" s="23"/>
      <c r="R110" s="23"/>
      <c r="S110" s="32">
        <f t="shared" si="44"/>
        <v>1</v>
      </c>
      <c r="T110" s="47" t="str">
        <f t="shared" si="29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14:35:59-700',mode:absolute,to:'2016-12-31 17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0" s="49" t="str">
        <f t="shared" si="31"/>
        <v>N</v>
      </c>
      <c r="X110" s="173">
        <f t="shared" si="32"/>
        <v>1</v>
      </c>
      <c r="Y110" s="64">
        <f t="shared" si="33"/>
        <v>4.3999999999999997E-2</v>
      </c>
      <c r="Z110" s="64">
        <f t="shared" si="34"/>
        <v>23.3308</v>
      </c>
      <c r="AA110" s="64">
        <f t="shared" si="35"/>
        <v>23.286799999999999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 t="shared" si="36"/>
        <v>0197-31</v>
      </c>
      <c r="AE110" s="87" t="str">
        <f t="shared" si="37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110" s="84" t="str">
        <f t="shared" si="38"/>
        <v>"C:\Program Files (x86)\AstroGrep\AstroGrep.exe" /spath="%USERPROFILE%\AppData\Local\Temp\OnboardLogs" /stypes="app*4011*20161231*" /stext=" 23:.+((SYSTEM_STATE.+slice.+state.+changed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88" t="str">
        <f t="shared" si="40"/>
        <v>"%USERPROFILE%\Documents\GitHub\eaglep3\Utilities\RefineRTDCRunTimes.py" --tripid 197-31 --locoid 4011 --swversion DE.1.0.8.0 --startMP 204:440 --initTime 2016-12-31T15:35:59 --startdatetime 2016-12-31T15:45:46 --delay 1 --endMP 204:233308 --enddatetime 2016-12-31T16:20:58 --enforcementcount 0 &gt;&gt;C:\Users\stu\Documents\GitHub\eaglep3-reporting\EC\2016-12-31-refined-times.txt</v>
      </c>
      <c r="AI11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{"issue":{"subject":"","project_id":79,"tracker_id":40,"status_id":1,"priority_id":2,"assigned_to_id":23,"start_date":"2016-12-31","description":"","custom_fields":[{"id":1,"name":"Subdivision","value":"EC"},{"id":4,"name":"Milepost","value":"23.3308"},{"id":17,"name":"Train ID","value":"197-31"},{"id":16,"name":"Locomotive ID","value":"4011"},{"id":130,"name":"Impact","value":""},{"id":150,"name":"Time of Event (Mountain Time)","value":"16:20:58"},{"id":151,"name":"Denver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2"/>
        <v>start /low /b %USERPROFILE%\Documents\GitHub\eaglep3\Utilities\DownloadLogsFromS3.py --loco 4011 --day 2016-12-31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612</v>
      </c>
      <c r="B111" s="7">
        <v>4012</v>
      </c>
      <c r="C111" s="22" t="s">
        <v>205</v>
      </c>
      <c r="D111" s="22" t="s">
        <v>330</v>
      </c>
      <c r="E111" s="13">
        <v>42735.682638888888</v>
      </c>
      <c r="F111" s="13">
        <v>42735.69568287037</v>
      </c>
      <c r="G111" s="7">
        <v>10</v>
      </c>
      <c r="H111" s="22" t="s">
        <v>306</v>
      </c>
      <c r="I111" s="13">
        <v>42735.722002314818</v>
      </c>
      <c r="J111" s="7">
        <v>0</v>
      </c>
      <c r="K111" s="105" t="str">
        <f t="shared" si="27"/>
        <v>4011/4012</v>
      </c>
      <c r="L111" s="22" t="str">
        <f>VLOOKUP(A111,'Trips&amp;Operators'!$C$1:$G$99999,5,FALSE)</f>
        <v>ADANE ELSHADAY</v>
      </c>
      <c r="M111" s="6">
        <f t="shared" si="28"/>
        <v>2.6319444448745344E-2</v>
      </c>
      <c r="N111" s="7">
        <f t="shared" si="43"/>
        <v>37.900000006193295</v>
      </c>
      <c r="O111" s="7"/>
      <c r="P111" s="7"/>
      <c r="Q111" s="23"/>
      <c r="R111" s="23"/>
      <c r="S111" s="32">
        <f t="shared" si="44"/>
        <v>1</v>
      </c>
      <c r="T111" s="47" t="str">
        <f t="shared" si="29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15:23:00-700',mode:absolute,to:'2016-12-31 18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1" s="49" t="str">
        <f t="shared" ref="W111:W118" si="45">IF(AA111&lt;IF(AG111="EC",23,5.65),"Y","N")</f>
        <v>N</v>
      </c>
      <c r="X111" s="173">
        <f t="shared" ref="X111:X118" si="46">VALUE(LEFT(AD111,4))-VALUE(LEFT(AD110,4))</f>
        <v>1</v>
      </c>
      <c r="Y111" s="64">
        <f t="shared" si="33"/>
        <v>23.300599999999999</v>
      </c>
      <c r="Z111" s="64">
        <f t="shared" si="34"/>
        <v>1.5800000000000002E-2</v>
      </c>
      <c r="AA111" s="64">
        <f t="shared" si="35"/>
        <v>23.284800000000001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36"/>
        <v>0198-31</v>
      </c>
      <c r="AE111" s="87" t="str">
        <f t="shared" si="37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111" s="84" t="str">
        <f t="shared" si="38"/>
        <v>"C:\Program Files (x86)\AstroGrep\AstroGrep.exe" /spath="%USERPROFILE%\AppData\Local\Temp\OnboardLogs" /stypes="app*4012*20170101*" /stext=" 00:.+((SYSTEM_STATE.+slice.+state.+changed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88" t="str">
        <f t="shared" si="40"/>
        <v>"%USERPROFILE%\Documents\GitHub\eaglep3\Utilities\RefineRTDCRunTimes.py" --tripid 198-31 --locoid 4012 --swversion DE.1.0.8.0 --startMP 204:233006 --initTime 2016-12-31T16:23:00 --startdatetime 2016-12-31T16:41:47 --delay 10 --endMP 204:158 --enddatetime 2016-12-31T17:19:41 --enforcementcount 0 &gt;&gt;C:\Users\stu\Documents\GitHub\eaglep3-reporting\EC\2016-12-31-refined-times.txt</v>
      </c>
      <c r="AI11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{"issue":{"subject":"","project_id":79,"tracker_id":40,"status_id":1,"priority_id":2,"assigned_to_id":23,"start_date":"2016-12-31","description":"","custom_fields":[{"id":1,"name":"Subdivision","value":"EC"},{"id":4,"name":"Milepost","value":"0.0158"},{"id":17,"name":"Train ID","value":"198-31"},{"id":16,"name":"Locomotive ID","value":"4012"},{"id":130,"name":"Impact","value":""},{"id":150,"name":"Time of Event (Mountain Time)","value":"17:19:41"},{"id":151,"name":"Denver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2"/>
        <v>start /low /b %USERPROFILE%\Documents\GitHub\eaglep3\Utilities\DownloadLogsFromS3.py --loco 4012 --day 2016-12-31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4" t="s">
        <v>605</v>
      </c>
      <c r="B112" s="7">
        <v>4044</v>
      </c>
      <c r="C112" s="22" t="s">
        <v>205</v>
      </c>
      <c r="D112" s="22" t="s">
        <v>250</v>
      </c>
      <c r="E112" s="13">
        <v>42735.665798611109</v>
      </c>
      <c r="F112" s="13">
        <v>42735.667245370372</v>
      </c>
      <c r="G112" s="7">
        <v>1</v>
      </c>
      <c r="H112" s="22" t="s">
        <v>271</v>
      </c>
      <c r="I112" s="13">
        <v>42735.692280092589</v>
      </c>
      <c r="J112" s="7">
        <v>0</v>
      </c>
      <c r="K112" s="105" t="str">
        <f t="shared" si="27"/>
        <v>4043/4044</v>
      </c>
      <c r="L112" s="22" t="str">
        <f>VLOOKUP(A112,'Trips&amp;Operators'!$C$1:$G$99999,5,FALSE)</f>
        <v>HOLCOMB KAMDEN</v>
      </c>
      <c r="M112" s="6">
        <f t="shared" si="28"/>
        <v>2.5034722217242233E-2</v>
      </c>
      <c r="N112" s="7">
        <f t="shared" si="43"/>
        <v>36.049999992828816</v>
      </c>
      <c r="O112" s="7"/>
      <c r="P112" s="7"/>
      <c r="Q112" s="23"/>
      <c r="R112" s="23"/>
      <c r="S112" s="32">
        <f t="shared" si="44"/>
        <v>1</v>
      </c>
      <c r="T112" s="47" t="str">
        <f t="shared" si="29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14:58:45-700',mode:absolute,to:'2016-12-31 17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2" s="49" t="str">
        <f t="shared" si="45"/>
        <v>N</v>
      </c>
      <c r="X112" s="173">
        <f t="shared" si="46"/>
        <v>1</v>
      </c>
      <c r="Y112" s="64">
        <f t="shared" si="33"/>
        <v>4.6399999999999997E-2</v>
      </c>
      <c r="Z112" s="64">
        <f t="shared" si="34"/>
        <v>23.329499999999999</v>
      </c>
      <c r="AA112" s="64">
        <f t="shared" si="35"/>
        <v>23.283100000000001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36"/>
        <v>0199-31</v>
      </c>
      <c r="AE112" s="87" t="str">
        <f t="shared" si="37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112" s="84" t="str">
        <f t="shared" si="38"/>
        <v>"C:\Program Files (x86)\AstroGrep\AstroGrep.exe" /spath="%USERPROFILE%\AppData\Local\Temp\OnboardLogs" /stypes="app*4044*20161231*" /stext=" 23:.+((SYSTEM_STATE.+slice.+state.+changed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88" t="str">
        <f t="shared" si="40"/>
        <v>"%USERPROFILE%\Documents\GitHub\eaglep3\Utilities\RefineRTDCRunTimes.py" --tripid 199-31 --locoid 4044 --swversion DE.1.0.8.0 --startMP 204:464 --initTime 2016-12-31T15:58:45 --startdatetime 2016-12-31T16:00:50 --delay 1 --endMP 204:233295 --enddatetime 2016-12-31T16:36:53 --enforcementcount 0 &gt;&gt;C:\Users\stu\Documents\GitHub\eaglep3-reporting\EC\2016-12-31-refined-times.txt</v>
      </c>
      <c r="AI11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{"issue":{"subject":"","project_id":79,"tracker_id":40,"status_id":1,"priority_id":2,"assigned_to_id":23,"start_date":"2016-12-31","description":"","custom_fields":[{"id":1,"name":"Subdivision","value":"EC"},{"id":4,"name":"Milepost","value":"23.3295"},{"id":17,"name":"Train ID","value":"199-31"},{"id":16,"name":"Locomotive ID","value":"4044"},{"id":130,"name":"Impact","value":""},{"id":150,"name":"Time of Event (Mountain Time)","value":"16:36:53"},{"id":151,"name":"Denver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2"/>
        <v>start /low /b %USERPROFILE%\Documents\GitHub\eaglep3\Utilities\DownloadLogsFromS3.py --loco 4044 --day 2016-12-31</v>
      </c>
    </row>
    <row r="113" spans="1:91" s="21" customFormat="1" x14ac:dyDescent="0.25">
      <c r="A113" s="34" t="s">
        <v>616</v>
      </c>
      <c r="B113" s="7">
        <v>4043</v>
      </c>
      <c r="C113" s="22" t="s">
        <v>205</v>
      </c>
      <c r="D113" s="22" t="s">
        <v>764</v>
      </c>
      <c r="E113" s="13">
        <v>42735.703657407408</v>
      </c>
      <c r="F113" s="13">
        <v>42735.705972222226</v>
      </c>
      <c r="G113" s="7">
        <v>1</v>
      </c>
      <c r="H113" s="22" t="s">
        <v>685</v>
      </c>
      <c r="I113" s="13">
        <v>42735.735196759262</v>
      </c>
      <c r="J113" s="7">
        <v>0</v>
      </c>
      <c r="K113" s="105" t="str">
        <f t="shared" si="27"/>
        <v>4043/4044</v>
      </c>
      <c r="L113" s="22" t="str">
        <f>VLOOKUP(A113,'Trips&amp;Operators'!$C$1:$G$99999,5,FALSE)</f>
        <v>HOLCOMB KAMDEN</v>
      </c>
      <c r="M113" s="6">
        <f t="shared" si="28"/>
        <v>2.9224537036498077E-2</v>
      </c>
      <c r="N113" s="7">
        <f t="shared" si="43"/>
        <v>42.083333332557231</v>
      </c>
      <c r="O113" s="7"/>
      <c r="P113" s="7"/>
      <c r="Q113" s="23"/>
      <c r="R113" s="23"/>
      <c r="S113" s="32">
        <f t="shared" si="44"/>
        <v>1</v>
      </c>
      <c r="T113" s="47" t="str">
        <f t="shared" si="29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15:53:16-700',mode:absolute,to:'2016-12-31 18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3" s="49" t="str">
        <f t="shared" si="45"/>
        <v>N</v>
      </c>
      <c r="X113" s="173">
        <f t="shared" si="46"/>
        <v>1</v>
      </c>
      <c r="Y113" s="64">
        <f t="shared" si="33"/>
        <v>23.300699999999999</v>
      </c>
      <c r="Z113" s="64">
        <f t="shared" si="34"/>
        <v>1.32E-2</v>
      </c>
      <c r="AA113" s="64">
        <f t="shared" si="35"/>
        <v>23.287499999999998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36"/>
        <v>0200-31</v>
      </c>
      <c r="AE113" s="87" t="str">
        <f t="shared" si="37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113" s="84" t="str">
        <f t="shared" si="38"/>
        <v>"C:\Program Files (x86)\AstroGrep\AstroGrep.exe" /spath="%USERPROFILE%\AppData\Local\Temp\OnboardLogs" /stypes="app*4043*20170101*" /stext=" 00:.+((SYSTEM_STATE.+slice.+state.+changed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88" t="str">
        <f t="shared" si="40"/>
        <v>"%USERPROFILE%\Documents\GitHub\eaglep3\Utilities\RefineRTDCRunTimes.py" --tripid 200-31 --locoid 4043 --swversion DE.1.0.8.0 --startMP 204:233007 --initTime 2016-12-31T16:53:16 --startdatetime 2016-12-31T16:56:36 --delay 1 --endMP 204:132 --enddatetime 2016-12-31T17:38:41 --enforcementcount 0 &gt;&gt;C:\Users\stu\Documents\GitHub\eaglep3-reporting\EC\2016-12-31-refined-times.txt</v>
      </c>
      <c r="AI113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{"issue":{"subject":"","project_id":79,"tracker_id":40,"status_id":1,"priority_id":2,"assigned_to_id":23,"start_date":"2016-12-31","description":"","custom_fields":[{"id":1,"name":"Subdivision","value":"EC"},{"id":4,"name":"Milepost","value":"0.0132"},{"id":17,"name":"Train ID","value":"200-31"},{"id":16,"name":"Locomotive ID","value":"4043"},{"id":130,"name":"Impact","value":""},{"id":150,"name":"Time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2"/>
        <v>start /low /b %USERPROFILE%\Documents\GitHub\eaglep3\Utilities\DownloadLogsFromS3.py --loco 4043 --day 2016-12-31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608</v>
      </c>
      <c r="B114" s="7">
        <v>4003</v>
      </c>
      <c r="C114" s="22" t="s">
        <v>205</v>
      </c>
      <c r="D114" s="22" t="s">
        <v>270</v>
      </c>
      <c r="E114" s="13">
        <v>42735.672199074077</v>
      </c>
      <c r="F114" s="13">
        <v>42735.677546296298</v>
      </c>
      <c r="G114" s="7">
        <v>2</v>
      </c>
      <c r="H114" s="22" t="s">
        <v>415</v>
      </c>
      <c r="I114" s="13">
        <v>42735.703611111108</v>
      </c>
      <c r="J114" s="7">
        <v>0</v>
      </c>
      <c r="K114" s="105" t="str">
        <f t="shared" si="27"/>
        <v>4003/4004</v>
      </c>
      <c r="L114" s="22" t="str">
        <f>VLOOKUP(A114,'Trips&amp;Operators'!$C$1:$G$99999,5,FALSE)</f>
        <v>STEWART MICHAEL</v>
      </c>
      <c r="M114" s="6">
        <f t="shared" si="28"/>
        <v>2.6064814810524695E-2</v>
      </c>
      <c r="N114" s="7">
        <f t="shared" si="43"/>
        <v>37.53333332715556</v>
      </c>
      <c r="O114" s="7"/>
      <c r="P114" s="7"/>
      <c r="Q114" s="23"/>
      <c r="R114" s="23"/>
      <c r="S114" s="32">
        <f t="shared" si="44"/>
        <v>1</v>
      </c>
      <c r="T114" s="47" t="str">
        <f t="shared" si="29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15:07:58-700',mode:absolute,to:'2016-12-31 17:53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4" s="49" t="str">
        <f t="shared" si="45"/>
        <v>N</v>
      </c>
      <c r="X114" s="173">
        <f t="shared" si="46"/>
        <v>1</v>
      </c>
      <c r="Y114" s="64">
        <f t="shared" si="33"/>
        <v>4.4900000000000002E-2</v>
      </c>
      <c r="Z114" s="64">
        <f t="shared" si="34"/>
        <v>23.331900000000001</v>
      </c>
      <c r="AA114" s="64">
        <f t="shared" si="35"/>
        <v>23.287000000000003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36"/>
        <v>0201-31</v>
      </c>
      <c r="AE114" s="87" t="str">
        <f t="shared" si="37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114" s="84" t="str">
        <f t="shared" si="38"/>
        <v>"C:\Program Files (x86)\AstroGrep\AstroGrep.exe" /spath="%USERPROFILE%\AppData\Local\Temp\OnboardLogs" /stypes="app*4003*20161231*" /stext=" 23:.+((SYSTEM_STATE.+slice.+state.+changed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88" t="str">
        <f t="shared" si="40"/>
        <v>"%USERPROFILE%\Documents\GitHub\eaglep3\Utilities\RefineRTDCRunTimes.py" --tripid 201-31 --locoid 4003 --swversion DE.1.0.8.0 --startMP 204:449 --initTime 2016-12-31T16:07:58 --startdatetime 2016-12-31T16:15:40 --delay 2 --endMP 204:233319 --enddatetime 2016-12-31T16:53:12 --enforcementcount 0 &gt;&gt;C:\Users\stu\Documents\GitHub\eaglep3-reporting\EC\2016-12-31-refined-times.txt</v>
      </c>
      <c r="AI114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{"issue":{"subject":"","project_id":79,"tracker_id":40,"status_id":1,"priority_id":2,"assigned_to_id":23,"start_date":"2016-12-31","description":"","custom_fields":[{"id":1,"name":"Subdivision","value":"EC"},{"id":4,"name":"Milepost","value":"23.3319"},{"id":17,"name":"Train ID","value":"201-31"},{"id":16,"name":"Locomotive ID","value":"4003"},{"id":130,"name":"Impact","value":""},{"id":150,"name":"Time of Event (Mountain Time)","value":"16:53:12"},{"id":151,"name":"Denver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2"/>
        <v>start /low /b %USERPROFILE%\Documents\GitHub\eaglep3\Utilities\DownloadLogsFromS3.py --loco 4003 --day 2016-12-31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618</v>
      </c>
      <c r="B115" s="7">
        <v>4004</v>
      </c>
      <c r="C115" s="22" t="s">
        <v>205</v>
      </c>
      <c r="D115" s="22" t="s">
        <v>308</v>
      </c>
      <c r="E115" s="13">
        <v>42735.713148148148</v>
      </c>
      <c r="F115" s="13">
        <v>42735.716261574074</v>
      </c>
      <c r="G115" s="7">
        <v>1</v>
      </c>
      <c r="H115" s="22" t="s">
        <v>359</v>
      </c>
      <c r="I115" s="13">
        <v>42735.743460648147</v>
      </c>
      <c r="J115" s="7">
        <v>0</v>
      </c>
      <c r="K115" s="105" t="str">
        <f t="shared" si="27"/>
        <v>4003/4004</v>
      </c>
      <c r="L115" s="22" t="str">
        <f>VLOOKUP(A115,'Trips&amp;Operators'!$C$1:$G$99999,5,FALSE)</f>
        <v>STEWART MICHAEL</v>
      </c>
      <c r="M115" s="6">
        <f t="shared" si="28"/>
        <v>2.7199074072996154E-2</v>
      </c>
      <c r="N115" s="7">
        <f t="shared" si="43"/>
        <v>39.166666665114462</v>
      </c>
      <c r="O115" s="7"/>
      <c r="P115" s="7"/>
      <c r="Q115" s="23"/>
      <c r="R115" s="23"/>
      <c r="S115" s="32">
        <f t="shared" si="44"/>
        <v>1</v>
      </c>
      <c r="T115" s="47" t="str">
        <f t="shared" si="29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16:06:56-700',mode:absolute,to:'2016-12-31 18:50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5" s="49" t="str">
        <f t="shared" si="45"/>
        <v>N</v>
      </c>
      <c r="X115" s="173">
        <f t="shared" si="46"/>
        <v>1</v>
      </c>
      <c r="Y115" s="64">
        <f t="shared" si="33"/>
        <v>23.2987</v>
      </c>
      <c r="Z115" s="64">
        <f t="shared" si="34"/>
        <v>1.7399999999999999E-2</v>
      </c>
      <c r="AA115" s="64">
        <f t="shared" si="35"/>
        <v>23.281300000000002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36"/>
        <v>0202-31</v>
      </c>
      <c r="AE115" s="87" t="str">
        <f t="shared" si="37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115" s="84" t="str">
        <f t="shared" si="38"/>
        <v>"C:\Program Files (x86)\AstroGrep\AstroGrep.exe" /spath="%USERPROFILE%\AppData\Local\Temp\OnboardLogs" /stypes="app*4004*20170101*"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88" t="str">
        <f t="shared" si="40"/>
        <v>"%USERPROFILE%\Documents\GitHub\eaglep3\Utilities\RefineRTDCRunTimes.py" --tripid 202-31 --locoid 4004 --swversion DE.1.0.8.0 --startMP 204:232987 --initTime 2016-12-31T17:06:56 --startdatetime 2016-12-31T17:11:25 --delay 1 --endMP 204:174 --enddatetime 2016-12-31T17:50:35 --enforcementcount 0 &gt;&gt;C:\Users\stu\Documents\GitHub\eaglep3-reporting\EC\2016-12-31-refined-times.txt</v>
      </c>
      <c r="AI11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{"issue":{"subject":"","project_id":79,"tracker_id":40,"status_id":1,"priority_id":2,"assigned_to_id":23,"start_date":"2016-12-31","description":"","custom_fields":[{"id":1,"name":"Subdivision","value":"EC"},{"id":4,"name":"Milepost","value":"0.0174"},{"id":17,"name":"Train ID","value":"202-31"},{"id":16,"name":"Locomotive ID","value":"4004"},{"id":130,"name":"Impact","value":""},{"id":150,"name":"Time of Event (Mountain Time)","value":"17:50:35"},{"id":151,"name":"Denver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2"/>
        <v>start /low /b %USERPROFILE%\Documents\GitHub\eaglep3\Utilities\DownloadLogsFromS3.py --loco 4004 --day 2016-12-31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611</v>
      </c>
      <c r="B116" s="7">
        <v>4016</v>
      </c>
      <c r="C116" s="22" t="s">
        <v>205</v>
      </c>
      <c r="D116" s="22" t="s">
        <v>697</v>
      </c>
      <c r="E116" s="13">
        <v>42735.684803240743</v>
      </c>
      <c r="F116" s="13">
        <v>42735.687835648147</v>
      </c>
      <c r="G116" s="7">
        <v>1</v>
      </c>
      <c r="H116" s="22" t="s">
        <v>297</v>
      </c>
      <c r="I116" s="13">
        <v>42735.71435185185</v>
      </c>
      <c r="J116" s="7">
        <v>0</v>
      </c>
      <c r="K116" s="105" t="str">
        <f t="shared" si="27"/>
        <v>4015/4016</v>
      </c>
      <c r="L116" s="22" t="str">
        <f>VLOOKUP(A116,'Trips&amp;Operators'!$C$1:$G$99999,5,FALSE)</f>
        <v>DAVIS MICHAEL</v>
      </c>
      <c r="M116" s="6">
        <f t="shared" si="28"/>
        <v>2.6516203703067731E-2</v>
      </c>
      <c r="N116" s="7">
        <f t="shared" si="43"/>
        <v>38.183333332417533</v>
      </c>
      <c r="O116" s="7"/>
      <c r="P116" s="7"/>
      <c r="Q116" s="23"/>
      <c r="R116" s="23"/>
      <c r="S116" s="32">
        <f t="shared" si="44"/>
        <v>1</v>
      </c>
      <c r="T116" s="47" t="str">
        <f t="shared" si="29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15:26:07-700',mode:absolute,to:'2016-12-31 18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6" s="49" t="str">
        <f t="shared" si="45"/>
        <v>N</v>
      </c>
      <c r="X116" s="173">
        <f t="shared" si="46"/>
        <v>1</v>
      </c>
      <c r="Y116" s="64">
        <f t="shared" si="33"/>
        <v>4.7300000000000002E-2</v>
      </c>
      <c r="Z116" s="64">
        <f t="shared" si="34"/>
        <v>23.3293</v>
      </c>
      <c r="AA116" s="64">
        <f t="shared" si="35"/>
        <v>23.282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36"/>
        <v>0203-31</v>
      </c>
      <c r="AE116" s="87" t="str">
        <f t="shared" si="37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16" s="84" t="str">
        <f t="shared" si="38"/>
        <v>"C:\Program Files (x86)\AstroGrep\AstroGrep.exe" /spath="%USERPROFILE%\AppData\Local\Temp\OnboardLogs" /stypes="app*4016*20170101*"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88" t="str">
        <f t="shared" si="40"/>
        <v>"%USERPROFILE%\Documents\GitHub\eaglep3\Utilities\RefineRTDCRunTimes.py" --tripid 203-31 --locoid 4016 --swversion DE.1.0.8.0 --startMP 204:473 --initTime 2016-12-31T16:26:07 --startdatetime 2016-12-31T16:30:29 --delay 1 --endMP 204:233293 --enddatetime 2016-12-31T17:08:40 --enforcementcount 0 &gt;&gt;C:\Users\stu\Documents\GitHub\eaglep3-reporting\EC\2016-12-31-refined-times.txt</v>
      </c>
      <c r="AI11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{"issue":{"subject":"","project_id":79,"tracker_id":40,"status_id":1,"priority_id":2,"assigned_to_id":23,"start_date":"2016-12-31","description":"","custom_fields":[{"id":1,"name":"Subdivision","value":"EC"},{"id":4,"name":"Milepost","value":"23.3293"},{"id":17,"name":"Train ID","value":"203-31"},{"id":16,"name":"Locomotive ID","value":"4016"},{"id":130,"name":"Impact","value":""},{"id":150,"name":"Time of Event (Mountain Time)","value":"17:08:40"},{"id":151,"name":"Denver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2"/>
        <v>start /low /b %USERPROFILE%\Documents\GitHub\eaglep3\Utilities\DownloadLogsFromS3.py --loco 4016 --day 2016-12-31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620</v>
      </c>
      <c r="B117" s="7">
        <v>4015</v>
      </c>
      <c r="C117" s="22" t="s">
        <v>205</v>
      </c>
      <c r="D117" s="22" t="s">
        <v>300</v>
      </c>
      <c r="E117" s="13">
        <v>42735.722210648149</v>
      </c>
      <c r="F117" s="13">
        <v>42735.72693287037</v>
      </c>
      <c r="G117" s="7">
        <v>2</v>
      </c>
      <c r="H117" s="22" t="s">
        <v>682</v>
      </c>
      <c r="I117" s="13">
        <v>42735.757025462961</v>
      </c>
      <c r="J117" s="7">
        <v>0</v>
      </c>
      <c r="K117" s="105" t="str">
        <f t="shared" si="27"/>
        <v>4015/4016</v>
      </c>
      <c r="L117" s="22" t="str">
        <f>VLOOKUP(A117,'Trips&amp;Operators'!$C$1:$G$99999,5,FALSE)</f>
        <v>DAVIS MICHAEL</v>
      </c>
      <c r="M117" s="6">
        <f t="shared" si="28"/>
        <v>3.0092592591245193E-2</v>
      </c>
      <c r="N117" s="7">
        <f t="shared" si="43"/>
        <v>43.333333331393078</v>
      </c>
      <c r="O117" s="7"/>
      <c r="P117" s="7"/>
      <c r="Q117" s="23"/>
      <c r="R117" s="23"/>
      <c r="S117" s="32">
        <f t="shared" si="44"/>
        <v>1</v>
      </c>
      <c r="T117" s="47" t="str">
        <f t="shared" si="29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16:19:59-700',mode:absolute,to:'2016-12-31 19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7" s="49" t="str">
        <f t="shared" si="45"/>
        <v>N</v>
      </c>
      <c r="X117" s="173">
        <f t="shared" si="46"/>
        <v>1</v>
      </c>
      <c r="Y117" s="64">
        <f t="shared" si="33"/>
        <v>23.297999999999998</v>
      </c>
      <c r="Z117" s="64">
        <f t="shared" si="34"/>
        <v>1.61E-2</v>
      </c>
      <c r="AA117" s="64">
        <f t="shared" si="35"/>
        <v>23.281899999999997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36"/>
        <v>0204-31</v>
      </c>
      <c r="AE117" s="87" t="str">
        <f t="shared" si="37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117" s="84" t="str">
        <f t="shared" si="38"/>
        <v>"C:\Program Files (x86)\AstroGrep\AstroGrep.exe" /spath="%USERPROFILE%\AppData\Local\Temp\OnboardLogs" /stypes="app*4015*20170101*" /stext=" 01:.+((SYSTEM_STATE.+slice.+state.+changed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88" t="str">
        <f t="shared" si="40"/>
        <v>"%USERPROFILE%\Documents\GitHub\eaglep3\Utilities\RefineRTDCRunTimes.py" --tripid 204-31 --locoid 4015 --swversion DE.1.0.8.0 --startMP 204:232980 --initTime 2016-12-31T17:19:59 --startdatetime 2016-12-31T17:26:47 --delay 2 --endMP 204:161 --enddatetime 2016-12-31T18:10:07 --enforcementcount 0 &gt;&gt;C:\Users\stu\Documents\GitHub\eaglep3-reporting\EC\2016-12-31-refined-times.txt</v>
      </c>
      <c r="AI11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{"issue":{"subject":"","project_id":79,"tracker_id":40,"status_id":1,"priority_id":2,"assigned_to_id":23,"start_date":"2016-12-31","description":"","custom_fields":[{"id":1,"name":"Subdivision","value":"EC"},{"id":4,"name":"Milepost","value":"0.0161"},{"id":17,"name":"Train ID","value":"204-31"},{"id":16,"name":"Locomotive ID","value":"4015"},{"id":130,"name":"Impact","value":""},{"id":150,"name":"Time of Event (Mountain Time)","value":"18:10:07"},{"id":151,"name":"Denver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2"/>
        <v>start /low /b %USERPROFILE%\Documents\GitHub\eaglep3\Utilities\DownloadLogsFromS3.py --loco 4015 --day 2016-12-31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613</v>
      </c>
      <c r="B118" s="7">
        <v>4046</v>
      </c>
      <c r="C118" s="22" t="s">
        <v>205</v>
      </c>
      <c r="D118" s="22" t="s">
        <v>339</v>
      </c>
      <c r="E118" s="13">
        <v>42735.693414351852</v>
      </c>
      <c r="F118" s="13">
        <v>42735.698101851849</v>
      </c>
      <c r="G118" s="7">
        <v>1</v>
      </c>
      <c r="H118" s="22" t="s">
        <v>296</v>
      </c>
      <c r="I118" s="13">
        <v>42735.723182870373</v>
      </c>
      <c r="J118" s="7">
        <v>0</v>
      </c>
      <c r="K118" s="105" t="str">
        <f t="shared" si="27"/>
        <v>4045/4046</v>
      </c>
      <c r="L118" s="22" t="str">
        <f>VLOOKUP(A118,'Trips&amp;Operators'!$C$1:$G$99999,5,FALSE)</f>
        <v>BRUDER RICHARD</v>
      </c>
      <c r="M118" s="6">
        <f t="shared" si="28"/>
        <v>2.5081018524360843E-2</v>
      </c>
      <c r="N118" s="7">
        <f t="shared" si="43"/>
        <v>36.116666675079614</v>
      </c>
      <c r="O118" s="7"/>
      <c r="P118" s="7"/>
      <c r="Q118" s="23"/>
      <c r="R118" s="23"/>
      <c r="S118" s="32">
        <f t="shared" si="44"/>
        <v>1</v>
      </c>
      <c r="T118" s="47" t="str">
        <f t="shared" si="29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15:38:31-700',mode:absolute,to:'2016-12-31 18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8" s="49" t="str">
        <f t="shared" si="45"/>
        <v>N</v>
      </c>
      <c r="X118" s="173">
        <f t="shared" si="46"/>
        <v>1</v>
      </c>
      <c r="Y118" s="64">
        <f t="shared" si="33"/>
        <v>4.6899999999999997E-2</v>
      </c>
      <c r="Z118" s="64">
        <f t="shared" si="34"/>
        <v>23.331199999999999</v>
      </c>
      <c r="AA118" s="64">
        <f t="shared" si="35"/>
        <v>23.284299999999998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36"/>
        <v>0205-31</v>
      </c>
      <c r="AE118" s="87" t="str">
        <f t="shared" si="37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118" s="84" t="str">
        <f t="shared" si="38"/>
        <v>"C:\Program Files (x86)\AstroGrep\AstroGrep.exe" /spath="%USERPROFILE%\AppData\Local\Temp\OnboardLogs" /stypes="app*4046*20170101*" /stext=" 00:.+((SYSTEM_STATE.+slice.+state.+changed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88" t="str">
        <f t="shared" si="40"/>
        <v>"%USERPROFILE%\Documents\GitHub\eaglep3\Utilities\RefineRTDCRunTimes.py" --tripid 205-31 --locoid 4046 --swversion DE.1.0.8.0 --startMP 204:469 --initTime 2016-12-31T16:38:31 --startdatetime 2016-12-31T16:45:16 --delay 1 --endMP 204:233312 --enddatetime 2016-12-31T17:21:23 --enforcementcount 0 &gt;&gt;C:\Users\stu\Documents\GitHub\eaglep3-reporting\EC\2016-12-31-refined-times.txt</v>
      </c>
      <c r="AI11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{"issue":{"subject":"","project_id":79,"tracker_id":40,"status_id":1,"priority_id":2,"assigned_to_id":23,"start_date":"2016-12-31","description":"","custom_fields":[{"id":1,"name":"Subdivision","value":"EC"},{"id":4,"name":"Milepost","value":"23.3312"},{"id":17,"name":"Train ID","value":"205-31"},{"id":16,"name":"Locomotive ID","value":"4046"},{"id":130,"name":"Impact","value":""},{"id":150,"name":"Time of Event (Mountain Time)","value":"17:21:23"},{"id":151,"name":"Denver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2"/>
        <v>start /low /b %USERPROFILE%\Documents\GitHub\eaglep3\Utilities\DownloadLogsFromS3.py --loco 4046 --day 2016-12-31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622</v>
      </c>
      <c r="B119" s="7">
        <v>4045</v>
      </c>
      <c r="C119" s="22" t="s">
        <v>205</v>
      </c>
      <c r="D119" s="22" t="s">
        <v>765</v>
      </c>
      <c r="E119" s="13">
        <v>42735.72996527778</v>
      </c>
      <c r="F119" s="13">
        <v>42735.736990740741</v>
      </c>
      <c r="G119" s="7">
        <v>1</v>
      </c>
      <c r="H119" s="22" t="s">
        <v>258</v>
      </c>
      <c r="I119" s="13">
        <v>42735.764537037037</v>
      </c>
      <c r="J119" s="7">
        <v>0</v>
      </c>
      <c r="K119" s="105" t="str">
        <f t="shared" si="27"/>
        <v>4045/4046</v>
      </c>
      <c r="L119" s="22" t="str">
        <f>VLOOKUP(A119,'Trips&amp;Operators'!$C$1:$G$99999,5,FALSE)</f>
        <v>BRUDER RICHARD</v>
      </c>
      <c r="M119" s="6">
        <f t="shared" si="28"/>
        <v>2.7546296296350192E-2</v>
      </c>
      <c r="N119" s="7">
        <f t="shared" si="43"/>
        <v>39.666666666744277</v>
      </c>
      <c r="O119" s="7"/>
      <c r="P119" s="7"/>
      <c r="Q119" s="23"/>
      <c r="R119" s="23"/>
      <c r="S119" s="32">
        <f t="shared" si="44"/>
        <v>1</v>
      </c>
      <c r="T119" s="47" t="str">
        <f t="shared" si="29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16:31:09-700',mode:absolute,to:'2016-12-31 19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9" s="49" t="str">
        <f t="shared" ref="W119:W150" si="47">IF(AA119&lt;IF(AG119="EC",23,5.65),"Y","N")</f>
        <v>N</v>
      </c>
      <c r="X119" s="173">
        <f t="shared" ref="X119:X156" si="48">VALUE(LEFT(AD119,4))-VALUE(LEFT(AD118,4))</f>
        <v>1</v>
      </c>
      <c r="Y119" s="64">
        <f t="shared" si="33"/>
        <v>23.3002</v>
      </c>
      <c r="Z119" s="64">
        <f t="shared" si="34"/>
        <v>1.6E-2</v>
      </c>
      <c r="AA119" s="64">
        <f t="shared" si="35"/>
        <v>23.284200000000002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36"/>
        <v>0206-31</v>
      </c>
      <c r="AE119" s="87" t="str">
        <f t="shared" si="37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19" s="84" t="str">
        <f t="shared" si="38"/>
        <v>"C:\Program Files (x86)\AstroGrep\AstroGrep.exe" /spath="%USERPROFILE%\AppData\Local\Temp\OnboardLogs" /stypes="app*4045*20170101*" /stext=" 01:.+((SYSTEM_STATE.+slice.+state.+changed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88" t="str">
        <f t="shared" si="40"/>
        <v>"%USERPROFILE%\Documents\GitHub\eaglep3\Utilities\RefineRTDCRunTimes.py" --tripid 206-31 --locoid 4045 --swversion DE.1.0.8.0 --startMP 204:233002 --initTime 2016-12-31T17:31:09 --startdatetime 2016-12-31T17:41:16 --delay 1 --endMP 204:160 --enddatetime 2016-12-31T18:20:56 --enforcementcount 0 &gt;&gt;C:\Users\stu\Documents\GitHub\eaglep3-reporting\EC\2016-12-31-refined-times.txt</v>
      </c>
      <c r="AI11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{"issue":{"subject":"","project_id":79,"tracker_id":40,"status_id":1,"priority_id":2,"assigned_to_id":23,"start_date":"2016-12-31","description":"","custom_fields":[{"id":1,"name":"Subdivision","value":"EC"},{"id":4,"name":"Milepost","value":"0.016"},{"id":17,"name":"Train ID","value":"206-31"},{"id":16,"name":"Locomotive ID","value":"4045"},{"id":130,"name":"Impact","value":""},{"id":150,"name":"Time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2"/>
        <v>start /low /b %USERPROFILE%\Documents\GitHub\eaglep3\Utilities\DownloadLogsFromS3.py --loco 4045 --day 2016-12-31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615</v>
      </c>
      <c r="B120" s="7">
        <v>4025</v>
      </c>
      <c r="C120" s="22" t="s">
        <v>205</v>
      </c>
      <c r="D120" s="22" t="s">
        <v>320</v>
      </c>
      <c r="E120" s="13">
        <v>42735.703726851854</v>
      </c>
      <c r="F120" s="13">
        <v>42735.708726851852</v>
      </c>
      <c r="G120" s="7">
        <v>1</v>
      </c>
      <c r="H120" s="22" t="s">
        <v>766</v>
      </c>
      <c r="I120" s="13">
        <v>42735.734201388892</v>
      </c>
      <c r="J120" s="7">
        <v>0</v>
      </c>
      <c r="K120" s="105" t="str">
        <f t="shared" si="27"/>
        <v>4025/4026</v>
      </c>
      <c r="L120" s="22" t="str">
        <f>VLOOKUP(A120,'Trips&amp;Operators'!$C$1:$G$99999,5,FALSE)</f>
        <v>KILLION DAVID</v>
      </c>
      <c r="M120" s="6">
        <f t="shared" si="28"/>
        <v>2.5474537040281575E-2</v>
      </c>
      <c r="N120" s="7">
        <f t="shared" si="43"/>
        <v>36.683333338005468</v>
      </c>
      <c r="O120" s="7"/>
      <c r="P120" s="7"/>
      <c r="Q120" s="23"/>
      <c r="R120" s="23"/>
      <c r="S120" s="32">
        <f t="shared" si="44"/>
        <v>1</v>
      </c>
      <c r="T120" s="47" t="str">
        <f t="shared" si="29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15:53:22-700',mode:absolute,to:'2016-12-31 18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0" s="49" t="str">
        <f t="shared" si="47"/>
        <v>N</v>
      </c>
      <c r="X120" s="173">
        <f t="shared" si="48"/>
        <v>1</v>
      </c>
      <c r="Y120" s="64">
        <f t="shared" si="33"/>
        <v>4.5699999999999998E-2</v>
      </c>
      <c r="Z120" s="64">
        <f t="shared" si="34"/>
        <v>23.328199999999999</v>
      </c>
      <c r="AA120" s="64">
        <f t="shared" si="35"/>
        <v>23.282499999999999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36"/>
        <v>0207-31</v>
      </c>
      <c r="AE120" s="87" t="str">
        <f t="shared" si="37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120" s="84" t="str">
        <f t="shared" si="38"/>
        <v>"C:\Program Files (x86)\AstroGrep\AstroGrep.exe" /spath="%USERPROFILE%\AppData\Local\Temp\OnboardLogs" /stypes="app*4025*20170101*" /stext=" 00:.+((SYSTEM_STATE.+slice.+state.+changed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88" t="str">
        <f t="shared" si="40"/>
        <v>"%USERPROFILE%\Documents\GitHub\eaglep3\Utilities\RefineRTDCRunTimes.py" --tripid 207-31 --locoid 4025 --swversion DE.1.0.8.0 --startMP 204:457 --initTime 2016-12-31T16:53:22 --startdatetime 2016-12-31T17:00:34 --delay 1 --endMP 204:233282 --enddatetime 2016-12-31T17:37:15 --enforcementcount 0 &gt;&gt;C:\Users\stu\Documents\GitHub\eaglep3-reporting\EC\2016-12-31-refined-times.txt</v>
      </c>
      <c r="AI12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{"issue":{"subject":"","project_id":79,"tracker_id":40,"status_id":1,"priority_id":2,"assigned_to_id":23,"start_date":"2016-12-31","description":"","custom_fields":[{"id":1,"name":"Subdivision","value":"EC"},{"id":4,"name":"Milepost","value":"23.3282"},{"id":17,"name":"Train ID","value":"207-31"},{"id":16,"name":"Locomotive ID","value":"4025"},{"id":130,"name":"Impact","value":""},{"id":150,"name":"Time of Event (Mountain Time)","value":"17:37:15"},{"id":151,"name":"Denver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2"/>
        <v>start /low /b %USERPROFILE%\Documents\GitHub\eaglep3\Utilities\DownloadLogsFromS3.py --loco 4025 --day 2016-12-31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625</v>
      </c>
      <c r="B121" s="7">
        <v>4026</v>
      </c>
      <c r="C121" s="22" t="s">
        <v>205</v>
      </c>
      <c r="D121" s="22" t="s">
        <v>357</v>
      </c>
      <c r="E121" s="13">
        <v>42735.741469907407</v>
      </c>
      <c r="F121" s="13">
        <v>42735.747407407405</v>
      </c>
      <c r="G121" s="7">
        <v>1</v>
      </c>
      <c r="H121" s="22" t="s">
        <v>224</v>
      </c>
      <c r="I121" s="13">
        <v>42735.776122685187</v>
      </c>
      <c r="J121" s="7">
        <v>0</v>
      </c>
      <c r="K121" s="105" t="str">
        <f t="shared" si="27"/>
        <v>4025/4026</v>
      </c>
      <c r="L121" s="22" t="str">
        <f>VLOOKUP(A121,'Trips&amp;Operators'!$C$1:$G$99999,5,FALSE)</f>
        <v>KILLION DAVID</v>
      </c>
      <c r="M121" s="6">
        <f t="shared" si="28"/>
        <v>2.8715277781884652E-2</v>
      </c>
      <c r="N121" s="7">
        <f t="shared" si="43"/>
        <v>41.350000005913898</v>
      </c>
      <c r="O121" s="7"/>
      <c r="P121" s="7"/>
      <c r="Q121" s="23"/>
      <c r="R121" s="23"/>
      <c r="S121" s="32">
        <f t="shared" si="44"/>
        <v>1</v>
      </c>
      <c r="T121" s="47" t="str">
        <f t="shared" si="29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16:47:43-700',mode:absolute,to:'2016-12-31 19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1" s="49" t="str">
        <f t="shared" si="47"/>
        <v>N</v>
      </c>
      <c r="X121" s="173">
        <f t="shared" si="48"/>
        <v>1</v>
      </c>
      <c r="Y121" s="64">
        <f t="shared" si="33"/>
        <v>23.296099999999999</v>
      </c>
      <c r="Z121" s="64">
        <f t="shared" si="34"/>
        <v>1.54E-2</v>
      </c>
      <c r="AA121" s="64">
        <f t="shared" si="35"/>
        <v>23.2807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 t="shared" si="36"/>
        <v>0208-31</v>
      </c>
      <c r="AE121" s="87" t="str">
        <f t="shared" si="37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121" s="84" t="str">
        <f t="shared" si="38"/>
        <v>"C:\Program Files (x86)\AstroGrep\AstroGrep.exe" /spath="%USERPROFILE%\AppData\Local\Temp\OnboardLogs" /stypes="app*4026*20170101*" /stext=" 01:.+((SYSTEM_STATE.+slice.+state.+changed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88" t="str">
        <f t="shared" si="40"/>
        <v>"%USERPROFILE%\Documents\GitHub\eaglep3\Utilities\RefineRTDCRunTimes.py" --tripid 208-31 --locoid 4026 --swversion DE.1.0.8.0 --startMP 204:232961 --initTime 2016-12-31T17:47:43 --startdatetime 2016-12-31T17:56:16 --delay 1 --endMP 204:154 --enddatetime 2016-12-31T18:37:37 --enforcementcount 0 &gt;&gt;C:\Users\stu\Documents\GitHub\eaglep3-reporting\EC\2016-12-31-refined-times.txt</v>
      </c>
      <c r="AI12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{"issue":{"subject":"","project_id":79,"tracker_id":40,"status_id":1,"priority_id":2,"assigned_to_id":23,"start_date":"2016-12-31","description":"","custom_fields":[{"id":1,"name":"Subdivision","value":"EC"},{"id":4,"name":"Milepost","value":"0.0154"},{"id":17,"name":"Train ID","value":"208-31"},{"id":16,"name":"Locomotive ID","value":"4026"},{"id":130,"name":"Impact","value":""},{"id":150,"name":"Time of Event (Mountain Time)","value":"18:37:37"},{"id":151,"name":"Denver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2"/>
        <v>start /low /b %USERPROFILE%\Documents\GitHub\eaglep3\Utilities\DownloadLogsFromS3.py --loco 4026 --day 2016-12-31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617</v>
      </c>
      <c r="B122" s="7">
        <v>4018</v>
      </c>
      <c r="C122" s="22" t="s">
        <v>205</v>
      </c>
      <c r="D122" s="22" t="s">
        <v>270</v>
      </c>
      <c r="E122" s="13">
        <v>42735.713171296295</v>
      </c>
      <c r="F122" s="13">
        <v>42735.718888888892</v>
      </c>
      <c r="G122" s="7">
        <v>1</v>
      </c>
      <c r="H122" s="22" t="s">
        <v>358</v>
      </c>
      <c r="I122" s="13">
        <v>42735.743634259263</v>
      </c>
      <c r="J122" s="7">
        <v>0</v>
      </c>
      <c r="K122" s="105" t="str">
        <f t="shared" si="27"/>
        <v>4017/4018</v>
      </c>
      <c r="L122" s="22" t="str">
        <f>VLOOKUP(A122,'Trips&amp;Operators'!$C$1:$G$99999,5,FALSE)</f>
        <v>ROMERO CHAD</v>
      </c>
      <c r="M122" s="6">
        <f t="shared" si="28"/>
        <v>2.47453703705105E-2</v>
      </c>
      <c r="N122" s="7">
        <f t="shared" si="43"/>
        <v>35.63333333353512</v>
      </c>
      <c r="O122" s="7"/>
      <c r="P122" s="7"/>
      <c r="Q122" s="23"/>
      <c r="R122" s="23"/>
      <c r="S122" s="32">
        <f t="shared" si="44"/>
        <v>1</v>
      </c>
      <c r="T122" s="47" t="str">
        <f t="shared" si="29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16:06:58-700',mode:absolute,to:'2016-12-31 18:50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2" s="49" t="str">
        <f t="shared" si="47"/>
        <v>N</v>
      </c>
      <c r="X122" s="173">
        <f t="shared" si="48"/>
        <v>1</v>
      </c>
      <c r="Y122" s="64">
        <f t="shared" si="33"/>
        <v>4.4900000000000002E-2</v>
      </c>
      <c r="Z122" s="64">
        <f t="shared" si="34"/>
        <v>23.332100000000001</v>
      </c>
      <c r="AA122" s="64">
        <f t="shared" si="35"/>
        <v>23.287200000000002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36"/>
        <v>0209-31</v>
      </c>
      <c r="AE122" s="87" t="str">
        <f t="shared" si="37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22" s="84" t="str">
        <f t="shared" si="38"/>
        <v>"C:\Program Files (x86)\AstroGrep\AstroGrep.exe" /spath="%USERPROFILE%\AppData\Local\Temp\OnboardLogs" /stypes="app*4018*20170101*" /stext=" 00:.+((SYSTEM_STATE.+slice.+state.+changed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88" t="str">
        <f t="shared" si="40"/>
        <v>"%USERPROFILE%\Documents\GitHub\eaglep3\Utilities\RefineRTDCRunTimes.py" --tripid 209-31 --locoid 4018 --swversion DE.1.0.8.0 --startMP 204:449 --initTime 2016-12-31T17:06:58 --startdatetime 2016-12-31T17:15:12 --delay 1 --endMP 204:233321 --enddatetime 2016-12-31T17:50:50 --enforcementcount 0 &gt;&gt;C:\Users\stu\Documents\GitHub\eaglep3-reporting\EC\2016-12-31-refined-times.txt</v>
      </c>
      <c r="AI12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{"issue":{"subject":"","project_id":79,"tracker_id":40,"status_id":1,"priority_id":2,"assigned_to_id":23,"start_date":"2016-12-31","description":"","custom_fields":[{"id":1,"name":"Subdivision","value":"EC"},{"id":4,"name":"Milepost","value":"23.3321"},{"id":17,"name":"Train ID","value":"209-31"},{"id":16,"name":"Locomotive ID","value":"4018"},{"id":130,"name":"Impact","value":""},{"id":150,"name":"Time of Event (Mountain Time)","value":"17:50:50"},{"id":151,"name":"Denver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2"/>
        <v>start /low /b %USERPROFILE%\Documents\GitHub\eaglep3\Utilities\DownloadLogsFromS3.py --loco 4018 --day 2016-12-31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626</v>
      </c>
      <c r="B123" s="7">
        <v>4017</v>
      </c>
      <c r="C123" s="22" t="s">
        <v>205</v>
      </c>
      <c r="D123" s="22" t="s">
        <v>307</v>
      </c>
      <c r="E123" s="13">
        <v>42735.745115740741</v>
      </c>
      <c r="F123" s="13">
        <v>42735.758020833331</v>
      </c>
      <c r="G123" s="7">
        <v>1</v>
      </c>
      <c r="H123" s="22" t="s">
        <v>239</v>
      </c>
      <c r="I123" s="13">
        <v>42735.783993055556</v>
      </c>
      <c r="J123" s="7">
        <v>0</v>
      </c>
      <c r="K123" s="105" t="str">
        <f t="shared" si="27"/>
        <v>4017/4018</v>
      </c>
      <c r="L123" s="22" t="str">
        <f>VLOOKUP(A123,'Trips&amp;Operators'!$C$1:$G$99999,5,FALSE)</f>
        <v>ROMERO CHAD</v>
      </c>
      <c r="M123" s="6">
        <f t="shared" si="28"/>
        <v>2.5972222225391306E-2</v>
      </c>
      <c r="N123" s="7">
        <f t="shared" si="43"/>
        <v>37.400000004563481</v>
      </c>
      <c r="O123" s="7"/>
      <c r="P123" s="7"/>
      <c r="Q123" s="23"/>
      <c r="R123" s="23"/>
      <c r="S123" s="32">
        <f t="shared" si="44"/>
        <v>1</v>
      </c>
      <c r="T123" s="47" t="str">
        <f t="shared" si="29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16:52:58-700',mode:absolute,to:'2016-12-31 19:48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3" s="49" t="str">
        <f t="shared" si="47"/>
        <v>N</v>
      </c>
      <c r="X123" s="173">
        <f t="shared" si="48"/>
        <v>1</v>
      </c>
      <c r="Y123" s="64">
        <f t="shared" si="33"/>
        <v>23.299800000000001</v>
      </c>
      <c r="Z123" s="64">
        <f t="shared" si="34"/>
        <v>4.58E-2</v>
      </c>
      <c r="AA123" s="64">
        <f t="shared" si="35"/>
        <v>23.254000000000001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36"/>
        <v>0210-31</v>
      </c>
      <c r="AE123" s="87" t="str">
        <f t="shared" si="37"/>
        <v>aws s3 cp s3://rtdc.mdm.uploadarchive.raw/RTDC4017/ "%USERPROFILE%\AppData\Local\Temp\OnboardLogs"\RTDC4017\2016-12-31 --exclude "*" --recursive --include "*20161231*" &amp; "%USERPROFILE%\Documents\GitHub\mrs-test-scripts\Headless Mode &amp; Sideloading\WalkAndUnGZ.bat" "%USERPROFILE%\AppData\Local\Temp\OnboardLogs"\RTDC4017\2016-12-31 &amp; aws s3 cp s3://rtdc.mdm.uploadarchive.raw/RTDC4017/ "%USERPROFILE%\AppData\Local\Temp\OnboardLogs"\RTDC4017\2017-01-01 --exclude "*" --recursive --include "*20170101*" &amp; "%USERPROFILE%\Documents\GitHub\mrs-test-scripts\Headless Mode &amp; Sideloading\WalkAndUnGZ.bat" "%USERPROFILE%\AppData\Local\Temp\OnboardLogs"\RTDC4017\2017-01-01</v>
      </c>
      <c r="AF123" s="84" t="str">
        <f t="shared" si="38"/>
        <v>"C:\Program Files (x86)\AstroGrep\AstroGrep.exe" /spath="%USERPROFILE%\AppData\Local\Temp\OnboardLogs" /stypes="app*4017*20170101*"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88" t="str">
        <f t="shared" si="40"/>
        <v>"%USERPROFILE%\Documents\GitHub\eaglep3\Utilities\RefineRTDCRunTimes.py" --tripid 210-31 --locoid 4017 --swversion DE.1.0.8.0 --startMP 204:232998 --initTime 2016-12-31T17:52:58 --startdatetime 2016-12-31T18:11:33 --delay 1 --endMP 204:458 --enddatetime 2016-12-31T18:48:57 --enforcementcount 0 &gt;&gt;C:\Users\stu\Documents\GitHub\eaglep3-reporting\EC\2016-12-31-refined-times.txt</v>
      </c>
      <c r="AI123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{"issue":{"subject":"","project_id":79,"tracker_id":40,"status_id":1,"priority_id":2,"assigned_to_id":23,"start_date":"2016-12-31","description":"","custom_fields":[{"id":1,"name":"Subdivision","value":"EC"},{"id":4,"name":"Milepost","value":"0.0458"},{"id":17,"name":"Train ID","value":"210-31"},{"id":16,"name":"Locomotive ID","value":"4017"},{"id":130,"name":"Impact","value":""},{"id":150,"name":"Time of Event (Mountain Time)","value":"18:48:57"},{"id":151,"name":"Denver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2"/>
        <v>start /low /b %USERPROFILE%\Documents\GitHub\eaglep3\Utilities\DownloadLogsFromS3.py --loco 4017 --day 2016-12-31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621</v>
      </c>
      <c r="B124" s="7">
        <v>4011</v>
      </c>
      <c r="C124" s="22" t="s">
        <v>205</v>
      </c>
      <c r="D124" s="22" t="s">
        <v>259</v>
      </c>
      <c r="E124" s="13">
        <v>42735.724097222221</v>
      </c>
      <c r="F124" s="13">
        <v>42735.729548611111</v>
      </c>
      <c r="G124" s="7">
        <v>1</v>
      </c>
      <c r="H124" s="22" t="s">
        <v>294</v>
      </c>
      <c r="I124" s="13">
        <v>42735.755162037036</v>
      </c>
      <c r="J124" s="7">
        <v>0</v>
      </c>
      <c r="K124" s="105" t="str">
        <f t="shared" si="27"/>
        <v>4011/4012</v>
      </c>
      <c r="L124" s="22" t="str">
        <f>VLOOKUP(A124,'Trips&amp;Operators'!$C$1:$G$99999,5,FALSE)</f>
        <v>ADANE ELSHADAY</v>
      </c>
      <c r="M124" s="6">
        <f t="shared" si="28"/>
        <v>2.5613425925257616E-2</v>
      </c>
      <c r="N124" s="7">
        <f t="shared" si="43"/>
        <v>36.883333332370967</v>
      </c>
      <c r="O124" s="7"/>
      <c r="P124" s="7"/>
      <c r="Q124" s="23"/>
      <c r="R124" s="23"/>
      <c r="S124" s="32">
        <f t="shared" si="44"/>
        <v>1</v>
      </c>
      <c r="T124" s="47" t="str">
        <f t="shared" si="29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16:22:42-700',mode:absolute,to:'2016-12-31 19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4" s="49" t="str">
        <f t="shared" si="47"/>
        <v>N</v>
      </c>
      <c r="X124" s="173">
        <f t="shared" si="48"/>
        <v>1</v>
      </c>
      <c r="Y124" s="64">
        <f t="shared" si="33"/>
        <v>4.6199999999999998E-2</v>
      </c>
      <c r="Z124" s="64">
        <f t="shared" si="34"/>
        <v>23.330100000000002</v>
      </c>
      <c r="AA124" s="64">
        <f t="shared" si="35"/>
        <v>23.283900000000003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36"/>
        <v>0211-31</v>
      </c>
      <c r="AE124" s="87" t="str">
        <f t="shared" si="37"/>
        <v>aws s3 cp s3://rtdc.mdm.uploadarchive.raw/RTDC4011/ "%USERPROFILE%\AppData\Local\Temp\OnboardLogs"\RTDC4011\2016-12-31 --exclude "*" --recursive --include "*20161231*" &amp; "%USERPROFILE%\Documents\GitHub\mrs-test-scripts\Headless Mode &amp; Sideloading\WalkAndUnGZ.bat" "%USERPROFILE%\AppData\Local\Temp\OnboardLogs"\RTDC4011\2016-12-31 &amp; aws s3 cp s3://rtdc.mdm.uploadarchive.raw/RTDC4011/ "%USERPROFILE%\AppData\Local\Temp\OnboardLogs"\RTDC4011\2017-01-01 --exclude "*" --recursive --include "*20170101*" &amp; "%USERPROFILE%\Documents\GitHub\mrs-test-scripts\Headless Mode &amp; Sideloading\WalkAndUnGZ.bat" "%USERPROFILE%\AppData\Local\Temp\OnboardLogs"\RTDC4011\2017-01-01</v>
      </c>
      <c r="AF124" s="84" t="str">
        <f t="shared" si="38"/>
        <v>"C:\Program Files (x86)\AstroGrep\AstroGrep.exe" /spath="%USERPROFILE%\AppData\Local\Temp\OnboardLogs" /stypes="app*4011*20170101*"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88" t="str">
        <f t="shared" si="40"/>
        <v>"%USERPROFILE%\Documents\GitHub\eaglep3\Utilities\RefineRTDCRunTimes.py" --tripid 211-31 --locoid 4011 --swversion DE.1.0.8.0 --startMP 204:462 --initTime 2016-12-31T17:22:42 --startdatetime 2016-12-31T17:30:33 --delay 1 --endMP 204:233301 --enddatetime 2016-12-31T18:07:26 --enforcementcount 0 &gt;&gt;C:\Users\stu\Documents\GitHub\eaglep3-reporting\EC\2016-12-31-refined-times.txt</v>
      </c>
      <c r="AI124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{"issue":{"subject":"","project_id":79,"tracker_id":40,"status_id":1,"priority_id":2,"assigned_to_id":23,"start_date":"2016-12-31","description":"","custom_fields":[{"id":1,"name":"Subdivision","value":"EC"},{"id":4,"name":"Milepost","value":"23.3301"},{"id":17,"name":"Train ID","value":"211-31"},{"id":16,"name":"Locomotive ID","value":"4011"},{"id":130,"name":"Impact","value":""},{"id":150,"name":"Time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2"/>
        <v>start /low /b %USERPROFILE%\Documents\GitHub\eaglep3\Utilities\DownloadLogsFromS3.py --loco 4011 --day 2016-12-31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453</v>
      </c>
      <c r="B125" s="7">
        <v>4012</v>
      </c>
      <c r="C125" s="22" t="s">
        <v>205</v>
      </c>
      <c r="D125" s="22" t="s">
        <v>300</v>
      </c>
      <c r="E125" s="13">
        <v>42735.756828703707</v>
      </c>
      <c r="F125" s="13">
        <v>42735.768310185187</v>
      </c>
      <c r="G125" s="7">
        <v>1</v>
      </c>
      <c r="H125" s="22" t="s">
        <v>368</v>
      </c>
      <c r="I125" s="13">
        <v>42735.795451388891</v>
      </c>
      <c r="J125" s="7">
        <v>0</v>
      </c>
      <c r="K125" s="105" t="str">
        <f t="shared" si="27"/>
        <v>4011/4012</v>
      </c>
      <c r="L125" s="22" t="str">
        <f>VLOOKUP(A125,'Trips&amp;Operators'!$C$1:$G$99999,5,FALSE)</f>
        <v>ADANE ELSHADAY</v>
      </c>
      <c r="M125" s="6">
        <f t="shared" si="28"/>
        <v>2.7141203703649808E-2</v>
      </c>
      <c r="N125" s="7">
        <f t="shared" si="43"/>
        <v>39.083333333255723</v>
      </c>
      <c r="O125" s="7"/>
      <c r="P125" s="7"/>
      <c r="Q125" s="23"/>
      <c r="R125" s="23"/>
      <c r="S125" s="32">
        <f t="shared" si="44"/>
        <v>1</v>
      </c>
      <c r="T125" s="47" t="str">
        <f t="shared" si="29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17:09:50-700',mode:absolute,to:'2016-12-31 20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5" s="49" t="str">
        <f t="shared" si="47"/>
        <v>N</v>
      </c>
      <c r="X125" s="173">
        <f t="shared" si="48"/>
        <v>1</v>
      </c>
      <c r="Y125" s="64">
        <f t="shared" si="33"/>
        <v>23.297999999999998</v>
      </c>
      <c r="Z125" s="64">
        <f t="shared" si="34"/>
        <v>1.34E-2</v>
      </c>
      <c r="AA125" s="64">
        <f t="shared" si="35"/>
        <v>23.284599999999998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36"/>
        <v>0212-31</v>
      </c>
      <c r="AE125" s="87" t="str">
        <f t="shared" si="37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125" s="84" t="str">
        <f t="shared" si="38"/>
        <v>"C:\Program Files (x86)\AstroGrep\AstroGrep.exe" /spath="%USERPROFILE%\AppData\Local\Temp\OnboardLogs" /stypes="app*4012*20170101*" /stext=" 02:.+((SYSTEM_STATE.+slice.+state.+changed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88" t="str">
        <f t="shared" si="40"/>
        <v>"%USERPROFILE%\Documents\GitHub\eaglep3\Utilities\RefineRTDCRunTimes.py" --tripid 212-31 --locoid 4012 --swversion DE.1.0.8.0 --startMP 204:232980 --initTime 2016-12-31T18:09:50 --startdatetime 2016-12-31T18:26:22 --delay 1 --endMP 204:134 --enddatetime 2016-12-31T19:05:27 --enforcementcount 0 &gt;&gt;C:\Users\stu\Documents\GitHub\eaglep3-reporting\EC\2016-12-31-refined-times.txt</v>
      </c>
      <c r="AI12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{"issue":{"subject":"","project_id":79,"tracker_id":40,"status_id":1,"priority_id":2,"assigned_to_id":23,"start_date":"2016-12-31","description":"","custom_fields":[{"id":1,"name":"Subdivision","value":"EC"},{"id":4,"name":"Milepost","value":"0.0134"},{"id":17,"name":"Train ID","value":"212-31"},{"id":16,"name":"Locomotive ID","value":"4012"},{"id":130,"name":"Impact","value":""},{"id":150,"name":"Time of Event (Mountain Time)","value":"19:05:27"},{"id":151,"name":"Denver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2"/>
        <v>start /low /b %USERPROFILE%\Documents\GitHub\eaglep3\Utilities\DownloadLogsFromS3.py --loco 4012 --day 2016-12-31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624</v>
      </c>
      <c r="B126" s="7">
        <v>4044</v>
      </c>
      <c r="C126" s="22" t="s">
        <v>205</v>
      </c>
      <c r="D126" s="22" t="s">
        <v>767</v>
      </c>
      <c r="E126" s="13">
        <v>42735.738032407404</v>
      </c>
      <c r="F126" s="13">
        <v>42735.739884259259</v>
      </c>
      <c r="G126" s="7">
        <v>1</v>
      </c>
      <c r="H126" s="22" t="s">
        <v>324</v>
      </c>
      <c r="I126" s="13">
        <v>42735.765451388892</v>
      </c>
      <c r="J126" s="7">
        <v>0</v>
      </c>
      <c r="K126" s="105" t="str">
        <f t="shared" si="27"/>
        <v>4043/4044</v>
      </c>
      <c r="L126" s="22" t="str">
        <f>VLOOKUP(A126,'Trips&amp;Operators'!$C$1:$G$99999,5,FALSE)</f>
        <v>SMITH MICHAEL</v>
      </c>
      <c r="M126" s="6">
        <f t="shared" si="28"/>
        <v>2.5567129632690921E-2</v>
      </c>
      <c r="N126" s="7">
        <f t="shared" si="43"/>
        <v>36.816666671074927</v>
      </c>
      <c r="O126" s="7"/>
      <c r="P126" s="7"/>
      <c r="Q126" s="23"/>
      <c r="R126" s="23"/>
      <c r="S126" s="32">
        <f t="shared" si="44"/>
        <v>1</v>
      </c>
      <c r="T126" s="47" t="str">
        <f t="shared" si="29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16:42:46-700',mode:absolute,to:'2016-12-31 19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6" s="49" t="str">
        <f t="shared" si="47"/>
        <v>N</v>
      </c>
      <c r="X126" s="173">
        <f t="shared" si="48"/>
        <v>1</v>
      </c>
      <c r="Y126" s="64">
        <f t="shared" si="33"/>
        <v>4.3799999999999999E-2</v>
      </c>
      <c r="Z126" s="64">
        <f t="shared" si="34"/>
        <v>23.331700000000001</v>
      </c>
      <c r="AA126" s="64">
        <f t="shared" si="35"/>
        <v>23.2879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36"/>
        <v>0213-31</v>
      </c>
      <c r="AE126" s="87" t="str">
        <f t="shared" si="37"/>
        <v>aws s3 cp s3://rtdc.mdm.uploadarchive.raw/RTDC4044/ "%USERPROFILE%\AppData\Local\Temp\OnboardLogs"\RTDC4044\2016-12-31 --exclude "*" --recursive --include "*20161231*" &amp; "%USERPROFILE%\Documents\GitHub\mrs-test-scripts\Headless Mode &amp; Sideloading\WalkAndUnGZ.bat" "%USERPROFILE%\AppData\Local\Temp\OnboardLogs"\RTDC4044\2016-12-31 &amp; aws s3 cp s3://rtdc.mdm.uploadarchive.raw/RTDC4044/ "%USERPROFILE%\AppData\Local\Temp\OnboardLogs"\RTDC4044\2017-01-01 --exclude "*" --recursive --include "*20170101*" &amp; "%USERPROFILE%\Documents\GitHub\mrs-test-scripts\Headless Mode &amp; Sideloading\WalkAndUnGZ.bat" "%USERPROFILE%\AppData\Local\Temp\OnboardLogs"\RTDC4044\2017-01-01</v>
      </c>
      <c r="AF126" s="84" t="str">
        <f t="shared" si="38"/>
        <v>"C:\Program Files (x86)\AstroGrep\AstroGrep.exe" /spath="%USERPROFILE%\AppData\Local\Temp\OnboardLogs" /stypes="app*4044*20170101*" /stext=" 01:.+((SYSTEM_STATE.+slice.+state.+changed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88" t="str">
        <f t="shared" si="40"/>
        <v>"%USERPROFILE%\Documents\GitHub\eaglep3\Utilities\RefineRTDCRunTimes.py" --tripid 213-31 --locoid 4044 --swversion DE.1.0.8.0 --startMP 204:438 --initTime 2016-12-31T17:42:46 --startdatetime 2016-12-31T17:45:26 --delay 1 --endMP 204:233317 --enddatetime 2016-12-31T18:22:15 --enforcementcount 0 &gt;&gt;C:\Users\stu\Documents\GitHub\eaglep3-reporting\EC\2016-12-31-refined-times.txt</v>
      </c>
      <c r="AI12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{"issue":{"subject":"","project_id":79,"tracker_id":40,"status_id":1,"priority_id":2,"assigned_to_id":23,"start_date":"2016-12-31","description":"","custom_fields":[{"id":1,"name":"Subdivision","value":"EC"},{"id":4,"name":"Milepost","value":"23.3317"},{"id":17,"name":"Train ID","value":"213-31"},{"id":16,"name":"Locomotive ID","value":"4044"},{"id":130,"name":"Impact","value":""},{"id":150,"name":"Time of Event (Mountain Time)","value":"18:22:15"},{"id":151,"name":"Denver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2"/>
        <v>start /low /b %USERPROFILE%\Documents\GitHub\eaglep3\Utilities\DownloadLogsFromS3.py --loco 4044 --day 2016-12-31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639</v>
      </c>
      <c r="B127" s="7">
        <v>4043</v>
      </c>
      <c r="C127" s="22" t="s">
        <v>205</v>
      </c>
      <c r="D127" s="22" t="s">
        <v>331</v>
      </c>
      <c r="E127" s="13">
        <v>42735.769907407404</v>
      </c>
      <c r="F127" s="13">
        <v>42735.778807870367</v>
      </c>
      <c r="G127" s="7">
        <v>1</v>
      </c>
      <c r="H127" s="22" t="s">
        <v>191</v>
      </c>
      <c r="I127" s="13">
        <v>42735.805636574078</v>
      </c>
      <c r="J127" s="7">
        <v>0</v>
      </c>
      <c r="K127" s="105" t="str">
        <f t="shared" si="27"/>
        <v>4043/4044</v>
      </c>
      <c r="L127" s="22" t="str">
        <f>VLOOKUP(A127,'Trips&amp;Operators'!$C$1:$G$99999,5,FALSE)</f>
        <v>SMITH MICHAEL</v>
      </c>
      <c r="M127" s="6">
        <f t="shared" si="28"/>
        <v>2.6828703710634727E-2</v>
      </c>
      <c r="N127" s="7">
        <f t="shared" si="43"/>
        <v>38.633333343314007</v>
      </c>
      <c r="O127" s="7"/>
      <c r="P127" s="7"/>
      <c r="Q127" s="23"/>
      <c r="R127" s="23"/>
      <c r="S127" s="32">
        <f t="shared" si="44"/>
        <v>1</v>
      </c>
      <c r="T127" s="47" t="str">
        <f t="shared" si="29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17:28:40-700',mode:absolute,to:'2016-12-31 20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7" s="49" t="str">
        <f t="shared" si="47"/>
        <v>N</v>
      </c>
      <c r="X127" s="173">
        <f t="shared" si="48"/>
        <v>1</v>
      </c>
      <c r="Y127" s="64">
        <f t="shared" si="33"/>
        <v>23.299600000000002</v>
      </c>
      <c r="Z127" s="64">
        <f t="shared" si="34"/>
        <v>1.49E-2</v>
      </c>
      <c r="AA127" s="64">
        <f t="shared" si="35"/>
        <v>23.284700000000001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36"/>
        <v>0214-31</v>
      </c>
      <c r="AE127" s="87" t="str">
        <f t="shared" si="37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127" s="84" t="str">
        <f t="shared" si="38"/>
        <v>"C:\Program Files (x86)\AstroGrep\AstroGrep.exe" /spath="%USERPROFILE%\AppData\Local\Temp\OnboardLogs" /stypes="app*4043*20170101*" /stext=" 02:.+((SYSTEM_STATE.+slice.+state.+changed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88" t="str">
        <f t="shared" si="40"/>
        <v>"%USERPROFILE%\Documents\GitHub\eaglep3\Utilities\RefineRTDCRunTimes.py" --tripid 214-31 --locoid 4043 --swversion DE.1.0.8.0 --startMP 204:232996 --initTime 2016-12-31T18:28:40 --startdatetime 2016-12-31T18:41:29 --delay 1 --endMP 204:149 --enddatetime 2016-12-31T19:20:07 --enforcementcount 0 &gt;&gt;C:\Users\stu\Documents\GitHub\eaglep3-reporting\EC\2016-12-31-refined-times.txt</v>
      </c>
      <c r="AI12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{"issue":{"subject":"","project_id":79,"tracker_id":40,"status_id":1,"priority_id":2,"assigned_to_id":23,"start_date":"2016-12-31","description":"","custom_fields":[{"id":1,"name":"Subdivision","value":"EC"},{"id":4,"name":"Milepost","value":"0.0149"},{"id":17,"name":"Train ID","value":"214-31"},{"id":16,"name":"Locomotive ID","value":"4043"},{"id":130,"name":"Impact","value":""},{"id":150,"name":"Time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2"/>
        <v>start /low /b %USERPROFILE%\Documents\GitHub\eaglep3\Utilities\DownloadLogsFromS3.py --loco 4043 --day 2016-12-31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627</v>
      </c>
      <c r="B128" s="7">
        <v>4003</v>
      </c>
      <c r="C128" s="22" t="s">
        <v>205</v>
      </c>
      <c r="D128" s="22" t="s">
        <v>366</v>
      </c>
      <c r="E128" s="13">
        <v>42735.745196759257</v>
      </c>
      <c r="F128" s="13">
        <v>42735.750162037039</v>
      </c>
      <c r="G128" s="7">
        <v>1</v>
      </c>
      <c r="H128" s="22" t="s">
        <v>297</v>
      </c>
      <c r="I128" s="13">
        <v>42735.774664351855</v>
      </c>
      <c r="J128" s="7">
        <v>0</v>
      </c>
      <c r="K128" s="105" t="str">
        <f t="shared" si="27"/>
        <v>4003/4004</v>
      </c>
      <c r="L128" s="22" t="str">
        <f>VLOOKUP(A128,'Trips&amp;Operators'!$C$1:$G$99999,5,FALSE)</f>
        <v>BRANNON JEFFREY</v>
      </c>
      <c r="M128" s="6">
        <f t="shared" si="28"/>
        <v>2.4502314816345461E-2</v>
      </c>
      <c r="N128" s="7">
        <f t="shared" si="43"/>
        <v>35.283333335537463</v>
      </c>
      <c r="O128" s="7"/>
      <c r="P128" s="7"/>
      <c r="Q128" s="23"/>
      <c r="R128" s="23"/>
      <c r="S128" s="32">
        <f t="shared" si="44"/>
        <v>1</v>
      </c>
      <c r="T128" s="47" t="str">
        <f t="shared" si="29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16:53:05-700',mode:absolute,to:'2016-12-31 19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8" s="49" t="str">
        <f t="shared" si="47"/>
        <v>N</v>
      </c>
      <c r="X128" s="173">
        <f t="shared" si="48"/>
        <v>1</v>
      </c>
      <c r="Y128" s="64">
        <f t="shared" si="33"/>
        <v>4.7100000000000003E-2</v>
      </c>
      <c r="Z128" s="64">
        <f t="shared" si="34"/>
        <v>23.3293</v>
      </c>
      <c r="AA128" s="64">
        <f t="shared" si="35"/>
        <v>23.2822</v>
      </c>
      <c r="AB128" s="61" t="e">
        <f>VLOOKUP(A128,Enforcements!$C$7:$K$19,8,0)</f>
        <v>#N/A</v>
      </c>
      <c r="AC128" s="57" t="e">
        <f>VLOOKUP(A128,Enforcements!$C$7:$E$19,3,0)</f>
        <v>#N/A</v>
      </c>
      <c r="AD128" s="58" t="str">
        <f t="shared" si="36"/>
        <v>0215-31</v>
      </c>
      <c r="AE128" s="87" t="str">
        <f t="shared" si="37"/>
        <v>aws s3 cp s3://rtdc.mdm.uploadarchive.raw/RTDC4003/ "%USERPROFILE%\AppData\Local\Temp\OnboardLogs"\RTDC4003\2016-12-31 --exclude "*" --recursive --include "*20161231*" &amp; "%USERPROFILE%\Documents\GitHub\mrs-test-scripts\Headless Mode &amp; Sideloading\WalkAndUnGZ.bat" "%USERPROFILE%\AppData\Local\Temp\OnboardLogs"\RTDC4003\2016-12-31 &amp; aws s3 cp s3://rtdc.mdm.uploadarchive.raw/RTDC4003/ "%USERPROFILE%\AppData\Local\Temp\OnboardLogs"\RTDC4003\2017-01-01 --exclude "*" --recursive --include "*20170101*" &amp; "%USERPROFILE%\Documents\GitHub\mrs-test-scripts\Headless Mode &amp; Sideloading\WalkAndUnGZ.bat" "%USERPROFILE%\AppData\Local\Temp\OnboardLogs"\RTDC4003\2017-01-01</v>
      </c>
      <c r="AF128" s="84" t="str">
        <f t="shared" si="38"/>
        <v>"C:\Program Files (x86)\AstroGrep\AstroGrep.exe" /spath="%USERPROFILE%\AppData\Local\Temp\OnboardLogs" /stypes="app*4003*20170101*" /stext=" 01:.+((SYSTEM_STATE.+slice.+state.+changed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88" t="str">
        <f t="shared" si="40"/>
        <v>"%USERPROFILE%\Documents\GitHub\eaglep3\Utilities\RefineRTDCRunTimes.py" --tripid 215-31 --locoid 4003 --swversion DE.1.0.8.0 --startMP 204:471 --initTime 2016-12-31T17:53:05 --startdatetime 2016-12-31T18:00:14 --delay 1 --endMP 204:233293 --enddatetime 2016-12-31T18:35:31 --enforcementcount 0 &gt;&gt;C:\Users\stu\Documents\GitHub\eaglep3-reporting\EC\2016-12-31-refined-times.txt</v>
      </c>
      <c r="AI12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{"issue":{"subject":"","project_id":79,"tracker_id":40,"status_id":1,"priority_id":2,"assigned_to_id":23,"start_date":"2016-12-31","description":"","custom_fields":[{"id":1,"name":"Subdivision","value":"EC"},{"id":4,"name":"Milepost","value":"23.3293"},{"id":17,"name":"Train ID","value":"215-31"},{"id":16,"name":"Locomotive ID","value":"4003"},{"id":130,"name":"Impact","value":""},{"id":150,"name":"Time of Event (Mountain Time)","value":"18:35:31"},{"id":151,"name":"Denver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2"/>
        <v>start /low /b %USERPROFILE%\Documents\GitHub\eaglep3\Utilities\DownloadLogsFromS3.py --loco 4003 --day 2016-12-31</v>
      </c>
    </row>
    <row r="129" spans="1:91" s="21" customFormat="1" x14ac:dyDescent="0.25">
      <c r="A129" s="34" t="s">
        <v>454</v>
      </c>
      <c r="B129" s="7">
        <v>4004</v>
      </c>
      <c r="C129" s="22" t="s">
        <v>205</v>
      </c>
      <c r="D129" s="22" t="s">
        <v>257</v>
      </c>
      <c r="E129" s="13">
        <v>42735.785162037035</v>
      </c>
      <c r="F129" s="13">
        <v>42735.7890625</v>
      </c>
      <c r="G129" s="7">
        <v>1</v>
      </c>
      <c r="H129" s="22" t="s">
        <v>768</v>
      </c>
      <c r="I129" s="13">
        <v>42735.815949074073</v>
      </c>
      <c r="J129" s="7">
        <v>0</v>
      </c>
      <c r="K129" s="105" t="str">
        <f t="shared" si="27"/>
        <v>4003/4004</v>
      </c>
      <c r="L129" s="22" t="str">
        <f>VLOOKUP(A129,'Trips&amp;Operators'!$C$1:$G$99999,5,FALSE)</f>
        <v>BRANNON JEFFREY</v>
      </c>
      <c r="M129" s="6">
        <f t="shared" si="28"/>
        <v>2.6886574072705116E-2</v>
      </c>
      <c r="N129" s="7">
        <f t="shared" si="43"/>
        <v>38.716666664695367</v>
      </c>
      <c r="O129" s="7"/>
      <c r="P129" s="7"/>
      <c r="Q129" s="23"/>
      <c r="R129" s="23"/>
      <c r="S129" s="32">
        <f t="shared" si="44"/>
        <v>1</v>
      </c>
      <c r="T129" s="47" t="str">
        <f t="shared" si="29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17:50:38-700',mode:absolute,to:'2016-12-31 20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9" s="49" t="str">
        <f t="shared" si="47"/>
        <v>N</v>
      </c>
      <c r="X129" s="173">
        <f t="shared" si="48"/>
        <v>1</v>
      </c>
      <c r="Y129" s="64">
        <f t="shared" si="33"/>
        <v>23.297699999999999</v>
      </c>
      <c r="Z129" s="64">
        <f t="shared" si="34"/>
        <v>9.3200000000000005E-2</v>
      </c>
      <c r="AA129" s="64">
        <f t="shared" si="35"/>
        <v>23.204499999999999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 t="shared" si="36"/>
        <v>0216-31</v>
      </c>
      <c r="AE129" s="87" t="str">
        <f t="shared" si="37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129" s="84" t="str">
        <f t="shared" si="38"/>
        <v>"C:\Program Files (x86)\AstroGrep\AstroGrep.exe" /spath="%USERPROFILE%\AppData\Local\Temp\OnboardLogs" /stypes="app*4004*20170101*" /stext=" 02:.+((SYSTEM_STATE.+slice.+state.+changed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88" t="str">
        <f t="shared" si="40"/>
        <v>"%USERPROFILE%\Documents\GitHub\eaglep3\Utilities\RefineRTDCRunTimes.py" --tripid 216-31 --locoid 4004 --swversion DE.1.0.8.0 --startMP 204:232977 --initTime 2016-12-31T18:50:38 --startdatetime 2016-12-31T18:56:15 --delay 1 --endMP 204:932 --enddatetime 2016-12-31T19:34:58 --enforcementcount 0 &gt;&gt;C:\Users\stu\Documents\GitHub\eaglep3-reporting\EC\2016-12-31-refined-times.txt</v>
      </c>
      <c r="AI12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{"issue":{"subject":"","project_id":79,"tracker_id":40,"status_id":1,"priority_id":2,"assigned_to_id":23,"start_date":"2016-12-31","description":"","custom_fields":[{"id":1,"name":"Subdivision","value":"EC"},{"id":4,"name":"Milepost","value":"0.0932"},{"id":17,"name":"Train ID","value":"216-31"},{"id":16,"name":"Locomotive ID","value":"4004"},{"id":130,"name":"Impact","value":""},{"id":150,"name":"Time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2"/>
        <v>start /low /b %USERPROFILE%\Documents\GitHub\eaglep3\Utilities\DownloadLogsFromS3.py --loco 4004 --day 2016-12-31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635</v>
      </c>
      <c r="B130" s="7">
        <v>4016</v>
      </c>
      <c r="C130" s="22" t="s">
        <v>205</v>
      </c>
      <c r="D130" s="22" t="s">
        <v>320</v>
      </c>
      <c r="E130" s="13">
        <v>42735.758969907409</v>
      </c>
      <c r="F130" s="13">
        <v>42735.760648148149</v>
      </c>
      <c r="G130" s="7">
        <v>1</v>
      </c>
      <c r="H130" s="22" t="s">
        <v>356</v>
      </c>
      <c r="I130" s="13">
        <v>42735.785231481481</v>
      </c>
      <c r="J130" s="7">
        <v>0</v>
      </c>
      <c r="K130" s="105" t="str">
        <f t="shared" si="27"/>
        <v>4015/4016</v>
      </c>
      <c r="L130" s="22" t="str">
        <f>VLOOKUP(A130,'Trips&amp;Operators'!$C$1:$G$99999,5,FALSE)</f>
        <v>STAMBAUGH JAMES</v>
      </c>
      <c r="M130" s="6">
        <f t="shared" si="28"/>
        <v>2.4583333331975155E-2</v>
      </c>
      <c r="N130" s="7">
        <f t="shared" si="43"/>
        <v>35.399999998044223</v>
      </c>
      <c r="O130" s="7"/>
      <c r="P130" s="7"/>
      <c r="Q130" s="23"/>
      <c r="R130" s="23"/>
      <c r="S130" s="32">
        <f t="shared" si="44"/>
        <v>1</v>
      </c>
      <c r="T130" s="47" t="str">
        <f t="shared" si="29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17:12:55-700',mode:absolute,to:'2016-12-31 19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0" s="49" t="str">
        <f t="shared" si="47"/>
        <v>N</v>
      </c>
      <c r="X130" s="173">
        <f t="shared" si="48"/>
        <v>1</v>
      </c>
      <c r="Y130" s="64">
        <f t="shared" si="33"/>
        <v>4.5699999999999998E-2</v>
      </c>
      <c r="Z130" s="64">
        <f t="shared" si="34"/>
        <v>23.331</v>
      </c>
      <c r="AA130" s="64">
        <f t="shared" si="35"/>
        <v>23.285299999999999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36"/>
        <v>0217-31</v>
      </c>
      <c r="AE130" s="87" t="str">
        <f t="shared" si="37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30" s="84" t="str">
        <f t="shared" si="38"/>
        <v>"C:\Program Files (x86)\AstroGrep\AstroGrep.exe" /spath="%USERPROFILE%\AppData\Local\Temp\OnboardLogs" /stypes="app*4016*20170101*" /stext=" 01:.+((SYSTEM_STATE.+slice.+state.+changed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88" t="str">
        <f t="shared" si="40"/>
        <v>"%USERPROFILE%\Documents\GitHub\eaglep3\Utilities\RefineRTDCRunTimes.py" --tripid 217-31 --locoid 4016 --swversion DE.1.0.8.0 --startMP 204:457 --initTime 2016-12-31T18:12:55 --startdatetime 2016-12-31T18:15:20 --delay 1 --endMP 204:233310 --enddatetime 2016-12-31T18:50:44 --enforcementcount 0 &gt;&gt;C:\Users\stu\Documents\GitHub\eaglep3-reporting\EC\2016-12-31-refined-times.txt</v>
      </c>
      <c r="AI13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{"issue":{"subject":"","project_id":79,"tracker_id":40,"status_id":1,"priority_id":2,"assigned_to_id":23,"start_date":"2016-12-31","description":"","custom_fields":[{"id":1,"name":"Subdivision","value":"EC"},{"id":4,"name":"Milepost","value":"23.331"},{"id":17,"name":"Train ID","value":"217-31"},{"id":16,"name":"Locomotive ID","value":"4016"},{"id":130,"name":"Impact","value":""},{"id":150,"name":"Time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2"/>
        <v>start /low /b %USERPROFILE%\Documents\GitHub\eaglep3\Utilities\DownloadLogsFromS3.py --loco 4016 --day 2016-12-31</v>
      </c>
    </row>
    <row r="131" spans="1:91" x14ac:dyDescent="0.25">
      <c r="A131" s="34" t="s">
        <v>643</v>
      </c>
      <c r="B131" s="7">
        <v>4015</v>
      </c>
      <c r="C131" s="22" t="s">
        <v>205</v>
      </c>
      <c r="D131" s="22" t="s">
        <v>331</v>
      </c>
      <c r="E131" s="13">
        <v>42735.79582175926</v>
      </c>
      <c r="F131" s="13">
        <v>42735.799780092595</v>
      </c>
      <c r="G131" s="7">
        <v>2</v>
      </c>
      <c r="H131" s="22" t="s">
        <v>239</v>
      </c>
      <c r="I131" s="13">
        <v>42735.83</v>
      </c>
      <c r="J131" s="7">
        <v>0</v>
      </c>
      <c r="K131" s="105" t="str">
        <f t="shared" si="27"/>
        <v>4015/4016</v>
      </c>
      <c r="L131" s="22" t="str">
        <f>VLOOKUP(A131,'Trips&amp;Operators'!$C$1:$G$99999,5,FALSE)</f>
        <v>STAMBAUGH JAMES</v>
      </c>
      <c r="M131" s="6">
        <f t="shared" si="28"/>
        <v>3.0219907406717539E-2</v>
      </c>
      <c r="N131" s="7">
        <f t="shared" si="43"/>
        <v>43.516666665673256</v>
      </c>
      <c r="O131" s="7"/>
      <c r="P131" s="7"/>
      <c r="Q131" s="23"/>
      <c r="R131" s="23"/>
      <c r="S131" s="32">
        <f t="shared" si="44"/>
        <v>1</v>
      </c>
      <c r="T131" s="47" t="str">
        <f t="shared" si="29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18:05:59-700',mode:absolute,to:'2016-12-31 20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1" s="49" t="str">
        <f t="shared" si="47"/>
        <v>N</v>
      </c>
      <c r="X131" s="173">
        <f t="shared" si="48"/>
        <v>1</v>
      </c>
      <c r="Y131" s="64">
        <f t="shared" si="33"/>
        <v>23.299600000000002</v>
      </c>
      <c r="Z131" s="64">
        <f t="shared" si="34"/>
        <v>4.58E-2</v>
      </c>
      <c r="AA131" s="64">
        <f t="shared" si="35"/>
        <v>23.253800000000002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36"/>
        <v>0218-31</v>
      </c>
      <c r="AE131" s="87" t="str">
        <f t="shared" si="37"/>
        <v>aws s3 cp s3://rtdc.mdm.uploadarchive.raw/RTDC4015/ "%USERPROFILE%\AppData\Local\Temp\OnboardLogs"\RTDC4015\2016-12-31 --exclude "*" --recursive --include "*20161231*" &amp; "%USERPROFILE%\Documents\GitHub\mrs-test-scripts\Headless Mode &amp; Sideloading\WalkAndUnGZ.bat" "%USERPROFILE%\AppData\Local\Temp\OnboardLogs"\RTDC4015\2016-12-31 &amp; aws s3 cp s3://rtdc.mdm.uploadarchive.raw/RTDC4015/ "%USERPROFILE%\AppData\Local\Temp\OnboardLogs"\RTDC4015\2017-01-01 --exclude "*" --recursive --include "*20170101*" &amp; "%USERPROFILE%\Documents\GitHub\mrs-test-scripts\Headless Mode &amp; Sideloading\WalkAndUnGZ.bat" "%USERPROFILE%\AppData\Local\Temp\OnboardLogs"\RTDC4015\2017-01-01</v>
      </c>
      <c r="AF131" s="84" t="str">
        <f t="shared" si="38"/>
        <v>"C:\Program Files (x86)\AstroGrep\AstroGrep.exe" /spath="%USERPROFILE%\AppData\Local\Temp\OnboardLogs" /stypes="app*4015*20170101*"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88" t="str">
        <f t="shared" si="40"/>
        <v>"%USERPROFILE%\Documents\GitHub\eaglep3\Utilities\RefineRTDCRunTimes.py" --tripid 218-31 --locoid 4015 --swversion DE.1.0.8.0 --startMP 204:232996 --initTime 2016-12-31T19:05:59 --startdatetime 2016-12-31T19:11:41 --delay 2 --endMP 204:458 --enddatetime 2016-12-31T19:55:12 --enforcementcount 0 &gt;&gt;C:\Users\stu\Documents\GitHub\eaglep3-reporting\EC\2016-12-31-refined-times.txt</v>
      </c>
      <c r="AI131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{"issue":{"subject":"","project_id":79,"tracker_id":40,"status_id":1,"priority_id":2,"assigned_to_id":23,"start_date":"2016-12-31","description":"","custom_fields":[{"id":1,"name":"Subdivision","value":"EC"},{"id":4,"name":"Milepost","value":"0.0458"},{"id":17,"name":"Train ID","value":"218-31"},{"id":16,"name":"Locomotive ID","value":"4015"},{"id":130,"name":"Impact","value":""},{"id":150,"name":"Time of Event (Mountain Time)","value":"19:55:12"},{"id":151,"name":"Denver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2"/>
        <v>start /low /b %USERPROFILE%\Documents\GitHub\eaglep3\Utilities\DownloadLogsFromS3.py --loco 4015 --day 2016-12-31</v>
      </c>
    </row>
    <row r="132" spans="1:91" s="21" customFormat="1" x14ac:dyDescent="0.25">
      <c r="A132" s="34" t="s">
        <v>638</v>
      </c>
      <c r="B132" s="7">
        <v>4046</v>
      </c>
      <c r="C132" s="22" t="s">
        <v>205</v>
      </c>
      <c r="D132" s="22" t="s">
        <v>769</v>
      </c>
      <c r="E132" s="13">
        <v>42735.767812500002</v>
      </c>
      <c r="F132" s="13">
        <v>42735.772106481483</v>
      </c>
      <c r="G132" s="7">
        <v>1</v>
      </c>
      <c r="H132" s="22" t="s">
        <v>417</v>
      </c>
      <c r="I132" s="13">
        <v>42735.795775462961</v>
      </c>
      <c r="J132" s="7">
        <v>0</v>
      </c>
      <c r="K132" s="105" t="str">
        <f t="shared" si="27"/>
        <v>4045/4046</v>
      </c>
      <c r="L132" s="22" t="str">
        <f>VLOOKUP(A132,'Trips&amp;Operators'!$C$1:$G$99999,5,FALSE)</f>
        <v>HILLS DUSTIN</v>
      </c>
      <c r="M132" s="6">
        <f t="shared" si="28"/>
        <v>2.3668981477385387E-2</v>
      </c>
      <c r="N132" s="7">
        <f t="shared" si="43"/>
        <v>34.083333327434957</v>
      </c>
      <c r="O132" s="7"/>
      <c r="P132" s="7"/>
      <c r="Q132" s="23"/>
      <c r="R132" s="23"/>
      <c r="S132" s="32">
        <f t="shared" si="44"/>
        <v>1</v>
      </c>
      <c r="T132" s="47" t="str">
        <f t="shared" si="29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17:25:39-700',mode:absolute,to:'2016-12-31 20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2" s="49" t="str">
        <f t="shared" si="47"/>
        <v>N</v>
      </c>
      <c r="X132" s="173">
        <f t="shared" si="48"/>
        <v>1</v>
      </c>
      <c r="Y132" s="64">
        <f t="shared" si="33"/>
        <v>4.8899999999999999E-2</v>
      </c>
      <c r="Z132" s="64">
        <f t="shared" si="34"/>
        <v>23.338699999999999</v>
      </c>
      <c r="AA132" s="64">
        <f t="shared" si="35"/>
        <v>23.2898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 t="shared" si="36"/>
        <v>0219-31</v>
      </c>
      <c r="AE132" s="87" t="str">
        <f t="shared" si="37"/>
        <v>aws s3 cp s3://rtdc.mdm.uploadarchive.raw/RTDC4046/ "%USERPROFILE%\AppData\Local\Temp\OnboardLogs"\RTDC4046\2016-12-31 --exclude "*" --recursive --include "*20161231*" &amp; "%USERPROFILE%\Documents\GitHub\mrs-test-scripts\Headless Mode &amp; Sideloading\WalkAndUnGZ.bat" "%USERPROFILE%\AppData\Local\Temp\OnboardLogs"\RTDC4046\2016-12-31 &amp; aws s3 cp s3://rtdc.mdm.uploadarchive.raw/RTDC4046/ "%USERPROFILE%\AppData\Local\Temp\OnboardLogs"\RTDC4046\2017-01-01 --exclude "*" --recursive --include "*20170101*" &amp; "%USERPROFILE%\Documents\GitHub\mrs-test-scripts\Headless Mode &amp; Sideloading\WalkAndUnGZ.bat" "%USERPROFILE%\AppData\Local\Temp\OnboardLogs"\RTDC4046\2017-01-01</v>
      </c>
      <c r="AF132" s="84" t="str">
        <f t="shared" si="38"/>
        <v>"C:\Program Files (x86)\AstroGrep\AstroGrep.exe" /spath="%USERPROFILE%\AppData\Local\Temp\OnboardLogs" /stypes="app*4046*20170101*"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88" t="str">
        <f t="shared" si="40"/>
        <v>"%USERPROFILE%\Documents\GitHub\eaglep3\Utilities\RefineRTDCRunTimes.py" --tripid 219-31 --locoid 4046 --swversion DE.1.0.8.0 --startMP 204:489 --initTime 2016-12-31T18:25:39 --startdatetime 2016-12-31T18:31:50 --delay 1 --endMP 204:233387 --enddatetime 2016-12-31T19:05:55 --enforcementcount 0 &gt;&gt;C:\Users\stu\Documents\GitHub\eaglep3-reporting\EC\2016-12-31-refined-times.txt</v>
      </c>
      <c r="AI132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{"issue":{"subject":"","project_id":79,"tracker_id":40,"status_id":1,"priority_id":2,"assigned_to_id":23,"start_date":"2016-12-31","description":"","custom_fields":[{"id":1,"name":"Subdivision","value":"EC"},{"id":4,"name":"Milepost","value":"23.3387"},{"id":17,"name":"Train ID","value":"219-31"},{"id":16,"name":"Locomotive ID","value":"4046"},{"id":130,"name":"Impact","value":""},{"id":150,"name":"Time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2"/>
        <v>start /low /b %USERPROFILE%\Documents\GitHub\eaglep3\Utilities\DownloadLogsFromS3.py --loco 4046 --day 2016-12-31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455</v>
      </c>
      <c r="B133" s="7">
        <v>4045</v>
      </c>
      <c r="C133" s="22" t="s">
        <v>205</v>
      </c>
      <c r="D133" s="22" t="s">
        <v>770</v>
      </c>
      <c r="E133" s="13">
        <v>42735.797754629632</v>
      </c>
      <c r="F133" s="13">
        <v>42735.810358796298</v>
      </c>
      <c r="G133" s="7">
        <v>1</v>
      </c>
      <c r="H133" s="22" t="s">
        <v>771</v>
      </c>
      <c r="I133" s="13">
        <v>42735.841099537036</v>
      </c>
      <c r="J133" s="7">
        <v>0</v>
      </c>
      <c r="K133" s="105" t="str">
        <f t="shared" si="27"/>
        <v>4045/4046</v>
      </c>
      <c r="L133" s="22" t="str">
        <f>VLOOKUP(A133,'Trips&amp;Operators'!$C$1:$G$99999,5,FALSE)</f>
        <v>HILLS DUSTIN</v>
      </c>
      <c r="M133" s="6">
        <f t="shared" si="28"/>
        <v>3.0740740738110617E-2</v>
      </c>
      <c r="N133" s="7">
        <f t="shared" si="43"/>
        <v>44.266666662879288</v>
      </c>
      <c r="O133" s="7"/>
      <c r="P133" s="7"/>
      <c r="Q133" s="23"/>
      <c r="R133" s="23"/>
      <c r="S133" s="32">
        <f t="shared" si="44"/>
        <v>1</v>
      </c>
      <c r="T133" s="47" t="str">
        <f t="shared" si="29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18:08:46-700',mode:absolute,to:'2016-12-31 21:11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3" s="49" t="str">
        <f t="shared" si="47"/>
        <v>N</v>
      </c>
      <c r="X133" s="173">
        <f t="shared" si="48"/>
        <v>1</v>
      </c>
      <c r="Y133" s="64">
        <f t="shared" si="33"/>
        <v>23.309000000000001</v>
      </c>
      <c r="Z133" s="64">
        <f t="shared" si="34"/>
        <v>7.6E-3</v>
      </c>
      <c r="AA133" s="64">
        <f t="shared" si="35"/>
        <v>23.301400000000001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36"/>
        <v>0220-31</v>
      </c>
      <c r="AE133" s="87" t="str">
        <f t="shared" si="37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33" s="84" t="str">
        <f t="shared" si="38"/>
        <v>"C:\Program Files (x86)\AstroGrep\AstroGrep.exe" /spath="%USERPROFILE%\AppData\Local\Temp\OnboardLogs" /stypes="app*4045*20170101*" /stext=" 03:.+((SYSTEM_STATE.+slice.+state.+changed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88" t="str">
        <f t="shared" si="40"/>
        <v>"%USERPROFILE%\Documents\GitHub\eaglep3\Utilities\RefineRTDCRunTimes.py" --tripid 220-31 --locoid 4045 --swversion DE.1.0.8.0 --startMP 204:233090 --initTime 2016-12-31T19:08:46 --startdatetime 2016-12-31T19:26:55 --delay 1 --endMP 204:76 --enddatetime 2016-12-31T20:11:11 --enforcementcount 0 &gt;&gt;C:\Users\stu\Documents\GitHub\eaglep3-reporting\EC\2016-12-31-refined-times.txt</v>
      </c>
      <c r="AI133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{"issue":{"subject":"","project_id":79,"tracker_id":40,"status_id":1,"priority_id":2,"assigned_to_id":23,"start_date":"2016-12-31","description":"","custom_fields":[{"id":1,"name":"Subdivision","value":"EC"},{"id":4,"name":"Milepost","value":"0.0076"},{"id":17,"name":"Train ID","value":"220-31"},{"id":16,"name":"Locomotive ID","value":"4045"},{"id":130,"name":"Impact","value":""},{"id":150,"name":"Time of Event (Mountain Time)","value":"20:11:11"},{"id":151,"name":"Denver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2"/>
        <v>start /low /b %USERPROFILE%\Documents\GitHub\eaglep3\Utilities\DownloadLogsFromS3.py --loco 4045 --day 2016-12-31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642</v>
      </c>
      <c r="B134" s="7">
        <v>4018</v>
      </c>
      <c r="C134" s="22" t="s">
        <v>205</v>
      </c>
      <c r="D134" s="22" t="s">
        <v>772</v>
      </c>
      <c r="E134" s="13">
        <v>42735.789212962962</v>
      </c>
      <c r="F134" s="13">
        <v>42735.791886574072</v>
      </c>
      <c r="G134" s="7">
        <v>3</v>
      </c>
      <c r="H134" s="22" t="s">
        <v>296</v>
      </c>
      <c r="I134" s="13">
        <v>42735.819386574076</v>
      </c>
      <c r="J134" s="7">
        <v>0</v>
      </c>
      <c r="K134" s="105" t="str">
        <f t="shared" si="27"/>
        <v>4017/4018</v>
      </c>
      <c r="L134" s="22" t="str">
        <f>VLOOKUP(A134,'Trips&amp;Operators'!$C$1:$G$99999,5,FALSE)</f>
        <v>BROWN JACOB</v>
      </c>
      <c r="M134" s="6">
        <f t="shared" si="28"/>
        <v>2.7500000003783498E-2</v>
      </c>
      <c r="N134" s="7">
        <f t="shared" si="43"/>
        <v>39.600000005448237</v>
      </c>
      <c r="O134" s="7"/>
      <c r="P134" s="7"/>
      <c r="Q134" s="23"/>
      <c r="R134" s="23" t="s">
        <v>909</v>
      </c>
      <c r="S134" s="32">
        <f t="shared" si="44"/>
        <v>1</v>
      </c>
      <c r="T134" s="47" t="str">
        <f t="shared" si="29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17:56:28-700',mode:absolute,to:'2016-12-31 20:39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4" s="49" t="str">
        <f t="shared" si="47"/>
        <v>N</v>
      </c>
      <c r="X134" s="173">
        <f t="shared" si="48"/>
        <v>1</v>
      </c>
      <c r="Y134" s="64">
        <f t="shared" si="33"/>
        <v>6.9900000000000004E-2</v>
      </c>
      <c r="Z134" s="64">
        <f t="shared" si="34"/>
        <v>23.331199999999999</v>
      </c>
      <c r="AA134" s="64">
        <f t="shared" si="35"/>
        <v>23.261299999999999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36"/>
        <v>0221-31</v>
      </c>
      <c r="AE134" s="87" t="str">
        <f t="shared" si="37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34" s="84" t="str">
        <f t="shared" si="38"/>
        <v>"C:\Program Files (x86)\AstroGrep\AstroGrep.exe" /spath="%USERPROFILE%\AppData\Local\Temp\OnboardLogs" /stypes="app*4018*20170101*" /stext=" 02:.+((SYSTEM_STATE.+slice.+state.+changed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88" t="str">
        <f t="shared" si="40"/>
        <v>"%USERPROFILE%\Documents\GitHub\eaglep3\Utilities\RefineRTDCRunTimes.py" --tripid 221-31 --locoid 4018 --swversion DE.1.0.8.0 --startMP 204:699 --initTime 2016-12-31T18:56:28 --startdatetime 2016-12-31T19:00:19 --delay 3 --endMP 204:233312 --enddatetime 2016-12-31T19:39:55 --enforcementcount 0 &gt;&gt;C:\Users\stu\Documents\GitHub\eaglep3-reporting\EC\2016-12-31-refined-times.txt</v>
      </c>
      <c r="AI134" s="115" t="str">
        <f t="shared" si="41"/>
        <v>echo {"issue":{"subject":"PTC logs don't show any penalties commanded or detected","project_id":79,"tracker_id":40,"status_id":1,"priority_id":2,"assigned_to_id":23,"start_date":"2016-12-31","description":"","custom_fields":[{"id":1,"name":"Subdivision","value":"EC"},{"id":4,"name":"Milepost","value":"23.3312"},{"id":17,"name":"Train ID","value":"221-31"},{"id":16,"name":"Locomotive ID","value":"4018"},{"id":130,"name":"Impact","value":""},{"id":150,"name":"Time of Event (Mountain Time)","value":"19:39:55"},{"id":151,"name":"Denver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2"/>
        <v>start /low /b %USERPROFILE%\Documents\GitHub\eaglep3\Utilities\DownloadLogsFromS3.py --loco 4018 --day 2016-12-31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456</v>
      </c>
      <c r="B135" s="7">
        <v>4019</v>
      </c>
      <c r="C135" s="22" t="s">
        <v>205</v>
      </c>
      <c r="D135" s="22" t="s">
        <v>355</v>
      </c>
      <c r="E135" s="13">
        <v>42735.822847222225</v>
      </c>
      <c r="F135" s="13">
        <v>42735.830717592595</v>
      </c>
      <c r="G135" s="7">
        <v>1</v>
      </c>
      <c r="H135" s="22" t="s">
        <v>773</v>
      </c>
      <c r="I135" s="13">
        <v>42735.860914351855</v>
      </c>
      <c r="J135" s="7">
        <v>0</v>
      </c>
      <c r="K135" s="105" t="str">
        <f t="shared" si="27"/>
        <v>4019/4020</v>
      </c>
      <c r="L135" s="22" t="str">
        <f>VLOOKUP(A135,'Trips&amp;Operators'!$C$1:$G$99999,5,FALSE)</f>
        <v>BROWN JACOB</v>
      </c>
      <c r="M135" s="6">
        <f t="shared" si="28"/>
        <v>3.0196759260434192E-2</v>
      </c>
      <c r="N135" s="7">
        <f t="shared" si="43"/>
        <v>43.483333335025236</v>
      </c>
      <c r="O135" s="7"/>
      <c r="P135" s="7"/>
      <c r="Q135" s="23"/>
      <c r="R135" s="23"/>
      <c r="S135" s="32">
        <f t="shared" si="44"/>
        <v>1</v>
      </c>
      <c r="T135" s="47" t="str">
        <f t="shared" si="29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18:44:54-700',mode:absolute,to:'2016-12-31 21:39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5" s="49" t="str">
        <f t="shared" si="47"/>
        <v>N</v>
      </c>
      <c r="X135" s="173">
        <f t="shared" si="48"/>
        <v>1</v>
      </c>
      <c r="Y135" s="64">
        <f t="shared" si="33"/>
        <v>23.267499999999998</v>
      </c>
      <c r="Z135" s="64">
        <f t="shared" si="34"/>
        <v>2.0899999999999998E-2</v>
      </c>
      <c r="AA135" s="64">
        <f t="shared" si="35"/>
        <v>23.246599999999997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36"/>
        <v>0222-31</v>
      </c>
      <c r="AE135" s="87" t="str">
        <f t="shared" si="37"/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AF135" s="84" t="str">
        <f t="shared" si="38"/>
        <v>"C:\Program Files (x86)\AstroGrep\AstroGrep.exe" /spath="%USERPROFILE%\AppData\Local\Temp\OnboardLogs" /stypes="app*4019*20170101*"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88" t="str">
        <f t="shared" si="40"/>
        <v>"%USERPROFILE%\Documents\GitHub\eaglep3\Utilities\RefineRTDCRunTimes.py" --tripid 222-31 --locoid 4019 --swversion DE.1.0.8.0 --startMP 204:232675 --initTime 2016-12-31T19:44:54 --startdatetime 2016-12-31T19:56:14 --delay 1 --endMP 204:209 --enddatetime 2016-12-31T20:39:43 --enforcementcount 0 &gt;&gt;C:\Users\stu\Documents\GitHub\eaglep3-reporting\EC\2016-12-31-refined-times.txt</v>
      </c>
      <c r="AI135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{"issue":{"subject":"","project_id":79,"tracker_id":40,"status_id":1,"priority_id":2,"assigned_to_id":23,"start_date":"2016-12-31","description":"","custom_fields":[{"id":1,"name":"Subdivision","value":"EC"},{"id":4,"name":"Milepost","value":"0.0209"},{"id":17,"name":"Train ID","value":"222-31"},{"id":16,"name":"Locomotive ID","value":"4019"},{"id":130,"name":"Impact","value":""},{"id":150,"name":"Time of Event (Mountain Time)","value":"20:39:43"},{"id":151,"name":"Denver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2"/>
        <v>start /low /b %USERPROFILE%\Documents\GitHub\eaglep3\Utilities\DownloadLogsFromS3.py --loco 4019 --day 2016-12-31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646</v>
      </c>
      <c r="B136" s="7">
        <v>4007</v>
      </c>
      <c r="C136" s="22" t="s">
        <v>205</v>
      </c>
      <c r="D136" s="22" t="s">
        <v>774</v>
      </c>
      <c r="E136" s="13">
        <v>42735.809976851851</v>
      </c>
      <c r="F136" s="13">
        <v>42735.813043981485</v>
      </c>
      <c r="G136" s="7">
        <v>1</v>
      </c>
      <c r="H136" s="22" t="s">
        <v>294</v>
      </c>
      <c r="I136" s="13">
        <v>42735.838692129626</v>
      </c>
      <c r="J136" s="7">
        <v>0</v>
      </c>
      <c r="K136" s="105" t="str">
        <f t="shared" si="27"/>
        <v>4007/4008</v>
      </c>
      <c r="L136" s="22" t="str">
        <f>VLOOKUP(A136,'Trips&amp;Operators'!$C$1:$G$99999,5,FALSE)</f>
        <v>SMITH MICHAEL</v>
      </c>
      <c r="M136" s="6">
        <f t="shared" si="28"/>
        <v>2.5648148141044658E-2</v>
      </c>
      <c r="N136" s="7">
        <f t="shared" si="43"/>
        <v>36.933333323104307</v>
      </c>
      <c r="O136" s="7"/>
      <c r="P136" s="7"/>
      <c r="Q136" s="23"/>
      <c r="R136" s="23"/>
      <c r="S136" s="32">
        <f t="shared" si="44"/>
        <v>1</v>
      </c>
      <c r="T136" s="47" t="str">
        <f t="shared" si="29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18:26:22-700',mode:absolute,to:'2016-12-31 21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6" s="49" t="str">
        <f t="shared" si="47"/>
        <v>N</v>
      </c>
      <c r="X136" s="173">
        <f t="shared" si="48"/>
        <v>1</v>
      </c>
      <c r="Y136" s="64">
        <f t="shared" si="33"/>
        <v>7.4399999999999994E-2</v>
      </c>
      <c r="Z136" s="64">
        <f t="shared" si="34"/>
        <v>23.330100000000002</v>
      </c>
      <c r="AA136" s="64">
        <f t="shared" si="35"/>
        <v>23.255700000000001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36"/>
        <v>0223-31</v>
      </c>
      <c r="AE136" s="87" t="str">
        <f t="shared" si="37"/>
        <v>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 &amp; 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</v>
      </c>
      <c r="AF136" s="84" t="str">
        <f t="shared" si="38"/>
        <v>"C:\Program Files (x86)\AstroGrep\AstroGrep.exe" /spath="%USERPROFILE%\AppData\Local\Temp\OnboardLogs" /stypes="app*4007*20170101*"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88" t="str">
        <f t="shared" si="40"/>
        <v>"%USERPROFILE%\Documents\GitHub\eaglep3\Utilities\RefineRTDCRunTimes.py" --tripid 223-31 --locoid 4007 --swversion DE.1.0.8.0 --startMP 204:744 --initTime 2016-12-31T19:26:22 --startdatetime 2016-12-31T19:30:47 --delay 1 --endMP 204:233301 --enddatetime 2016-12-31T20:07:43 --enforcementcount 0 &gt;&gt;C:\Users\stu\Documents\GitHub\eaglep3-reporting\EC\2016-12-31-refined-times.txt</v>
      </c>
      <c r="AI136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{"issue":{"subject":"","project_id":79,"tracker_id":40,"status_id":1,"priority_id":2,"assigned_to_id":23,"start_date":"2016-12-31","description":"","custom_fields":[{"id":1,"name":"Subdivision","value":"EC"},{"id":4,"name":"Milepost","value":"23.3301"},{"id":17,"name":"Train ID","value":"223-31"},{"id":16,"name":"Locomotive ID","value":"4007"},{"id":130,"name":"Impact","value":""},{"id":150,"name":"Time of Event (Mountain Time)","value":"20:07:43"},{"id":151,"name":"Denver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2"/>
        <v>start /low /b %USERPROFILE%\Documents\GitHub\eaglep3\Utilities\DownloadLogsFromS3.py --loco 4007 --day 2016-12-31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652</v>
      </c>
      <c r="B137" s="7">
        <v>4043</v>
      </c>
      <c r="C137" s="22" t="s">
        <v>205</v>
      </c>
      <c r="D137" s="22" t="s">
        <v>775</v>
      </c>
      <c r="E137" s="13">
        <v>42735.844710648147</v>
      </c>
      <c r="F137" s="13">
        <v>42735.851701388892</v>
      </c>
      <c r="G137" s="7">
        <v>5</v>
      </c>
      <c r="H137" s="22" t="s">
        <v>191</v>
      </c>
      <c r="I137" s="13">
        <v>42735.880162037036</v>
      </c>
      <c r="J137" s="7">
        <v>0</v>
      </c>
      <c r="K137" s="105" t="str">
        <f t="shared" si="27"/>
        <v>4043/4044</v>
      </c>
      <c r="L137" s="22" t="str">
        <f>VLOOKUP(A137,'Trips&amp;Operators'!$C$1:$G$99999,5,FALSE)</f>
        <v>SMITH MICHAEL</v>
      </c>
      <c r="M137" s="6">
        <f t="shared" si="28"/>
        <v>2.8460648143664002E-2</v>
      </c>
      <c r="N137" s="7">
        <f t="shared" ref="N137:N168" si="49">24*60*SUM($M137:$M137)</f>
        <v>40.983333326876163</v>
      </c>
      <c r="O137" s="7"/>
      <c r="P137" s="7"/>
      <c r="Q137" s="23"/>
      <c r="R137" s="23"/>
      <c r="S137" s="32">
        <f t="shared" ref="S137:S168" si="50">SUM(U137:U137)/IF(AG137="EC",12,1)</f>
        <v>1</v>
      </c>
      <c r="T137" s="47" t="str">
        <f t="shared" si="29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19:16:23-700',mode:absolute,to:'2016-12-31 22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7" s="49" t="str">
        <f t="shared" si="47"/>
        <v>N</v>
      </c>
      <c r="X137" s="173">
        <f t="shared" si="48"/>
        <v>1</v>
      </c>
      <c r="Y137" s="64">
        <f t="shared" si="33"/>
        <v>23.2652</v>
      </c>
      <c r="Z137" s="64">
        <f t="shared" si="34"/>
        <v>1.49E-2</v>
      </c>
      <c r="AA137" s="64">
        <f t="shared" si="35"/>
        <v>23.250299999999999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36"/>
        <v>0224-31</v>
      </c>
      <c r="AE137" s="87" t="str">
        <f t="shared" si="37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137" s="84" t="str">
        <f t="shared" si="38"/>
        <v>"C:\Program Files (x86)\AstroGrep\AstroGrep.exe" /spath="%USERPROFILE%\AppData\Local\Temp\OnboardLogs" /stypes="app*4043*20170101*" /stext=" 04:.+((SYSTEM_STATE.+slice.+state.+changed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88" t="str">
        <f t="shared" si="40"/>
        <v>"%USERPROFILE%\Documents\GitHub\eaglep3\Utilities\RefineRTDCRunTimes.py" --tripid 224-31 --locoid 4043 --swversion DE.1.0.8.0 --startMP 204:232652 --initTime 2016-12-31T20:16:23 --startdatetime 2016-12-31T20:26:27 --delay 5 --endMP 204:149 --enddatetime 2016-12-31T21:07:26 --enforcementcount 0 &gt;&gt;C:\Users\stu\Documents\GitHub\eaglep3-reporting\EC\2016-12-31-refined-times.txt</v>
      </c>
      <c r="AI137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{"issue":{"subject":"","project_id":79,"tracker_id":40,"status_id":1,"priority_id":2,"assigned_to_id":23,"start_date":"2016-12-31","description":"","custom_fields":[{"id":1,"name":"Subdivision","value":"EC"},{"id":4,"name":"Milepost","value":"0.0149"},{"id":17,"name":"Train ID","value":"224-31"},{"id":16,"name":"Locomotive ID","value":"4043"},{"id":130,"name":"Impact","value":""},{"id":150,"name":"Time of Event (Mountain Time)","value":"21:07:26"},{"id":151,"name":"Denver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2"/>
        <v>start /low /b %USERPROFILE%\Documents\GitHub\eaglep3\Utilities\DownloadLogsFromS3.py --loco 4043 --day 2016-12-31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649</v>
      </c>
      <c r="B138" s="7">
        <v>4016</v>
      </c>
      <c r="C138" s="22" t="s">
        <v>205</v>
      </c>
      <c r="D138" s="22" t="s">
        <v>776</v>
      </c>
      <c r="E138" s="13">
        <v>42735.831307870372</v>
      </c>
      <c r="F138" s="13">
        <v>42735.83357638889</v>
      </c>
      <c r="G138" s="7">
        <v>1</v>
      </c>
      <c r="H138" s="22" t="s">
        <v>296</v>
      </c>
      <c r="I138" s="13">
        <v>42735.859120370369</v>
      </c>
      <c r="J138" s="7">
        <v>0</v>
      </c>
      <c r="K138" s="105" t="str">
        <f t="shared" si="27"/>
        <v>4015/4016</v>
      </c>
      <c r="L138" s="22" t="str">
        <f>VLOOKUP(A138,'Trips&amp;Operators'!$C$1:$G$99999,5,FALSE)</f>
        <v>STAMBAUGH JAMES</v>
      </c>
      <c r="M138" s="6">
        <f t="shared" si="28"/>
        <v>2.5543981479131617E-2</v>
      </c>
      <c r="N138" s="7">
        <f t="shared" si="49"/>
        <v>36.783333329949528</v>
      </c>
      <c r="O138" s="7"/>
      <c r="P138" s="7"/>
      <c r="Q138" s="23"/>
      <c r="R138" s="23"/>
      <c r="S138" s="32">
        <f t="shared" si="50"/>
        <v>1</v>
      </c>
      <c r="T138" s="47" t="str">
        <f t="shared" si="29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18:57:05-700',mode:absolute,to:'2016-12-31 21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49" t="str">
        <f t="shared" si="47"/>
        <v>N</v>
      </c>
      <c r="X138" s="173">
        <f t="shared" si="48"/>
        <v>1</v>
      </c>
      <c r="Y138" s="64">
        <f t="shared" si="33"/>
        <v>7.3400000000000007E-2</v>
      </c>
      <c r="Z138" s="64">
        <f t="shared" si="34"/>
        <v>23.331199999999999</v>
      </c>
      <c r="AA138" s="64">
        <f t="shared" si="35"/>
        <v>23.2578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36"/>
        <v>0225-31</v>
      </c>
      <c r="AE138" s="87" t="str">
        <f t="shared" si="37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38" s="84" t="str">
        <f t="shared" si="38"/>
        <v>"C:\Program Files (x86)\AstroGrep\AstroGrep.exe" /spath="%USERPROFILE%\AppData\Local\Temp\OnboardLogs" /stypes="app*4016*20170101*" /stext=" 03:.+((SYSTEM_STATE.+slice.+state.+changed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88" t="str">
        <f t="shared" si="40"/>
        <v>"%USERPROFILE%\Documents\GitHub\eaglep3\Utilities\RefineRTDCRunTimes.py" --tripid 225-31 --locoid 4016 --swversion DE.1.0.8.0 --startMP 204:734 --initTime 2016-12-31T19:57:05 --startdatetime 2016-12-31T20:00:21 --delay 1 --endMP 204:233312 --enddatetime 2016-12-31T20:37:08 --enforcementcount 0 &gt;&gt;C:\Users\stu\Documents\GitHub\eaglep3-reporting\EC\2016-12-31-refined-times.txt</v>
      </c>
      <c r="AI138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{"issue":{"subject":"","project_id":79,"tracker_id":40,"status_id":1,"priority_id":2,"assigned_to_id":23,"start_date":"2016-12-31","description":"","custom_fields":[{"id":1,"name":"Subdivision","value":"EC"},{"id":4,"name":"Milepost","value":"23.3312"},{"id":17,"name":"Train ID","value":"225-31"},{"id":16,"name":"Locomotive ID","value":"4016"},{"id":130,"name":"Impact","value":""},{"id":150,"name":"Time of Event (Mountain Time)","value":"20:37:08"},{"id":151,"name":"Denver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2"/>
        <v>start /low /b %USERPROFILE%\Documents\GitHub\eaglep3\Utilities\DownloadLogsFromS3.py --loco 4016 --day 2016-12-31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458</v>
      </c>
      <c r="B139" s="7">
        <v>4028</v>
      </c>
      <c r="C139" s="22" t="s">
        <v>205</v>
      </c>
      <c r="D139" s="22" t="s">
        <v>777</v>
      </c>
      <c r="E139" s="13">
        <v>42735.86990740741</v>
      </c>
      <c r="F139" s="13">
        <v>42735.872557870367</v>
      </c>
      <c r="G139" s="7">
        <v>1</v>
      </c>
      <c r="H139" s="22" t="s">
        <v>778</v>
      </c>
      <c r="I139" s="13">
        <v>42735.900023148148</v>
      </c>
      <c r="J139" s="7">
        <v>0</v>
      </c>
      <c r="K139" s="105" t="str">
        <f t="shared" si="27"/>
        <v>4027/4028</v>
      </c>
      <c r="L139" s="22" t="str">
        <f>VLOOKUP(A139,'Trips&amp;Operators'!$C$1:$G$99999,5,FALSE)</f>
        <v>STAMBAUGH JAMES</v>
      </c>
      <c r="M139" s="6">
        <f t="shared" si="28"/>
        <v>2.7465277780720498E-2</v>
      </c>
      <c r="N139" s="7">
        <f t="shared" si="49"/>
        <v>39.550000004237518</v>
      </c>
      <c r="O139" s="7"/>
      <c r="P139" s="7"/>
      <c r="Q139" s="23"/>
      <c r="R139" s="23"/>
      <c r="S139" s="32">
        <f t="shared" si="50"/>
        <v>1</v>
      </c>
      <c r="T139" s="47" t="str">
        <f t="shared" si="29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19:52:40-700',mode:absolute,to:'2016-12-31 22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9" s="49" t="str">
        <f t="shared" si="47"/>
        <v>N</v>
      </c>
      <c r="X139" s="173">
        <f t="shared" si="48"/>
        <v>1</v>
      </c>
      <c r="Y139" s="64">
        <f t="shared" si="33"/>
        <v>23.266400000000001</v>
      </c>
      <c r="Z139" s="64">
        <f t="shared" si="34"/>
        <v>1.2999999999999999E-2</v>
      </c>
      <c r="AA139" s="64">
        <f t="shared" si="35"/>
        <v>23.253399999999999</v>
      </c>
      <c r="AB139" s="61" t="str">
        <f>VLOOKUP(A139,Enforcements!$C$7:$K$19,8,0)</f>
        <v>Bulletin (2)</v>
      </c>
      <c r="AC139" s="57" t="str">
        <f>VLOOKUP(A139,Enforcements!$C$7:$E$19,3,0)</f>
        <v>TEMPORARY SPEED RESTRICTION</v>
      </c>
      <c r="AD139" s="58" t="str">
        <f t="shared" si="36"/>
        <v>0226-31</v>
      </c>
      <c r="AE139" s="87" t="str">
        <f t="shared" si="37"/>
        <v>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 &amp; 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</v>
      </c>
      <c r="AF139" s="84" t="str">
        <f t="shared" si="38"/>
        <v>"C:\Program Files (x86)\AstroGrep\AstroGrep.exe" /spath="%USERPROFILE%\AppData\Local\Temp\OnboardLogs" /stypes="app*4028*20170101*"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88" t="str">
        <f t="shared" si="40"/>
        <v>"%USERPROFILE%\Documents\GitHub\eaglep3\Utilities\RefineRTDCRunTimes.py" --tripid 226-31 --locoid 4028 --swversion DE.1.0.8.0 --startMP 204:232664 --initTime 2016-12-31T20:52:40 --startdatetime 2016-12-31T20:56:29 --delay 1 --endMP 204:130 --enddatetime 2016-12-31T21:36:02 --enforcementcount 0 &gt;&gt;C:\Users\stu\Documents\GitHub\eaglep3-reporting\EC\2016-12-31-refined-times.txt</v>
      </c>
      <c r="AI139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{"issue":{"subject":"","project_id":79,"tracker_id":40,"status_id":1,"priority_id":2,"assigned_to_id":23,"start_date":"2016-12-31","description":"","custom_fields":[{"id":1,"name":"Subdivision","value":"EC"},{"id":4,"name":"Milepost","value":"0.013"},{"id":17,"name":"Train ID","value":"226-31"},{"id":16,"name":"Locomotive ID","value":"4028"},{"id":130,"name":"Impact","value":""},{"id":150,"name":"Time of Event (Mountain Time)","value":"21:36:02"},{"id":151,"name":"Denver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2"/>
        <v>start /low /b %USERPROFILE%\Documents\GitHub\eaglep3\Utilities\DownloadLogsFromS3.py --loco 4028 --day 2016-12-31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651</v>
      </c>
      <c r="B140" s="7">
        <v>4031</v>
      </c>
      <c r="C140" s="22" t="s">
        <v>205</v>
      </c>
      <c r="D140" s="22" t="s">
        <v>779</v>
      </c>
      <c r="E140" s="13">
        <v>42735.845358796294</v>
      </c>
      <c r="F140" s="13">
        <v>42735.854363425926</v>
      </c>
      <c r="G140" s="7">
        <v>2</v>
      </c>
      <c r="H140" s="22" t="s">
        <v>417</v>
      </c>
      <c r="I140" s="13">
        <v>42735.880428240744</v>
      </c>
      <c r="J140" s="7">
        <v>0</v>
      </c>
      <c r="K140" s="105" t="str">
        <f t="shared" si="27"/>
        <v>4031/4032</v>
      </c>
      <c r="L140" s="22" t="str">
        <f>VLOOKUP(A140,'Trips&amp;Operators'!$C$1:$G$99999,5,FALSE)</f>
        <v>HILLS DUSTIN</v>
      </c>
      <c r="M140" s="6">
        <f t="shared" si="28"/>
        <v>2.6064814817800652E-2</v>
      </c>
      <c r="N140" s="7">
        <f t="shared" si="49"/>
        <v>37.533333337632939</v>
      </c>
      <c r="O140" s="7"/>
      <c r="P140" s="7"/>
      <c r="Q140" s="23"/>
      <c r="R140" s="23"/>
      <c r="S140" s="32">
        <f t="shared" si="50"/>
        <v>1</v>
      </c>
      <c r="T140" s="47" t="str">
        <f t="shared" si="29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https://search-rtdc-monitor-bjffxe2xuh6vdkpspy63sjmuny.us-east-1.es.amazonaws.com/_plugin/kibana/#/discover/Steve-Slow-Train-Analysis-(2080s-and-2083s)?_g=(refreshInterval:(display:Off,section:0,value:0),time:(from:'2016-12-31 19:17:19-700',mode:absolute,to:'2016-12-31 22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0" s="49" t="str">
        <f t="shared" si="47"/>
        <v>N</v>
      </c>
      <c r="X140" s="173">
        <f t="shared" si="48"/>
        <v>1</v>
      </c>
      <c r="Y140" s="64">
        <f t="shared" si="33"/>
        <v>7.0400000000000004E-2</v>
      </c>
      <c r="Z140" s="64">
        <f t="shared" si="34"/>
        <v>23.338699999999999</v>
      </c>
      <c r="AA140" s="64">
        <f t="shared" si="35"/>
        <v>23.2683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si="36"/>
        <v>0227-31</v>
      </c>
      <c r="AE140" s="87" t="str">
        <f t="shared" si="37"/>
        <v>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 &amp; aws s3 cp s3://rtdc.mdm.uploadarchive.raw/RTDC4031/ "%USERPROFILE%\AppData\Local\Temp\OnboardLogs"\RTDC4031\2017-01-01 --exclude "*" --recursive --include "*20170101*" &amp; "%USERPROFILE%\Documents\GitHub\mrs-test-scripts\Headless Mode &amp; Sideloading\WalkAndUnGZ.bat" "%USERPROFILE%\AppData\Local\Temp\OnboardLogs"\RTDC4031\2017-01-01</v>
      </c>
      <c r="AF140" s="84" t="str">
        <f t="shared" si="38"/>
        <v>"C:\Program Files (x86)\AstroGrep\AstroGrep.exe" /spath="%USERPROFILE%\AppData\Local\Temp\OnboardLogs" /stypes="app*4031*20170101*"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88" t="str">
        <f t="shared" si="40"/>
        <v>"%USERPROFILE%\Documents\GitHub\eaglep3\Utilities\RefineRTDCRunTimes.py" --tripid 227-31 --locoid 4031 --swversion DE.1.0.8.0 --startMP 204:704 --initTime 2016-12-31T20:17:19 --startdatetime 2016-12-31T20:30:17 --delay 2 --endMP 204:233387 --enddatetime 2016-12-31T21:07:49 --enforcementcount 0 &gt;&gt;C:\Users\stu\Documents\GitHub\eaglep3-reporting\EC\2016-12-31-refined-times.txt</v>
      </c>
      <c r="AI140" s="115" t="str">
        <f t="shared" si="41"/>
        <v>echo {"issue":{"subject":"","project_id":79,"tracker_id":40,"status_id":1,"priority_id":2,"assigned_to_id":23,"start_date":"2016-12-31","description":"","custom_fields":[{"id":1,"name":"Subdivision","value":"EC"},{"id":4,"name":"Milepost","value":"23.3387"},{"id":17,"name":"Train ID","value":"227-31"},{"id":16,"name":"Locomotive ID","value":"4031"},{"id":130,"name":"Impact","value":""},{"id":150,"name":"Time of Event (Mountain Time)","value":"21:07:49"},{"id":151,"name":"Denver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2"/>
        <v>start /low /b %USERPROFILE%\Documents\GitHub\eaglep3\Utilities\DownloadLogsFromS3.py --loco 4031 --day 2016-12-31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459</v>
      </c>
      <c r="B141" s="7">
        <v>4045</v>
      </c>
      <c r="C141" s="22" t="s">
        <v>205</v>
      </c>
      <c r="D141" s="22" t="s">
        <v>780</v>
      </c>
      <c r="E141" s="13">
        <v>42735.882615740738</v>
      </c>
      <c r="F141" s="13">
        <v>42735.893611111111</v>
      </c>
      <c r="G141" s="7">
        <v>1</v>
      </c>
      <c r="H141" s="22" t="s">
        <v>781</v>
      </c>
      <c r="I141" s="13">
        <v>42735.922615740739</v>
      </c>
      <c r="J141" s="7">
        <v>0</v>
      </c>
      <c r="K141" s="105" t="str">
        <f t="shared" ref="K141:K204" si="51">IF(ISEVEN(B141),(B141-1)&amp;"/"&amp;B141,B141&amp;"/"&amp;(B141+1))</f>
        <v>4045/4046</v>
      </c>
      <c r="L141" s="22" t="str">
        <f>VLOOKUP(A141,'Trips&amp;Operators'!$C$1:$G$99999,5,FALSE)</f>
        <v>HILLS DUSTIN</v>
      </c>
      <c r="M141" s="6">
        <f t="shared" ref="M141:M204" si="52">I141-F141</f>
        <v>2.9004629628616385E-2</v>
      </c>
      <c r="N141" s="7">
        <f t="shared" si="49"/>
        <v>41.766666665207595</v>
      </c>
      <c r="O141" s="7"/>
      <c r="P141" s="7"/>
      <c r="Q141" s="23"/>
      <c r="R141" s="23"/>
      <c r="S141" s="32">
        <f t="shared" si="50"/>
        <v>1</v>
      </c>
      <c r="T141" s="47" t="str">
        <f t="shared" ref="T141:T204" si="53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https://search-rtdc-monitor-bjffxe2xuh6vdkpspy63sjmuny.us-east-1.es.amazonaws.com/_plugin/kibana/#/discover/Steve-Slow-Train-Analysis-(2080s-and-2083s)?_g=(refreshInterval:(display:Off,section:0,value:0),time:(from:'2016-12-31 20:10:58-700',mode:absolute,to:'2016-12-31 23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49" t="str">
        <f t="shared" si="47"/>
        <v>N</v>
      </c>
      <c r="X141" s="173">
        <f t="shared" si="48"/>
        <v>1</v>
      </c>
      <c r="Y141" s="64">
        <f t="shared" ref="Y141:Y204" si="55">RIGHT(D141,LEN(D141)-4)/10000</f>
        <v>23.2744</v>
      </c>
      <c r="Z141" s="64">
        <f t="shared" ref="Z141:Z204" si="56">RIGHT(H141,LEN(H141)-4)/10000</f>
        <v>1.0699999999999999E-2</v>
      </c>
      <c r="AA141" s="64">
        <f t="shared" ref="AA141:AA204" si="57">ABS(Z141-Y141)</f>
        <v>23.2637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ref="AD141:AD204" si="58">IF(LEN(A141)=6,"0"&amp;A141,A141)</f>
        <v>0228-31</v>
      </c>
      <c r="AE141" s="87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41" s="84" t="str">
        <f t="shared" ref="AF141:AF204" si="6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/stypes="app*4045*20170101*" /stext=" 05:.+((SYSTEM_STATE.+slice.+state.+changed )|(ment ac)|(multiple cpu faults)|(system.+state.+changed )|(\[timeout)|(PRM\|1\|D)|(kpr)|(kdp)|(\|lc)|(penalty))"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88" t="str">
        <f t="shared" ref="AH141:AH203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228-31 --locoid 4045 --swversion DE.1.0.8.0 --startMP 204:232744 --initTime 2016-12-31T21:10:58 --startdatetime 2016-12-31T21:26:48 --delay 1 --endMP 204:107 --enddatetime 2016-12-31T22:08:34 --enforcementcount 0 &gt;&gt;C:\Users\stu\Documents\GitHub\eaglep3-reporting\EC\2016-12-31-refined-times.txt</v>
      </c>
      <c r="AI141" s="115" t="str">
        <f t="shared" ref="AI141:AI203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{"issue":{"subject":"","project_id":79,"tracker_id":40,"status_id":1,"priority_id":2,"assigned_to_id":23,"start_date":"2016-12-31","description":"","custom_fields":[{"id":1,"name":"Subdivision","value":"EC"},{"id":4,"name":"Milepost","value":"0.0107"},{"id":17,"name":"Train ID","value":"228-31"},{"id":16,"name":"Locomotive ID","value":"4045"},{"id":130,"name":"Impact","value":""},{"id":150,"name":"Time of Event (Mountain Time)","value":"22:08:34"},{"id":151,"name":"Denver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3" si="64">"start /low /b "&amp;dls3logs&amp;" --loco "&amp;B141&amp;" --day "&amp;TEXT(F141,"YYYY-MM-DD")</f>
        <v>start /low /b %USERPROFILE%\Documents\GitHub\eaglep3\Utilities\DownloadLogsFromS3.py --loco 4045 --day 2016-12-31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457</v>
      </c>
      <c r="B142" s="7">
        <v>4018</v>
      </c>
      <c r="C142" s="22" t="s">
        <v>205</v>
      </c>
      <c r="D142" s="22" t="s">
        <v>782</v>
      </c>
      <c r="E142" s="13">
        <v>42735.868333333332</v>
      </c>
      <c r="F142" s="13">
        <v>42735.875173611108</v>
      </c>
      <c r="G142" s="7">
        <v>1</v>
      </c>
      <c r="H142" s="22" t="s">
        <v>418</v>
      </c>
      <c r="I142" s="13">
        <v>42735.903495370374</v>
      </c>
      <c r="J142" s="7">
        <v>0</v>
      </c>
      <c r="K142" s="105" t="str">
        <f t="shared" si="51"/>
        <v>4017/4018</v>
      </c>
      <c r="L142" s="22" t="str">
        <f>VLOOKUP(A142,'Trips&amp;Operators'!$C$1:$G$99999,5,FALSE)</f>
        <v>BROWN JACOB</v>
      </c>
      <c r="M142" s="6">
        <f t="shared" si="52"/>
        <v>2.8321759265963919E-2</v>
      </c>
      <c r="N142" s="7">
        <f t="shared" si="49"/>
        <v>40.783333342988044</v>
      </c>
      <c r="O142" s="7"/>
      <c r="P142" s="7"/>
      <c r="Q142" s="23"/>
      <c r="R142" s="23"/>
      <c r="S142" s="32">
        <f t="shared" si="50"/>
        <v>1</v>
      </c>
      <c r="T142" s="47" t="str">
        <f t="shared" si="53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19:50:24-700',mode:absolute,to:'2016-12-31 22:41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2" s="49" t="str">
        <f t="shared" si="47"/>
        <v>N</v>
      </c>
      <c r="X142" s="173">
        <f t="shared" si="48"/>
        <v>1</v>
      </c>
      <c r="Y142" s="64">
        <f t="shared" si="55"/>
        <v>8.2100000000000006E-2</v>
      </c>
      <c r="Z142" s="64">
        <f t="shared" si="56"/>
        <v>23.330200000000001</v>
      </c>
      <c r="AA142" s="64">
        <f t="shared" si="57"/>
        <v>23.248100000000001</v>
      </c>
      <c r="AB142" s="61" t="str">
        <f>VLOOKUP(A142,Enforcements!$C$7:$K$19,8,0)</f>
        <v>Bulletin (2)</v>
      </c>
      <c r="AC142" s="57" t="str">
        <f>VLOOKUP(A142,Enforcements!$C$7:$E$19,3,0)</f>
        <v>GRADE CROSSING</v>
      </c>
      <c r="AD142" s="58" t="str">
        <f t="shared" si="58"/>
        <v>0229-31</v>
      </c>
      <c r="AE142" s="87" t="str">
        <f t="shared" si="59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42" s="84" t="str">
        <f t="shared" si="60"/>
        <v>"C:\Program Files (x86)\AstroGrep\AstroGrep.exe" /spath="%USERPROFILE%\AppData\Local\Temp\OnboardLogs" /stypes="app*4018*20170101*" /stext=" 04:.+((SYSTEM_STATE.+slice.+state.+changed )|(ment ac)|(multiple cpu faults)|(system.+state.+changed )|(\[timeout)|(PRM\|1\|D)|(kpr)|(kdp)|(\|lc)|(penalty))" /e /r /s</v>
      </c>
      <c r="AG142" s="1" t="str">
        <f t="shared" si="61"/>
        <v>EC</v>
      </c>
      <c r="AH142" s="88" t="str">
        <f t="shared" si="62"/>
        <v>"%USERPROFILE%\Documents\GitHub\eaglep3\Utilities\RefineRTDCRunTimes.py" --tripid 229-31 --locoid 4018 --swversion DE.1.0.8.0 --startMP 204:821 --initTime 2016-12-31T20:50:24 --startdatetime 2016-12-31T21:00:15 --delay 1 --endMP 204:233302 --enddatetime 2016-12-31T21:41:02 --enforcementcount 0 &gt;&gt;C:\Users\stu\Documents\GitHub\eaglep3-reporting\EC\2016-12-31-refined-times.txt</v>
      </c>
      <c r="AI142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{"issue":{"subject":"","project_id":79,"tracker_id":40,"status_id":1,"priority_id":2,"assigned_to_id":23,"start_date":"2016-12-31","description":"","custom_fields":[{"id":1,"name":"Subdivision","value":"EC"},{"id":4,"name":"Milepost","value":"23.3302"},{"id":17,"name":"Train ID","value":"229-31"},{"id":16,"name":"Locomotive ID","value":"4018"},{"id":130,"name":"Impact","value":""},{"id":150,"name":"Time of Event (Mountain Time)","value":"21:41:02"},{"id":151,"name":"Denver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4"/>
        <v>start /low /b %USERPROFILE%\Documents\GitHub\eaglep3\Utilities\DownloadLogsFromS3.py --loco 4018 --day 2016-12-31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460</v>
      </c>
      <c r="B143" s="7">
        <v>4019</v>
      </c>
      <c r="C143" s="22" t="s">
        <v>205</v>
      </c>
      <c r="D143" s="22" t="s">
        <v>783</v>
      </c>
      <c r="E143" s="13">
        <v>42735.910312499997</v>
      </c>
      <c r="F143" s="13">
        <v>42735.914074074077</v>
      </c>
      <c r="G143" s="7">
        <v>1</v>
      </c>
      <c r="H143" s="22" t="s">
        <v>211</v>
      </c>
      <c r="I143" s="13">
        <v>42735.945370370369</v>
      </c>
      <c r="J143" s="7">
        <v>0</v>
      </c>
      <c r="K143" s="105" t="str">
        <f t="shared" si="51"/>
        <v>4019/4020</v>
      </c>
      <c r="L143" s="22" t="str">
        <f>VLOOKUP(A143,'Trips&amp;Operators'!$C$1:$G$99999,5,FALSE)</f>
        <v>BROWN JACOB</v>
      </c>
      <c r="M143" s="6">
        <f t="shared" si="52"/>
        <v>3.1296296292566694E-2</v>
      </c>
      <c r="N143" s="7">
        <f t="shared" si="49"/>
        <v>45.06666666129604</v>
      </c>
      <c r="O143" s="7"/>
      <c r="P143" s="7"/>
      <c r="Q143" s="23"/>
      <c r="R143" s="23"/>
      <c r="S143" s="32">
        <f t="shared" si="50"/>
        <v>1</v>
      </c>
      <c r="T143" s="47" t="str">
        <f t="shared" si="53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20:50:51-700',mode:absolute,to:'2016-12-31 23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3" s="49" t="str">
        <f t="shared" si="47"/>
        <v>N</v>
      </c>
      <c r="X143" s="173">
        <f t="shared" si="48"/>
        <v>1</v>
      </c>
      <c r="Y143" s="64">
        <f t="shared" si="55"/>
        <v>23.266999999999999</v>
      </c>
      <c r="Z143" s="64">
        <f t="shared" si="56"/>
        <v>1.4999999999999999E-2</v>
      </c>
      <c r="AA143" s="64">
        <f t="shared" si="57"/>
        <v>23.251999999999999</v>
      </c>
      <c r="AB143" s="61" t="str">
        <f>VLOOKUP(A143,Enforcements!$C$7:$K$19,8,0)</f>
        <v>Speed (6)</v>
      </c>
      <c r="AC143" s="57" t="str">
        <f>VLOOKUP(A143,Enforcements!$C$7:$E$19,3,0)</f>
        <v>PERMANENT SPEED RESTRICTION</v>
      </c>
      <c r="AD143" s="58" t="str">
        <f t="shared" si="58"/>
        <v>0230-31</v>
      </c>
      <c r="AE143" s="87" t="str">
        <f t="shared" si="59"/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AF143" s="84" t="str">
        <f t="shared" si="60"/>
        <v>"C:\Program Files (x86)\AstroGrep\AstroGrep.exe" /spath="%USERPROFILE%\AppData\Local\Temp\OnboardLogs" /stypes="app*4019*20170101*" /stext=" 05:.+((SYSTEM_STATE.+slice.+state.+changed )|(ment ac)|(multiple cpu faults)|(system.+state.+changed )|(\[timeout)|(PRM\|1\|D)|(kpr)|(kdp)|(\|lc)|(penalty))" /e /r /s</v>
      </c>
      <c r="AG143" s="1" t="str">
        <f t="shared" si="61"/>
        <v>EC</v>
      </c>
      <c r="AH143" s="88" t="str">
        <f t="shared" si="62"/>
        <v>"%USERPROFILE%\Documents\GitHub\eaglep3\Utilities\RefineRTDCRunTimes.py" --tripid 230-31 --locoid 4019 --swversion DE.1.0.8.0 --startMP 204:232670 --initTime 2016-12-31T21:50:51 --startdatetime 2016-12-31T21:56:16 --delay 1 --endMP 204:150 --enddatetime 2016-12-31T22:41:20 --enforcementcount 0 &gt;&gt;C:\Users\stu\Documents\GitHub\eaglep3-reporting\EC\2016-12-31-refined-times.txt</v>
      </c>
      <c r="AI143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{"issue":{"subject":"","project_id":79,"tracker_id":40,"status_id":1,"priority_id":2,"assigned_to_id":23,"start_date":"2016-12-31","description":"","custom_fields":[{"id":1,"name":"Subdivision","value":"EC"},{"id":4,"name":"Milepost","value":"0.015"},{"id":17,"name":"Train ID","value":"230-31"},{"id":16,"name":"Locomotive ID","value":"4019"},{"id":130,"name":"Impact","value":""},{"id":150,"name":"Time of Event (Mountain Time)","value":"22:41:20"},{"id":151,"name":"Denver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64"/>
        <v>start /low /b %USERPROFILE%\Documents\GitHub\eaglep3\Utilities\DownloadLogsFromS3.py --loco 4019 --day 2016-12-31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655</v>
      </c>
      <c r="B144" s="7">
        <v>4007</v>
      </c>
      <c r="C144" s="22" t="s">
        <v>205</v>
      </c>
      <c r="D144" s="22" t="s">
        <v>784</v>
      </c>
      <c r="E144" s="13">
        <v>42735.883518518516</v>
      </c>
      <c r="F144" s="13">
        <v>42735.896273148152</v>
      </c>
      <c r="G144" s="7">
        <v>2</v>
      </c>
      <c r="H144" s="22" t="s">
        <v>785</v>
      </c>
      <c r="I144" s="13">
        <v>42735.922835648147</v>
      </c>
      <c r="J144" s="7">
        <v>0</v>
      </c>
      <c r="K144" s="105" t="str">
        <f t="shared" si="51"/>
        <v>4007/4008</v>
      </c>
      <c r="L144" s="22" t="str">
        <f>VLOOKUP(A144,'Trips&amp;Operators'!$C$1:$G$99999,5,FALSE)</f>
        <v>SMITH MICHAEL</v>
      </c>
      <c r="M144" s="6">
        <f t="shared" si="52"/>
        <v>2.6562499995634425E-2</v>
      </c>
      <c r="N144" s="7">
        <f t="shared" si="49"/>
        <v>38.249999993713573</v>
      </c>
      <c r="O144" s="7"/>
      <c r="P144" s="7"/>
      <c r="Q144" s="23"/>
      <c r="R144" s="23"/>
      <c r="S144" s="32">
        <f t="shared" si="50"/>
        <v>1</v>
      </c>
      <c r="T144" s="47" t="str">
        <f t="shared" si="53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20:12:16-700',mode:absolute,to:'2016-12-31 23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4" s="49" t="str">
        <f t="shared" si="47"/>
        <v>N</v>
      </c>
      <c r="X144" s="173">
        <f t="shared" si="48"/>
        <v>1</v>
      </c>
      <c r="Y144" s="64">
        <f t="shared" si="55"/>
        <v>7.6300000000000007E-2</v>
      </c>
      <c r="Z144" s="64">
        <f t="shared" si="56"/>
        <v>23.333400000000001</v>
      </c>
      <c r="AA144" s="64">
        <f t="shared" si="57"/>
        <v>23.257100000000001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si="58"/>
        <v>0231-31</v>
      </c>
      <c r="AE144" s="87" t="str">
        <f t="shared" si="59"/>
        <v>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 &amp; 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</v>
      </c>
      <c r="AF144" s="84" t="str">
        <f t="shared" si="60"/>
        <v>"C:\Program Files (x86)\AstroGrep\AstroGrep.exe" /spath="%USERPROFILE%\AppData\Local\Temp\OnboardLogs" /stypes="app*4007*20170101*" /stext=" 05:.+((SYSTEM_STATE.+slice.+state.+changed )|(ment ac)|(multiple cpu faults)|(system.+state.+changed )|(\[timeout)|(PRM\|1\|D)|(kpr)|(kdp)|(\|lc)|(penalty))" /e /r /s</v>
      </c>
      <c r="AG144" s="1" t="str">
        <f t="shared" si="61"/>
        <v>EC</v>
      </c>
      <c r="AH144" s="88" t="str">
        <f t="shared" si="62"/>
        <v>"%USERPROFILE%\Documents\GitHub\eaglep3\Utilities\RefineRTDCRunTimes.py" --tripid 231-31 --locoid 4007 --swversion DE.1.0.8.0 --startMP 204:763 --initTime 2016-12-31T21:12:16 --startdatetime 2016-12-31T21:30:38 --delay 2 --endMP 204:233334 --enddatetime 2016-12-31T22:08:53 --enforcementcount 0 &gt;&gt;C:\Users\stu\Documents\GitHub\eaglep3-reporting\EC\2016-12-31-refined-times.txt</v>
      </c>
      <c r="AI144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{"issue":{"subject":"","project_id":79,"tracker_id":40,"status_id":1,"priority_id":2,"assigned_to_id":23,"start_date":"2016-12-31","description":"","custom_fields":[{"id":1,"name":"Subdivision","value":"EC"},{"id":4,"name":"Milepost","value":"23.3334"},{"id":17,"name":"Train ID","value":"231-31"},{"id":16,"name":"Locomotive ID","value":"4007"},{"id":130,"name":"Impact","value":""},{"id":150,"name":"Time of Event (Mountain Time)","value":"22:08:53"},{"id":151,"name":"Denver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4"/>
        <v>start /low /b %USERPROFILE%\Documents\GitHub\eaglep3\Utilities\DownloadLogsFromS3.py --loco 4007 --day 2016-12-31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658</v>
      </c>
      <c r="B145" s="7">
        <v>4043</v>
      </c>
      <c r="C145" s="22" t="s">
        <v>205</v>
      </c>
      <c r="D145" s="22" t="s">
        <v>775</v>
      </c>
      <c r="E145" s="13">
        <v>42735.928090277775</v>
      </c>
      <c r="F145" s="13">
        <v>42735.934988425928</v>
      </c>
      <c r="G145" s="7">
        <v>1</v>
      </c>
      <c r="H145" s="22" t="s">
        <v>254</v>
      </c>
      <c r="I145" s="13">
        <v>42735.96230324074</v>
      </c>
      <c r="J145" s="7">
        <v>0</v>
      </c>
      <c r="K145" s="105" t="str">
        <f t="shared" si="51"/>
        <v>4043/4044</v>
      </c>
      <c r="L145" s="22" t="str">
        <f>VLOOKUP(A145,'Trips&amp;Operators'!$C$1:$G$99999,5,FALSE)</f>
        <v>SMITH MICHAEL</v>
      </c>
      <c r="M145" s="6">
        <f t="shared" si="52"/>
        <v>2.7314814811688848E-2</v>
      </c>
      <c r="N145" s="7">
        <f t="shared" si="49"/>
        <v>39.333333328831941</v>
      </c>
      <c r="O145" s="7"/>
      <c r="P145" s="7"/>
      <c r="Q145" s="23"/>
      <c r="R145" s="23"/>
      <c r="S145" s="32">
        <f t="shared" si="50"/>
        <v>1</v>
      </c>
      <c r="T145" s="47" t="str">
        <f t="shared" si="53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21:16:27-700',mode:absolute,to:'2017-01-01 00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5" s="49" t="str">
        <f t="shared" si="47"/>
        <v>N</v>
      </c>
      <c r="X145" s="173">
        <f t="shared" si="48"/>
        <v>1</v>
      </c>
      <c r="Y145" s="64">
        <f t="shared" si="55"/>
        <v>23.2652</v>
      </c>
      <c r="Z145" s="64">
        <f t="shared" si="56"/>
        <v>1.3899999999999999E-2</v>
      </c>
      <c r="AA145" s="64">
        <f t="shared" si="57"/>
        <v>23.251300000000001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58"/>
        <v>0232-31</v>
      </c>
      <c r="AE145" s="87" t="str">
        <f t="shared" si="59"/>
        <v>aws s3 cp s3://rtdc.mdm.uploadarchive.raw/RTDC4043/ "%USERPROFILE%\AppData\Local\Temp\OnboardLogs"\RTDC4043\2016-12-31 --exclude "*" --recursive --include "*20161231*" &amp; "%USERPROFILE%\Documents\GitHub\mrs-test-scripts\Headless Mode &amp; Sideloading\WalkAndUnGZ.bat" "%USERPROFILE%\AppData\Local\Temp\OnboardLogs"\RTDC4043\2016-12-31 &amp; 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</v>
      </c>
      <c r="AF145" s="84" t="str">
        <f t="shared" si="60"/>
        <v>"C:\Program Files (x86)\AstroGrep\AstroGrep.exe" /spath="%USERPROFILE%\AppData\Local\Temp\OnboardLogs" /stypes="app*4043*20170101*" /stext=" 06:.+((SYSTEM_STATE.+slice.+state.+changed )|(ment ac)|(multiple cpu faults)|(system.+state.+changed )|(\[timeout)|(PRM\|1\|D)|(kpr)|(kdp)|(\|lc)|(penalty))" /e /r /s</v>
      </c>
      <c r="AG145" s="1" t="str">
        <f t="shared" si="61"/>
        <v>EC</v>
      </c>
      <c r="AH145" s="88" t="str">
        <f t="shared" si="62"/>
        <v>"%USERPROFILE%\Documents\GitHub\eaglep3\Utilities\RefineRTDCRunTimes.py" --tripid 232-31 --locoid 4043 --swversion DE.1.0.8.0 --startMP 204:232652 --initTime 2016-12-31T22:16:27 --startdatetime 2016-12-31T22:26:23 --delay 1 --endMP 204:139 --enddatetime 2016-12-31T23:05:43 --enforcementcount 0 &gt;&gt;C:\Users\stu\Documents\GitHub\eaglep3-reporting\EC\2016-12-31-refined-times.txt</v>
      </c>
      <c r="AI145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{"issue":{"subject":"","project_id":79,"tracker_id":40,"status_id":1,"priority_id":2,"assigned_to_id":23,"start_date":"2016-12-31","description":"","custom_fields":[{"id":1,"name":"Subdivision","value":"EC"},{"id":4,"name":"Milepost","value":"0.0139"},{"id":17,"name":"Train ID","value":"232-31"},{"id":16,"name":"Locomotive ID","value":"4043"},{"id":130,"name":"Impact","value":""},{"id":150,"name":"Time of Event (Mountain Time)","value":"23:05:43"},{"id":151,"name":"Denver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4"/>
        <v>start /low /b %USERPROFILE%\Documents\GitHub\eaglep3\Utilities\DownloadLogsFromS3.py --loco 4043 --day 2016-12-31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462</v>
      </c>
      <c r="B146" s="7">
        <v>4016</v>
      </c>
      <c r="C146" s="22" t="s">
        <v>205</v>
      </c>
      <c r="D146" s="22" t="s">
        <v>772</v>
      </c>
      <c r="E146" s="13">
        <v>42735.902546296296</v>
      </c>
      <c r="F146" s="13">
        <v>42735.920706018522</v>
      </c>
      <c r="G146" s="7">
        <v>1</v>
      </c>
      <c r="H146" s="22" t="s">
        <v>786</v>
      </c>
      <c r="I146" s="13">
        <v>42735.948009259257</v>
      </c>
      <c r="J146" s="7">
        <v>0</v>
      </c>
      <c r="K146" s="105" t="str">
        <f t="shared" si="51"/>
        <v>4015/4016</v>
      </c>
      <c r="L146" s="22" t="str">
        <f>VLOOKUP(A146,'Trips&amp;Operators'!$C$1:$G$99999,5,FALSE)</f>
        <v>STAMBAUGH JAMES</v>
      </c>
      <c r="M146" s="6">
        <f t="shared" si="52"/>
        <v>2.7303240734909195E-2</v>
      </c>
      <c r="N146" s="7">
        <f t="shared" si="49"/>
        <v>39.316666658269241</v>
      </c>
      <c r="O146" s="7"/>
      <c r="P146" s="7"/>
      <c r="Q146" s="23"/>
      <c r="R146" s="23"/>
      <c r="S146" s="32">
        <f t="shared" si="50"/>
        <v>1</v>
      </c>
      <c r="T146" s="47" t="str">
        <f t="shared" si="53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20:39:40-700',mode:absolute,to:'2016-12-31 23:45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49" t="str">
        <f t="shared" si="47"/>
        <v>N</v>
      </c>
      <c r="X146" s="173">
        <f t="shared" si="48"/>
        <v>1</v>
      </c>
      <c r="Y146" s="64">
        <f t="shared" si="55"/>
        <v>6.9900000000000004E-2</v>
      </c>
      <c r="Z146" s="64">
        <f t="shared" si="56"/>
        <v>23.335100000000001</v>
      </c>
      <c r="AA146" s="64">
        <f t="shared" si="57"/>
        <v>23.2652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58"/>
        <v>0233-31</v>
      </c>
      <c r="AE146" s="87" t="str">
        <f t="shared" si="59"/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AF146" s="84" t="str">
        <f t="shared" si="60"/>
        <v>"C:\Program Files (x86)\AstroGrep\AstroGrep.exe" /spath="%USERPROFILE%\AppData\Local\Temp\OnboardLogs" /stypes="app*4016*20170101*" /stext=" 05:.+((SYSTEM_STATE.+slice.+state.+changed )|(ment ac)|(multiple cpu faults)|(system.+state.+changed )|(\[timeout)|(PRM\|1\|D)|(kpr)|(kdp)|(\|lc)|(penalty))" /e /r /s</v>
      </c>
      <c r="AG146" s="1" t="str">
        <f t="shared" si="61"/>
        <v>EC</v>
      </c>
      <c r="AH146" s="88" t="str">
        <f t="shared" si="62"/>
        <v>"%USERPROFILE%\Documents\GitHub\eaglep3\Utilities\RefineRTDCRunTimes.py" --tripid 233-31 --locoid 4016 --swversion DE.1.0.8.0 --startMP 204:699 --initTime 2016-12-31T21:39:40 --startdatetime 2016-12-31T22:05:49 --delay 1 --endMP 204:233351 --enddatetime 2016-12-31T22:45:08 --enforcementcount 0 &gt;&gt;C:\Users\stu\Documents\GitHub\eaglep3-reporting\EC\2016-12-31-refined-times.txt</v>
      </c>
      <c r="AI146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{"issue":{"subject":"","project_id":79,"tracker_id":40,"status_id":1,"priority_id":2,"assigned_to_id":23,"start_date":"2016-12-31","description":"","custom_fields":[{"id":1,"name":"Subdivision","value":"EC"},{"id":4,"name":"Milepost","value":"23.3351"},{"id":17,"name":"Train ID","value":"233-31"},{"id":16,"name":"Locomotive ID","value":"4016"},{"id":130,"name":"Impact","value":""},{"id":150,"name":"Time of Event (Mountain Time)","value":"22:45:08"},{"id":151,"name":"Denver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64"/>
        <v>start /low /b %USERPROFILE%\Documents\GitHub\eaglep3\Utilities\DownloadLogsFromS3.py --loco 4016 --day 2016-12-31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660</v>
      </c>
      <c r="B147" s="7">
        <v>4028</v>
      </c>
      <c r="C147" s="22" t="s">
        <v>205</v>
      </c>
      <c r="D147" s="22" t="s">
        <v>787</v>
      </c>
      <c r="E147" s="13">
        <v>42735.953043981484</v>
      </c>
      <c r="F147" s="13">
        <v>42735.95579861111</v>
      </c>
      <c r="G147" s="7">
        <v>1</v>
      </c>
      <c r="H147" s="22" t="s">
        <v>778</v>
      </c>
      <c r="I147" s="13">
        <v>42735.984386574077</v>
      </c>
      <c r="J147" s="7">
        <v>0</v>
      </c>
      <c r="K147" s="105" t="str">
        <f t="shared" si="51"/>
        <v>4027/4028</v>
      </c>
      <c r="L147" s="22" t="str">
        <f>VLOOKUP(A147,'Trips&amp;Operators'!$C$1:$G$99999,5,FALSE)</f>
        <v>STAMBAUGH JAMES</v>
      </c>
      <c r="M147" s="6">
        <f t="shared" si="52"/>
        <v>2.8587962966412306E-2</v>
      </c>
      <c r="N147" s="7">
        <f t="shared" si="49"/>
        <v>41.16666667163372</v>
      </c>
      <c r="O147" s="7"/>
      <c r="P147" s="7"/>
      <c r="Q147" s="23"/>
      <c r="R147" s="23"/>
      <c r="S147" s="32">
        <f t="shared" si="50"/>
        <v>1</v>
      </c>
      <c r="T147" s="47" t="str">
        <f t="shared" si="53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21:52:23-700',mode:absolute,to:'2017-01-01 00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7" s="49" t="str">
        <f t="shared" si="47"/>
        <v>N</v>
      </c>
      <c r="X147" s="173">
        <f t="shared" si="48"/>
        <v>1</v>
      </c>
      <c r="Y147" s="64">
        <f t="shared" si="55"/>
        <v>23.273900000000001</v>
      </c>
      <c r="Z147" s="64">
        <f t="shared" si="56"/>
        <v>1.2999999999999999E-2</v>
      </c>
      <c r="AA147" s="64">
        <f t="shared" si="57"/>
        <v>23.260899999999999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58"/>
        <v>0234-31</v>
      </c>
      <c r="AE147" s="87" t="str">
        <f t="shared" si="59"/>
        <v>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 &amp; 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</v>
      </c>
      <c r="AF147" s="84" t="str">
        <f t="shared" si="60"/>
        <v>"C:\Program Files (x86)\AstroGrep\AstroGrep.exe" /spath="%USERPROFILE%\AppData\Local\Temp\OnboardLogs" /stypes="app*4028*20170101*" /stext=" 06:.+((SYSTEM_STATE.+slice.+state.+changed )|(ment ac)|(multiple cpu faults)|(system.+state.+changed )|(\[timeout)|(PRM\|1\|D)|(kpr)|(kdp)|(\|lc)|(penalty))" /e /r /s</v>
      </c>
      <c r="AG147" s="1" t="str">
        <f t="shared" si="61"/>
        <v>EC</v>
      </c>
      <c r="AH147" s="88" t="str">
        <f t="shared" si="62"/>
        <v>"%USERPROFILE%\Documents\GitHub\eaglep3\Utilities\RefineRTDCRunTimes.py" --tripid 234-31 --locoid 4028 --swversion DE.1.0.8.0 --startMP 204:232739 --initTime 2016-12-31T22:52:23 --startdatetime 2016-12-31T22:56:21 --delay 1 --endMP 204:130 --enddatetime 2016-12-31T23:37:31 --enforcementcount 0 &gt;&gt;C:\Users\stu\Documents\GitHub\eaglep3-reporting\EC\2016-12-31-refined-times.txt</v>
      </c>
      <c r="AI147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{"issue":{"subject":"","project_id":79,"tracker_id":40,"status_id":1,"priority_id":2,"assigned_to_id":23,"start_date":"2016-12-31","description":"","custom_fields":[{"id":1,"name":"Subdivision","value":"EC"},{"id":4,"name":"Milepost","value":"0.013"},{"id":17,"name":"Train ID","value":"234-31"},{"id":16,"name":"Locomotive ID","value":"4028"},{"id":130,"name":"Impact","value":""},{"id":150,"name":"Time of Event (Mountain Time)","value":"23:37:31"},{"id":151,"name":"Denver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4"/>
        <v>start /low /b %USERPROFILE%\Documents\GitHub\eaglep3\Utilities\DownloadLogsFromS3.py --loco 4028 --day 2016-12-31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659</v>
      </c>
      <c r="B148" s="7">
        <v>4031</v>
      </c>
      <c r="C148" s="22" t="s">
        <v>205</v>
      </c>
      <c r="D148" s="22" t="s">
        <v>788</v>
      </c>
      <c r="E148" s="13">
        <v>42735.924456018518</v>
      </c>
      <c r="F148" s="13">
        <v>42735.937951388885</v>
      </c>
      <c r="G148" s="7">
        <v>9</v>
      </c>
      <c r="H148" s="22" t="s">
        <v>264</v>
      </c>
      <c r="I148" s="13">
        <v>42735.965601851851</v>
      </c>
      <c r="J148" s="7">
        <v>0</v>
      </c>
      <c r="K148" s="105" t="str">
        <f t="shared" si="51"/>
        <v>4031/4032</v>
      </c>
      <c r="L148" s="22" t="str">
        <f>VLOOKUP(A148,'Trips&amp;Operators'!$C$1:$G$99999,5,FALSE)</f>
        <v>MACDONALD THOMAS</v>
      </c>
      <c r="M148" s="6">
        <f t="shared" si="52"/>
        <v>2.7650462965539191E-2</v>
      </c>
      <c r="N148" s="7">
        <f t="shared" si="49"/>
        <v>39.816666670376435</v>
      </c>
      <c r="O148" s="7"/>
      <c r="P148" s="7"/>
      <c r="Q148" s="23"/>
      <c r="R148" s="23"/>
      <c r="S148" s="32">
        <f t="shared" si="50"/>
        <v>1</v>
      </c>
      <c r="T148" s="47" t="str">
        <f t="shared" si="53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21:11:13-700',mode:absolute,to:'2017-01-01 00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8" s="49" t="str">
        <f t="shared" si="47"/>
        <v>N</v>
      </c>
      <c r="X148" s="173">
        <f t="shared" si="48"/>
        <v>1</v>
      </c>
      <c r="Y148" s="64">
        <f t="shared" si="55"/>
        <v>7.3200000000000001E-2</v>
      </c>
      <c r="Z148" s="64">
        <f t="shared" si="56"/>
        <v>23.328900000000001</v>
      </c>
      <c r="AA148" s="64">
        <f t="shared" si="57"/>
        <v>23.255700000000001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58"/>
        <v>0235-31</v>
      </c>
      <c r="AE148" s="87" t="str">
        <f t="shared" si="59"/>
        <v>aws s3 cp s3://rtdc.mdm.uploadarchive.raw/RTDC4031/ "%USERPROFILE%\AppData\Local\Temp\OnboardLogs"\RTDC4031\2016-12-31 --exclude "*" --recursive --include "*20161231*" &amp; "%USERPROFILE%\Documents\GitHub\mrs-test-scripts\Headless Mode &amp; Sideloading\WalkAndUnGZ.bat" "%USERPROFILE%\AppData\Local\Temp\OnboardLogs"\RTDC4031\2016-12-31 &amp; aws s3 cp s3://rtdc.mdm.uploadarchive.raw/RTDC4031/ "%USERPROFILE%\AppData\Local\Temp\OnboardLogs"\RTDC4031\2017-01-01 --exclude "*" --recursive --include "*20170101*" &amp; "%USERPROFILE%\Documents\GitHub\mrs-test-scripts\Headless Mode &amp; Sideloading\WalkAndUnGZ.bat" "%USERPROFILE%\AppData\Local\Temp\OnboardLogs"\RTDC4031\2017-01-01</v>
      </c>
      <c r="AF148" s="84" t="str">
        <f t="shared" si="60"/>
        <v>"C:\Program Files (x86)\AstroGrep\AstroGrep.exe" /spath="%USERPROFILE%\AppData\Local\Temp\OnboardLogs" /stypes="app*4031*20170101*" /stext=" 06:.+((SYSTEM_STATE.+slice.+state.+changed )|(ment ac)|(multiple cpu faults)|(system.+state.+changed )|(\[timeout)|(PRM\|1\|D)|(kpr)|(kdp)|(\|lc)|(penalty))" /e /r /s</v>
      </c>
      <c r="AG148" s="1" t="str">
        <f t="shared" si="61"/>
        <v>EC</v>
      </c>
      <c r="AH148" s="88" t="str">
        <f t="shared" si="62"/>
        <v>"%USERPROFILE%\Documents\GitHub\eaglep3\Utilities\RefineRTDCRunTimes.py" --tripid 235-31 --locoid 4031 --swversion DE.1.0.8.0 --startMP 204:732 --initTime 2016-12-31T22:11:13 --startdatetime 2016-12-31T22:30:39 --delay 9 --endMP 204:233289 --enddatetime 2016-12-31T23:10:28 --enforcementcount 0 &gt;&gt;C:\Users\stu\Documents\GitHub\eaglep3-reporting\EC\2016-12-31-refined-times.txt</v>
      </c>
      <c r="AI148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{"issue":{"subject":"","project_id":79,"tracker_id":40,"status_id":1,"priority_id":2,"assigned_to_id":23,"start_date":"2016-12-31","description":"","custom_fields":[{"id":1,"name":"Subdivision","value":"EC"},{"id":4,"name":"Milepost","value":"23.3289"},{"id":17,"name":"Train ID","value":"235-31"},{"id":16,"name":"Locomotive ID","value":"4031"},{"id":130,"name":"Impact","value":""},{"id":150,"name":"Time of Event (Mountain Time)","value":"23:10:28"},{"id":151,"name":"Denver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4"/>
        <v>start /low /b %USERPROFILE%\Documents\GitHub\eaglep3\Utilities\DownloadLogsFromS3.py --loco 4031 --day 2016-12-31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662</v>
      </c>
      <c r="B149" s="7">
        <v>4045</v>
      </c>
      <c r="C149" s="22" t="s">
        <v>205</v>
      </c>
      <c r="D149" s="22" t="s">
        <v>789</v>
      </c>
      <c r="E149" s="13">
        <v>42735.96733796296</v>
      </c>
      <c r="F149" s="13">
        <v>42735.976770833331</v>
      </c>
      <c r="G149" s="7">
        <v>1</v>
      </c>
      <c r="H149" s="22" t="s">
        <v>790</v>
      </c>
      <c r="I149" s="13">
        <v>42736.007824074077</v>
      </c>
      <c r="J149" s="7">
        <v>0</v>
      </c>
      <c r="K149" s="105" t="str">
        <f t="shared" si="51"/>
        <v>4045/4046</v>
      </c>
      <c r="L149" s="22" t="str">
        <f>VLOOKUP(A149,'Trips&amp;Operators'!$C$1:$G$99999,5,FALSE)</f>
        <v>MACDONALD THOMAS</v>
      </c>
      <c r="M149" s="6">
        <f t="shared" si="52"/>
        <v>3.1053240745677613E-2</v>
      </c>
      <c r="N149" s="7">
        <f t="shared" si="49"/>
        <v>44.716666673775762</v>
      </c>
      <c r="O149" s="7"/>
      <c r="P149" s="7"/>
      <c r="Q149" s="23"/>
      <c r="R149" s="23"/>
      <c r="S149" s="32">
        <f t="shared" si="50"/>
        <v>1</v>
      </c>
      <c r="T149" s="47" t="str">
        <f t="shared" si="53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22:12:58-700',mode:absolute,to:'2017-01-01 01:11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49" t="str">
        <f t="shared" si="47"/>
        <v>N</v>
      </c>
      <c r="X149" s="173">
        <f t="shared" si="48"/>
        <v>1</v>
      </c>
      <c r="Y149" s="64">
        <f t="shared" si="55"/>
        <v>23.264600000000002</v>
      </c>
      <c r="Z149" s="64">
        <f t="shared" si="56"/>
        <v>1.6500000000000001E-2</v>
      </c>
      <c r="AA149" s="64">
        <f t="shared" si="57"/>
        <v>23.248100000000001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58"/>
        <v>0236-31</v>
      </c>
      <c r="AE149" s="87" t="str">
        <f t="shared" si="59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49" s="84" t="str">
        <f t="shared" si="60"/>
        <v>"C:\Program Files (x86)\AstroGrep\AstroGrep.exe" /spath="%USERPROFILE%\AppData\Local\Temp\OnboardLogs" /stypes="app*4045*20170101*" /stext=" 07:.+((SYSTEM_STATE.+slice.+state.+changed )|(ment ac)|(multiple cpu faults)|(system.+state.+changed )|(\[timeout)|(PRM\|1\|D)|(kpr)|(kdp)|(\|lc)|(penalty))" /e /r /s</v>
      </c>
      <c r="AG149" s="1" t="str">
        <f t="shared" si="61"/>
        <v>EC</v>
      </c>
      <c r="AH149" s="88" t="str">
        <f t="shared" si="62"/>
        <v>"%USERPROFILE%\Documents\GitHub\eaglep3\Utilities\RefineRTDCRunTimes.py" --tripid 236-31 --locoid 4045 --swversion DE.1.0.8.0 --startMP 204:232646 --initTime 2016-12-31T23:12:58 --startdatetime 2016-12-31T23:26:33 --delay 1 --endMP 204:165 --enddatetime 2017-01-01T00:11:16 --enforcementcount 0 &gt;&gt;C:\Users\stu\Documents\GitHub\eaglep3-reporting\EC\2016-12-31-refined-times.txt</v>
      </c>
      <c r="AI149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{"issue":{"subject":"","project_id":79,"tracker_id":40,"status_id":1,"priority_id":2,"assigned_to_id":23,"start_date":"2017-01-01","description":"","custom_fields":[{"id":1,"name":"Subdivision","value":"EC"},{"id":4,"name":"Milepost","value":"0.0165"},{"id":17,"name":"Train ID","value":"236-31"},{"id":16,"name":"Locomotive ID","value":"4045"},{"id":130,"name":"Impact","value":""},{"id":150,"name":"Time of Event (Mountain Time)","value":"00:11:16"},{"id":151,"name":"Denver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4"/>
        <v>start /low /b %USERPROFILE%\Documents\GitHub\eaglep3\Utilities\DownloadLogsFromS3.py --loco 4045 --day 2016-12-31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465</v>
      </c>
      <c r="B150" s="7">
        <v>4018</v>
      </c>
      <c r="C150" s="22" t="s">
        <v>205</v>
      </c>
      <c r="D150" s="22" t="s">
        <v>728</v>
      </c>
      <c r="E150" s="13">
        <v>42735.948969907404</v>
      </c>
      <c r="F150" s="13">
        <v>42735.958657407406</v>
      </c>
      <c r="G150" s="7">
        <v>6</v>
      </c>
      <c r="H150" s="22" t="s">
        <v>298</v>
      </c>
      <c r="I150" s="13">
        <v>42735.986307870371</v>
      </c>
      <c r="J150" s="7">
        <v>0</v>
      </c>
      <c r="K150" s="105" t="str">
        <f t="shared" si="51"/>
        <v>4017/4018</v>
      </c>
      <c r="L150" s="22" t="str">
        <f>VLOOKUP(A150,'Trips&amp;Operators'!$C$1:$G$99999,5,FALSE)</f>
        <v>BROWN JACOB</v>
      </c>
      <c r="M150" s="6">
        <f t="shared" si="52"/>
        <v>2.7650462965539191E-2</v>
      </c>
      <c r="N150" s="7">
        <f t="shared" si="49"/>
        <v>39.816666670376435</v>
      </c>
      <c r="O150" s="7"/>
      <c r="P150" s="7"/>
      <c r="Q150" s="23"/>
      <c r="R150" s="23"/>
      <c r="S150" s="32">
        <f t="shared" si="50"/>
        <v>1</v>
      </c>
      <c r="T150" s="47" t="str">
        <f t="shared" si="53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21:46:31-700',mode:absolute,to:'2017-01-01 00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0" s="49" t="str">
        <f t="shared" si="47"/>
        <v>N</v>
      </c>
      <c r="X150" s="173">
        <f t="shared" si="48"/>
        <v>1</v>
      </c>
      <c r="Y150" s="64">
        <f t="shared" si="55"/>
        <v>7.2400000000000006E-2</v>
      </c>
      <c r="Z150" s="64">
        <f t="shared" si="56"/>
        <v>23.33</v>
      </c>
      <c r="AA150" s="64">
        <f t="shared" si="57"/>
        <v>23.2576</v>
      </c>
      <c r="AB150" s="61" t="str">
        <f>VLOOKUP(A150,Enforcements!$C$7:$K$19,8,0)</f>
        <v>Bulletin (2)</v>
      </c>
      <c r="AC150" s="57" t="str">
        <f>VLOOKUP(A150,Enforcements!$C$7:$E$19,3,0)</f>
        <v>GRADE CROSSING</v>
      </c>
      <c r="AD150" s="58" t="str">
        <f t="shared" si="58"/>
        <v>0237-31</v>
      </c>
      <c r="AE150" s="87" t="str">
        <f t="shared" si="59"/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AF150" s="84" t="str">
        <f t="shared" si="60"/>
        <v>"C:\Program Files (x86)\AstroGrep\AstroGrep.exe" /spath="%USERPROFILE%\AppData\Local\Temp\OnboardLogs" /stypes="app*4018*20170101*" /stext=" 06:.+((SYSTEM_STATE.+slice.+state.+changed )|(ment ac)|(multiple cpu faults)|(system.+state.+changed )|(\[timeout)|(PRM\|1\|D)|(kpr)|(kdp)|(\|lc)|(penalty))" /e /r /s</v>
      </c>
      <c r="AG150" s="1" t="str">
        <f t="shared" si="61"/>
        <v>EC</v>
      </c>
      <c r="AH150" s="88" t="str">
        <f t="shared" si="62"/>
        <v>"%USERPROFILE%\Documents\GitHub\eaglep3\Utilities\RefineRTDCRunTimes.py" --tripid 237-31 --locoid 4018 --swversion DE.1.0.8.0 --startMP 204:724 --initTime 2016-12-31T22:46:31 --startdatetime 2016-12-31T23:00:28 --delay 6 --endMP 204:233300 --enddatetime 2016-12-31T23:40:17 --enforcementcount 0 &gt;&gt;C:\Users\stu\Documents\GitHub\eaglep3-reporting\EC\2016-12-31-refined-times.txt</v>
      </c>
      <c r="AI150" s="115" t="str">
        <f t="shared" si="63"/>
        <v>echo {"issue":{"subject":"","project_id":79,"tracker_id":40,"status_id":1,"priority_id":2,"assigned_to_id":23,"start_date":"2016-12-31","description":"","custom_fields":[{"id":1,"name":"Subdivision","value":"EC"},{"id":4,"name":"Milepost","value":"23.33"},{"id":17,"name":"Train ID","value":"237-31"},{"id":16,"name":"Locomotive ID","value":"4018"},{"id":130,"name":"Impact","value":""},{"id":150,"name":"Time of Event (Mountain Time)","value":"23:40:17"},{"id":151,"name":"Denver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4"/>
        <v>start /low /b %USERPROFILE%\Documents\GitHub\eaglep3\Utilities\DownloadLogsFromS3.py --loco 4018 --day 2016-12-31</v>
      </c>
    </row>
    <row r="151" spans="1:91" s="21" customFormat="1" x14ac:dyDescent="0.25">
      <c r="A151" s="34" t="s">
        <v>666</v>
      </c>
      <c r="B151" s="7">
        <v>4019</v>
      </c>
      <c r="C151" s="22" t="s">
        <v>205</v>
      </c>
      <c r="D151" s="22" t="s">
        <v>791</v>
      </c>
      <c r="E151" s="13">
        <v>42735.993888888886</v>
      </c>
      <c r="F151" s="13">
        <v>42735.997384259259</v>
      </c>
      <c r="G151" s="7">
        <v>0</v>
      </c>
      <c r="H151" s="22" t="s">
        <v>191</v>
      </c>
      <c r="I151" s="13">
        <v>42736.026446759257</v>
      </c>
      <c r="J151" s="7">
        <v>0</v>
      </c>
      <c r="K151" s="105" t="str">
        <f t="shared" si="51"/>
        <v>4019/4020</v>
      </c>
      <c r="L151" s="22" t="str">
        <f>VLOOKUP(A151,'Trips&amp;Operators'!$C$1:$G$99999,5,FALSE)</f>
        <v>BROWN JACOB</v>
      </c>
      <c r="M151" s="6">
        <f t="shared" si="52"/>
        <v>2.9062499997962732E-2</v>
      </c>
      <c r="N151" s="7">
        <f t="shared" si="49"/>
        <v>41.849999997066334</v>
      </c>
      <c r="O151" s="7"/>
      <c r="P151" s="7"/>
      <c r="Q151" s="23"/>
      <c r="R151" s="23"/>
      <c r="S151" s="32">
        <f t="shared" si="50"/>
        <v>1</v>
      </c>
      <c r="T151" s="47" t="str">
        <f t="shared" si="53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22:51:12-700',mode:absolute,to:'2017-01-01 01:38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1" s="49" t="str">
        <f t="shared" ref="W151:W182" si="65">IF(AA151&lt;IF(AG151="EC",23,5.65),"Y","N")</f>
        <v>N</v>
      </c>
      <c r="X151" s="173">
        <f t="shared" si="48"/>
        <v>1</v>
      </c>
      <c r="Y151" s="64">
        <f t="shared" si="55"/>
        <v>23.266200000000001</v>
      </c>
      <c r="Z151" s="64">
        <f t="shared" si="56"/>
        <v>1.49E-2</v>
      </c>
      <c r="AA151" s="64">
        <f t="shared" si="57"/>
        <v>23.251300000000001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58"/>
        <v>0238-31</v>
      </c>
      <c r="AE151" s="87" t="str">
        <f t="shared" si="59"/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AF151" s="84" t="str">
        <f t="shared" si="60"/>
        <v>"C:\Program Files (x86)\AstroGrep\AstroGrep.exe" /spath="%USERPROFILE%\AppData\Local\Temp\OnboardLogs" /stypes="app*4019*20170101*" /stext=" 07:.+((SYSTEM_STATE.+slice.+state.+changed )|(ment ac)|(multiple cpu faults)|(system.+state.+changed )|(\[timeout)|(PRM\|1\|D)|(kpr)|(kdp)|(\|lc)|(penalty))" /e /r /s</v>
      </c>
      <c r="AG151" s="1" t="str">
        <f t="shared" si="61"/>
        <v>EC</v>
      </c>
      <c r="AH151" s="88" t="str">
        <f t="shared" si="62"/>
        <v>"%USERPROFILE%\Documents\GitHub\eaglep3\Utilities\RefineRTDCRunTimes.py" --tripid 238-31 --locoid 4019 --swversion DE.1.0.8.0 --startMP 204:232662 --initTime 2016-12-31T23:51:12 --startdatetime 2016-12-31T23:56:14 --delay 0 --endMP 204:149 --enddatetime 2017-01-01T00:38:05 --enforcementcount 0 &gt;&gt;C:\Users\stu\Documents\GitHub\eaglep3-reporting\EC\2016-12-31-refined-times.txt</v>
      </c>
      <c r="AI151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{"issue":{"subject":"","project_id":79,"tracker_id":40,"status_id":1,"priority_id":2,"assigned_to_id":23,"start_date":"2017-01-01","description":"","custom_fields":[{"id":1,"name":"Subdivision","value":"EC"},{"id":4,"name":"Milepost","value":"0.0149"},{"id":17,"name":"Train ID","value":"238-31"},{"id":16,"name":"Locomotive ID","value":"4019"},{"id":130,"name":"Impact","value":""},{"id":150,"name":"Time of Event (Mountain Time)","value":"00:38:05"},{"id":151,"name":"Denver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4"/>
        <v>start /low /b %USERPROFILE%\Documents\GitHub\eaglep3\Utilities\DownloadLogsFromS3.py --loco 4019 --day 2016-12-31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663</v>
      </c>
      <c r="B152" s="7">
        <v>4007</v>
      </c>
      <c r="C152" s="22" t="s">
        <v>205</v>
      </c>
      <c r="D152" s="22" t="s">
        <v>747</v>
      </c>
      <c r="E152" s="13">
        <v>42735.968043981484</v>
      </c>
      <c r="F152" s="13">
        <v>42735.979525462964</v>
      </c>
      <c r="G152" s="7">
        <v>1</v>
      </c>
      <c r="H152" s="22" t="s">
        <v>792</v>
      </c>
      <c r="I152" s="13">
        <v>42736.005798611113</v>
      </c>
      <c r="J152" s="7">
        <v>0</v>
      </c>
      <c r="K152" s="105" t="str">
        <f t="shared" si="51"/>
        <v>4007/4008</v>
      </c>
      <c r="L152" s="22" t="str">
        <f>VLOOKUP(A152,'Trips&amp;Operators'!$C$1:$G$99999,5,FALSE)</f>
        <v>SMITH MICHAEL</v>
      </c>
      <c r="M152" s="6">
        <f t="shared" si="52"/>
        <v>2.6273148148902692E-2</v>
      </c>
      <c r="N152" s="7">
        <f t="shared" si="49"/>
        <v>37.833333334419876</v>
      </c>
      <c r="O152" s="7"/>
      <c r="P152" s="7"/>
      <c r="Q152" s="23"/>
      <c r="R152" s="23"/>
      <c r="S152" s="32">
        <f t="shared" si="50"/>
        <v>1</v>
      </c>
      <c r="T152" s="47" t="str">
        <f t="shared" si="53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22:13:59-700',mode:absolute,to:'2017-01-01 01:08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2" s="49" t="str">
        <f t="shared" si="65"/>
        <v>N</v>
      </c>
      <c r="X152" s="173">
        <f t="shared" si="48"/>
        <v>1</v>
      </c>
      <c r="Y152" s="64">
        <f t="shared" si="55"/>
        <v>7.4300000000000005E-2</v>
      </c>
      <c r="Z152" s="64">
        <f t="shared" si="56"/>
        <v>23.325700000000001</v>
      </c>
      <c r="AA152" s="64">
        <f t="shared" si="57"/>
        <v>23.2514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58"/>
        <v>0239-31</v>
      </c>
      <c r="AE152" s="87" t="str">
        <f t="shared" si="59"/>
        <v>aws s3 cp s3://rtdc.mdm.uploadarchive.raw/RTDC4007/ "%USERPROFILE%\AppData\Local\Temp\OnboardLogs"\RTDC4007\2016-12-31 --exclude "*" --recursive --include "*20161231*" &amp; "%USERPROFILE%\Documents\GitHub\mrs-test-scripts\Headless Mode &amp; Sideloading\WalkAndUnGZ.bat" "%USERPROFILE%\AppData\Local\Temp\OnboardLogs"\RTDC4007\2016-12-31 &amp; 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</v>
      </c>
      <c r="AF152" s="84" t="str">
        <f t="shared" si="60"/>
        <v>"C:\Program Files (x86)\AstroGrep\AstroGrep.exe" /spath="%USERPROFILE%\AppData\Local\Temp\OnboardLogs" /stypes="app*4007*20170101*" /stext=" 07:.+((SYSTEM_STATE.+slice.+state.+changed )|(ment ac)|(multiple cpu faults)|(system.+state.+changed )|(\[timeout)|(PRM\|1\|D)|(kpr)|(kdp)|(\|lc)|(penalty))" /e /r /s</v>
      </c>
      <c r="AG152" s="1" t="str">
        <f t="shared" si="61"/>
        <v>EC</v>
      </c>
      <c r="AH152" s="88" t="str">
        <f t="shared" si="62"/>
        <v>"%USERPROFILE%\Documents\GitHub\eaglep3\Utilities\RefineRTDCRunTimes.py" --tripid 239-31 --locoid 4007 --swversion DE.1.0.8.0 --startMP 204:743 --initTime 2016-12-31T23:13:59 --startdatetime 2016-12-31T23:30:31 --delay 1 --endMP 204:233257 --enddatetime 2017-01-01T00:08:21 --enforcementcount 0 &gt;&gt;C:\Users\stu\Documents\GitHub\eaglep3-reporting\EC\2016-12-31-refined-times.txt</v>
      </c>
      <c r="AI152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{"issue":{"subject":"","project_id":79,"tracker_id":40,"status_id":1,"priority_id":2,"assigned_to_id":23,"start_date":"2017-01-01","description":"","custom_fields":[{"id":1,"name":"Subdivision","value":"EC"},{"id":4,"name":"Milepost","value":"23.3257"},{"id":17,"name":"Train ID","value":"239-31"},{"id":16,"name":"Locomotive ID","value":"4007"},{"id":130,"name":"Impact","value":""},{"id":150,"name":"Time of Event (Mountain Time)","value":"00:08:21"},{"id":151,"name":"Denver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4"/>
        <v>start /low /b %USERPROFILE%\Documents\GitHub\eaglep3\Utilities\DownloadLogsFromS3.py --loco 4007 --day 2016-12-31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668</v>
      </c>
      <c r="B153" s="7">
        <v>4043</v>
      </c>
      <c r="C153" s="22" t="s">
        <v>205</v>
      </c>
      <c r="D153" s="22" t="s">
        <v>793</v>
      </c>
      <c r="E153" s="13">
        <v>42736.00849537037</v>
      </c>
      <c r="F153" s="13">
        <v>42736.018287037034</v>
      </c>
      <c r="G153" s="7">
        <v>1</v>
      </c>
      <c r="H153" s="22" t="s">
        <v>258</v>
      </c>
      <c r="I153" s="13">
        <v>42736.046435185184</v>
      </c>
      <c r="J153" s="7">
        <v>0</v>
      </c>
      <c r="K153" s="105" t="str">
        <f t="shared" si="51"/>
        <v>4043/4044</v>
      </c>
      <c r="L153" s="22" t="str">
        <f>VLOOKUP(A153,'Trips&amp;Operators'!$C$1:$G$99999,5,FALSE)</f>
        <v>SMITH MICHAEL</v>
      </c>
      <c r="M153" s="6">
        <f t="shared" si="52"/>
        <v>2.8148148150648922E-2</v>
      </c>
      <c r="N153" s="7">
        <f t="shared" si="49"/>
        <v>40.533333336934447</v>
      </c>
      <c r="O153" s="7"/>
      <c r="P153" s="7"/>
      <c r="Q153" s="23"/>
      <c r="R153" s="23"/>
      <c r="S153" s="32">
        <f t="shared" si="50"/>
        <v>1</v>
      </c>
      <c r="T153" s="47" t="str">
        <f t="shared" si="53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23:12:14-700',mode:absolute,to:'2017-01-01 02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49" t="str">
        <f t="shared" si="65"/>
        <v>N</v>
      </c>
      <c r="X153" s="173">
        <f t="shared" si="48"/>
        <v>1</v>
      </c>
      <c r="Y153" s="64">
        <f t="shared" si="55"/>
        <v>23.264800000000001</v>
      </c>
      <c r="Z153" s="64">
        <f t="shared" si="56"/>
        <v>1.6E-2</v>
      </c>
      <c r="AA153" s="64">
        <f t="shared" si="57"/>
        <v>23.248800000000003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58"/>
        <v>0240-31</v>
      </c>
      <c r="AE153" s="87" t="str">
        <f t="shared" si="59"/>
        <v>aws s3 cp s3://rtdc.mdm.uploadarchive.raw/RTDC4043/ "%USERPROFILE%\AppData\Local\Temp\OnboardLogs"\RTDC4043\2017-01-01 --exclude "*" --recursive --include "*20170101*" &amp; "%USERPROFILE%\Documents\GitHub\mrs-test-scripts\Headless Mode &amp; Sideloading\WalkAndUnGZ.bat" "%USERPROFILE%\AppData\Local\Temp\OnboardLogs"\RTDC4043\2017-01-01 &amp; 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</v>
      </c>
      <c r="AF153" s="84" t="str">
        <f t="shared" si="60"/>
        <v>"C:\Program Files (x86)\AstroGrep\AstroGrep.exe" /spath="%USERPROFILE%\AppData\Local\Temp\OnboardLogs" /stypes="app*4043*20170101*" /stext=" 08:.+((SYSTEM_STATE.+slice.+state.+changed )|(ment ac)|(multiple cpu faults)|(system.+state.+changed )|(\[timeout)|(PRM\|1\|D)|(kpr)|(kdp)|(\|lc)|(penalty))" /e /r /s</v>
      </c>
      <c r="AG153" s="1" t="str">
        <f t="shared" si="61"/>
        <v>EC</v>
      </c>
      <c r="AH153" s="88" t="str">
        <f t="shared" si="62"/>
        <v>"%USERPROFILE%\Documents\GitHub\eaglep3\Utilities\RefineRTDCRunTimes.py" --tripid 240-31 --locoid 4043 --swversion DE.1.0.8.0 --startMP 204:232648 --initTime 2017-01-01T00:12:14 --startdatetime 2017-01-01T00:26:20 --delay 1 --endMP 204:160 --enddatetime 2017-01-01T01:06:52 --enforcementcount 0 &gt;&gt;C:\Users\stu\Documents\GitHub\eaglep3-reporting\EC\2016-12-31-refined-times.txt</v>
      </c>
      <c r="AI153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{"issue":{"subject":"","project_id":79,"tracker_id":40,"status_id":1,"priority_id":2,"assigned_to_id":23,"start_date":"2017-01-01","description":"","custom_fields":[{"id":1,"name":"Subdivision","value":"EC"},{"id":4,"name":"Milepost","value":"0.016"},{"id":17,"name":"Train ID","value":"240-31"},{"id":16,"name":"Locomotive ID","value":"4043"},{"id":130,"name":"Impact","value":""},{"id":150,"name":"Time of Event (Mountain Time)","value":"01:06:52"},{"id":151,"name":"Denver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4"/>
        <v>start /low /b %USERPROFILE%\Documents\GitHub\eaglep3\Utilities\DownloadLogsFromS3.py --loco 4043 --day 2017-01-01</v>
      </c>
    </row>
    <row r="154" spans="1:91" s="21" customFormat="1" x14ac:dyDescent="0.25">
      <c r="A154" s="34" t="s">
        <v>665</v>
      </c>
      <c r="B154" s="7">
        <v>4016</v>
      </c>
      <c r="C154" s="22" t="s">
        <v>205</v>
      </c>
      <c r="D154" s="22" t="s">
        <v>370</v>
      </c>
      <c r="E154" s="13">
        <v>42735.992847222224</v>
      </c>
      <c r="F154" s="13">
        <v>42736.000717592593</v>
      </c>
      <c r="G154" s="7">
        <v>1</v>
      </c>
      <c r="H154" s="22" t="s">
        <v>406</v>
      </c>
      <c r="I154" s="13">
        <v>42736.025462962964</v>
      </c>
      <c r="J154" s="7">
        <v>0</v>
      </c>
      <c r="K154" s="105" t="str">
        <f t="shared" si="51"/>
        <v>4015/4016</v>
      </c>
      <c r="L154" s="22" t="str">
        <f>VLOOKUP(A154,'Trips&amp;Operators'!$C$1:$G$99999,5,FALSE)</f>
        <v>STAMBAUGH JAMES</v>
      </c>
      <c r="M154" s="6">
        <f t="shared" si="52"/>
        <v>2.47453703705105E-2</v>
      </c>
      <c r="N154" s="7">
        <f t="shared" si="49"/>
        <v>35.63333333353512</v>
      </c>
      <c r="O154" s="7"/>
      <c r="P154" s="7"/>
      <c r="Q154" s="23"/>
      <c r="R154" s="23"/>
      <c r="S154" s="32">
        <f t="shared" si="50"/>
        <v>1</v>
      </c>
      <c r="T154" s="47" t="str">
        <f t="shared" si="53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22:49:42-700',mode:absolute,to:'2017-01-01 01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4" s="49" t="str">
        <f t="shared" si="65"/>
        <v>N</v>
      </c>
      <c r="X154" s="173">
        <f t="shared" si="48"/>
        <v>1</v>
      </c>
      <c r="Y154" s="64">
        <f t="shared" si="55"/>
        <v>7.5499999999999998E-2</v>
      </c>
      <c r="Z154" s="64">
        <f t="shared" si="56"/>
        <v>23.334599999999998</v>
      </c>
      <c r="AA154" s="64">
        <f t="shared" si="57"/>
        <v>23.259099999999997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58"/>
        <v>0241-31</v>
      </c>
      <c r="AE154" s="87" t="str">
        <f t="shared" si="59"/>
        <v>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 &amp; 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</v>
      </c>
      <c r="AF154" s="84" t="str">
        <f t="shared" si="60"/>
        <v>"C:\Program Files (x86)\AstroGrep\AstroGrep.exe" /spath="%USERPROFILE%\AppData\Local\Temp\OnboardLogs" /stypes="app*4016*20170101*" /stext=" 07:.+((SYSTEM_STATE.+slice.+state.+changed )|(ment ac)|(multiple cpu faults)|(system.+state.+changed )|(\[timeout)|(PRM\|1\|D)|(kpr)|(kdp)|(\|lc)|(penalty))" /e /r /s</v>
      </c>
      <c r="AG154" s="1" t="str">
        <f t="shared" si="61"/>
        <v>EC</v>
      </c>
      <c r="AH154" s="88" t="str">
        <f t="shared" si="62"/>
        <v>"%USERPROFILE%\Documents\GitHub\eaglep3\Utilities\RefineRTDCRunTimes.py" --tripid 241-31 --locoid 4016 --swversion DE.1.0.8.0 --startMP 204:755 --initTime 2016-12-31T23:49:42 --startdatetime 2017-01-01T00:01:02 --delay 1 --endMP 204:233346 --enddatetime 2017-01-01T00:36:40 --enforcementcount 0 &gt;&gt;C:\Users\stu\Documents\GitHub\eaglep3-reporting\EC\2016-12-31-refined-times.txt</v>
      </c>
      <c r="AI154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{"issue":{"subject":"","project_id":79,"tracker_id":40,"status_id":1,"priority_id":2,"assigned_to_id":23,"start_date":"2017-01-01","description":"","custom_fields":[{"id":1,"name":"Subdivision","value":"EC"},{"id":4,"name":"Milepost","value":"23.3346"},{"id":17,"name":"Train ID","value":"241-31"},{"id":16,"name":"Locomotive ID","value":"4016"},{"id":130,"name":"Impact","value":""},{"id":150,"name":"Time of Event (Mountain Time)","value":"00:36:40"},{"id":151,"name":"Denver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4"/>
        <v>start /low /b %USERPROFILE%\Documents\GitHub\eaglep3\Utilities\DownloadLogsFromS3.py --loco 4016 --day 2017-01-01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671</v>
      </c>
      <c r="B155" s="7">
        <v>4028</v>
      </c>
      <c r="C155" s="22" t="s">
        <v>205</v>
      </c>
      <c r="D155" s="22" t="s">
        <v>794</v>
      </c>
      <c r="E155" s="13">
        <v>42736.037094907406</v>
      </c>
      <c r="F155" s="13">
        <v>42736.039189814815</v>
      </c>
      <c r="G155" s="7">
        <v>0</v>
      </c>
      <c r="H155" s="22" t="s">
        <v>411</v>
      </c>
      <c r="I155" s="13">
        <v>42736.067870370367</v>
      </c>
      <c r="J155" s="7">
        <v>0</v>
      </c>
      <c r="K155" s="105" t="str">
        <f t="shared" si="51"/>
        <v>4027/4028</v>
      </c>
      <c r="L155" s="22" t="str">
        <f>VLOOKUP(A155,'Trips&amp;Operators'!$C$1:$G$99999,5,FALSE)</f>
        <v>STAMBAUGH JAMES</v>
      </c>
      <c r="M155" s="6">
        <f t="shared" si="52"/>
        <v>2.8680555551545694E-2</v>
      </c>
      <c r="N155" s="7">
        <f t="shared" si="49"/>
        <v>41.2999999942258</v>
      </c>
      <c r="O155" s="7"/>
      <c r="P155" s="7"/>
      <c r="Q155" s="23"/>
      <c r="R155" s="23"/>
      <c r="S155" s="32">
        <f t="shared" si="50"/>
        <v>1</v>
      </c>
      <c r="T155" s="47" t="str">
        <f t="shared" si="53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23:53:25-700',mode:absolute,to:'2017-01-01 02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5" s="49" t="str">
        <f t="shared" si="65"/>
        <v>N</v>
      </c>
      <c r="X155" s="173">
        <f t="shared" si="48"/>
        <v>1</v>
      </c>
      <c r="Y155" s="64">
        <f t="shared" si="55"/>
        <v>23.275300000000001</v>
      </c>
      <c r="Z155" s="64">
        <f t="shared" si="56"/>
        <v>1.3599999999999999E-2</v>
      </c>
      <c r="AA155" s="64">
        <f t="shared" si="57"/>
        <v>23.261700000000001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58"/>
        <v>0242-31</v>
      </c>
      <c r="AE155" s="87" t="str">
        <f t="shared" si="59"/>
        <v>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 &amp; aws s3 cp s3://rtdc.mdm.uploadarchive.raw/RTDC4028/ "%USERPROFILE%\AppData\Local\Temp\OnboardLogs"\RTDC4028\2017-01-02 --exclude "*" --recursive --include "*20170102*" &amp; "%USERPROFILE%\Documents\GitHub\mrs-test-scripts\Headless Mode &amp; Sideloading\WalkAndUnGZ.bat" "%USERPROFILE%\AppData\Local\Temp\OnboardLogs"\RTDC4028\2017-01-02</v>
      </c>
      <c r="AF155" s="84" t="str">
        <f t="shared" si="60"/>
        <v>"C:\Program Files (x86)\AstroGrep\AstroGrep.exe" /spath="%USERPROFILE%\AppData\Local\Temp\OnboardLogs" /stypes="app*4028*20170101*" /stext=" 08:.+((SYSTEM_STATE.+slice.+state.+changed )|(ment ac)|(multiple cpu faults)|(system.+state.+changed )|(\[timeout)|(PRM\|1\|D)|(kpr)|(kdp)|(\|lc)|(penalty))" /e /r /s</v>
      </c>
      <c r="AG155" s="1" t="str">
        <f t="shared" si="61"/>
        <v>EC</v>
      </c>
      <c r="AH155" s="88" t="str">
        <f t="shared" si="62"/>
        <v>"%USERPROFILE%\Documents\GitHub\eaglep3\Utilities\RefineRTDCRunTimes.py" --tripid 242-31 --locoid 4028 --swversion DE.1.0.8.0 --startMP 204:232753 --initTime 2017-01-01T00:53:25 --startdatetime 2017-01-01T00:56:26 --delay 0 --endMP 204:136 --enddatetime 2017-01-01T01:37:44 --enforcementcount 0 &gt;&gt;C:\Users\stu\Documents\GitHub\eaglep3-reporting\EC\2016-12-31-refined-times.txt</v>
      </c>
      <c r="AI155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{"issue":{"subject":"","project_id":79,"tracker_id":40,"status_id":1,"priority_id":2,"assigned_to_id":23,"start_date":"2017-01-01","description":"","custom_fields":[{"id":1,"name":"Subdivision","value":"EC"},{"id":4,"name":"Milepost","value":"0.0136"},{"id":17,"name":"Train ID","value":"242-31"},{"id":16,"name":"Locomotive ID","value":"4028"},{"id":130,"name":"Impact","value":""},{"id":150,"name":"Time of Event (Mountain Time)","value":"01:37:44"},{"id":151,"name":"Denver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4"/>
        <v>start /low /b %USERPROFILE%\Documents\GitHub\eaglep3\Utilities\DownloadLogsFromS3.py --loco 4028 --day 2017-01-01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467</v>
      </c>
      <c r="B156" s="7">
        <v>4031</v>
      </c>
      <c r="C156" s="22" t="s">
        <v>205</v>
      </c>
      <c r="D156" s="22" t="s">
        <v>795</v>
      </c>
      <c r="E156" s="13">
        <v>42736.012824074074</v>
      </c>
      <c r="F156" s="13">
        <v>42736.021203703705</v>
      </c>
      <c r="G156" s="7">
        <v>1</v>
      </c>
      <c r="H156" s="22" t="s">
        <v>796</v>
      </c>
      <c r="I156" s="13">
        <v>42736.048993055556</v>
      </c>
      <c r="J156" s="7">
        <v>0</v>
      </c>
      <c r="K156" s="105" t="str">
        <f t="shared" si="51"/>
        <v>4031/4032</v>
      </c>
      <c r="L156" s="22" t="str">
        <f>VLOOKUP(A156,'Trips&amp;Operators'!$C$1:$G$99999,5,FALSE)</f>
        <v>HILLS DUSTIN</v>
      </c>
      <c r="M156" s="6">
        <f t="shared" si="52"/>
        <v>2.7789351850515231E-2</v>
      </c>
      <c r="N156" s="7">
        <f t="shared" si="49"/>
        <v>40.016666664741933</v>
      </c>
      <c r="O156" s="7"/>
      <c r="P156" s="7"/>
      <c r="Q156" s="23"/>
      <c r="R156" s="23"/>
      <c r="S156" s="32">
        <f t="shared" si="50"/>
        <v>1</v>
      </c>
      <c r="T156" s="47" t="str">
        <f t="shared" si="53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23:18:28-700',mode:absolute,to:'2017-01-01 02:10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6" s="49" t="str">
        <f t="shared" si="65"/>
        <v>N</v>
      </c>
      <c r="X156" s="173">
        <f t="shared" si="48"/>
        <v>1</v>
      </c>
      <c r="Y156" s="64">
        <f t="shared" si="55"/>
        <v>7.6100000000000001E-2</v>
      </c>
      <c r="Z156" s="64">
        <f t="shared" si="56"/>
        <v>23.343900000000001</v>
      </c>
      <c r="AA156" s="64">
        <f t="shared" si="57"/>
        <v>23.267800000000001</v>
      </c>
      <c r="AB156" s="61" t="str">
        <f>VLOOKUP(A156,Enforcements!$C$7:$K$19,8,0)</f>
        <v>Bulletin (2)</v>
      </c>
      <c r="AC156" s="57" t="str">
        <f>VLOOKUP(A156,Enforcements!$C$7:$E$19,3,0)</f>
        <v>TEMPORARY SPEED RESTRICTION</v>
      </c>
      <c r="AD156" s="58" t="str">
        <f t="shared" si="58"/>
        <v>0243-31</v>
      </c>
      <c r="AE156" s="87" t="str">
        <f t="shared" si="59"/>
        <v>aws s3 cp s3://rtdc.mdm.uploadarchive.raw/RTDC4031/ "%USERPROFILE%\AppData\Local\Temp\OnboardLogs"\RTDC4031\2017-01-01 --exclude "*" --recursive --include "*20170101*" &amp; "%USERPROFILE%\Documents\GitHub\mrs-test-scripts\Headless Mode &amp; Sideloading\WalkAndUnGZ.bat" "%USERPROFILE%\AppData\Local\Temp\OnboardLogs"\RTDC4031\2017-01-01 &amp; 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</v>
      </c>
      <c r="AF156" s="84" t="str">
        <f t="shared" si="60"/>
        <v>"C:\Program Files (x86)\AstroGrep\AstroGrep.exe" /spath="%USERPROFILE%\AppData\Local\Temp\OnboardLogs" /stypes="app*4031*20170101*" /stext=" 08:.+((SYSTEM_STATE.+slice.+state.+changed )|(ment ac)|(multiple cpu faults)|(system.+state.+changed )|(\[timeout)|(PRM\|1\|D)|(kpr)|(kdp)|(\|lc)|(penalty))" /e /r /s</v>
      </c>
      <c r="AG156" s="1" t="str">
        <f t="shared" si="61"/>
        <v>EC</v>
      </c>
      <c r="AH156" s="88" t="str">
        <f t="shared" si="62"/>
        <v>"%USERPROFILE%\Documents\GitHub\eaglep3\Utilities\RefineRTDCRunTimes.py" --tripid 243-31 --locoid 4031 --swversion DE.1.0.8.0 --startMP 204:761 --initTime 2017-01-01T00:18:28 --startdatetime 2017-01-01T00:30:32 --delay 1 --endMP 204:233439 --enddatetime 2017-01-01T01:10:33 --enforcementcount 0 &gt;&gt;C:\Users\stu\Documents\GitHub\eaglep3-reporting\EC\2016-12-31-refined-times.txt</v>
      </c>
      <c r="AI156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{"issue":{"subject":"","project_id":79,"tracker_id":40,"status_id":1,"priority_id":2,"assigned_to_id":23,"start_date":"2017-01-01","description":"","custom_fields":[{"id":1,"name":"Subdivision","value":"EC"},{"id":4,"name":"Milepost","value":"23.3439"},{"id":17,"name":"Train ID","value":"243-31"},{"id":16,"name":"Locomotive ID","value":"4031"},{"id":130,"name":"Impact","value":""},{"id":150,"name":"Time of Event (Mountain Time)","value":"01:10:33"},{"id":151,"name":"Denver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4"/>
        <v>start /low /b %USERPROFILE%\Documents\GitHub\eaglep3\Utilities\DownloadLogsFromS3.py --loco 4031 --day 2017-01-01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4" t="s">
        <v>673</v>
      </c>
      <c r="B157" s="7">
        <v>4045</v>
      </c>
      <c r="C157" s="22" t="s">
        <v>205</v>
      </c>
      <c r="D157" s="22" t="s">
        <v>797</v>
      </c>
      <c r="E157" s="13">
        <v>42736.055196759262</v>
      </c>
      <c r="F157" s="13">
        <v>42736.059907407405</v>
      </c>
      <c r="G157" s="7">
        <v>1</v>
      </c>
      <c r="H157" s="22" t="s">
        <v>332</v>
      </c>
      <c r="I157" s="13">
        <v>42736.088831018518</v>
      </c>
      <c r="J157" s="7">
        <v>0</v>
      </c>
      <c r="K157" s="105" t="str">
        <f t="shared" si="51"/>
        <v>4045/4046</v>
      </c>
      <c r="L157" s="22" t="str">
        <f>VLOOKUP(A157,'Trips&amp;Operators'!$C$1:$G$99999,5,FALSE)</f>
        <v>HILLS DUSTIN</v>
      </c>
      <c r="M157" s="6">
        <f t="shared" si="52"/>
        <v>2.8923611112986691E-2</v>
      </c>
      <c r="N157" s="7">
        <f t="shared" si="49"/>
        <v>41.650000002700835</v>
      </c>
      <c r="O157" s="7"/>
      <c r="P157" s="7"/>
      <c r="Q157" s="23"/>
      <c r="R157" s="23"/>
      <c r="S157" s="32">
        <f t="shared" si="50"/>
        <v>1</v>
      </c>
      <c r="T157" s="47" t="str">
        <f t="shared" si="53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https://search-rtdc-monitor-bjffxe2xuh6vdkpspy63sjmuny.us-east-1.es.amazonaws.com/_plugin/kibana/#/discover/Steve-Slow-Train-Analysis-(2080s-and-2083s)?_g=(refreshInterval:(display:Off,section:0,value:0),time:(from:'2017-01-01 00:19:29-700',mode:absolute,to:'2017-01-01 03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7" s="49" t="str">
        <f t="shared" si="65"/>
        <v>N</v>
      </c>
      <c r="X157" s="173">
        <f t="shared" ref="X157:X161" si="66">VALUE(LEFT(AD157,4))-VALUE(LEFT(AD156,4))</f>
        <v>1</v>
      </c>
      <c r="Y157" s="64">
        <f t="shared" si="55"/>
        <v>23.275600000000001</v>
      </c>
      <c r="Z157" s="64">
        <f t="shared" si="56"/>
        <v>1.72E-2</v>
      </c>
      <c r="AA157" s="64">
        <f t="shared" si="57"/>
        <v>23.258400000000002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58"/>
        <v>0244-31</v>
      </c>
      <c r="AE157" s="87" t="str">
        <f t="shared" si="59"/>
        <v>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 &amp; 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</v>
      </c>
      <c r="AF157" s="84" t="str">
        <f t="shared" si="60"/>
        <v>"C:\Program Files (x86)\AstroGrep\AstroGrep.exe" /spath="%USERPROFILE%\AppData\Local\Temp\OnboardLogs" /stypes="app*4045*20170101*" /stext=" 09:.+((SYSTEM_STATE.+slice.+state.+changed )|(ment ac)|(multiple cpu faults)|(system.+state.+changed )|(\[timeout)|(PRM\|1\|D)|(kpr)|(kdp)|(\|lc)|(penalty))" /e /r /s</v>
      </c>
      <c r="AG157" s="1" t="str">
        <f t="shared" si="61"/>
        <v>EC</v>
      </c>
      <c r="AH157" s="88" t="str">
        <f t="shared" si="62"/>
        <v>"%USERPROFILE%\Documents\GitHub\eaglep3\Utilities\RefineRTDCRunTimes.py" --tripid 244-31 --locoid 4045 --swversion DE.1.0.8.0 --startMP 204:232756 --initTime 2017-01-01T01:19:29 --startdatetime 2017-01-01T01:26:16 --delay 1 --endMP 204:172 --enddatetime 2017-01-01T02:07:55 --enforcementcount 0 &gt;&gt;C:\Users\stu\Documents\GitHub\eaglep3-reporting\EC\2016-12-31-refined-times.txt</v>
      </c>
      <c r="AI157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{"issue":{"subject":"","project_id":79,"tracker_id":40,"status_id":1,"priority_id":2,"assigned_to_id":23,"start_date":"2017-01-01","description":"","custom_fields":[{"id":1,"name":"Subdivision","value":"EC"},{"id":4,"name":"Milepost","value":"0.0172"},{"id":17,"name":"Train ID","value":"244-31"},{"id":16,"name":"Locomotive ID","value":"4045"},{"id":130,"name":"Impact","value":""},{"id":150,"name":"Time of Event (Mountain Time)","value":"02:07:55"},{"id":151,"name":"Denver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4"/>
        <v>start /low /b %USERPROFILE%\Documents\GitHub\eaglep3\Utilities\DownloadLogsFromS3.py --loco 4045 --day 2017-01-01</v>
      </c>
    </row>
    <row r="158" spans="1:91" s="21" customFormat="1" x14ac:dyDescent="0.25">
      <c r="A158" s="34" t="s">
        <v>670</v>
      </c>
      <c r="B158" s="7">
        <v>4018</v>
      </c>
      <c r="C158" s="22" t="s">
        <v>205</v>
      </c>
      <c r="D158" s="22" t="s">
        <v>689</v>
      </c>
      <c r="E158" s="13">
        <v>42736.032939814817</v>
      </c>
      <c r="F158" s="13">
        <v>42736.042002314818</v>
      </c>
      <c r="G158" s="7">
        <v>1</v>
      </c>
      <c r="H158" s="22" t="s">
        <v>798</v>
      </c>
      <c r="I158" s="13">
        <v>42736.069803240738</v>
      </c>
      <c r="J158" s="7">
        <v>0</v>
      </c>
      <c r="K158" s="105" t="str">
        <f t="shared" si="51"/>
        <v>4017/4018</v>
      </c>
      <c r="L158" s="22" t="str">
        <f>VLOOKUP(A158,'Trips&amp;Operators'!$C$1:$G$99999,5,FALSE)</f>
        <v>BROWN JACOB</v>
      </c>
      <c r="M158" s="6">
        <f t="shared" si="52"/>
        <v>2.7800925920018926E-2</v>
      </c>
      <c r="N158" s="7">
        <f t="shared" si="49"/>
        <v>40.033333324827254</v>
      </c>
      <c r="O158" s="7"/>
      <c r="P158" s="7"/>
      <c r="Q158" s="23"/>
      <c r="R158" s="23"/>
      <c r="S158" s="32">
        <f t="shared" si="50"/>
        <v>1</v>
      </c>
      <c r="T158" s="47" t="str">
        <f t="shared" si="53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23:47:26-700',mode:absolute,to:'2017-01-01 02:40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8" s="49" t="str">
        <f t="shared" si="65"/>
        <v>N</v>
      </c>
      <c r="X158" s="173">
        <f t="shared" si="66"/>
        <v>1</v>
      </c>
      <c r="Y158" s="64">
        <f t="shared" si="55"/>
        <v>7.7399999999999997E-2</v>
      </c>
      <c r="Z158" s="64">
        <f t="shared" si="56"/>
        <v>23.328700000000001</v>
      </c>
      <c r="AA158" s="64">
        <f t="shared" si="57"/>
        <v>23.251300000000001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 t="shared" si="58"/>
        <v>0245-31</v>
      </c>
      <c r="AE158" s="87" t="str">
        <f t="shared" si="59"/>
        <v>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 &amp; 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</v>
      </c>
      <c r="AF158" s="84" t="str">
        <f t="shared" si="60"/>
        <v>"C:\Program Files (x86)\AstroGrep\AstroGrep.exe" /spath="%USERPROFILE%\AppData\Local\Temp\OnboardLogs" /stypes="app*4018*20170101*" /stext=" 08:.+((SYSTEM_STATE.+slice.+state.+changed )|(ment ac)|(multiple cpu faults)|(system.+state.+changed )|(\[timeout)|(PRM\|1\|D)|(kpr)|(kdp)|(\|lc)|(penalty))" /e /r /s</v>
      </c>
      <c r="AG158" s="1" t="str">
        <f t="shared" si="61"/>
        <v>EC</v>
      </c>
      <c r="AH158" s="88" t="str">
        <f t="shared" si="62"/>
        <v>"%USERPROFILE%\Documents\GitHub\eaglep3\Utilities\RefineRTDCRunTimes.py" --tripid 245-31 --locoid 4018 --swversion DE.1.0.8.0 --startMP 204:774 --initTime 2017-01-01T00:47:26 --startdatetime 2017-01-01T01:00:29 --delay 1 --endMP 204:233287 --enddatetime 2017-01-01T01:40:31 --enforcementcount 0 &gt;&gt;C:\Users\stu\Documents\GitHub\eaglep3-reporting\EC\2016-12-31-refined-times.txt</v>
      </c>
      <c r="AI158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{"issue":{"subject":"","project_id":79,"tracker_id":40,"status_id":1,"priority_id":2,"assigned_to_id":23,"start_date":"2017-01-01","description":"","custom_fields":[{"id":1,"name":"Subdivision","value":"EC"},{"id":4,"name":"Milepost","value":"23.3287"},{"id":17,"name":"Train ID","value":"245-31"},{"id":16,"name":"Locomotive ID","value":"4018"},{"id":130,"name":"Impact","value":""},{"id":150,"name":"Time of Event (Mountain Time)","value":"01:40:31"},{"id":151,"name":"Denver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4"/>
        <v>start /low /b %USERPROFILE%\Documents\GitHub\eaglep3\Utilities\DownloadLogsFromS3.py --loco 4018 --day 2017-01-01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675</v>
      </c>
      <c r="B159" s="7">
        <v>4019</v>
      </c>
      <c r="C159" s="22" t="s">
        <v>205</v>
      </c>
      <c r="D159" s="22" t="s">
        <v>799</v>
      </c>
      <c r="E159" s="13">
        <v>42736.075752314813</v>
      </c>
      <c r="F159" s="13">
        <v>42736.080729166664</v>
      </c>
      <c r="G159" s="7">
        <v>1</v>
      </c>
      <c r="H159" s="22" t="s">
        <v>192</v>
      </c>
      <c r="I159" s="13">
        <v>42736.108449074076</v>
      </c>
      <c r="J159" s="7">
        <v>0</v>
      </c>
      <c r="K159" s="105" t="str">
        <f t="shared" si="51"/>
        <v>4019/4020</v>
      </c>
      <c r="L159" s="22" t="str">
        <f>VLOOKUP(A159,'Trips&amp;Operators'!$C$1:$G$99999,5,FALSE)</f>
        <v>BROWN JACOB</v>
      </c>
      <c r="M159" s="6">
        <f t="shared" si="52"/>
        <v>2.771990741166519E-2</v>
      </c>
      <c r="N159" s="7">
        <f t="shared" si="49"/>
        <v>39.916666672797874</v>
      </c>
      <c r="O159" s="7"/>
      <c r="P159" s="7"/>
      <c r="Q159" s="23"/>
      <c r="R159" s="23"/>
      <c r="S159" s="32">
        <f t="shared" si="50"/>
        <v>1</v>
      </c>
      <c r="T159" s="47" t="str">
        <f t="shared" si="53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https://search-rtdc-monitor-bjffxe2xuh6vdkpspy63sjmuny.us-east-1.es.amazonaws.com/_plugin/kibana/#/discover/Steve-Slow-Train-Analysis-(2080s-and-2083s)?_g=(refreshInterval:(display:Off,section:0,value:0),time:(from:'2017-01-01 00:49:05-700',mode:absolute,to:'2017-01-01 03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9" s="49" t="str">
        <f t="shared" si="65"/>
        <v>N</v>
      </c>
      <c r="X159" s="173">
        <f t="shared" si="66"/>
        <v>1</v>
      </c>
      <c r="Y159" s="64">
        <f t="shared" si="55"/>
        <v>23.265499999999999</v>
      </c>
      <c r="Z159" s="64">
        <f t="shared" si="56"/>
        <v>1.43E-2</v>
      </c>
      <c r="AA159" s="64">
        <f t="shared" si="57"/>
        <v>23.251200000000001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58"/>
        <v>0246-31</v>
      </c>
      <c r="AE159" s="87" t="str">
        <f t="shared" si="59"/>
        <v>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 &amp; aws s3 cp s3://rtdc.mdm.uploadarchive.raw/RTDC4019/ "%USERPROFILE%\AppData\Local\Temp\OnboardLogs"\RTDC4019\2017-01-02 --exclude "*" --recursive --include "*20170102*" &amp; "%USERPROFILE%\Documents\GitHub\mrs-test-scripts\Headless Mode &amp; Sideloading\WalkAndUnGZ.bat" "%USERPROFILE%\AppData\Local\Temp\OnboardLogs"\RTDC4019\2017-01-02</v>
      </c>
      <c r="AF159" s="84" t="str">
        <f t="shared" si="60"/>
        <v>"C:\Program Files (x86)\AstroGrep\AstroGrep.exe" /spath="%USERPROFILE%\AppData\Local\Temp\OnboardLogs" /stypes="app*4019*20170101*" /stext=" 09:.+((SYSTEM_STATE.+slice.+state.+changed )|(ment ac)|(multiple cpu faults)|(system.+state.+changed )|(\[timeout)|(PRM\|1\|D)|(kpr)|(kdp)|(\|lc)|(penalty))" /e /r /s</v>
      </c>
      <c r="AG159" s="1" t="str">
        <f t="shared" si="61"/>
        <v>EC</v>
      </c>
      <c r="AH159" s="88" t="str">
        <f t="shared" si="62"/>
        <v>"%USERPROFILE%\Documents\GitHub\eaglep3\Utilities\RefineRTDCRunTimes.py" --tripid 246-31 --locoid 4019 --swversion DE.1.0.8.0 --startMP 204:232655 --initTime 2017-01-01T01:49:05 --startdatetime 2017-01-01T01:56:15 --delay 1 --endMP 204:143 --enddatetime 2017-01-01T02:36:10 --enforcementcount 0 &gt;&gt;C:\Users\stu\Documents\GitHub\eaglep3-reporting\EC\2016-12-31-refined-times.txt</v>
      </c>
      <c r="AI159" s="115" t="str">
        <f t="shared" si="63"/>
        <v>echo {"issue":{"subject":"","project_id":79,"tracker_id":40,"status_id":1,"priority_id":2,"assigned_to_id":23,"start_date":"2017-01-01","description":"","custom_fields":[{"id":1,"name":"Subdivision","value":"EC"},{"id":4,"name":"Milepost","value":"0.0143"},{"id":17,"name":"Train ID","value":"246-31"},{"id":16,"name":"Locomotive ID","value":"4019"},{"id":130,"name":"Impact","value":""},{"id":150,"name":"Time of Event (Mountain Time)","value":"02:36:10"},{"id":151,"name":"Denver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4"/>
        <v>start /low /b %USERPROFILE%\Documents\GitHub\eaglep3\Utilities\DownloadLogsFromS3.py --loco 4019 --day 2017-01-01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504</v>
      </c>
      <c r="B160" s="7">
        <v>4041</v>
      </c>
      <c r="C160" s="22" t="s">
        <v>205</v>
      </c>
      <c r="D160" s="22" t="s">
        <v>719</v>
      </c>
      <c r="E160" s="13">
        <v>42735.232268518521</v>
      </c>
      <c r="F160" s="13">
        <v>42735.237673611111</v>
      </c>
      <c r="G160" s="7">
        <v>1</v>
      </c>
      <c r="H160" s="22" t="s">
        <v>720</v>
      </c>
      <c r="I160" s="13">
        <v>42735.248472222222</v>
      </c>
      <c r="J160" s="7">
        <v>0</v>
      </c>
      <c r="K160" s="105" t="str">
        <f t="shared" si="51"/>
        <v>4041/4042</v>
      </c>
      <c r="L160" s="22" t="str">
        <f>VLOOKUP(A160,'Trips&amp;Operators'!$C$1:$G$99999,5,FALSE)</f>
        <v>SHOOK JOHN</v>
      </c>
      <c r="M160" s="6">
        <f t="shared" si="52"/>
        <v>1.0798611110658385E-2</v>
      </c>
      <c r="N160" s="7">
        <f t="shared" si="49"/>
        <v>15.549999999348074</v>
      </c>
      <c r="O160" s="7"/>
      <c r="P160" s="7"/>
      <c r="Q160" s="23"/>
      <c r="R160" s="23"/>
      <c r="S160" s="32">
        <f t="shared" si="50"/>
        <v>1</v>
      </c>
      <c r="T160" s="47" t="str">
        <f t="shared" si="53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04:34:28-700',mode:absolute,to:'2016-12-31 06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0" s="49" t="str">
        <f t="shared" si="65"/>
        <v>N</v>
      </c>
      <c r="X160" s="173">
        <f t="shared" si="66"/>
        <v>1554</v>
      </c>
      <c r="Y160" s="64">
        <f t="shared" si="55"/>
        <v>5.8667999999999996</v>
      </c>
      <c r="Z160" s="64">
        <f t="shared" si="56"/>
        <v>7.4099999999999999E-2</v>
      </c>
      <c r="AA160" s="64">
        <f t="shared" si="57"/>
        <v>5.7927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58"/>
        <v>1800-31</v>
      </c>
      <c r="AE160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60" s="84" t="str">
        <f t="shared" si="60"/>
        <v>"C:\Program Files (x86)\AstroGrep\AstroGrep.exe" /spath="%USERPROFILE%\AppData\Local\Temp\OnboardLogs" /stypes="app*4041*20161231*" /stext=" 12:.+((SYSTEM_STATE.+slice.+state.+changed )|(ment ac)|(multiple cpu faults)|(system.+state.+changed )|(\[timeout)|(PRM\|1\|D)|(kpr)|(kdp)|(\|lc)|(penalty))" /e /r /s</v>
      </c>
      <c r="AG160" s="1" t="str">
        <f t="shared" si="61"/>
        <v>NW</v>
      </c>
      <c r="AH160" s="88" t="str">
        <f t="shared" si="62"/>
        <v>"%USERPROFILE%\Documents\GitHub\eaglep3\Utilities\RefineRTDCRunTimes.py" --tripid 1800-31 --locoid 4041 --swversion DE.1.0.8.0 --startMP 300:58668 --initTime 2016-12-31T05:34:28 --startdatetime 2016-12-31T05:42:15 --delay 1 --endMP 204:741 --enddatetime 2016-12-31T05:57:48 --enforcementcount 0 &gt;&gt;C:\Users\stu\Documents\GitHub\eaglep3-reporting\EC\2016-12-31-refined-times.txt</v>
      </c>
      <c r="AI160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{"issue":{"subject":"","project_id":79,"tracker_id":40,"status_id":1,"priority_id":2,"assigned_to_id":23,"start_date":"2016-12-31","description":"","custom_fields":[{"id":1,"name":"Subdivision","value":"NW"},{"id":4,"name":"Milepost","value":"0.0741"},{"id":17,"name":"Train ID","value":"1800-31"},{"id":16,"name":"Locomotive ID","value":"4041"},{"id":130,"name":"Impact","value":""},{"id":150,"name":"Time of Event (Mountain Time)","value":"05:57:48"},{"id":151,"name":"Denver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4"/>
        <v>start /low /b %USERPROFILE%\Documents\GitHub\eaglep3\Utilities\DownloadLogsFromS3.py --loco 4041 --day 2016-12-31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506</v>
      </c>
      <c r="B161" s="7">
        <v>4042</v>
      </c>
      <c r="C161" s="22" t="s">
        <v>205</v>
      </c>
      <c r="D161" s="22" t="s">
        <v>721</v>
      </c>
      <c r="E161" s="13">
        <v>42735.251481481479</v>
      </c>
      <c r="F161" s="13">
        <v>42735.264907407407</v>
      </c>
      <c r="G161" s="7">
        <v>1</v>
      </c>
      <c r="H161" s="22" t="s">
        <v>722</v>
      </c>
      <c r="I161" s="13">
        <v>42735.276076388887</v>
      </c>
      <c r="J161" s="7">
        <v>0</v>
      </c>
      <c r="K161" s="105" t="str">
        <f t="shared" si="51"/>
        <v>4041/4042</v>
      </c>
      <c r="L161" s="22" t="str">
        <f>VLOOKUP(A161,'Trips&amp;Operators'!$C$1:$G$99999,5,FALSE)</f>
        <v>SHOOK JOHN</v>
      </c>
      <c r="M161" s="6">
        <f t="shared" si="52"/>
        <v>1.116898148029577E-2</v>
      </c>
      <c r="N161" s="7">
        <f t="shared" si="49"/>
        <v>16.083333331625909</v>
      </c>
      <c r="O161" s="7"/>
      <c r="P161" s="7"/>
      <c r="Q161" s="23"/>
      <c r="R161" s="23"/>
      <c r="S161" s="32">
        <f t="shared" si="50"/>
        <v>1</v>
      </c>
      <c r="T161" s="47" t="str">
        <f t="shared" si="53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05:02:08-700',mode:absolute,to:'2016-12-31 07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1" s="49" t="str">
        <f t="shared" si="65"/>
        <v>N</v>
      </c>
      <c r="X161" s="173">
        <f t="shared" si="66"/>
        <v>1</v>
      </c>
      <c r="Y161" s="64">
        <f t="shared" si="55"/>
        <v>0.10349999999999999</v>
      </c>
      <c r="Z161" s="64">
        <f t="shared" si="56"/>
        <v>5.8986000000000001</v>
      </c>
      <c r="AA161" s="64">
        <f t="shared" si="57"/>
        <v>5.7950999999999997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58"/>
        <v>1801-31</v>
      </c>
      <c r="AE161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61" s="84" t="str">
        <f t="shared" si="60"/>
        <v>"C:\Program Files (x86)\AstroGrep\AstroGrep.exe" /spath="%USERPROFILE%\AppData\Local\Temp\OnboardLogs" /stypes="app*4042*20161231*" /stext=" 13:.+((SYSTEM_STATE.+slice.+state.+changed )|(ment ac)|(multiple cpu faults)|(system.+state.+changed )|(\[timeout)|(PRM\|1\|D)|(kpr)|(kdp)|(\|lc)|(penalty))" /e /r /s</v>
      </c>
      <c r="AG161" s="1" t="str">
        <f t="shared" si="61"/>
        <v>NW</v>
      </c>
      <c r="AH161" s="88" t="str">
        <f t="shared" si="62"/>
        <v>"%USERPROFILE%\Documents\GitHub\eaglep3\Utilities\RefineRTDCRunTimes.py" --tripid 1801-31 --locoid 4042 --swversion DE.1.0.8.0 --startMP 204:1035 --initTime 2016-12-31T06:02:08 --startdatetime 2016-12-31T06:21:28 --delay 1 --endMP 300:58986 --enddatetime 2016-12-31T06:37:33 --enforcementcount 0 &gt;&gt;C:\Users\stu\Documents\GitHub\eaglep3-reporting\EC\2016-12-31-refined-times.txt</v>
      </c>
      <c r="AI161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{"issue":{"subject":"","project_id":79,"tracker_id":40,"status_id":1,"priority_id":2,"assigned_to_id":23,"start_date":"2016-12-31","description":"","custom_fields":[{"id":1,"name":"Subdivision","value":"NW"},{"id":4,"name":"Milepost","value":"5.8986"},{"id":17,"name":"Train ID","value":"1801-31"},{"id":16,"name":"Locomotive ID","value":"4042"},{"id":130,"name":"Impact","value":""},{"id":150,"name":"Time of Event (Mountain Time)","value":"06:37:33"},{"id":151,"name":"Denver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4"/>
        <v>start /low /b %USERPROFILE%\Documents\GitHub\eaglep3\Utilities\DownloadLogsFromS3.py --loco 4042 --day 2016-12-31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512</v>
      </c>
      <c r="B162" s="7">
        <v>4041</v>
      </c>
      <c r="C162" s="22" t="s">
        <v>205</v>
      </c>
      <c r="D162" s="22" t="s">
        <v>723</v>
      </c>
      <c r="E162" s="13">
        <v>42735.277638888889</v>
      </c>
      <c r="F162" s="13">
        <v>42735.279305555552</v>
      </c>
      <c r="G162" s="7">
        <v>0</v>
      </c>
      <c r="H162" s="22" t="s">
        <v>724</v>
      </c>
      <c r="I162" s="13">
        <v>42735.290023148147</v>
      </c>
      <c r="J162" s="7">
        <v>0</v>
      </c>
      <c r="K162" s="105" t="str">
        <f t="shared" si="51"/>
        <v>4041/4042</v>
      </c>
      <c r="L162" s="22" t="str">
        <f>VLOOKUP(A162,'Trips&amp;Operators'!$C$1:$G$99999,5,FALSE)</f>
        <v>SHOOK JOHN</v>
      </c>
      <c r="M162" s="6">
        <f t="shared" si="52"/>
        <v>1.0717592595028691E-2</v>
      </c>
      <c r="N162" s="7">
        <f t="shared" si="49"/>
        <v>15.433333336841315</v>
      </c>
      <c r="O162" s="7"/>
      <c r="P162" s="7"/>
      <c r="Q162" s="23"/>
      <c r="R162" s="23"/>
      <c r="S162" s="32">
        <f t="shared" si="50"/>
        <v>1</v>
      </c>
      <c r="T162" s="47" t="str">
        <f t="shared" si="53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05:39:48-700',mode:absolute,to:'2016-12-31 07:57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2" s="49" t="str">
        <f t="shared" si="65"/>
        <v>N</v>
      </c>
      <c r="X162" s="173">
        <f t="shared" ref="X162:X193" si="67">VALUE(LEFT(AD162,4))-VALUE(LEFT(AD161,4))</f>
        <v>1</v>
      </c>
      <c r="Y162" s="64">
        <f t="shared" si="55"/>
        <v>5.8655999999999997</v>
      </c>
      <c r="Z162" s="64">
        <f t="shared" si="56"/>
        <v>7.0800000000000002E-2</v>
      </c>
      <c r="AA162" s="64">
        <f t="shared" si="57"/>
        <v>5.7947999999999995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58"/>
        <v>1802-31</v>
      </c>
      <c r="AE162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62" s="84" t="str">
        <f t="shared" si="60"/>
        <v>"C:\Program Files (x86)\AstroGrep\AstroGrep.exe" /spath="%USERPROFILE%\AppData\Local\Temp\OnboardLogs" /stypes="app*4041*20161231*" /stext=" 13:.+((SYSTEM_STATE.+slice.+state.+changed )|(ment ac)|(multiple cpu faults)|(system.+state.+changed )|(\[timeout)|(PRM\|1\|D)|(kpr)|(kdp)|(\|lc)|(penalty))" /e /r /s</v>
      </c>
      <c r="AG162" s="1" t="str">
        <f t="shared" si="61"/>
        <v>NW</v>
      </c>
      <c r="AH162" s="88" t="str">
        <f t="shared" si="62"/>
        <v>"%USERPROFILE%\Documents\GitHub\eaglep3\Utilities\RefineRTDCRunTimes.py" --tripid 1802-31 --locoid 4041 --swversion DE.1.0.8.0 --startMP 300:58656 --initTime 2016-12-31T06:39:48 --startdatetime 2016-12-31T06:42:12 --delay 0 --endMP 204:708 --enddatetime 2016-12-31T06:57:38 --enforcementcount 0 &gt;&gt;C:\Users\stu\Documents\GitHub\eaglep3-reporting\EC\2016-12-31-refined-times.txt</v>
      </c>
      <c r="AI162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{"issue":{"subject":"","project_id":79,"tracker_id":40,"status_id":1,"priority_id":2,"assigned_to_id":23,"start_date":"2016-12-31","description":"","custom_fields":[{"id":1,"name":"Subdivision","value":"NW"},{"id":4,"name":"Milepost","value":"0.0708"},{"id":17,"name":"Train ID","value":"1802-31"},{"id":16,"name":"Locomotive ID","value":"4041"},{"id":130,"name":"Impact","value":""},{"id":150,"name":"Time of Event (Mountain Time)","value":"06:57:38"},{"id":151,"name":"Denver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4"/>
        <v>start /low /b %USERPROFILE%\Documents\GitHub\eaglep3\Utilities\DownloadLogsFromS3.py --loco 4041 --day 2016-12-31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516</v>
      </c>
      <c r="B163" s="7">
        <v>4042</v>
      </c>
      <c r="C163" s="22" t="s">
        <v>205</v>
      </c>
      <c r="D163" s="22" t="s">
        <v>725</v>
      </c>
      <c r="E163" s="13">
        <v>42735.292696759258</v>
      </c>
      <c r="F163" s="13">
        <v>42735.306435185186</v>
      </c>
      <c r="G163" s="7">
        <v>1</v>
      </c>
      <c r="H163" s="22" t="s">
        <v>726</v>
      </c>
      <c r="I163" s="13">
        <v>42735.317372685182</v>
      </c>
      <c r="J163" s="7">
        <v>0</v>
      </c>
      <c r="K163" s="105" t="str">
        <f t="shared" si="51"/>
        <v>4041/4042</v>
      </c>
      <c r="L163" s="22" t="str">
        <f>VLOOKUP(A163,'Trips&amp;Operators'!$C$1:$G$99999,5,FALSE)</f>
        <v>SHOOK JOHN</v>
      </c>
      <c r="M163" s="6">
        <f t="shared" si="52"/>
        <v>1.0937499995634425E-2</v>
      </c>
      <c r="N163" s="7">
        <f t="shared" si="49"/>
        <v>15.749999993713573</v>
      </c>
      <c r="O163" s="7"/>
      <c r="P163" s="7"/>
      <c r="Q163" s="23"/>
      <c r="R163" s="23"/>
      <c r="S163" s="32">
        <f t="shared" si="50"/>
        <v>1</v>
      </c>
      <c r="T163" s="47" t="str">
        <f t="shared" si="53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06:01:29-700',mode:absolute,to:'2016-12-31 08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3" s="49" t="str">
        <f t="shared" si="65"/>
        <v>N</v>
      </c>
      <c r="X163" s="173">
        <f t="shared" si="67"/>
        <v>1</v>
      </c>
      <c r="Y163" s="64">
        <f t="shared" si="55"/>
        <v>0.1011</v>
      </c>
      <c r="Z163" s="64">
        <f t="shared" si="56"/>
        <v>5.8993000000000002</v>
      </c>
      <c r="AA163" s="64">
        <f t="shared" si="57"/>
        <v>5.7982000000000005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58"/>
        <v>1803-31</v>
      </c>
      <c r="AE163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63" s="84" t="str">
        <f t="shared" si="60"/>
        <v>"C:\Program Files (x86)\AstroGrep\AstroGrep.exe" /spath="%USERPROFILE%\AppData\Local\Temp\OnboardLogs" /stypes="app*4042*20161231*" /stext=" 14:.+((SYSTEM_STATE.+slice.+state.+changed )|(ment ac)|(multiple cpu faults)|(system.+state.+changed )|(\[timeout)|(PRM\|1\|D)|(kpr)|(kdp)|(\|lc)|(penalty))" /e /r /s</v>
      </c>
      <c r="AG163" s="1" t="str">
        <f t="shared" si="61"/>
        <v>NW</v>
      </c>
      <c r="AH163" s="88" t="str">
        <f t="shared" si="62"/>
        <v>"%USERPROFILE%\Documents\GitHub\eaglep3\Utilities\RefineRTDCRunTimes.py" --tripid 1803-31 --locoid 4042 --swversion DE.1.0.8.0 --startMP 204:1011 --initTime 2016-12-31T07:01:29 --startdatetime 2016-12-31T07:21:16 --delay 1 --endMP 300:58993 --enddatetime 2016-12-31T07:37:01 --enforcementcount 0 &gt;&gt;C:\Users\stu\Documents\GitHub\eaglep3-reporting\EC\2016-12-31-refined-times.txt</v>
      </c>
      <c r="AI163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{"issue":{"subject":"","project_id":79,"tracker_id":40,"status_id":1,"priority_id":2,"assigned_to_id":23,"start_date":"2016-12-31","description":"","custom_fields":[{"id":1,"name":"Subdivision","value":"NW"},{"id":4,"name":"Milepost","value":"5.8993"},{"id":17,"name":"Train ID","value":"1803-31"},{"id":16,"name":"Locomotive ID","value":"4042"},{"id":130,"name":"Impact","value":""},{"id":150,"name":"Time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4"/>
        <v>start /low /b %USERPROFILE%\Documents\GitHub\eaglep3\Utilities\DownloadLogsFromS3.py --loco 4042 --day 2016-12-31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522</v>
      </c>
      <c r="B164" s="7">
        <v>4041</v>
      </c>
      <c r="C164" s="22" t="s">
        <v>205</v>
      </c>
      <c r="D164" s="22" t="s">
        <v>727</v>
      </c>
      <c r="E164" s="13">
        <v>42735.319224537037</v>
      </c>
      <c r="F164" s="13">
        <v>42735.320752314816</v>
      </c>
      <c r="G164" s="7">
        <v>1</v>
      </c>
      <c r="H164" s="22" t="s">
        <v>728</v>
      </c>
      <c r="I164" s="13">
        <v>42735.331284722219</v>
      </c>
      <c r="J164" s="7">
        <v>0</v>
      </c>
      <c r="K164" s="105" t="str">
        <f t="shared" si="51"/>
        <v>4041/4042</v>
      </c>
      <c r="L164" s="22" t="str">
        <f>VLOOKUP(A164,'Trips&amp;Operators'!$C$1:$G$99999,5,FALSE)</f>
        <v>SHOOK JOHN</v>
      </c>
      <c r="M164" s="6">
        <f t="shared" si="52"/>
        <v>1.0532407402934041E-2</v>
      </c>
      <c r="N164" s="7">
        <f t="shared" si="49"/>
        <v>15.166666660225019</v>
      </c>
      <c r="O164" s="7"/>
      <c r="P164" s="7"/>
      <c r="Q164" s="23"/>
      <c r="R164" s="23"/>
      <c r="S164" s="32">
        <f t="shared" si="50"/>
        <v>1</v>
      </c>
      <c r="T164" s="47" t="str">
        <f t="shared" si="53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06:39:41-700',mode:absolute,to:'2016-12-31 08:57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4" s="49" t="str">
        <f t="shared" si="65"/>
        <v>N</v>
      </c>
      <c r="X164" s="173">
        <f t="shared" si="67"/>
        <v>1</v>
      </c>
      <c r="Y164" s="64">
        <f t="shared" si="55"/>
        <v>5.8666</v>
      </c>
      <c r="Z164" s="64">
        <f t="shared" si="56"/>
        <v>7.2400000000000006E-2</v>
      </c>
      <c r="AA164" s="64">
        <f t="shared" si="57"/>
        <v>5.7942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58"/>
        <v>1804-31</v>
      </c>
      <c r="AE164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64" s="84" t="str">
        <f t="shared" si="60"/>
        <v>"C:\Program Files (x86)\AstroGrep\AstroGrep.exe" /spath="%USERPROFILE%\AppData\Local\Temp\OnboardLogs" /stypes="app*4041*20161231*" /stext=" 14:.+((SYSTEM_STATE.+slice.+state.+changed )|(ment ac)|(multiple cpu faults)|(system.+state.+changed )|(\[timeout)|(PRM\|1\|D)|(kpr)|(kdp)|(\|lc)|(penalty))" /e /r /s</v>
      </c>
      <c r="AG164" s="1" t="str">
        <f t="shared" si="61"/>
        <v>NW</v>
      </c>
      <c r="AH164" s="88" t="str">
        <f t="shared" si="62"/>
        <v>"%USERPROFILE%\Documents\GitHub\eaglep3\Utilities\RefineRTDCRunTimes.py" --tripid 1804-31 --locoid 4041 --swversion DE.1.0.8.0 --startMP 300:58666 --initTime 2016-12-31T07:39:41 --startdatetime 2016-12-31T07:41:53 --delay 1 --endMP 204:724 --enddatetime 2016-12-31T07:57:03 --enforcementcount 0 &gt;&gt;C:\Users\stu\Documents\GitHub\eaglep3-reporting\EC\2016-12-31-refined-times.txt</v>
      </c>
      <c r="AI164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{"issue":{"subject":"","project_id":79,"tracker_id":40,"status_id":1,"priority_id":2,"assigned_to_id":23,"start_date":"2016-12-31","description":"","custom_fields":[{"id":1,"name":"Subdivision","value":"NW"},{"id":4,"name":"Milepost","value":"0.0724"},{"id":17,"name":"Train ID","value":"1804-31"},{"id":16,"name":"Locomotive ID","value":"4041"},{"id":130,"name":"Impact","value":""},{"id":150,"name":"Time of Event (Mountain Time)","value":"07:57:03"},{"id":151,"name":"Denver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4"/>
        <v>start /low /b %USERPROFILE%\Documents\GitHub\eaglep3\Utilities\DownloadLogsFromS3.py --loco 4041 --day 2016-12-31</v>
      </c>
    </row>
    <row r="165" spans="1:91" x14ac:dyDescent="0.25">
      <c r="A165" s="34" t="s">
        <v>526</v>
      </c>
      <c r="B165" s="7">
        <v>4042</v>
      </c>
      <c r="C165" s="22" t="s">
        <v>205</v>
      </c>
      <c r="D165" s="22" t="s">
        <v>729</v>
      </c>
      <c r="E165" s="13">
        <v>42735.333796296298</v>
      </c>
      <c r="F165" s="13">
        <v>42735.348090277781</v>
      </c>
      <c r="G165" s="7">
        <v>1</v>
      </c>
      <c r="H165" s="22" t="s">
        <v>730</v>
      </c>
      <c r="I165" s="13">
        <v>42735.35833333333</v>
      </c>
      <c r="J165" s="7">
        <v>0</v>
      </c>
      <c r="K165" s="105" t="str">
        <f t="shared" si="51"/>
        <v>4041/4042</v>
      </c>
      <c r="L165" s="22" t="str">
        <f>VLOOKUP(A165,'Trips&amp;Operators'!$C$1:$G$99999,5,FALSE)</f>
        <v>SHOOK JOHN</v>
      </c>
      <c r="M165" s="6">
        <f t="shared" si="52"/>
        <v>1.024305554892635E-2</v>
      </c>
      <c r="N165" s="7">
        <f t="shared" si="49"/>
        <v>14.749999990453944</v>
      </c>
      <c r="O165" s="7"/>
      <c r="P165" s="7"/>
      <c r="Q165" s="23"/>
      <c r="R165" s="23"/>
      <c r="S165" s="32">
        <f t="shared" si="50"/>
        <v>1</v>
      </c>
      <c r="T165" s="47" t="str">
        <f t="shared" si="53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07:00:40-700',mode:absolute,to:'2016-12-31 09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5" s="49" t="str">
        <f t="shared" si="65"/>
        <v>N</v>
      </c>
      <c r="X165" s="173">
        <f t="shared" si="67"/>
        <v>1</v>
      </c>
      <c r="Y165" s="64">
        <f t="shared" si="55"/>
        <v>0.10199999999999999</v>
      </c>
      <c r="Z165" s="64">
        <f t="shared" si="56"/>
        <v>5.8087999999999997</v>
      </c>
      <c r="AA165" s="64">
        <f t="shared" si="57"/>
        <v>5.7067999999999994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58"/>
        <v>1805-31</v>
      </c>
      <c r="AE165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65" s="84" t="str">
        <f t="shared" si="60"/>
        <v>"C:\Program Files (x86)\AstroGrep\AstroGrep.exe" /spath="%USERPROFILE%\AppData\Local\Temp\OnboardLogs" /stypes="app*4042*20161231*" /stext=" 15:.+((SYSTEM_STATE.+slice.+state.+changed )|(ment ac)|(multiple cpu faults)|(system.+state.+changed )|(\[timeout)|(PRM\|1\|D)|(kpr)|(kdp)|(\|lc)|(penalty))" /e /r /s</v>
      </c>
      <c r="AG165" s="1" t="str">
        <f t="shared" si="61"/>
        <v>NW</v>
      </c>
      <c r="AH165" s="88" t="str">
        <f t="shared" si="62"/>
        <v>"%USERPROFILE%\Documents\GitHub\eaglep3\Utilities\RefineRTDCRunTimes.py" --tripid 1805-31 --locoid 4042 --swversion DE.1.0.8.0 --startMP 204:1020 --initTime 2016-12-31T08:00:40 --startdatetime 2016-12-31T08:21:15 --delay 1 --endMP 300:58088 --enddatetime 2016-12-31T08:36:00 --enforcementcount 0 &gt;&gt;C:\Users\stu\Documents\GitHub\eaglep3-reporting\EC\2016-12-31-refined-times.txt</v>
      </c>
      <c r="AI165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{"issue":{"subject":"","project_id":79,"tracker_id":40,"status_id":1,"priority_id":2,"assigned_to_id":23,"start_date":"2016-12-31","description":"","custom_fields":[{"id":1,"name":"Subdivision","value":"NW"},{"id":4,"name":"Milepost","value":"5.8088"},{"id":17,"name":"Train ID","value":"1805-31"},{"id":16,"name":"Locomotive ID","value":"4042"},{"id":130,"name":"Impact","value":""},{"id":150,"name":"Time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4"/>
        <v>start /low /b %USERPROFILE%\Documents\GitHub\eaglep3\Utilities\DownloadLogsFromS3.py --loco 4042 --day 2016-12-31</v>
      </c>
    </row>
    <row r="166" spans="1:91" x14ac:dyDescent="0.25">
      <c r="A166" s="34" t="s">
        <v>533</v>
      </c>
      <c r="B166" s="7">
        <v>4041</v>
      </c>
      <c r="C166" s="22" t="s">
        <v>205</v>
      </c>
      <c r="D166" s="22" t="s">
        <v>424</v>
      </c>
      <c r="E166" s="13">
        <v>42735.36041666667</v>
      </c>
      <c r="F166" s="13">
        <v>42735.362083333333</v>
      </c>
      <c r="G166" s="7">
        <v>1</v>
      </c>
      <c r="H166" s="22" t="s">
        <v>430</v>
      </c>
      <c r="I166" s="13">
        <v>42735.372523148151</v>
      </c>
      <c r="J166" s="7">
        <v>0</v>
      </c>
      <c r="K166" s="105" t="str">
        <f t="shared" si="51"/>
        <v>4041/4042</v>
      </c>
      <c r="L166" s="22" t="str">
        <f>VLOOKUP(A166,'Trips&amp;Operators'!$C$1:$G$99999,5,FALSE)</f>
        <v>SHOOK JOHN</v>
      </c>
      <c r="M166" s="6">
        <f t="shared" si="52"/>
        <v>1.0439814817800652E-2</v>
      </c>
      <c r="N166" s="7">
        <f t="shared" si="49"/>
        <v>15.033333337632939</v>
      </c>
      <c r="O166" s="7"/>
      <c r="P166" s="7"/>
      <c r="Q166" s="23"/>
      <c r="R166" s="23"/>
      <c r="S166" s="32">
        <f t="shared" si="50"/>
        <v>1</v>
      </c>
      <c r="T166" s="47" t="str">
        <f t="shared" si="53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07:39:00-700',mode:absolute,to:'2016-12-31 09:56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6" s="49" t="str">
        <f t="shared" si="65"/>
        <v>N</v>
      </c>
      <c r="X166" s="173">
        <f t="shared" si="67"/>
        <v>1</v>
      </c>
      <c r="Y166" s="64">
        <f t="shared" si="55"/>
        <v>5.8685</v>
      </c>
      <c r="Z166" s="64">
        <f t="shared" si="56"/>
        <v>7.1499999999999994E-2</v>
      </c>
      <c r="AA166" s="64">
        <f t="shared" si="57"/>
        <v>5.7969999999999997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58"/>
        <v>1806-31</v>
      </c>
      <c r="AE166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66" s="84" t="str">
        <f t="shared" si="60"/>
        <v>"C:\Program Files (x86)\AstroGrep\AstroGrep.exe" /spath="%USERPROFILE%\AppData\Local\Temp\OnboardLogs" /stypes="app*4041*20161231*" /stext=" 15:.+((SYSTEM_STATE.+slice.+state.+changed )|(ment ac)|(multiple cpu faults)|(system.+state.+changed )|(\[timeout)|(PRM\|1\|D)|(kpr)|(kdp)|(\|lc)|(penalty))" /e /r /s</v>
      </c>
      <c r="AG166" s="1" t="str">
        <f t="shared" si="61"/>
        <v>NW</v>
      </c>
      <c r="AH166" s="88" t="str">
        <f t="shared" si="62"/>
        <v>"%USERPROFILE%\Documents\GitHub\eaglep3\Utilities\RefineRTDCRunTimes.py" --tripid 1806-31 --locoid 4041 --swversion DE.1.0.8.0 --startMP 300:58685 --initTime 2016-12-31T08:39:00 --startdatetime 2016-12-31T08:41:24 --delay 1 --endMP 204:715 --enddatetime 2016-12-31T08:56:26 --enforcementcount 0 &gt;&gt;C:\Users\stu\Documents\GitHub\eaglep3-reporting\EC\2016-12-31-refined-times.txt</v>
      </c>
      <c r="AI166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{"issue":{"subject":"","project_id":79,"tracker_id":40,"status_id":1,"priority_id":2,"assigned_to_id":23,"start_date":"2016-12-31","description":"","custom_fields":[{"id":1,"name":"Subdivision","value":"NW"},{"id":4,"name":"Milepost","value":"0.0715"},{"id":17,"name":"Train ID","value":"1806-31"},{"id":16,"name":"Locomotive ID","value":"4041"},{"id":130,"name":"Impact","value":""},{"id":150,"name":"Time of Event (Mountain Time)","value":"08:56:26"},{"id":151,"name":"Denver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4"/>
        <v>start /low /b %USERPROFILE%\Documents\GitHub\eaglep3\Utilities\DownloadLogsFromS3.py --loco 4041 --day 2016-12-31</v>
      </c>
    </row>
    <row r="167" spans="1:91" x14ac:dyDescent="0.25">
      <c r="A167" s="34" t="s">
        <v>536</v>
      </c>
      <c r="B167" s="7">
        <v>4042</v>
      </c>
      <c r="C167" s="22" t="s">
        <v>205</v>
      </c>
      <c r="D167" s="22" t="s">
        <v>729</v>
      </c>
      <c r="E167" s="13">
        <v>42735.375115740739</v>
      </c>
      <c r="F167" s="13">
        <v>42735.389791666668</v>
      </c>
      <c r="G167" s="7">
        <v>1</v>
      </c>
      <c r="H167" s="22" t="s">
        <v>731</v>
      </c>
      <c r="I167" s="13">
        <v>42735.400694444441</v>
      </c>
      <c r="J167" s="7">
        <v>0</v>
      </c>
      <c r="K167" s="105" t="str">
        <f t="shared" si="51"/>
        <v>4041/4042</v>
      </c>
      <c r="L167" s="22" t="str">
        <f>VLOOKUP(A167,'Trips&amp;Operators'!$C$1:$G$99999,5,FALSE)</f>
        <v>SHOOK JOHN</v>
      </c>
      <c r="M167" s="6">
        <f t="shared" si="52"/>
        <v>1.0902777772571426E-2</v>
      </c>
      <c r="N167" s="7">
        <f t="shared" si="49"/>
        <v>15.699999992502853</v>
      </c>
      <c r="O167" s="7"/>
      <c r="P167" s="7"/>
      <c r="Q167" s="23"/>
      <c r="R167" s="23"/>
      <c r="S167" s="32">
        <f t="shared" si="50"/>
        <v>1</v>
      </c>
      <c r="T167" s="47" t="str">
        <f t="shared" si="53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08:00:10-700',mode:absolute,to:'2016-12-31 10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7" s="49" t="str">
        <f t="shared" si="65"/>
        <v>N</v>
      </c>
      <c r="X167" s="173">
        <f t="shared" si="67"/>
        <v>1</v>
      </c>
      <c r="Y167" s="64">
        <f t="shared" si="55"/>
        <v>0.10199999999999999</v>
      </c>
      <c r="Z167" s="64">
        <f t="shared" si="56"/>
        <v>5.899</v>
      </c>
      <c r="AA167" s="64">
        <f t="shared" si="57"/>
        <v>5.7969999999999997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58"/>
        <v>1807-31</v>
      </c>
      <c r="AE167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67" s="84" t="str">
        <f t="shared" si="60"/>
        <v>"C:\Program Files (x86)\AstroGrep\AstroGrep.exe" /spath="%USERPROFILE%\AppData\Local\Temp\OnboardLogs" /stypes="app*4042*20161231*" /stext=" 16:.+((SYSTEM_STATE.+slice.+state.+changed )|(ment ac)|(multiple cpu faults)|(system.+state.+changed )|(\[timeout)|(PRM\|1\|D)|(kpr)|(kdp)|(\|lc)|(penalty))" /e /r /s</v>
      </c>
      <c r="AG167" s="1" t="str">
        <f t="shared" si="61"/>
        <v>NW</v>
      </c>
      <c r="AH167" s="88" t="str">
        <f t="shared" si="62"/>
        <v>"%USERPROFILE%\Documents\GitHub\eaglep3\Utilities\RefineRTDCRunTimes.py" --tripid 1807-31 --locoid 4042 --swversion DE.1.0.8.0 --startMP 204:1020 --initTime 2016-12-31T09:00:10 --startdatetime 2016-12-31T09:21:18 --delay 1 --endMP 300:58990 --enddatetime 2016-12-31T09:37:00 --enforcementcount 0 &gt;&gt;C:\Users\stu\Documents\GitHub\eaglep3-reporting\EC\2016-12-31-refined-times.txt</v>
      </c>
      <c r="AI167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{"issue":{"subject":"","project_id":79,"tracker_id":40,"status_id":1,"priority_id":2,"assigned_to_id":23,"start_date":"2016-12-31","description":"","custom_fields":[{"id":1,"name":"Subdivision","value":"NW"},{"id":4,"name":"Milepost","value":"5.899"},{"id":17,"name":"Train ID","value":"1807-31"},{"id":16,"name":"Locomotive ID","value":"4042"},{"id":130,"name":"Impact","value":""},{"id":150,"name":"Time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4"/>
        <v>start /low /b %USERPROFILE%\Documents\GitHub\eaglep3\Utilities\DownloadLogsFromS3.py --loco 4042 --day 2016-12-31</v>
      </c>
    </row>
    <row r="168" spans="1:91" s="21" customFormat="1" x14ac:dyDescent="0.25">
      <c r="A168" s="34" t="s">
        <v>543</v>
      </c>
      <c r="B168" s="7">
        <v>4041</v>
      </c>
      <c r="C168" s="22" t="s">
        <v>205</v>
      </c>
      <c r="D168" s="22" t="s">
        <v>732</v>
      </c>
      <c r="E168" s="13">
        <v>42735.402268518519</v>
      </c>
      <c r="F168" s="13">
        <v>42735.40388888889</v>
      </c>
      <c r="G168" s="7">
        <v>1</v>
      </c>
      <c r="H168" s="22" t="s">
        <v>728</v>
      </c>
      <c r="I168" s="13">
        <v>42735.414155092592</v>
      </c>
      <c r="J168" s="7">
        <v>0</v>
      </c>
      <c r="K168" s="105" t="str">
        <f t="shared" si="51"/>
        <v>4041/4042</v>
      </c>
      <c r="L168" s="22" t="str">
        <f>VLOOKUP(A168,'Trips&amp;Operators'!$C$1:$G$99999,5,FALSE)</f>
        <v>SHOOK JOHN</v>
      </c>
      <c r="M168" s="6">
        <f t="shared" si="52"/>
        <v>1.0266203702485655E-2</v>
      </c>
      <c r="N168" s="7">
        <f t="shared" si="49"/>
        <v>14.783333331579342</v>
      </c>
      <c r="O168" s="7"/>
      <c r="P168" s="7"/>
      <c r="Q168" s="23"/>
      <c r="R168" s="23"/>
      <c r="S168" s="32">
        <f t="shared" si="50"/>
        <v>1</v>
      </c>
      <c r="T168" s="47" t="str">
        <f t="shared" si="53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08:39:16-700',mode:absolute,to:'2016-12-31 10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8" s="49" t="str">
        <f t="shared" si="65"/>
        <v>N</v>
      </c>
      <c r="X168" s="173">
        <f t="shared" si="67"/>
        <v>1</v>
      </c>
      <c r="Y168" s="64">
        <f t="shared" si="55"/>
        <v>5.8662000000000001</v>
      </c>
      <c r="Z168" s="64">
        <f t="shared" si="56"/>
        <v>7.2400000000000006E-2</v>
      </c>
      <c r="AA168" s="64">
        <f t="shared" si="57"/>
        <v>5.7938000000000001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58"/>
        <v>1808-31</v>
      </c>
      <c r="AE168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68" s="84" t="str">
        <f t="shared" si="60"/>
        <v>"C:\Program Files (x86)\AstroGrep\AstroGrep.exe" /spath="%USERPROFILE%\AppData\Local\Temp\OnboardLogs" /stypes="app*4041*20161231*" /stext=" 16:.+((SYSTEM_STATE.+slice.+state.+changed )|(ment ac)|(multiple cpu faults)|(system.+state.+changed )|(\[timeout)|(PRM\|1\|D)|(kpr)|(kdp)|(\|lc)|(penalty))" /e /r /s</v>
      </c>
      <c r="AG168" s="1" t="str">
        <f t="shared" si="61"/>
        <v>NW</v>
      </c>
      <c r="AH168" s="88" t="str">
        <f t="shared" si="62"/>
        <v>"%USERPROFILE%\Documents\GitHub\eaglep3\Utilities\RefineRTDCRunTimes.py" --tripid 1808-31 --locoid 4041 --swversion DE.1.0.8.0 --startMP 300:58662 --initTime 2016-12-31T09:39:16 --startdatetime 2016-12-31T09:41:36 --delay 1 --endMP 204:724 --enddatetime 2016-12-31T09:56:23 --enforcementcount 0 &gt;&gt;C:\Users\stu\Documents\GitHub\eaglep3-reporting\EC\2016-12-31-refined-times.txt</v>
      </c>
      <c r="AI168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{"issue":{"subject":"","project_id":79,"tracker_id":40,"status_id":1,"priority_id":2,"assigned_to_id":23,"start_date":"2016-12-31","description":"","custom_fields":[{"id":1,"name":"Subdivision","value":"NW"},{"id":4,"name":"Milepost","value":"0.0724"},{"id":17,"name":"Train ID","value":"1808-31"},{"id":16,"name":"Locomotive ID","value":"4041"},{"id":130,"name":"Impact","value":""},{"id":150,"name":"Time of Event (Mountain Time)","value":"09:56:23"},{"id":151,"name":"Denver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4"/>
        <v>start /low /b %USERPROFILE%\Documents\GitHub\eaglep3\Utilities\DownloadLogsFromS3.py --loco 4041 --day 2016-12-31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546</v>
      </c>
      <c r="B169" s="7">
        <v>4042</v>
      </c>
      <c r="C169" s="22" t="s">
        <v>205</v>
      </c>
      <c r="D169" s="22" t="s">
        <v>733</v>
      </c>
      <c r="E169" s="13">
        <v>42735.416192129633</v>
      </c>
      <c r="F169" s="13">
        <v>42735.431435185186</v>
      </c>
      <c r="G169" s="7">
        <v>1</v>
      </c>
      <c r="H169" s="22" t="s">
        <v>734</v>
      </c>
      <c r="I169" s="13">
        <v>42735.442696759259</v>
      </c>
      <c r="J169" s="7">
        <v>0</v>
      </c>
      <c r="K169" s="105" t="str">
        <f t="shared" si="51"/>
        <v>4041/4042</v>
      </c>
      <c r="L169" s="22" t="str">
        <f>VLOOKUP(A169,'Trips&amp;Operators'!$C$1:$G$99999,5,FALSE)</f>
        <v>SHOOK JOHN</v>
      </c>
      <c r="M169" s="6">
        <f t="shared" si="52"/>
        <v>1.1261574072705116E-2</v>
      </c>
      <c r="N169" s="7">
        <f t="shared" ref="N169:N200" si="68">24*60*SUM($M169:$M169)</f>
        <v>16.216666664695367</v>
      </c>
      <c r="O169" s="7"/>
      <c r="P169" s="7"/>
      <c r="Q169" s="23"/>
      <c r="R169" s="23"/>
      <c r="S169" s="32">
        <f t="shared" ref="S169:S200" si="69">SUM(U169:U169)/IF(AG169="EC",12,1)</f>
        <v>1</v>
      </c>
      <c r="T169" s="47" t="str">
        <f t="shared" si="53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08:59:19-700',mode:absolute,to:'2016-12-31 11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9" s="49" t="str">
        <f t="shared" si="65"/>
        <v>N</v>
      </c>
      <c r="X169" s="173">
        <f t="shared" si="67"/>
        <v>1</v>
      </c>
      <c r="Y169" s="64">
        <f t="shared" si="55"/>
        <v>0.10340000000000001</v>
      </c>
      <c r="Z169" s="64">
        <f t="shared" si="56"/>
        <v>5.8978000000000002</v>
      </c>
      <c r="AA169" s="64">
        <f t="shared" si="57"/>
        <v>5.7944000000000004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58"/>
        <v>1809-31</v>
      </c>
      <c r="AE169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69" s="84" t="str">
        <f t="shared" si="60"/>
        <v>"C:\Program Files (x86)\AstroGrep\AstroGrep.exe" /spath="%USERPROFILE%\AppData\Local\Temp\OnboardLogs" /stypes="app*4042*20161231*" /stext=" 17:.+((SYSTEM_STATE.+slice.+state.+changed )|(ment ac)|(multiple cpu faults)|(system.+state.+changed )|(\[timeout)|(PRM\|1\|D)|(kpr)|(kdp)|(\|lc)|(penalty))" /e /r /s</v>
      </c>
      <c r="AG169" s="1" t="str">
        <f t="shared" si="61"/>
        <v>NW</v>
      </c>
      <c r="AH169" s="88" t="str">
        <f t="shared" si="62"/>
        <v>"%USERPROFILE%\Documents\GitHub\eaglep3\Utilities\RefineRTDCRunTimes.py" --tripid 1809-31 --locoid 4042 --swversion DE.1.0.8.0 --startMP 204:1034 --initTime 2016-12-31T09:59:19 --startdatetime 2016-12-31T10:21:16 --delay 1 --endMP 300:58978 --enddatetime 2016-12-31T10:37:29 --enforcementcount 0 &gt;&gt;C:\Users\stu\Documents\GitHub\eaglep3-reporting\EC\2016-12-31-refined-times.txt</v>
      </c>
      <c r="AI169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{"issue":{"subject":"","project_id":79,"tracker_id":40,"status_id":1,"priority_id":2,"assigned_to_id":23,"start_date":"2016-12-31","description":"","custom_fields":[{"id":1,"name":"Subdivision","value":"NW"},{"id":4,"name":"Milepost","value":"5.8978"},{"id":17,"name":"Train ID","value":"1809-31"},{"id":16,"name":"Locomotive ID","value":"4042"},{"id":130,"name":"Impact","value":""},{"id":150,"name":"Time of Event (Mountain Time)","value":"10:37:29"},{"id":151,"name":"Denver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4"/>
        <v>start /low /b %USERPROFILE%\Documents\GitHub\eaglep3\Utilities\DownloadLogsFromS3.py --loco 4042 --day 2016-12-31</v>
      </c>
    </row>
    <row r="170" spans="1:91" x14ac:dyDescent="0.25">
      <c r="A170" s="34" t="s">
        <v>555</v>
      </c>
      <c r="B170" s="7">
        <v>4041</v>
      </c>
      <c r="C170" s="22" t="s">
        <v>205</v>
      </c>
      <c r="D170" s="22" t="s">
        <v>735</v>
      </c>
      <c r="E170" s="13">
        <v>42735.444166666668</v>
      </c>
      <c r="F170" s="13">
        <v>42735.445833333331</v>
      </c>
      <c r="G170" s="7">
        <v>1</v>
      </c>
      <c r="H170" s="22" t="s">
        <v>736</v>
      </c>
      <c r="I170" s="13">
        <v>42735.456782407404</v>
      </c>
      <c r="J170" s="7">
        <v>0</v>
      </c>
      <c r="K170" s="105" t="str">
        <f t="shared" si="51"/>
        <v>4041/4042</v>
      </c>
      <c r="L170" s="22" t="str">
        <f>VLOOKUP(A170,'Trips&amp;Operators'!$C$1:$G$99999,5,FALSE)</f>
        <v>SHOOK JOHN</v>
      </c>
      <c r="M170" s="6">
        <f t="shared" si="52"/>
        <v>1.0949074072414078E-2</v>
      </c>
      <c r="N170" s="7">
        <f t="shared" si="68"/>
        <v>15.766666664276272</v>
      </c>
      <c r="O170" s="7"/>
      <c r="P170" s="7"/>
      <c r="Q170" s="23"/>
      <c r="R170" s="23"/>
      <c r="S170" s="32">
        <f t="shared" si="69"/>
        <v>1</v>
      </c>
      <c r="T170" s="47" t="str">
        <f t="shared" si="53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09:39:36-700',mode:absolute,to:'2016-12-31 11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0" s="49" t="str">
        <f t="shared" si="65"/>
        <v>N</v>
      </c>
      <c r="X170" s="173">
        <f t="shared" si="67"/>
        <v>1</v>
      </c>
      <c r="Y170" s="64">
        <f t="shared" si="55"/>
        <v>5.867</v>
      </c>
      <c r="Z170" s="64">
        <f t="shared" si="56"/>
        <v>7.2700000000000001E-2</v>
      </c>
      <c r="AA170" s="64">
        <f t="shared" si="57"/>
        <v>5.7942999999999998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58"/>
        <v>1810-31</v>
      </c>
      <c r="AE170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70" s="84" t="str">
        <f t="shared" si="60"/>
        <v>"C:\Program Files (x86)\AstroGrep\AstroGrep.exe" /spath="%USERPROFILE%\AppData\Local\Temp\OnboardLogs" /stypes="app*4041*20161231*" /stext=" 17:.+((SYSTEM_STATE.+slice.+state.+changed )|(ment ac)|(multiple cpu faults)|(system.+state.+changed )|(\[timeout)|(PRM\|1\|D)|(kpr)|(kdp)|(\|lc)|(penalty))" /e /r /s</v>
      </c>
      <c r="AG170" s="1" t="str">
        <f t="shared" si="61"/>
        <v>NW</v>
      </c>
      <c r="AH170" s="88" t="str">
        <f t="shared" si="62"/>
        <v>"%USERPROFILE%\Documents\GitHub\eaglep3\Utilities\RefineRTDCRunTimes.py" --tripid 1810-31 --locoid 4041 --swversion DE.1.0.8.0 --startMP 300:58670 --initTime 2016-12-31T10:39:36 --startdatetime 2016-12-31T10:42:00 --delay 1 --endMP 204:727 --enddatetime 2016-12-31T10:57:46 --enforcementcount 0 &gt;&gt;C:\Users\stu\Documents\GitHub\eaglep3-reporting\EC\2016-12-31-refined-times.txt</v>
      </c>
      <c r="AI170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{"issue":{"subject":"","project_id":79,"tracker_id":40,"status_id":1,"priority_id":2,"assigned_to_id":23,"start_date":"2016-12-31","description":"","custom_fields":[{"id":1,"name":"Subdivision","value":"NW"},{"id":4,"name":"Milepost","value":"0.0727"},{"id":17,"name":"Train ID","value":"1810-31"},{"id":16,"name":"Locomotive ID","value":"4041"},{"id":130,"name":"Impact","value":""},{"id":150,"name":"Time of Event (Mountain Time)","value":"10:57:46"},{"id":151,"name":"Denver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4"/>
        <v>start /low /b %USERPROFILE%\Documents\GitHub\eaglep3\Utilities\DownloadLogsFromS3.py --loco 4041 --day 2016-12-31</v>
      </c>
    </row>
    <row r="171" spans="1:91" x14ac:dyDescent="0.25">
      <c r="A171" s="34" t="s">
        <v>559</v>
      </c>
      <c r="B171" s="7">
        <v>4042</v>
      </c>
      <c r="C171" s="22" t="s">
        <v>205</v>
      </c>
      <c r="D171" s="22" t="s">
        <v>733</v>
      </c>
      <c r="E171" s="13">
        <v>42735.459444444445</v>
      </c>
      <c r="F171" s="13">
        <v>42735.473090277781</v>
      </c>
      <c r="G171" s="7">
        <v>1</v>
      </c>
      <c r="H171" s="22" t="s">
        <v>722</v>
      </c>
      <c r="I171" s="13">
        <v>42735.48369212963</v>
      </c>
      <c r="J171" s="7">
        <v>0</v>
      </c>
      <c r="K171" s="105" t="str">
        <f t="shared" si="51"/>
        <v>4041/4042</v>
      </c>
      <c r="L171" s="22" t="str">
        <f>VLOOKUP(A171,'Trips&amp;Operators'!$C$1:$G$99999,5,FALSE)</f>
        <v>SHOOK JOHN</v>
      </c>
      <c r="M171" s="6">
        <f t="shared" si="52"/>
        <v>1.060185184906004E-2</v>
      </c>
      <c r="N171" s="7">
        <f t="shared" si="68"/>
        <v>15.266666662646458</v>
      </c>
      <c r="O171" s="7"/>
      <c r="P171" s="7"/>
      <c r="Q171" s="23"/>
      <c r="R171" s="23"/>
      <c r="S171" s="32">
        <f t="shared" si="69"/>
        <v>1</v>
      </c>
      <c r="T171" s="47" t="str">
        <f t="shared" si="53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10:01:36-700',mode:absolute,to:'2016-12-31 12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1" s="49" t="str">
        <f t="shared" si="65"/>
        <v>N</v>
      </c>
      <c r="X171" s="173">
        <f t="shared" si="67"/>
        <v>1</v>
      </c>
      <c r="Y171" s="64">
        <f t="shared" si="55"/>
        <v>0.10340000000000001</v>
      </c>
      <c r="Z171" s="64">
        <f t="shared" si="56"/>
        <v>5.8986000000000001</v>
      </c>
      <c r="AA171" s="64">
        <f t="shared" si="57"/>
        <v>5.7952000000000004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58"/>
        <v>1811-31</v>
      </c>
      <c r="AE171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71" s="84" t="str">
        <f t="shared" si="60"/>
        <v>"C:\Program Files (x86)\AstroGrep\AstroGrep.exe" /spath="%USERPROFILE%\AppData\Local\Temp\OnboardLogs" /stypes="app*4042*20161231*" /stext=" 18:.+((SYSTEM_STATE.+slice.+state.+changed )|(ment ac)|(multiple cpu faults)|(system.+state.+changed )|(\[timeout)|(PRM\|1\|D)|(kpr)|(kdp)|(\|lc)|(penalty))" /e /r /s</v>
      </c>
      <c r="AG171" s="1" t="str">
        <f t="shared" si="61"/>
        <v>NW</v>
      </c>
      <c r="AH171" s="88" t="str">
        <f t="shared" si="62"/>
        <v>"%USERPROFILE%\Documents\GitHub\eaglep3\Utilities\RefineRTDCRunTimes.py" --tripid 1811-31 --locoid 4042 --swversion DE.1.0.8.0 --startMP 204:1034 --initTime 2016-12-31T11:01:36 --startdatetime 2016-12-31T11:21:15 --delay 1 --endMP 300:58986 --enddatetime 2016-12-31T11:36:31 --enforcementcount 0 &gt;&gt;C:\Users\stu\Documents\GitHub\eaglep3-reporting\EC\2016-12-31-refined-times.txt</v>
      </c>
      <c r="AI171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{"issue":{"subject":"","project_id":79,"tracker_id":40,"status_id":1,"priority_id":2,"assigned_to_id":23,"start_date":"2016-12-31","description":"","custom_fields":[{"id":1,"name":"Subdivision","value":"NW"},{"id":4,"name":"Milepost","value":"5.8986"},{"id":17,"name":"Train ID","value":"1811-31"},{"id":16,"name":"Locomotive ID","value":"4042"},{"id":130,"name":"Impact","value":""},{"id":150,"name":"Time of Event (Mountain Time)","value":"11:36:31"},{"id":151,"name":"Denver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4"/>
        <v>start /low /b %USERPROFILE%\Documents\GitHub\eaglep3\Utilities\DownloadLogsFromS3.py --loco 4042 --day 2016-12-31</v>
      </c>
    </row>
    <row r="172" spans="1:91" x14ac:dyDescent="0.25">
      <c r="A172" s="34" t="s">
        <v>567</v>
      </c>
      <c r="B172" s="7">
        <v>4041</v>
      </c>
      <c r="C172" s="22" t="s">
        <v>205</v>
      </c>
      <c r="D172" s="22" t="s">
        <v>423</v>
      </c>
      <c r="E172" s="13">
        <v>42735.485312500001</v>
      </c>
      <c r="F172" s="13">
        <v>42735.487025462964</v>
      </c>
      <c r="G172" s="7">
        <v>1</v>
      </c>
      <c r="H172" s="22" t="s">
        <v>737</v>
      </c>
      <c r="I172" s="13">
        <v>42735.497465277775</v>
      </c>
      <c r="J172" s="7">
        <v>0</v>
      </c>
      <c r="K172" s="105" t="str">
        <f t="shared" si="51"/>
        <v>4041/4042</v>
      </c>
      <c r="L172" s="22" t="str">
        <f>VLOOKUP(A172,'Trips&amp;Operators'!$C$1:$G$99999,5,FALSE)</f>
        <v>SHOOK JOHN</v>
      </c>
      <c r="M172" s="6">
        <f t="shared" si="52"/>
        <v>1.0439814810524695E-2</v>
      </c>
      <c r="N172" s="7">
        <f t="shared" si="68"/>
        <v>15.03333332715556</v>
      </c>
      <c r="O172" s="7"/>
      <c r="P172" s="7"/>
      <c r="Q172" s="23"/>
      <c r="R172" s="23"/>
      <c r="S172" s="32">
        <f t="shared" si="69"/>
        <v>1</v>
      </c>
      <c r="T172" s="47" t="str">
        <f t="shared" si="53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10:38:51-700',mode:absolute,to:'2016-12-31 12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2" s="49" t="str">
        <f t="shared" si="65"/>
        <v>N</v>
      </c>
      <c r="X172" s="173">
        <f t="shared" si="67"/>
        <v>1</v>
      </c>
      <c r="Y172" s="64">
        <f t="shared" si="55"/>
        <v>5.8673000000000002</v>
      </c>
      <c r="Z172" s="64">
        <f t="shared" si="56"/>
        <v>7.1199999999999999E-2</v>
      </c>
      <c r="AA172" s="64">
        <f t="shared" si="57"/>
        <v>5.7961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58"/>
        <v>1812-31</v>
      </c>
      <c r="AE172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72" s="84" t="str">
        <f t="shared" si="60"/>
        <v>"C:\Program Files (x86)\AstroGrep\AstroGrep.exe" /spath="%USERPROFILE%\AppData\Local\Temp\OnboardLogs" /stypes="app*4041*20161231*" /stext=" 18:.+((SYSTEM_STATE.+slice.+state.+changed )|(ment ac)|(multiple cpu faults)|(system.+state.+changed )|(\[timeout)|(PRM\|1\|D)|(kpr)|(kdp)|(\|lc)|(penalty))" /e /r /s</v>
      </c>
      <c r="AG172" s="1" t="str">
        <f t="shared" si="61"/>
        <v>NW</v>
      </c>
      <c r="AH172" s="88" t="str">
        <f t="shared" si="62"/>
        <v>"%USERPROFILE%\Documents\GitHub\eaglep3\Utilities\RefineRTDCRunTimes.py" --tripid 1812-31 --locoid 4041 --swversion DE.1.0.8.0 --startMP 300:58673 --initTime 2016-12-31T11:38:51 --startdatetime 2016-12-31T11:41:19 --delay 1 --endMP 204:712 --enddatetime 2016-12-31T11:56:21 --enforcementcount 0 &gt;&gt;C:\Users\stu\Documents\GitHub\eaglep3-reporting\EC\2016-12-31-refined-times.txt</v>
      </c>
      <c r="AI172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{"issue":{"subject":"","project_id":79,"tracker_id":40,"status_id":1,"priority_id":2,"assigned_to_id":23,"start_date":"2016-12-31","description":"","custom_fields":[{"id":1,"name":"Subdivision","value":"NW"},{"id":4,"name":"Milepost","value":"0.0712"},{"id":17,"name":"Train ID","value":"1812-31"},{"id":16,"name":"Locomotive ID","value":"4041"},{"id":130,"name":"Impact","value":""},{"id":150,"name":"Time of Event (Mountain Time)","value":"11:56:21"},{"id":151,"name":"Denver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4"/>
        <v>start /low /b %USERPROFILE%\Documents\GitHub\eaglep3\Utilities\DownloadLogsFromS3.py --loco 4041 --day 2016-12-31</v>
      </c>
    </row>
    <row r="173" spans="1:91" x14ac:dyDescent="0.25">
      <c r="A173" s="34" t="s">
        <v>445</v>
      </c>
      <c r="B173" s="7">
        <v>4042</v>
      </c>
      <c r="C173" s="22" t="s">
        <v>205</v>
      </c>
      <c r="D173" s="22" t="s">
        <v>738</v>
      </c>
      <c r="E173" s="13">
        <v>42735.501481481479</v>
      </c>
      <c r="F173" s="13">
        <v>42735.514756944445</v>
      </c>
      <c r="G173" s="7">
        <v>1</v>
      </c>
      <c r="H173" s="22" t="s">
        <v>739</v>
      </c>
      <c r="I173" s="13">
        <v>42735.525601851848</v>
      </c>
      <c r="J173" s="7">
        <v>0</v>
      </c>
      <c r="K173" s="105" t="str">
        <f t="shared" si="51"/>
        <v>4041/4042</v>
      </c>
      <c r="L173" s="22" t="str">
        <f>VLOOKUP(A173,'Trips&amp;Operators'!$C$1:$G$99999,5,FALSE)</f>
        <v>SHOOK JOHN</v>
      </c>
      <c r="M173" s="6">
        <f t="shared" si="52"/>
        <v>1.0844907403225079E-2</v>
      </c>
      <c r="N173" s="7">
        <f t="shared" si="68"/>
        <v>15.616666660644114</v>
      </c>
      <c r="O173" s="7"/>
      <c r="P173" s="7"/>
      <c r="Q173" s="23"/>
      <c r="R173" s="23"/>
      <c r="S173" s="32">
        <f t="shared" si="69"/>
        <v>1</v>
      </c>
      <c r="T173" s="47" t="str">
        <f t="shared" si="53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11:02:08-700',mode:absolute,to:'2016-12-31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3" s="49" t="str">
        <f t="shared" si="65"/>
        <v>N</v>
      </c>
      <c r="X173" s="173">
        <f t="shared" si="67"/>
        <v>1</v>
      </c>
      <c r="Y173" s="64">
        <f t="shared" si="55"/>
        <v>0.1013</v>
      </c>
      <c r="Z173" s="64">
        <f t="shared" si="56"/>
        <v>5.8872999999999998</v>
      </c>
      <c r="AA173" s="64">
        <f t="shared" si="57"/>
        <v>5.7859999999999996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58"/>
        <v>1813-31</v>
      </c>
      <c r="AE173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73" s="84" t="str">
        <f t="shared" si="60"/>
        <v>"C:\Program Files (x86)\AstroGrep\AstroGrep.exe" /spath="%USERPROFILE%\AppData\Local\Temp\OnboardLogs" /stypes="app*4042*20161231*" /stext=" 19:.+((SYSTEM_STATE.+slice.+state.+changed )|(ment ac)|(multiple cpu faults)|(system.+state.+changed )|(\[timeout)|(PRM\|1\|D)|(kpr)|(kdp)|(\|lc)|(penalty))" /e /r /s</v>
      </c>
      <c r="AG173" s="1" t="str">
        <f t="shared" si="61"/>
        <v>NW</v>
      </c>
      <c r="AH173" s="88" t="str">
        <f t="shared" si="62"/>
        <v>"%USERPROFILE%\Documents\GitHub\eaglep3\Utilities\RefineRTDCRunTimes.py" --tripid 1813-31 --locoid 4042 --swversion DE.1.0.8.0 --startMP 204:1013 --initTime 2016-12-31T12:02:08 --startdatetime 2016-12-31T12:21:15 --delay 1 --endMP 300:58873 --enddatetime 2016-12-31T12:36:52 --enforcementcount 0 &gt;&gt;C:\Users\stu\Documents\GitHub\eaglep3-reporting\EC\2016-12-31-refined-times.txt</v>
      </c>
      <c r="AI173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{"issue":{"subject":"","project_id":79,"tracker_id":40,"status_id":1,"priority_id":2,"assigned_to_id":23,"start_date":"2016-12-31","description":"","custom_fields":[{"id":1,"name":"Subdivision","value":"NW"},{"id":4,"name":"Milepost","value":"5.8873"},{"id":17,"name":"Train ID","value":"1813-31"},{"id":16,"name":"Locomotive ID","value":"4042"},{"id":130,"name":"Impact","value":""},{"id":150,"name":"Time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4"/>
        <v>start /low /b %USERPROFILE%\Documents\GitHub\eaglep3\Utilities\DownloadLogsFromS3.py --loco 4042 --day 2016-12-31</v>
      </c>
    </row>
    <row r="174" spans="1:91" s="21" customFormat="1" x14ac:dyDescent="0.25">
      <c r="A174" s="34" t="s">
        <v>575</v>
      </c>
      <c r="B174" s="7">
        <v>4041</v>
      </c>
      <c r="C174" s="22" t="s">
        <v>205</v>
      </c>
      <c r="D174" s="22" t="s">
        <v>740</v>
      </c>
      <c r="E174" s="13">
        <v>42735.528124999997</v>
      </c>
      <c r="F174" s="13">
        <v>42735.529641203706</v>
      </c>
      <c r="G174" s="7">
        <v>0</v>
      </c>
      <c r="H174" s="22" t="s">
        <v>683</v>
      </c>
      <c r="I174" s="13">
        <v>42735.540891203702</v>
      </c>
      <c r="J174" s="7">
        <v>0</v>
      </c>
      <c r="K174" s="105" t="str">
        <f t="shared" si="51"/>
        <v>4041/4042</v>
      </c>
      <c r="L174" s="22" t="str">
        <f>VLOOKUP(A174,'Trips&amp;Operators'!$C$1:$G$99999,5,FALSE)</f>
        <v>SHOOK JOHN</v>
      </c>
      <c r="M174" s="6">
        <f t="shared" si="52"/>
        <v>1.1249999995925464E-2</v>
      </c>
      <c r="N174" s="7">
        <f t="shared" si="68"/>
        <v>16.199999994132668</v>
      </c>
      <c r="O174" s="7"/>
      <c r="P174" s="7"/>
      <c r="Q174" s="23"/>
      <c r="R174" s="23"/>
      <c r="S174" s="32">
        <f t="shared" si="69"/>
        <v>1</v>
      </c>
      <c r="T174" s="47" t="str">
        <f t="shared" si="53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11:40:30-700',mode:absolute,to:'2016-12-31 13:58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4" s="49" t="str">
        <f t="shared" si="65"/>
        <v>N</v>
      </c>
      <c r="X174" s="173">
        <f t="shared" si="67"/>
        <v>1</v>
      </c>
      <c r="Y174" s="64">
        <f t="shared" si="55"/>
        <v>5.8555000000000001</v>
      </c>
      <c r="Z174" s="64">
        <f t="shared" si="56"/>
        <v>7.5200000000000003E-2</v>
      </c>
      <c r="AA174" s="64">
        <f t="shared" si="57"/>
        <v>5.7803000000000004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58"/>
        <v>1814-31</v>
      </c>
      <c r="AE174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74" s="84" t="str">
        <f t="shared" si="60"/>
        <v>"C:\Program Files (x86)\AstroGrep\AstroGrep.exe" /spath="%USERPROFILE%\AppData\Local\Temp\OnboardLogs" /stypes="app*4041*20161231*" /stext=" 19:.+((SYSTEM_STATE.+slice.+state.+changed )|(ment ac)|(multiple cpu faults)|(system.+state.+changed )|(\[timeout)|(PRM\|1\|D)|(kpr)|(kdp)|(\|lc)|(penalty))" /e /r /s</v>
      </c>
      <c r="AG174" s="1" t="str">
        <f t="shared" si="61"/>
        <v>NW</v>
      </c>
      <c r="AH174" s="88" t="str">
        <f t="shared" si="62"/>
        <v>"%USERPROFILE%\Documents\GitHub\eaglep3\Utilities\RefineRTDCRunTimes.py" --tripid 1814-31 --locoid 4041 --swversion DE.1.0.8.0 --startMP 300:58555 --initTime 2016-12-31T12:40:30 --startdatetime 2016-12-31T12:42:41 --delay 0 --endMP 204:752 --enddatetime 2016-12-31T12:58:53 --enforcementcount 0 &gt;&gt;C:\Users\stu\Documents\GitHub\eaglep3-reporting\EC\2016-12-31-refined-times.txt</v>
      </c>
      <c r="AI174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{"issue":{"subject":"","project_id":79,"tracker_id":40,"status_id":1,"priority_id":2,"assigned_to_id":23,"start_date":"2016-12-31","description":"","custom_fields":[{"id":1,"name":"Subdivision","value":"NW"},{"id":4,"name":"Milepost","value":"0.0752"},{"id":17,"name":"Train ID","value":"1814-31"},{"id":16,"name":"Locomotive ID","value":"4041"},{"id":130,"name":"Impact","value":""},{"id":150,"name":"Time of Event (Mountain Time)","value":"12:58:53"},{"id":151,"name":"Denver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4"/>
        <v>start /low /b %USERPROFILE%\Documents\GitHub\eaglep3\Utilities\DownloadLogsFromS3.py --loco 4041 --day 2016-12-31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577</v>
      </c>
      <c r="B175" s="7">
        <v>4042</v>
      </c>
      <c r="C175" s="22" t="s">
        <v>205</v>
      </c>
      <c r="D175" s="22" t="s">
        <v>733</v>
      </c>
      <c r="E175" s="13">
        <v>42735.542893518519</v>
      </c>
      <c r="F175" s="13">
        <v>42735.556458333333</v>
      </c>
      <c r="G175" s="7">
        <v>0</v>
      </c>
      <c r="H175" s="22" t="s">
        <v>741</v>
      </c>
      <c r="I175" s="13">
        <v>42735.567523148151</v>
      </c>
      <c r="J175" s="7">
        <v>0</v>
      </c>
      <c r="K175" s="105" t="str">
        <f t="shared" si="51"/>
        <v>4041/4042</v>
      </c>
      <c r="L175" s="22" t="str">
        <f>VLOOKUP(A175,'Trips&amp;Operators'!$C$1:$G$99999,5,FALSE)</f>
        <v>SHOOK JOHN</v>
      </c>
      <c r="M175" s="6">
        <f t="shared" si="52"/>
        <v>1.1064814818382729E-2</v>
      </c>
      <c r="N175" s="7">
        <f t="shared" si="68"/>
        <v>15.93333333847113</v>
      </c>
      <c r="O175" s="7"/>
      <c r="P175" s="7"/>
      <c r="Q175" s="23"/>
      <c r="R175" s="23"/>
      <c r="S175" s="32">
        <f t="shared" si="69"/>
        <v>1</v>
      </c>
      <c r="T175" s="47" t="str">
        <f t="shared" si="53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12:01:46-700',mode:absolute,to:'2016-12-31 14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5" s="49" t="str">
        <f t="shared" si="65"/>
        <v>N</v>
      </c>
      <c r="X175" s="173">
        <f t="shared" si="67"/>
        <v>1</v>
      </c>
      <c r="Y175" s="64">
        <f t="shared" si="55"/>
        <v>0.10340000000000001</v>
      </c>
      <c r="Z175" s="64">
        <f t="shared" si="56"/>
        <v>5.8973000000000004</v>
      </c>
      <c r="AA175" s="64">
        <f t="shared" si="57"/>
        <v>5.7939000000000007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58"/>
        <v>1815-31</v>
      </c>
      <c r="AE175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75" s="84" t="str">
        <f t="shared" si="60"/>
        <v>"C:\Program Files (x86)\AstroGrep\AstroGrep.exe" /spath="%USERPROFILE%\AppData\Local\Temp\OnboardLogs" /stypes="app*4042*20161231*" /stext=" 20:.+((SYSTEM_STATE.+slice.+state.+changed )|(ment ac)|(multiple cpu faults)|(system.+state.+changed )|(\[timeout)|(PRM\|1\|D)|(kpr)|(kdp)|(\|lc)|(penalty))" /e /r /s</v>
      </c>
      <c r="AG175" s="1" t="str">
        <f t="shared" si="61"/>
        <v>NW</v>
      </c>
      <c r="AH175" s="88" t="str">
        <f t="shared" si="62"/>
        <v>"%USERPROFILE%\Documents\GitHub\eaglep3\Utilities\RefineRTDCRunTimes.py" --tripid 1815-31 --locoid 4042 --swversion DE.1.0.8.0 --startMP 204:1034 --initTime 2016-12-31T13:01:46 --startdatetime 2016-12-31T13:21:18 --delay 0 --endMP 300:58973 --enddatetime 2016-12-31T13:37:14 --enforcementcount 0 &gt;&gt;C:\Users\stu\Documents\GitHub\eaglep3-reporting\EC\2016-12-31-refined-times.txt</v>
      </c>
      <c r="AI175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{"issue":{"subject":"","project_id":79,"tracker_id":40,"status_id":1,"priority_id":2,"assigned_to_id":23,"start_date":"2016-12-31","description":"","custom_fields":[{"id":1,"name":"Subdivision","value":"NW"},{"id":4,"name":"Milepost","value":"5.8973"},{"id":17,"name":"Train ID","value":"1815-31"},{"id":16,"name":"Locomotive ID","value":"4042"},{"id":130,"name":"Impact","value":""},{"id":150,"name":"Time of Event (Mountain Time)","value":"13:37:14"},{"id":151,"name":"Denver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4"/>
        <v>start /low /b %USERPROFILE%\Documents\GitHub\eaglep3\Utilities\DownloadLogsFromS3.py --loco 4042 --day 2016-12-31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583</v>
      </c>
      <c r="B176" s="7">
        <v>4041</v>
      </c>
      <c r="C176" s="22" t="s">
        <v>205</v>
      </c>
      <c r="D176" s="22" t="s">
        <v>742</v>
      </c>
      <c r="E176" s="13">
        <v>42735.569791666669</v>
      </c>
      <c r="F176" s="13">
        <v>42735.571226851855</v>
      </c>
      <c r="G176" s="7">
        <v>1</v>
      </c>
      <c r="H176" s="22" t="s">
        <v>743</v>
      </c>
      <c r="I176" s="13">
        <v>42735.581932870373</v>
      </c>
      <c r="J176" s="7">
        <v>0</v>
      </c>
      <c r="K176" s="105" t="str">
        <f t="shared" si="51"/>
        <v>4041/4042</v>
      </c>
      <c r="L176" s="22" t="str">
        <f>VLOOKUP(A176,'Trips&amp;Operators'!$C$1:$G$99999,5,FALSE)</f>
        <v>SHOOK JOHN</v>
      </c>
      <c r="M176" s="6">
        <f t="shared" si="52"/>
        <v>1.0706018518249039E-2</v>
      </c>
      <c r="N176" s="7">
        <f t="shared" si="68"/>
        <v>15.416666666278616</v>
      </c>
      <c r="O176" s="7"/>
      <c r="P176" s="7"/>
      <c r="Q176" s="23"/>
      <c r="R176" s="23"/>
      <c r="S176" s="32">
        <f t="shared" si="69"/>
        <v>1</v>
      </c>
      <c r="T176" s="47" t="str">
        <f t="shared" si="53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12:40:30-700',mode:absolute,to:'2016-12-31 14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6" s="49" t="str">
        <f t="shared" si="65"/>
        <v>N</v>
      </c>
      <c r="X176" s="173">
        <f t="shared" si="67"/>
        <v>1</v>
      </c>
      <c r="Y176" s="64">
        <f t="shared" si="55"/>
        <v>5.8659999999999997</v>
      </c>
      <c r="Z176" s="64">
        <f t="shared" si="56"/>
        <v>7.3300000000000004E-2</v>
      </c>
      <c r="AA176" s="64">
        <f t="shared" si="57"/>
        <v>5.7927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58"/>
        <v>1816-31</v>
      </c>
      <c r="AE176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76" s="84" t="str">
        <f t="shared" si="60"/>
        <v>"C:\Program Files (x86)\AstroGrep\AstroGrep.exe" /spath="%USERPROFILE%\AppData\Local\Temp\OnboardLogs" /stypes="app*4041*20161231*" /stext=" 20:.+((SYSTEM_STATE.+slice.+state.+changed )|(ment ac)|(multiple cpu faults)|(system.+state.+changed )|(\[timeout)|(PRM\|1\|D)|(kpr)|(kdp)|(\|lc)|(penalty))" /e /r /s</v>
      </c>
      <c r="AG176" s="1" t="str">
        <f t="shared" si="61"/>
        <v>NW</v>
      </c>
      <c r="AH176" s="88" t="str">
        <f t="shared" si="62"/>
        <v>"%USERPROFILE%\Documents\GitHub\eaglep3\Utilities\RefineRTDCRunTimes.py" --tripid 1816-31 --locoid 4041 --swversion DE.1.0.8.0 --startMP 300:58660 --initTime 2016-12-31T13:40:30 --startdatetime 2016-12-31T13:42:34 --delay 1 --endMP 204:733 --enddatetime 2016-12-31T13:57:59 --enforcementcount 0 &gt;&gt;C:\Users\stu\Documents\GitHub\eaglep3-reporting\EC\2016-12-31-refined-times.txt</v>
      </c>
      <c r="AI176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{"issue":{"subject":"","project_id":79,"tracker_id":40,"status_id":1,"priority_id":2,"assigned_to_id":23,"start_date":"2016-12-31","description":"","custom_fields":[{"id":1,"name":"Subdivision","value":"NW"},{"id":4,"name":"Milepost","value":"0.0733"},{"id":17,"name":"Train ID","value":"1816-31"},{"id":16,"name":"Locomotive ID","value":"4041"},{"id":130,"name":"Impact","value":""},{"id":150,"name":"Time of Event (Mountain Time)","value":"13:57:59"},{"id":151,"name":"Denver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4"/>
        <v>start /low /b %USERPROFILE%\Documents\GitHub\eaglep3\Utilities\DownloadLogsFromS3.py --loco 4041 --day 2016-12-31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587</v>
      </c>
      <c r="B177" s="7">
        <v>4042</v>
      </c>
      <c r="C177" s="22" t="s">
        <v>205</v>
      </c>
      <c r="D177" s="22" t="s">
        <v>744</v>
      </c>
      <c r="E177" s="13">
        <v>42735.588333333333</v>
      </c>
      <c r="F177" s="13">
        <v>42735.598217592589</v>
      </c>
      <c r="G177" s="7">
        <v>0</v>
      </c>
      <c r="H177" s="22" t="s">
        <v>426</v>
      </c>
      <c r="I177" s="13">
        <v>42735.608761574076</v>
      </c>
      <c r="J177" s="7">
        <v>0</v>
      </c>
      <c r="K177" s="105" t="str">
        <f t="shared" si="51"/>
        <v>4041/4042</v>
      </c>
      <c r="L177" s="22" t="str">
        <f>VLOOKUP(A177,'Trips&amp;Operators'!$C$1:$G$99999,5,FALSE)</f>
        <v>HELVIE ADAM</v>
      </c>
      <c r="M177" s="6">
        <f t="shared" si="52"/>
        <v>1.0543981486989651E-2</v>
      </c>
      <c r="N177" s="7">
        <f t="shared" si="68"/>
        <v>15.183333341265097</v>
      </c>
      <c r="O177" s="7"/>
      <c r="P177" s="7"/>
      <c r="Q177" s="23"/>
      <c r="R177" s="23"/>
      <c r="S177" s="32">
        <f t="shared" si="69"/>
        <v>1</v>
      </c>
      <c r="T177" s="47" t="str">
        <f t="shared" si="53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13:07:12-700',mode:absolute,to:'2016-12-31 15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7" s="49" t="str">
        <f t="shared" si="65"/>
        <v>N</v>
      </c>
      <c r="X177" s="173">
        <f t="shared" si="67"/>
        <v>1</v>
      </c>
      <c r="Y177" s="64">
        <f t="shared" si="55"/>
        <v>0.1023</v>
      </c>
      <c r="Z177" s="64">
        <f t="shared" si="56"/>
        <v>5.8935000000000004</v>
      </c>
      <c r="AA177" s="64">
        <f t="shared" si="57"/>
        <v>5.7912000000000008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58"/>
        <v>1817-31</v>
      </c>
      <c r="AE177" s="87" t="str">
        <f t="shared" si="59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177" s="84" t="str">
        <f t="shared" si="60"/>
        <v>"C:\Program Files (x86)\AstroGrep\AstroGrep.exe" /spath="%USERPROFILE%\AppData\Local\Temp\OnboardLogs" /stypes="app*4042*20161231*" /stext=" 21:.+((SYSTEM_STATE.+slice.+state.+changed )|(ment ac)|(multiple cpu faults)|(system.+state.+changed )|(\[timeout)|(PRM\|1\|D)|(kpr)|(kdp)|(\|lc)|(penalty))" /e /r /s</v>
      </c>
      <c r="AG177" s="1" t="str">
        <f t="shared" si="61"/>
        <v>NW</v>
      </c>
      <c r="AH177" s="88" t="str">
        <f t="shared" si="62"/>
        <v>"%USERPROFILE%\Documents\GitHub\eaglep3\Utilities\RefineRTDCRunTimes.py" --tripid 1817-31 --locoid 4042 --swversion DE.1.0.8.0 --startMP 204:1023 --initTime 2016-12-31T14:07:12 --startdatetime 2016-12-31T14:21:26 --delay 0 --endMP 300:58935 --enddatetime 2016-12-31T14:36:37 --enforcementcount 0 &gt;&gt;C:\Users\stu\Documents\GitHub\eaglep3-reporting\EC\2016-12-31-refined-times.txt</v>
      </c>
      <c r="AI177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{"issue":{"subject":"","project_id":79,"tracker_id":40,"status_id":1,"priority_id":2,"assigned_to_id":23,"start_date":"2016-12-31","description":"","custom_fields":[{"id":1,"name":"Subdivision","value":"NW"},{"id":4,"name":"Milepost","value":"5.8935"},{"id":17,"name":"Train ID","value":"1817-31"},{"id":16,"name":"Locomotive ID","value":"4042"},{"id":130,"name":"Impact","value":""},{"id":150,"name":"Time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4"/>
        <v>start /low /b %USERPROFILE%\Documents\GitHub\eaglep3\Utilities\DownloadLogsFromS3.py --loco 4042 --day 2016-12-31</v>
      </c>
    </row>
    <row r="178" spans="1:91" x14ac:dyDescent="0.25">
      <c r="A178" s="34" t="s">
        <v>593</v>
      </c>
      <c r="B178" s="7">
        <v>4041</v>
      </c>
      <c r="C178" s="22" t="s">
        <v>205</v>
      </c>
      <c r="D178" s="22" t="s">
        <v>428</v>
      </c>
      <c r="E178" s="13">
        <v>42735.610266203701</v>
      </c>
      <c r="F178" s="13">
        <v>42735.612372685187</v>
      </c>
      <c r="G178" s="7">
        <v>1</v>
      </c>
      <c r="H178" s="22" t="s">
        <v>342</v>
      </c>
      <c r="I178" s="13">
        <v>42735.622245370374</v>
      </c>
      <c r="J178" s="7">
        <v>0</v>
      </c>
      <c r="K178" s="105" t="str">
        <f t="shared" si="51"/>
        <v>4041/4042</v>
      </c>
      <c r="L178" s="22" t="str">
        <f>VLOOKUP(A178,'Trips&amp;Operators'!$C$1:$G$99999,5,FALSE)</f>
        <v>HELVIE ADAM</v>
      </c>
      <c r="M178" s="6">
        <f t="shared" si="52"/>
        <v>9.8726851865649223E-3</v>
      </c>
      <c r="N178" s="7">
        <f t="shared" si="68"/>
        <v>14.216666668653488</v>
      </c>
      <c r="O178" s="7"/>
      <c r="P178" s="7"/>
      <c r="Q178" s="23"/>
      <c r="R178" s="23"/>
      <c r="S178" s="32">
        <f t="shared" si="69"/>
        <v>1</v>
      </c>
      <c r="T178" s="47" t="str">
        <f t="shared" si="53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13:38:47-700',mode:absolute,to:'2016-12-31 15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8" s="49" t="str">
        <f t="shared" si="65"/>
        <v>N</v>
      </c>
      <c r="X178" s="173">
        <f t="shared" si="67"/>
        <v>1</v>
      </c>
      <c r="Y178" s="64">
        <f t="shared" si="55"/>
        <v>5.8624000000000001</v>
      </c>
      <c r="Z178" s="64">
        <f t="shared" si="56"/>
        <v>9.6500000000000002E-2</v>
      </c>
      <c r="AA178" s="64">
        <f t="shared" si="57"/>
        <v>5.7659000000000002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58"/>
        <v>1818-31</v>
      </c>
      <c r="AE178" s="87" t="str">
        <f t="shared" si="59"/>
        <v>aws s3 cp s3://rtdc.mdm.uploadarchive.raw/RTDC4041/ "%USERPROFILE%\AppData\Local\Temp\OnboardLogs"\RTDC4041\2016-12-31 --exclude "*" --recursive --include "*20161231*" &amp; "%USERPROFILE%\Documents\GitHub\mrs-test-scripts\Headless Mode &amp; Sideloading\WalkAndUnGZ.bat" "%USERPROFILE%\AppData\Local\Temp\OnboardLogs"\RTDC4041\2016-12-31 &amp; aws s3 cp s3://rtdc.mdm.uploadarchive.raw/RTDC4041/ "%USERPROFILE%\AppData\Local\Temp\OnboardLogs"\RTDC4041\2017-01-01 --exclude "*" --recursive --include "*20170101*" &amp; "%USERPROFILE%\Documents\GitHub\mrs-test-scripts\Headless Mode &amp; Sideloading\WalkAndUnGZ.bat" "%USERPROFILE%\AppData\Local\Temp\OnboardLogs"\RTDC4041\2017-01-01</v>
      </c>
      <c r="AF178" s="84" t="str">
        <f t="shared" si="60"/>
        <v>"C:\Program Files (x86)\AstroGrep\AstroGrep.exe" /spath="%USERPROFILE%\AppData\Local\Temp\OnboardLogs" /stypes="app*4041*20161231*" /stext=" 21:.+((SYSTEM_STATE.+slice.+state.+changed )|(ment ac)|(multiple cpu faults)|(system.+state.+changed )|(\[timeout)|(PRM\|1\|D)|(kpr)|(kdp)|(\|lc)|(penalty))" /e /r /s</v>
      </c>
      <c r="AG178" s="1" t="str">
        <f t="shared" si="61"/>
        <v>NW</v>
      </c>
      <c r="AH178" s="88" t="str">
        <f t="shared" si="62"/>
        <v>"%USERPROFILE%\Documents\GitHub\eaglep3\Utilities\RefineRTDCRunTimes.py" --tripid 1818-31 --locoid 4041 --swversion DE.1.0.8.0 --startMP 300:58624 --initTime 2016-12-31T14:38:47 --startdatetime 2016-12-31T14:41:49 --delay 1 --endMP 204:965 --enddatetime 2016-12-31T14:56:02 --enforcementcount 0 &gt;&gt;C:\Users\stu\Documents\GitHub\eaglep3-reporting\EC\2016-12-31-refined-times.txt</v>
      </c>
      <c r="AI178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{"issue":{"subject":"","project_id":79,"tracker_id":40,"status_id":1,"priority_id":2,"assigned_to_id":23,"start_date":"2016-12-31","description":"","custom_fields":[{"id":1,"name":"Subdivision","value":"NW"},{"id":4,"name":"Milepost","value":"0.0965"},{"id":17,"name":"Train ID","value":"1818-31"},{"id":16,"name":"Locomotive ID","value":"4041"},{"id":130,"name":"Impact","value":""},{"id":150,"name":"Time of Event (Mountain Time)","value":"14:56:02"},{"id":151,"name":"Denver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4"/>
        <v>start /low /b %USERPROFILE%\Documents\GitHub\eaglep3\Utilities\DownloadLogsFromS3.py --loco 4041 --day 2016-12-31</v>
      </c>
    </row>
    <row r="179" spans="1:91" x14ac:dyDescent="0.25">
      <c r="A179" s="34" t="s">
        <v>598</v>
      </c>
      <c r="B179" s="7">
        <v>4022</v>
      </c>
      <c r="C179" s="22" t="s">
        <v>205</v>
      </c>
      <c r="D179" s="22" t="s">
        <v>427</v>
      </c>
      <c r="E179" s="13">
        <v>42735.636400462965</v>
      </c>
      <c r="F179" s="13">
        <v>42735.639791666668</v>
      </c>
      <c r="G179" s="7">
        <v>1</v>
      </c>
      <c r="H179" s="22" t="s">
        <v>432</v>
      </c>
      <c r="I179" s="13">
        <v>42735.65</v>
      </c>
      <c r="J179" s="7">
        <v>0</v>
      </c>
      <c r="K179" s="105" t="str">
        <f t="shared" si="51"/>
        <v>4021/4022</v>
      </c>
      <c r="L179" s="22" t="str">
        <f>VLOOKUP(A179,'Trips&amp;Operators'!$C$1:$G$99999,5,FALSE)</f>
        <v>HELVIE ADAM</v>
      </c>
      <c r="M179" s="6">
        <f t="shared" si="52"/>
        <v>1.0208333333139308E-2</v>
      </c>
      <c r="N179" s="7">
        <f t="shared" si="68"/>
        <v>14.699999999720603</v>
      </c>
      <c r="O179" s="7"/>
      <c r="P179" s="7"/>
      <c r="Q179" s="23"/>
      <c r="R179" s="23"/>
      <c r="S179" s="32">
        <f t="shared" si="69"/>
        <v>1</v>
      </c>
      <c r="T179" s="47" t="str">
        <f t="shared" si="53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14:16:25-700',mode:absolute,to:'2016-12-31 16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9" s="49" t="str">
        <f t="shared" si="65"/>
        <v>N</v>
      </c>
      <c r="X179" s="173">
        <f t="shared" si="67"/>
        <v>1</v>
      </c>
      <c r="Y179" s="64">
        <f t="shared" si="55"/>
        <v>9.2999999999999999E-2</v>
      </c>
      <c r="Z179" s="64">
        <f t="shared" si="56"/>
        <v>5.8940999999999999</v>
      </c>
      <c r="AA179" s="64">
        <f t="shared" si="57"/>
        <v>5.8010999999999999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58"/>
        <v>1819-31</v>
      </c>
      <c r="AE179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79" s="84" t="str">
        <f t="shared" si="60"/>
        <v>"C:\Program Files (x86)\AstroGrep\AstroGrep.exe" /spath="%USERPROFILE%\AppData\Local\Temp\OnboardLogs" /stypes="app*4022*20161231*" /stext=" 22:.+((SYSTEM_STATE.+slice.+state.+changed )|(ment ac)|(multiple cpu faults)|(system.+state.+changed )|(\[timeout)|(PRM\|1\|D)|(kpr)|(kdp)|(\|lc)|(penalty))" /e /r /s</v>
      </c>
      <c r="AG179" s="1" t="str">
        <f t="shared" si="61"/>
        <v>NW</v>
      </c>
      <c r="AH179" s="88" t="str">
        <f t="shared" si="62"/>
        <v>"%USERPROFILE%\Documents\GitHub\eaglep3\Utilities\RefineRTDCRunTimes.py" --tripid 1819-31 --locoid 4022 --swversion DE.1.0.8.0 --startMP 204:930 --initTime 2016-12-31T15:16:25 --startdatetime 2016-12-31T15:21:18 --delay 1 --endMP 300:58941 --enddatetime 2016-12-31T15:36:00 --enforcementcount 0 &gt;&gt;C:\Users\stu\Documents\GitHub\eaglep3-reporting\EC\2016-12-31-refined-times.txt</v>
      </c>
      <c r="AI179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{"issue":{"subject":"","project_id":79,"tracker_id":40,"status_id":1,"priority_id":2,"assigned_to_id":23,"start_date":"2016-12-31","description":"","custom_fields":[{"id":1,"name":"Subdivision","value":"NW"},{"id":4,"name":"Milepost","value":"5.8941"},{"id":17,"name":"Train ID","value":"1819-31"},{"id":16,"name":"Locomotive ID","value":"4022"},{"id":130,"name":"Impact","value":""},{"id":150,"name":"Time of Event (Mountain Time)","value":"15:36:00"},{"id":151,"name":"Denver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4"/>
        <v>start /low /b %USERPROFILE%\Documents\GitHub\eaglep3\Utilities\DownloadLogsFromS3.py --loco 4022 --day 2016-12-31</v>
      </c>
    </row>
    <row r="180" spans="1:91" x14ac:dyDescent="0.25">
      <c r="A180" s="34" t="s">
        <v>603</v>
      </c>
      <c r="B180" s="7">
        <v>4021</v>
      </c>
      <c r="C180" s="22" t="s">
        <v>205</v>
      </c>
      <c r="D180" s="22" t="s">
        <v>369</v>
      </c>
      <c r="E180" s="13">
        <v>42735.651064814818</v>
      </c>
      <c r="F180" s="13">
        <v>42735.652569444443</v>
      </c>
      <c r="G180" s="7">
        <v>1</v>
      </c>
      <c r="H180" s="22" t="s">
        <v>745</v>
      </c>
      <c r="I180" s="13">
        <v>42735.66605324074</v>
      </c>
      <c r="J180" s="7">
        <v>0</v>
      </c>
      <c r="K180" s="105" t="str">
        <f t="shared" si="51"/>
        <v>4021/4022</v>
      </c>
      <c r="L180" s="22" t="str">
        <f>VLOOKUP(A180,'Trips&amp;Operators'!$C$1:$G$99999,5,FALSE)</f>
        <v>HELVIE ADAM</v>
      </c>
      <c r="M180" s="6">
        <f t="shared" si="52"/>
        <v>1.3483796297805384E-2</v>
      </c>
      <c r="N180" s="7">
        <f t="shared" si="68"/>
        <v>19.416666668839753</v>
      </c>
      <c r="O180" s="7"/>
      <c r="P180" s="7"/>
      <c r="Q180" s="23"/>
      <c r="R180" s="23"/>
      <c r="S180" s="32">
        <f t="shared" si="69"/>
        <v>1</v>
      </c>
      <c r="T180" s="47" t="str">
        <f t="shared" si="53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14:37:32-700',mode:absolute,to:'2016-12-31 16:59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0" s="49" t="str">
        <f t="shared" si="65"/>
        <v>N</v>
      </c>
      <c r="X180" s="173">
        <f t="shared" si="67"/>
        <v>1</v>
      </c>
      <c r="Y180" s="64">
        <f t="shared" si="55"/>
        <v>5.8630000000000004</v>
      </c>
      <c r="Z180" s="64">
        <f t="shared" si="56"/>
        <v>7.2900000000000006E-2</v>
      </c>
      <c r="AA180" s="64">
        <f t="shared" si="57"/>
        <v>5.7901000000000007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58"/>
        <v>1820-31</v>
      </c>
      <c r="AE180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0" s="84" t="str">
        <f t="shared" si="60"/>
        <v>"C:\Program Files (x86)\AstroGrep\AstroGrep.exe" /spath="%USERPROFILE%\AppData\Local\Temp\OnboardLogs" /stypes="app*4021*20161231*" /stext=" 22:.+((SYSTEM_STATE.+slice.+state.+changed )|(ment ac)|(multiple cpu faults)|(system.+state.+changed )|(\[timeout)|(PRM\|1\|D)|(kpr)|(kdp)|(\|lc)|(penalty))" /e /r /s</v>
      </c>
      <c r="AG180" s="1" t="str">
        <f t="shared" si="61"/>
        <v>NW</v>
      </c>
      <c r="AH180" s="88" t="str">
        <f t="shared" si="62"/>
        <v>"%USERPROFILE%\Documents\GitHub\eaglep3\Utilities\RefineRTDCRunTimes.py" --tripid 1820-31 --locoid 4021 --swversion DE.1.0.8.0 --startMP 300:58630 --initTime 2016-12-31T15:37:32 --startdatetime 2016-12-31T15:39:42 --delay 1 --endMP 204:729 --enddatetime 2016-12-31T15:59:07 --enforcementcount 0 &gt;&gt;C:\Users\stu\Documents\GitHub\eaglep3-reporting\EC\2016-12-31-refined-times.txt</v>
      </c>
      <c r="AI180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{"issue":{"subject":"","project_id":79,"tracker_id":40,"status_id":1,"priority_id":2,"assigned_to_id":23,"start_date":"2016-12-31","description":"","custom_fields":[{"id":1,"name":"Subdivision","value":"NW"},{"id":4,"name":"Milepost","value":"0.0729"},{"id":17,"name":"Train ID","value":"1820-31"},{"id":16,"name":"Locomotive ID","value":"4021"},{"id":130,"name":"Impact","value":""},{"id":150,"name":"Time of Event (Mountain Time)","value":"15:59:07"},{"id":151,"name":"Denver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4"/>
        <v>start /low /b %USERPROFILE%\Documents\GitHub\eaglep3\Utilities\DownloadLogsFromS3.py --loco 4021 --day 2016-12-31</v>
      </c>
    </row>
    <row r="181" spans="1:91" x14ac:dyDescent="0.25">
      <c r="A181" s="34" t="s">
        <v>609</v>
      </c>
      <c r="B181" s="7">
        <v>4022</v>
      </c>
      <c r="C181" s="22" t="s">
        <v>205</v>
      </c>
      <c r="D181" s="22" t="s">
        <v>721</v>
      </c>
      <c r="E181" s="13">
        <v>42735.677453703705</v>
      </c>
      <c r="F181" s="13">
        <v>42735.694722222222</v>
      </c>
      <c r="G181" s="7">
        <v>0</v>
      </c>
      <c r="H181" s="22" t="s">
        <v>432</v>
      </c>
      <c r="I181" s="13">
        <v>42735.705023148148</v>
      </c>
      <c r="J181" s="7">
        <v>0</v>
      </c>
      <c r="K181" s="105" t="str">
        <f t="shared" si="51"/>
        <v>4021/4022</v>
      </c>
      <c r="L181" s="22" t="str">
        <f>VLOOKUP(A181,'Trips&amp;Operators'!$C$1:$G$99999,5,FALSE)</f>
        <v>HELVIE ADAM</v>
      </c>
      <c r="M181" s="6">
        <f t="shared" si="52"/>
        <v>1.0300925925548654E-2</v>
      </c>
      <c r="N181" s="7">
        <f t="shared" si="68"/>
        <v>14.833333332790062</v>
      </c>
      <c r="O181" s="7"/>
      <c r="P181" s="7"/>
      <c r="Q181" s="23"/>
      <c r="R181" s="23"/>
      <c r="S181" s="32">
        <f t="shared" si="69"/>
        <v>1</v>
      </c>
      <c r="T181" s="47" t="str">
        <f t="shared" si="53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15:15:32-700',mode:absolute,to:'2016-12-31 17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1" s="49" t="str">
        <f t="shared" si="65"/>
        <v>N</v>
      </c>
      <c r="X181" s="173">
        <f t="shared" si="67"/>
        <v>1</v>
      </c>
      <c r="Y181" s="64">
        <f t="shared" si="55"/>
        <v>0.10349999999999999</v>
      </c>
      <c r="Z181" s="64">
        <f t="shared" si="56"/>
        <v>5.8940999999999999</v>
      </c>
      <c r="AA181" s="64">
        <f t="shared" si="57"/>
        <v>5.7905999999999995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58"/>
        <v>1821-31</v>
      </c>
      <c r="AE181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81" s="84" t="str">
        <f t="shared" si="60"/>
        <v>"C:\Program Files (x86)\AstroGrep\AstroGrep.exe" /spath="%USERPROFILE%\AppData\Local\Temp\OnboardLogs" /stypes="app*4022*20161231*" /stext=" 23:.+((SYSTEM_STATE.+slice.+state.+changed )|(ment ac)|(multiple cpu faults)|(system.+state.+changed )|(\[timeout)|(PRM\|1\|D)|(kpr)|(kdp)|(\|lc)|(penalty))" /e /r /s</v>
      </c>
      <c r="AG181" s="1" t="str">
        <f t="shared" si="61"/>
        <v>NW</v>
      </c>
      <c r="AH181" s="88" t="str">
        <f t="shared" si="62"/>
        <v>"%USERPROFILE%\Documents\GitHub\eaglep3\Utilities\RefineRTDCRunTimes.py" --tripid 1821-31 --locoid 4022 --swversion DE.1.0.8.0 --startMP 204:1035 --initTime 2016-12-31T16:15:32 --startdatetime 2016-12-31T16:40:24 --delay 0 --endMP 300:58941 --enddatetime 2016-12-31T16:55:14 --enforcementcount 0 &gt;&gt;C:\Users\stu\Documents\GitHub\eaglep3-reporting\EC\2016-12-31-refined-times.txt</v>
      </c>
      <c r="AI181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{"issue":{"subject":"","project_id":79,"tracker_id":40,"status_id":1,"priority_id":2,"assigned_to_id":23,"start_date":"2016-12-31","description":"","custom_fields":[{"id":1,"name":"Subdivision","value":"NW"},{"id":4,"name":"Milepost","value":"5.8941"},{"id":17,"name":"Train ID","value":"1821-31"},{"id":16,"name":"Locomotive ID","value":"4022"},{"id":130,"name":"Impact","value":""},{"id":150,"name":"Time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4"/>
        <v>start /low /b %USERPROFILE%\Documents\GitHub\eaglep3\Utilities\DownloadLogsFromS3.py --loco 4022 --day 2016-12-31</v>
      </c>
    </row>
    <row r="182" spans="1:91" x14ac:dyDescent="0.25">
      <c r="A182" s="34" t="s">
        <v>614</v>
      </c>
      <c r="B182" s="7">
        <v>4021</v>
      </c>
      <c r="C182" s="22" t="s">
        <v>205</v>
      </c>
      <c r="D182" s="22" t="s">
        <v>746</v>
      </c>
      <c r="E182" s="13">
        <v>42735.693553240744</v>
      </c>
      <c r="F182" s="13">
        <v>42735.694722222222</v>
      </c>
      <c r="G182" s="7">
        <v>0</v>
      </c>
      <c r="H182" s="22" t="s">
        <v>747</v>
      </c>
      <c r="I182" s="13">
        <v>42735.705023148148</v>
      </c>
      <c r="J182" s="7">
        <v>0</v>
      </c>
      <c r="K182" s="105" t="str">
        <f t="shared" si="51"/>
        <v>4021/4022</v>
      </c>
      <c r="L182" s="22" t="str">
        <f>VLOOKUP(A182,'Trips&amp;Operators'!$C$1:$G$99999,5,FALSE)</f>
        <v>HELVIE ADAM</v>
      </c>
      <c r="M182" s="6">
        <f t="shared" si="52"/>
        <v>1.0300925925548654E-2</v>
      </c>
      <c r="N182" s="7">
        <f t="shared" si="68"/>
        <v>14.833333332790062</v>
      </c>
      <c r="O182" s="7"/>
      <c r="P182" s="7"/>
      <c r="Q182" s="23"/>
      <c r="R182" s="23"/>
      <c r="S182" s="32">
        <f t="shared" si="69"/>
        <v>1</v>
      </c>
      <c r="T182" s="47" t="str">
        <f t="shared" si="53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15:38:43-700',mode:absolute,to:'2016-12-31 17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2" s="49" t="str">
        <f t="shared" si="65"/>
        <v>N</v>
      </c>
      <c r="X182" s="173">
        <f t="shared" si="67"/>
        <v>1</v>
      </c>
      <c r="Y182" s="64">
        <f t="shared" si="55"/>
        <v>5.8616999999999999</v>
      </c>
      <c r="Z182" s="64">
        <f t="shared" si="56"/>
        <v>7.4300000000000005E-2</v>
      </c>
      <c r="AA182" s="64">
        <f t="shared" si="57"/>
        <v>5.7873999999999999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58"/>
        <v>1822-31</v>
      </c>
      <c r="AE182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2" s="84" t="str">
        <f t="shared" si="60"/>
        <v>"C:\Program Files (x86)\AstroGrep\AstroGrep.exe" /spath="%USERPROFILE%\AppData\Local\Temp\OnboardLogs" /stypes="app*4021*20161231*" /stext=" 23:.+((SYSTEM_STATE.+slice.+state.+changed )|(ment ac)|(multiple cpu faults)|(system.+state.+changed )|(\[timeout)|(PRM\|1\|D)|(kpr)|(kdp)|(\|lc)|(penalty))" /e /r /s</v>
      </c>
      <c r="AG182" s="1" t="str">
        <f t="shared" si="61"/>
        <v>NW</v>
      </c>
      <c r="AH182" s="88" t="str">
        <f t="shared" si="62"/>
        <v>"%USERPROFILE%\Documents\GitHub\eaglep3\Utilities\RefineRTDCRunTimes.py" --tripid 1822-31 --locoid 4021 --swversion DE.1.0.8.0 --startMP 300:58617 --initTime 2016-12-31T16:38:43 --startdatetime 2016-12-31T16:40:24 --delay 0 --endMP 204:743 --enddatetime 2016-12-31T16:55:14 --enforcementcount 0 &gt;&gt;C:\Users\stu\Documents\GitHub\eaglep3-reporting\EC\2016-12-31-refined-times.txt</v>
      </c>
      <c r="AI182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{"issue":{"subject":"","project_id":79,"tracker_id":40,"status_id":1,"priority_id":2,"assigned_to_id":23,"start_date":"2016-12-31","description":"","custom_fields":[{"id":1,"name":"Subdivision","value":"NW"},{"id":4,"name":"Milepost","value":"0.0743"},{"id":17,"name":"Train ID","value":"1822-31"},{"id":16,"name":"Locomotive ID","value":"4021"},{"id":130,"name":"Impact","value":""},{"id":150,"name":"Time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4"/>
        <v>start /low /b %USERPROFILE%\Documents\GitHub\eaglep3\Utilities\DownloadLogsFromS3.py --loco 4021 --day 2016-12-31</v>
      </c>
    </row>
    <row r="183" spans="1:91" x14ac:dyDescent="0.25">
      <c r="A183" s="34" t="s">
        <v>619</v>
      </c>
      <c r="B183" s="7">
        <v>4022</v>
      </c>
      <c r="C183" s="22" t="s">
        <v>205</v>
      </c>
      <c r="D183" s="22" t="s">
        <v>748</v>
      </c>
      <c r="E183" s="13">
        <v>42735.71974537037</v>
      </c>
      <c r="F183" s="13">
        <v>42735.72315972222</v>
      </c>
      <c r="G183" s="7">
        <v>1</v>
      </c>
      <c r="H183" s="22" t="s">
        <v>425</v>
      </c>
      <c r="I183" s="13">
        <v>42735.733240740738</v>
      </c>
      <c r="J183" s="7">
        <v>0</v>
      </c>
      <c r="K183" s="105" t="str">
        <f t="shared" si="51"/>
        <v>4021/4022</v>
      </c>
      <c r="L183" s="22" t="str">
        <f>VLOOKUP(A183,'Trips&amp;Operators'!$C$1:$G$99999,5,FALSE)</f>
        <v>HELVIE ADAM</v>
      </c>
      <c r="M183" s="6">
        <f t="shared" si="52"/>
        <v>1.0081018517666962E-2</v>
      </c>
      <c r="N183" s="7">
        <f t="shared" si="68"/>
        <v>14.516666665440425</v>
      </c>
      <c r="O183" s="7"/>
      <c r="P183" s="7"/>
      <c r="Q183" s="23"/>
      <c r="R183" s="23"/>
      <c r="S183" s="32">
        <f t="shared" si="69"/>
        <v>1</v>
      </c>
      <c r="T183" s="47" t="str">
        <f t="shared" si="53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16:16:26-700',mode:absolute,to:'2016-12-31 18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3" s="49" t="str">
        <f t="shared" ref="W183:W219" si="70">IF(AA183&lt;IF(AG183="EC",23,5.65),"Y","N")</f>
        <v>N</v>
      </c>
      <c r="X183" s="173">
        <f t="shared" si="67"/>
        <v>1</v>
      </c>
      <c r="Y183" s="64">
        <f t="shared" si="55"/>
        <v>0.10299999999999999</v>
      </c>
      <c r="Z183" s="64">
        <f t="shared" si="56"/>
        <v>5.8933</v>
      </c>
      <c r="AA183" s="64">
        <f t="shared" si="57"/>
        <v>5.7903000000000002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58"/>
        <v>1823-31</v>
      </c>
      <c r="AE183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83" s="84" t="str">
        <f t="shared" si="60"/>
        <v>"C:\Program Files (x86)\AstroGrep\AstroGrep.exe" /spath="%USERPROFILE%\AppData\Local\Temp\OnboardLogs" /stypes="app*4022*20170101*" /stext=" 00:.+((SYSTEM_STATE.+slice.+state.+changed )|(ment ac)|(multiple cpu faults)|(system.+state.+changed )|(\[timeout)|(PRM\|1\|D)|(kpr)|(kdp)|(\|lc)|(penalty))" /e /r /s</v>
      </c>
      <c r="AG183" s="1" t="str">
        <f t="shared" si="61"/>
        <v>NW</v>
      </c>
      <c r="AH183" s="88" t="str">
        <f t="shared" si="62"/>
        <v>"%USERPROFILE%\Documents\GitHub\eaglep3\Utilities\RefineRTDCRunTimes.py" --tripid 1823-31 --locoid 4022 --swversion DE.1.0.8.0 --startMP 204:1030 --initTime 2016-12-31T17:16:26 --startdatetime 2016-12-31T17:21:21 --delay 1 --endMP 300:58933 --enddatetime 2016-12-31T17:35:52 --enforcementcount 0 &gt;&gt;C:\Users\stu\Documents\GitHub\eaglep3-reporting\EC\2016-12-31-refined-times.txt</v>
      </c>
      <c r="AI183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{"issue":{"subject":"","project_id":79,"tracker_id":40,"status_id":1,"priority_id":2,"assigned_to_id":23,"start_date":"2016-12-31","description":"","custom_fields":[{"id":1,"name":"Subdivision","value":"NW"},{"id":4,"name":"Milepost","value":"5.8933"},{"id":17,"name":"Train ID","value":"1823-31"},{"id":16,"name":"Locomotive ID","value":"4022"},{"id":130,"name":"Impact","value":""},{"id":150,"name":"Time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4"/>
        <v>start /low /b %USERPROFILE%\Documents\GitHub\eaglep3\Utilities\DownloadLogsFromS3.py --loco 4022 --day 2016-12-31</v>
      </c>
    </row>
    <row r="184" spans="1:91" s="21" customFormat="1" x14ac:dyDescent="0.25">
      <c r="A184" s="34" t="s">
        <v>623</v>
      </c>
      <c r="B184" s="7">
        <v>4021</v>
      </c>
      <c r="C184" s="22" t="s">
        <v>205</v>
      </c>
      <c r="D184" s="22" t="s">
        <v>369</v>
      </c>
      <c r="E184" s="13">
        <v>42735.7344212963</v>
      </c>
      <c r="F184" s="13">
        <v>42735.735578703701</v>
      </c>
      <c r="G184" s="7">
        <v>1</v>
      </c>
      <c r="H184" s="22" t="s">
        <v>370</v>
      </c>
      <c r="I184" s="13">
        <v>42735.747071759259</v>
      </c>
      <c r="J184" s="7">
        <v>0</v>
      </c>
      <c r="K184" s="105" t="str">
        <f t="shared" si="51"/>
        <v>4021/4022</v>
      </c>
      <c r="L184" s="22" t="str">
        <f>VLOOKUP(A184,'Trips&amp;Operators'!$C$1:$G$99999,5,FALSE)</f>
        <v>HELVIE ADAM</v>
      </c>
      <c r="M184" s="6">
        <f t="shared" si="52"/>
        <v>1.1493055557366461E-2</v>
      </c>
      <c r="N184" s="7">
        <f t="shared" si="68"/>
        <v>16.550000002607703</v>
      </c>
      <c r="O184" s="7"/>
      <c r="P184" s="7"/>
      <c r="Q184" s="23"/>
      <c r="R184" s="23"/>
      <c r="S184" s="32">
        <f t="shared" si="69"/>
        <v>1</v>
      </c>
      <c r="T184" s="47" t="str">
        <f t="shared" si="53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16:37:34-700',mode:absolute,to:'2016-12-31 18:55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4" s="49" t="str">
        <f t="shared" si="70"/>
        <v>N</v>
      </c>
      <c r="X184" s="173">
        <f t="shared" si="67"/>
        <v>1</v>
      </c>
      <c r="Y184" s="64">
        <f t="shared" si="55"/>
        <v>5.8630000000000004</v>
      </c>
      <c r="Z184" s="64">
        <f t="shared" si="56"/>
        <v>7.5499999999999998E-2</v>
      </c>
      <c r="AA184" s="64">
        <f t="shared" si="57"/>
        <v>5.7875000000000005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58"/>
        <v>1824-31</v>
      </c>
      <c r="AE184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4" s="84" t="str">
        <f t="shared" si="60"/>
        <v>"C:\Program Files (x86)\AstroGrep\AstroGrep.exe" /spath="%USERPROFILE%\AppData\Local\Temp\OnboardLogs" /stypes="app*4021*20170101*" /stext=" 00:.+((SYSTEM_STATE.+slice.+state.+changed )|(ment ac)|(multiple cpu faults)|(system.+state.+changed )|(\[timeout)|(PRM\|1\|D)|(kpr)|(kdp)|(\|lc)|(penalty))" /e /r /s</v>
      </c>
      <c r="AG184" s="1" t="str">
        <f t="shared" si="61"/>
        <v>NW</v>
      </c>
      <c r="AH184" s="88" t="str">
        <f t="shared" si="62"/>
        <v>"%USERPROFILE%\Documents\GitHub\eaglep3\Utilities\RefineRTDCRunTimes.py" --tripid 1824-31 --locoid 4021 --swversion DE.1.0.8.0 --startMP 300:58630 --initTime 2016-12-31T17:37:34 --startdatetime 2016-12-31T17:39:14 --delay 1 --endMP 204:755 --enddatetime 2016-12-31T17:55:47 --enforcementcount 0 &gt;&gt;C:\Users\stu\Documents\GitHub\eaglep3-reporting\EC\2016-12-31-refined-times.txt</v>
      </c>
      <c r="AI184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{"issue":{"subject":"","project_id":79,"tracker_id":40,"status_id":1,"priority_id":2,"assigned_to_id":23,"start_date":"2016-12-31","description":"","custom_fields":[{"id":1,"name":"Subdivision","value":"NW"},{"id":4,"name":"Milepost","value":"0.0755"},{"id":17,"name":"Train ID","value":"1824-31"},{"id":16,"name":"Locomotive ID","value":"4021"},{"id":130,"name":"Impact","value":""},{"id":150,"name":"Time of Event (Mountain Time)","value":"17:55:47"},{"id":151,"name":"Denver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4"/>
        <v>start /low /b %USERPROFILE%\Documents\GitHub\eaglep3\Utilities\DownloadLogsFromS3.py --loco 4021 --day 2016-12-31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636</v>
      </c>
      <c r="B185" s="7">
        <v>4022</v>
      </c>
      <c r="C185" s="22" t="s">
        <v>205</v>
      </c>
      <c r="D185" s="22" t="s">
        <v>749</v>
      </c>
      <c r="E185" s="13">
        <v>42735.762187499997</v>
      </c>
      <c r="F185" s="13">
        <v>42735.765115740738</v>
      </c>
      <c r="G185" s="7">
        <v>1</v>
      </c>
      <c r="H185" s="22" t="s">
        <v>750</v>
      </c>
      <c r="I185" s="13">
        <v>42735.775081018517</v>
      </c>
      <c r="J185" s="7">
        <v>0</v>
      </c>
      <c r="K185" s="105" t="str">
        <f t="shared" si="51"/>
        <v>4021/4022</v>
      </c>
      <c r="L185" s="22" t="str">
        <f>VLOOKUP(A185,'Trips&amp;Operators'!$C$1:$G$99999,5,FALSE)</f>
        <v>HELVIE ADAM</v>
      </c>
      <c r="M185" s="6">
        <f t="shared" si="52"/>
        <v>9.9652777789742686E-3</v>
      </c>
      <c r="N185" s="7">
        <f t="shared" si="68"/>
        <v>14.350000001722947</v>
      </c>
      <c r="O185" s="7"/>
      <c r="P185" s="7"/>
      <c r="Q185" s="23"/>
      <c r="R185" s="23"/>
      <c r="S185" s="32">
        <f t="shared" si="69"/>
        <v>1</v>
      </c>
      <c r="T185" s="47" t="str">
        <f t="shared" si="53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17:17:33-700',mode:absolute,to:'2016-12-31 19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5" s="49" t="str">
        <f t="shared" si="70"/>
        <v>N</v>
      </c>
      <c r="X185" s="173">
        <f t="shared" si="67"/>
        <v>1</v>
      </c>
      <c r="Y185" s="64">
        <f t="shared" si="55"/>
        <v>0.1041</v>
      </c>
      <c r="Z185" s="64">
        <f t="shared" si="56"/>
        <v>5.8939000000000004</v>
      </c>
      <c r="AA185" s="64">
        <f t="shared" si="57"/>
        <v>5.7898000000000005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58"/>
        <v>1825-31</v>
      </c>
      <c r="AE185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85" s="84" t="str">
        <f t="shared" si="60"/>
        <v>"C:\Program Files (x86)\AstroGrep\AstroGrep.exe" /spath="%USERPROFILE%\AppData\Local\Temp\OnboardLogs" /stypes="app*4022*20170101*" /stext=" 01:.+((SYSTEM_STATE.+slice.+state.+changed )|(ment ac)|(multiple cpu faults)|(system.+state.+changed )|(\[timeout)|(PRM\|1\|D)|(kpr)|(kdp)|(\|lc)|(penalty))" /e /r /s</v>
      </c>
      <c r="AG185" s="1" t="str">
        <f t="shared" si="61"/>
        <v>NW</v>
      </c>
      <c r="AH185" s="88" t="str">
        <f t="shared" si="62"/>
        <v>"%USERPROFILE%\Documents\GitHub\eaglep3\Utilities\RefineRTDCRunTimes.py" --tripid 1825-31 --locoid 4022 --swversion DE.1.0.8.0 --startMP 204:1041 --initTime 2016-12-31T18:17:33 --startdatetime 2016-12-31T18:21:46 --delay 1 --endMP 300:58939 --enddatetime 2016-12-31T18:36:07 --enforcementcount 0 &gt;&gt;C:\Users\stu\Documents\GitHub\eaglep3-reporting\EC\2016-12-31-refined-times.txt</v>
      </c>
      <c r="AI185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{"issue":{"subject":"","project_id":79,"tracker_id":40,"status_id":1,"priority_id":2,"assigned_to_id":23,"start_date":"2016-12-31","description":"","custom_fields":[{"id":1,"name":"Subdivision","value":"NW"},{"id":4,"name":"Milepost","value":"5.8939"},{"id":17,"name":"Train ID","value":"1825-31"},{"id":16,"name":"Locomotive ID","value":"4022"},{"id":130,"name":"Impact","value":""},{"id":150,"name":"Time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4"/>
        <v>start /low /b %USERPROFILE%\Documents\GitHub\eaglep3\Utilities\DownloadLogsFromS3.py --loco 4022 --day 2016-12-31</v>
      </c>
    </row>
    <row r="186" spans="1:91" s="21" customFormat="1" x14ac:dyDescent="0.25">
      <c r="A186" s="34" t="s">
        <v>640</v>
      </c>
      <c r="B186" s="7">
        <v>4021</v>
      </c>
      <c r="C186" s="22" t="s">
        <v>205</v>
      </c>
      <c r="D186" s="22" t="s">
        <v>751</v>
      </c>
      <c r="E186" s="13">
        <v>42735.775972222225</v>
      </c>
      <c r="F186" s="13">
        <v>42735.777349537035</v>
      </c>
      <c r="G186" s="7">
        <v>1</v>
      </c>
      <c r="H186" s="22" t="s">
        <v>370</v>
      </c>
      <c r="I186" s="13">
        <v>42735.789930555555</v>
      </c>
      <c r="J186" s="7">
        <v>0</v>
      </c>
      <c r="K186" s="105" t="str">
        <f t="shared" si="51"/>
        <v>4021/4022</v>
      </c>
      <c r="L186" s="22" t="str">
        <f>VLOOKUP(A186,'Trips&amp;Operators'!$C$1:$G$99999,5,FALSE)</f>
        <v>HELVIE ADAM</v>
      </c>
      <c r="M186" s="6">
        <f t="shared" si="52"/>
        <v>1.2581018519995268E-2</v>
      </c>
      <c r="N186" s="7">
        <f t="shared" si="68"/>
        <v>18.116666668793187</v>
      </c>
      <c r="O186" s="7"/>
      <c r="P186" s="7"/>
      <c r="Q186" s="23"/>
      <c r="R186" s="23"/>
      <c r="S186" s="32">
        <f t="shared" si="69"/>
        <v>1</v>
      </c>
      <c r="T186" s="47" t="str">
        <f t="shared" si="53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17:37:24-700',mode:absolute,to:'2016-12-31 19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6" s="49" t="str">
        <f t="shared" si="70"/>
        <v>N</v>
      </c>
      <c r="X186" s="173">
        <f t="shared" si="67"/>
        <v>1</v>
      </c>
      <c r="Y186" s="64">
        <f t="shared" si="55"/>
        <v>5.8634000000000004</v>
      </c>
      <c r="Z186" s="64">
        <f t="shared" si="56"/>
        <v>7.5499999999999998E-2</v>
      </c>
      <c r="AA186" s="64">
        <f t="shared" si="57"/>
        <v>5.7879000000000005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58"/>
        <v>1826-31</v>
      </c>
      <c r="AE186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6" s="84" t="str">
        <f t="shared" si="60"/>
        <v>"C:\Program Files (x86)\AstroGrep\AstroGrep.exe" /spath="%USERPROFILE%\AppData\Local\Temp\OnboardLogs" /stypes="app*4021*20170101*" /stext=" 01:.+((SYSTEM_STATE.+slice.+state.+changed )|(ment ac)|(multiple cpu faults)|(system.+state.+changed )|(\[timeout)|(PRM\|1\|D)|(kpr)|(kdp)|(\|lc)|(penalty))" /e /r /s</v>
      </c>
      <c r="AG186" s="1" t="str">
        <f t="shared" si="61"/>
        <v>NW</v>
      </c>
      <c r="AH186" s="88" t="str">
        <f t="shared" si="62"/>
        <v>"%USERPROFILE%\Documents\GitHub\eaglep3\Utilities\RefineRTDCRunTimes.py" --tripid 1826-31 --locoid 4021 --swversion DE.1.0.8.0 --startMP 300:58634 --initTime 2016-12-31T18:37:24 --startdatetime 2016-12-31T18:39:23 --delay 1 --endMP 204:755 --enddatetime 2016-12-31T18:57:30 --enforcementcount 0 &gt;&gt;C:\Users\stu\Documents\GitHub\eaglep3-reporting\EC\2016-12-31-refined-times.txt</v>
      </c>
      <c r="AI186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{"issue":{"subject":"","project_id":79,"tracker_id":40,"status_id":1,"priority_id":2,"assigned_to_id":23,"start_date":"2016-12-31","description":"","custom_fields":[{"id":1,"name":"Subdivision","value":"NW"},{"id":4,"name":"Milepost","value":"0.0755"},{"id":17,"name":"Train ID","value":"1826-31"},{"id":16,"name":"Locomotive ID","value":"4021"},{"id":130,"name":"Impact","value":""},{"id":150,"name":"Time of Event (Mountain Time)","value":"18:57:30"},{"id":151,"name":"Denver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4"/>
        <v>start /low /b %USERPROFILE%\Documents\GitHub\eaglep3\Utilities\DownloadLogsFromS3.py --loco 4021 --day 2016-12-31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645</v>
      </c>
      <c r="B187" s="7">
        <v>4022</v>
      </c>
      <c r="C187" s="22" t="s">
        <v>205</v>
      </c>
      <c r="D187" s="22" t="s">
        <v>752</v>
      </c>
      <c r="E187" s="13">
        <v>42735.803506944445</v>
      </c>
      <c r="F187" s="13">
        <v>42735.806481481479</v>
      </c>
      <c r="G187" s="7">
        <v>1</v>
      </c>
      <c r="H187" s="22" t="s">
        <v>753</v>
      </c>
      <c r="I187" s="13">
        <v>42735.817569444444</v>
      </c>
      <c r="J187" s="7">
        <v>0</v>
      </c>
      <c r="K187" s="105" t="str">
        <f t="shared" si="51"/>
        <v>4021/4022</v>
      </c>
      <c r="L187" s="22" t="str">
        <f>VLOOKUP(A187,'Trips&amp;Operators'!$C$1:$G$99999,5,FALSE)</f>
        <v>HELVIE ADAM</v>
      </c>
      <c r="M187" s="6">
        <f t="shared" si="52"/>
        <v>1.1087962964666076E-2</v>
      </c>
      <c r="N187" s="7">
        <f t="shared" si="68"/>
        <v>15.966666669119149</v>
      </c>
      <c r="O187" s="7"/>
      <c r="P187" s="7"/>
      <c r="Q187" s="23"/>
      <c r="R187" s="23"/>
      <c r="S187" s="32">
        <f t="shared" si="69"/>
        <v>1</v>
      </c>
      <c r="T187" s="47" t="str">
        <f t="shared" si="53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18:17:03-700',mode:absolute,to:'2016-12-31 20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7" s="49" t="str">
        <f t="shared" si="70"/>
        <v>N</v>
      </c>
      <c r="X187" s="173">
        <f t="shared" si="67"/>
        <v>1</v>
      </c>
      <c r="Y187" s="64">
        <f t="shared" si="55"/>
        <v>0.1027</v>
      </c>
      <c r="Z187" s="64">
        <f t="shared" si="56"/>
        <v>5.8945999999999996</v>
      </c>
      <c r="AA187" s="64">
        <f t="shared" si="57"/>
        <v>5.7919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58"/>
        <v>1827-31</v>
      </c>
      <c r="AE187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87" s="84" t="str">
        <f t="shared" si="60"/>
        <v>"C:\Program Files (x86)\AstroGrep\AstroGrep.exe" /spath="%USERPROFILE%\AppData\Local\Temp\OnboardLogs" /stypes="app*4022*20170101*" /stext=" 02:.+((SYSTEM_STATE.+slice.+state.+changed )|(ment ac)|(multiple cpu faults)|(system.+state.+changed )|(\[timeout)|(PRM\|1\|D)|(kpr)|(kdp)|(\|lc)|(penalty))" /e /r /s</v>
      </c>
      <c r="AG187" s="1" t="str">
        <f t="shared" si="61"/>
        <v>NW</v>
      </c>
      <c r="AH187" s="88" t="str">
        <f t="shared" si="62"/>
        <v>"%USERPROFILE%\Documents\GitHub\eaglep3\Utilities\RefineRTDCRunTimes.py" --tripid 1827-31 --locoid 4022 --swversion DE.1.0.8.0 --startMP 204:1027 --initTime 2016-12-31T19:17:03 --startdatetime 2016-12-31T19:21:20 --delay 1 --endMP 300:58946 --enddatetime 2016-12-31T19:37:18 --enforcementcount 0 &gt;&gt;C:\Users\stu\Documents\GitHub\eaglep3-reporting\EC\2016-12-31-refined-times.txt</v>
      </c>
      <c r="AI187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{"issue":{"subject":"","project_id":79,"tracker_id":40,"status_id":1,"priority_id":2,"assigned_to_id":23,"start_date":"2016-12-31","description":"","custom_fields":[{"id":1,"name":"Subdivision","value":"NW"},{"id":4,"name":"Milepost","value":"5.8946"},{"id":17,"name":"Train ID","value":"1827-31"},{"id":16,"name":"Locomotive ID","value":"4022"},{"id":130,"name":"Impact","value":""},{"id":150,"name":"Time of Event (Mountain Time)","value":"19:37:18"},{"id":151,"name":"Denver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4"/>
        <v>start /low /b %USERPROFILE%\Documents\GitHub\eaglep3\Utilities\DownloadLogsFromS3.py --loco 4022 --day 2016-12-31</v>
      </c>
    </row>
    <row r="188" spans="1:91" x14ac:dyDescent="0.25">
      <c r="A188" s="34" t="s">
        <v>647</v>
      </c>
      <c r="B188" s="7">
        <v>4021</v>
      </c>
      <c r="C188" s="22" t="s">
        <v>205</v>
      </c>
      <c r="D188" s="22" t="s">
        <v>372</v>
      </c>
      <c r="E188" s="13">
        <v>42735.818356481483</v>
      </c>
      <c r="F188" s="13">
        <v>42735.819606481484</v>
      </c>
      <c r="G188" s="7">
        <v>1</v>
      </c>
      <c r="H188" s="22" t="s">
        <v>747</v>
      </c>
      <c r="I188" s="13">
        <v>42735.830127314817</v>
      </c>
      <c r="J188" s="7">
        <v>0</v>
      </c>
      <c r="K188" s="105" t="str">
        <f t="shared" si="51"/>
        <v>4021/4022</v>
      </c>
      <c r="L188" s="22" t="str">
        <f>VLOOKUP(A188,'Trips&amp;Operators'!$C$1:$G$99999,5,FALSE)</f>
        <v>HELVIE ADAM</v>
      </c>
      <c r="M188" s="6">
        <f t="shared" si="52"/>
        <v>1.0520833333430346E-2</v>
      </c>
      <c r="N188" s="7">
        <f t="shared" si="68"/>
        <v>15.150000000139698</v>
      </c>
      <c r="O188" s="7"/>
      <c r="P188" s="7"/>
      <c r="Q188" s="23"/>
      <c r="R188" s="23"/>
      <c r="S188" s="32">
        <f t="shared" si="69"/>
        <v>1</v>
      </c>
      <c r="T188" s="47" t="str">
        <f t="shared" si="53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18:38:26-700',mode:absolute,to:'2016-12-31 20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8" s="49" t="str">
        <f t="shared" si="70"/>
        <v>N</v>
      </c>
      <c r="X188" s="173">
        <f t="shared" si="67"/>
        <v>1</v>
      </c>
      <c r="Y188" s="64">
        <f t="shared" si="55"/>
        <v>5.8635999999999999</v>
      </c>
      <c r="Z188" s="64">
        <f t="shared" si="56"/>
        <v>7.4300000000000005E-2</v>
      </c>
      <c r="AA188" s="64">
        <f t="shared" si="57"/>
        <v>5.7892999999999999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58"/>
        <v>1828-31</v>
      </c>
      <c r="AE188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88" s="84" t="str">
        <f t="shared" si="60"/>
        <v>"C:\Program Files (x86)\AstroGrep\AstroGrep.exe" /spath="%USERPROFILE%\AppData\Local\Temp\OnboardLogs" /stypes="app*4021*20170101*" /stext=" 02:.+((SYSTEM_STATE.+slice.+state.+changed )|(ment ac)|(multiple cpu faults)|(system.+state.+changed )|(\[timeout)|(PRM\|1\|D)|(kpr)|(kdp)|(\|lc)|(penalty))" /e /r /s</v>
      </c>
      <c r="AG188" s="1" t="str">
        <f t="shared" si="61"/>
        <v>NW</v>
      </c>
      <c r="AH188" s="88" t="str">
        <f t="shared" si="62"/>
        <v>"%USERPROFILE%\Documents\GitHub\eaglep3\Utilities\RefineRTDCRunTimes.py" --tripid 1828-31 --locoid 4021 --swversion DE.1.0.8.0 --startMP 300:58636 --initTime 2016-12-31T19:38:26 --startdatetime 2016-12-31T19:40:14 --delay 1 --endMP 204:743 --enddatetime 2016-12-31T19:55:23 --enforcementcount 0 &gt;&gt;C:\Users\stu\Documents\GitHub\eaglep3-reporting\EC\2016-12-31-refined-times.txt</v>
      </c>
      <c r="AI188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{"issue":{"subject":"","project_id":79,"tracker_id":40,"status_id":1,"priority_id":2,"assigned_to_id":23,"start_date":"2016-12-31","description":"","custom_fields":[{"id":1,"name":"Subdivision","value":"NW"},{"id":4,"name":"Milepost","value":"0.0743"},{"id":17,"name":"Train ID","value":"1828-31"},{"id":16,"name":"Locomotive ID","value":"4021"},{"id":130,"name":"Impact","value":""},{"id":150,"name":"Time of Event (Mountain Time)","value":"19:55:23"},{"id":151,"name":"Denver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4"/>
        <v>start /low /b %USERPROFILE%\Documents\GitHub\eaglep3\Utilities\DownloadLogsFromS3.py --loco 4021 --day 2016-12-31</v>
      </c>
    </row>
    <row r="189" spans="1:91" x14ac:dyDescent="0.25">
      <c r="A189" s="34" t="s">
        <v>650</v>
      </c>
      <c r="B189" s="7">
        <v>4022</v>
      </c>
      <c r="C189" s="22" t="s">
        <v>205</v>
      </c>
      <c r="D189" s="22" t="s">
        <v>733</v>
      </c>
      <c r="E189" s="13">
        <v>42735.844664351855</v>
      </c>
      <c r="F189" s="13">
        <v>42735.848171296297</v>
      </c>
      <c r="G189" s="7">
        <v>1</v>
      </c>
      <c r="H189" s="22" t="s">
        <v>432</v>
      </c>
      <c r="I189" s="13">
        <v>42735.858182870368</v>
      </c>
      <c r="J189" s="7">
        <v>0</v>
      </c>
      <c r="K189" s="105" t="str">
        <f t="shared" si="51"/>
        <v>4021/4022</v>
      </c>
      <c r="L189" s="22" t="str">
        <f>VLOOKUP(A189,'Trips&amp;Operators'!$C$1:$G$99999,5,FALSE)</f>
        <v>HELVIE ADAM</v>
      </c>
      <c r="M189" s="6">
        <f t="shared" si="52"/>
        <v>1.0011574071540963E-2</v>
      </c>
      <c r="N189" s="7">
        <f t="shared" si="68"/>
        <v>14.416666663018987</v>
      </c>
      <c r="O189" s="7"/>
      <c r="P189" s="7"/>
      <c r="Q189" s="23"/>
      <c r="R189" s="23"/>
      <c r="S189" s="32">
        <f t="shared" si="69"/>
        <v>1</v>
      </c>
      <c r="T189" s="47" t="str">
        <f t="shared" si="53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19:16:19-700',mode:absolute,to:'2016-12-31 21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9" s="49" t="str">
        <f t="shared" si="70"/>
        <v>N</v>
      </c>
      <c r="X189" s="173">
        <f t="shared" si="67"/>
        <v>1</v>
      </c>
      <c r="Y189" s="64">
        <f t="shared" si="55"/>
        <v>0.10340000000000001</v>
      </c>
      <c r="Z189" s="64">
        <f t="shared" si="56"/>
        <v>5.8940999999999999</v>
      </c>
      <c r="AA189" s="64">
        <f t="shared" si="57"/>
        <v>5.7907000000000002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58"/>
        <v>1829-31</v>
      </c>
      <c r="AE189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89" s="84" t="str">
        <f t="shared" si="60"/>
        <v>"C:\Program Files (x86)\AstroGrep\AstroGrep.exe" /spath="%USERPROFILE%\AppData\Local\Temp\OnboardLogs" /stypes="app*4022*20170101*" /stext=" 03:.+((SYSTEM_STATE.+slice.+state.+changed )|(ment ac)|(multiple cpu faults)|(system.+state.+changed )|(\[timeout)|(PRM\|1\|D)|(kpr)|(kdp)|(\|lc)|(penalty))" /e /r /s</v>
      </c>
      <c r="AG189" s="1" t="str">
        <f t="shared" si="61"/>
        <v>NW</v>
      </c>
      <c r="AH189" s="88" t="str">
        <f t="shared" si="62"/>
        <v>"%USERPROFILE%\Documents\GitHub\eaglep3\Utilities\RefineRTDCRunTimes.py" --tripid 1829-31 --locoid 4022 --swversion DE.1.0.8.0 --startMP 204:1034 --initTime 2016-12-31T20:16:19 --startdatetime 2016-12-31T20:21:22 --delay 1 --endMP 300:58941 --enddatetime 2016-12-31T20:35:47 --enforcementcount 0 &gt;&gt;C:\Users\stu\Documents\GitHub\eaglep3-reporting\EC\2016-12-31-refined-times.txt</v>
      </c>
      <c r="AI189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{"issue":{"subject":"","project_id":79,"tracker_id":40,"status_id":1,"priority_id":2,"assigned_to_id":23,"start_date":"2016-12-31","description":"","custom_fields":[{"id":1,"name":"Subdivision","value":"NW"},{"id":4,"name":"Milepost","value":"5.8941"},{"id":17,"name":"Train ID","value":"1829-31"},{"id":16,"name":"Locomotive ID","value":"4022"},{"id":130,"name":"Impact","value":""},{"id":150,"name":"Time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4"/>
        <v>start /low /b %USERPROFILE%\Documents\GitHub\eaglep3\Utilities\DownloadLogsFromS3.py --loco 4022 --day 2016-12-31</v>
      </c>
    </row>
    <row r="190" spans="1:91" s="21" customFormat="1" x14ac:dyDescent="0.25">
      <c r="A190" s="34" t="s">
        <v>654</v>
      </c>
      <c r="B190" s="7">
        <v>4021</v>
      </c>
      <c r="C190" s="22" t="s">
        <v>205</v>
      </c>
      <c r="D190" s="22" t="s">
        <v>754</v>
      </c>
      <c r="E190" s="13">
        <v>42735.859351851854</v>
      </c>
      <c r="F190" s="13">
        <v>42735.860868055555</v>
      </c>
      <c r="G190" s="7">
        <v>1</v>
      </c>
      <c r="H190" s="22" t="s">
        <v>755</v>
      </c>
      <c r="I190" s="13">
        <v>42735.87159722222</v>
      </c>
      <c r="J190" s="7">
        <v>0</v>
      </c>
      <c r="K190" s="105" t="str">
        <f t="shared" si="51"/>
        <v>4021/4022</v>
      </c>
      <c r="L190" s="22" t="str">
        <f>VLOOKUP(A190,'Trips&amp;Operators'!$C$1:$G$99999,5,FALSE)</f>
        <v>HELVIE ADAM</v>
      </c>
      <c r="M190" s="6">
        <f t="shared" si="52"/>
        <v>1.0729166664532386E-2</v>
      </c>
      <c r="N190" s="7">
        <f t="shared" si="68"/>
        <v>15.449999996926636</v>
      </c>
      <c r="O190" s="7"/>
      <c r="P190" s="7"/>
      <c r="Q190" s="23"/>
      <c r="R190" s="23"/>
      <c r="S190" s="32">
        <f t="shared" si="69"/>
        <v>1</v>
      </c>
      <c r="T190" s="47" t="str">
        <f t="shared" si="53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19:37:28-700',mode:absolute,to:'2016-12-31 21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0" s="49" t="str">
        <f t="shared" si="70"/>
        <v>N</v>
      </c>
      <c r="X190" s="173">
        <f t="shared" si="67"/>
        <v>1</v>
      </c>
      <c r="Y190" s="64">
        <f t="shared" si="55"/>
        <v>5.8623000000000003</v>
      </c>
      <c r="Z190" s="64">
        <f t="shared" si="56"/>
        <v>7.5700000000000003E-2</v>
      </c>
      <c r="AA190" s="64">
        <f t="shared" si="57"/>
        <v>5.7866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58"/>
        <v>1830-31</v>
      </c>
      <c r="AE190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90" s="84" t="str">
        <f t="shared" si="60"/>
        <v>"C:\Program Files (x86)\AstroGrep\AstroGrep.exe" /spath="%USERPROFILE%\AppData\Local\Temp\OnboardLogs" /stypes="app*4021*20170101*" /stext=" 03:.+((SYSTEM_STATE.+slice.+state.+changed )|(ment ac)|(multiple cpu faults)|(system.+state.+changed )|(\[timeout)|(PRM\|1\|D)|(kpr)|(kdp)|(\|lc)|(penalty))" /e /r /s</v>
      </c>
      <c r="AG190" s="1" t="str">
        <f t="shared" si="61"/>
        <v>NW</v>
      </c>
      <c r="AH190" s="88" t="str">
        <f t="shared" si="62"/>
        <v>"%USERPROFILE%\Documents\GitHub\eaglep3\Utilities\RefineRTDCRunTimes.py" --tripid 1830-31 --locoid 4021 --swversion DE.1.0.8.0 --startMP 300:58623 --initTime 2016-12-31T20:37:28 --startdatetime 2016-12-31T20:39:39 --delay 1 --endMP 204:757 --enddatetime 2016-12-31T20:55:06 --enforcementcount 0 &gt;&gt;C:\Users\stu\Documents\GitHub\eaglep3-reporting\EC\2016-12-31-refined-times.txt</v>
      </c>
      <c r="AI190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{"issue":{"subject":"","project_id":79,"tracker_id":40,"status_id":1,"priority_id":2,"assigned_to_id":23,"start_date":"2016-12-31","description":"","custom_fields":[{"id":1,"name":"Subdivision","value":"NW"},{"id":4,"name":"Milepost","value":"0.0757"},{"id":17,"name":"Train ID","value":"1830-31"},{"id":16,"name":"Locomotive ID","value":"4021"},{"id":130,"name":"Impact","value":""},{"id":150,"name":"Time of Event (Mountain Time)","value":"20:55:06"},{"id":151,"name":"Denver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4"/>
        <v>start /low /b %USERPROFILE%\Documents\GitHub\eaglep3\Utilities\DownloadLogsFromS3.py --loco 4021 --day 2016-12-31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656</v>
      </c>
      <c r="B191" s="7">
        <v>4022</v>
      </c>
      <c r="C191" s="22" t="s">
        <v>205</v>
      </c>
      <c r="D191" s="22" t="s">
        <v>752</v>
      </c>
      <c r="E191" s="13">
        <v>42735.88753472222</v>
      </c>
      <c r="F191" s="13">
        <v>42735.890081018515</v>
      </c>
      <c r="G191" s="7">
        <v>1</v>
      </c>
      <c r="H191" s="22" t="s">
        <v>756</v>
      </c>
      <c r="I191" s="13">
        <v>42735.90047453704</v>
      </c>
      <c r="J191" s="7">
        <v>0</v>
      </c>
      <c r="K191" s="105" t="str">
        <f t="shared" si="51"/>
        <v>4021/4022</v>
      </c>
      <c r="L191" s="22" t="str">
        <f>VLOOKUP(A191,'Trips&amp;Operators'!$C$1:$G$99999,5,FALSE)</f>
        <v>HELVIE ADAM</v>
      </c>
      <c r="M191" s="6">
        <f t="shared" si="52"/>
        <v>1.0393518525233958E-2</v>
      </c>
      <c r="N191" s="7">
        <f t="shared" si="68"/>
        <v>14.966666676336899</v>
      </c>
      <c r="O191" s="7"/>
      <c r="P191" s="7"/>
      <c r="Q191" s="23"/>
      <c r="R191" s="23"/>
      <c r="S191" s="32">
        <f t="shared" si="69"/>
        <v>1</v>
      </c>
      <c r="T191" s="47" t="str">
        <f t="shared" si="5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20:18:03-700',mode:absolute,to:'2016-12-31 22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49" t="str">
        <f t="shared" si="70"/>
        <v>N</v>
      </c>
      <c r="X191" s="173">
        <f t="shared" si="67"/>
        <v>1</v>
      </c>
      <c r="Y191" s="64">
        <f t="shared" si="55"/>
        <v>0.1027</v>
      </c>
      <c r="Z191" s="64">
        <f t="shared" si="56"/>
        <v>5.8952</v>
      </c>
      <c r="AA191" s="64">
        <f t="shared" si="57"/>
        <v>5.7925000000000004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58"/>
        <v>1831-31</v>
      </c>
      <c r="AE191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91" s="84" t="str">
        <f t="shared" si="60"/>
        <v>"C:\Program Files (x86)\AstroGrep\AstroGrep.exe" /spath="%USERPROFILE%\AppData\Local\Temp\OnboardLogs" /stypes="app*4022*20170101*" /stext=" 04:.+((SYSTEM_STATE.+slice.+state.+changed )|(ment ac)|(multiple cpu faults)|(system.+state.+changed )|(\[timeout)|(PRM\|1\|D)|(kpr)|(kdp)|(\|lc)|(penalty))" /e /r /s</v>
      </c>
      <c r="AG191" s="1" t="str">
        <f t="shared" si="61"/>
        <v>NW</v>
      </c>
      <c r="AH191" s="88" t="str">
        <f t="shared" si="62"/>
        <v>"%USERPROFILE%\Documents\GitHub\eaglep3\Utilities\RefineRTDCRunTimes.py" --tripid 1831-31 --locoid 4022 --swversion DE.1.0.8.0 --startMP 204:1027 --initTime 2016-12-31T21:18:03 --startdatetime 2016-12-31T21:21:43 --delay 1 --endMP 300:58952 --enddatetime 2016-12-31T21:36:41 --enforcementcount 0 &gt;&gt;C:\Users\stu\Documents\GitHub\eaglep3-reporting\EC\2016-12-31-refined-times.txt</v>
      </c>
      <c r="AI191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{"issue":{"subject":"","project_id":79,"tracker_id":40,"status_id":1,"priority_id":2,"assigned_to_id":23,"start_date":"2016-12-31","description":"","custom_fields":[{"id":1,"name":"Subdivision","value":"NW"},{"id":4,"name":"Milepost","value":"5.8952"},{"id":17,"name":"Train ID","value":"1831-31"},{"id":16,"name":"Locomotive ID","value":"4022"},{"id":130,"name":"Impact","value":""},{"id":150,"name":"Time of Event (Mountain Time)","value":"21:36:41"},{"id":151,"name":"Denver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4"/>
        <v>start /low /b %USERPROFILE%\Documents\GitHub\eaglep3\Utilities\DownloadLogsFromS3.py --loco 4022 --day 2016-12-31</v>
      </c>
    </row>
    <row r="192" spans="1:91" x14ac:dyDescent="0.25">
      <c r="A192" s="34" t="s">
        <v>657</v>
      </c>
      <c r="B192" s="7">
        <v>4021</v>
      </c>
      <c r="C192" s="22" t="s">
        <v>205</v>
      </c>
      <c r="D192" s="22" t="s">
        <v>757</v>
      </c>
      <c r="E192" s="13">
        <v>42735.902986111112</v>
      </c>
      <c r="F192" s="13">
        <v>42735.906041666669</v>
      </c>
      <c r="G192" s="7">
        <v>1</v>
      </c>
      <c r="H192" s="22" t="s">
        <v>745</v>
      </c>
      <c r="I192" s="13">
        <v>42735.915219907409</v>
      </c>
      <c r="J192" s="7">
        <v>0</v>
      </c>
      <c r="K192" s="105" t="str">
        <f t="shared" si="51"/>
        <v>4021/4022</v>
      </c>
      <c r="L192" s="22" t="str">
        <f>VLOOKUP(A192,'Trips&amp;Operators'!$C$1:$G$99999,5,FALSE)</f>
        <v>HELVIE ADAM</v>
      </c>
      <c r="M192" s="6">
        <f t="shared" si="52"/>
        <v>9.1782407398568466E-3</v>
      </c>
      <c r="N192" s="7">
        <f t="shared" si="68"/>
        <v>13.216666665393859</v>
      </c>
      <c r="O192" s="7"/>
      <c r="P192" s="7"/>
      <c r="Q192" s="23"/>
      <c r="R192" s="23"/>
      <c r="S192" s="32">
        <f t="shared" si="69"/>
        <v>1</v>
      </c>
      <c r="T192" s="47" t="str">
        <f t="shared" si="53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20:40:18-700',mode:absolute,to:'2016-12-31 22:57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2" s="49" t="str">
        <f t="shared" si="70"/>
        <v>N</v>
      </c>
      <c r="X192" s="173">
        <f t="shared" si="67"/>
        <v>1</v>
      </c>
      <c r="Y192" s="64">
        <f t="shared" si="55"/>
        <v>5.8632</v>
      </c>
      <c r="Z192" s="64">
        <f t="shared" si="56"/>
        <v>7.2900000000000006E-2</v>
      </c>
      <c r="AA192" s="64">
        <f t="shared" si="57"/>
        <v>5.7903000000000002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58"/>
        <v>1832-31</v>
      </c>
      <c r="AE192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92" s="84" t="str">
        <f t="shared" si="60"/>
        <v>"C:\Program Files (x86)\AstroGrep\AstroGrep.exe" /spath="%USERPROFILE%\AppData\Local\Temp\OnboardLogs" /stypes="app*4021*20170101*" /stext=" 04:.+((SYSTEM_STATE.+slice.+state.+changed )|(ment ac)|(multiple cpu faults)|(system.+state.+changed )|(\[timeout)|(PRM\|1\|D)|(kpr)|(kdp)|(\|lc)|(penalty))" /e /r /s</v>
      </c>
      <c r="AG192" s="1" t="str">
        <f t="shared" si="61"/>
        <v>NW</v>
      </c>
      <c r="AH192" s="88" t="str">
        <f t="shared" si="62"/>
        <v>"%USERPROFILE%\Documents\GitHub\eaglep3\Utilities\RefineRTDCRunTimes.py" --tripid 1832-31 --locoid 4021 --swversion DE.1.0.8.0 --startMP 300:58632 --initTime 2016-12-31T21:40:18 --startdatetime 2016-12-31T21:44:42 --delay 1 --endMP 204:729 --enddatetime 2016-12-31T21:57:55 --enforcementcount 0 &gt;&gt;C:\Users\stu\Documents\GitHub\eaglep3-reporting\EC\2016-12-31-refined-times.txt</v>
      </c>
      <c r="AI192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{"issue":{"subject":"","project_id":79,"tracker_id":40,"status_id":1,"priority_id":2,"assigned_to_id":23,"start_date":"2016-12-31","description":"","custom_fields":[{"id":1,"name":"Subdivision","value":"NW"},{"id":4,"name":"Milepost","value":"0.0729"},{"id":17,"name":"Train ID","value":"1832-31"},{"id":16,"name":"Locomotive ID","value":"4021"},{"id":130,"name":"Impact","value":""},{"id":150,"name":"Time of Event (Mountain Time)","value":"21:57:55"},{"id":151,"name":"Denver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4"/>
        <v>start /low /b %USERPROFILE%\Documents\GitHub\eaglep3\Utilities\DownloadLogsFromS3.py --loco 4021 --day 2016-12-31</v>
      </c>
    </row>
    <row r="193" spans="1:91" x14ac:dyDescent="0.25">
      <c r="A193" s="34" t="s">
        <v>461</v>
      </c>
      <c r="B193" s="7">
        <v>4022</v>
      </c>
      <c r="C193" s="22" t="s">
        <v>205</v>
      </c>
      <c r="D193" s="22" t="s">
        <v>758</v>
      </c>
      <c r="E193" s="13">
        <v>42735.922962962963</v>
      </c>
      <c r="F193" s="13">
        <v>42735.931469907409</v>
      </c>
      <c r="G193" s="7">
        <v>1</v>
      </c>
      <c r="H193" s="22" t="s">
        <v>371</v>
      </c>
      <c r="I193" s="13">
        <v>42735.942164351851</v>
      </c>
      <c r="J193" s="7">
        <v>0</v>
      </c>
      <c r="K193" s="105" t="str">
        <f t="shared" si="51"/>
        <v>4021/4022</v>
      </c>
      <c r="L193" s="22" t="str">
        <f>VLOOKUP(A193,'Trips&amp;Operators'!$C$1:$G$99999,5,FALSE)</f>
        <v>HELVIE ADAM</v>
      </c>
      <c r="M193" s="6">
        <f t="shared" si="52"/>
        <v>1.0694444441469386E-2</v>
      </c>
      <c r="N193" s="7">
        <f t="shared" si="68"/>
        <v>15.399999995715916</v>
      </c>
      <c r="O193" s="7"/>
      <c r="P193" s="7"/>
      <c r="Q193" s="23"/>
      <c r="R193" s="23"/>
      <c r="S193" s="32">
        <f t="shared" si="69"/>
        <v>1</v>
      </c>
      <c r="T193" s="47" t="str">
        <f t="shared" si="5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21:09:04-700',mode:absolute,to:'2016-12-31 23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3" s="49" t="str">
        <f t="shared" si="70"/>
        <v>N</v>
      </c>
      <c r="X193" s="173">
        <f t="shared" si="67"/>
        <v>1</v>
      </c>
      <c r="Y193" s="64">
        <f t="shared" si="55"/>
        <v>0.1009</v>
      </c>
      <c r="Z193" s="64">
        <f t="shared" si="56"/>
        <v>5.8936999999999999</v>
      </c>
      <c r="AA193" s="64">
        <f t="shared" si="57"/>
        <v>5.7927999999999997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58"/>
        <v>1833-31</v>
      </c>
      <c r="AE193" s="87" t="str">
        <f t="shared" si="59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193" s="84" t="str">
        <f t="shared" si="60"/>
        <v>"C:\Program Files (x86)\AstroGrep\AstroGrep.exe" /spath="%USERPROFILE%\AppData\Local\Temp\OnboardLogs" /stypes="app*4022*20170101*" /stext=" 05:.+((SYSTEM_STATE.+slice.+state.+changed )|(ment ac)|(multiple cpu faults)|(system.+state.+changed )|(\[timeout)|(PRM\|1\|D)|(kpr)|(kdp)|(\|lc)|(penalty))" /e /r /s</v>
      </c>
      <c r="AG193" s="1" t="str">
        <f t="shared" si="61"/>
        <v>NW</v>
      </c>
      <c r="AH193" s="88" t="str">
        <f t="shared" si="62"/>
        <v>"%USERPROFILE%\Documents\GitHub\eaglep3\Utilities\RefineRTDCRunTimes.py" --tripid 1833-31 --locoid 4022 --swversion DE.1.0.8.0 --startMP 204:1009 --initTime 2016-12-31T22:09:04 --startdatetime 2016-12-31T22:21:19 --delay 1 --endMP 300:58937 --enddatetime 2016-12-31T22:36:43 --enforcementcount 0 &gt;&gt;C:\Users\stu\Documents\GitHub\eaglep3-reporting\EC\2016-12-31-refined-times.txt</v>
      </c>
      <c r="AI193" s="115" t="str">
        <f t="shared" si="63"/>
        <v>echo {"issue":{"subject":"","project_id":79,"tracker_id":40,"status_id":1,"priority_id":2,"assigned_to_id":23,"start_date":"2016-12-31","description":"","custom_fields":[{"id":1,"name":"Subdivision","value":"NW"},{"id":4,"name":"Milepost","value":"5.8937"},{"id":17,"name":"Train ID","value":"1833-31"},{"id":16,"name":"Locomotive ID","value":"4022"},{"id":130,"name":"Impact","value":""},{"id":150,"name":"Time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4"/>
        <v>start /low /b %USERPROFILE%\Documents\GitHub\eaglep3\Utilities\DownloadLogsFromS3.py --loco 4022 --day 2016-12-31</v>
      </c>
    </row>
    <row r="194" spans="1:91" x14ac:dyDescent="0.25">
      <c r="A194" s="34" t="s">
        <v>477</v>
      </c>
      <c r="B194" s="7">
        <v>4012</v>
      </c>
      <c r="C194" s="22" t="s">
        <v>205</v>
      </c>
      <c r="D194" s="22" t="s">
        <v>800</v>
      </c>
      <c r="E194" s="13">
        <v>42735.118425925924</v>
      </c>
      <c r="F194" s="13">
        <v>42735.122858796298</v>
      </c>
      <c r="G194" s="7">
        <v>6</v>
      </c>
      <c r="H194" s="22" t="s">
        <v>191</v>
      </c>
      <c r="I194" s="13">
        <v>42735.128009259257</v>
      </c>
      <c r="J194" s="7">
        <v>0</v>
      </c>
      <c r="K194" s="105" t="str">
        <f t="shared" si="51"/>
        <v>4011/4012</v>
      </c>
      <c r="L194" s="22" t="str">
        <f>VLOOKUP(A194,'Trips&amp;Operators'!$C$1:$G$99999,5,FALSE)</f>
        <v>BEAM ROSS</v>
      </c>
      <c r="M194" s="6">
        <f t="shared" si="52"/>
        <v>5.1504629591363482E-3</v>
      </c>
      <c r="N194" s="7">
        <f t="shared" si="68"/>
        <v>7.4166666611563414</v>
      </c>
      <c r="O194" s="7"/>
      <c r="P194" s="7"/>
      <c r="Q194" s="23"/>
      <c r="R194" s="23"/>
      <c r="S194" s="32">
        <f t="shared" si="69"/>
        <v>1</v>
      </c>
      <c r="T194" s="47" t="str">
        <f t="shared" si="53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01:50:32-700',mode:absolute,to:'2016-12-31 04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4" s="49" t="str">
        <f t="shared" si="70"/>
        <v>Y</v>
      </c>
      <c r="X194" s="173">
        <f t="shared" ref="X194:X219" si="71">VALUE(LEFT(AD194,4))-VALUE(LEFT(AD193,4))</f>
        <v>-1531</v>
      </c>
      <c r="Y194" s="64">
        <f t="shared" si="55"/>
        <v>2.0045000000000002</v>
      </c>
      <c r="Z194" s="64">
        <f t="shared" si="56"/>
        <v>1.49E-2</v>
      </c>
      <c r="AA194" s="64">
        <f t="shared" si="57"/>
        <v>1.9896000000000003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58"/>
        <v>0302-31</v>
      </c>
      <c r="AE194" s="87" t="str">
        <f t="shared" si="59"/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AF194" s="84" t="str">
        <f t="shared" si="60"/>
        <v>"C:\Program Files (x86)\AstroGrep\AstroGrep.exe" /spath="%USERPROFILE%\AppData\Local\Temp\OnboardLogs" /stypes="app*4012*20161231*" /stext=" 10:.+((SYSTEM_STATE.+slice.+state.+changed )|(ment ac)|(multiple cpu faults)|(system.+state.+changed )|(\[timeout)|(PRM\|1\|D)|(kpr)|(kdp)|(\|lc)|(penalty))" /e /r /s</v>
      </c>
      <c r="AG194" s="1" t="str">
        <f t="shared" si="61"/>
        <v>Other</v>
      </c>
      <c r="AH194" s="88" t="str">
        <f t="shared" si="62"/>
        <v>"%USERPROFILE%\Documents\GitHub\eaglep3\Utilities\RefineRTDCRunTimes.py" --tripid 302-31 --locoid 4012 --swversion DE.1.0.8.0 --startMP 300:20045 --initTime 2016-12-31T02:50:32 --startdatetime 2016-12-31T02:56:55 --delay 6 --endMP 204:149 --enddatetime 2016-12-31T03:04:20 --enforcementcount 0 &gt;&gt;C:\Users\stu\Documents\GitHub\eaglep3-reporting\EC\2016-12-31-refined-times.txt</v>
      </c>
      <c r="AI194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{"issue":{"subject":"","project_id":79,"tracker_id":40,"status_id":1,"priority_id":2,"assigned_to_id":23,"start_date":"2016-12-31","description":"","custom_fields":[{"id":1,"name":"Subdivision","value":"Other"},{"id":4,"name":"Milepost","value":"0.0149"},{"id":17,"name":"Train ID","value":"302-31"},{"id":16,"name":"Locomotive ID","value":"4012"},{"id":130,"name":"Impact","value":""},{"id":150,"name":"Time of Event (Mountain Time)","value":"03:04:20"},{"id":151,"name":"Denver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4"/>
        <v>start /low /b %USERPROFILE%\Documents\GitHub\eaglep3\Utilities\DownloadLogsFromS3.py --loco 4012 --day 2016-12-31</v>
      </c>
    </row>
    <row r="195" spans="1:91" s="21" customFormat="1" x14ac:dyDescent="0.25">
      <c r="A195" s="34" t="s">
        <v>641</v>
      </c>
      <c r="B195" s="7">
        <v>4025</v>
      </c>
      <c r="C195" s="22" t="s">
        <v>205</v>
      </c>
      <c r="D195" s="22" t="s">
        <v>259</v>
      </c>
      <c r="E195" s="13">
        <v>42735.777916666666</v>
      </c>
      <c r="F195" s="13">
        <v>42735.779930555553</v>
      </c>
      <c r="G195" s="7">
        <v>1</v>
      </c>
      <c r="H195" s="22" t="s">
        <v>801</v>
      </c>
      <c r="I195" s="13">
        <v>42735.78564814815</v>
      </c>
      <c r="J195" s="7">
        <v>0</v>
      </c>
      <c r="K195" s="105" t="str">
        <f t="shared" si="51"/>
        <v>4025/4026</v>
      </c>
      <c r="L195" s="22" t="str">
        <f>VLOOKUP(A195,'Trips&amp;Operators'!$C$1:$G$99999,5,FALSE)</f>
        <v>KILLION DAVID</v>
      </c>
      <c r="M195" s="6">
        <f t="shared" si="52"/>
        <v>5.7175925976480357E-3</v>
      </c>
      <c r="N195" s="7">
        <f t="shared" si="68"/>
        <v>8.2333333406131715</v>
      </c>
      <c r="O195" s="7"/>
      <c r="P195" s="7"/>
      <c r="Q195" s="23"/>
      <c r="R195" s="23"/>
      <c r="S195" s="32">
        <f t="shared" si="69"/>
        <v>1</v>
      </c>
      <c r="T195" s="47" t="str">
        <f t="shared" si="53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17:40:12-700',mode:absolute,to:'2016-12-31 19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5" s="49" t="str">
        <f t="shared" si="70"/>
        <v>Y</v>
      </c>
      <c r="X195" s="173">
        <f t="shared" si="71"/>
        <v>1</v>
      </c>
      <c r="Y195" s="64">
        <f t="shared" si="55"/>
        <v>4.6199999999999998E-2</v>
      </c>
      <c r="Z195" s="64">
        <f t="shared" si="56"/>
        <v>2.3294999999999999</v>
      </c>
      <c r="AA195" s="64">
        <f t="shared" si="57"/>
        <v>2.2833000000000001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58"/>
        <v>0303-31</v>
      </c>
      <c r="AE195" s="87" t="str">
        <f t="shared" si="59"/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AF195" s="84" t="str">
        <f t="shared" si="60"/>
        <v>"C:\Program Files (x86)\AstroGrep\AstroGrep.exe" /spath="%USERPROFILE%\AppData\Local\Temp\OnboardLogs" /stypes="app*4025*20170101*" /stext=" 01:.+((SYSTEM_STATE.+slice.+state.+changed )|(ment ac)|(multiple cpu faults)|(system.+state.+changed )|(\[timeout)|(PRM\|1\|D)|(kpr)|(kdp)|(\|lc)|(penalty))" /e /r /s</v>
      </c>
      <c r="AG195" s="1" t="str">
        <f t="shared" si="61"/>
        <v>Other</v>
      </c>
      <c r="AH195" s="88" t="str">
        <f t="shared" si="62"/>
        <v>"%USERPROFILE%\Documents\GitHub\eaglep3\Utilities\RefineRTDCRunTimes.py" --tripid 303-31 --locoid 4025 --swversion DE.1.0.8.0 --startMP 204:462 --initTime 2016-12-31T18:40:12 --startdatetime 2016-12-31T18:43:06 --delay 1 --endMP 300:23295 --enddatetime 2016-12-31T18:51:20 --enforcementcount 0 &gt;&gt;C:\Users\stu\Documents\GitHub\eaglep3-reporting\EC\2016-12-31-refined-times.txt</v>
      </c>
      <c r="AI195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{"issue":{"subject":"","project_id":79,"tracker_id":40,"status_id":1,"priority_id":2,"assigned_to_id":23,"start_date":"2016-12-31","description":"","custom_fields":[{"id":1,"name":"Subdivision","value":"Other"},{"id":4,"name":"Milepost","value":"2.3295"},{"id":17,"name":"Train ID","value":"303-31"},{"id":16,"name":"Locomotive ID","value":"4025"},{"id":130,"name":"Impact","value":""},{"id":150,"name":"Time of Event (Mountain Time)","value":"18:51:20"},{"id":151,"name":"Denver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4"/>
        <v>start /low /b %USERPROFILE%\Documents\GitHub\eaglep3\Utilities\DownloadLogsFromS3.py --loco 4025 --day 2016-12-31</v>
      </c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479</v>
      </c>
      <c r="B196" s="7">
        <v>4004</v>
      </c>
      <c r="C196" s="22" t="s">
        <v>205</v>
      </c>
      <c r="D196" s="22" t="s">
        <v>802</v>
      </c>
      <c r="E196" s="13">
        <v>42735.138680555552</v>
      </c>
      <c r="F196" s="13">
        <v>42735.139988425923</v>
      </c>
      <c r="G196" s="7">
        <v>1</v>
      </c>
      <c r="H196" s="22" t="s">
        <v>299</v>
      </c>
      <c r="I196" s="13">
        <v>42735.147233796299</v>
      </c>
      <c r="J196" s="7">
        <v>0</v>
      </c>
      <c r="K196" s="105" t="str">
        <f t="shared" si="51"/>
        <v>4003/4004</v>
      </c>
      <c r="L196" s="22" t="str">
        <f>VLOOKUP(A196,'Trips&amp;Operators'!$C$1:$G$99999,5,FALSE)</f>
        <v>ROBINSON KADDIBA</v>
      </c>
      <c r="M196" s="6">
        <f t="shared" si="52"/>
        <v>7.2453703760402277E-3</v>
      </c>
      <c r="N196" s="7">
        <f t="shared" si="68"/>
        <v>10.433333341497928</v>
      </c>
      <c r="O196" s="7"/>
      <c r="P196" s="7"/>
      <c r="Q196" s="23"/>
      <c r="R196" s="23"/>
      <c r="S196" s="32">
        <f t="shared" si="69"/>
        <v>1</v>
      </c>
      <c r="T196" s="47" t="str">
        <f t="shared" si="53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02:19:42-700',mode:absolute,to:'2016-12-31 04:32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49" t="str">
        <f t="shared" si="70"/>
        <v>Y</v>
      </c>
      <c r="X196" s="173">
        <f t="shared" si="71"/>
        <v>1</v>
      </c>
      <c r="Y196" s="64">
        <f t="shared" si="55"/>
        <v>2.2010999999999998</v>
      </c>
      <c r="Z196" s="64">
        <f t="shared" si="56"/>
        <v>1.52E-2</v>
      </c>
      <c r="AA196" s="64">
        <f t="shared" si="57"/>
        <v>2.1858999999999997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58"/>
        <v>0304-31</v>
      </c>
      <c r="AE196" s="87" t="str">
        <f t="shared" si="59"/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AF196" s="84" t="str">
        <f t="shared" si="60"/>
        <v>"C:\Program Files (x86)\AstroGrep\AstroGrep.exe" /spath="%USERPROFILE%\AppData\Local\Temp\OnboardLogs" /stypes="app*4004*20161231*" /stext=" 10:.+((SYSTEM_STATE.+slice.+state.+changed )|(ment ac)|(multiple cpu faults)|(system.+state.+changed )|(\[timeout)|(PRM\|1\|D)|(kpr)|(kdp)|(\|lc)|(penalty))" /e /r /s</v>
      </c>
      <c r="AG196" s="1" t="str">
        <f t="shared" si="61"/>
        <v>Other</v>
      </c>
      <c r="AH196" s="88" t="str">
        <f t="shared" si="62"/>
        <v>"%USERPROFILE%\Documents\GitHub\eaglep3\Utilities\RefineRTDCRunTimes.py" --tripid 304-31 --locoid 4004 --swversion DE.1.0.8.0 --startMP 300:22011 --initTime 2016-12-31T03:19:42 --startdatetime 2016-12-31T03:21:35 --delay 1 --endMP 204:152 --enddatetime 2016-12-31T03:32:01 --enforcementcount 0 &gt;&gt;C:\Users\stu\Documents\GitHub\eaglep3-reporting\EC\2016-12-31-refined-times.txt</v>
      </c>
      <c r="AI196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{"issue":{"subject":"","project_id":79,"tracker_id":40,"status_id":1,"priority_id":2,"assigned_to_id":23,"start_date":"2016-12-31","description":"","custom_fields":[{"id":1,"name":"Subdivision","value":"Other"},{"id":4,"name":"Milepost","value":"0.0152"},{"id":17,"name":"Train ID","value":"304-31"},{"id":16,"name":"Locomotive ID","value":"4004"},{"id":130,"name":"Impact","value":""},{"id":150,"name":"Time of Event (Mountain Time)","value":"03:32:01"},{"id":151,"name":"Denver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4"/>
        <v>start /low /b %USERPROFILE%\Documents\GitHub\eaglep3\Utilities\DownloadLogsFromS3.py --loco 4004 --day 2016-12-31</v>
      </c>
    </row>
    <row r="197" spans="1:91" s="21" customFormat="1" x14ac:dyDescent="0.25">
      <c r="A197" s="34" t="s">
        <v>483</v>
      </c>
      <c r="B197" s="7">
        <v>4021</v>
      </c>
      <c r="C197" s="22" t="s">
        <v>205</v>
      </c>
      <c r="D197" s="22" t="s">
        <v>803</v>
      </c>
      <c r="E197" s="13">
        <v>42735.16201388889</v>
      </c>
      <c r="F197" s="13">
        <v>42735.164618055554</v>
      </c>
      <c r="G197" s="7">
        <v>3</v>
      </c>
      <c r="H197" s="22" t="s">
        <v>309</v>
      </c>
      <c r="I197" s="13">
        <v>42735.170277777775</v>
      </c>
      <c r="J197" s="7">
        <v>0</v>
      </c>
      <c r="K197" s="105" t="str">
        <f t="shared" si="51"/>
        <v>4021/4022</v>
      </c>
      <c r="L197" s="22" t="str">
        <f>VLOOKUP(A197,'Trips&amp;Operators'!$C$1:$G$99999,5,FALSE)</f>
        <v>MAELZER KURT</v>
      </c>
      <c r="M197" s="6">
        <f t="shared" si="52"/>
        <v>5.6597222210257314E-3</v>
      </c>
      <c r="N197" s="7">
        <f t="shared" si="68"/>
        <v>8.1499999982770532</v>
      </c>
      <c r="O197" s="7"/>
      <c r="P197" s="7"/>
      <c r="Q197" s="23"/>
      <c r="R197" s="23"/>
      <c r="S197" s="32">
        <f t="shared" si="69"/>
        <v>1</v>
      </c>
      <c r="T197" s="47" t="str">
        <f t="shared" si="53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02:53:18-700',mode:absolute,to:'2016-12-31 05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7" s="49" t="str">
        <f t="shared" si="70"/>
        <v>Y</v>
      </c>
      <c r="X197" s="173">
        <f t="shared" si="71"/>
        <v>2</v>
      </c>
      <c r="Y197" s="64">
        <f t="shared" si="55"/>
        <v>1.984</v>
      </c>
      <c r="Z197" s="64">
        <f t="shared" si="56"/>
        <v>1.41E-2</v>
      </c>
      <c r="AA197" s="64">
        <f t="shared" si="57"/>
        <v>1.9699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58"/>
        <v>0306-31</v>
      </c>
      <c r="AE197" s="87" t="str">
        <f t="shared" si="59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197" s="84" t="str">
        <f t="shared" si="60"/>
        <v>"C:\Program Files (x86)\AstroGrep\AstroGrep.exe" /spath="%USERPROFILE%\AppData\Local\Temp\OnboardLogs" /stypes="app*4021*20161231*" /stext=" 11:.+((SYSTEM_STATE.+slice.+state.+changed )|(ment ac)|(multiple cpu faults)|(system.+state.+changed )|(\[timeout)|(PRM\|1\|D)|(kpr)|(kdp)|(\|lc)|(penalty))" /e /r /s</v>
      </c>
      <c r="AG197" s="1" t="str">
        <f t="shared" si="61"/>
        <v>Other</v>
      </c>
      <c r="AH197" s="88" t="str">
        <f t="shared" si="62"/>
        <v>"%USERPROFILE%\Documents\GitHub\eaglep3\Utilities\RefineRTDCRunTimes.py" --tripid 306-31 --locoid 4021 --swversion DE.1.0.8.0 --startMP 300:19840 --initTime 2016-12-31T03:53:18 --startdatetime 2016-12-31T03:57:03 --delay 3 --endMP 204:141 --enddatetime 2016-12-31T04:05:12 --enforcementcount 0 &gt;&gt;C:\Users\stu\Documents\GitHub\eaglep3-reporting\EC\2016-12-31-refined-times.txt</v>
      </c>
      <c r="AI197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{"issue":{"subject":"","project_id":79,"tracker_id":40,"status_id":1,"priority_id":2,"assigned_to_id":23,"start_date":"2016-12-31","description":"","custom_fields":[{"id":1,"name":"Subdivision","value":"Other"},{"id":4,"name":"Milepost","value":"0.0141"},{"id":17,"name":"Train ID","value":"306-31"},{"id":16,"name":"Locomotive ID","value":"4021"},{"id":130,"name":"Impact","value":""},{"id":150,"name":"Time of Event (Mountain Time)","value":"04:05:12"},{"id":151,"name":"Denver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4"/>
        <v>start /low /b %USERPROFILE%\Documents\GitHub\eaglep3\Utilities\DownloadLogsFromS3.py --loco 4021 --day 2016-12-31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648</v>
      </c>
      <c r="B198" s="7">
        <v>4003</v>
      </c>
      <c r="C198" s="22" t="s">
        <v>205</v>
      </c>
      <c r="D198" s="22" t="s">
        <v>804</v>
      </c>
      <c r="E198" s="13">
        <v>42735.827337962961</v>
      </c>
      <c r="F198" s="13">
        <v>25568.708333333332</v>
      </c>
      <c r="G198" s="7">
        <v>0</v>
      </c>
      <c r="H198" s="22" t="s">
        <v>341</v>
      </c>
      <c r="I198" s="13">
        <v>25568.708333333332</v>
      </c>
      <c r="J198" s="7">
        <v>0</v>
      </c>
      <c r="K198" s="105" t="str">
        <f t="shared" si="51"/>
        <v>4003/4004</v>
      </c>
      <c r="L198" s="22" t="str">
        <f>VLOOKUP(A198,'Trips&amp;Operators'!$C$1:$G$99999,5,FALSE)</f>
        <v>BRANNON JEFFREY</v>
      </c>
      <c r="M198" s="6">
        <f t="shared" si="52"/>
        <v>0</v>
      </c>
      <c r="N198" s="7">
        <f t="shared" si="68"/>
        <v>0</v>
      </c>
      <c r="O198" s="7"/>
      <c r="P198" s="7"/>
      <c r="Q198" s="23"/>
      <c r="R198" s="23"/>
      <c r="S198" s="32">
        <f t="shared" si="69"/>
        <v>1</v>
      </c>
      <c r="T198" s="47" t="str">
        <f t="shared" si="53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18:51:22-700',mode:absolute,to:'1969-12-31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8" s="49" t="str">
        <f t="shared" si="70"/>
        <v>Y</v>
      </c>
      <c r="X198" s="173">
        <f t="shared" si="71"/>
        <v>1</v>
      </c>
      <c r="Y198" s="64">
        <f t="shared" si="55"/>
        <v>9.9599999999999994E-2</v>
      </c>
      <c r="Z198" s="64">
        <f t="shared" si="56"/>
        <v>2.331</v>
      </c>
      <c r="AA198" s="64">
        <f t="shared" si="57"/>
        <v>2.2313999999999998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58"/>
        <v>0307-31</v>
      </c>
      <c r="AE198" s="87" t="str">
        <f t="shared" si="5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198" s="84" t="str">
        <f t="shared" si="60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198" s="1" t="str">
        <f t="shared" si="61"/>
        <v>Other</v>
      </c>
      <c r="AH198" s="88" t="str">
        <f t="shared" si="62"/>
        <v>"%USERPROFILE%\Documents\GitHub\eaglep3\Utilities\RefineRTDCRunTimes.py" --tripid 307-31 --locoid 4003 --swversion DE.1.0.8.0 --startMP 204:996 --initTime 2016-12-31T19:51:22 --startdatetime 1969-12-31T17:00:00 --delay 0 --endMP 300:23310 --enddatetime 1969-12-31T17:00:00 --enforcementcount 0 &gt;&gt;C:\Users\stu\Documents\GitHub\eaglep3-reporting\EC\2016-12-31-refined-times.txt</v>
      </c>
      <c r="AI198" s="115" t="str">
        <f t="shared" si="6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ID","value":"307-31"},{"id":16,"name":"Locomotive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4"/>
        <v>start /low /b %USERPROFILE%\Documents\GitHub\eaglep3\Utilities\DownloadLogsFromS3.py --loco 4003 --day 1969-12-31</v>
      </c>
    </row>
    <row r="199" spans="1:91" x14ac:dyDescent="0.25">
      <c r="A199" s="34" t="s">
        <v>486</v>
      </c>
      <c r="B199" s="7">
        <v>4045</v>
      </c>
      <c r="C199" s="22" t="s">
        <v>205</v>
      </c>
      <c r="D199" s="22" t="s">
        <v>805</v>
      </c>
      <c r="E199" s="13">
        <v>42735.174074074072</v>
      </c>
      <c r="F199" s="13">
        <v>42735.175671296296</v>
      </c>
      <c r="G199" s="7">
        <v>1</v>
      </c>
      <c r="H199" s="22" t="s">
        <v>192</v>
      </c>
      <c r="I199" s="13">
        <v>42735.182384259257</v>
      </c>
      <c r="J199" s="7">
        <v>0</v>
      </c>
      <c r="K199" s="105" t="str">
        <f t="shared" si="51"/>
        <v>4045/4046</v>
      </c>
      <c r="L199" s="22" t="str">
        <f>VLOOKUP(A199,'Trips&amp;Operators'!$C$1:$G$99999,5,FALSE)</f>
        <v>MAHAN DUANE</v>
      </c>
      <c r="M199" s="6">
        <f t="shared" si="52"/>
        <v>6.7129629605915397E-3</v>
      </c>
      <c r="N199" s="7">
        <f t="shared" si="68"/>
        <v>9.6666666632518172</v>
      </c>
      <c r="O199" s="7"/>
      <c r="P199" s="7"/>
      <c r="Q199" s="23"/>
      <c r="R199" s="23"/>
      <c r="S199" s="32">
        <f t="shared" si="69"/>
        <v>1</v>
      </c>
      <c r="T199" s="47" t="str">
        <f t="shared" si="53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03:10:40-700',mode:absolute,to:'2016-12-31 05:22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49" t="str">
        <f t="shared" si="70"/>
        <v>Y</v>
      </c>
      <c r="X199" s="173">
        <f t="shared" si="71"/>
        <v>1</v>
      </c>
      <c r="Y199" s="64">
        <f t="shared" si="55"/>
        <v>2.3191999999999999</v>
      </c>
      <c r="Z199" s="64">
        <f t="shared" si="56"/>
        <v>1.43E-2</v>
      </c>
      <c r="AA199" s="64">
        <f t="shared" si="57"/>
        <v>2.3048999999999999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58"/>
        <v>0308-31</v>
      </c>
      <c r="AE199" s="87" t="str">
        <f t="shared" si="59"/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AF199" s="84" t="str">
        <f t="shared" si="60"/>
        <v>"C:\Program Files (x86)\AstroGrep\AstroGrep.exe" /spath="%USERPROFILE%\AppData\Local\Temp\OnboardLogs" /stypes="app*4045*20161231*" /stext=" 11:.+((SYSTEM_STATE.+slice.+state.+changed )|(ment ac)|(multiple cpu faults)|(system.+state.+changed )|(\[timeout)|(PRM\|1\|D)|(kpr)|(kdp)|(\|lc)|(penalty))" /e /r /s</v>
      </c>
      <c r="AG199" s="1" t="str">
        <f t="shared" si="61"/>
        <v>Other</v>
      </c>
      <c r="AH199" s="88" t="str">
        <f t="shared" si="62"/>
        <v>"%USERPROFILE%\Documents\GitHub\eaglep3\Utilities\RefineRTDCRunTimes.py" --tripid 308-31 --locoid 4045 --swversion DE.1.0.8.0 --startMP 300:23192 --initTime 2016-12-31T04:10:40 --startdatetime 2016-12-31T04:12:58 --delay 1 --endMP 204:143 --enddatetime 2016-12-31T04:22:38 --enforcementcount 0 &gt;&gt;C:\Users\stu\Documents\GitHub\eaglep3-reporting\EC\2016-12-31-refined-times.txt</v>
      </c>
      <c r="AI199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{"issue":{"subject":"","project_id":79,"tracker_id":40,"status_id":1,"priority_id":2,"assigned_to_id":23,"start_date":"2016-12-31","description":"","custom_fields":[{"id":1,"name":"Subdivision","value":"Other"},{"id":4,"name":"Milepost","value":"0.0143"},{"id":17,"name":"Train ID","value":"308-31"},{"id":16,"name":"Locomotive ID","value":"4045"},{"id":130,"name":"Impact","value":""},{"id":150,"name":"Time of Event (Mountain Time)","value":"04:22:38"},{"id":151,"name":"Denver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4"/>
        <v>start /low /b %USERPROFILE%\Documents\GitHub\eaglep3\Utilities\DownloadLogsFromS3.py --loco 4045 --day 2016-12-31</v>
      </c>
    </row>
    <row r="200" spans="1:91" x14ac:dyDescent="0.25">
      <c r="A200" s="34" t="s">
        <v>672</v>
      </c>
      <c r="B200" s="7">
        <v>4007</v>
      </c>
      <c r="C200" s="22" t="s">
        <v>205</v>
      </c>
      <c r="D200" s="22" t="s">
        <v>806</v>
      </c>
      <c r="E200" s="13">
        <v>42736.050208333334</v>
      </c>
      <c r="F200" s="13">
        <v>42736.051851851851</v>
      </c>
      <c r="G200" s="7">
        <v>1</v>
      </c>
      <c r="H200" s="22" t="s">
        <v>807</v>
      </c>
      <c r="I200" s="13">
        <v>42736.057916666665</v>
      </c>
      <c r="J200" s="7">
        <v>0</v>
      </c>
      <c r="K200" s="105" t="str">
        <f t="shared" si="51"/>
        <v>4007/4008</v>
      </c>
      <c r="L200" s="22" t="str">
        <f>VLOOKUP(A200,'Trips&amp;Operators'!$C$1:$G$99999,5,FALSE)</f>
        <v>SMITH MICHAEL</v>
      </c>
      <c r="M200" s="6">
        <f t="shared" si="52"/>
        <v>6.064814813726116E-3</v>
      </c>
      <c r="N200" s="7">
        <f t="shared" si="68"/>
        <v>8.733333331765607</v>
      </c>
      <c r="O200" s="7"/>
      <c r="P200" s="7"/>
      <c r="Q200" s="23"/>
      <c r="R200" s="23"/>
      <c r="S200" s="32">
        <f t="shared" si="69"/>
        <v>1</v>
      </c>
      <c r="T200" s="47" t="str">
        <f t="shared" si="53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https://search-rtdc-monitor-bjffxe2xuh6vdkpspy63sjmuny.us-east-1.es.amazonaws.com/_plugin/kibana/#/discover/Steve-Slow-Train-Analysis-(2080s-and-2083s)?_g=(refreshInterval:(display:Off,section:0,value:0),time:(from:'2017-01-01 00:12:18-700',mode:absolute,to:'2017-01-01 02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0" s="49" t="str">
        <f t="shared" si="70"/>
        <v>Y</v>
      </c>
      <c r="X200" s="173">
        <f t="shared" si="71"/>
        <v>1</v>
      </c>
      <c r="Y200" s="64">
        <f t="shared" si="55"/>
        <v>8.2299999999999998E-2</v>
      </c>
      <c r="Z200" s="64">
        <f t="shared" si="56"/>
        <v>2.2837000000000001</v>
      </c>
      <c r="AA200" s="64">
        <f t="shared" si="57"/>
        <v>2.2014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58"/>
        <v>0309-31</v>
      </c>
      <c r="AE200" s="87" t="str">
        <f t="shared" si="59"/>
        <v>aws s3 cp s3://rtdc.mdm.uploadarchive.raw/RTDC4007/ "%USERPROFILE%\AppData\Local\Temp\OnboardLogs"\RTDC4007\2017-01-01 --exclude "*" --recursive --include "*20170101*" &amp; "%USERPROFILE%\Documents\GitHub\mrs-test-scripts\Headless Mode &amp; Sideloading\WalkAndUnGZ.bat" "%USERPROFILE%\AppData\Local\Temp\OnboardLogs"\RTDC4007\2017-01-01 &amp; 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</v>
      </c>
      <c r="AF200" s="84" t="str">
        <f t="shared" si="60"/>
        <v>"C:\Program Files (x86)\AstroGrep\AstroGrep.exe" /spath="%USERPROFILE%\AppData\Local\Temp\OnboardLogs" /stypes="app*4007*20170101*" /stext=" 08:.+((SYSTEM_STATE.+slice.+state.+changed )|(ment ac)|(multiple cpu faults)|(system.+state.+changed )|(\[timeout)|(PRM\|1\|D)|(kpr)|(kdp)|(\|lc)|(penalty))" /e /r /s</v>
      </c>
      <c r="AG200" s="1" t="str">
        <f t="shared" si="61"/>
        <v>Other</v>
      </c>
      <c r="AH200" s="88" t="str">
        <f t="shared" si="62"/>
        <v>"%USERPROFILE%\Documents\GitHub\eaglep3\Utilities\RefineRTDCRunTimes.py" --tripid 309-31 --locoid 4007 --swversion DE.1.0.8.0 --startMP 204:823 --initTime 2017-01-01T01:12:18 --startdatetime 2017-01-01T01:14:40 --delay 1 --endMP 300:22837 --enddatetime 2017-01-01T01:23:24 --enforcementcount 0 &gt;&gt;C:\Users\stu\Documents\GitHub\eaglep3-reporting\EC\2016-12-31-refined-times.txt</v>
      </c>
      <c r="AI200" s="115" t="str">
        <f t="shared" si="63"/>
        <v>echo {"issue":{"subject":"","project_id":79,"tracker_id":40,"status_id":1,"priority_id":2,"assigned_to_id":23,"start_date":"2017-01-01","description":"","custom_fields":[{"id":1,"name":"Subdivision","value":"Other"},{"id":4,"name":"Milepost","value":"2.2837"},{"id":17,"name":"Train ID","value":"309-31"},{"id":16,"name":"Locomotive ID","value":"4007"},{"id":130,"name":"Impact","value":""},{"id":150,"name":"Time of Event (Mountain Time)","value":"01:23:24"},{"id":151,"name":"Denver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4"/>
        <v>start /low /b %USERPROFILE%\Documents\GitHub\eaglep3\Utilities\DownloadLogsFromS3.py --loco 4007 --day 2017-01-01</v>
      </c>
    </row>
    <row r="201" spans="1:91" x14ac:dyDescent="0.25">
      <c r="A201" s="34" t="s">
        <v>489</v>
      </c>
      <c r="B201" s="7">
        <v>4026</v>
      </c>
      <c r="C201" s="22" t="s">
        <v>205</v>
      </c>
      <c r="D201" s="22" t="s">
        <v>808</v>
      </c>
      <c r="E201" s="13">
        <v>42735.177581018521</v>
      </c>
      <c r="F201" s="13">
        <v>42735.180706018517</v>
      </c>
      <c r="G201" s="7">
        <v>3</v>
      </c>
      <c r="H201" s="22" t="s">
        <v>368</v>
      </c>
      <c r="I201" s="13">
        <v>42735.191469907404</v>
      </c>
      <c r="J201" s="7">
        <v>0</v>
      </c>
      <c r="K201" s="105" t="str">
        <f t="shared" si="51"/>
        <v>4025/4026</v>
      </c>
      <c r="L201" s="22" t="str">
        <f>VLOOKUP(A201,'Trips&amp;Operators'!$C$1:$G$99999,5,FALSE)</f>
        <v>OUN ZACK</v>
      </c>
      <c r="M201" s="6">
        <f t="shared" si="52"/>
        <v>1.0763888887595385E-2</v>
      </c>
      <c r="N201" s="7">
        <f t="shared" ref="N201:N219" si="72">24*60*SUM($M201:$M201)</f>
        <v>15.499999998137355</v>
      </c>
      <c r="O201" s="7"/>
      <c r="P201" s="7"/>
      <c r="Q201" s="23"/>
      <c r="R201" s="23"/>
      <c r="S201" s="32">
        <f t="shared" ref="S201:S219" si="73">SUM(U201:U201)/IF(AG201="EC",12,1)</f>
        <v>1</v>
      </c>
      <c r="T201" s="47" t="str">
        <f t="shared" si="53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03:15:43-700',mode:absolute,to:'2016-12-31 05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1" s="49" t="str">
        <f t="shared" si="70"/>
        <v>Y</v>
      </c>
      <c r="X201" s="173">
        <f t="shared" si="71"/>
        <v>1</v>
      </c>
      <c r="Y201" s="64">
        <f t="shared" si="55"/>
        <v>2.3292000000000002</v>
      </c>
      <c r="Z201" s="64">
        <f t="shared" si="56"/>
        <v>1.34E-2</v>
      </c>
      <c r="AA201" s="64">
        <f t="shared" si="57"/>
        <v>2.3158000000000003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58"/>
        <v>0310-31</v>
      </c>
      <c r="AE201" s="87" t="str">
        <f t="shared" si="59"/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AF201" s="84" t="str">
        <f t="shared" si="60"/>
        <v>"C:\Program Files (x86)\AstroGrep\AstroGrep.exe" /spath="%USERPROFILE%\AppData\Local\Temp\OnboardLogs" /stypes="app*4026*20161231*" /stext=" 11:.+((SYSTEM_STATE.+slice.+state.+changed )|(ment ac)|(multiple cpu faults)|(system.+state.+changed )|(\[timeout)|(PRM\|1\|D)|(kpr)|(kdp)|(\|lc)|(penalty))" /e /r /s</v>
      </c>
      <c r="AG201" s="1" t="str">
        <f t="shared" si="61"/>
        <v>Other</v>
      </c>
      <c r="AH201" s="88" t="str">
        <f t="shared" si="62"/>
        <v>"%USERPROFILE%\Documents\GitHub\eaglep3\Utilities\RefineRTDCRunTimes.py" --tripid 310-31 --locoid 4026 --swversion DE.1.0.8.0 --startMP 300:23292 --initTime 2016-12-31T04:15:43 --startdatetime 2016-12-31T04:20:13 --delay 3 --endMP 204:134 --enddatetime 2016-12-31T04:35:43 --enforcementcount 0 &gt;&gt;C:\Users\stu\Documents\GitHub\eaglep3-reporting\EC\2016-12-31-refined-times.txt</v>
      </c>
      <c r="AI201" s="115" t="str">
        <f t="shared" si="63"/>
        <v>echo {"issue":{"subject":"","project_id":79,"tracker_id":40,"status_id":1,"priority_id":2,"assigned_to_id":23,"start_date":"2016-12-31","description":"","custom_fields":[{"id":1,"name":"Subdivision","value":"Other"},{"id":4,"name":"Milepost","value":"0.0134"},{"id":17,"name":"Train ID","value":"310-31"},{"id":16,"name":"Locomotive ID","value":"4026"},{"id":130,"name":"Impact","value":""},{"id":150,"name":"Time of Event (Mountain Time)","value":"04:35:43"},{"id":151,"name":"Denver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4"/>
        <v>start /low /b %USERPROFILE%\Documents\GitHub\eaglep3\Utilities\DownloadLogsFromS3.py --loco 4026 --day 2016-12-31</v>
      </c>
    </row>
    <row r="202" spans="1:91" x14ac:dyDescent="0.25">
      <c r="A202" s="34" t="s">
        <v>674</v>
      </c>
      <c r="B202" s="7">
        <v>4016</v>
      </c>
      <c r="C202" s="22" t="s">
        <v>205</v>
      </c>
      <c r="D202" s="22" t="s">
        <v>683</v>
      </c>
      <c r="E202" s="13">
        <v>42736.070752314816</v>
      </c>
      <c r="F202" s="13">
        <v>25568.708333333332</v>
      </c>
      <c r="G202" s="7">
        <v>1</v>
      </c>
      <c r="H202" s="22" t="s">
        <v>420</v>
      </c>
      <c r="I202" s="13">
        <v>25568.708333333332</v>
      </c>
      <c r="J202" s="7">
        <v>0</v>
      </c>
      <c r="K202" s="105" t="str">
        <f t="shared" si="51"/>
        <v>4015/4016</v>
      </c>
      <c r="L202" s="22" t="str">
        <f>VLOOKUP(A202,'Trips&amp;Operators'!$C$1:$G$99999,5,FALSE)</f>
        <v>STAMBAUGH JAMES</v>
      </c>
      <c r="M202" s="6">
        <f t="shared" si="52"/>
        <v>0</v>
      </c>
      <c r="N202" s="7">
        <f t="shared" si="72"/>
        <v>0</v>
      </c>
      <c r="O202" s="7"/>
      <c r="P202" s="7"/>
      <c r="Q202" s="23"/>
      <c r="R202" s="23"/>
      <c r="S202" s="32">
        <f t="shared" si="73"/>
        <v>1</v>
      </c>
      <c r="T202" s="47" t="str">
        <f t="shared" si="53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https://search-rtdc-monitor-bjffxe2xuh6vdkpspy63sjmuny.us-east-1.es.amazonaws.com/_plugin/kibana/#/discover/Steve-Slow-Train-Analysis-(2080s-and-2083s)?_g=(refreshInterval:(display:Off,section:0,value:0),time:(from:'2017-01-01 00:41:53-700',mode:absolute,to:'1969-12-31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2" s="49" t="str">
        <f t="shared" si="70"/>
        <v>Y</v>
      </c>
      <c r="X202" s="173">
        <f t="shared" si="71"/>
        <v>1</v>
      </c>
      <c r="Y202" s="64">
        <f t="shared" si="55"/>
        <v>7.5200000000000003E-2</v>
      </c>
      <c r="Z202" s="64">
        <f t="shared" si="56"/>
        <v>2.3306</v>
      </c>
      <c r="AA202" s="64">
        <f t="shared" si="57"/>
        <v>2.2553999999999998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58"/>
        <v>0311-31</v>
      </c>
      <c r="AE202" s="87" t="str">
        <f t="shared" si="5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2" s="84" t="str">
        <f t="shared" si="6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2" s="1" t="str">
        <f t="shared" si="61"/>
        <v>Other</v>
      </c>
      <c r="AH202" s="88" t="str">
        <f t="shared" si="62"/>
        <v>"%USERPROFILE%\Documents\GitHub\eaglep3\Utilities\RefineRTDCRunTimes.py" --tripid 311-31 --locoid 4016 --swversion DE.1.0.8.0 --startMP 204:752 --initTime 2017-01-01T01:41:53 --startdatetime 1969-12-31T17:00:00 --delay 1 --endMP 300:23306 --enddatetime 1969-12-31T17:00:00 --enforcementcount 0 &gt;&gt;C:\Users\stu\Documents\GitHub\eaglep3-reporting\EC\2016-12-31-refined-times.txt</v>
      </c>
      <c r="AI202" s="115" t="str">
        <f t="shared" si="6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ID","value":"311-31"},{"id":16,"name":"Locomotive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4"/>
        <v>start /low /b %USERPROFILE%\Documents\GitHub\eaglep3\Utilities\DownloadLogsFromS3.py --loco 4016 --day 1969-12-31</v>
      </c>
    </row>
    <row r="203" spans="1:91" x14ac:dyDescent="0.25">
      <c r="A203" s="34" t="s">
        <v>475</v>
      </c>
      <c r="B203" s="7">
        <v>4020</v>
      </c>
      <c r="C203" s="22" t="s">
        <v>205</v>
      </c>
      <c r="D203" s="22" t="s">
        <v>328</v>
      </c>
      <c r="E203" s="13">
        <v>42735.087627314817</v>
      </c>
      <c r="F203" s="13">
        <v>25568.708333333332</v>
      </c>
      <c r="G203" s="7">
        <v>1</v>
      </c>
      <c r="H203" s="22" t="s">
        <v>325</v>
      </c>
      <c r="I203" s="13">
        <v>25568.708333333332</v>
      </c>
      <c r="J203" s="7">
        <v>0</v>
      </c>
      <c r="K203" s="105" t="str">
        <f t="shared" si="51"/>
        <v>4019/4020</v>
      </c>
      <c r="L203" s="22" t="str">
        <f>VLOOKUP(A203,'Trips&amp;Operators'!$C$1:$G$99999,5,FALSE)</f>
        <v>HILLS DUSTIN</v>
      </c>
      <c r="M203" s="6">
        <f t="shared" si="52"/>
        <v>0</v>
      </c>
      <c r="N203" s="7">
        <f t="shared" si="72"/>
        <v>0</v>
      </c>
      <c r="O203" s="7"/>
      <c r="P203" s="7"/>
      <c r="Q203" s="23"/>
      <c r="R203" s="23"/>
      <c r="S203" s="32">
        <f t="shared" si="73"/>
        <v>1</v>
      </c>
      <c r="T203" s="47" t="str">
        <f t="shared" si="53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https://search-rtdc-monitor-bjffxe2xuh6vdkpspy63sjmuny.us-east-1.es.amazonaws.com/_plugin/kibana/#/discover/Steve-Slow-Train-Analysis-(2080s-and-2083s)?_g=(refreshInterval:(display:Off,section:0,value:0),time:(from:'2016-12-31 01:06:11-700',mode:absolute,to:'1969-12-31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3" s="49" t="str">
        <f t="shared" si="70"/>
        <v>Y</v>
      </c>
      <c r="X203" s="173">
        <f t="shared" si="71"/>
        <v>2</v>
      </c>
      <c r="Y203" s="64">
        <f t="shared" si="55"/>
        <v>4.4400000000000002E-2</v>
      </c>
      <c r="Z203" s="64">
        <f t="shared" si="56"/>
        <v>2.3304</v>
      </c>
      <c r="AA203" s="64">
        <f t="shared" si="57"/>
        <v>2.286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58"/>
        <v>0313-30</v>
      </c>
      <c r="AE203" s="87" t="str">
        <f t="shared" si="59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3" s="84" t="str">
        <f t="shared" si="60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3" s="1" t="str">
        <f t="shared" si="61"/>
        <v>Other</v>
      </c>
      <c r="AH203" s="88" t="str">
        <f t="shared" si="62"/>
        <v>"%USERPROFILE%\Documents\GitHub\eaglep3\Utilities\RefineRTDCRunTimes.py" --tripid 313-30 --locoid 4020 --swversion DE.1.0.8.0 --startMP 204:444 --initTime 2016-12-31T02:06:11 --startdatetime 1969-12-31T17:00:00 --delay 1 --endMP 300:23304 --enddatetime 1969-12-31T17:00:00 --enforcementcount 0 &gt;&gt;C:\Users\stu\Documents\GitHub\eaglep3-reporting\EC\2016-12-31-refined-times.txt</v>
      </c>
      <c r="AI203" s="115" t="str">
        <f t="shared" si="6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ID","value":"313-30"},{"id":16,"name":"Locomotive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64"/>
        <v>start /low /b %USERPROFILE%\Documents\GitHub\eaglep3\Utilities\DownloadLogsFromS3.py --loco 4020 --day 1969-12-31</v>
      </c>
    </row>
    <row r="204" spans="1:91" x14ac:dyDescent="0.25">
      <c r="A204" s="34" t="s">
        <v>676</v>
      </c>
      <c r="B204" s="7">
        <v>4031</v>
      </c>
      <c r="C204" s="22" t="s">
        <v>205</v>
      </c>
      <c r="D204" s="22" t="s">
        <v>373</v>
      </c>
      <c r="E204" s="13">
        <v>42736.093217592592</v>
      </c>
      <c r="F204" s="13">
        <v>25568.708333333332</v>
      </c>
      <c r="G204" s="7">
        <v>1</v>
      </c>
      <c r="H204" s="22" t="s">
        <v>325</v>
      </c>
      <c r="I204" s="13">
        <v>25568.708333333332</v>
      </c>
      <c r="J204" s="7">
        <v>0</v>
      </c>
      <c r="K204" s="105" t="str">
        <f t="shared" si="51"/>
        <v>4031/4032</v>
      </c>
      <c r="L204" s="22" t="str">
        <f>VLOOKUP(A204,'Trips&amp;Operators'!$C$1:$G$99999,5,FALSE)</f>
        <v>HILLS DUSTIN</v>
      </c>
      <c r="M204" s="6">
        <f t="shared" si="52"/>
        <v>0</v>
      </c>
      <c r="N204" s="7">
        <f t="shared" si="72"/>
        <v>0</v>
      </c>
      <c r="O204" s="7"/>
      <c r="P204" s="7"/>
      <c r="Q204" s="23"/>
      <c r="R204" s="23"/>
      <c r="S204" s="32">
        <f t="shared" si="73"/>
        <v>1</v>
      </c>
      <c r="T204" s="47" t="str">
        <f t="shared" si="53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https://search-rtdc-monitor-bjffxe2xuh6vdkpspy63sjmuny.us-east-1.es.amazonaws.com/_plugin/kibana/#/discover/Steve-Slow-Train-Analysis-(2080s-and-2083s)?_g=(refreshInterval:(display:Off,section:0,value:0),time:(from:'2017-01-01 01:14:14-700',mode:absolute,to:'1969-12-31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49" t="str">
        <f t="shared" si="70"/>
        <v>Y</v>
      </c>
      <c r="X204" s="173">
        <f t="shared" si="71"/>
        <v>0</v>
      </c>
      <c r="Y204" s="64">
        <f t="shared" si="55"/>
        <v>7.5399999999999995E-2</v>
      </c>
      <c r="Z204" s="64">
        <f t="shared" si="56"/>
        <v>2.3304</v>
      </c>
      <c r="AA204" s="64">
        <f t="shared" si="57"/>
        <v>2.2549999999999999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58"/>
        <v>0313-31</v>
      </c>
      <c r="AE204" s="87" t="str">
        <f t="shared" si="59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4" s="84" t="str">
        <f t="shared" si="60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4" s="1" t="str">
        <f t="shared" si="61"/>
        <v>Other</v>
      </c>
      <c r="AH204" s="88" t="str">
        <f t="shared" ref="AH204:AH219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313-31 --locoid 4031 --swversion DE.1.0.8.0 --startMP 204:754 --initTime 2017-01-01T02:14:14 --startdatetime 1969-12-31T17:00:00 --delay 1 --endMP 300:23304 --enddatetime 1969-12-31T17:00:00 --enforcementcount 0 &gt;&gt;C:\Users\stu\Documents\GitHub\eaglep3-reporting\EC\2016-12-31-refined-times.txt</v>
      </c>
      <c r="AI204" s="115" t="str">
        <f t="shared" ref="AI204:AI219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ID","value":"313-31"},{"id":16,"name":"Locomotive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ref="AM204:AM219" si="76">"start /low /b "&amp;dls3logs&amp;" --loco "&amp;B204&amp;" --day "&amp;TEXT(F204,"YYYY-MM-DD")</f>
        <v>start /low /b %USERPROFILE%\Documents\GitHub\eaglep3\Utilities\DownloadLogsFromS3.py --loco 4031 --day 1969-12-31</v>
      </c>
    </row>
    <row r="205" spans="1:91" x14ac:dyDescent="0.25">
      <c r="A205" s="34" t="s">
        <v>476</v>
      </c>
      <c r="B205" s="7">
        <v>4027</v>
      </c>
      <c r="C205" s="22" t="s">
        <v>205</v>
      </c>
      <c r="D205" s="22" t="s">
        <v>250</v>
      </c>
      <c r="E205" s="13">
        <v>42735.11314814815</v>
      </c>
      <c r="F205" s="13">
        <v>25568.708333333332</v>
      </c>
      <c r="G205" s="7">
        <v>1</v>
      </c>
      <c r="H205" s="22" t="s">
        <v>809</v>
      </c>
      <c r="I205" s="13">
        <v>25568.708333333332</v>
      </c>
      <c r="J205" s="7">
        <v>0</v>
      </c>
      <c r="K205" s="105" t="str">
        <f t="shared" ref="K205:K219" si="77">IF(ISEVEN(B205),(B205-1)&amp;"/"&amp;B205,B205&amp;"/"&amp;(B205+1))</f>
        <v>4027/4028</v>
      </c>
      <c r="L205" s="22" t="str">
        <f>VLOOKUP(A205,'Trips&amp;Operators'!$C$1:$G$99999,5,FALSE)</f>
        <v>BROWN JACOB</v>
      </c>
      <c r="M205" s="6">
        <f t="shared" ref="M205:M219" si="78">I205-F205</f>
        <v>0</v>
      </c>
      <c r="N205" s="7">
        <f t="shared" si="72"/>
        <v>0</v>
      </c>
      <c r="O205" s="7"/>
      <c r="P205" s="7"/>
      <c r="Q205" s="23"/>
      <c r="R205" s="23"/>
      <c r="S205" s="32">
        <f t="shared" si="73"/>
        <v>1</v>
      </c>
      <c r="T205" s="47" t="str">
        <f t="shared" ref="T205:T219" si="79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19" si="80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https://search-rtdc-monitor-bjffxe2xuh6vdkpspy63sjmuny.us-east-1.es.amazonaws.com/_plugin/kibana/#/discover/Steve-Slow-Train-Analysis-(2080s-and-2083s)?_g=(refreshInterval:(display:Off,section:0,value:0),time:(from:'2016-12-31 01:42:56-700',mode:absolute,to:'1969-12-31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5" s="49" t="str">
        <f t="shared" si="70"/>
        <v>Y</v>
      </c>
      <c r="X205" s="173">
        <f t="shared" si="71"/>
        <v>2</v>
      </c>
      <c r="Y205" s="64">
        <f t="shared" ref="Y205:Y219" si="81">RIGHT(D205,LEN(D205)-4)/10000</f>
        <v>4.6399999999999997E-2</v>
      </c>
      <c r="Z205" s="64">
        <f t="shared" ref="Z205:Z219" si="82">RIGHT(H205,LEN(H205)-4)/10000</f>
        <v>2.3126000000000002</v>
      </c>
      <c r="AA205" s="64">
        <f t="shared" ref="AA205:AA219" si="83">ABS(Z205-Y205)</f>
        <v>2.2662000000000004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ref="AD205:AD219" si="84">IF(LEN(A205)=6,"0"&amp;A205,A205)</f>
        <v>0315-30</v>
      </c>
      <c r="AE205" s="87" t="str">
        <f t="shared" ref="AE205:AE219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5" s="84" t="str">
        <f t="shared" ref="AF205:AF219" si="8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5" s="1" t="str">
        <f t="shared" ref="AG205:AG219" si="87">IFERROR(IF(VALUE(LEFT(AD205,2))&lt;=2,"EC",IF(OR(VALUE(LEFT(AD205,2))=8,VALUE(LEFT(AD205,2))=18),"NW","Other")),"Other")</f>
        <v>Other</v>
      </c>
      <c r="AH205" s="88" t="str">
        <f t="shared" si="74"/>
        <v>"%USERPROFILE%\Documents\GitHub\eaglep3\Utilities\RefineRTDCRunTimes.py" --tripid 315-30 --locoid 4027 --swversion DE.1.0.8.0 --startMP 204:464 --initTime 2016-12-31T02:42:56 --startdatetime 1969-12-31T17:00:00 --delay 1 --endMP 300:23126 --enddatetime 1969-12-31T17:00:00 --enforcementcount 0 &gt;&gt;C:\Users\stu\Documents\GitHub\eaglep3-reporting\EC\2016-12-31-refined-times.txt</v>
      </c>
      <c r="AI205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{"issue":{"subject":"","project_id":79,"tracker_id":40,"status_id":1,"priority_id":2,"assigned_to_id":23,"start_date":"1969-12-31","description":"","custom_fields":[{"id":1,"name":"Subdivision","value":"Other"},{"id":4,"name":"Milepost","value":"2.3126"},{"id":17,"name":"Train ID","value":"315-30"},{"id":16,"name":"Locomotive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76"/>
        <v>start /low /b %USERPROFILE%\Documents\GitHub\eaglep3\Utilities\DownloadLogsFromS3.py --loco 4027 --day 1969-12-31</v>
      </c>
    </row>
    <row r="206" spans="1:91" x14ac:dyDescent="0.25">
      <c r="A206" s="34" t="s">
        <v>498</v>
      </c>
      <c r="B206" s="7">
        <v>4042</v>
      </c>
      <c r="C206" s="22" t="s">
        <v>205</v>
      </c>
      <c r="D206" s="22" t="s">
        <v>759</v>
      </c>
      <c r="E206" s="13">
        <v>42735.221412037034</v>
      </c>
      <c r="F206" s="13">
        <v>42735.222708333335</v>
      </c>
      <c r="G206" s="7">
        <v>1</v>
      </c>
      <c r="H206" s="22" t="s">
        <v>760</v>
      </c>
      <c r="I206" s="13">
        <v>42735.229351851849</v>
      </c>
      <c r="J206" s="7">
        <v>0</v>
      </c>
      <c r="K206" s="105" t="str">
        <f t="shared" si="77"/>
        <v>4041/4042</v>
      </c>
      <c r="L206" s="22" t="str">
        <f>VLOOKUP(A206,'Trips&amp;Operators'!$C$1:$G$99999,5,FALSE)</f>
        <v>SHOOK JOHN</v>
      </c>
      <c r="M206" s="6">
        <f t="shared" si="78"/>
        <v>6.6435185144655406E-3</v>
      </c>
      <c r="N206" s="7">
        <f t="shared" si="72"/>
        <v>9.5666666608303785</v>
      </c>
      <c r="O206" s="7"/>
      <c r="P206" s="7"/>
      <c r="Q206" s="23"/>
      <c r="R206" s="23"/>
      <c r="S206" s="32">
        <f t="shared" si="73"/>
        <v>0</v>
      </c>
      <c r="T206" s="47" t="str">
        <f t="shared" si="79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04:18:50-700',mode:absolute,to:'2016-12-31 06:30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6" s="49" t="str">
        <f t="shared" si="70"/>
        <v>Y</v>
      </c>
      <c r="X206" s="173">
        <f t="shared" si="71"/>
        <v>1586</v>
      </c>
      <c r="Y206" s="64">
        <f t="shared" si="81"/>
        <v>2.9940000000000002</v>
      </c>
      <c r="Z206" s="64">
        <f t="shared" si="82"/>
        <v>5.8975999999999997</v>
      </c>
      <c r="AA206" s="64">
        <f t="shared" si="83"/>
        <v>2.9035999999999995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84"/>
        <v>1901-31</v>
      </c>
      <c r="AE206" s="87" t="str">
        <f t="shared" si="85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206" s="84" t="str">
        <f t="shared" si="86"/>
        <v>"C:\Program Files (x86)\AstroGrep\AstroGrep.exe" /spath="%USERPROFILE%\AppData\Local\Temp\OnboardLogs" /stypes="app*4042*20161231*" /stext=" 12:.+((SYSTEM_STATE.+slice.+state.+changed )|(ment ac)|(multiple cpu faults)|(system.+state.+changed )|(\[timeout)|(PRM\|1\|D)|(kpr)|(kdp)|(\|lc)|(penalty))" /e /r /s</v>
      </c>
      <c r="AG206" s="1" t="str">
        <f t="shared" si="87"/>
        <v>Other</v>
      </c>
      <c r="AH206" s="88" t="str">
        <f t="shared" si="74"/>
        <v>"%USERPROFILE%\Documents\GitHub\eaglep3\Utilities\RefineRTDCRunTimes.py" --tripid 1901-31 --locoid 4042 --swversion DE.1.0.8.0 --startMP 300:29940 --initTime 2016-12-31T05:18:50 --startdatetime 2016-12-31T05:20:42 --delay 1 --endMP 300:58976 --enddatetime 2016-12-31T05:30:16 --enforcementcount 0 &gt;&gt;C:\Users\stu\Documents\GitHub\eaglep3-reporting\EC\2016-12-31-refined-times.txt</v>
      </c>
      <c r="AI206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{"issue":{"subject":"","project_id":79,"tracker_id":40,"status_id":1,"priority_id":2,"assigned_to_id":23,"start_date":"2016-12-31","description":"","custom_fields":[{"id":1,"name":"Subdivision","value":"Other"},{"id":4,"name":"Milepost","value":"5.8976"},{"id":17,"name":"Train ID","value":"1901-31"},{"id":16,"name":"Locomotive ID","value":"4042"},{"id":130,"name":"Impact","value":""},{"id":150,"name":"Time of Event (Mountain Time)","value":"05:30:16"},{"id":151,"name":"Denver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76"/>
        <v>start /low /b %USERPROFILE%\Documents\GitHub\eaglep3\Utilities\DownloadLogsFromS3.py --loco 4042 --day 2016-12-31</v>
      </c>
    </row>
    <row r="207" spans="1:91" x14ac:dyDescent="0.25">
      <c r="A207" s="34" t="s">
        <v>669</v>
      </c>
      <c r="B207" s="7">
        <v>4021</v>
      </c>
      <c r="C207" s="22" t="s">
        <v>205</v>
      </c>
      <c r="D207" s="22" t="s">
        <v>761</v>
      </c>
      <c r="E207" s="13">
        <v>42736.029224537036</v>
      </c>
      <c r="F207" s="13">
        <v>42736.032048611109</v>
      </c>
      <c r="G207" s="7">
        <v>2</v>
      </c>
      <c r="H207" s="22" t="s">
        <v>762</v>
      </c>
      <c r="I207" s="13">
        <v>42736.038206018522</v>
      </c>
      <c r="J207" s="7">
        <v>0</v>
      </c>
      <c r="K207" s="105" t="str">
        <f t="shared" si="77"/>
        <v>4021/4022</v>
      </c>
      <c r="L207" s="22" t="str">
        <f>VLOOKUP(A207,'Trips&amp;Operators'!$C$1:$G$99999,5,FALSE)</f>
        <v>DAVIDSON DAVID</v>
      </c>
      <c r="M207" s="6">
        <f t="shared" si="78"/>
        <v>6.1574074134114198E-3</v>
      </c>
      <c r="N207" s="7">
        <f t="shared" si="72"/>
        <v>8.8666666753124446</v>
      </c>
      <c r="O207" s="7"/>
      <c r="P207" s="7"/>
      <c r="Q207" s="23"/>
      <c r="R207" s="23"/>
      <c r="S207" s="32">
        <f t="shared" si="73"/>
        <v>0</v>
      </c>
      <c r="T207" s="47" t="str">
        <f t="shared" si="79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23:42:05-700',mode:absolute,to:'2017-01-01 01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7" s="49" t="str">
        <f t="shared" si="70"/>
        <v>Y</v>
      </c>
      <c r="X207" s="173">
        <f t="shared" si="71"/>
        <v>3</v>
      </c>
      <c r="Y207" s="64">
        <f t="shared" si="81"/>
        <v>5.8638000000000003</v>
      </c>
      <c r="Z207" s="64">
        <f t="shared" si="82"/>
        <v>2.1930000000000001</v>
      </c>
      <c r="AA207" s="64">
        <f t="shared" si="83"/>
        <v>3.6708000000000003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84"/>
        <v>1904-31</v>
      </c>
      <c r="AE207" s="87" t="str">
        <f t="shared" si="85"/>
        <v>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 &amp; aws s3 cp s3://rtdc.mdm.uploadarchive.raw/RTDC4021/ "%USERPROFILE%\AppData\Local\Temp\OnboardLogs"\RTDC4021\2017-01-02 --exclude "*" --recursive --include "*20170102*" &amp; "%USERPROFILE%\Documents\GitHub\mrs-test-scripts\Headless Mode &amp; Sideloading\WalkAndUnGZ.bat" "%USERPROFILE%\AppData\Local\Temp\OnboardLogs"\RTDC4021\2017-01-02</v>
      </c>
      <c r="AF207" s="84" t="str">
        <f t="shared" si="86"/>
        <v>"C:\Program Files (x86)\AstroGrep\AstroGrep.exe" /spath="%USERPROFILE%\AppData\Local\Temp\OnboardLogs" /stypes="app*4021*20170101*" /stext=" 07:.+((SYSTEM_STATE.+slice.+state.+changed )|(ment ac)|(multiple cpu faults)|(system.+state.+changed )|(\[timeout)|(PRM\|1\|D)|(kpr)|(kdp)|(\|lc)|(penalty))" /e /r /s</v>
      </c>
      <c r="AG207" s="1" t="str">
        <f t="shared" si="87"/>
        <v>Other</v>
      </c>
      <c r="AH207" s="88" t="str">
        <f t="shared" si="74"/>
        <v>"%USERPROFILE%\Documents\GitHub\eaglep3\Utilities\RefineRTDCRunTimes.py" --tripid 1904-31 --locoid 4021 --swversion DE.1.0.8.0 --startMP 300:58638 --initTime 2017-01-01T00:42:05 --startdatetime 2017-01-01T00:46:09 --delay 2 --endMP 300:21930 --enddatetime 2017-01-01T00:55:01 --enforcementcount 0 &gt;&gt;C:\Users\stu\Documents\GitHub\eaglep3-reporting\EC\2016-12-31-refined-times.txt</v>
      </c>
      <c r="AI207" s="115" t="str">
        <f t="shared" si="75"/>
        <v>echo {"issue":{"subject":"","project_id":79,"tracker_id":40,"status_id":1,"priority_id":2,"assigned_to_id":23,"start_date":"2017-01-01","description":"","custom_fields":[{"id":1,"name":"Subdivision","value":"Other"},{"id":4,"name":"Milepost","value":"2.193"},{"id":17,"name":"Train ID","value":"1904-31"},{"id":16,"name":"Locomotive ID","value":"4021"},{"id":130,"name":"Impact","value":""},{"id":150,"name":"Time of Event (Mountain Time)","value":"00:55:01"},{"id":151,"name":"Denver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76"/>
        <v>start /low /b %USERPROFILE%\Documents\GitHub\eaglep3\Utilities\DownloadLogsFromS3.py --loco 4021 --day 2017-01-01</v>
      </c>
    </row>
    <row r="208" spans="1:91" x14ac:dyDescent="0.25">
      <c r="A208" s="34" t="s">
        <v>441</v>
      </c>
      <c r="B208" s="7">
        <v>4030</v>
      </c>
      <c r="C208" s="22" t="s">
        <v>205</v>
      </c>
      <c r="D208" s="22" t="s">
        <v>810</v>
      </c>
      <c r="E208" s="13">
        <v>42735.416446759256</v>
      </c>
      <c r="F208" s="13">
        <v>42735.41778935185</v>
      </c>
      <c r="G208" s="7">
        <v>1</v>
      </c>
      <c r="H208" s="22" t="s">
        <v>811</v>
      </c>
      <c r="I208" s="13">
        <v>42735.423692129632</v>
      </c>
      <c r="J208" s="7">
        <v>0</v>
      </c>
      <c r="K208" s="105" t="str">
        <f t="shared" si="77"/>
        <v>4029/4030</v>
      </c>
      <c r="L208" s="22" t="str">
        <f>VLOOKUP(A208,'Trips&amp;Operators'!$C$1:$G$99999,5,FALSE)</f>
        <v>ADANE ELSHADAY</v>
      </c>
      <c r="M208" s="6">
        <f t="shared" si="78"/>
        <v>5.9027777824667282E-3</v>
      </c>
      <c r="N208" s="7">
        <f t="shared" si="72"/>
        <v>8.5000000067520887</v>
      </c>
      <c r="O208" s="7"/>
      <c r="P208" s="7"/>
      <c r="Q208" s="23"/>
      <c r="R208" s="23"/>
      <c r="S208" s="32">
        <f t="shared" si="73"/>
        <v>0</v>
      </c>
      <c r="T208" s="47" t="e">
        <f t="shared" si="79"/>
        <v>#VALUE!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08:59:41-700',mode:absolute,to:'2016-12-31 11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8" s="49" t="str">
        <f t="shared" si="70"/>
        <v>Y</v>
      </c>
      <c r="X208" s="173" t="e">
        <f t="shared" si="71"/>
        <v>#VALUE!</v>
      </c>
      <c r="Y208" s="64">
        <f t="shared" si="81"/>
        <v>2.3121999999999998</v>
      </c>
      <c r="Z208" s="64">
        <f t="shared" si="82"/>
        <v>8.7999999999999995E-2</v>
      </c>
      <c r="AA208" s="64">
        <f t="shared" si="83"/>
        <v>2.2241999999999997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84"/>
        <v>50-31</v>
      </c>
      <c r="AE208" s="87" t="str">
        <f t="shared" si="85"/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AF208" s="84" t="str">
        <f t="shared" si="86"/>
        <v>"C:\Program Files (x86)\AstroGrep\AstroGrep.exe" /spath="%USERPROFILE%\AppData\Local\Temp\OnboardLogs" /stypes="app*4030*20161231*" /stext=" 17:.+((SYSTEM_STATE.+slice.+state.+changed )|(ment ac)|(multiple cpu faults)|(system.+state.+changed )|(\[timeout)|(PRM\|1\|D)|(kpr)|(kdp)|(\|lc)|(penalty))" /e /r /s</v>
      </c>
      <c r="AG208" s="1" t="str">
        <f t="shared" si="87"/>
        <v>Other</v>
      </c>
      <c r="AH208" s="88" t="str">
        <f t="shared" si="74"/>
        <v>"%USERPROFILE%\Documents\GitHub\eaglep3\Utilities\RefineRTDCRunTimes.py" --tripid 50-31 --locoid 4030 --swversion DE.1.0.8.0 --startMP 300:23122 --initTime 2016-12-31T09:59:41 --startdatetime 2016-12-31T10:01:37 --delay 1 --endMP 204:880 --enddatetime 2016-12-31T10:10:07 --enforcementcount 0 &gt;&gt;C:\Users\stu\Documents\GitHub\eaglep3-reporting\EC\2016-12-31-refined-times.txt</v>
      </c>
      <c r="AI208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{"issue":{"subject":"","project_id":79,"tracker_id":40,"status_id":1,"priority_id":2,"assigned_to_id":23,"start_date":"2016-12-31","description":"","custom_fields":[{"id":1,"name":"Subdivision","value":"Other"},{"id":4,"name":"Milepost","value":"0.088"},{"id":17,"name":"Train ID","value":"50-31"},{"id":16,"name":"Locomotive ID","value":"4030"},{"id":130,"name":"Impact","value":""},{"id":150,"name":"Time of Event (Mountain Time)","value":"10:10:07"},{"id":151,"name":"Denver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76"/>
        <v>start /low /b %USERPROFILE%\Documents\GitHub\eaglep3\Utilities\DownloadLogsFromS3.py --loco 4030 --day 2016-12-31</v>
      </c>
    </row>
    <row r="209" spans="1:39" x14ac:dyDescent="0.25">
      <c r="A209" s="34" t="s">
        <v>552</v>
      </c>
      <c r="B209" s="7">
        <v>4029</v>
      </c>
      <c r="C209" s="22" t="s">
        <v>205</v>
      </c>
      <c r="D209" s="22" t="s">
        <v>812</v>
      </c>
      <c r="E209" s="13">
        <v>42735.435173611113</v>
      </c>
      <c r="F209" s="13">
        <v>25568.708333333332</v>
      </c>
      <c r="G209" s="7">
        <v>1</v>
      </c>
      <c r="H209" s="22" t="s">
        <v>813</v>
      </c>
      <c r="I209" s="13">
        <v>25568.708333333332</v>
      </c>
      <c r="J209" s="7">
        <v>0</v>
      </c>
      <c r="K209" s="105" t="str">
        <f t="shared" si="77"/>
        <v>4029/4030</v>
      </c>
      <c r="L209" s="22" t="str">
        <f>VLOOKUP(A209,'Trips&amp;Operators'!$C$1:$G$99999,5,FALSE)</f>
        <v>BEAM ROSS</v>
      </c>
      <c r="M209" s="6">
        <f t="shared" si="78"/>
        <v>0</v>
      </c>
      <c r="N209" s="7">
        <f t="shared" si="72"/>
        <v>0</v>
      </c>
      <c r="O209" s="7"/>
      <c r="P209" s="7"/>
      <c r="Q209" s="23"/>
      <c r="R209" s="23"/>
      <c r="S209" s="32">
        <f t="shared" si="73"/>
        <v>0</v>
      </c>
      <c r="T209" s="47" t="e">
        <f t="shared" si="79"/>
        <v>#VALUE!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09:26:39-700',mode:absolute,to:'1969-12-31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49" t="str">
        <f t="shared" si="70"/>
        <v>Y</v>
      </c>
      <c r="X209" s="173" t="e">
        <f t="shared" si="71"/>
        <v>#VALUE!</v>
      </c>
      <c r="Y209" s="64">
        <f t="shared" si="81"/>
        <v>0.11940000000000001</v>
      </c>
      <c r="Z209" s="64">
        <f t="shared" si="82"/>
        <v>2.4262000000000001</v>
      </c>
      <c r="AA209" s="64">
        <f t="shared" si="83"/>
        <v>2.3068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84"/>
        <v>51-31</v>
      </c>
      <c r="AE209" s="87" t="str">
        <f t="shared" si="8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4" t="str">
        <f t="shared" si="8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9" s="1" t="str">
        <f t="shared" si="87"/>
        <v>Other</v>
      </c>
      <c r="AH209" s="88" t="str">
        <f t="shared" si="74"/>
        <v>"%USERPROFILE%\Documents\GitHub\eaglep3\Utilities\RefineRTDCRunTimes.py" --tripid 51-31 --locoid 4029 --swversion DE.1.0.8.0 --startMP 204:1194 --initTime 2016-12-31T10:26:39 --startdatetime 1969-12-31T17:00:00 --delay 1 --endMP 300:24262 --enddatetime 1969-12-31T17:00:00 --enforcementcount 0 &gt;&gt;C:\Users\stu\Documents\GitHub\eaglep3-reporting\EC\2016-12-31-refined-times.txt</v>
      </c>
      <c r="AI209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{"issue":{"subject":"","project_id":79,"tracker_id":40,"status_id":1,"priority_id":2,"assigned_to_id":23,"start_date":"1969-12-31","description":"","custom_fields":[{"id":1,"name":"Subdivision","value":"Other"},{"id":4,"name":"Milepost","value":"2.4262"},{"id":17,"name":"Train ID","value":"51-31"},{"id":16,"name":"Locomotive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76"/>
        <v>start /low /b %USERPROFILE%\Documents\GitHub\eaglep3\Utilities\DownloadLogsFromS3.py --loco 4029 --day 1969-12-31</v>
      </c>
    </row>
    <row r="210" spans="1:39" x14ac:dyDescent="0.25">
      <c r="A210" s="34" t="s">
        <v>451</v>
      </c>
      <c r="B210" s="7">
        <v>4042</v>
      </c>
      <c r="C210" s="22" t="s">
        <v>205</v>
      </c>
      <c r="D210" s="22" t="s">
        <v>814</v>
      </c>
      <c r="E210" s="13">
        <v>42735.716423611113</v>
      </c>
      <c r="F210" s="13">
        <v>42735.729212962964</v>
      </c>
      <c r="G210" s="7">
        <v>1</v>
      </c>
      <c r="H210" s="22" t="s">
        <v>815</v>
      </c>
      <c r="I210" s="13">
        <v>42735.729317129626</v>
      </c>
      <c r="J210" s="7">
        <v>0</v>
      </c>
      <c r="K210" s="105" t="str">
        <f t="shared" si="77"/>
        <v>4041/4042</v>
      </c>
      <c r="L210" s="22" t="str">
        <f>VLOOKUP(A210,'Trips&amp;Operators'!$C$1:$G$99999,5,FALSE)</f>
        <v>DELGADO DIANAH</v>
      </c>
      <c r="M210" s="6">
        <f t="shared" si="78"/>
        <v>1.0416666191304103E-4</v>
      </c>
      <c r="N210" s="7">
        <f t="shared" si="72"/>
        <v>0.14999999315477908</v>
      </c>
      <c r="O210" s="7"/>
      <c r="P210" s="7"/>
      <c r="Q210" s="23"/>
      <c r="R210" s="23"/>
      <c r="S210" s="32">
        <f t="shared" si="73"/>
        <v>0</v>
      </c>
      <c r="T210" s="47" t="e">
        <f t="shared" si="79"/>
        <v>#VALUE!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16:11:39-700',mode:absolute,to:'2016-12-31 18:30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0" s="49" t="str">
        <f t="shared" si="70"/>
        <v>Y</v>
      </c>
      <c r="X210" s="173" t="e">
        <f t="shared" si="71"/>
        <v>#VALUE!</v>
      </c>
      <c r="Y210" s="64">
        <f t="shared" si="81"/>
        <v>0.14860000000000001</v>
      </c>
      <c r="Z210" s="64">
        <f t="shared" si="82"/>
        <v>0.17710000000000001</v>
      </c>
      <c r="AA210" s="64">
        <f t="shared" si="83"/>
        <v>2.8499999999999998E-2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84"/>
        <v>59-31</v>
      </c>
      <c r="AE210" s="87" t="str">
        <f t="shared" si="85"/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AF210" s="84" t="str">
        <f t="shared" si="86"/>
        <v>"C:\Program Files (x86)\AstroGrep\AstroGrep.exe" /spath="%USERPROFILE%\AppData\Local\Temp\OnboardLogs" /stypes="app*4042*20170101*" /stext=" 00:.+((SYSTEM_STATE.+slice.+state.+changed )|(ment ac)|(multiple cpu faults)|(system.+state.+changed )|(\[timeout)|(PRM\|1\|D)|(kpr)|(kdp)|(\|lc)|(penalty))" /e /r /s</v>
      </c>
      <c r="AG210" s="1" t="str">
        <f t="shared" si="87"/>
        <v>Other</v>
      </c>
      <c r="AH210" s="88" t="str">
        <f t="shared" si="74"/>
        <v>"%USERPROFILE%\Documents\GitHub\eaglep3\Utilities\RefineRTDCRunTimes.py" --tripid 59-31 --locoid 4042 --swversion DE.1.0.8.0 --startMP 204:1486 --initTime 2016-12-31T17:11:39 --startdatetime 2016-12-31T17:30:04 --delay 1 --endMP 204:1771 --enddatetime 2016-12-31T17:30:13 --enforcementcount 0 &gt;&gt;C:\Users\stu\Documents\GitHub\eaglep3-reporting\EC\2016-12-31-refined-times.txt</v>
      </c>
      <c r="AI210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{"issue":{"subject":"","project_id":79,"tracker_id":40,"status_id":1,"priority_id":2,"assigned_to_id":23,"start_date":"2016-12-31","description":"","custom_fields":[{"id":1,"name":"Subdivision","value":"Other"},{"id":4,"name":"Milepost","value":"0.1771"},{"id":17,"name":"Train ID","value":"59-31"},{"id":16,"name":"Locomotive ID","value":"4042"},{"id":130,"name":"Impact","value":""},{"id":150,"name":"Time of Event (Mountain Time)","value":"17:30:13"},{"id":151,"name":"Denver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76"/>
        <v>start /low /b %USERPROFILE%\Documents\GitHub\eaglep3\Utilities\DownloadLogsFromS3.py --loco 4042 --day 2016-12-31</v>
      </c>
    </row>
    <row r="211" spans="1:39" x14ac:dyDescent="0.25">
      <c r="A211" s="34" t="s">
        <v>629</v>
      </c>
      <c r="B211" s="7">
        <v>4032</v>
      </c>
      <c r="C211" s="22" t="s">
        <v>205</v>
      </c>
      <c r="D211" s="22" t="s">
        <v>816</v>
      </c>
      <c r="E211" s="13">
        <v>42735.748402777775</v>
      </c>
      <c r="F211" s="13">
        <v>42735.749641203707</v>
      </c>
      <c r="G211" s="7">
        <v>1</v>
      </c>
      <c r="H211" s="22" t="s">
        <v>817</v>
      </c>
      <c r="I211" s="13">
        <v>42735.759236111109</v>
      </c>
      <c r="J211" s="7">
        <v>0</v>
      </c>
      <c r="K211" s="105" t="str">
        <f t="shared" si="77"/>
        <v>4031/4032</v>
      </c>
      <c r="L211" s="22" t="str">
        <f>VLOOKUP(A211,'Trips&amp;Operators'!$C$1:$G$99999,5,FALSE)</f>
        <v>MACDONALD THOMAS</v>
      </c>
      <c r="M211" s="6">
        <f t="shared" si="78"/>
        <v>9.594907402060926E-3</v>
      </c>
      <c r="N211" s="7">
        <f t="shared" si="72"/>
        <v>13.816666658967733</v>
      </c>
      <c r="O211" s="7"/>
      <c r="P211" s="7"/>
      <c r="Q211" s="23"/>
      <c r="R211" s="23"/>
      <c r="S211" s="32">
        <f t="shared" si="73"/>
        <v>0</v>
      </c>
      <c r="T211" s="47" t="e">
        <f t="shared" si="79"/>
        <v>#VALUE!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16:57:42-700',mode:absolute,to:'2016-12-31 19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49" t="str">
        <f t="shared" si="70"/>
        <v>Y</v>
      </c>
      <c r="X211" s="173" t="e">
        <f t="shared" si="71"/>
        <v>#VALUE!</v>
      </c>
      <c r="Y211" s="64">
        <f t="shared" si="81"/>
        <v>2.2313999999999998</v>
      </c>
      <c r="Z211" s="64">
        <f t="shared" si="82"/>
        <v>9.4999999999999998E-3</v>
      </c>
      <c r="AA211" s="64">
        <f t="shared" si="83"/>
        <v>2.2218999999999998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84"/>
        <v>68-31</v>
      </c>
      <c r="AE211" s="87" t="str">
        <f t="shared" si="85"/>
        <v>aws s3 cp s3://rtdc.mdm.uploadarchive.raw/RTDC4032/ "%USERPROFILE%\AppData\Local\Temp\OnboardLogs"\RTDC4032\2016-12-31 --exclude "*" --recursive --include "*20161231*" &amp; "%USERPROFILE%\Documents\GitHub\mrs-test-scripts\Headless Mode &amp; Sideloading\WalkAndUnGZ.bat" "%USERPROFILE%\AppData\Local\Temp\OnboardLogs"\RTDC4032\2016-12-31 &amp; aws s3 cp s3://rtdc.mdm.uploadarchive.raw/RTDC4032/ "%USERPROFILE%\AppData\Local\Temp\OnboardLogs"\RTDC4032\2017-01-01 --exclude "*" --recursive --include "*20170101*" &amp; "%USERPROFILE%\Documents\GitHub\mrs-test-scripts\Headless Mode &amp; Sideloading\WalkAndUnGZ.bat" "%USERPROFILE%\AppData\Local\Temp\OnboardLogs"\RTDC4032\2017-01-01</v>
      </c>
      <c r="AF211" s="84" t="str">
        <f t="shared" si="86"/>
        <v>"C:\Program Files (x86)\AstroGrep\AstroGrep.exe" /spath="%USERPROFILE%\AppData\Local\Temp\OnboardLogs" /stypes="app*4032*20170101*" /stext=" 01:.+((SYSTEM_STATE.+slice.+state.+changed )|(ment ac)|(multiple cpu faults)|(system.+state.+changed )|(\[timeout)|(PRM\|1\|D)|(kpr)|(kdp)|(\|lc)|(penalty))" /e /r /s</v>
      </c>
      <c r="AG211" s="1" t="str">
        <f t="shared" si="87"/>
        <v>Other</v>
      </c>
      <c r="AH211" s="88" t="str">
        <f t="shared" si="74"/>
        <v>"%USERPROFILE%\Documents\GitHub\eaglep3\Utilities\RefineRTDCRunTimes.py" --tripid 68-31 --locoid 4032 --swversion DE.1.0.8.0 --startMP 300:22314 --initTime 2016-12-31T17:57:42 --startdatetime 2016-12-31T17:59:29 --delay 1 --endMP 204:95 --enddatetime 2016-12-31T18:13:18 --enforcementcount 0 &gt;&gt;C:\Users\stu\Documents\GitHub\eaglep3-reporting\EC\2016-12-31-refined-times.txt</v>
      </c>
      <c r="AI211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{"issue":{"subject":"","project_id":79,"tracker_id":40,"status_id":1,"priority_id":2,"assigned_to_id":23,"start_date":"2016-12-31","description":"","custom_fields":[{"id":1,"name":"Subdivision","value":"Other"},{"id":4,"name":"Milepost","value":"0.0095"},{"id":17,"name":"Train ID","value":"68-31"},{"id":16,"name":"Locomotive ID","value":"4032"},{"id":130,"name":"Impact","value":""},{"id":150,"name":"Time of Event (Mountain Time)","value":"18:13:18"},{"id":151,"name":"Denver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76"/>
        <v>start /low /b %USERPROFILE%\Documents\GitHub\eaglep3\Utilities\DownloadLogsFromS3.py --loco 4032 --day 2016-12-31</v>
      </c>
    </row>
    <row r="212" spans="1:39" x14ac:dyDescent="0.25">
      <c r="A212" s="34" t="s">
        <v>452</v>
      </c>
      <c r="B212" s="7">
        <v>4030</v>
      </c>
      <c r="C212" s="22" t="s">
        <v>205</v>
      </c>
      <c r="D212" s="22" t="s">
        <v>818</v>
      </c>
      <c r="E212" s="13">
        <v>42735.743888888886</v>
      </c>
      <c r="F212" s="13">
        <v>42735.744988425926</v>
      </c>
      <c r="G212" s="7">
        <v>1</v>
      </c>
      <c r="H212" s="22" t="s">
        <v>819</v>
      </c>
      <c r="I212" s="13">
        <v>42735.751307870371</v>
      </c>
      <c r="J212" s="7">
        <v>0</v>
      </c>
      <c r="K212" s="105" t="str">
        <f t="shared" si="77"/>
        <v>4029/4030</v>
      </c>
      <c r="L212" s="22" t="str">
        <f>VLOOKUP(A212,'Trips&amp;Operators'!$C$1:$G$99999,5,FALSE)</f>
        <v>STAMBAUGH JAMES</v>
      </c>
      <c r="M212" s="6">
        <f t="shared" si="78"/>
        <v>6.3194444446708076E-3</v>
      </c>
      <c r="N212" s="7">
        <f t="shared" si="72"/>
        <v>9.1000000003259629</v>
      </c>
      <c r="O212" s="7"/>
      <c r="P212" s="7"/>
      <c r="Q212" s="23"/>
      <c r="R212" s="23"/>
      <c r="S212" s="32">
        <f t="shared" si="73"/>
        <v>0</v>
      </c>
      <c r="T212" s="47" t="e">
        <f t="shared" si="79"/>
        <v>#VALUE!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16:51:12-700',mode:absolute,to:'2016-12-31 19:01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2" s="49" t="str">
        <f t="shared" si="70"/>
        <v>Y</v>
      </c>
      <c r="X212" s="173" t="e">
        <f t="shared" si="71"/>
        <v>#VALUE!</v>
      </c>
      <c r="Y212" s="64">
        <f t="shared" si="81"/>
        <v>2.3277000000000001</v>
      </c>
      <c r="Z212" s="64">
        <f t="shared" si="82"/>
        <v>0.10879999999999999</v>
      </c>
      <c r="AA212" s="64">
        <f t="shared" si="83"/>
        <v>2.2189000000000001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84"/>
        <v>70-31</v>
      </c>
      <c r="AE212" s="87" t="str">
        <f t="shared" si="85"/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AF212" s="84" t="str">
        <f t="shared" si="86"/>
        <v>"C:\Program Files (x86)\AstroGrep\AstroGrep.exe" /spath="%USERPROFILE%\AppData\Local\Temp\OnboardLogs" /stypes="app*4030*20170101*" /stext=" 01:.+((SYSTEM_STATE.+slice.+state.+changed )|(ment ac)|(multiple cpu faults)|(system.+state.+changed )|(\[timeout)|(PRM\|1\|D)|(kpr)|(kdp)|(\|lc)|(penalty))" /e /r /s</v>
      </c>
      <c r="AG212" s="1" t="str">
        <f t="shared" si="87"/>
        <v>Other</v>
      </c>
      <c r="AH212" s="88" t="str">
        <f t="shared" si="74"/>
        <v>"%USERPROFILE%\Documents\GitHub\eaglep3\Utilities\RefineRTDCRunTimes.py" --tripid 70-31 --locoid 4030 --swversion DE.1.0.8.0 --startMP 300:23277 --initTime 2016-12-31T17:51:12 --startdatetime 2016-12-31T17:52:47 --delay 1 --endMP 204:1088 --enddatetime 2016-12-31T18:01:53 --enforcementcount 0 &gt;&gt;C:\Users\stu\Documents\GitHub\eaglep3-reporting\EC\2016-12-31-refined-times.txt</v>
      </c>
      <c r="AI212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{"issue":{"subject":"","project_id":79,"tracker_id":40,"status_id":1,"priority_id":2,"assigned_to_id":23,"start_date":"2016-12-31","description":"","custom_fields":[{"id":1,"name":"Subdivision","value":"Other"},{"id":4,"name":"Milepost","value":"0.1088"},{"id":17,"name":"Train ID","value":"70-31"},{"id":16,"name":"Locomotive ID","value":"4030"},{"id":130,"name":"Impact","value":""},{"id":150,"name":"Time of Event (Mountain Time)","value":"18:01:53"},{"id":151,"name":"Denver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76"/>
        <v>start /low /b %USERPROFILE%\Documents\GitHub\eaglep3\Utilities\DownloadLogsFromS3.py --loco 4030 --day 2016-12-31</v>
      </c>
    </row>
    <row r="213" spans="1:39" x14ac:dyDescent="0.25">
      <c r="A213" s="34" t="s">
        <v>637</v>
      </c>
      <c r="B213" s="7">
        <v>4029</v>
      </c>
      <c r="C213" s="22" t="s">
        <v>205</v>
      </c>
      <c r="D213" s="22" t="s">
        <v>820</v>
      </c>
      <c r="E213" s="13">
        <v>42735.764710648145</v>
      </c>
      <c r="F213" s="13">
        <v>42735.769618055558</v>
      </c>
      <c r="G213" s="7">
        <v>1</v>
      </c>
      <c r="H213" s="22" t="s">
        <v>420</v>
      </c>
      <c r="I213" s="13">
        <v>42735.776284722226</v>
      </c>
      <c r="J213" s="7">
        <v>0</v>
      </c>
      <c r="K213" s="105" t="str">
        <f t="shared" si="77"/>
        <v>4029/4030</v>
      </c>
      <c r="L213" s="22" t="str">
        <f>VLOOKUP(A213,'Trips&amp;Operators'!$C$1:$G$99999,5,FALSE)</f>
        <v>DAVIS MICHAEL</v>
      </c>
      <c r="M213" s="6">
        <f t="shared" si="78"/>
        <v>6.6666666680248454E-3</v>
      </c>
      <c r="N213" s="7">
        <f t="shared" si="72"/>
        <v>9.6000000019557774</v>
      </c>
      <c r="O213" s="7"/>
      <c r="P213" s="7"/>
      <c r="Q213" s="23"/>
      <c r="R213" s="23"/>
      <c r="S213" s="32">
        <f t="shared" si="73"/>
        <v>0</v>
      </c>
      <c r="T213" s="47" t="e">
        <f t="shared" si="79"/>
        <v>#VALUE!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17:21:11-700',mode:absolute,to:'2016-12-31 19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3" s="49" t="str">
        <f t="shared" si="70"/>
        <v>Y</v>
      </c>
      <c r="X213" s="173" t="e">
        <f t="shared" si="71"/>
        <v>#VALUE!</v>
      </c>
      <c r="Y213" s="64">
        <f t="shared" si="81"/>
        <v>0.1394</v>
      </c>
      <c r="Z213" s="64">
        <f t="shared" si="82"/>
        <v>2.3306</v>
      </c>
      <c r="AA213" s="64">
        <f t="shared" si="83"/>
        <v>2.1911999999999998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84"/>
        <v>71-31</v>
      </c>
      <c r="AE213" s="87" t="str">
        <f t="shared" si="85"/>
        <v>aws s3 cp s3://rtdc.mdm.uploadarchive.raw/RTDC4029/ "%USERPROFILE%\AppData\Local\Temp\OnboardLogs"\RTDC4029\2016-12-31 --exclude "*" --recursive --include "*20161231*" &amp; "%USERPROFILE%\Documents\GitHub\mrs-test-scripts\Headless Mode &amp; Sideloading\WalkAndUnGZ.bat" "%USERPROFILE%\AppData\Local\Temp\OnboardLogs"\RTDC4029\2016-12-31 &amp; aws s3 cp s3://rtdc.mdm.uploadarchive.raw/RTDC4029/ "%USERPROFILE%\AppData\Local\Temp\OnboardLogs"\RTDC4029\2017-01-01 --exclude "*" --recursive --include "*20170101*" &amp; "%USERPROFILE%\Documents\GitHub\mrs-test-scripts\Headless Mode &amp; Sideloading\WalkAndUnGZ.bat" "%USERPROFILE%\AppData\Local\Temp\OnboardLogs"\RTDC4029\2017-01-01</v>
      </c>
      <c r="AF213" s="84" t="str">
        <f t="shared" si="86"/>
        <v>"C:\Program Files (x86)\AstroGrep\AstroGrep.exe" /spath="%USERPROFILE%\AppData\Local\Temp\OnboardLogs" /stypes="app*4029*20170101*" /stext=" 01:.+((SYSTEM_STATE.+slice.+state.+changed )|(ment ac)|(multiple cpu faults)|(system.+state.+changed )|(\[timeout)|(PRM\|1\|D)|(kpr)|(kdp)|(\|lc)|(penalty))" /e /r /s</v>
      </c>
      <c r="AG213" s="1" t="str">
        <f t="shared" si="87"/>
        <v>Other</v>
      </c>
      <c r="AH213" s="88" t="str">
        <f t="shared" si="74"/>
        <v>"%USERPROFILE%\Documents\GitHub\eaglep3\Utilities\RefineRTDCRunTimes.py" --tripid 71-31 --locoid 4029 --swversion DE.1.0.8.0 --startMP 204:1394 --initTime 2016-12-31T18:21:11 --startdatetime 2016-12-31T18:28:15 --delay 1 --endMP 300:23306 --enddatetime 2016-12-31T18:37:51 --enforcementcount 0 &gt;&gt;C:\Users\stu\Documents\GitHub\eaglep3-reporting\EC\2016-12-31-refined-times.txt</v>
      </c>
      <c r="AI213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{"issue":{"subject":"","project_id":79,"tracker_id":40,"status_id":1,"priority_id":2,"assigned_to_id":23,"start_date":"2016-12-31","description":"","custom_fields":[{"id":1,"name":"Subdivision","value":"Other"},{"id":4,"name":"Milepost","value":"2.3306"},{"id":17,"name":"Train ID","value":"71-31"},{"id":16,"name":"Locomotive ID","value":"4029"},{"id":130,"name":"Impact","value":""},{"id":150,"name":"Time of Event (Mountain Time)","value":"18:37:51"},{"id":151,"name":"Denver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76"/>
        <v>start /low /b %USERPROFILE%\Documents\GitHub\eaglep3\Utilities\DownloadLogsFromS3.py --loco 4029 --day 2016-12-31</v>
      </c>
    </row>
    <row r="214" spans="1:39" x14ac:dyDescent="0.25">
      <c r="A214" s="34" t="s">
        <v>632</v>
      </c>
      <c r="B214" s="7">
        <v>4028</v>
      </c>
      <c r="C214" s="22" t="s">
        <v>205</v>
      </c>
      <c r="D214" s="22" t="s">
        <v>821</v>
      </c>
      <c r="E214" s="13">
        <v>42735.75271990741</v>
      </c>
      <c r="F214" s="13">
        <v>42735.754027777781</v>
      </c>
      <c r="G214" s="7">
        <v>1</v>
      </c>
      <c r="H214" s="22" t="s">
        <v>822</v>
      </c>
      <c r="I214" s="13">
        <v>42735.76054398148</v>
      </c>
      <c r="J214" s="7">
        <v>0</v>
      </c>
      <c r="K214" s="105" t="str">
        <f t="shared" si="77"/>
        <v>4027/4028</v>
      </c>
      <c r="L214" s="22" t="str">
        <f>VLOOKUP(A214,'Trips&amp;Operators'!$C$1:$G$99999,5,FALSE)</f>
        <v>SAFIEF AEIMEN</v>
      </c>
      <c r="M214" s="6">
        <f t="shared" si="78"/>
        <v>6.5162036989931948E-3</v>
      </c>
      <c r="N214" s="7">
        <f t="shared" si="72"/>
        <v>9.3833333265502006</v>
      </c>
      <c r="O214" s="7"/>
      <c r="P214" s="7"/>
      <c r="Q214" s="23"/>
      <c r="R214" s="23"/>
      <c r="S214" s="32">
        <f t="shared" si="73"/>
        <v>0</v>
      </c>
      <c r="T214" s="47" t="e">
        <f t="shared" si="79"/>
        <v>#VALUE!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17:03:55-700',mode:absolute,to:'2016-12-31 19:15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4" s="49" t="str">
        <f t="shared" si="70"/>
        <v>Y</v>
      </c>
      <c r="X214" s="173" t="e">
        <f t="shared" si="71"/>
        <v>#VALUE!</v>
      </c>
      <c r="Y214" s="64">
        <f t="shared" si="81"/>
        <v>2.1977000000000002</v>
      </c>
      <c r="Z214" s="64">
        <f t="shared" si="82"/>
        <v>9.4500000000000001E-2</v>
      </c>
      <c r="AA214" s="64">
        <f t="shared" si="83"/>
        <v>2.1032000000000002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84"/>
        <v>72-31</v>
      </c>
      <c r="AE214" s="87" t="str">
        <f t="shared" si="85"/>
        <v>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 &amp; 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</v>
      </c>
      <c r="AF214" s="84" t="str">
        <f t="shared" si="86"/>
        <v>"C:\Program Files (x86)\AstroGrep\AstroGrep.exe" /spath="%USERPROFILE%\AppData\Local\Temp\OnboardLogs" /stypes="app*4028*20170101*" /stext=" 01:.+((SYSTEM_STATE.+slice.+state.+changed )|(ment ac)|(multiple cpu faults)|(system.+state.+changed )|(\[timeout)|(PRM\|1\|D)|(kpr)|(kdp)|(\|lc)|(penalty))" /e /r /s</v>
      </c>
      <c r="AG214" s="1" t="str">
        <f t="shared" si="87"/>
        <v>Other</v>
      </c>
      <c r="AH214" s="88" t="str">
        <f t="shared" si="74"/>
        <v>"%USERPROFILE%\Documents\GitHub\eaglep3\Utilities\RefineRTDCRunTimes.py" --tripid 72-31 --locoid 4028 --swversion DE.1.0.8.0 --startMP 300:21977 --initTime 2016-12-31T18:03:55 --startdatetime 2016-12-31T18:05:48 --delay 1 --endMP 204:945 --enddatetime 2016-12-31T18:15:11 --enforcementcount 0 &gt;&gt;C:\Users\stu\Documents\GitHub\eaglep3-reporting\EC\2016-12-31-refined-times.txt</v>
      </c>
      <c r="AI214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{"issue":{"subject":"","project_id":79,"tracker_id":40,"status_id":1,"priority_id":2,"assigned_to_id":23,"start_date":"2016-12-31","description":"","custom_fields":[{"id":1,"name":"Subdivision","value":"Other"},{"id":4,"name":"Milepost","value":"0.0945"},{"id":17,"name":"Train ID","value":"72-31"},{"id":16,"name":"Locomotive ID","value":"4028"},{"id":130,"name":"Impact","value":""},{"id":150,"name":"Time of Event (Mountain Time)","value":"18:15:11"},{"id":151,"name":"Denver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76"/>
        <v>start /low /b %USERPROFILE%\Documents\GitHub\eaglep3\Utilities\DownloadLogsFromS3.py --loco 4028 --day 2016-12-31</v>
      </c>
    </row>
    <row r="215" spans="1:39" x14ac:dyDescent="0.25">
      <c r="A215" s="34" t="s">
        <v>653</v>
      </c>
      <c r="B215" s="7">
        <v>4030</v>
      </c>
      <c r="C215" s="22" t="s">
        <v>205</v>
      </c>
      <c r="D215" s="22" t="s">
        <v>823</v>
      </c>
      <c r="E215" s="13">
        <v>42735.85696759259</v>
      </c>
      <c r="F215" s="13">
        <v>42735.858472222222</v>
      </c>
      <c r="G215" s="7">
        <v>1</v>
      </c>
      <c r="H215" s="22" t="s">
        <v>824</v>
      </c>
      <c r="I215" s="13">
        <v>42735.865405092591</v>
      </c>
      <c r="J215" s="7">
        <v>0</v>
      </c>
      <c r="K215" s="105" t="str">
        <f t="shared" si="77"/>
        <v>4029/4030</v>
      </c>
      <c r="L215" s="22" t="str">
        <f>VLOOKUP(A215,'Trips&amp;Operators'!$C$1:$G$99999,5,FALSE)</f>
        <v>MCREYNOLDS KYLE</v>
      </c>
      <c r="M215" s="6">
        <f t="shared" si="78"/>
        <v>6.9328703684732318E-3</v>
      </c>
      <c r="N215" s="7">
        <f t="shared" si="72"/>
        <v>9.9833333306014538</v>
      </c>
      <c r="O215" s="7"/>
      <c r="P215" s="7"/>
      <c r="Q215" s="23"/>
      <c r="R215" s="23"/>
      <c r="S215" s="32">
        <f t="shared" si="73"/>
        <v>0</v>
      </c>
      <c r="T215" s="47" t="e">
        <f t="shared" si="79"/>
        <v>#VALUE!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19:34:02-700',mode:absolute,to:'2016-12-31 21:46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5" s="49" t="str">
        <f t="shared" si="70"/>
        <v>Y</v>
      </c>
      <c r="X215" s="173" t="e">
        <f t="shared" si="71"/>
        <v>#VALUE!</v>
      </c>
      <c r="Y215" s="64">
        <f t="shared" si="81"/>
        <v>2.2153</v>
      </c>
      <c r="Z215" s="64">
        <f t="shared" si="82"/>
        <v>9.1300000000000006E-2</v>
      </c>
      <c r="AA215" s="64">
        <f t="shared" si="83"/>
        <v>2.1240000000000001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84"/>
        <v>74-31</v>
      </c>
      <c r="AE215" s="87" t="str">
        <f t="shared" si="85"/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AF215" s="84" t="str">
        <f t="shared" si="86"/>
        <v>"C:\Program Files (x86)\AstroGrep\AstroGrep.exe" /spath="%USERPROFILE%\AppData\Local\Temp\OnboardLogs" /stypes="app*4030*20170101*" /stext=" 03:.+((SYSTEM_STATE.+slice.+state.+changed )|(ment ac)|(multiple cpu faults)|(system.+state.+changed )|(\[timeout)|(PRM\|1\|D)|(kpr)|(kdp)|(\|lc)|(penalty))" /e /r /s</v>
      </c>
      <c r="AG215" s="1" t="str">
        <f t="shared" si="87"/>
        <v>Other</v>
      </c>
      <c r="AH215" s="88" t="str">
        <f t="shared" si="74"/>
        <v>"%USERPROFILE%\Documents\GitHub\eaglep3\Utilities\RefineRTDCRunTimes.py" --tripid 74-31 --locoid 4030 --swversion DE.1.0.8.0 --startMP 300:22153 --initTime 2016-12-31T20:34:02 --startdatetime 2016-12-31T20:36:12 --delay 1 --endMP 204:913 --enddatetime 2016-12-31T20:46:11 --enforcementcount 0 &gt;&gt;C:\Users\stu\Documents\GitHub\eaglep3-reporting\EC\2016-12-31-refined-times.txt</v>
      </c>
      <c r="AI215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{"issue":{"subject":"","project_id":79,"tracker_id":40,"status_id":1,"priority_id":2,"assigned_to_id":23,"start_date":"2016-12-31","description":"","custom_fields":[{"id":1,"name":"Subdivision","value":"Other"},{"id":4,"name":"Milepost","value":"0.0913"},{"id":17,"name":"Train ID","value":"74-31"},{"id":16,"name":"Locomotive ID","value":"4030"},{"id":130,"name":"Impact","value":""},{"id":150,"name":"Time of Event (Mountain Time)","value":"20:46:11"},{"id":151,"name":"Denver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76"/>
        <v>start /low /b %USERPROFILE%\Documents\GitHub\eaglep3\Utilities\DownloadLogsFromS3.py --loco 4030 --day 2016-12-31</v>
      </c>
    </row>
    <row r="216" spans="1:39" x14ac:dyDescent="0.25">
      <c r="A216" s="34" t="s">
        <v>464</v>
      </c>
      <c r="B216" s="7">
        <v>4021</v>
      </c>
      <c r="C216" s="22" t="s">
        <v>205</v>
      </c>
      <c r="D216" s="22" t="s">
        <v>746</v>
      </c>
      <c r="E216" s="13">
        <v>42735.944108796299</v>
      </c>
      <c r="F216" s="13">
        <v>42735.94636574074</v>
      </c>
      <c r="G216" s="7">
        <v>1</v>
      </c>
      <c r="H216" s="22" t="s">
        <v>431</v>
      </c>
      <c r="I216" s="13">
        <v>42735.957696759258</v>
      </c>
      <c r="J216" s="7">
        <v>0</v>
      </c>
      <c r="K216" s="105" t="str">
        <f t="shared" si="77"/>
        <v>4021/4022</v>
      </c>
      <c r="L216" s="22" t="str">
        <f>VLOOKUP(A216,'Trips&amp;Operators'!$C$1:$G$99999,5,FALSE)</f>
        <v>DAVIDSON DAVID</v>
      </c>
      <c r="M216" s="6">
        <f t="shared" si="78"/>
        <v>1.1331018518831115E-2</v>
      </c>
      <c r="N216" s="7">
        <f t="shared" si="72"/>
        <v>16.316666667116806</v>
      </c>
      <c r="O216" s="7"/>
      <c r="P216" s="7"/>
      <c r="Q216" s="23"/>
      <c r="R216" s="23"/>
      <c r="S216" s="32">
        <f t="shared" si="73"/>
        <v>0</v>
      </c>
      <c r="T216" s="47" t="e">
        <f t="shared" si="79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21:39:31-700',mode:absolute,to:'2016-12-31 23:59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6" s="49" t="str">
        <f t="shared" si="70"/>
        <v>N</v>
      </c>
      <c r="X216" s="173" t="e">
        <f t="shared" si="71"/>
        <v>#VALUE!</v>
      </c>
      <c r="Y216" s="64">
        <f t="shared" si="81"/>
        <v>5.8616999999999999</v>
      </c>
      <c r="Z216" s="64">
        <f t="shared" si="82"/>
        <v>6.7500000000000004E-2</v>
      </c>
      <c r="AA216" s="64">
        <f t="shared" si="83"/>
        <v>5.7942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84"/>
        <v>76-31</v>
      </c>
      <c r="AE216" s="87" t="str">
        <f t="shared" si="85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216" s="84" t="str">
        <f t="shared" si="86"/>
        <v>"C:\Program Files (x86)\AstroGrep\AstroGrep.exe" /spath="%USERPROFILE%\AppData\Local\Temp\OnboardLogs" /stypes="app*4021*20170101*" /stext=" 05:.+((SYSTEM_STATE.+slice.+state.+changed )|(ment ac)|(multiple cpu faults)|(system.+state.+changed )|(\[timeout)|(PRM\|1\|D)|(kpr)|(kdp)|(\|lc)|(penalty))" /e /r /s</v>
      </c>
      <c r="AG216" s="1" t="str">
        <f t="shared" si="87"/>
        <v>Other</v>
      </c>
      <c r="AH216" s="88" t="str">
        <f t="shared" si="74"/>
        <v>"%USERPROFILE%\Documents\GitHub\eaglep3\Utilities\RefineRTDCRunTimes.py" --tripid 76-31 --locoid 4021 --swversion DE.1.0.8.0 --startMP 300:58617 --initTime 2016-12-31T22:39:31 --startdatetime 2016-12-31T22:42:46 --delay 1 --endMP 204:675 --enddatetime 2016-12-31T22:59:05 --enforcementcount 0 &gt;&gt;C:\Users\stu\Documents\GitHub\eaglep3-reporting\EC\2016-12-31-refined-times.txt</v>
      </c>
      <c r="AI216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{"issue":{"subject":"","project_id":79,"tracker_id":40,"status_id":1,"priority_id":2,"assigned_to_id":23,"start_date":"2016-12-31","description":"","custom_fields":[{"id":1,"name":"Subdivision","value":"Other"},{"id":4,"name":"Milepost","value":"0.0675"},{"id":17,"name":"Train ID","value":"76-31"},{"id":16,"name":"Locomotive ID","value":"4021"},{"id":130,"name":"Impact","value":""},{"id":150,"name":"Time of Event (Mountain Time)","value":"22:59:05"},{"id":151,"name":"Denver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76"/>
        <v>start /low /b %USERPROFILE%\Documents\GitHub\eaglep3\Utilities\DownloadLogsFromS3.py --loco 4021 --day 2016-12-31</v>
      </c>
    </row>
    <row r="217" spans="1:39" x14ac:dyDescent="0.25">
      <c r="A217" s="34" t="s">
        <v>661</v>
      </c>
      <c r="B217" s="7">
        <v>4022</v>
      </c>
      <c r="C217" s="22" t="s">
        <v>205</v>
      </c>
      <c r="D217" s="22" t="s">
        <v>421</v>
      </c>
      <c r="E217" s="13">
        <v>42735.959930555553</v>
      </c>
      <c r="F217" s="13">
        <v>42735.973229166666</v>
      </c>
      <c r="G217" s="7">
        <v>1</v>
      </c>
      <c r="H217" s="22" t="s">
        <v>432</v>
      </c>
      <c r="I217" s="13">
        <v>42735.9843287037</v>
      </c>
      <c r="J217" s="7">
        <v>0</v>
      </c>
      <c r="K217" s="105" t="str">
        <f t="shared" si="77"/>
        <v>4021/4022</v>
      </c>
      <c r="L217" s="22" t="str">
        <f>VLOOKUP(A217,'Trips&amp;Operators'!$C$1:$G$99999,5,FALSE)</f>
        <v>DAVIDSON DAVID</v>
      </c>
      <c r="M217" s="6">
        <f t="shared" si="78"/>
        <v>1.1099537034169771E-2</v>
      </c>
      <c r="N217" s="7">
        <f t="shared" si="72"/>
        <v>15.98333332920447</v>
      </c>
      <c r="O217" s="7"/>
      <c r="P217" s="7"/>
      <c r="Q217" s="23"/>
      <c r="R217" s="23"/>
      <c r="S217" s="32">
        <f t="shared" si="73"/>
        <v>0</v>
      </c>
      <c r="T217" s="47" t="e">
        <f t="shared" si="79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22:02:18-700',mode:absolute,to:'2017-01-01 00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49" t="str">
        <f t="shared" si="70"/>
        <v>N</v>
      </c>
      <c r="X217" s="173" t="e">
        <f t="shared" si="71"/>
        <v>#VALUE!</v>
      </c>
      <c r="Y217" s="64">
        <f t="shared" si="81"/>
        <v>9.7799999999999998E-2</v>
      </c>
      <c r="Z217" s="64">
        <f t="shared" si="82"/>
        <v>5.8940999999999999</v>
      </c>
      <c r="AA217" s="64">
        <f t="shared" si="83"/>
        <v>5.7962999999999996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84"/>
        <v>77-31</v>
      </c>
      <c r="AE217" s="87" t="str">
        <f t="shared" si="85"/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AF217" s="84" t="str">
        <f t="shared" si="86"/>
        <v>"C:\Program Files (x86)\AstroGrep\AstroGrep.exe" /spath="%USERPROFILE%\AppData\Local\Temp\OnboardLogs" /stypes="app*4022*20170101*" /stext=" 06:.+((SYSTEM_STATE.+slice.+state.+changed )|(ment ac)|(multiple cpu faults)|(system.+state.+changed )|(\[timeout)|(PRM\|1\|D)|(kpr)|(kdp)|(\|lc)|(penalty))" /e /r /s</v>
      </c>
      <c r="AG217" s="1" t="str">
        <f t="shared" si="87"/>
        <v>Other</v>
      </c>
      <c r="AH217" s="88" t="str">
        <f t="shared" si="74"/>
        <v>"%USERPROFILE%\Documents\GitHub\eaglep3\Utilities\RefineRTDCRunTimes.py" --tripid 77-31 --locoid 4022 --swversion DE.1.0.8.0 --startMP 204:978 --initTime 2016-12-31T23:02:18 --startdatetime 2016-12-31T23:21:27 --delay 1 --endMP 300:58941 --enddatetime 2016-12-31T23:37:26 --enforcementcount 0 &gt;&gt;C:\Users\stu\Documents\GitHub\eaglep3-reporting\EC\2016-12-31-refined-times.txt</v>
      </c>
      <c r="AI217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{"issue":{"subject":"","project_id":79,"tracker_id":40,"status_id":1,"priority_id":2,"assigned_to_id":23,"start_date":"2016-12-31","description":"","custom_fields":[{"id":1,"name":"Subdivision","value":"Other"},{"id":4,"name":"Milepost","value":"5.8941"},{"id":17,"name":"Train ID","value":"77-31"},{"id":16,"name":"Locomotive ID","value":"4022"},{"id":130,"name":"Impact","value":""},{"id":150,"name":"Time of Event (Mountain Time)","value":"23:37:26"},{"id":151,"name":"Denver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76"/>
        <v>start /low /b %USERPROFILE%\Documents\GitHub\eaglep3\Utilities\DownloadLogsFromS3.py --loco 4022 --day 2016-12-31</v>
      </c>
    </row>
    <row r="218" spans="1:39" x14ac:dyDescent="0.25">
      <c r="A218" s="34" t="s">
        <v>664</v>
      </c>
      <c r="B218" s="7">
        <v>4021</v>
      </c>
      <c r="C218" s="22" t="s">
        <v>205</v>
      </c>
      <c r="D218" s="22" t="s">
        <v>369</v>
      </c>
      <c r="E218" s="13">
        <v>42735.98578703704</v>
      </c>
      <c r="F218" s="13">
        <v>42735.987407407411</v>
      </c>
      <c r="G218" s="7">
        <v>1</v>
      </c>
      <c r="H218" s="22" t="s">
        <v>422</v>
      </c>
      <c r="I218" s="13">
        <v>42735.998229166667</v>
      </c>
      <c r="J218" s="7">
        <v>0</v>
      </c>
      <c r="K218" s="105" t="str">
        <f t="shared" si="77"/>
        <v>4021/4022</v>
      </c>
      <c r="L218" s="22" t="str">
        <f>VLOOKUP(A218,'Trips&amp;Operators'!$C$1:$G$99999,5,FALSE)</f>
        <v>DAVIDSON DAVID</v>
      </c>
      <c r="M218" s="6">
        <f t="shared" si="78"/>
        <v>1.0821759256941732E-2</v>
      </c>
      <c r="N218" s="7">
        <f t="shared" si="72"/>
        <v>15.583333329996094</v>
      </c>
      <c r="O218" s="7"/>
      <c r="P218" s="7"/>
      <c r="Q218" s="23"/>
      <c r="R218" s="23"/>
      <c r="S218" s="32">
        <f t="shared" si="73"/>
        <v>0</v>
      </c>
      <c r="T218" s="47" t="e">
        <f t="shared" si="79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22:39:32-700',mode:absolute,to:'2017-01-01 00:57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8" s="49" t="str">
        <f t="shared" si="70"/>
        <v>N</v>
      </c>
      <c r="X218" s="173" t="e">
        <f t="shared" si="71"/>
        <v>#VALUE!</v>
      </c>
      <c r="Y218" s="64">
        <f t="shared" si="81"/>
        <v>5.8630000000000004</v>
      </c>
      <c r="Z218" s="64">
        <f t="shared" si="82"/>
        <v>6.9099999999999995E-2</v>
      </c>
      <c r="AA218" s="64">
        <f t="shared" si="83"/>
        <v>5.7939000000000007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84"/>
        <v>78-31</v>
      </c>
      <c r="AE218" s="87" t="str">
        <f t="shared" si="85"/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AF218" s="84" t="str">
        <f t="shared" si="86"/>
        <v>"C:\Program Files (x86)\AstroGrep\AstroGrep.exe" /spath="%USERPROFILE%\AppData\Local\Temp\OnboardLogs" /stypes="app*4021*20170101*" /stext=" 06:.+((SYSTEM_STATE.+slice.+state.+changed )|(ment ac)|(multiple cpu faults)|(system.+state.+changed )|(\[timeout)|(PRM\|1\|D)|(kpr)|(kdp)|(\|lc)|(penalty))" /e /r /s</v>
      </c>
      <c r="AG218" s="1" t="str">
        <f t="shared" si="87"/>
        <v>Other</v>
      </c>
      <c r="AH218" s="88" t="str">
        <f t="shared" si="74"/>
        <v>"%USERPROFILE%\Documents\GitHub\eaglep3\Utilities\RefineRTDCRunTimes.py" --tripid 78-31 --locoid 4021 --swversion DE.1.0.8.0 --startMP 300:58630 --initTime 2016-12-31T23:39:32 --startdatetime 2016-12-31T23:41:52 --delay 1 --endMP 204:691 --enddatetime 2016-12-31T23:57:27 --enforcementcount 0 &gt;&gt;C:\Users\stu\Documents\GitHub\eaglep3-reporting\EC\2016-12-31-refined-times.txt</v>
      </c>
      <c r="AI218" s="115" t="str">
        <f t="shared" si="75"/>
        <v>echo {"issue":{"subject":"","project_id":79,"tracker_id":40,"status_id":1,"priority_id":2,"assigned_to_id":23,"start_date":"2016-12-31","description":"","custom_fields":[{"id":1,"name":"Subdivision","value":"Other"},{"id":4,"name":"Milepost","value":"0.0691"},{"id":17,"name":"Train ID","value":"78-31"},{"id":16,"name":"Locomotive ID","value":"4021"},{"id":130,"name":"Impact","value":""},{"id":150,"name":"Time of Event (Mountain Time)","value":"23:57:27"},{"id":151,"name":"Denver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76"/>
        <v>start /low /b %USERPROFILE%\Documents\GitHub\eaglep3\Utilities\DownloadLogsFromS3.py --loco 4021 --day 2016-12-31</v>
      </c>
    </row>
    <row r="219" spans="1:39" x14ac:dyDescent="0.25">
      <c r="A219" s="34" t="s">
        <v>667</v>
      </c>
      <c r="B219" s="7">
        <v>4022</v>
      </c>
      <c r="C219" s="22" t="s">
        <v>205</v>
      </c>
      <c r="D219" s="22" t="s">
        <v>429</v>
      </c>
      <c r="E219" s="13">
        <v>42736.001180555555</v>
      </c>
      <c r="F219" s="13">
        <v>42736.014803240738</v>
      </c>
      <c r="G219" s="7">
        <v>1</v>
      </c>
      <c r="H219" s="22" t="s">
        <v>333</v>
      </c>
      <c r="I219" s="13">
        <v>42736.026365740741</v>
      </c>
      <c r="J219" s="7">
        <v>0</v>
      </c>
      <c r="K219" s="105" t="str">
        <f t="shared" si="77"/>
        <v>4021/4022</v>
      </c>
      <c r="L219" s="22" t="str">
        <f>VLOOKUP(A219,'Trips&amp;Operators'!$C$1:$G$99999,5,FALSE)</f>
        <v>DAVIDSON DAVID</v>
      </c>
      <c r="M219" s="6">
        <f t="shared" si="78"/>
        <v>1.156250000349246E-2</v>
      </c>
      <c r="N219" s="7">
        <f t="shared" si="72"/>
        <v>16.650000005029142</v>
      </c>
      <c r="O219" s="7"/>
      <c r="P219" s="7"/>
      <c r="Q219" s="23"/>
      <c r="R219" s="23"/>
      <c r="S219" s="32">
        <f t="shared" si="73"/>
        <v>0</v>
      </c>
      <c r="T219" s="47" t="e">
        <f t="shared" si="79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0"/>
        <v>https://search-rtdc-monitor-bjffxe2xuh6vdkpspy63sjmuny.us-east-1.es.amazonaws.com/_plugin/kibana/#/discover/Steve-Slow-Train-Analysis-(2080s-and-2083s)?_g=(refreshInterval:(display:Off,section:0,value:0),time:(from:'2016-12-31 23:01:42-700',mode:absolute,to:'2017-01-01 01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9" s="49" t="str">
        <f t="shared" si="70"/>
        <v>N</v>
      </c>
      <c r="X219" s="173" t="e">
        <f t="shared" si="71"/>
        <v>#VALUE!</v>
      </c>
      <c r="Y219" s="64">
        <f t="shared" si="81"/>
        <v>9.8299999999999998E-2</v>
      </c>
      <c r="Z219" s="64">
        <f t="shared" si="82"/>
        <v>5.8944000000000001</v>
      </c>
      <c r="AA219" s="64">
        <f t="shared" si="83"/>
        <v>5.7961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84"/>
        <v>79-31</v>
      </c>
      <c r="AE219" s="87" t="str">
        <f t="shared" si="85"/>
        <v>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 &amp; aws s3 cp s3://rtdc.mdm.uploadarchive.raw/RTDC4022/ "%USERPROFILE%\AppData\Local\Temp\OnboardLogs"\RTDC4022\2017-01-02 --exclude "*" --recursive --include "*20170102*" &amp; "%USERPROFILE%\Documents\GitHub\mrs-test-scripts\Headless Mode &amp; Sideloading\WalkAndUnGZ.bat" "%USERPROFILE%\AppData\Local\Temp\OnboardLogs"\RTDC4022\2017-01-02</v>
      </c>
      <c r="AF219" s="84" t="str">
        <f t="shared" si="86"/>
        <v>"C:\Program Files (x86)\AstroGrep\AstroGrep.exe" /spath="%USERPROFILE%\AppData\Local\Temp\OnboardLogs" /stypes="app*4022*20170101*" /stext=" 07:.+((SYSTEM_STATE.+slice.+state.+changed )|(ment ac)|(multiple cpu faults)|(system.+state.+changed )|(\[timeout)|(PRM\|1\|D)|(kpr)|(kdp)|(\|lc)|(penalty))" /e /r /s</v>
      </c>
      <c r="AG219" s="1" t="str">
        <f t="shared" si="87"/>
        <v>Other</v>
      </c>
      <c r="AH219" s="88" t="str">
        <f t="shared" si="74"/>
        <v>"%USERPROFILE%\Documents\GitHub\eaglep3\Utilities\RefineRTDCRunTimes.py" --tripid 79-31 --locoid 4022 --swversion DE.1.0.8.0 --startMP 204:983 --initTime 2017-01-01T00:01:42 --startdatetime 2017-01-01T00:21:19 --delay 1 --endMP 300:58944 --enddatetime 2017-01-01T00:37:58 --enforcementcount 0 &gt;&gt;C:\Users\stu\Documents\GitHub\eaglep3-reporting\EC\2016-12-31-refined-times.txt</v>
      </c>
      <c r="AI219" s="115" t="str">
        <f t="shared" si="75"/>
        <v>echo {"issue":{"subject":"","project_id":79,"tracker_id":40,"status_id":1,"priority_id":2,"assigned_to_id":23,"start_date":"2017-01-01","description":"","custom_fields":[{"id":1,"name":"Subdivision","value":"Other"},{"id":4,"name":"Milepost","value":"5.8944"},{"id":17,"name":"Train ID","value":"79-31"},{"id":16,"name":"Locomotive ID","value":"4022"},{"id":130,"name":"Impact","value":""},{"id":150,"name":"Time of Event (Mountain Time)","value":"00:37:58"},{"id":151,"name":"Denver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76"/>
        <v>start /low /b %USERPROFILE%\Documents\GitHub\eaglep3\Utilities\DownloadLogsFromS3.py --loco 4022 --day 2017-01-01</v>
      </c>
    </row>
    <row r="220" spans="1:39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39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39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39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39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</sheetData>
  <autoFilter ref="A12:AG220">
    <sortState ref="A13:AG222">
      <sortCondition ref="AG13:AG221"/>
      <sortCondition ref="AD13:AD221"/>
    </sortState>
  </autoFilter>
  <sortState ref="A13:AH200">
    <sortCondition ref="AG13:AG200"/>
    <sortCondition ref="AD13:AD200"/>
  </sortState>
  <mergeCells count="1">
    <mergeCell ref="A11:P11"/>
  </mergeCells>
  <conditionalFormatting sqref="W11:W12 W234:X1048576 W13:X219">
    <cfRule type="cellIs" dxfId="10" priority="352" operator="equal">
      <formula>"Y"</formula>
    </cfRule>
  </conditionalFormatting>
  <conditionalFormatting sqref="X234:X1048576 X13:X219">
    <cfRule type="cellIs" dxfId="9" priority="335" operator="greaterThan">
      <formula>1</formula>
    </cfRule>
  </conditionalFormatting>
  <conditionalFormatting sqref="X234:X1048576 X12:X219">
    <cfRule type="cellIs" dxfId="8" priority="332" operator="equal">
      <formula>0</formula>
    </cfRule>
  </conditionalFormatting>
  <conditionalFormatting sqref="A13:S219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3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31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- 2016-12-31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226</v>
      </c>
      <c r="AE6" s="181" t="s">
        <v>434</v>
      </c>
    </row>
    <row r="7" spans="1:31" s="1" customFormat="1" x14ac:dyDescent="0.25">
      <c r="A7" s="33">
        <v>42735.881157407406</v>
      </c>
      <c r="B7" s="31" t="s">
        <v>327</v>
      </c>
      <c r="C7" s="31" t="s">
        <v>457</v>
      </c>
      <c r="D7" s="31" t="s">
        <v>49</v>
      </c>
      <c r="E7" s="31" t="s">
        <v>243</v>
      </c>
      <c r="F7" s="44">
        <v>0</v>
      </c>
      <c r="G7" s="44">
        <v>400</v>
      </c>
      <c r="H7" s="44">
        <v>32754</v>
      </c>
      <c r="I7" s="44">
        <v>33607</v>
      </c>
      <c r="J7" s="31" t="s">
        <v>244</v>
      </c>
      <c r="K7" s="44">
        <v>33137</v>
      </c>
      <c r="L7" s="150" t="s">
        <v>50</v>
      </c>
      <c r="M7" s="151">
        <f t="shared" ref="M7:M40" si="0">CONVERT((I7-K7)/10000,"mi","ft")*IF(L7="Increasing Mileposts (1)",-1,1)</f>
        <v>-248.16</v>
      </c>
      <c r="N7" s="152" t="str">
        <f>VLOOKUP(C7,'Trips&amp;Operators'!$C$1:$G$99999,5,FALSE)</f>
        <v>BROWN JACOB</v>
      </c>
      <c r="O7" s="179" t="s">
        <v>195</v>
      </c>
      <c r="P7" s="153" t="s">
        <v>841</v>
      </c>
      <c r="Q7" s="31"/>
      <c r="R7" s="96" t="str">
        <f>VLOOKUP(C7,'Train Runs'!$A$13:$AE$9964,31,0)</f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S7" s="99" t="str">
        <f>VLOOKUP(C7,'Train Runs'!$A$13:$AE$9964,22,0)</f>
        <v>https://search-rtdc-monitor-bjffxe2xuh6vdkpspy63sjmuny.us-east-1.es.amazonaws.com/_plugin/kibana/#/discover/Steve-Slow-Train-Analysis-(2080s-and-2083s)?_g=(refreshInterval:(display:Off,section:0,value:0),time:(from:'2016-12-31 19:50:24-700',mode:absolute,to:'2016-12-31 22:41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1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/stypes="*4018*201701010*" /stext=" 04:.+((SYSTEM_STATE.+slice.+state.+changed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4018</v>
      </c>
      <c r="V7" s="33">
        <f t="shared" ref="V7:V40" si="3">A7-utc_offset/24</f>
        <v>42736.17282407407</v>
      </c>
      <c r="W7" s="47" t="str">
        <f t="shared" ref="W7:W40" si="4">IF(VALUE(LEFT(IF(LEN(C7)=6,"0"&amp;C7,C7),2))&lt;=2,"EC",IF(OR(VALUE(LEFT(IF(LEN(C7)=6,"0"&amp;C7,C7),2))=8,VALUE(LEFT(IF(LEN(C7)=6,"0"&amp;C7,C7),2))=18),"NW","Other"))</f>
        <v>EC</v>
      </c>
      <c r="X7" s="47" t="str">
        <f t="shared" ref="X7:X40" si="5">IF(AND(E7="TRACK WARRANT AUTHORITY",G7&lt;10),"OMIT","KEEP")</f>
        <v>KEEP</v>
      </c>
      <c r="Y7" s="115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arrival","project_id":79,"tracker_id":40,"status_id":1,"priority_id":2,"assigned_to_id":23,"start_date":"2016-12-31","description":"","custom_fields":[{"id":1,"name":"Subdivision","value":"EC"},{"id":4,"name":"Milepost","value":"3.3137"},{"id":17,"name":"Train ID","value":"229-31"},{"id":16,"name":"Locomotive ID","value":"4018"},{"id":130,"name":"Impact","value":""},{"id":150,"name":"Time of Event (Mountain Time)","value":"21:08:52"},{"id":151,"name":"Denver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0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"%USERPROFILE%\AppData\Local\Temp\OnboardLogs"\RTDC4018\*4018*201701010*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"%USERPROFILE%\AppData\Local\Temp\OnboardLogs"\RTDC4018\*4018*201701010* &gt;&gt; 42735-slicedisagreementcheck.txt</v>
      </c>
      <c r="AE7" s="183" t="str">
        <f t="shared" ref="AE7:AE40" si="8">"start /low /b "&amp;dls3logs&amp;" --loco "&amp;U7&amp;" --day "&amp;TEXT(V7,"YYYY-MM-DD")</f>
        <v>start /low /b %USERPROFILE%\Documents\GitHub\eaglep3\Utilities\DownloadLogsFromS3.py --loco 4018 --day 2017-01-01</v>
      </c>
    </row>
    <row r="8" spans="1:31" s="1" customFormat="1" x14ac:dyDescent="0.25">
      <c r="A8" s="33">
        <v>42735.964432870373</v>
      </c>
      <c r="B8" s="31" t="s">
        <v>327</v>
      </c>
      <c r="C8" s="31" t="s">
        <v>465</v>
      </c>
      <c r="D8" s="31" t="s">
        <v>49</v>
      </c>
      <c r="E8" s="31" t="s">
        <v>243</v>
      </c>
      <c r="F8" s="44">
        <v>0</v>
      </c>
      <c r="G8" s="44">
        <v>337</v>
      </c>
      <c r="H8" s="44">
        <v>33036</v>
      </c>
      <c r="I8" s="44">
        <v>33525</v>
      </c>
      <c r="J8" s="31" t="s">
        <v>244</v>
      </c>
      <c r="K8" s="44">
        <v>33137</v>
      </c>
      <c r="L8" s="150" t="s">
        <v>50</v>
      </c>
      <c r="M8" s="151">
        <f t="shared" si="0"/>
        <v>-204.864</v>
      </c>
      <c r="N8" s="152" t="str">
        <f>VLOOKUP(C8,'Trips&amp;Operators'!$C$1:$G$99999,5,FALSE)</f>
        <v>BROWN JACOB</v>
      </c>
      <c r="O8" s="179" t="s">
        <v>195</v>
      </c>
      <c r="P8" s="153" t="s">
        <v>841</v>
      </c>
      <c r="Q8" s="31"/>
      <c r="R8" s="96" t="str">
        <f>VLOOKUP(C8,'Train Runs'!$A$13:$AE$9964,31,0)</f>
        <v>aws s3 cp s3://rtdc.mdm.uploadarchive.raw/RTDC4018/ "%USERPROFILE%\AppData\Local\Temp\OnboardLogs"\RTDC4018\2016-12-31 --exclude "*" --recursive --include "*20161231*" &amp; "%USERPROFILE%\Documents\GitHub\mrs-test-scripts\Headless Mode &amp; Sideloading\WalkAndUnGZ.bat" "%USERPROFILE%\AppData\Local\Temp\OnboardLogs"\RTDC4018\2016-12-31 &amp; aws s3 cp s3://rtdc.mdm.uploadarchive.raw/RTDC4018/ "%USERPROFILE%\AppData\Local\Temp\OnboardLogs"\RTDC4018\2017-01-01 --exclude "*" --recursive --include "*20170101*" &amp; "%USERPROFILE%\Documents\GitHub\mrs-test-scripts\Headless Mode &amp; Sideloading\WalkAndUnGZ.bat" "%USERPROFILE%\AppData\Local\Temp\OnboardLogs"\RTDC4018\2017-01-01</v>
      </c>
      <c r="S8" s="99" t="str">
        <f>VLOOKUP(C8,'Train Runs'!$A$13:$AE$9964,22,0)</f>
        <v>https://search-rtdc-monitor-bjffxe2xuh6vdkpspy63sjmuny.us-east-1.es.amazonaws.com/_plugin/kibana/#/discover/Steve-Slow-Train-Analysis-(2080s-and-2083s)?_g=(refreshInterval:(display:Off,section:0,value:0),time:(from:'2016-12-31 21:46:31-700',mode:absolute,to:'2017-01-01 00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8" s="101" t="str">
        <f t="shared" si="1"/>
        <v>"C:\Program Files (x86)\AstroGrep\AstroGrep.exe" /spath="%USERPROFILE%\AppData\Local\Temp\OnboardLogs" /stypes="*4018*201701010*" /stext=" 06:.+((SYSTEM_STATE.+slice.+state.+changed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3">
        <f t="shared" si="3"/>
        <v>42736.256099537037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arrival","project_id":79,"tracker_id":40,"status_id":1,"priority_id":2,"assigned_to_id":23,"start_date":"2016-12-31","description":"","custom_fields":[{"id":1,"name":"Subdivision","value":"EC"},{"id":4,"name":"Milepost","value":"3.3137"},{"id":17,"name":"Train ID","value":"237-31"},{"id":16,"name":"Locomotive ID","value":"4018"},{"id":130,"name":"Impact","value":""},{"id":150,"name":"Time of Event (Mountain Time)","value":"23:08:47"},{"id":151,"name":"Denver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"%USERPROFILE%\AppData\Local\Temp\OnboardLogs"\RTDC4018\*4018*201701010*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"%USERPROFILE%\AppData\Local\Temp\OnboardLogs"\RTDC4018\*4018*201701010* &gt;&gt; 42735-slicedisagreementcheck.txt</v>
      </c>
      <c r="AE8" s="183" t="str">
        <f t="shared" si="8"/>
        <v>start /low /b %USERPROFILE%\Documents\GitHub\eaglep3\Utilities\DownloadLogsFromS3.py --loco 4018 --day 2017-01-01</v>
      </c>
    </row>
    <row r="9" spans="1:31" s="1" customFormat="1" x14ac:dyDescent="0.25">
      <c r="A9" s="33">
        <v>42735.497199074074</v>
      </c>
      <c r="B9" s="31" t="s">
        <v>210</v>
      </c>
      <c r="C9" s="31" t="s">
        <v>443</v>
      </c>
      <c r="D9" s="31" t="s">
        <v>49</v>
      </c>
      <c r="E9" s="31" t="s">
        <v>243</v>
      </c>
      <c r="F9" s="44">
        <v>0</v>
      </c>
      <c r="G9" s="44">
        <v>267</v>
      </c>
      <c r="H9" s="44">
        <v>33439</v>
      </c>
      <c r="I9" s="44">
        <v>32968</v>
      </c>
      <c r="J9" s="31" t="s">
        <v>244</v>
      </c>
      <c r="K9" s="44">
        <v>33257</v>
      </c>
      <c r="L9" s="150" t="s">
        <v>51</v>
      </c>
      <c r="M9" s="151">
        <f t="shared" si="0"/>
        <v>-152.59200000000001</v>
      </c>
      <c r="N9" s="152" t="str">
        <f>VLOOKUP(C9,'Trips&amp;Operators'!$C$1:$G$99999,5,FALSE)</f>
        <v>ADANE ELSHADAY</v>
      </c>
      <c r="O9" s="179" t="s">
        <v>195</v>
      </c>
      <c r="P9" s="153" t="s">
        <v>841</v>
      </c>
      <c r="Q9" s="31"/>
      <c r="R9" s="96" t="str">
        <f>VLOOKUP(C9,'Train Runs'!$A$13:$AE$9964,31,0)</f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S9" s="99" t="str">
        <f>VLOOKUP(C9,'Train Runs'!$A$13:$AE$9964,22,0)</f>
        <v>https://search-rtdc-monitor-bjffxe2xuh6vdkpspy63sjmuny.us-east-1.es.amazonaws.com/_plugin/kibana/#/discover/Steve-Slow-Train-Analysis-(2080s-and-2083s)?_g=(refreshInterval:(display:Off,section:0,value:0),time:(from:'2016-12-31 10:07:51-700',mode:absolute,to:'2016-12-31 13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9" s="101" t="str">
        <f t="shared" si="1"/>
        <v>"C:\Program Files (x86)\AstroGrep\AstroGrep.exe" /spath="%USERPROFILE%\AppData\Local\Temp\OnboardLogs" /stypes="*4012*201612311*" /stext=" 18:.+((SYSTEM_STATE.+slice.+state.+changed )|(ment ac)|(multiple cpu faults)|(system.+state.+changed )|(\[timeout)|(PRM\|1\|D)|(kpr)|(kdp)|(\|lc)|(penalty))" /e /r /s</v>
      </c>
      <c r="U9" s="9" t="str">
        <f t="shared" si="2"/>
        <v>4012</v>
      </c>
      <c r="V9" s="33">
        <f t="shared" si="3"/>
        <v>42735.788865740738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arrival","project_id":79,"tracker_id":40,"status_id":1,"priority_id":2,"assigned_to_id":23,"start_date":"2016-12-31","description":"","custom_fields":[{"id":1,"name":"Subdivision","value":"EC"},{"id":4,"name":"Milepost","value":"3.3257"},{"id":17,"name":"Train ID","value":"156-31"},{"id":16,"name":"Locomotive ID","value":"4012"},{"id":130,"name":"Impact","value":""},{"id":150,"name":"Time of Event (Mountain Time)","value":"11:55:58"},{"id":151,"name":"Denver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"%USERPROFILE%\AppData\Local\Temp\OnboardLogs"\RTDC4012\*4012*201612311*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"%USERPROFILE%\AppData\Local\Temp\OnboardLogs"\RTDC4012\*4012*201612311* &gt;&gt; 42735-slicedisagreementcheck.txt</v>
      </c>
      <c r="AE9" s="183" t="str">
        <f t="shared" si="8"/>
        <v>start /low /b %USERPROFILE%\Documents\GitHub\eaglep3\Utilities\DownloadLogsFromS3.py --loco 4012 --day 2016-12-31</v>
      </c>
    </row>
    <row r="10" spans="1:31" s="1" customFormat="1" x14ac:dyDescent="0.25">
      <c r="A10" s="33">
        <v>42735.213750000003</v>
      </c>
      <c r="B10" s="31" t="s">
        <v>262</v>
      </c>
      <c r="C10" s="31" t="s">
        <v>438</v>
      </c>
      <c r="D10" s="31" t="s">
        <v>49</v>
      </c>
      <c r="E10" s="31" t="s">
        <v>243</v>
      </c>
      <c r="F10" s="44">
        <v>550</v>
      </c>
      <c r="G10" s="44">
        <v>617</v>
      </c>
      <c r="H10" s="44">
        <v>49395</v>
      </c>
      <c r="I10" s="44">
        <v>47129</v>
      </c>
      <c r="J10" s="31" t="s">
        <v>244</v>
      </c>
      <c r="K10" s="44">
        <v>48048</v>
      </c>
      <c r="L10" s="150" t="s">
        <v>51</v>
      </c>
      <c r="M10" s="151">
        <f t="shared" si="0"/>
        <v>-485.23200000000003</v>
      </c>
      <c r="N10" s="152" t="str">
        <f>VLOOKUP(C10,'Trips&amp;Operators'!$C$1:$G$99999,5,FALSE)</f>
        <v>ROBINSON KADDIBA</v>
      </c>
      <c r="O10" s="179" t="s">
        <v>195</v>
      </c>
      <c r="P10" s="153" t="s">
        <v>841</v>
      </c>
      <c r="Q10" s="31"/>
      <c r="R10" s="96" t="str">
        <f>VLOOKUP(C10,'Train Runs'!$A$13:$AE$9964,31,0)</f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S10" s="99" t="str">
        <f>VLOOKUP(C10,'Train Runs'!$A$13:$AE$9964,22,0)</f>
        <v>https://search-rtdc-monitor-bjffxe2xuh6vdkpspy63sjmuny.us-east-1.es.amazonaws.com/_plugin/kibana/#/discover/Steve-Slow-Train-Analysis-(2080s-and-2083s)?_g=(refreshInterval:(display:Off,section:0,value:0),time:(from:'2016-12-31 03:29:15-700',mode:absolute,to:'2016-12-31 06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0" s="101" t="str">
        <f t="shared" si="1"/>
        <v>"C:\Program Files (x86)\AstroGrep\AstroGrep.exe" /spath="%USERPROFILE%\AppData\Local\Temp\OnboardLogs" /stypes="*4004*201612311*" /stext=" 12:.+((SYSTEM_STATE.+slice.+state.+changed )|(ment ac)|(multiple cpu faults)|(system.+state.+changed )|(\[timeout)|(PRM\|1\|D)|(kpr)|(kdp)|(\|lc)|(penalty))" /e /r /s</v>
      </c>
      <c r="U10" s="9" t="str">
        <f t="shared" si="2"/>
        <v>4004</v>
      </c>
      <c r="V10" s="33">
        <f t="shared" si="3"/>
        <v>42735.505416666667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arrival","project_id":79,"tracker_id":40,"status_id":1,"priority_id":2,"assigned_to_id":23,"start_date":"2016-12-31","description":"","custom_fields":[{"id":1,"name":"Subdivision","value":"EC"},{"id":4,"name":"Milepost","value":"4.8048"},{"id":17,"name":"Train ID","value":"104-31"},{"id":16,"name":"Locomotive ID","value":"4004"},{"id":130,"name":"Impact","value":""},{"id":150,"name":"Time of Event (Mountain Time)","value":"05:07:48"},{"id":151,"name":"Denver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"%USERPROFILE%\AppData\Local\Temp\OnboardLogs"\RTDC4004\*4004*201612311*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"%USERPROFILE%\AppData\Local\Temp\OnboardLogs"\RTDC4004\*4004*201612311* &gt;&gt; 42735-slicedisagreementcheck.txt</v>
      </c>
      <c r="AE10" s="183" t="str">
        <f t="shared" si="8"/>
        <v>start /low /b %USERPROFILE%\Documents\GitHub\eaglep3\Utilities\DownloadLogsFromS3.py --loco 4004 --day 2016-12-31</v>
      </c>
    </row>
    <row r="11" spans="1:31" s="1" customFormat="1" x14ac:dyDescent="0.25">
      <c r="A11" s="33">
        <v>42735.519270833334</v>
      </c>
      <c r="B11" s="31" t="s">
        <v>262</v>
      </c>
      <c r="C11" s="31" t="s">
        <v>444</v>
      </c>
      <c r="D11" s="31" t="s">
        <v>49</v>
      </c>
      <c r="E11" s="31" t="s">
        <v>196</v>
      </c>
      <c r="F11" s="44">
        <v>300</v>
      </c>
      <c r="G11" s="44">
        <v>401</v>
      </c>
      <c r="H11" s="44">
        <v>22632</v>
      </c>
      <c r="I11" s="44">
        <v>21509</v>
      </c>
      <c r="J11" s="31" t="s">
        <v>197</v>
      </c>
      <c r="K11" s="44">
        <v>21848</v>
      </c>
      <c r="L11" s="150" t="s">
        <v>51</v>
      </c>
      <c r="M11" s="151">
        <f t="shared" si="0"/>
        <v>-178.99199999999999</v>
      </c>
      <c r="N11" s="152" t="str">
        <f>VLOOKUP(C11,'Trips&amp;Operators'!$C$1:$G$99999,5,FALSE)</f>
        <v>STEWART MICHAEL</v>
      </c>
      <c r="O11" s="179" t="s">
        <v>195</v>
      </c>
      <c r="P11" s="153"/>
      <c r="Q11" s="31"/>
      <c r="R11" s="96" t="str">
        <f>VLOOKUP(C11,'Train Runs'!$A$13:$AE$9964,31,0)</f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S11" s="99" t="str">
        <f>VLOOKUP(C11,'Train Runs'!$A$13:$AE$9964,22,0)</f>
        <v>https://search-rtdc-monitor-bjffxe2xuh6vdkpspy63sjmuny.us-east-1.es.amazonaws.com/_plugin/kibana/#/discover/Steve-Slow-Train-Analysis-(2080s-and-2083s)?_g=(refreshInterval:(display:Off,section:0,value:0),time:(from:'2016-12-31 10:49:43-700',mode:absolute,to:'2016-12-31 13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1" t="str">
        <f t="shared" si="1"/>
        <v>"C:\Program Files (x86)\AstroGrep\AstroGrep.exe" /spath="%USERPROFILE%\AppData\Local\Temp\OnboardLogs" /stypes="*4004*201612311*" /stext=" 19:.+((SYSTEM_STATE.+slice.+state.+changed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3">
        <f t="shared" si="3"/>
        <v>42735.810937499999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{"issue":{"subject":"","project_id":79,"tracker_id":40,"status_id":1,"priority_id":2,"assigned_to_id":23,"start_date":"2016-12-31","description":"","custom_fields":[{"id":1,"name":"Subdivision","value":"EC"},{"id":4,"name":"Milepost","value":"2.1848"},{"id":17,"name":"Train ID","value":"160-31"},{"id":16,"name":"Locomotive ID","value":"4004"},{"id":130,"name":"Impact","value":""},{"id":150,"name":"Time of Event (Mountain Time)","value":"12:27:45"},{"id":151,"name":"Denver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"%USERPROFILE%\AppData\Local\Temp\OnboardLogs"\RTDC4004\*4004*201612311*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"%USERPROFILE%\AppData\Local\Temp\OnboardLogs"\RTDC4004\*4004*201612311* &gt;&gt; 42735-slicedisagreementcheck.txt</v>
      </c>
      <c r="AE11" s="183" t="str">
        <f t="shared" si="8"/>
        <v>start /low /b %USERPROFILE%\Documents\GitHub\eaglep3\Utilities\DownloadLogsFromS3.py --loco 4004 --day 2016-12-31</v>
      </c>
    </row>
    <row r="12" spans="1:31" s="1" customFormat="1" x14ac:dyDescent="0.25">
      <c r="A12" s="33">
        <v>42735.550833333335</v>
      </c>
      <c r="B12" s="31" t="s">
        <v>312</v>
      </c>
      <c r="C12" s="31" t="s">
        <v>446</v>
      </c>
      <c r="D12" s="31" t="s">
        <v>49</v>
      </c>
      <c r="E12" s="31" t="s">
        <v>196</v>
      </c>
      <c r="F12" s="44">
        <v>300</v>
      </c>
      <c r="G12" s="44">
        <v>424</v>
      </c>
      <c r="H12" s="44">
        <v>23450</v>
      </c>
      <c r="I12" s="44">
        <v>22025</v>
      </c>
      <c r="J12" s="31" t="s">
        <v>197</v>
      </c>
      <c r="K12" s="44">
        <v>21848</v>
      </c>
      <c r="L12" s="150" t="s">
        <v>51</v>
      </c>
      <c r="M12" s="151">
        <f t="shared" si="0"/>
        <v>93.456000000000003</v>
      </c>
      <c r="N12" s="152" t="str">
        <f>VLOOKUP(C12,'Trips&amp;Operators'!$C$1:$G$99999,5,FALSE)</f>
        <v>KILLION DAVID</v>
      </c>
      <c r="O12" s="179" t="s">
        <v>195</v>
      </c>
      <c r="P12" s="153"/>
      <c r="Q12" s="31"/>
      <c r="R12" s="96" t="str">
        <f>VLOOKUP(C12,'Train Runs'!$A$13:$AE$9964,31,0)</f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S12" s="99" t="str">
        <f>VLOOKUP(C12,'Train Runs'!$A$13:$AE$9964,22,0)</f>
        <v>https://search-rtdc-monitor-bjffxe2xuh6vdkpspy63sjmuny.us-east-1.es.amazonaws.com/_plugin/kibana/#/discover/Steve-Slow-Train-Analysis-(2080s-and-2083s)?_g=(refreshInterval:(display:Off,section:0,value:0),time:(from:'2016-12-31 11:31:45-700',mode:absolute,to:'2016-12-31 14:21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2" s="101" t="str">
        <f t="shared" si="1"/>
        <v>"C:\Program Files (x86)\AstroGrep\AstroGrep.exe" /spath="%USERPROFILE%\AppData\Local\Temp\OnboardLogs" /stypes="*4026*201612312*" /stext=" 20:.+((SYSTEM_STATE.+slice.+state.+changed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3">
        <f t="shared" si="3"/>
        <v>42735.842499999999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{"issue":{"subject":"","project_id":79,"tracker_id":40,"status_id":1,"priority_id":2,"assigned_to_id":23,"start_date":"2016-12-31","description":"","custom_fields":[{"id":1,"name":"Subdivision","value":"EC"},{"id":4,"name":"Milepost","value":"2.1848"},{"id":17,"name":"Train ID","value":"166-31"},{"id":16,"name":"Locomotive ID","value":"4026"},{"id":130,"name":"Impact","value":""},{"id":150,"name":"Time of Event (Mountain Time)","value":"13:13:12"},{"id":151,"name":"Denver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"%USERPROFILE%\AppData\Local\Temp\OnboardLogs"\RTDC4026\*4026*201612312*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"%USERPROFILE%\AppData\Local\Temp\OnboardLogs"\RTDC4026\*4026*201612312* &gt;&gt; 42735-slicedisagreementcheck.txt</v>
      </c>
      <c r="AE12" s="183" t="str">
        <f t="shared" si="8"/>
        <v>start /low /b %USERPROFILE%\Documents\GitHub\eaglep3\Utilities\DownloadLogsFromS3.py --loco 4026 --day 2016-12-31</v>
      </c>
    </row>
    <row r="13" spans="1:31" s="1" customFormat="1" x14ac:dyDescent="0.25">
      <c r="A13" s="33">
        <v>42735.926944444444</v>
      </c>
      <c r="B13" s="31" t="s">
        <v>346</v>
      </c>
      <c r="C13" s="31" t="s">
        <v>460</v>
      </c>
      <c r="D13" s="31" t="s">
        <v>49</v>
      </c>
      <c r="E13" s="31" t="s">
        <v>196</v>
      </c>
      <c r="F13" s="44">
        <v>400</v>
      </c>
      <c r="G13" s="44">
        <v>486</v>
      </c>
      <c r="H13" s="44">
        <v>121227</v>
      </c>
      <c r="I13" s="44">
        <v>119840</v>
      </c>
      <c r="J13" s="31" t="s">
        <v>197</v>
      </c>
      <c r="K13" s="44">
        <v>119716</v>
      </c>
      <c r="L13" s="150" t="s">
        <v>51</v>
      </c>
      <c r="M13" s="151">
        <f t="shared" si="0"/>
        <v>65.471999999999994</v>
      </c>
      <c r="N13" s="152" t="str">
        <f>VLOOKUP(C13,'Trips&amp;Operators'!$C$1:$G$99999,5,FALSE)</f>
        <v>BROWN JACOB</v>
      </c>
      <c r="O13" s="179" t="s">
        <v>195</v>
      </c>
      <c r="P13" s="153"/>
      <c r="Q13" s="31"/>
      <c r="R13" s="96" t="str">
        <f>VLOOKUP(C13,'Train Runs'!$A$13:$AE$9964,31,0)</f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S13" s="99" t="str">
        <f>VLOOKUP(C13,'Train Runs'!$A$13:$AE$9964,22,0)</f>
        <v>https://search-rtdc-monitor-bjffxe2xuh6vdkpspy63sjmuny.us-east-1.es.amazonaws.com/_plugin/kibana/#/discover/Steve-Slow-Train-Analysis-(2080s-and-2083s)?_g=(refreshInterval:(display:Off,section:0,value:0),time:(from:'2016-12-31 20:50:51-700',mode:absolute,to:'2016-12-31 23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3" s="101" t="str">
        <f t="shared" si="1"/>
        <v>"C:\Program Files (x86)\AstroGrep\AstroGrep.exe" /spath="%USERPROFILE%\AppData\Local\Temp\OnboardLogs" /stypes="*4019*201701010*" /stext=" 05:.+((SYSTEM_STATE.+slice.+state.+changed )|(ment ac)|(multiple cpu faults)|(system.+state.+changed )|(\[timeout)|(PRM\|1\|D)|(kpr)|(kdp)|(\|lc)|(penalty))" /e /r /s</v>
      </c>
      <c r="U13" s="9" t="str">
        <f t="shared" si="2"/>
        <v>4019</v>
      </c>
      <c r="V13" s="33">
        <f t="shared" si="3"/>
        <v>42736.218611111108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{"issue":{"subject":"","project_id":79,"tracker_id":40,"status_id":1,"priority_id":2,"assigned_to_id":23,"start_date":"2016-12-31","description":"","custom_fields":[{"id":1,"name":"Subdivision","value":"EC"},{"id":4,"name":"Milepost","value":"11.9716"},{"id":17,"name":"Train ID","value":"230-31"},{"id":16,"name":"Locomotive ID","value":"4019"},{"id":130,"name":"Impact","value":""},{"id":150,"name":"Time of Event (Mountain Time)","value":"22:14:48"},{"id":151,"name":"Denver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"%USERPROFILE%\AppData\Local\Temp\OnboardLogs"\RTDC4019\*4019*201701010*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"%USERPROFILE%\AppData\Local\Temp\OnboardLogs"\RTDC4019\*4019*201701010* &gt;&gt; 42735-slicedisagreementcheck.txt</v>
      </c>
      <c r="AE13" s="183" t="str">
        <f t="shared" si="8"/>
        <v>start /low /b %USERPROFILE%\Documents\GitHub\eaglep3\Utilities\DownloadLogsFromS3.py --loco 4019 --day 2017-01-01</v>
      </c>
    </row>
    <row r="14" spans="1:31" s="1" customFormat="1" x14ac:dyDescent="0.25">
      <c r="A14" s="33">
        <v>42735.566770833335</v>
      </c>
      <c r="B14" s="31" t="s">
        <v>240</v>
      </c>
      <c r="C14" s="31" t="s">
        <v>447</v>
      </c>
      <c r="D14" s="31" t="s">
        <v>49</v>
      </c>
      <c r="E14" s="31" t="s">
        <v>196</v>
      </c>
      <c r="F14" s="44">
        <v>350</v>
      </c>
      <c r="G14" s="44">
        <v>491</v>
      </c>
      <c r="H14" s="44">
        <v>223063</v>
      </c>
      <c r="I14" s="44">
        <v>224475</v>
      </c>
      <c r="J14" s="31" t="s">
        <v>197</v>
      </c>
      <c r="K14" s="44">
        <v>224578</v>
      </c>
      <c r="L14" s="150" t="s">
        <v>50</v>
      </c>
      <c r="M14" s="151">
        <f t="shared" si="0"/>
        <v>54.384</v>
      </c>
      <c r="N14" s="152" t="str">
        <f>VLOOKUP(C14,'Trips&amp;Operators'!$C$1:$G$99999,5,FALSE)</f>
        <v>DAVIS MICHAEL</v>
      </c>
      <c r="O14" s="179" t="s">
        <v>195</v>
      </c>
      <c r="P14" s="153"/>
      <c r="Q14" s="31"/>
      <c r="R14" s="96" t="str">
        <f>VLOOKUP(C14,'Train Runs'!$A$13:$AE$9964,31,0)</f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S14" s="99" t="str">
        <f>VLOOKUP(C14,'Train Runs'!$A$13:$AE$9964,22,0)</f>
        <v>https://search-rtdc-monitor-bjffxe2xuh6vdkpspy63sjmuny.us-east-1.es.amazonaws.com/_plugin/kibana/#/discover/Steve-Slow-Train-Analysis-(2080s-and-2083s)?_g=(refreshInterval:(display:Off,section:0,value:0),time:(from:'2016-12-31 11:55:30-700',mode:absolute,to:'2016-12-31 14:40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4" s="101" t="str">
        <f t="shared" si="1"/>
        <v>"C:\Program Files (x86)\AstroGrep\AstroGrep.exe" /spath="%USERPROFILE%\AppData\Local\Temp\OnboardLogs" /stypes="*4016*201612312*" /stext=" 20:.+((SYSTEM_STATE.+slice.+state.+changed )|(ment ac)|(multiple cpu faults)|(system.+state.+changed )|(\[timeout)|(PRM\|1\|D)|(kpr)|(kdp)|(\|lc)|(penalty))" /e /r /s</v>
      </c>
      <c r="U14" s="9" t="str">
        <f t="shared" si="2"/>
        <v>4016</v>
      </c>
      <c r="V14" s="33">
        <f t="shared" si="3"/>
        <v>42735.858437499999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{"issue":{"subject":"","project_id":79,"tracker_id":40,"status_id":1,"priority_id":2,"assigned_to_id":23,"start_date":"2016-12-31","description":"","custom_fields":[{"id":1,"name":"Subdivision","value":"EC"},{"id":4,"name":"Milepost","value":"22.4578"},{"id":17,"name":"Train ID","value":"175-31"},{"id":16,"name":"Locomotive ID","value":"4016"},{"id":130,"name":"Impact","value":""},{"id":150,"name":"Time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"%USERPROFILE%\AppData\Local\Temp\OnboardLogs"\RTDC4016\*4016*201612312*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"%USERPROFILE%\AppData\Local\Temp\OnboardLogs"\RTDC4016\*4016*201612312* &gt;&gt; 42735-slicedisagreementcheck.txt</v>
      </c>
      <c r="AE14" s="183" t="str">
        <f t="shared" si="8"/>
        <v>start /low /b %USERPROFILE%\Documents\GitHub\eaglep3\Utilities\DownloadLogsFromS3.py --loco 4016 --day 2016-12-31</v>
      </c>
    </row>
    <row r="15" spans="1:31" s="1" customFormat="1" x14ac:dyDescent="0.25">
      <c r="A15" s="33">
        <v>42735.42527777778</v>
      </c>
      <c r="B15" s="31" t="s">
        <v>262</v>
      </c>
      <c r="C15" s="31" t="s">
        <v>442</v>
      </c>
      <c r="D15" s="31" t="s">
        <v>98</v>
      </c>
      <c r="E15" s="31" t="s">
        <v>196</v>
      </c>
      <c r="F15" s="44">
        <v>350</v>
      </c>
      <c r="G15" s="44">
        <v>405</v>
      </c>
      <c r="H15" s="44">
        <v>229787</v>
      </c>
      <c r="I15" s="44">
        <v>228776</v>
      </c>
      <c r="J15" s="31" t="s">
        <v>197</v>
      </c>
      <c r="K15" s="44">
        <v>232107</v>
      </c>
      <c r="L15" s="150" t="s">
        <v>51</v>
      </c>
      <c r="M15" s="151">
        <f t="shared" si="0"/>
        <v>-1758.768</v>
      </c>
      <c r="N15" s="152" t="str">
        <f>VLOOKUP(C15,'Trips&amp;Operators'!$C$1:$G$99999,5,FALSE)</f>
        <v>ROBINSON KADDIBA</v>
      </c>
      <c r="O15" s="179" t="s">
        <v>195</v>
      </c>
      <c r="P15" s="153"/>
      <c r="Q15" s="31"/>
      <c r="R15" s="96" t="str">
        <f>VLOOKUP(C15,'Train Runs'!$A$13:$AE$9964,31,0)</f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S15" s="99" t="str">
        <f>VLOOKUP(C15,'Train Runs'!$A$13:$AE$9964,22,0)</f>
        <v>https://search-rtdc-monitor-bjffxe2xuh6vdkpspy63sjmuny.us-east-1.es.amazonaws.com/_plugin/kibana/#/discover/Steve-Slow-Train-Analysis-(2080s-and-2083s)?_g=(refreshInterval:(display:Off,section:0,value:0),time:(from:'2016-12-31 09:06:44-700',mode:absolute,to:'2016-12-31 11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5" s="101" t="str">
        <f t="shared" si="1"/>
        <v>"C:\Program Files (x86)\AstroGrep\AstroGrep.exe" /spath="%USERPROFILE%\AppData\Local\Temp\OnboardLogs" /stypes="*4004*201612311*" /stext=" 17:.+((SYSTEM_STATE.+slice.+state.+changed )|(ment ac)|(multiple cpu faults)|(system.+state.+changed )|(\[timeout)|(PRM\|1\|D)|(kpr)|(kdp)|(\|lc)|(penalty))" /e /r /s</v>
      </c>
      <c r="U15" s="9" t="str">
        <f t="shared" si="2"/>
        <v>4004</v>
      </c>
      <c r="V15" s="33">
        <f t="shared" si="3"/>
        <v>42735.716944444444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{"issue":{"subject":"","project_id":79,"tracker_id":40,"status_id":1,"priority_id":2,"assigned_to_id":23,"start_date":"2016-12-31","description":"","custom_fields":[{"id":1,"name":"Subdivision","value":"EC"},{"id":4,"name":"Milepost","value":"23.2107"},{"id":17,"name":"Train ID","value":"146-31"},{"id":16,"name":"Locomotive ID","value":"4004"},{"id":130,"name":"Impact","value":""},{"id":150,"name":"Time of Event (Mountain Time)","value":"10:12:24"},{"id":151,"name":"Denver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"%USERPROFILE%\AppData\Local\Temp\OnboardLogs"\RTDC4004\*4004*201612311*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"%USERPROFILE%\AppData\Local\Temp\OnboardLogs"\RTDC4004\*4004*201612311* &gt;&gt; 42735-slicedisagreementcheck.txt</v>
      </c>
      <c r="AE15" s="183" t="str">
        <f t="shared" si="8"/>
        <v>start /low /b %USERPROFILE%\Documents\GitHub\eaglep3\Utilities\DownloadLogsFromS3.py --loco 4004 --day 2016-12-31</v>
      </c>
    </row>
    <row r="16" spans="1:31" s="1" customFormat="1" x14ac:dyDescent="0.25">
      <c r="A16" s="33">
        <v>42735.585636574076</v>
      </c>
      <c r="B16" s="31" t="s">
        <v>311</v>
      </c>
      <c r="C16" s="31" t="s">
        <v>448</v>
      </c>
      <c r="D16" s="31" t="s">
        <v>49</v>
      </c>
      <c r="E16" s="31" t="s">
        <v>449</v>
      </c>
      <c r="F16" s="44">
        <v>0</v>
      </c>
      <c r="G16" s="44">
        <v>708</v>
      </c>
      <c r="H16" s="44">
        <v>213096</v>
      </c>
      <c r="I16" s="44">
        <v>216318</v>
      </c>
      <c r="J16" s="31" t="s">
        <v>450</v>
      </c>
      <c r="K16" s="44">
        <v>217106</v>
      </c>
      <c r="L16" s="150" t="s">
        <v>50</v>
      </c>
      <c r="M16" s="151">
        <f t="shared" si="0"/>
        <v>416.06400000000002</v>
      </c>
      <c r="N16" s="152" t="str">
        <f>VLOOKUP(C16,'Trips&amp;Operators'!$C$1:$G$99999,5,FALSE)</f>
        <v>KILLION DAVID</v>
      </c>
      <c r="O16" s="179" t="s">
        <v>227</v>
      </c>
      <c r="P16" s="153" t="s">
        <v>343</v>
      </c>
      <c r="Q16" s="31"/>
      <c r="R16" s="96" t="str">
        <f>VLOOKUP(C16,'Train Runs'!$A$13:$AE$9964,31,0)</f>
        <v>aws s3 cp s3://rtdc.mdm.uploadarchive.raw/RTDC4025/ "%USERPROFILE%\AppData\Local\Temp\OnboardLogs"\RTDC4025\2016-12-31 --exclude "*" --recursive --include "*20161231*" &amp; "%USERPROFILE%\Documents\GitHub\mrs-test-scripts\Headless Mode &amp; Sideloading\WalkAndUnGZ.bat" "%USERPROFILE%\AppData\Local\Temp\OnboardLogs"\RTDC4025\2016-12-31 &amp; aws s3 cp s3://rtdc.mdm.uploadarchive.raw/RTDC4025/ "%USERPROFILE%\AppData\Local\Temp\OnboardLogs"\RTDC4025\2017-01-01 --exclude "*" --recursive --include "*20170101*" &amp; "%USERPROFILE%\Documents\GitHub\mrs-test-scripts\Headless Mode &amp; Sideloading\WalkAndUnGZ.bat" "%USERPROFILE%\AppData\Local\Temp\OnboardLogs"\RTDC4025\2017-01-01</v>
      </c>
      <c r="S16" s="99" t="str">
        <f>VLOOKUP(C16,'Train Runs'!$A$13:$AE$9964,22,0)</f>
        <v>https://search-rtdc-monitor-bjffxe2xuh6vdkpspy63sjmuny.us-east-1.es.amazonaws.com/_plugin/kibana/#/discover/Steve-Slow-Train-Analysis-(2080s-and-2083s)?_g=(refreshInterval:(display:Off,section:0,value:0),time:(from:'2016-12-31 12:24:19-700',mode:absolute,to:'2016-12-31 15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6" s="101" t="str">
        <f t="shared" si="1"/>
        <v>"C:\Program Files (x86)\AstroGrep\AstroGrep.exe" /spath="%USERPROFILE%\AppData\Local\Temp\OnboardLogs" /stypes="*4025*201612312*" /stext=" 21:.+((SYSTEM_STATE.+slice.+state.+changed )|(ment ac)|(multiple cpu faults)|(system.+state.+changed )|(\[timeout)|(PRM\|1\|D)|(kpr)|(kdp)|(\|lc)|(penalty))" /e /r /s</v>
      </c>
      <c r="U16" s="9" t="str">
        <f t="shared" si="2"/>
        <v>4025</v>
      </c>
      <c r="V16" s="33">
        <f t="shared" si="3"/>
        <v>42735.877303240741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{"issue":{"subject":"Wi-MAX data drop","project_id":79,"tracker_id":40,"status_id":1,"priority_id":2,"assigned_to_id":23,"start_date":"2016-12-31","description":"","custom_fields":[{"id":1,"name":"Subdivision","value":"EC"},{"id":4,"name":"Milepost","value":"21.7106"},{"id":17,"name":"Train ID","value":"179-31"},{"id":16,"name":"Locomotive ID","value":"4025"},{"id":130,"name":"Impact","value":""},{"id":150,"name":"Time of Event (Mountain Time)","value":"14:03:19"},{"id":151,"name":"Denver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"%USERPROFILE%\AppData\Local\Temp\OnboardLogs"\RTDC4025\*4025*201612312*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"%USERPROFILE%\AppData\Local\Temp\OnboardLogs"\RTDC4025\*4025*201612312* &gt;&gt; 42735-slicedisagreementcheck.txt</v>
      </c>
      <c r="AE16" s="183" t="str">
        <f t="shared" si="8"/>
        <v>start /low /b %USERPROFILE%\Documents\GitHub\eaglep3\Utilities\DownloadLogsFromS3.py --loco 4025 --day 2016-12-31</v>
      </c>
    </row>
    <row r="17" spans="1:32" s="1" customFormat="1" x14ac:dyDescent="0.25">
      <c r="A17" s="33">
        <v>42736.031226851854</v>
      </c>
      <c r="B17" s="31" t="s">
        <v>466</v>
      </c>
      <c r="C17" s="31" t="s">
        <v>467</v>
      </c>
      <c r="D17" s="31" t="s">
        <v>49</v>
      </c>
      <c r="E17" s="31" t="s">
        <v>375</v>
      </c>
      <c r="F17" s="44">
        <v>150</v>
      </c>
      <c r="G17" s="44">
        <v>385</v>
      </c>
      <c r="H17" s="44">
        <v>60866</v>
      </c>
      <c r="I17" s="44">
        <v>62080</v>
      </c>
      <c r="J17" s="31" t="s">
        <v>244</v>
      </c>
      <c r="K17" s="44">
        <v>62999</v>
      </c>
      <c r="L17" s="150" t="s">
        <v>50</v>
      </c>
      <c r="M17" s="151">
        <f t="shared" si="0"/>
        <v>485.23200000000003</v>
      </c>
      <c r="N17" s="152" t="str">
        <f>VLOOKUP(C17,'Trips&amp;Operators'!$C$1:$G$99999,5,FALSE)</f>
        <v>HILLS DUSTIN</v>
      </c>
      <c r="O17" s="179" t="s">
        <v>195</v>
      </c>
      <c r="P17" s="153"/>
      <c r="Q17" s="31"/>
      <c r="R17" s="96" t="str">
        <f>VLOOKUP(C17,'Train Runs'!$A$13:$AE$9964,31,0)</f>
        <v>aws s3 cp s3://rtdc.mdm.uploadarchive.raw/RTDC4031/ "%USERPROFILE%\AppData\Local\Temp\OnboardLogs"\RTDC4031\2017-01-01 --exclude "*" --recursive --include "*20170101*" &amp; "%USERPROFILE%\Documents\GitHub\mrs-test-scripts\Headless Mode &amp; Sideloading\WalkAndUnGZ.bat" "%USERPROFILE%\AppData\Local\Temp\OnboardLogs"\RTDC4031\2017-01-01 &amp; 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</v>
      </c>
      <c r="S17" s="99" t="str">
        <f>VLOOKUP(C17,'Train Runs'!$A$13:$AE$9964,22,0)</f>
        <v>https://search-rtdc-monitor-bjffxe2xuh6vdkpspy63sjmuny.us-east-1.es.amazonaws.com/_plugin/kibana/#/discover/Steve-Slow-Train-Analysis-(2080s-and-2083s)?_g=(refreshInterval:(display:Off,section:0,value:0),time:(from:'2016-12-31 23:18:28-700',mode:absolute,to:'2017-01-01 02:10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7" s="101" t="str">
        <f t="shared" si="1"/>
        <v>"C:\Program Files (x86)\AstroGrep\AstroGrep.exe" /spath="%USERPROFILE%\AppData\Local\Temp\OnboardLogs" /stypes="*4031*201701010*" /stext=" 07:.+((SYSTEM_STATE.+slice.+state.+changed )|(ment ac)|(multiple cpu faults)|(system.+state.+changed )|(\[timeout)|(PRM\|1\|D)|(kpr)|(kdp)|(\|lc)|(penalty))" /e /r /s</v>
      </c>
      <c r="U17" s="9" t="str">
        <f t="shared" si="2"/>
        <v>4031</v>
      </c>
      <c r="V17" s="33">
        <f t="shared" si="3"/>
        <v>42736.322893518518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{"issue":{"subject":"","project_id":79,"tracker_id":40,"status_id":1,"priority_id":2,"assigned_to_id":23,"start_date":"2017-01-01","description":"","custom_fields":[{"id":1,"name":"Subdivision","value":"EC"},{"id":4,"name":"Milepost","value":"6.2999"},{"id":17,"name":"Train ID","value":"243-31"},{"id":16,"name":"Locomotive ID","value":"4031"},{"id":130,"name":"Impact","value":""},{"id":150,"name":"Time of Event (Mountain Time)","value":"00:44:58"},{"id":151,"name":"Denver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"%USERPROFILE%\AppData\Local\Temp\OnboardLogs"\RTDC4031\*4031*201701010*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"%USERPROFILE%\AppData\Local\Temp\OnboardLogs"\RTDC4031\*4031*201701010* &gt;&gt; 42735-slicedisagreementcheck.txt</v>
      </c>
      <c r="AE17" s="183" t="str">
        <f t="shared" si="8"/>
        <v>start /low /b %USERPROFILE%\Documents\GitHub\eaglep3\Utilities\DownloadLogsFromS3.py --loco 4031 --day 2017-01-01</v>
      </c>
    </row>
    <row r="18" spans="1:32" s="1" customFormat="1" x14ac:dyDescent="0.25">
      <c r="A18" s="33">
        <v>42735.889780092592</v>
      </c>
      <c r="B18" s="31" t="s">
        <v>275</v>
      </c>
      <c r="C18" s="31" t="s">
        <v>458</v>
      </c>
      <c r="D18" s="31" t="s">
        <v>98</v>
      </c>
      <c r="E18" s="31" t="s">
        <v>375</v>
      </c>
      <c r="F18" s="44">
        <v>150</v>
      </c>
      <c r="G18" s="44">
        <v>209</v>
      </c>
      <c r="H18" s="44">
        <v>62676</v>
      </c>
      <c r="I18" s="44">
        <v>62121</v>
      </c>
      <c r="J18" s="31" t="s">
        <v>244</v>
      </c>
      <c r="K18" s="44">
        <v>63300</v>
      </c>
      <c r="L18" s="150" t="s">
        <v>51</v>
      </c>
      <c r="M18" s="151">
        <f t="shared" si="0"/>
        <v>-622.51199999999994</v>
      </c>
      <c r="N18" s="152" t="str">
        <f>VLOOKUP(C18,'Trips&amp;Operators'!$C$1:$G$99999,5,FALSE)</f>
        <v>STAMBAUGH JAMES</v>
      </c>
      <c r="O18" s="179" t="s">
        <v>195</v>
      </c>
      <c r="P18" s="153"/>
      <c r="Q18" s="31"/>
      <c r="R18" s="96" t="str">
        <f>VLOOKUP(C18,'Train Runs'!$A$13:$AE$9964,31,0)</f>
        <v>aws s3 cp s3://rtdc.mdm.uploadarchive.raw/RTDC4028/ "%USERPROFILE%\AppData\Local\Temp\OnboardLogs"\RTDC4028\2016-12-31 --exclude "*" --recursive --include "*20161231*" &amp; "%USERPROFILE%\Documents\GitHub\mrs-test-scripts\Headless Mode &amp; Sideloading\WalkAndUnGZ.bat" "%USERPROFILE%\AppData\Local\Temp\OnboardLogs"\RTDC4028\2016-12-31 &amp; aws s3 cp s3://rtdc.mdm.uploadarchive.raw/RTDC4028/ "%USERPROFILE%\AppData\Local\Temp\OnboardLogs"\RTDC4028\2017-01-01 --exclude "*" --recursive --include "*20170101*" &amp; "%USERPROFILE%\Documents\GitHub\mrs-test-scripts\Headless Mode &amp; Sideloading\WalkAndUnGZ.bat" "%USERPROFILE%\AppData\Local\Temp\OnboardLogs"\RTDC4028\2017-01-01</v>
      </c>
      <c r="S18" s="99" t="str">
        <f>VLOOKUP(C18,'Train Runs'!$A$13:$AE$9964,22,0)</f>
        <v>https://search-rtdc-monitor-bjffxe2xuh6vdkpspy63sjmuny.us-east-1.es.amazonaws.com/_plugin/kibana/#/discover/Steve-Slow-Train-Analysis-(2080s-and-2083s)?_g=(refreshInterval:(display:Off,section:0,value:0),time:(from:'2016-12-31 19:52:40-700',mode:absolute,to:'2016-12-31 22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1" t="str">
        <f t="shared" si="1"/>
        <v>"C:\Program Files (x86)\AstroGrep\AstroGrep.exe" /spath="%USERPROFILE%\AppData\Local\Temp\OnboardLogs" /stypes="*4028*201701010*" /stext=" 04:.+((SYSTEM_STATE.+slice.+state.+changed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3">
        <f t="shared" si="3"/>
        <v>42736.181446759256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{"issue":{"subject":"","project_id":79,"tracker_id":40,"status_id":1,"priority_id":2,"assigned_to_id":23,"start_date":"2016-12-31","description":"","custom_fields":[{"id":1,"name":"Subdivision","value":"EC"},{"id":4,"name":"Milepost","value":"6.33"},{"id":17,"name":"Train ID","value":"226-31"},{"id":16,"name":"Locomotive ID","value":"4028"},{"id":130,"name":"Impact","value":""},{"id":150,"name":"Time of Event (Mountain Time)","value":"21:21:17"},{"id":151,"name":"Denver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"%USERPROFILE%\AppData\Local\Temp\OnboardLogs"\RTDC4028\*4028*201701010*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"%USERPROFILE%\AppData\Local\Temp\OnboardLogs"\RTDC4028\*4028*201701010* &gt;&gt; 42735-slicedisagreementcheck.txt</v>
      </c>
      <c r="AE18" s="183" t="str">
        <f t="shared" si="8"/>
        <v>start /low /b %USERPROFILE%\Documents\GitHub\eaglep3\Utilities\DownloadLogsFromS3.py --loco 4028 --day 2017-01-01</v>
      </c>
    </row>
    <row r="19" spans="1:32" s="1" customFormat="1" x14ac:dyDescent="0.25">
      <c r="A19" s="33">
        <v>42735.264618055553</v>
      </c>
      <c r="B19" s="31" t="s">
        <v>312</v>
      </c>
      <c r="C19" s="31" t="s">
        <v>439</v>
      </c>
      <c r="D19" s="31" t="s">
        <v>49</v>
      </c>
      <c r="E19" s="31" t="s">
        <v>200</v>
      </c>
      <c r="F19" s="44">
        <v>0</v>
      </c>
      <c r="G19" s="44">
        <v>59</v>
      </c>
      <c r="H19" s="44">
        <v>231</v>
      </c>
      <c r="I19" s="44">
        <v>116</v>
      </c>
      <c r="J19" s="31" t="s">
        <v>201</v>
      </c>
      <c r="K19" s="44">
        <v>1</v>
      </c>
      <c r="L19" s="150" t="s">
        <v>51</v>
      </c>
      <c r="M19" s="151">
        <f t="shared" si="0"/>
        <v>60.72</v>
      </c>
      <c r="N19" s="152" t="str">
        <f>VLOOKUP(C19,'Trips&amp;Operators'!$C$1:$G$99999,5,FALSE)</f>
        <v>OUN ZACK</v>
      </c>
      <c r="O19" s="179" t="s">
        <v>227</v>
      </c>
      <c r="P19" s="153" t="s">
        <v>344</v>
      </c>
      <c r="Q19" s="31"/>
      <c r="R19" s="96" t="str">
        <f>VLOOKUP(C19,'Train Runs'!$A$13:$AE$9964,31,0)</f>
        <v>aws s3 cp s3://rtdc.mdm.uploadarchive.raw/RTDC4026/ "%USERPROFILE%\AppData\Local\Temp\OnboardLogs"\RTDC4026\2016-12-31 --exclude "*" --recursive --include "*20161231*" &amp; "%USERPROFILE%\Documents\GitHub\mrs-test-scripts\Headless Mode &amp; Sideloading\WalkAndUnGZ.bat" "%USERPROFILE%\AppData\Local\Temp\OnboardLogs"\RTDC4026\2016-12-31 &amp; aws s3 cp s3://rtdc.mdm.uploadarchive.raw/RTDC4026/ "%USERPROFILE%\AppData\Local\Temp\OnboardLogs"\RTDC4026\2017-01-01 --exclude "*" --recursive --include "*20170101*" &amp; "%USERPROFILE%\Documents\GitHub\mrs-test-scripts\Headless Mode &amp; Sideloading\WalkAndUnGZ.bat" "%USERPROFILE%\AppData\Local\Temp\OnboardLogs"\RTDC4026\2017-01-01</v>
      </c>
      <c r="S19" s="99" t="str">
        <f>VLOOKUP(C19,'Train Runs'!$A$13:$AE$9964,22,0)</f>
        <v>https://search-rtdc-monitor-bjffxe2xuh6vdkpspy63sjmuny.us-east-1.es.amazonaws.com/_plugin/kibana/#/discover/Steve-Slow-Train-Analysis-(2080s-and-2083s)?_g=(refreshInterval:(display:Off,section:0,value:0),time:(from:'2016-12-31 04:33:47-700',mode:absolute,to:'2016-12-31 07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1" t="str">
        <f t="shared" si="1"/>
        <v>"C:\Program Files (x86)\AstroGrep\AstroGrep.exe" /spath="%USERPROFILE%\AppData\Local\Temp\OnboardLogs" /stypes="*4026*201612311*" /stext=" 13:.+((SYSTEM_STATE.+slice.+state.+changed )|(ment ac)|(multiple cpu faults)|(system.+state.+changed )|(\[timeout)|(PRM\|1\|D)|(kpr)|(kdp)|(\|lc)|(penalty))" /e /r /s</v>
      </c>
      <c r="U19" s="9" t="str">
        <f t="shared" si="2"/>
        <v>4026</v>
      </c>
      <c r="V19" s="33">
        <f t="shared" si="3"/>
        <v>42735.556284722217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{"issue":{"subject":"Banner without braking","project_id":79,"tracker_id":40,"status_id":1,"priority_id":2,"assigned_to_id":23,"start_date":"2016-12-31","description":"","custom_fields":[{"id":1,"name":"Subdivision","value":"EC"},{"id":4,"name":"Milepost","value":"0.0001"},{"id":17,"name":"Train ID","value":"110-31"},{"id":16,"name":"Locomotive ID","value":"4026"},{"id":130,"name":"Impact","value":""},{"id":150,"name":"Time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"%USERPROFILE%\AppData\Local\Temp\OnboardLogs"\RTDC4026\*4026*201612311*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"%USERPROFILE%\AppData\Local\Temp\OnboardLogs"\RTDC4026\*4026*201612311* &gt;&gt; 42735-slicedisagreementcheck.txt</v>
      </c>
      <c r="AE19" s="183" t="str">
        <f t="shared" si="8"/>
        <v>start /low /b %USERPROFILE%\Documents\GitHub\eaglep3\Utilities\DownloadLogsFromS3.py --loco 4026 --day 2016-12-31</v>
      </c>
    </row>
    <row r="20" spans="1:32" x14ac:dyDescent="0.25">
      <c r="A20" s="33">
        <v>42735.795439814814</v>
      </c>
      <c r="B20" s="31" t="s">
        <v>210</v>
      </c>
      <c r="C20" s="31" t="s">
        <v>453</v>
      </c>
      <c r="D20" s="31" t="s">
        <v>49</v>
      </c>
      <c r="E20" s="31" t="s">
        <v>200</v>
      </c>
      <c r="F20" s="44">
        <v>0</v>
      </c>
      <c r="G20" s="44">
        <v>44</v>
      </c>
      <c r="H20" s="44">
        <v>132</v>
      </c>
      <c r="I20" s="44">
        <v>105</v>
      </c>
      <c r="J20" s="31" t="s">
        <v>201</v>
      </c>
      <c r="K20" s="44">
        <v>1</v>
      </c>
      <c r="L20" s="150" t="s">
        <v>51</v>
      </c>
      <c r="M20" s="151">
        <f t="shared" si="0"/>
        <v>54.911999999999999</v>
      </c>
      <c r="N20" s="152" t="str">
        <f>VLOOKUP(C20,'Trips&amp;Operators'!$C$1:$G$99999,5,FALSE)</f>
        <v>ADANE ELSHADAY</v>
      </c>
      <c r="O20" s="179" t="s">
        <v>195</v>
      </c>
      <c r="P20" s="153"/>
      <c r="Q20" s="31"/>
      <c r="R20" s="96" t="str">
        <f>VLOOKUP(C20,'Train Runs'!$A$13:$AE$9964,31,0)</f>
        <v>aws s3 cp s3://rtdc.mdm.uploadarchive.raw/RTDC4012/ "%USERPROFILE%\AppData\Local\Temp\OnboardLogs"\RTDC4012\2016-12-31 --exclude "*" --recursive --include "*20161231*" &amp; "%USERPROFILE%\Documents\GitHub\mrs-test-scripts\Headless Mode &amp; Sideloading\WalkAndUnGZ.bat" "%USERPROFILE%\AppData\Local\Temp\OnboardLogs"\RTDC4012\2016-12-31 &amp; aws s3 cp s3://rtdc.mdm.uploadarchive.raw/RTDC4012/ "%USERPROFILE%\AppData\Local\Temp\OnboardLogs"\RTDC4012\2017-01-01 --exclude "*" --recursive --include "*20170101*" &amp; "%USERPROFILE%\Documents\GitHub\mrs-test-scripts\Headless Mode &amp; Sideloading\WalkAndUnGZ.bat" "%USERPROFILE%\AppData\Local\Temp\OnboardLogs"\RTDC4012\2017-01-01</v>
      </c>
      <c r="S20" s="99" t="str">
        <f>VLOOKUP(C20,'Train Runs'!$A$13:$AE$9964,22,0)</f>
        <v>https://search-rtdc-monitor-bjffxe2xuh6vdkpspy63sjmuny.us-east-1.es.amazonaws.com/_plugin/kibana/#/discover/Steve-Slow-Train-Analysis-(2080s-and-2083s)?_g=(refreshInterval:(display:Off,section:0,value:0),time:(from:'2016-12-31 17:09:50-700',mode:absolute,to:'2016-12-31 20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1" t="str">
        <f t="shared" si="1"/>
        <v>"C:\Program Files (x86)\AstroGrep\AstroGrep.exe" /spath="%USERPROFILE%\AppData\Local\Temp\OnboardLogs" /stypes="*4012*201701010*" /stext=" 02:.+((SYSTEM_STATE.+slice.+state.+changed )|(ment ac)|(multiple cpu faults)|(system.+state.+changed )|(\[timeout)|(PRM\|1\|D)|(kpr)|(kdp)|(\|lc)|(penalty))" /e /r /s</v>
      </c>
      <c r="U20" s="9" t="str">
        <f t="shared" si="2"/>
        <v>4012</v>
      </c>
      <c r="V20" s="33">
        <f t="shared" si="3"/>
        <v>42736.087106481478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ID","value":"212-31"},{"id":16,"name":"Locomotive ID","value":"4012"},{"id":130,"name":"Impact","value":""},{"id":150,"name":"Time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"%USERPROFILE%\AppData\Local\Temp\OnboardLogs"\RTDC4012\*4012*201701010*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"%USERPROFILE%\AppData\Local\Temp\OnboardLogs"\RTDC4012\*4012*201701010* &gt;&gt; 42735-slicedisagreementcheck.txt</v>
      </c>
      <c r="AE20" s="183" t="str">
        <f t="shared" si="8"/>
        <v>start /low /b %USERPROFILE%\Documents\GitHub\eaglep3\Utilities\DownloadLogsFromS3.py --loco 4012 --day 2017-01-01</v>
      </c>
      <c r="AF20" s="1"/>
    </row>
    <row r="21" spans="1:32" x14ac:dyDescent="0.25">
      <c r="A21" s="33">
        <v>42735.841099537036</v>
      </c>
      <c r="B21" s="31" t="s">
        <v>253</v>
      </c>
      <c r="C21" s="31" t="s">
        <v>455</v>
      </c>
      <c r="D21" s="31" t="s">
        <v>49</v>
      </c>
      <c r="E21" s="31" t="s">
        <v>200</v>
      </c>
      <c r="F21" s="44">
        <v>0</v>
      </c>
      <c r="G21" s="44">
        <v>33</v>
      </c>
      <c r="H21" s="44">
        <v>61</v>
      </c>
      <c r="I21" s="44">
        <v>43</v>
      </c>
      <c r="J21" s="31" t="s">
        <v>201</v>
      </c>
      <c r="K21" s="44">
        <v>1</v>
      </c>
      <c r="L21" s="150" t="s">
        <v>51</v>
      </c>
      <c r="M21" s="151">
        <f t="shared" si="0"/>
        <v>22.175999999999998</v>
      </c>
      <c r="N21" s="152" t="str">
        <f>VLOOKUP(C21,'Trips&amp;Operators'!$C$1:$G$99999,5,FALSE)</f>
        <v>HILLS DUSTIN</v>
      </c>
      <c r="O21" s="179" t="s">
        <v>195</v>
      </c>
      <c r="P21" s="153"/>
      <c r="Q21" s="31"/>
      <c r="R21" s="96" t="str">
        <f>VLOOKUP(C21,'Train Runs'!$A$13:$AE$9964,31,0)</f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S21" s="99" t="str">
        <f>VLOOKUP(C21,'Train Runs'!$A$13:$AE$9964,22,0)</f>
        <v>https://search-rtdc-monitor-bjffxe2xuh6vdkpspy63sjmuny.us-east-1.es.amazonaws.com/_plugin/kibana/#/discover/Steve-Slow-Train-Analysis-(2080s-and-2083s)?_g=(refreshInterval:(display:Off,section:0,value:0),time:(from:'2016-12-31 18:08:46-700',mode:absolute,to:'2016-12-31 21:11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1" t="str">
        <f t="shared" si="1"/>
        <v>"C:\Program Files (x86)\AstroGrep\AstroGrep.exe" /spath="%USERPROFILE%\AppData\Local\Temp\OnboardLogs" /stypes="*4045*201701010*" /stext=" 03:.+((SYSTEM_STATE.+slice.+state.+changed )|(ment ac)|(multiple cpu faults)|(system.+state.+changed )|(\[timeout)|(PRM\|1\|D)|(kpr)|(kdp)|(\|lc)|(penalty))" /e /r /s</v>
      </c>
      <c r="U21" s="9" t="str">
        <f t="shared" si="2"/>
        <v>4045</v>
      </c>
      <c r="V21" s="33">
        <f t="shared" si="3"/>
        <v>42736.1327662037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ID","value":"220-31"},{"id":16,"name":"Locomotive ID","value":"4045"},{"id":130,"name":"Impact","value":""},{"id":150,"name":"Time of Event (Mountain Time)","value":"20:11:11"},{"id":151,"name":"Denver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"%USERPROFILE%\AppData\Local\Temp\OnboardLogs"\RTDC4045\*4045*201701010*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"%USERPROFILE%\AppData\Local\Temp\OnboardLogs"\RTDC4045\*4045*201701010* &gt;&gt; 42735-slicedisagreementcheck.txt</v>
      </c>
      <c r="AE21" s="183" t="str">
        <f t="shared" si="8"/>
        <v>start /low /b %USERPROFILE%\Documents\GitHub\eaglep3\Utilities\DownloadLogsFromS3.py --loco 4045 --day 2017-01-01</v>
      </c>
      <c r="AF21" s="1"/>
    </row>
    <row r="22" spans="1:32" ht="15" customHeight="1" x14ac:dyDescent="0.25">
      <c r="A22" s="33">
        <v>42735.860405092593</v>
      </c>
      <c r="B22" s="31" t="s">
        <v>346</v>
      </c>
      <c r="C22" s="31" t="s">
        <v>456</v>
      </c>
      <c r="D22" s="31" t="s">
        <v>49</v>
      </c>
      <c r="E22" s="31" t="s">
        <v>200</v>
      </c>
      <c r="F22" s="44">
        <v>0</v>
      </c>
      <c r="G22" s="44">
        <v>112</v>
      </c>
      <c r="H22" s="44">
        <v>453</v>
      </c>
      <c r="I22" s="44">
        <v>344</v>
      </c>
      <c r="J22" s="31" t="s">
        <v>201</v>
      </c>
      <c r="K22" s="44">
        <v>1</v>
      </c>
      <c r="L22" s="150" t="s">
        <v>51</v>
      </c>
      <c r="M22" s="151">
        <f t="shared" si="0"/>
        <v>181.10400000000001</v>
      </c>
      <c r="N22" s="152" t="str">
        <f>VLOOKUP(C22,'Trips&amp;Operators'!$C$1:$G$99999,5,FALSE)</f>
        <v>BROWN JACOB</v>
      </c>
      <c r="O22" s="179" t="s">
        <v>195</v>
      </c>
      <c r="P22" s="153"/>
      <c r="Q22" s="31"/>
      <c r="R22" s="96" t="str">
        <f>VLOOKUP(C22,'Train Runs'!$A$13:$AE$9964,31,0)</f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S22" s="99" t="str">
        <f>VLOOKUP(C22,'Train Runs'!$A$13:$AE$9964,22,0)</f>
        <v>https://search-rtdc-monitor-bjffxe2xuh6vdkpspy63sjmuny.us-east-1.es.amazonaws.com/_plugin/kibana/#/discover/Steve-Slow-Train-Analysis-(2080s-and-2083s)?_g=(refreshInterval:(display:Off,section:0,value:0),time:(from:'2016-12-31 18:44:54-700',mode:absolute,to:'2016-12-31 21:39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2" s="101" t="str">
        <f t="shared" si="1"/>
        <v>"C:\Program Files (x86)\AstroGrep\AstroGrep.exe" /spath="%USERPROFILE%\AppData\Local\Temp\OnboardLogs" /stypes="*4019*201701010*" /stext=" 03:.+((SYSTEM_STATE.+slice.+state.+changed )|(ment ac)|(multiple cpu faults)|(system.+state.+changed )|(\[timeout)|(PRM\|1\|D)|(kpr)|(kdp)|(\|lc)|(penalty))" /e /r /s</v>
      </c>
      <c r="U22" s="9" t="str">
        <f t="shared" si="2"/>
        <v>4019</v>
      </c>
      <c r="V22" s="33">
        <f t="shared" si="3"/>
        <v>42736.152071759258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ID","value":"222-31"},{"id":16,"name":"Locomotive ID","value":"4019"},{"id":130,"name":"Impact","value":""},{"id":150,"name":"Time of Event (Mountain Time)","value":"20:38:59"},{"id":151,"name":"Denver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"%USERPROFILE%\AppData\Local\Temp\OnboardLogs"\RTDC4019\*4019*201701010*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"%USERPROFILE%\AppData\Local\Temp\OnboardLogs"\RTDC4019\*4019*201701010* &gt;&gt; 42735-slicedisagreementcheck.txt</v>
      </c>
      <c r="AE22" s="183" t="str">
        <f t="shared" si="8"/>
        <v>start /low /b %USERPROFILE%\Documents\GitHub\eaglep3\Utilities\DownloadLogsFromS3.py --loco 4019 --day 2017-01-01</v>
      </c>
      <c r="AF22" s="1"/>
    </row>
    <row r="23" spans="1:32" x14ac:dyDescent="0.25">
      <c r="A23" s="33">
        <v>42735.860914351855</v>
      </c>
      <c r="B23" s="31" t="s">
        <v>346</v>
      </c>
      <c r="C23" s="31" t="s">
        <v>456</v>
      </c>
      <c r="D23" s="31" t="s">
        <v>49</v>
      </c>
      <c r="E23" s="31" t="s">
        <v>200</v>
      </c>
      <c r="F23" s="44">
        <v>0</v>
      </c>
      <c r="G23" s="44">
        <v>52</v>
      </c>
      <c r="H23" s="44">
        <v>211</v>
      </c>
      <c r="I23" s="44">
        <v>176</v>
      </c>
      <c r="J23" s="31" t="s">
        <v>201</v>
      </c>
      <c r="K23" s="44">
        <v>1</v>
      </c>
      <c r="L23" s="150" t="s">
        <v>51</v>
      </c>
      <c r="M23" s="151">
        <f t="shared" si="0"/>
        <v>92.4</v>
      </c>
      <c r="N23" s="152" t="str">
        <f>VLOOKUP(C23,'Trips&amp;Operators'!$C$1:$G$99999,5,FALSE)</f>
        <v>BROWN JACOB</v>
      </c>
      <c r="O23" s="179" t="s">
        <v>195</v>
      </c>
      <c r="P23" s="153"/>
      <c r="Q23" s="31"/>
      <c r="R23" s="96" t="str">
        <f>VLOOKUP(C23,'Train Runs'!$A$13:$AE$9964,31,0)</f>
        <v>aws s3 cp s3://rtdc.mdm.uploadarchive.raw/RTDC4019/ "%USERPROFILE%\AppData\Local\Temp\OnboardLogs"\RTDC4019\2016-12-31 --exclude "*" --recursive --include "*20161231*" &amp; "%USERPROFILE%\Documents\GitHub\mrs-test-scripts\Headless Mode &amp; Sideloading\WalkAndUnGZ.bat" "%USERPROFILE%\AppData\Local\Temp\OnboardLogs"\RTDC4019\2016-12-31 &amp; aws s3 cp s3://rtdc.mdm.uploadarchive.raw/RTDC4019/ "%USERPROFILE%\AppData\Local\Temp\OnboardLogs"\RTDC4019\2017-01-01 --exclude "*" --recursive --include "*20170101*" &amp; "%USERPROFILE%\Documents\GitHub\mrs-test-scripts\Headless Mode &amp; Sideloading\WalkAndUnGZ.bat" "%USERPROFILE%\AppData\Local\Temp\OnboardLogs"\RTDC4019\2017-01-01</v>
      </c>
      <c r="S23" s="99" t="str">
        <f>VLOOKUP(C23,'Train Runs'!$A$13:$AE$9964,22,0)</f>
        <v>https://search-rtdc-monitor-bjffxe2xuh6vdkpspy63sjmuny.us-east-1.es.amazonaws.com/_plugin/kibana/#/discover/Steve-Slow-Train-Analysis-(2080s-and-2083s)?_g=(refreshInterval:(display:Off,section:0,value:0),time:(from:'2016-12-31 18:44:54-700',mode:absolute,to:'2016-12-31 21:39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3" s="101" t="str">
        <f t="shared" si="1"/>
        <v>"C:\Program Files (x86)\AstroGrep\AstroGrep.exe" /spath="%USERPROFILE%\AppData\Local\Temp\OnboardLogs" /stypes="*4019*201701010*" /stext=" 03:.+((SYSTEM_STATE.+slice.+state.+changed )|(ment ac)|(multiple cpu faults)|(system.+state.+changed )|(\[timeout)|(PRM\|1\|D)|(kpr)|(kdp)|(\|lc)|(penalty))" /e /r /s</v>
      </c>
      <c r="U23" s="9" t="str">
        <f t="shared" si="2"/>
        <v>4019</v>
      </c>
      <c r="V23" s="33">
        <f t="shared" si="3"/>
        <v>42736.152581018519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ID","value":"222-31"},{"id":16,"name":"Locomotive ID","value":"4019"},{"id":130,"name":"Impact","value":""},{"id":150,"name":"Time of Event (Mountain Time)","value":"20:39:43"},{"id":151,"name":"Denver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"%USERPROFILE%\AppData\Local\Temp\OnboardLogs"\RTDC4019\*4019*201701010*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"%USERPROFILE%\AppData\Local\Temp\OnboardLogs"\RTDC4019\*4019*201701010* &gt;&gt; 42735-slicedisagreementcheck.txt</v>
      </c>
      <c r="AE23" s="183" t="str">
        <f t="shared" si="8"/>
        <v>start /low /b %USERPROFILE%\Documents\GitHub\eaglep3\Utilities\DownloadLogsFromS3.py --loco 4019 --day 2017-01-01</v>
      </c>
      <c r="AF23" s="1"/>
    </row>
    <row r="24" spans="1:32" x14ac:dyDescent="0.25">
      <c r="A24" s="33">
        <v>42735.922615740739</v>
      </c>
      <c r="B24" s="31" t="s">
        <v>253</v>
      </c>
      <c r="C24" s="31" t="s">
        <v>459</v>
      </c>
      <c r="D24" s="31" t="s">
        <v>49</v>
      </c>
      <c r="E24" s="31" t="s">
        <v>200</v>
      </c>
      <c r="F24" s="44">
        <v>0</v>
      </c>
      <c r="G24" s="44">
        <v>154</v>
      </c>
      <c r="H24" s="44">
        <v>664</v>
      </c>
      <c r="I24" s="44">
        <v>457</v>
      </c>
      <c r="J24" s="31" t="s">
        <v>201</v>
      </c>
      <c r="K24" s="44">
        <v>1</v>
      </c>
      <c r="L24" s="150" t="s">
        <v>51</v>
      </c>
      <c r="M24" s="151">
        <f t="shared" si="0"/>
        <v>240.768</v>
      </c>
      <c r="N24" s="152" t="str">
        <f>VLOOKUP(C24,'Trips&amp;Operators'!$C$1:$G$99999,5,FALSE)</f>
        <v>HILLS DUSTIN</v>
      </c>
      <c r="O24" s="179" t="s">
        <v>195</v>
      </c>
      <c r="P24" s="153"/>
      <c r="Q24" s="31"/>
      <c r="R24" s="96" t="str">
        <f>VLOOKUP(C24,'Train Runs'!$A$13:$AE$9964,31,0)</f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S24" s="99" t="str">
        <f>VLOOKUP(C24,'Train Runs'!$A$13:$AE$9964,22,0)</f>
        <v>https://search-rtdc-monitor-bjffxe2xuh6vdkpspy63sjmuny.us-east-1.es.amazonaws.com/_plugin/kibana/#/discover/Steve-Slow-Train-Analysis-(2080s-and-2083s)?_g=(refreshInterval:(display:Off,section:0,value:0),time:(from:'2016-12-31 20:10:58-700',mode:absolute,to:'2016-12-31 23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1" t="str">
        <f t="shared" si="1"/>
        <v>"C:\Program Files (x86)\AstroGrep\AstroGrep.exe" /spath="%USERPROFILE%\AppData\Local\Temp\OnboardLogs" /stypes="*4045*201701010*" /stext=" 05:.+((SYSTEM_STATE.+slice.+state.+changed )|(ment ac)|(multiple cpu faults)|(system.+state.+changed )|(\[timeout)|(PRM\|1\|D)|(kpr)|(kdp)|(\|lc)|(penalty))" /e /r /s</v>
      </c>
      <c r="U24" s="9" t="str">
        <f t="shared" si="2"/>
        <v>4045</v>
      </c>
      <c r="V24" s="33">
        <f t="shared" si="3"/>
        <v>42736.214282407404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ID","value":"228-31"},{"id":16,"name":"Locomotive ID","value":"4045"},{"id":130,"name":"Impact","value":""},{"id":150,"name":"Time of Event (Mountain Time)","value":"22:08:34"},{"id":151,"name":"Denver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"%USERPROFILE%\AppData\Local\Temp\OnboardLogs"\RTDC4045\*4045*201701010*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"%USERPROFILE%\AppData\Local\Temp\OnboardLogs"\RTDC4045\*4045*201701010* &gt;&gt; 42735-slicedisagreementcheck.txt</v>
      </c>
      <c r="AE24" s="183" t="str">
        <f t="shared" si="8"/>
        <v>start /low /b %USERPROFILE%\Documents\GitHub\eaglep3\Utilities\DownloadLogsFromS3.py --loco 4045 --day 2017-01-01</v>
      </c>
      <c r="AF24" s="1"/>
    </row>
    <row r="25" spans="1:32" x14ac:dyDescent="0.25">
      <c r="A25" s="33">
        <v>42735.923379629632</v>
      </c>
      <c r="B25" s="31" t="s">
        <v>253</v>
      </c>
      <c r="C25" s="31" t="s">
        <v>459</v>
      </c>
      <c r="D25" s="31" t="s">
        <v>49</v>
      </c>
      <c r="E25" s="31" t="s">
        <v>200</v>
      </c>
      <c r="F25" s="44">
        <v>0</v>
      </c>
      <c r="G25" s="44">
        <v>35</v>
      </c>
      <c r="H25" s="44">
        <v>92</v>
      </c>
      <c r="I25" s="44">
        <v>79</v>
      </c>
      <c r="J25" s="31" t="s">
        <v>201</v>
      </c>
      <c r="K25" s="44">
        <v>1</v>
      </c>
      <c r="L25" s="150" t="s">
        <v>51</v>
      </c>
      <c r="M25" s="151">
        <f t="shared" si="0"/>
        <v>41.183999999999997</v>
      </c>
      <c r="N25" s="152" t="str">
        <f>VLOOKUP(C25,'Trips&amp;Operators'!$C$1:$G$99999,5,FALSE)</f>
        <v>HILLS DUSTIN</v>
      </c>
      <c r="O25" s="179" t="s">
        <v>195</v>
      </c>
      <c r="P25" s="153"/>
      <c r="Q25" s="31"/>
      <c r="R25" s="96" t="str">
        <f>VLOOKUP(C25,'Train Runs'!$A$13:$AE$9964,31,0)</f>
        <v>aws s3 cp s3://rtdc.mdm.uploadarchive.raw/RTDC4045/ "%USERPROFILE%\AppData\Local\Temp\OnboardLogs"\RTDC4045\2016-12-31 --exclude "*" --recursive --include "*20161231*" &amp; "%USERPROFILE%\Documents\GitHub\mrs-test-scripts\Headless Mode &amp; Sideloading\WalkAndUnGZ.bat" "%USERPROFILE%\AppData\Local\Temp\OnboardLogs"\RTDC4045\2016-12-31 &amp; aws s3 cp s3://rtdc.mdm.uploadarchive.raw/RTDC4045/ "%USERPROFILE%\AppData\Local\Temp\OnboardLogs"\RTDC4045\2017-01-01 --exclude "*" --recursive --include "*20170101*" &amp; "%USERPROFILE%\Documents\GitHub\mrs-test-scripts\Headless Mode &amp; Sideloading\WalkAndUnGZ.bat" "%USERPROFILE%\AppData\Local\Temp\OnboardLogs"\RTDC4045\2017-01-01</v>
      </c>
      <c r="S25" s="99" t="str">
        <f>VLOOKUP(C25,'Train Runs'!$A$13:$AE$9964,22,0)</f>
        <v>https://search-rtdc-monitor-bjffxe2xuh6vdkpspy63sjmuny.us-east-1.es.amazonaws.com/_plugin/kibana/#/discover/Steve-Slow-Train-Analysis-(2080s-and-2083s)?_g=(refreshInterval:(display:Off,section:0,value:0),time:(from:'2016-12-31 20:10:58-700',mode:absolute,to:'2016-12-31 23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1" t="str">
        <f t="shared" si="1"/>
        <v>"C:\Program Files (x86)\AstroGrep\AstroGrep.exe" /spath="%USERPROFILE%\AppData\Local\Temp\OnboardLogs" /stypes="*4045*201701010*" /stext=" 05:.+((SYSTEM_STATE.+slice.+state.+changed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3">
        <f t="shared" si="3"/>
        <v>42736.215046296296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{"issue":{"subject":"","project_id":79,"tracker_id":40,"status_id":1,"priority_id":2,"assigned_to_id":23,"start_date":"2016-12-31","description":"","custom_fields":[{"id":1,"name":"Subdivision","value":"EC"},{"id":4,"name":"Milepost","value":"0.0001"},{"id":17,"name":"Train ID","value":"228-31"},{"id":16,"name":"Locomotive ID","value":"4045"},{"id":130,"name":"Impact","value":""},{"id":150,"name":"Time of Event (Mountain Time)","value":"22:09:40"},{"id":151,"name":"Denver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"%USERPROFILE%\AppData\Local\Temp\OnboardLogs"\RTDC4045\*4045*201701010*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"%USERPROFILE%\AppData\Local\Temp\OnboardLogs"\RTDC4045\*4045*201701010* &gt;&gt; 42735-slicedisagreementcheck.txt</v>
      </c>
      <c r="AE25" s="183" t="str">
        <f t="shared" si="8"/>
        <v>start /low /b %USERPROFILE%\Documents\GitHub\eaglep3\Utilities\DownloadLogsFromS3.py --loco 4045 --day 2017-01-01</v>
      </c>
      <c r="AF25" s="1"/>
    </row>
    <row r="26" spans="1:32" x14ac:dyDescent="0.25">
      <c r="A26" s="33">
        <v>42735.815949074073</v>
      </c>
      <c r="B26" s="31" t="s">
        <v>262</v>
      </c>
      <c r="C26" s="31" t="s">
        <v>454</v>
      </c>
      <c r="D26" s="31" t="s">
        <v>49</v>
      </c>
      <c r="E26" s="31" t="s">
        <v>200</v>
      </c>
      <c r="F26" s="44">
        <v>0</v>
      </c>
      <c r="G26" s="44">
        <v>43</v>
      </c>
      <c r="H26" s="44">
        <v>941</v>
      </c>
      <c r="I26" s="44">
        <v>911</v>
      </c>
      <c r="J26" s="31" t="s">
        <v>201</v>
      </c>
      <c r="K26" s="44">
        <v>826</v>
      </c>
      <c r="L26" s="150" t="s">
        <v>51</v>
      </c>
      <c r="M26" s="151">
        <f t="shared" si="0"/>
        <v>44.88</v>
      </c>
      <c r="N26" s="152" t="str">
        <f>VLOOKUP(C26,'Trips&amp;Operators'!$C$1:$G$99999,5,FALSE)</f>
        <v>BRANNON JEFFREY</v>
      </c>
      <c r="O26" s="179" t="s">
        <v>195</v>
      </c>
      <c r="P26" s="153"/>
      <c r="Q26" s="31"/>
      <c r="R26" s="96" t="str">
        <f>VLOOKUP(C26,'Train Runs'!$A$13:$AE$9964,31,0)</f>
        <v>aws s3 cp s3://rtdc.mdm.uploadarchive.raw/RTDC4004/ "%USERPROFILE%\AppData\Local\Temp\OnboardLogs"\RTDC4004\2016-12-31 --exclude "*" --recursive --include "*20161231*" &amp; "%USERPROFILE%\Documents\GitHub\mrs-test-scripts\Headless Mode &amp; Sideloading\WalkAndUnGZ.bat" "%USERPROFILE%\AppData\Local\Temp\OnboardLogs"\RTDC4004\2016-12-31 &amp; aws s3 cp s3://rtdc.mdm.uploadarchive.raw/RTDC4004/ "%USERPROFILE%\AppData\Local\Temp\OnboardLogs"\RTDC4004\2017-01-01 --exclude "*" --recursive --include "*20170101*" &amp; "%USERPROFILE%\Documents\GitHub\mrs-test-scripts\Headless Mode &amp; Sideloading\WalkAndUnGZ.bat" "%USERPROFILE%\AppData\Local\Temp\OnboardLogs"\RTDC4004\2017-01-01</v>
      </c>
      <c r="S26" s="99" t="str">
        <f>VLOOKUP(C26,'Train Runs'!$A$13:$AE$9964,22,0)</f>
        <v>https://search-rtdc-monitor-bjffxe2xuh6vdkpspy63sjmuny.us-east-1.es.amazonaws.com/_plugin/kibana/#/discover/Steve-Slow-Train-Analysis-(2080s-and-2083s)?_g=(refreshInterval:(display:Off,section:0,value:0),time:(from:'2016-12-31 17:50:38-700',mode:absolute,to:'2016-12-31 20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6" s="101" t="str">
        <f t="shared" si="1"/>
        <v>"C:\Program Files (x86)\AstroGrep\AstroGrep.exe" /spath="%USERPROFILE%\AppData\Local\Temp\OnboardLogs" /stypes="*4004*201701010*" /stext=" 02:.+((SYSTEM_STATE.+slice.+state.+changed )|(ment ac)|(multiple cpu faults)|(system.+state.+changed )|(\[timeout)|(PRM\|1\|D)|(kpr)|(kdp)|(\|lc)|(penalty))" /e /r /s</v>
      </c>
      <c r="U26" s="9" t="str">
        <f t="shared" si="2"/>
        <v>4004</v>
      </c>
      <c r="V26" s="33">
        <f t="shared" si="3"/>
        <v>42736.107615740737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{"issue":{"subject":"","project_id":79,"tracker_id":40,"status_id":1,"priority_id":2,"assigned_to_id":23,"start_date":"2016-12-31","description":"","custom_fields":[{"id":1,"name":"Subdivision","value":"EC"},{"id":4,"name":"Milepost","value":"0.0826"},{"id":17,"name":"Train ID","value":"216-31"},{"id":16,"name":"Locomotive ID","value":"4004"},{"id":130,"name":"Impact","value":""},{"id":150,"name":"Time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"%USERPROFILE%\AppData\Local\Temp\OnboardLogs"\RTDC4004\*4004*201701010*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"%USERPROFILE%\AppData\Local\Temp\OnboardLogs"\RTDC4004\*4004*201701010* &gt;&gt; 42735-slicedisagreementcheck.txt</v>
      </c>
      <c r="AE26" s="183" t="str">
        <f t="shared" si="8"/>
        <v>start /low /b %USERPROFILE%\Documents\GitHub\eaglep3\Utilities\DownloadLogsFromS3.py --loco 4004 --day 2017-01-01</v>
      </c>
      <c r="AF26" s="1"/>
    </row>
    <row r="27" spans="1:32" x14ac:dyDescent="0.25">
      <c r="A27" s="33">
        <v>42735.275358796294</v>
      </c>
      <c r="B27" s="31" t="s">
        <v>240</v>
      </c>
      <c r="C27" s="31" t="s">
        <v>440</v>
      </c>
      <c r="D27" s="31" t="s">
        <v>49</v>
      </c>
      <c r="E27" s="31" t="s">
        <v>200</v>
      </c>
      <c r="F27" s="44">
        <v>0</v>
      </c>
      <c r="G27" s="44">
        <v>39</v>
      </c>
      <c r="H27" s="44">
        <v>233336</v>
      </c>
      <c r="I27" s="44">
        <v>233349</v>
      </c>
      <c r="J27" s="31" t="s">
        <v>201</v>
      </c>
      <c r="K27" s="44">
        <v>233491</v>
      </c>
      <c r="L27" s="150" t="s">
        <v>50</v>
      </c>
      <c r="M27" s="151">
        <f t="shared" si="0"/>
        <v>74.975999999999999</v>
      </c>
      <c r="N27" s="152" t="str">
        <f>VLOOKUP(C27,'Trips&amp;Operators'!$C$1:$G$99999,5,FALSE)</f>
        <v>MAELZER KURT</v>
      </c>
      <c r="O27" s="179" t="s">
        <v>227</v>
      </c>
      <c r="P27" s="153" t="s">
        <v>344</v>
      </c>
      <c r="Q27" s="31"/>
      <c r="R27" s="96" t="str">
        <f>VLOOKUP(C27,'Train Runs'!$A$13:$AE$9964,31,0)</f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S27" s="99" t="str">
        <f>VLOOKUP(C27,'Train Runs'!$A$13:$AE$9964,22,0)</f>
        <v>https://search-rtdc-monitor-bjffxe2xuh6vdkpspy63sjmuny.us-east-1.es.amazonaws.com/_plugin/kibana/#/discover/Steve-Slow-Train-Analysis-(2080s-and-2083s)?_g=(refreshInterval:(display:Off,section:0,value:0),time:(from:'2016-12-31 04:56:25-700',mode:absolute,to:'2016-12-31 07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7" s="101" t="str">
        <f t="shared" si="1"/>
        <v>"C:\Program Files (x86)\AstroGrep\AstroGrep.exe" /spath="%USERPROFILE%\AppData\Local\Temp\OnboardLogs" /stypes="*4016*201612311*" /stext=" 13:.+((SYSTEM_STATE.+slice.+state.+changed )|(ment ac)|(multiple cpu faults)|(system.+state.+changed )|(\[timeout)|(PRM\|1\|D)|(kpr)|(kdp)|(\|lc)|(penalty))" /e /r /s</v>
      </c>
      <c r="U27" s="9" t="str">
        <f t="shared" si="2"/>
        <v>4016</v>
      </c>
      <c r="V27" s="33">
        <f t="shared" si="3"/>
        <v>42735.567025462959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{"issue":{"subject":"Banner without braking","project_id":79,"tracker_id":40,"status_id":1,"priority_id":2,"assigned_to_id":23,"start_date":"2016-12-31","description":"","custom_fields":[{"id":1,"name":"Subdivision","value":"EC"},{"id":4,"name":"Milepost","value":"23.3491"},{"id":17,"name":"Train ID","value":"119-31"},{"id":16,"name":"Locomotive ID","value":"4016"},{"id":130,"name":"Impact","value":""},{"id":150,"name":"Time of Event (Mountain Time)","value":"06:36:31"},{"id":151,"name":"Denver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"%USERPROFILE%\AppData\Local\Temp\OnboardLogs"\RTDC4016\*4016*201612311*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"%USERPROFILE%\AppData\Local\Temp\OnboardLogs"\RTDC4016\*4016*201612311* &gt;&gt; 42735-slicedisagreementcheck.txt</v>
      </c>
      <c r="AE27" s="183" t="str">
        <f t="shared" si="8"/>
        <v>start /low /b %USERPROFILE%\Documents\GitHub\eaglep3\Utilities\DownloadLogsFromS3.py --loco 4016 --day 2016-12-31</v>
      </c>
      <c r="AF27" s="1"/>
    </row>
    <row r="28" spans="1:32" ht="15" customHeight="1" x14ac:dyDescent="0.25">
      <c r="A28" s="33">
        <v>42735.948009259257</v>
      </c>
      <c r="B28" s="31" t="s">
        <v>240</v>
      </c>
      <c r="C28" s="31" t="s">
        <v>462</v>
      </c>
      <c r="D28" s="31" t="s">
        <v>49</v>
      </c>
      <c r="E28" s="31" t="s">
        <v>200</v>
      </c>
      <c r="F28" s="44">
        <v>0</v>
      </c>
      <c r="G28" s="44">
        <v>41</v>
      </c>
      <c r="H28" s="44">
        <v>233366</v>
      </c>
      <c r="I28" s="44">
        <v>233383</v>
      </c>
      <c r="J28" s="31" t="s">
        <v>201</v>
      </c>
      <c r="K28" s="44">
        <v>233491</v>
      </c>
      <c r="L28" s="150" t="s">
        <v>50</v>
      </c>
      <c r="M28" s="151">
        <f t="shared" si="0"/>
        <v>57.024000000000001</v>
      </c>
      <c r="N28" s="152" t="str">
        <f>VLOOKUP(C28,'Trips&amp;Operators'!$C$1:$G$99999,5,FALSE)</f>
        <v>STAMBAUGH JAMES</v>
      </c>
      <c r="O28" s="179" t="s">
        <v>195</v>
      </c>
      <c r="P28" s="153"/>
      <c r="Q28" s="31"/>
      <c r="R28" s="96" t="str">
        <f>VLOOKUP(C28,'Train Runs'!$A$13:$AE$9964,31,0)</f>
        <v>aws s3 cp s3://rtdc.mdm.uploadarchive.raw/RTDC4016/ "%USERPROFILE%\AppData\Local\Temp\OnboardLogs"\RTDC4016\2016-12-31 --exclude "*" --recursive --include "*20161231*" &amp; "%USERPROFILE%\Documents\GitHub\mrs-test-scripts\Headless Mode &amp; Sideloading\WalkAndUnGZ.bat" "%USERPROFILE%\AppData\Local\Temp\OnboardLogs"\RTDC4016\2016-12-31 &amp; aws s3 cp s3://rtdc.mdm.uploadarchive.raw/RTDC4016/ "%USERPROFILE%\AppData\Local\Temp\OnboardLogs"\RTDC4016\2017-01-01 --exclude "*" --recursive --include "*20170101*" &amp; "%USERPROFILE%\Documents\GitHub\mrs-test-scripts\Headless Mode &amp; Sideloading\WalkAndUnGZ.bat" "%USERPROFILE%\AppData\Local\Temp\OnboardLogs"\RTDC4016\2017-01-01</v>
      </c>
      <c r="S28" s="99" t="str">
        <f>VLOOKUP(C28,'Train Runs'!$A$13:$AE$9964,22,0)</f>
        <v>https://search-rtdc-monitor-bjffxe2xuh6vdkpspy63sjmuny.us-east-1.es.amazonaws.com/_plugin/kibana/#/discover/Steve-Slow-Train-Analysis-(2080s-and-2083s)?_g=(refreshInterval:(display:Off,section:0,value:0),time:(from:'2016-12-31 20:39:40-700',mode:absolute,to:'2016-12-31 23:45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8" s="101" t="str">
        <f t="shared" si="1"/>
        <v>"C:\Program Files (x86)\AstroGrep\AstroGrep.exe" /spath="%USERPROFILE%\AppData\Local\Temp\OnboardLogs" /stypes="*4016*201701010*" /stext=" 05:.+((SYSTEM_STATE.+slice.+state.+changed )|(ment ac)|(multiple cpu faults)|(system.+state.+changed )|(\[timeout)|(PRM\|1\|D)|(kpr)|(kdp)|(\|lc)|(penalty))" /e /r /s</v>
      </c>
      <c r="U28" s="9" t="str">
        <f t="shared" si="2"/>
        <v>4016</v>
      </c>
      <c r="V28" s="33">
        <f t="shared" si="3"/>
        <v>42736.239675925921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{"issue":{"subject":"","project_id":79,"tracker_id":40,"status_id":1,"priority_id":2,"assigned_to_id":23,"start_date":"2016-12-31","description":"","custom_fields":[{"id":1,"name":"Subdivision","value":"EC"},{"id":4,"name":"Milepost","value":"23.3491"},{"id":17,"name":"Train ID","value":"233-31"},{"id":16,"name":"Locomotive ID","value":"4016"},{"id":130,"name":"Impact","value":""},{"id":150,"name":"Time of Event (Mountain Time)","value":"22:45:08"},{"id":151,"name":"Denver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"%USERPROFILE%\AppData\Local\Temp\OnboardLogs"\RTDC4016\*4016*201701010*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"%USERPROFILE%\AppData\Local\Temp\OnboardLogs"\RTDC4016\*4016*201701010* &gt;&gt; 42735-slicedisagreementcheck.txt</v>
      </c>
      <c r="AE28" s="183" t="str">
        <f t="shared" si="8"/>
        <v>start /low /b %USERPROFILE%\Documents\GitHub\eaglep3\Utilities\DownloadLogsFromS3.py --loco 4016 --day 2017-01-01</v>
      </c>
      <c r="AF28" s="1"/>
    </row>
    <row r="29" spans="1:32" ht="15" customHeight="1" x14ac:dyDescent="0.25">
      <c r="A29" s="33">
        <v>42735.524722222224</v>
      </c>
      <c r="B29" s="31" t="s">
        <v>231</v>
      </c>
      <c r="C29" s="31" t="s">
        <v>445</v>
      </c>
      <c r="D29" s="31" t="s">
        <v>49</v>
      </c>
      <c r="E29" s="31" t="s">
        <v>200</v>
      </c>
      <c r="F29" s="44">
        <v>0</v>
      </c>
      <c r="G29" s="44">
        <v>178</v>
      </c>
      <c r="H29" s="44">
        <v>57990</v>
      </c>
      <c r="I29" s="44">
        <v>58189</v>
      </c>
      <c r="J29" s="31" t="s">
        <v>201</v>
      </c>
      <c r="K29" s="44">
        <v>59048</v>
      </c>
      <c r="L29" s="150" t="s">
        <v>50</v>
      </c>
      <c r="M29" s="151">
        <f t="shared" si="0"/>
        <v>453.55200000000002</v>
      </c>
      <c r="N29" s="152" t="str">
        <f>VLOOKUP(C29,'Trips&amp;Operators'!$C$1:$G$99999,5,FALSE)</f>
        <v>SHOOK JOHN</v>
      </c>
      <c r="O29" s="179" t="s">
        <v>195</v>
      </c>
      <c r="P29" s="153"/>
      <c r="Q29" s="31"/>
      <c r="R29" s="96" t="str">
        <f>VLOOKUP(C29,'Train Runs'!$A$13:$AE$9964,31,0)</f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S29" s="99" t="str">
        <f>VLOOKUP(C29,'Train Runs'!$A$13:$AE$9964,22,0)</f>
        <v>https://search-rtdc-monitor-bjffxe2xuh6vdkpspy63sjmuny.us-east-1.es.amazonaws.com/_plugin/kibana/#/discover/Steve-Slow-Train-Analysis-(2080s-and-2083s)?_g=(refreshInterval:(display:Off,section:0,value:0),time:(from:'2016-12-31 11:02:08-700',mode:absolute,to:'2016-12-31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9" s="101" t="str">
        <f t="shared" si="1"/>
        <v>"C:\Program Files (x86)\AstroGrep\AstroGrep.exe" /spath="%USERPROFILE%\AppData\Local\Temp\OnboardLogs" /stypes="*4042*201612311*" /stext=" 19:.+((SYSTEM_STATE.+slice.+state.+changed )|(ment ac)|(multiple cpu faults)|(system.+state.+changed )|(\[timeout)|(PRM\|1\|D)|(kpr)|(kdp)|(\|lc)|(penalty))" /e /r /s</v>
      </c>
      <c r="U29" s="9" t="str">
        <f t="shared" si="2"/>
        <v>4042</v>
      </c>
      <c r="V29" s="33">
        <f t="shared" si="3"/>
        <v>42735.816388888888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{"issue":{"subject":"","project_id":79,"tracker_id":40,"status_id":1,"priority_id":2,"assigned_to_id":23,"start_date":"2016-12-31","description":"","custom_fields":[{"id":1,"name":"Subdivision","value":"NW"},{"id":4,"name":"Milepost","value":"5.9048"},{"id":17,"name":"Train ID","value":"1813-31"},{"id":16,"name":"Locomotive ID","value":"4042"},{"id":130,"name":"Impact","value":""},{"id":150,"name":"Time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"%USERPROFILE%\AppData\Local\Temp\OnboardLogs"\RTDC4042\*4042*201612311*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"%USERPROFILE%\AppData\Local\Temp\OnboardLogs"\RTDC4042\*4042*201612311* &gt;&gt; 42735-slicedisagreementcheck.txt</v>
      </c>
      <c r="AE29" s="183" t="str">
        <f t="shared" si="8"/>
        <v>start /low /b %USERPROFILE%\Documents\GitHub\eaglep3\Utilities\DownloadLogsFromS3.py --loco 4042 --day 2016-12-31</v>
      </c>
      <c r="AF29" s="1"/>
    </row>
    <row r="30" spans="1:32" x14ac:dyDescent="0.25">
      <c r="A30" s="33">
        <v>42735.525613425925</v>
      </c>
      <c r="B30" s="31" t="s">
        <v>231</v>
      </c>
      <c r="C30" s="31" t="s">
        <v>445</v>
      </c>
      <c r="D30" s="31" t="s">
        <v>49</v>
      </c>
      <c r="E30" s="31" t="s">
        <v>200</v>
      </c>
      <c r="F30" s="44">
        <v>0</v>
      </c>
      <c r="G30" s="44">
        <v>76</v>
      </c>
      <c r="H30" s="44">
        <v>58743</v>
      </c>
      <c r="I30" s="44">
        <v>58816</v>
      </c>
      <c r="J30" s="31" t="s">
        <v>201</v>
      </c>
      <c r="K30" s="44">
        <v>59048</v>
      </c>
      <c r="L30" s="150" t="s">
        <v>50</v>
      </c>
      <c r="M30" s="151">
        <f t="shared" si="0"/>
        <v>122.496</v>
      </c>
      <c r="N30" s="152" t="str">
        <f>VLOOKUP(C30,'Trips&amp;Operators'!$C$1:$G$99999,5,FALSE)</f>
        <v>SHOOK JOHN</v>
      </c>
      <c r="O30" s="179" t="s">
        <v>195</v>
      </c>
      <c r="P30" s="153"/>
      <c r="Q30" s="31"/>
      <c r="R30" s="96" t="str">
        <f>VLOOKUP(C30,'Train Runs'!$A$13:$AE$9964,31,0)</f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S30" s="99" t="str">
        <f>VLOOKUP(C30,'Train Runs'!$A$13:$AE$9964,22,0)</f>
        <v>https://search-rtdc-monitor-bjffxe2xuh6vdkpspy63sjmuny.us-east-1.es.amazonaws.com/_plugin/kibana/#/discover/Steve-Slow-Train-Analysis-(2080s-and-2083s)?_g=(refreshInterval:(display:Off,section:0,value:0),time:(from:'2016-12-31 11:02:08-700',mode:absolute,to:'2016-12-31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0" s="101" t="str">
        <f t="shared" si="1"/>
        <v>"C:\Program Files (x86)\AstroGrep\AstroGrep.exe" /spath="%USERPROFILE%\AppData\Local\Temp\OnboardLogs" /stypes="*4042*201612311*" /stext=" 19:.+((SYSTEM_STATE.+slice.+state.+changed )|(ment ac)|(multiple cpu faults)|(system.+state.+changed )|(\[timeout)|(PRM\|1\|D)|(kpr)|(kdp)|(\|lc)|(penalty))" /e /r /s</v>
      </c>
      <c r="U30" s="9" t="str">
        <f t="shared" si="2"/>
        <v>4042</v>
      </c>
      <c r="V30" s="33">
        <f t="shared" si="3"/>
        <v>42735.817280092589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{"issue":{"subject":"","project_id":79,"tracker_id":40,"status_id":1,"priority_id":2,"assigned_to_id":23,"start_date":"2016-12-31","description":"","custom_fields":[{"id":1,"name":"Subdivision","value":"NW"},{"id":4,"name":"Milepost","value":"5.9048"},{"id":17,"name":"Train ID","value":"1813-31"},{"id":16,"name":"Locomotive ID","value":"4042"},{"id":130,"name":"Impact","value":""},{"id":150,"name":"Time of Event (Mountain Time)","value":"12:36:53"},{"id":151,"name":"Denver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"%USERPROFILE%\AppData\Local\Temp\OnboardLogs"\RTDC4042\*4042*201612311*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"%USERPROFILE%\AppData\Local\Temp\OnboardLogs"\RTDC4042\*4042*201612311* &gt;&gt; 42735-slicedisagreementcheck.txt</v>
      </c>
      <c r="AE30" s="183" t="str">
        <f t="shared" si="8"/>
        <v>start /low /b %USERPROFILE%\Documents\GitHub\eaglep3\Utilities\DownloadLogsFromS3.py --loco 4042 --day 2016-12-31</v>
      </c>
      <c r="AF30" s="1"/>
    </row>
    <row r="31" spans="1:32" x14ac:dyDescent="0.25">
      <c r="A31" s="33">
        <v>42735.526377314818</v>
      </c>
      <c r="B31" s="31" t="s">
        <v>231</v>
      </c>
      <c r="C31" s="31" t="s">
        <v>445</v>
      </c>
      <c r="D31" s="31" t="s">
        <v>49</v>
      </c>
      <c r="E31" s="31" t="s">
        <v>200</v>
      </c>
      <c r="F31" s="44">
        <v>0</v>
      </c>
      <c r="G31" s="44">
        <v>35</v>
      </c>
      <c r="H31" s="44">
        <v>58869</v>
      </c>
      <c r="I31" s="44">
        <v>58905</v>
      </c>
      <c r="J31" s="31" t="s">
        <v>201</v>
      </c>
      <c r="K31" s="44">
        <v>59048</v>
      </c>
      <c r="L31" s="150" t="s">
        <v>50</v>
      </c>
      <c r="M31" s="151">
        <f t="shared" si="0"/>
        <v>75.504000000000005</v>
      </c>
      <c r="N31" s="152" t="str">
        <f>VLOOKUP(C31,'Trips&amp;Operators'!$C$1:$G$99999,5,FALSE)</f>
        <v>SHOOK JOHN</v>
      </c>
      <c r="O31" s="179" t="s">
        <v>195</v>
      </c>
      <c r="P31" s="153"/>
      <c r="Q31" s="31"/>
      <c r="R31" s="96" t="str">
        <f>VLOOKUP(C31,'Train Runs'!$A$13:$AE$9964,31,0)</f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S31" s="99" t="str">
        <f>VLOOKUP(C31,'Train Runs'!$A$13:$AE$9964,22,0)</f>
        <v>https://search-rtdc-monitor-bjffxe2xuh6vdkpspy63sjmuny.us-east-1.es.amazonaws.com/_plugin/kibana/#/discover/Steve-Slow-Train-Analysis-(2080s-and-2083s)?_g=(refreshInterval:(display:Off,section:0,value:0),time:(from:'2016-12-31 11:02:08-700',mode:absolute,to:'2016-12-31 13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1" s="101" t="str">
        <f t="shared" si="1"/>
        <v>"C:\Program Files (x86)\AstroGrep\AstroGrep.exe" /spath="%USERPROFILE%\AppData\Local\Temp\OnboardLogs" /stypes="*4042*201612311*" /stext=" 19:.+((SYSTEM_STATE.+slice.+state.+changed )|(ment ac)|(multiple cpu faults)|(system.+state.+changed )|(\[timeout)|(PRM\|1\|D)|(kpr)|(kdp)|(\|lc)|(penalty))" /e /r /s</v>
      </c>
      <c r="U31" s="9" t="str">
        <f t="shared" si="2"/>
        <v>4042</v>
      </c>
      <c r="V31" s="33">
        <f t="shared" si="3"/>
        <v>42735.818043981482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{"issue":{"subject":"","project_id":79,"tracker_id":40,"status_id":1,"priority_id":2,"assigned_to_id":23,"start_date":"2016-12-31","description":"","custom_fields":[{"id":1,"name":"Subdivision","value":"NW"},{"id":4,"name":"Milepost","value":"5.9048"},{"id":17,"name":"Train ID","value":"1813-31"},{"id":16,"name":"Locomotive ID","value":"4042"},{"id":130,"name":"Impact","value":""},{"id":150,"name":"Time of Event (Mountain Time)","value":"12:37:59"},{"id":151,"name":"Denver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"%USERPROFILE%\AppData\Local\Temp\OnboardLogs"\RTDC4042\*4042*201612311*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"%USERPROFILE%\AppData\Local\Temp\OnboardLogs"\RTDC4042\*4042*201612311* &gt;&gt; 42735-slicedisagreementcheck.txt</v>
      </c>
      <c r="AE31" s="183" t="str">
        <f t="shared" si="8"/>
        <v>start /low /b %USERPROFILE%\Documents\GitHub\eaglep3\Utilities\DownloadLogsFromS3.py --loco 4042 --day 2016-12-31</v>
      </c>
      <c r="AF31" s="1"/>
    </row>
    <row r="32" spans="1:32" x14ac:dyDescent="0.25">
      <c r="A32" s="33">
        <v>42735.942175925928</v>
      </c>
      <c r="B32" s="31" t="s">
        <v>214</v>
      </c>
      <c r="C32" s="31" t="s">
        <v>461</v>
      </c>
      <c r="D32" s="31" t="s">
        <v>49</v>
      </c>
      <c r="E32" s="31" t="s">
        <v>200</v>
      </c>
      <c r="F32" s="44">
        <v>0</v>
      </c>
      <c r="G32" s="44">
        <v>41</v>
      </c>
      <c r="H32" s="44">
        <v>58944</v>
      </c>
      <c r="I32" s="44">
        <v>58967</v>
      </c>
      <c r="J32" s="31" t="s">
        <v>201</v>
      </c>
      <c r="K32" s="44">
        <v>59048</v>
      </c>
      <c r="L32" s="150" t="s">
        <v>50</v>
      </c>
      <c r="M32" s="151">
        <f t="shared" si="0"/>
        <v>42.768000000000001</v>
      </c>
      <c r="N32" s="152" t="str">
        <f>VLOOKUP(C32,'Trips&amp;Operators'!$C$1:$G$99999,5,FALSE)</f>
        <v>HELVIE ADAM</v>
      </c>
      <c r="O32" s="179" t="s">
        <v>195</v>
      </c>
      <c r="P32" s="153"/>
      <c r="Q32" s="31"/>
      <c r="R32" s="96" t="str">
        <f>VLOOKUP(C32,'Train Runs'!$A$13:$AE$9964,31,0)</f>
        <v>aws s3 cp s3://rtdc.mdm.uploadarchive.raw/RTDC4022/ "%USERPROFILE%\AppData\Local\Temp\OnboardLogs"\RTDC4022\2016-12-31 --exclude "*" --recursive --include "*20161231*" &amp; "%USERPROFILE%\Documents\GitHub\mrs-test-scripts\Headless Mode &amp; Sideloading\WalkAndUnGZ.bat" "%USERPROFILE%\AppData\Local\Temp\OnboardLogs"\RTDC4022\2016-12-31 &amp; aws s3 cp s3://rtdc.mdm.uploadarchive.raw/RTDC4022/ "%USERPROFILE%\AppData\Local\Temp\OnboardLogs"\RTDC4022\2017-01-01 --exclude "*" --recursive --include "*20170101*" &amp; "%USERPROFILE%\Documents\GitHub\mrs-test-scripts\Headless Mode &amp; Sideloading\WalkAndUnGZ.bat" "%USERPROFILE%\AppData\Local\Temp\OnboardLogs"\RTDC4022\2017-01-01</v>
      </c>
      <c r="S32" s="99" t="str">
        <f>VLOOKUP(C32,'Train Runs'!$A$13:$AE$9964,22,0)</f>
        <v>https://search-rtdc-monitor-bjffxe2xuh6vdkpspy63sjmuny.us-east-1.es.amazonaws.com/_plugin/kibana/#/discover/Steve-Slow-Train-Analysis-(2080s-and-2083s)?_g=(refreshInterval:(display:Off,section:0,value:0),time:(from:'2016-12-31 21:09:04-700',mode:absolute,to:'2016-12-31 23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2" s="101" t="str">
        <f t="shared" si="1"/>
        <v>"C:\Program Files (x86)\AstroGrep\AstroGrep.exe" /spath="%USERPROFILE%\AppData\Local\Temp\OnboardLogs" /stypes="*4022*201701010*" /stext=" 05:.+((SYSTEM_STATE.+slice.+state.+changed )|(ment ac)|(multiple cpu faults)|(system.+state.+changed )|(\[timeout)|(PRM\|1\|D)|(kpr)|(kdp)|(\|lc)|(penalty))" /e /r /s</v>
      </c>
      <c r="U32" s="9" t="str">
        <f t="shared" si="2"/>
        <v>4022</v>
      </c>
      <c r="V32" s="33">
        <f t="shared" si="3"/>
        <v>42736.233842592592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{"issue":{"subject":"","project_id":79,"tracker_id":40,"status_id":1,"priority_id":2,"assigned_to_id":23,"start_date":"2016-12-31","description":"","custom_fields":[{"id":1,"name":"Subdivision","value":"NW"},{"id":4,"name":"Milepost","value":"5.9048"},{"id":17,"name":"Train ID","value":"1833-31"},{"id":16,"name":"Locomotive ID","value":"4022"},{"id":130,"name":"Impact","value":""},{"id":150,"name":"Time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"%USERPROFILE%\AppData\Local\Temp\OnboardLogs"\RTDC4022\*4022*201701010*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"%USERPROFILE%\AppData\Local\Temp\OnboardLogs"\RTDC4022\*4022*201701010* &gt;&gt; 42735-slicedisagreementcheck.txt</v>
      </c>
      <c r="AE32" s="183" t="str">
        <f t="shared" si="8"/>
        <v>start /low /b %USERPROFILE%\Documents\GitHub\eaglep3\Utilities\DownloadLogsFromS3.py --loco 4022 --day 2017-01-01</v>
      </c>
      <c r="AF32" s="1"/>
    </row>
    <row r="33" spans="1:32" x14ac:dyDescent="0.25">
      <c r="A33" s="33">
        <v>42735.729317129626</v>
      </c>
      <c r="B33" s="31" t="s">
        <v>231</v>
      </c>
      <c r="C33" s="31" t="s">
        <v>451</v>
      </c>
      <c r="D33" s="31" t="s">
        <v>98</v>
      </c>
      <c r="E33" s="31" t="s">
        <v>198</v>
      </c>
      <c r="F33" s="44">
        <v>0</v>
      </c>
      <c r="G33" s="44">
        <v>39</v>
      </c>
      <c r="H33" s="44">
        <v>1790</v>
      </c>
      <c r="I33" s="44">
        <v>1808</v>
      </c>
      <c r="J33" s="31" t="s">
        <v>199</v>
      </c>
      <c r="K33" s="44">
        <v>1692</v>
      </c>
      <c r="L33" s="150" t="s">
        <v>50</v>
      </c>
      <c r="M33" s="151">
        <f t="shared" si="0"/>
        <v>-61.247999999999998</v>
      </c>
      <c r="N33" s="152" t="str">
        <f>VLOOKUP(C33,'Trips&amp;Operators'!$C$1:$G$99999,5,FALSE)</f>
        <v>DELGADO DIANAH</v>
      </c>
      <c r="O33" s="179" t="s">
        <v>195</v>
      </c>
      <c r="P33" s="153"/>
      <c r="Q33" s="31"/>
      <c r="R33" s="96" t="str">
        <f>VLOOKUP(C33,'Train Runs'!$A$13:$AE$9964,31,0)</f>
        <v>aws s3 cp s3://rtdc.mdm.uploadarchive.raw/RTDC4042/ "%USERPROFILE%\AppData\Local\Temp\OnboardLogs"\RTDC4042\2016-12-31 --exclude "*" --recursive --include "*20161231*" &amp; "%USERPROFILE%\Documents\GitHub\mrs-test-scripts\Headless Mode &amp; Sideloading\WalkAndUnGZ.bat" "%USERPROFILE%\AppData\Local\Temp\OnboardLogs"\RTDC4042\2016-12-31 &amp; aws s3 cp s3://rtdc.mdm.uploadarchive.raw/RTDC4042/ "%USERPROFILE%\AppData\Local\Temp\OnboardLogs"\RTDC4042\2017-01-01 --exclude "*" --recursive --include "*20170101*" &amp; "%USERPROFILE%\Documents\GitHub\mrs-test-scripts\Headless Mode &amp; Sideloading\WalkAndUnGZ.bat" "%USERPROFILE%\AppData\Local\Temp\OnboardLogs"\RTDC4042\2017-01-01</v>
      </c>
      <c r="S33" s="99" t="str">
        <f>VLOOKUP(C33,'Train Runs'!$A$13:$AE$9964,22,0)</f>
        <v>https://search-rtdc-monitor-bjffxe2xuh6vdkpspy63sjmuny.us-east-1.es.amazonaws.com/_plugin/kibana/#/discover/Steve-Slow-Train-Analysis-(2080s-and-2083s)?_g=(refreshInterval:(display:Off,section:0,value:0),time:(from:'2016-12-31 16:11:39-700',mode:absolute,to:'2016-12-31 18:30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1" t="str">
        <f t="shared" si="1"/>
        <v>"C:\Program Files (x86)\AstroGrep\AstroGrep.exe" /spath="%USERPROFILE%\AppData\Local\Temp\OnboardLogs" /stypes="*4042*201701010*" /stext=" 00:.+((SYSTEM_STATE.+slice.+state.+changed )|(ment ac)|(multiple cpu faults)|(system.+state.+changed )|(\[timeout)|(PRM\|1\|D)|(kpr)|(kdp)|(\|lc)|(penalty))" /e /r /s</v>
      </c>
      <c r="U33" s="9" t="str">
        <f t="shared" si="2"/>
        <v>4042</v>
      </c>
      <c r="V33" s="33">
        <f t="shared" si="3"/>
        <v>42736.02098379629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{"issue":{"subject":"","project_id":79,"tracker_id":40,"status_id":1,"priority_id":2,"assigned_to_id":23,"start_date":"2016-12-31","description":"","custom_fields":[{"id":1,"name":"Subdivision","value":"Other"},{"id":4,"name":"Milepost","value":"0.1692"},{"id":17,"name":"Train ID","value":"59-31"},{"id":16,"name":"Locomotive ID","value":"4042"},{"id":130,"name":"Impact","value":""},{"id":150,"name":"Time of Event (Mountain Time)","value":"17:30:13"},{"id":151,"name":"Denver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"%USERPROFILE%\AppData\Local\Temp\OnboardLogs"\RTDC4042\*4042*201701010*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"%USERPROFILE%\AppData\Local\Temp\OnboardLogs"\RTDC4042\*4042*201701010* &gt;&gt; 42735-slicedisagreementcheck.txt</v>
      </c>
      <c r="AE33" s="183" t="str">
        <f t="shared" si="8"/>
        <v>start /low /b %USERPROFILE%\Documents\GitHub\eaglep3\Utilities\DownloadLogsFromS3.py --loco 4042 --day 2017-01-01</v>
      </c>
      <c r="AF33" s="1"/>
    </row>
    <row r="34" spans="1:32" x14ac:dyDescent="0.25">
      <c r="A34" s="33">
        <v>42735.418483796297</v>
      </c>
      <c r="B34" s="31" t="s">
        <v>374</v>
      </c>
      <c r="C34" s="31" t="s">
        <v>441</v>
      </c>
      <c r="D34" s="31" t="s">
        <v>98</v>
      </c>
      <c r="E34" s="31" t="s">
        <v>198</v>
      </c>
      <c r="F34" s="44">
        <v>200</v>
      </c>
      <c r="G34" s="44">
        <v>253</v>
      </c>
      <c r="H34" s="44">
        <v>20151</v>
      </c>
      <c r="I34" s="44">
        <v>19735</v>
      </c>
      <c r="J34" s="31" t="s">
        <v>199</v>
      </c>
      <c r="K34" s="44">
        <v>24161</v>
      </c>
      <c r="L34" s="150" t="s">
        <v>51</v>
      </c>
      <c r="M34" s="151">
        <f t="shared" si="0"/>
        <v>-2336.9279999999999</v>
      </c>
      <c r="N34" s="152" t="str">
        <f>VLOOKUP(C34,'Trips&amp;Operators'!$C$1:$G$99999,5,FALSE)</f>
        <v>ADANE ELSHADAY</v>
      </c>
      <c r="O34" s="179" t="s">
        <v>195</v>
      </c>
      <c r="P34" s="153"/>
      <c r="Q34" s="31"/>
      <c r="R34" s="96" t="str">
        <f>VLOOKUP(C34,'Train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34" s="99" t="str">
        <f>VLOOKUP(C34,'Train Runs'!$A$13:$AE$9964,22,0)</f>
        <v>https://search-rtdc-monitor-bjffxe2xuh6vdkpspy63sjmuny.us-east-1.es.amazonaws.com/_plugin/kibana/#/discover/Steve-Slow-Train-Analysis-(2080s-and-2083s)?_g=(refreshInterval:(display:Off,section:0,value:0),time:(from:'2016-12-31 08:59:41-700',mode:absolute,to:'2016-12-31 11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4" s="101" t="str">
        <f t="shared" si="1"/>
        <v>"C:\Program Files (x86)\AstroGrep\AstroGrep.exe" /spath="%USERPROFILE%\AppData\Local\Temp\OnboardLogs" /stypes="*4030*201612311*" /stext=" 17:.+((SYSTEM_STATE.+slice.+state.+changed )|(ment ac)|(multiple cpu faults)|(system.+state.+changed )|(\[timeout)|(PRM\|1\|D)|(kpr)|(kdp)|(\|lc)|(penalty))" /e /r /s</v>
      </c>
      <c r="U34" s="9" t="str">
        <f t="shared" si="2"/>
        <v>4030</v>
      </c>
      <c r="V34" s="33">
        <f t="shared" si="3"/>
        <v>42735.710150462961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{"issue":{"subject":"","project_id":79,"tracker_id":40,"status_id":1,"priority_id":2,"assigned_to_id":23,"start_date":"2016-12-31","description":"","custom_fields":[{"id":1,"name":"Subdivision","value":"Other"},{"id":4,"name":"Milepost","value":"2.4161"},{"id":17,"name":"Train ID","value":"50-31"},{"id":16,"name":"Locomotive ID","value":"4030"},{"id":130,"name":"Impact","value":""},{"id":150,"name":"Time of Event (Mountain Time)","value":"10:02:37"},{"id":151,"name":"Denver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"%USERPROFILE%\AppData\Local\Temp\OnboardLogs"\RTDC4030\*4030*201612311*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"%USERPROFILE%\AppData\Local\Temp\OnboardLogs"\RTDC4030\*4030*201612311* &gt;&gt; 42735-slicedisagreementcheck.txt</v>
      </c>
      <c r="AE34" s="183" t="str">
        <f t="shared" si="8"/>
        <v>start /low /b %USERPROFILE%\Documents\GitHub\eaglep3\Utilities\DownloadLogsFromS3.py --loco 4030 --day 2016-12-31</v>
      </c>
      <c r="AF34" s="1"/>
    </row>
    <row r="35" spans="1:32" x14ac:dyDescent="0.25">
      <c r="A35" s="33">
        <v>42735.747372685182</v>
      </c>
      <c r="B35" s="31" t="s">
        <v>374</v>
      </c>
      <c r="C35" s="31" t="s">
        <v>452</v>
      </c>
      <c r="D35" s="31" t="s">
        <v>49</v>
      </c>
      <c r="E35" s="31" t="s">
        <v>375</v>
      </c>
      <c r="F35" s="44">
        <v>100</v>
      </c>
      <c r="G35" s="44">
        <v>212</v>
      </c>
      <c r="H35" s="44">
        <v>11564</v>
      </c>
      <c r="I35" s="44">
        <v>11326</v>
      </c>
      <c r="J35" s="31" t="s">
        <v>244</v>
      </c>
      <c r="K35" s="44">
        <v>11000</v>
      </c>
      <c r="L35" s="150" t="s">
        <v>51</v>
      </c>
      <c r="M35" s="151">
        <f t="shared" si="0"/>
        <v>172.12799999999999</v>
      </c>
      <c r="N35" s="152" t="str">
        <f>VLOOKUP(C35,'Trips&amp;Operators'!$C$1:$G$99999,5,FALSE)</f>
        <v>STAMBAUGH JAMES</v>
      </c>
      <c r="O35" s="179" t="s">
        <v>195</v>
      </c>
      <c r="P35" s="153"/>
      <c r="Q35" s="31"/>
      <c r="R35" s="96" t="str">
        <f>VLOOKUP(C35,'Train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35" s="99" t="str">
        <f>VLOOKUP(C35,'Train Runs'!$A$13:$AE$9964,22,0)</f>
        <v>https://search-rtdc-monitor-bjffxe2xuh6vdkpspy63sjmuny.us-east-1.es.amazonaws.com/_plugin/kibana/#/discover/Steve-Slow-Train-Analysis-(2080s-and-2083s)?_g=(refreshInterval:(display:Off,section:0,value:0),time:(from:'2016-12-31 16:51:12-700',mode:absolute,to:'2016-12-31 19:01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1" t="str">
        <f t="shared" si="1"/>
        <v>"C:\Program Files (x86)\AstroGrep\AstroGrep.exe" /spath="%USERPROFILE%\AppData\Local\Temp\OnboardLogs" /stypes="*4030*201701010*" /stext=" 00:.+((SYSTEM_STATE.+slice.+state.+changed )|(ment ac)|(multiple cpu faults)|(system.+state.+changed )|(\[timeout)|(PRM\|1\|D)|(kpr)|(kdp)|(\|lc)|(penalty))" /e /r /s</v>
      </c>
      <c r="U35" s="9" t="str">
        <f t="shared" si="2"/>
        <v>4030</v>
      </c>
      <c r="V35" s="33">
        <f t="shared" si="3"/>
        <v>42736.039039351846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{"issue":{"subject":"","project_id":79,"tracker_id":40,"status_id":1,"priority_id":2,"assigned_to_id":23,"start_date":"2016-12-31","description":"","custom_fields":[{"id":1,"name":"Subdivision","value":"Other"},{"id":4,"name":"Milepost","value":"1.1"},{"id":17,"name":"Train ID","value":"70-31"},{"id":16,"name":"Locomotive ID","value":"4030"},{"id":130,"name":"Impact","value":""},{"id":150,"name":"Time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"%USERPROFILE%\AppData\Local\Temp\OnboardLogs"\RTDC4030\*4030*201701010*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"%USERPROFILE%\AppData\Local\Temp\OnboardLogs"\RTDC4030\*4030*201701010* &gt;&gt; 42735-slicedisagreementcheck.txt</v>
      </c>
      <c r="AE35" s="183" t="str">
        <f t="shared" si="8"/>
        <v>start /low /b %USERPROFILE%\Documents\GitHub\eaglep3\Utilities\DownloadLogsFromS3.py --loco 4030 --day 2017-01-01</v>
      </c>
      <c r="AF35" s="1"/>
    </row>
    <row r="36" spans="1:32" x14ac:dyDescent="0.25">
      <c r="A36" s="33">
        <v>42735.957685185182</v>
      </c>
      <c r="B36" s="31" t="s">
        <v>463</v>
      </c>
      <c r="C36" s="31" t="s">
        <v>464</v>
      </c>
      <c r="D36" s="31" t="s">
        <v>49</v>
      </c>
      <c r="E36" s="31" t="s">
        <v>200</v>
      </c>
      <c r="F36" s="44">
        <v>0</v>
      </c>
      <c r="G36" s="44">
        <v>23</v>
      </c>
      <c r="H36" s="44">
        <v>684</v>
      </c>
      <c r="I36" s="44">
        <v>666</v>
      </c>
      <c r="J36" s="31" t="s">
        <v>201</v>
      </c>
      <c r="K36" s="44">
        <v>575</v>
      </c>
      <c r="L36" s="150" t="s">
        <v>51</v>
      </c>
      <c r="M36" s="151">
        <f t="shared" si="0"/>
        <v>48.048000000000002</v>
      </c>
      <c r="N36" s="152" t="str">
        <f>VLOOKUP(C36,'Trips&amp;Operators'!$C$1:$G$99999,5,FALSE)</f>
        <v>DAVIDSON DAVID</v>
      </c>
      <c r="O36" s="179" t="s">
        <v>195</v>
      </c>
      <c r="P36" s="153"/>
      <c r="Q36" s="31"/>
      <c r="R36" s="96" t="str">
        <f>VLOOKUP(C36,'Train Runs'!$A$13:$AE$9964,31,0)</f>
        <v>aws s3 cp s3://rtdc.mdm.uploadarchive.raw/RTDC4021/ "%USERPROFILE%\AppData\Local\Temp\OnboardLogs"\RTDC4021\2016-12-31 --exclude "*" --recursive --include "*20161231*" &amp; "%USERPROFILE%\Documents\GitHub\mrs-test-scripts\Headless Mode &amp; Sideloading\WalkAndUnGZ.bat" "%USERPROFILE%\AppData\Local\Temp\OnboardLogs"\RTDC4021\2016-12-31 &amp; aws s3 cp s3://rtdc.mdm.uploadarchive.raw/RTDC4021/ "%USERPROFILE%\AppData\Local\Temp\OnboardLogs"\RTDC4021\2017-01-01 --exclude "*" --recursive --include "*20170101*" &amp; "%USERPROFILE%\Documents\GitHub\mrs-test-scripts\Headless Mode &amp; Sideloading\WalkAndUnGZ.bat" "%USERPROFILE%\AppData\Local\Temp\OnboardLogs"\RTDC4021\2017-01-01</v>
      </c>
      <c r="S36" s="99" t="str">
        <f>VLOOKUP(C36,'Train Runs'!$A$13:$AE$9964,22,0)</f>
        <v>https://search-rtdc-monitor-bjffxe2xuh6vdkpspy63sjmuny.us-east-1.es.amazonaws.com/_plugin/kibana/#/discover/Steve-Slow-Train-Analysis-(2080s-and-2083s)?_g=(refreshInterval:(display:Off,section:0,value:0),time:(from:'2016-12-31 21:39:31-700',mode:absolute,to:'2016-12-31 23:59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1" t="str">
        <f t="shared" si="1"/>
        <v>"C:\Program Files (x86)\AstroGrep\AstroGrep.exe" /spath="%USERPROFILE%\AppData\Local\Temp\OnboardLogs" /stypes="*4021*201701010*" /stext=" 05:.+((SYSTEM_STATE.+slice.+state.+changed )|(ment ac)|(multiple cpu faults)|(system.+state.+changed )|(\[timeout)|(PRM\|1\|D)|(kpr)|(kdp)|(\|lc)|(penalty))" /e /r /s</v>
      </c>
      <c r="U36" s="9" t="str">
        <f t="shared" si="2"/>
        <v>4021</v>
      </c>
      <c r="V36" s="33">
        <f t="shared" si="3"/>
        <v>42736.249351851846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{"issue":{"subject":"","project_id":79,"tracker_id":40,"status_id":1,"priority_id":2,"assigned_to_id":23,"start_date":"2016-12-31","description":"","custom_fields":[{"id":1,"name":"Subdivision","value":"Other"},{"id":4,"name":"Milepost","value":"0.0575"},{"id":17,"name":"Train ID","value":"76-31"},{"id":16,"name":"Locomotive ID","value":"4021"},{"id":130,"name":"Impact","value":""},{"id":150,"name":"Time of Event (Mountain Time)","value":"22:59:04"},{"id":151,"name":"Denver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"%USERPROFILE%\AppData\Local\Temp\OnboardLogs"\RTDC4021\*4021*201701010*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"%USERPROFILE%\AppData\Local\Temp\OnboardLogs"\RTDC4021\*4021*201701010* &gt;&gt; 42735-slicedisagreementcheck.txt</v>
      </c>
      <c r="AE36" s="183" t="str">
        <f t="shared" si="8"/>
        <v>start /low /b %USERPROFILE%\Documents\GitHub\eaglep3\Utilities\DownloadLogsFromS3.py --loco 4021 --day 2017-01-01</v>
      </c>
      <c r="AF36" s="1"/>
    </row>
    <row r="37" spans="1:32" x14ac:dyDescent="0.25">
      <c r="A37" s="33">
        <v>42735.423692129632</v>
      </c>
      <c r="B37" s="31" t="s">
        <v>374</v>
      </c>
      <c r="C37" s="31" t="s">
        <v>441</v>
      </c>
      <c r="D37" s="31" t="s">
        <v>49</v>
      </c>
      <c r="E37" s="31" t="s">
        <v>200</v>
      </c>
      <c r="F37" s="44">
        <v>0</v>
      </c>
      <c r="G37" s="44">
        <v>45</v>
      </c>
      <c r="H37" s="44">
        <v>982</v>
      </c>
      <c r="I37" s="44">
        <v>941</v>
      </c>
      <c r="J37" s="31" t="s">
        <v>201</v>
      </c>
      <c r="K37" s="44">
        <v>826</v>
      </c>
      <c r="L37" s="150" t="s">
        <v>51</v>
      </c>
      <c r="M37" s="151">
        <f t="shared" si="0"/>
        <v>60.72</v>
      </c>
      <c r="N37" s="152" t="str">
        <f>VLOOKUP(C37,'Trips&amp;Operators'!$C$1:$G$99999,5,FALSE)</f>
        <v>ADANE ELSHADAY</v>
      </c>
      <c r="O37" s="179" t="s">
        <v>195</v>
      </c>
      <c r="P37" s="153"/>
      <c r="Q37" s="31"/>
      <c r="R37" s="96" t="str">
        <f>VLOOKUP(C37,'Train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37" s="99" t="str">
        <f>VLOOKUP(C37,'Train Runs'!$A$13:$AE$9964,22,0)</f>
        <v>https://search-rtdc-monitor-bjffxe2xuh6vdkpspy63sjmuny.us-east-1.es.amazonaws.com/_plugin/kibana/#/discover/Steve-Slow-Train-Analysis-(2080s-and-2083s)?_g=(refreshInterval:(display:Off,section:0,value:0),time:(from:'2016-12-31 08:59:41-700',mode:absolute,to:'2016-12-31 11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7" s="101" t="str">
        <f t="shared" si="1"/>
        <v>"C:\Program Files (x86)\AstroGrep\AstroGrep.exe" /spath="%USERPROFILE%\AppData\Local\Temp\OnboardLogs" /stypes="*4030*201612311*" /stext=" 17:.+((SYSTEM_STATE.+slice.+state.+changed )|(ment ac)|(multiple cpu faults)|(system.+state.+changed )|(\[timeout)|(PRM\|1\|D)|(kpr)|(kdp)|(\|lc)|(penalty))" /e /r /s</v>
      </c>
      <c r="U37" s="9" t="str">
        <f t="shared" si="2"/>
        <v>4030</v>
      </c>
      <c r="V37" s="33">
        <f t="shared" si="3"/>
        <v>42735.715358796297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{"issue":{"subject":"","project_id":79,"tracker_id":40,"status_id":1,"priority_id":2,"assigned_to_id":23,"start_date":"2016-12-31","description":"","custom_fields":[{"id":1,"name":"Subdivision","value":"Other"},{"id":4,"name":"Milepost","value":"0.0826"},{"id":17,"name":"Train ID","value":"50-31"},{"id":16,"name":"Locomotive ID","value":"4030"},{"id":130,"name":"Impact","value":""},{"id":150,"name":"Time of Event (Mountain Time)","value":"10:10:07"},{"id":151,"name":"Denver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"%USERPROFILE%\AppData\Local\Temp\OnboardLogs"\RTDC4030\*4030*201612311*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"%USERPROFILE%\AppData\Local\Temp\OnboardLogs"\RTDC4030\*4030*201612311* &gt;&gt; 42735-slicedisagreementcheck.txt</v>
      </c>
      <c r="AE37" s="183" t="str">
        <f t="shared" si="8"/>
        <v>start /low /b %USERPROFILE%\Documents\GitHub\eaglep3\Utilities\DownloadLogsFromS3.py --loco 4030 --day 2016-12-31</v>
      </c>
      <c r="AF37" s="1"/>
    </row>
    <row r="38" spans="1:32" x14ac:dyDescent="0.25">
      <c r="A38" s="33">
        <v>42735.424212962964</v>
      </c>
      <c r="B38" s="31" t="s">
        <v>374</v>
      </c>
      <c r="C38" s="31" t="s">
        <v>441</v>
      </c>
      <c r="D38" s="31" t="s">
        <v>49</v>
      </c>
      <c r="E38" s="31" t="s">
        <v>200</v>
      </c>
      <c r="F38" s="44">
        <v>0</v>
      </c>
      <c r="G38" s="44">
        <v>19</v>
      </c>
      <c r="H38" s="44">
        <v>861</v>
      </c>
      <c r="I38" s="44">
        <v>848</v>
      </c>
      <c r="J38" s="31" t="s">
        <v>201</v>
      </c>
      <c r="K38" s="44">
        <v>826</v>
      </c>
      <c r="L38" s="150" t="s">
        <v>51</v>
      </c>
      <c r="M38" s="151">
        <f t="shared" si="0"/>
        <v>11.616</v>
      </c>
      <c r="N38" s="152" t="str">
        <f>VLOOKUP(C38,'Trips&amp;Operators'!$C$1:$G$99999,5,FALSE)</f>
        <v>ADANE ELSHADAY</v>
      </c>
      <c r="O38" s="179" t="s">
        <v>195</v>
      </c>
      <c r="P38" s="153"/>
      <c r="Q38" s="31"/>
      <c r="R38" s="96" t="str">
        <f>VLOOKUP(C38,'Train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38" s="99" t="str">
        <f>VLOOKUP(C38,'Train Runs'!$A$13:$AE$9964,22,0)</f>
        <v>https://search-rtdc-monitor-bjffxe2xuh6vdkpspy63sjmuny.us-east-1.es.amazonaws.com/_plugin/kibana/#/discover/Steve-Slow-Train-Analysis-(2080s-and-2083s)?_g=(refreshInterval:(display:Off,section:0,value:0),time:(from:'2016-12-31 08:59:41-700',mode:absolute,to:'2016-12-31 11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1" t="str">
        <f t="shared" si="1"/>
        <v>"C:\Program Files (x86)\AstroGrep\AstroGrep.exe" /spath="%USERPROFILE%\AppData\Local\Temp\OnboardLogs" /stypes="*4030*201612311*" /stext=" 17:.+((SYSTEM_STATE.+slice.+state.+changed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3">
        <f t="shared" si="3"/>
        <v>42735.715879629628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{"issue":{"subject":"","project_id":79,"tracker_id":40,"status_id":1,"priority_id":2,"assigned_to_id":23,"start_date":"2016-12-31","description":"","custom_fields":[{"id":1,"name":"Subdivision","value":"Other"},{"id":4,"name":"Milepost","value":"0.0826"},{"id":17,"name":"Train ID","value":"50-31"},{"id":16,"name":"Locomotive ID","value":"4030"},{"id":130,"name":"Impact","value":""},{"id":150,"name":"Time of Event (Mountain Time)","value":"10:10:52"},{"id":151,"name":"Denver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"%USERPROFILE%\AppData\Local\Temp\OnboardLogs"\RTDC4030\*4030*201612311*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"%USERPROFILE%\AppData\Local\Temp\OnboardLogs"\RTDC4030\*4030*201612311* &gt;&gt; 42735-slicedisagreementcheck.txt</v>
      </c>
      <c r="AE38" s="183" t="str">
        <f t="shared" si="8"/>
        <v>start /low /b %USERPROFILE%\Documents\GitHub\eaglep3\Utilities\DownloadLogsFromS3.py --loco 4030 --day 2016-12-31</v>
      </c>
      <c r="AF38" s="1"/>
    </row>
    <row r="39" spans="1:32" x14ac:dyDescent="0.25">
      <c r="A39" s="33">
        <v>42735.751319444447</v>
      </c>
      <c r="B39" s="31" t="s">
        <v>374</v>
      </c>
      <c r="C39" s="31" t="s">
        <v>452</v>
      </c>
      <c r="D39" s="31" t="s">
        <v>49</v>
      </c>
      <c r="E39" s="31" t="s">
        <v>200</v>
      </c>
      <c r="F39" s="44">
        <v>0</v>
      </c>
      <c r="G39" s="44">
        <v>114</v>
      </c>
      <c r="H39" s="44">
        <v>1441</v>
      </c>
      <c r="I39" s="44">
        <v>1272</v>
      </c>
      <c r="J39" s="31" t="s">
        <v>201</v>
      </c>
      <c r="K39" s="44">
        <v>826</v>
      </c>
      <c r="L39" s="150" t="s">
        <v>51</v>
      </c>
      <c r="M39" s="151">
        <f t="shared" si="0"/>
        <v>235.488</v>
      </c>
      <c r="N39" s="152" t="str">
        <f>VLOOKUP(C39,'Trips&amp;Operators'!$C$1:$G$99999,5,FALSE)</f>
        <v>STAMBAUGH JAMES</v>
      </c>
      <c r="O39" s="179" t="s">
        <v>195</v>
      </c>
      <c r="P39" s="153"/>
      <c r="Q39" s="31"/>
      <c r="R39" s="96" t="str">
        <f>VLOOKUP(C39,'Train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39" s="99" t="str">
        <f>VLOOKUP(C39,'Train Runs'!$A$13:$AE$9964,22,0)</f>
        <v>https://search-rtdc-monitor-bjffxe2xuh6vdkpspy63sjmuny.us-east-1.es.amazonaws.com/_plugin/kibana/#/discover/Steve-Slow-Train-Analysis-(2080s-and-2083s)?_g=(refreshInterval:(display:Off,section:0,value:0),time:(from:'2016-12-31 16:51:12-700',mode:absolute,to:'2016-12-31 19:01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1" t="str">
        <f t="shared" si="1"/>
        <v>"C:\Program Files (x86)\AstroGrep\AstroGrep.exe" /spath="%USERPROFILE%\AppData\Local\Temp\OnboardLogs" /stypes="*4030*201701010*" /stext=" 01:.+((SYSTEM_STATE.+slice.+state.+changed )|(ment ac)|(multiple cpu faults)|(system.+state.+changed )|(\[timeout)|(PRM\|1\|D)|(kpr)|(kdp)|(\|lc)|(penalty))" /e /r /s</v>
      </c>
      <c r="U39" s="9" t="str">
        <f t="shared" si="2"/>
        <v>4030</v>
      </c>
      <c r="V39" s="33">
        <f t="shared" si="3"/>
        <v>42736.042986111112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{"issue":{"subject":"","project_id":79,"tracker_id":40,"status_id":1,"priority_id":2,"assigned_to_id":23,"start_date":"2016-12-31","description":"","custom_fields":[{"id":1,"name":"Subdivision","value":"Other"},{"id":4,"name":"Milepost","value":"0.0826"},{"id":17,"name":"Train ID","value":"70-31"},{"id":16,"name":"Locomotive ID","value":"4030"},{"id":130,"name":"Impact","value":""},{"id":150,"name":"Time of Event (Mountain Time)","value":"18:01:54"},{"id":151,"name":"Denver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"%USERPROFILE%\AppData\Local\Temp\OnboardLogs"\RTDC4030\*4030*201701010*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"%USERPROFILE%\AppData\Local\Temp\OnboardLogs"\RTDC4030\*4030*201701010* &gt;&gt; 42735-slicedisagreementcheck.txt</v>
      </c>
      <c r="AE39" s="183" t="str">
        <f t="shared" si="8"/>
        <v>start /low /b %USERPROFILE%\Documents\GitHub\eaglep3\Utilities\DownloadLogsFromS3.py --loco 4030 --day 2017-01-01</v>
      </c>
      <c r="AF39" s="1"/>
    </row>
    <row r="40" spans="1:32" x14ac:dyDescent="0.25">
      <c r="A40" s="33">
        <v>42735.751909722225</v>
      </c>
      <c r="B40" s="31" t="s">
        <v>374</v>
      </c>
      <c r="C40" s="31" t="s">
        <v>452</v>
      </c>
      <c r="D40" s="31" t="s">
        <v>49</v>
      </c>
      <c r="E40" s="31" t="s">
        <v>200</v>
      </c>
      <c r="F40" s="44">
        <v>0</v>
      </c>
      <c r="G40" s="44">
        <v>56</v>
      </c>
      <c r="H40" s="44">
        <v>1101</v>
      </c>
      <c r="I40" s="44">
        <v>1058</v>
      </c>
      <c r="J40" s="31" t="s">
        <v>201</v>
      </c>
      <c r="K40" s="44">
        <v>826</v>
      </c>
      <c r="L40" s="150" t="s">
        <v>51</v>
      </c>
      <c r="M40" s="151">
        <f t="shared" si="0"/>
        <v>122.496</v>
      </c>
      <c r="N40" s="152" t="str">
        <f>VLOOKUP(C40,'Trips&amp;Operators'!$C$1:$G$99999,5,FALSE)</f>
        <v>STAMBAUGH JAMES</v>
      </c>
      <c r="O40" s="179" t="s">
        <v>195</v>
      </c>
      <c r="P40" s="153"/>
      <c r="Q40" s="31"/>
      <c r="R40" s="96" t="str">
        <f>VLOOKUP(C40,'Train Runs'!$A$13:$AE$9964,31,0)</f>
        <v>aws s3 cp s3://rtdc.mdm.uploadarchive.raw/RTDC4030/ "%USERPROFILE%\AppData\Local\Temp\OnboardLogs"\RTDC4030\2016-12-31 --exclude "*" --recursive --include "*20161231*" &amp; "%USERPROFILE%\Documents\GitHub\mrs-test-scripts\Headless Mode &amp; Sideloading\WalkAndUnGZ.bat" "%USERPROFILE%\AppData\Local\Temp\OnboardLogs"\RTDC4030\2016-12-31 &amp; aws s3 cp s3://rtdc.mdm.uploadarchive.raw/RTDC4030/ "%USERPROFILE%\AppData\Local\Temp\OnboardLogs"\RTDC4030\2017-01-01 --exclude "*" --recursive --include "*20170101*" &amp; "%USERPROFILE%\Documents\GitHub\mrs-test-scripts\Headless Mode &amp; Sideloading\WalkAndUnGZ.bat" "%USERPROFILE%\AppData\Local\Temp\OnboardLogs"\RTDC4030\2017-01-01</v>
      </c>
      <c r="S40" s="99" t="str">
        <f>VLOOKUP(C40,'Train Runs'!$A$13:$AE$9964,22,0)</f>
        <v>https://search-rtdc-monitor-bjffxe2xuh6vdkpspy63sjmuny.us-east-1.es.amazonaws.com/_plugin/kibana/#/discover/Steve-Slow-Train-Analysis-(2080s-and-2083s)?_g=(refreshInterval:(display:Off,section:0,value:0),time:(from:'2016-12-31 16:51:12-700',mode:absolute,to:'2016-12-31 19:01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0" s="101" t="str">
        <f t="shared" si="1"/>
        <v>"C:\Program Files (x86)\AstroGrep\AstroGrep.exe" /spath="%USERPROFILE%\AppData\Local\Temp\OnboardLogs" /stypes="*4030*201701010*" /stext=" 01:.+((SYSTEM_STATE.+slice.+state.+changed )|(ment ac)|(multiple cpu faults)|(system.+state.+changed )|(\[timeout)|(PRM\|1\|D)|(kpr)|(kdp)|(\|lc)|(penalty))" /e /r /s</v>
      </c>
      <c r="U40" s="9" t="str">
        <f t="shared" si="2"/>
        <v>4030</v>
      </c>
      <c r="V40" s="33">
        <f t="shared" si="3"/>
        <v>42736.043576388889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{"issue":{"subject":"","project_id":79,"tracker_id":40,"status_id":1,"priority_id":2,"assigned_to_id":23,"start_date":"2016-12-31","description":"","custom_fields":[{"id":1,"name":"Subdivision","value":"Other"},{"id":4,"name":"Milepost","value":"0.0826"},{"id":17,"name":"Train ID","value":"70-31"},{"id":16,"name":"Locomotive ID","value":"4030"},{"id":130,"name":"Impact","value":""},{"id":150,"name":"Time of Event (Mountain Time)","value":"18:02:45"},{"id":151,"name":"Denver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"%USERPROFILE%\AppData\Local\Temp\OnboardLogs"\RTDC4030\*4030*201701010*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"%USERPROFILE%\AppData\Local\Temp\OnboardLogs"\RTDC4030\*4030*201701010* &gt;&gt; 42735-slicedisagreementcheck.txt</v>
      </c>
      <c r="AE40" s="183" t="str">
        <f t="shared" si="8"/>
        <v>start /low /b %USERPROFILE%\Documents\GitHub\eaglep3\Utilities\DownloadLogsFromS3.py --loco 4030 --day 2017-01-01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40">
    <sortCondition ref="W7:W40"/>
    <sortCondition ref="E7:E40"/>
    <sortCondition ref="K7:K40"/>
    <sortCondition ref="C7:C40"/>
    <sortCondition ref="F7:F40"/>
  </sortState>
  <mergeCells count="1">
    <mergeCell ref="A5:O5"/>
  </mergeCells>
  <conditionalFormatting sqref="O6:P6 R6 O74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2016-12-31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242</v>
      </c>
      <c r="B3" s="44" t="str">
        <f>A3&amp;"-"&amp;IF(DAY(Variables!$A$2)&lt;10,0,"")&amp;DAY(Variables!$A$2)</f>
        <v>242-31</v>
      </c>
      <c r="C3" s="154"/>
      <c r="D3" s="159"/>
      <c r="E3" s="31" t="s">
        <v>433</v>
      </c>
      <c r="F3" s="22" t="str">
        <f>VLOOKUP(B3,'Trips&amp;Operators'!$C$2:$E$10000,3,FALSE)</f>
        <v>STAMBAUGH</v>
      </c>
      <c r="G3" s="22" t="str">
        <f>VLOOKUP(B3,'Trips&amp;Operators'!$C$1:$F$10000,4,FALSE)</f>
        <v>JAMES</v>
      </c>
      <c r="H3" s="30" t="str">
        <f>VLOOKUP(B3,'Trips&amp;Operators'!$C$1:$H$10000,5,FALSE)</f>
        <v>STAMBAUGH JAMES</v>
      </c>
      <c r="I3" s="47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-31%22)),sort:!(Time,asc))</v>
      </c>
      <c r="J3" s="31" t="str">
        <f>VLOOKUP(B3,'Train Runs'!$A$13:$A$99961,1,FALSE)</f>
        <v>242-31</v>
      </c>
      <c r="K3" s="31" t="e">
        <f>IF(VLOOKUP(A3,$K$26:$K$49,1,FALSE),"Cancelled")</f>
        <v>#N/A</v>
      </c>
    </row>
    <row r="4" spans="1:11" x14ac:dyDescent="0.25">
      <c r="A4" s="167">
        <v>243</v>
      </c>
      <c r="B4" s="44" t="str">
        <f>A4&amp;"-"&amp;IF(DAY(Variables!$A$2)&lt;10,0,"")&amp;DAY(Variables!$A$2)</f>
        <v>243-31</v>
      </c>
      <c r="C4" s="154"/>
      <c r="D4" s="159"/>
      <c r="E4" s="31" t="s">
        <v>433</v>
      </c>
      <c r="F4" s="22" t="str">
        <f>VLOOKUP(B4,'Trips&amp;Operators'!$C$2:$E$10000,3,FALSE)</f>
        <v>HILLS</v>
      </c>
      <c r="G4" s="22" t="str">
        <f>VLOOKUP(B4,'Trips&amp;Operators'!$C$1:$F$10000,4,FALSE)</f>
        <v>DUSTIN</v>
      </c>
      <c r="H4" s="30" t="str">
        <f>VLOOKUP(B4,'Trips&amp;Operators'!$C$1:$H$10000,5,FALSE)</f>
        <v>HILLS DUSTIN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22243-31%22)),sort:!(Time,asc))</v>
      </c>
      <c r="J4" s="31" t="str">
        <f>VLOOKUP(B4,'Train Runs'!$A$13:$A$99961,1,FALSE)</f>
        <v>243-31</v>
      </c>
      <c r="K4" s="31" t="e">
        <f>IF(VLOOKUP(A4,$K$26:$K$49,1,FALSE),"Cancelled")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-31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5" s="31" t="e">
        <f>VLOOKUP(B5,'Train Runs'!$A$13:$A$99961,1,FALSE)</f>
        <v>#N/A</v>
      </c>
      <c r="K5" s="31" t="e">
        <f>IF(VLOOKUP(A5,$K$26:$K$49,1,FALSE),"Cancelled")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-31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6" s="31" t="e">
        <f>VLOOKUP(B6,'Train Runs'!$A$13:$A$99961,1,FALSE)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7"/>
      <c r="B7" s="44" t="str">
        <f>A7&amp;"-"&amp;IF(DAY(Variables!$A$2)&lt;10,0,"")&amp;DAY(Variables!$A$2)</f>
        <v>-31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7" s="31" t="e">
        <f>VLOOKUP(B7,'Train Runs'!$A$13:$A$99961,1,FALSE)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-31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8" s="31" t="e">
        <f>VLOOKUP(B8,'Train Runs'!$A$13:$A$99961,1,FALSE)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-31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9" s="31" t="e">
        <f>VLOOKUP(B9,'Train Runs'!$A$13:$A$99961,1,FALSE)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-31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0" s="31" t="e">
        <f>VLOOKUP(B10,'Train Runs'!$A$13:$A$99961,1,FALSE)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-31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1" s="31" t="e">
        <f>VLOOKUP(B11,'Train Runs'!$A$13:$A$99961,1,FALSE)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-31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2" s="31" t="e">
        <f>VLOOKUP(B12,'Train Runs'!$A$13:$A$99961,1,FALSE)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-31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3" s="31" t="e">
        <f>VLOOKUP(B13,'Train Runs'!$A$13:$A$99961,1,FALSE)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-31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4" s="31" t="e">
        <f>VLOOKUP(B14,'Train Runs'!$A$13:$A$99961,1,FALSE)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-31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5" s="31" t="e">
        <f>VLOOKUP(B15,'Train Runs'!$A$13:$A$99961,1,FALSE)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-31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6" s="31" t="e">
        <f>VLOOKUP(B16,'Train Runs'!$A$13:$A$99961,1,FALSE)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-31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7" s="31" t="e">
        <f>VLOOKUP(B17,'Train Runs'!$A$13:$A$99961,1,FALSE)</f>
        <v>#N/A</v>
      </c>
      <c r="K17" s="31" t="e">
        <f t="shared" si="2"/>
        <v>#N/A</v>
      </c>
    </row>
    <row r="18" spans="1:11" x14ac:dyDescent="0.25">
      <c r="A18" s="167"/>
      <c r="B18" s="44" t="str">
        <f>A18&amp;"-"&amp;IF(DAY(Variables!$A$2)&lt;10,0,"")&amp;DAY(Variables!$A$2)</f>
        <v>-31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-31%22)),sort:!(Time,asc))</v>
      </c>
      <c r="J18" s="31" t="e">
        <f>VLOOKUP(B18,'Train Runs'!$A$13:$A$99961,1,FALSE)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247</v>
      </c>
      <c r="G1" s="8" t="s">
        <v>246</v>
      </c>
    </row>
    <row r="2" spans="1:7" x14ac:dyDescent="0.25">
      <c r="A2" s="8">
        <v>42735.035405092596</v>
      </c>
      <c r="B2" s="21" t="s">
        <v>276</v>
      </c>
      <c r="C2" s="21" t="s">
        <v>468</v>
      </c>
      <c r="D2" s="160">
        <v>2270000</v>
      </c>
      <c r="E2" s="21" t="s">
        <v>304</v>
      </c>
      <c r="F2" s="21" t="s">
        <v>305</v>
      </c>
      <c r="G2" s="8" t="str">
        <f>E2&amp;" "&amp;F2</f>
        <v>BROWN JACOB</v>
      </c>
    </row>
    <row r="3" spans="1:7" x14ac:dyDescent="0.25">
      <c r="A3" s="8">
        <v>42735.037418981483</v>
      </c>
      <c r="B3" s="21" t="s">
        <v>374</v>
      </c>
      <c r="C3" s="21" t="s">
        <v>469</v>
      </c>
      <c r="D3" s="160">
        <v>2000000</v>
      </c>
      <c r="E3" s="21" t="s">
        <v>209</v>
      </c>
      <c r="F3" s="21" t="s">
        <v>245</v>
      </c>
      <c r="G3" s="8" t="str">
        <f t="shared" ref="G3:G66" si="0">E3&amp;" "&amp;F3</f>
        <v>STAMBAUGH JAMES</v>
      </c>
    </row>
    <row r="4" spans="1:7" x14ac:dyDescent="0.25">
      <c r="A4" s="8">
        <v>42735.048935185187</v>
      </c>
      <c r="B4" s="21" t="s">
        <v>470</v>
      </c>
      <c r="C4" s="21" t="s">
        <v>471</v>
      </c>
      <c r="D4" s="160">
        <v>2720000</v>
      </c>
      <c r="E4" s="21" t="s">
        <v>335</v>
      </c>
      <c r="F4" s="21" t="s">
        <v>336</v>
      </c>
      <c r="G4" s="8" t="str">
        <f t="shared" si="0"/>
        <v>SIMONEAUX TERA</v>
      </c>
    </row>
    <row r="5" spans="1:7" x14ac:dyDescent="0.25">
      <c r="A5" s="8">
        <v>42735.051365740743</v>
      </c>
      <c r="B5" s="21" t="s">
        <v>346</v>
      </c>
      <c r="C5" s="21" t="s">
        <v>472</v>
      </c>
      <c r="D5" s="160">
        <v>2220000</v>
      </c>
      <c r="E5" s="21" t="s">
        <v>302</v>
      </c>
      <c r="F5" s="21" t="s">
        <v>303</v>
      </c>
      <c r="G5" s="8" t="str">
        <f t="shared" si="0"/>
        <v>HILLS DUSTIN</v>
      </c>
    </row>
    <row r="6" spans="1:7" x14ac:dyDescent="0.25">
      <c r="A6" s="8">
        <v>42735.067685185182</v>
      </c>
      <c r="B6" s="21" t="s">
        <v>377</v>
      </c>
      <c r="C6" s="21" t="s">
        <v>473</v>
      </c>
      <c r="D6" s="160">
        <v>2000000</v>
      </c>
      <c r="E6" s="21" t="s">
        <v>209</v>
      </c>
      <c r="F6" s="21" t="s">
        <v>245</v>
      </c>
      <c r="G6" s="8" t="str">
        <f t="shared" si="0"/>
        <v>STAMBAUGH JAMES</v>
      </c>
    </row>
    <row r="7" spans="1:7" x14ac:dyDescent="0.25">
      <c r="A7" s="8">
        <v>42735.072627314818</v>
      </c>
      <c r="B7" s="21" t="s">
        <v>275</v>
      </c>
      <c r="C7" s="21" t="s">
        <v>474</v>
      </c>
      <c r="D7" s="160">
        <v>2270000</v>
      </c>
      <c r="E7" s="21" t="s">
        <v>304</v>
      </c>
      <c r="F7" s="21" t="s">
        <v>305</v>
      </c>
      <c r="G7" s="8" t="str">
        <f t="shared" si="0"/>
        <v>BROWN JACOB</v>
      </c>
    </row>
    <row r="8" spans="1:7" x14ac:dyDescent="0.25">
      <c r="A8" s="8">
        <v>42735.088171296295</v>
      </c>
      <c r="B8" s="21" t="s">
        <v>376</v>
      </c>
      <c r="C8" s="21" t="s">
        <v>475</v>
      </c>
      <c r="D8" s="160">
        <v>2220000</v>
      </c>
      <c r="E8" s="21" t="s">
        <v>302</v>
      </c>
      <c r="F8" s="21" t="s">
        <v>303</v>
      </c>
      <c r="G8" s="8" t="str">
        <f t="shared" si="0"/>
        <v>HILLS DUSTIN</v>
      </c>
    </row>
    <row r="9" spans="1:7" ht="15.75" thickBot="1" x14ac:dyDescent="0.3">
      <c r="A9" s="25">
        <v>42735.113449074073</v>
      </c>
      <c r="B9" s="21" t="s">
        <v>276</v>
      </c>
      <c r="C9" s="21" t="s">
        <v>476</v>
      </c>
      <c r="D9" s="160">
        <v>2270000</v>
      </c>
      <c r="E9" s="21" t="s">
        <v>304</v>
      </c>
      <c r="F9" s="21" t="s">
        <v>305</v>
      </c>
      <c r="G9" s="8" t="str">
        <f t="shared" si="0"/>
        <v>BROWN JACOB</v>
      </c>
    </row>
    <row r="10" spans="1:7" x14ac:dyDescent="0.25">
      <c r="A10" s="8">
        <v>42735.118946759256</v>
      </c>
      <c r="B10" s="21" t="s">
        <v>210</v>
      </c>
      <c r="C10" s="21" t="s">
        <v>477</v>
      </c>
      <c r="D10" s="160">
        <v>1340000</v>
      </c>
      <c r="E10" s="21" t="s">
        <v>380</v>
      </c>
      <c r="F10" s="21" t="s">
        <v>381</v>
      </c>
      <c r="G10" s="8" t="str">
        <f t="shared" si="0"/>
        <v>BEAM ROSS</v>
      </c>
    </row>
    <row r="11" spans="1:7" x14ac:dyDescent="0.25">
      <c r="A11" s="8">
        <v>42735.130740740744</v>
      </c>
      <c r="B11" s="21" t="s">
        <v>327</v>
      </c>
      <c r="C11" s="21" t="s">
        <v>478</v>
      </c>
      <c r="D11" s="160">
        <v>1340000</v>
      </c>
      <c r="E11" s="21" t="s">
        <v>380</v>
      </c>
      <c r="F11" s="21" t="s">
        <v>381</v>
      </c>
      <c r="G11" s="8" t="str">
        <f t="shared" si="0"/>
        <v>BEAM ROSS</v>
      </c>
    </row>
    <row r="12" spans="1:7" x14ac:dyDescent="0.25">
      <c r="A12" s="8">
        <v>42735.13921296296</v>
      </c>
      <c r="B12" s="21" t="s">
        <v>262</v>
      </c>
      <c r="C12" s="21" t="s">
        <v>479</v>
      </c>
      <c r="D12" s="160">
        <v>2140000</v>
      </c>
      <c r="E12" s="21" t="s">
        <v>480</v>
      </c>
      <c r="F12" s="21" t="s">
        <v>481</v>
      </c>
      <c r="G12" s="8" t="str">
        <f t="shared" si="0"/>
        <v>ROBINSON KADDIBA</v>
      </c>
    </row>
    <row r="13" spans="1:7" x14ac:dyDescent="0.25">
      <c r="A13" s="8">
        <v>42735.152384259258</v>
      </c>
      <c r="B13" s="21" t="s">
        <v>277</v>
      </c>
      <c r="C13" s="21" t="s">
        <v>482</v>
      </c>
      <c r="D13" s="160">
        <v>2140000</v>
      </c>
      <c r="E13" s="21" t="s">
        <v>480</v>
      </c>
      <c r="F13" s="21" t="s">
        <v>481</v>
      </c>
      <c r="G13" s="8" t="str">
        <f t="shared" si="0"/>
        <v>ROBINSON KADDIBA</v>
      </c>
    </row>
    <row r="14" spans="1:7" x14ac:dyDescent="0.25">
      <c r="A14" s="8">
        <v>42735.161122685182</v>
      </c>
      <c r="B14" s="21" t="s">
        <v>463</v>
      </c>
      <c r="C14" s="21" t="s">
        <v>483</v>
      </c>
      <c r="D14" s="160">
        <v>2010000</v>
      </c>
      <c r="E14" s="21" t="s">
        <v>347</v>
      </c>
      <c r="F14" s="21" t="s">
        <v>348</v>
      </c>
      <c r="G14" s="8" t="str">
        <f t="shared" si="0"/>
        <v>MAELZER KURT</v>
      </c>
    </row>
    <row r="15" spans="1:7" x14ac:dyDescent="0.25">
      <c r="A15" s="8">
        <v>42735.162314814814</v>
      </c>
      <c r="B15" s="21" t="s">
        <v>463</v>
      </c>
      <c r="C15" s="21" t="s">
        <v>483</v>
      </c>
      <c r="D15" s="160">
        <v>2010000</v>
      </c>
      <c r="E15" s="21" t="s">
        <v>347</v>
      </c>
      <c r="F15" s="21" t="s">
        <v>348</v>
      </c>
      <c r="G15" s="8" t="str">
        <f t="shared" si="0"/>
        <v>MAELZER KURT</v>
      </c>
    </row>
    <row r="16" spans="1:7" x14ac:dyDescent="0.25">
      <c r="A16" s="8">
        <v>42735.167986111112</v>
      </c>
      <c r="B16" s="21" t="s">
        <v>210</v>
      </c>
      <c r="C16" s="21" t="s">
        <v>484</v>
      </c>
      <c r="D16" s="160">
        <v>1340000</v>
      </c>
      <c r="E16" s="21" t="s">
        <v>380</v>
      </c>
      <c r="F16" s="21" t="s">
        <v>381</v>
      </c>
      <c r="G16" s="8" t="str">
        <f t="shared" si="0"/>
        <v>BEAM ROSS</v>
      </c>
    </row>
    <row r="17" spans="1:7" x14ac:dyDescent="0.25">
      <c r="A17" s="8">
        <v>42735.173101851855</v>
      </c>
      <c r="B17" s="21" t="s">
        <v>240</v>
      </c>
      <c r="C17" s="21" t="s">
        <v>485</v>
      </c>
      <c r="D17" s="160">
        <v>2010000</v>
      </c>
      <c r="E17" s="21" t="s">
        <v>347</v>
      </c>
      <c r="F17" s="21" t="s">
        <v>348</v>
      </c>
      <c r="G17" s="8" t="str">
        <f t="shared" si="0"/>
        <v>MAELZER KURT</v>
      </c>
    </row>
    <row r="18" spans="1:7" x14ac:dyDescent="0.25">
      <c r="A18" s="8">
        <v>42735.174699074072</v>
      </c>
      <c r="B18" s="21" t="s">
        <v>253</v>
      </c>
      <c r="C18" s="21" t="s">
        <v>486</v>
      </c>
      <c r="D18" s="160">
        <v>2280000</v>
      </c>
      <c r="E18" s="21" t="s">
        <v>487</v>
      </c>
      <c r="F18" s="21" t="s">
        <v>488</v>
      </c>
      <c r="G18" s="8" t="str">
        <f t="shared" si="0"/>
        <v>MAHAN DUANE</v>
      </c>
    </row>
    <row r="19" spans="1:7" x14ac:dyDescent="0.25">
      <c r="A19" s="8">
        <v>42735.179895833331</v>
      </c>
      <c r="B19" s="21" t="s">
        <v>312</v>
      </c>
      <c r="C19" s="21" t="s">
        <v>489</v>
      </c>
      <c r="D19" s="160">
        <v>2110000</v>
      </c>
      <c r="E19" s="21" t="s">
        <v>279</v>
      </c>
      <c r="F19" s="21" t="s">
        <v>280</v>
      </c>
      <c r="G19" s="8" t="str">
        <f t="shared" si="0"/>
        <v>OUN ZACK</v>
      </c>
    </row>
    <row r="20" spans="1:7" x14ac:dyDescent="0.25">
      <c r="A20" s="8">
        <v>42735.184930555559</v>
      </c>
      <c r="B20" s="21" t="s">
        <v>229</v>
      </c>
      <c r="C20" s="21" t="s">
        <v>490</v>
      </c>
      <c r="D20" s="160">
        <v>2280000</v>
      </c>
      <c r="E20" s="21" t="s">
        <v>487</v>
      </c>
      <c r="F20" s="21" t="s">
        <v>488</v>
      </c>
      <c r="G20" s="8" t="str">
        <f t="shared" si="0"/>
        <v>MAHAN DUANE</v>
      </c>
    </row>
    <row r="21" spans="1:7" x14ac:dyDescent="0.25">
      <c r="A21" s="8">
        <v>42735.187511574077</v>
      </c>
      <c r="B21" s="21" t="s">
        <v>262</v>
      </c>
      <c r="C21" s="21" t="s">
        <v>438</v>
      </c>
      <c r="D21" s="160">
        <v>2140000</v>
      </c>
      <c r="E21" s="21" t="s">
        <v>480</v>
      </c>
      <c r="F21" s="21" t="s">
        <v>481</v>
      </c>
      <c r="G21" s="8" t="str">
        <f t="shared" si="0"/>
        <v>ROBINSON KADDIBA</v>
      </c>
    </row>
    <row r="22" spans="1:7" x14ac:dyDescent="0.25">
      <c r="A22" s="27">
        <v>42735.193692129629</v>
      </c>
      <c r="B22" s="21" t="s">
        <v>311</v>
      </c>
      <c r="C22" s="21" t="s">
        <v>491</v>
      </c>
      <c r="D22" s="160">
        <v>2110000</v>
      </c>
      <c r="E22" s="21" t="s">
        <v>279</v>
      </c>
      <c r="F22" s="21" t="s">
        <v>280</v>
      </c>
      <c r="G22" s="8" t="str">
        <f t="shared" si="0"/>
        <v>OUN ZACK</v>
      </c>
    </row>
    <row r="23" spans="1:7" x14ac:dyDescent="0.25">
      <c r="A23" s="8">
        <v>42735.206770833334</v>
      </c>
      <c r="B23" s="21" t="s">
        <v>327</v>
      </c>
      <c r="C23" s="21" t="s">
        <v>492</v>
      </c>
      <c r="D23" s="160">
        <v>2260000</v>
      </c>
      <c r="E23" s="21" t="s">
        <v>493</v>
      </c>
      <c r="F23" s="21" t="s">
        <v>494</v>
      </c>
      <c r="G23" s="8" t="str">
        <f t="shared" si="0"/>
        <v>ARVIDSON DANIEL</v>
      </c>
    </row>
    <row r="24" spans="1:7" x14ac:dyDescent="0.25">
      <c r="A24" s="8">
        <v>42735.212997685187</v>
      </c>
      <c r="B24" s="21" t="s">
        <v>463</v>
      </c>
      <c r="C24" s="21" t="s">
        <v>495</v>
      </c>
      <c r="D24" s="160">
        <v>2010000</v>
      </c>
      <c r="E24" s="21" t="s">
        <v>347</v>
      </c>
      <c r="F24" s="21" t="s">
        <v>348</v>
      </c>
      <c r="G24" s="8" t="str">
        <f t="shared" si="0"/>
        <v>MAELZER KURT</v>
      </c>
    </row>
    <row r="25" spans="1:7" x14ac:dyDescent="0.25">
      <c r="A25" s="8">
        <v>42735.215162037035</v>
      </c>
      <c r="B25" s="21" t="s">
        <v>204</v>
      </c>
      <c r="C25" s="21" t="s">
        <v>496</v>
      </c>
      <c r="D25" s="160">
        <v>1340000</v>
      </c>
      <c r="E25" s="21" t="s">
        <v>380</v>
      </c>
      <c r="F25" s="21" t="s">
        <v>381</v>
      </c>
      <c r="G25" s="8" t="str">
        <f t="shared" si="0"/>
        <v>BEAM ROSS</v>
      </c>
    </row>
    <row r="26" spans="1:7" x14ac:dyDescent="0.25">
      <c r="A26" s="8">
        <v>42735.220833333333</v>
      </c>
      <c r="B26" s="21" t="s">
        <v>253</v>
      </c>
      <c r="C26" s="21" t="s">
        <v>497</v>
      </c>
      <c r="D26" s="160">
        <v>2280000</v>
      </c>
      <c r="E26" s="21" t="s">
        <v>487</v>
      </c>
      <c r="F26" s="21" t="s">
        <v>488</v>
      </c>
      <c r="G26" s="8" t="str">
        <f t="shared" si="0"/>
        <v>MAHAN DUANE</v>
      </c>
    </row>
    <row r="27" spans="1:7" x14ac:dyDescent="0.25">
      <c r="A27" s="8">
        <v>42735.221944444442</v>
      </c>
      <c r="B27" s="21" t="s">
        <v>231</v>
      </c>
      <c r="C27" s="21" t="s">
        <v>498</v>
      </c>
      <c r="D27" s="160">
        <v>2020000</v>
      </c>
      <c r="E27" s="21" t="s">
        <v>499</v>
      </c>
      <c r="F27" s="21" t="s">
        <v>382</v>
      </c>
      <c r="G27" s="8" t="str">
        <f t="shared" si="0"/>
        <v>SHOOK JOHN</v>
      </c>
    </row>
    <row r="28" spans="1:7" x14ac:dyDescent="0.25">
      <c r="A28" s="8">
        <v>42735.226527777777</v>
      </c>
      <c r="B28" s="21" t="s">
        <v>277</v>
      </c>
      <c r="C28" s="21" t="s">
        <v>500</v>
      </c>
      <c r="D28" s="160">
        <v>1100000</v>
      </c>
      <c r="E28" s="21" t="s">
        <v>501</v>
      </c>
      <c r="F28" s="21" t="s">
        <v>502</v>
      </c>
      <c r="G28" s="8" t="str">
        <f t="shared" si="0"/>
        <v>GEBRETEKLE DAGNEW</v>
      </c>
    </row>
    <row r="29" spans="1:7" x14ac:dyDescent="0.25">
      <c r="A29" s="8">
        <v>42735.227500000001</v>
      </c>
      <c r="B29" s="21" t="s">
        <v>263</v>
      </c>
      <c r="C29" s="21" t="s">
        <v>503</v>
      </c>
      <c r="D29" s="160">
        <v>2140000</v>
      </c>
      <c r="E29" s="21" t="s">
        <v>480</v>
      </c>
      <c r="F29" s="21" t="s">
        <v>481</v>
      </c>
      <c r="G29" s="8" t="str">
        <f t="shared" si="0"/>
        <v>ROBINSON KADDIBA</v>
      </c>
    </row>
    <row r="30" spans="1:7" x14ac:dyDescent="0.25">
      <c r="A30" s="8">
        <v>42735.232175925928</v>
      </c>
      <c r="B30" s="21" t="s">
        <v>312</v>
      </c>
      <c r="C30" s="21" t="s">
        <v>439</v>
      </c>
      <c r="D30" s="160">
        <v>2110000</v>
      </c>
      <c r="E30" s="21" t="s">
        <v>279</v>
      </c>
      <c r="F30" s="21" t="s">
        <v>280</v>
      </c>
      <c r="G30" s="8" t="str">
        <f t="shared" si="0"/>
        <v>OUN ZACK</v>
      </c>
    </row>
    <row r="31" spans="1:7" x14ac:dyDescent="0.25">
      <c r="A31" s="8">
        <v>42735.232951388891</v>
      </c>
      <c r="B31" s="21" t="s">
        <v>345</v>
      </c>
      <c r="C31" s="21" t="s">
        <v>504</v>
      </c>
      <c r="D31" s="160">
        <v>2020000</v>
      </c>
      <c r="E31" s="21" t="s">
        <v>499</v>
      </c>
      <c r="F31" s="21" t="s">
        <v>382</v>
      </c>
      <c r="G31" s="8" t="str">
        <f t="shared" si="0"/>
        <v>SHOOK JOHN</v>
      </c>
    </row>
    <row r="32" spans="1:7" x14ac:dyDescent="0.25">
      <c r="A32" s="8">
        <v>42735.240613425929</v>
      </c>
      <c r="B32" s="21" t="s">
        <v>326</v>
      </c>
      <c r="C32" s="21" t="s">
        <v>505</v>
      </c>
      <c r="D32" s="160">
        <v>2260000</v>
      </c>
      <c r="E32" s="21" t="s">
        <v>493</v>
      </c>
      <c r="F32" s="21" t="s">
        <v>494</v>
      </c>
      <c r="G32" s="8" t="str">
        <f t="shared" si="0"/>
        <v>ARVIDSON DANIEL</v>
      </c>
    </row>
    <row r="33" spans="1:7" x14ac:dyDescent="0.25">
      <c r="A33" s="8">
        <v>42735.24790509259</v>
      </c>
      <c r="B33" s="21" t="s">
        <v>240</v>
      </c>
      <c r="C33" s="21" t="s">
        <v>440</v>
      </c>
      <c r="D33" s="160">
        <v>2010000</v>
      </c>
      <c r="E33" s="21" t="s">
        <v>347</v>
      </c>
      <c r="F33" s="21" t="s">
        <v>348</v>
      </c>
      <c r="G33" s="8" t="str">
        <f t="shared" si="0"/>
        <v>MAELZER KURT</v>
      </c>
    </row>
    <row r="34" spans="1:7" x14ac:dyDescent="0.25">
      <c r="A34" s="8">
        <v>42735.251944444448</v>
      </c>
      <c r="B34" s="21" t="s">
        <v>231</v>
      </c>
      <c r="C34" s="21" t="s">
        <v>506</v>
      </c>
      <c r="D34" s="160">
        <v>2020000</v>
      </c>
      <c r="E34" s="21" t="s">
        <v>499</v>
      </c>
      <c r="F34" s="21" t="s">
        <v>382</v>
      </c>
      <c r="G34" s="8" t="str">
        <f t="shared" si="0"/>
        <v>SHOOK JOHN</v>
      </c>
    </row>
    <row r="35" spans="1:7" x14ac:dyDescent="0.25">
      <c r="A35" s="8">
        <v>42735.252766203703</v>
      </c>
      <c r="B35" s="21" t="s">
        <v>210</v>
      </c>
      <c r="C35" s="21" t="s">
        <v>507</v>
      </c>
      <c r="D35" s="160">
        <v>1340000</v>
      </c>
      <c r="E35" s="21" t="s">
        <v>380</v>
      </c>
      <c r="F35" s="21" t="s">
        <v>381</v>
      </c>
      <c r="G35" s="8" t="str">
        <f t="shared" si="0"/>
        <v>BEAM ROSS</v>
      </c>
    </row>
    <row r="36" spans="1:7" x14ac:dyDescent="0.25">
      <c r="A36" s="8">
        <v>42735.257037037038</v>
      </c>
      <c r="B36" s="21" t="s">
        <v>229</v>
      </c>
      <c r="C36" s="21" t="s">
        <v>508</v>
      </c>
      <c r="D36" s="160">
        <v>2280000</v>
      </c>
      <c r="E36" s="21" t="s">
        <v>487</v>
      </c>
      <c r="F36" s="21" t="s">
        <v>488</v>
      </c>
      <c r="G36" s="8" t="str">
        <f t="shared" si="0"/>
        <v>MAHAN DUANE</v>
      </c>
    </row>
    <row r="37" spans="1:7" x14ac:dyDescent="0.25">
      <c r="A37" s="8">
        <v>42735.262916666667</v>
      </c>
      <c r="B37" s="21" t="s">
        <v>278</v>
      </c>
      <c r="C37" s="21" t="s">
        <v>509</v>
      </c>
      <c r="D37" s="160">
        <v>1100000</v>
      </c>
      <c r="E37" s="21" t="s">
        <v>501</v>
      </c>
      <c r="F37" s="21" t="s">
        <v>502</v>
      </c>
      <c r="G37" s="8" t="str">
        <f t="shared" si="0"/>
        <v>GEBRETEKLE DAGNEW</v>
      </c>
    </row>
    <row r="38" spans="1:7" x14ac:dyDescent="0.25">
      <c r="A38" s="8">
        <v>42735.266631944447</v>
      </c>
      <c r="B38" s="21" t="s">
        <v>311</v>
      </c>
      <c r="C38" s="21" t="s">
        <v>510</v>
      </c>
      <c r="D38" s="160">
        <v>2110000</v>
      </c>
      <c r="E38" s="21" t="s">
        <v>279</v>
      </c>
      <c r="F38" s="21" t="s">
        <v>280</v>
      </c>
      <c r="G38" s="8" t="str">
        <f t="shared" si="0"/>
        <v>OUN ZACK</v>
      </c>
    </row>
    <row r="39" spans="1:7" x14ac:dyDescent="0.25">
      <c r="A39" s="8">
        <v>42735.26840277778</v>
      </c>
      <c r="B39" s="21" t="s">
        <v>262</v>
      </c>
      <c r="C39" s="21" t="s">
        <v>511</v>
      </c>
      <c r="D39" s="160">
        <v>2140000</v>
      </c>
      <c r="E39" s="21" t="s">
        <v>480</v>
      </c>
      <c r="F39" s="21" t="s">
        <v>481</v>
      </c>
      <c r="G39" s="8" t="str">
        <f t="shared" si="0"/>
        <v>ROBINSON KADDIBA</v>
      </c>
    </row>
    <row r="40" spans="1:7" x14ac:dyDescent="0.25">
      <c r="A40" s="8">
        <v>42735.277997685182</v>
      </c>
      <c r="B40" s="26" t="s">
        <v>345</v>
      </c>
      <c r="C40" s="21" t="s">
        <v>512</v>
      </c>
      <c r="D40" s="160">
        <v>2020000</v>
      </c>
      <c r="E40" s="21" t="s">
        <v>499</v>
      </c>
      <c r="F40" s="21" t="s">
        <v>382</v>
      </c>
      <c r="G40" s="8" t="str">
        <f t="shared" si="0"/>
        <v>SHOOK JOHN</v>
      </c>
    </row>
    <row r="41" spans="1:7" x14ac:dyDescent="0.25">
      <c r="A41" s="8">
        <v>42735.278078703705</v>
      </c>
      <c r="B41" s="21" t="s">
        <v>327</v>
      </c>
      <c r="C41" s="21" t="s">
        <v>513</v>
      </c>
      <c r="D41" s="160">
        <v>2260000</v>
      </c>
      <c r="E41" s="21" t="s">
        <v>493</v>
      </c>
      <c r="F41" s="21" t="s">
        <v>494</v>
      </c>
      <c r="G41" s="8" t="str">
        <f t="shared" si="0"/>
        <v>ARVIDSON DANIEL</v>
      </c>
    </row>
    <row r="42" spans="1:7" x14ac:dyDescent="0.25">
      <c r="A42" s="8">
        <v>42735.2809375</v>
      </c>
      <c r="B42" s="21" t="s">
        <v>252</v>
      </c>
      <c r="C42" s="21" t="s">
        <v>514</v>
      </c>
      <c r="D42" s="160">
        <v>2010000</v>
      </c>
      <c r="E42" s="21" t="s">
        <v>347</v>
      </c>
      <c r="F42" s="21" t="s">
        <v>348</v>
      </c>
      <c r="G42" s="8" t="str">
        <f t="shared" si="0"/>
        <v>MAELZER KURT</v>
      </c>
    </row>
    <row r="43" spans="1:7" x14ac:dyDescent="0.25">
      <c r="A43" s="8">
        <v>42735.287453703706</v>
      </c>
      <c r="B43" s="21" t="s">
        <v>204</v>
      </c>
      <c r="C43" s="21" t="s">
        <v>515</v>
      </c>
      <c r="D43" s="160">
        <v>1340000</v>
      </c>
      <c r="E43" s="21" t="s">
        <v>380</v>
      </c>
      <c r="F43" s="21" t="s">
        <v>381</v>
      </c>
      <c r="G43" s="8" t="str">
        <f t="shared" si="0"/>
        <v>BEAM ROSS</v>
      </c>
    </row>
    <row r="44" spans="1:7" x14ac:dyDescent="0.25">
      <c r="A44" s="8">
        <v>42735.29310185185</v>
      </c>
      <c r="B44" s="21" t="s">
        <v>231</v>
      </c>
      <c r="C44" s="21" t="s">
        <v>516</v>
      </c>
      <c r="D44" s="160">
        <v>2020000</v>
      </c>
      <c r="E44" s="21" t="s">
        <v>499</v>
      </c>
      <c r="F44" s="21" t="s">
        <v>382</v>
      </c>
      <c r="G44" s="8" t="str">
        <f t="shared" si="0"/>
        <v>SHOOK JOHN</v>
      </c>
    </row>
    <row r="45" spans="1:7" x14ac:dyDescent="0.25">
      <c r="A45" s="8">
        <v>42735.295729166668</v>
      </c>
      <c r="B45" s="21" t="s">
        <v>253</v>
      </c>
      <c r="C45" s="21" t="s">
        <v>517</v>
      </c>
      <c r="D45" s="160">
        <v>2280000</v>
      </c>
      <c r="E45" s="21" t="s">
        <v>487</v>
      </c>
      <c r="F45" s="21" t="s">
        <v>488</v>
      </c>
      <c r="G45" s="8" t="str">
        <f t="shared" si="0"/>
        <v>MAHAN DUANE</v>
      </c>
    </row>
    <row r="46" spans="1:7" x14ac:dyDescent="0.25">
      <c r="A46" s="8">
        <v>42735.297152777777</v>
      </c>
      <c r="B46" s="21" t="s">
        <v>277</v>
      </c>
      <c r="C46" s="21" t="s">
        <v>518</v>
      </c>
      <c r="D46" s="160">
        <v>1100000</v>
      </c>
      <c r="E46" s="21" t="s">
        <v>501</v>
      </c>
      <c r="F46" s="21" t="s">
        <v>502</v>
      </c>
      <c r="G46" s="8" t="str">
        <f t="shared" si="0"/>
        <v>GEBRETEKLE DAGNEW</v>
      </c>
    </row>
    <row r="47" spans="1:7" x14ac:dyDescent="0.25">
      <c r="A47" s="8">
        <v>42735.304652777777</v>
      </c>
      <c r="B47" s="21" t="s">
        <v>312</v>
      </c>
      <c r="C47" s="21" t="s">
        <v>519</v>
      </c>
      <c r="D47" s="160">
        <v>2110000</v>
      </c>
      <c r="E47" s="21" t="s">
        <v>279</v>
      </c>
      <c r="F47" s="21" t="s">
        <v>280</v>
      </c>
      <c r="G47" s="8" t="str">
        <f t="shared" si="0"/>
        <v>OUN ZACK</v>
      </c>
    </row>
    <row r="48" spans="1:7" x14ac:dyDescent="0.25">
      <c r="A48" s="8">
        <v>42735.309201388889</v>
      </c>
      <c r="B48" s="21" t="s">
        <v>263</v>
      </c>
      <c r="C48" s="21" t="s">
        <v>520</v>
      </c>
      <c r="D48" s="160">
        <v>2140000</v>
      </c>
      <c r="E48" s="21" t="s">
        <v>480</v>
      </c>
      <c r="F48" s="21" t="s">
        <v>481</v>
      </c>
      <c r="G48" s="8" t="str">
        <f t="shared" si="0"/>
        <v>ROBINSON KADDIBA</v>
      </c>
    </row>
    <row r="49" spans="1:7" x14ac:dyDescent="0.25">
      <c r="A49" s="8">
        <v>42735.315254629626</v>
      </c>
      <c r="B49" s="21" t="s">
        <v>326</v>
      </c>
      <c r="C49" s="21" t="s">
        <v>521</v>
      </c>
      <c r="D49" s="160">
        <v>2260000</v>
      </c>
      <c r="E49" s="21" t="s">
        <v>493</v>
      </c>
      <c r="F49" s="21" t="s">
        <v>494</v>
      </c>
      <c r="G49" s="8" t="str">
        <f t="shared" si="0"/>
        <v>ARVIDSON DANIEL</v>
      </c>
    </row>
    <row r="50" spans="1:7" x14ac:dyDescent="0.25">
      <c r="A50" s="8">
        <v>42735.319560185184</v>
      </c>
      <c r="B50" s="21" t="s">
        <v>345</v>
      </c>
      <c r="C50" s="21" t="s">
        <v>522</v>
      </c>
      <c r="D50" s="160">
        <v>2020000</v>
      </c>
      <c r="E50" s="21" t="s">
        <v>499</v>
      </c>
      <c r="F50" s="21" t="s">
        <v>382</v>
      </c>
      <c r="G50" s="8" t="str">
        <f t="shared" si="0"/>
        <v>SHOOK JOHN</v>
      </c>
    </row>
    <row r="51" spans="1:7" x14ac:dyDescent="0.25">
      <c r="A51" s="8">
        <v>42735.320787037039</v>
      </c>
      <c r="B51" s="21" t="s">
        <v>240</v>
      </c>
      <c r="C51" s="21" t="s">
        <v>523</v>
      </c>
      <c r="D51" s="160">
        <v>2010000</v>
      </c>
      <c r="E51" s="21" t="s">
        <v>347</v>
      </c>
      <c r="F51" s="21" t="s">
        <v>348</v>
      </c>
      <c r="G51" s="8" t="str">
        <f t="shared" si="0"/>
        <v>MAELZER KURT</v>
      </c>
    </row>
    <row r="52" spans="1:7" x14ac:dyDescent="0.25">
      <c r="A52" s="8">
        <v>42735.322152777779</v>
      </c>
      <c r="B52" s="21" t="s">
        <v>210</v>
      </c>
      <c r="C52" s="21" t="s">
        <v>524</v>
      </c>
      <c r="D52" s="160">
        <v>1340000</v>
      </c>
      <c r="E52" s="21" t="s">
        <v>380</v>
      </c>
      <c r="F52" s="21" t="s">
        <v>381</v>
      </c>
      <c r="G52" s="8" t="str">
        <f t="shared" si="0"/>
        <v>BEAM ROSS</v>
      </c>
    </row>
    <row r="53" spans="1:7" x14ac:dyDescent="0.25">
      <c r="A53" s="8">
        <v>42735.329548611109</v>
      </c>
      <c r="B53" s="21" t="s">
        <v>229</v>
      </c>
      <c r="C53" s="21" t="s">
        <v>525</v>
      </c>
      <c r="D53" s="160">
        <v>2280000</v>
      </c>
      <c r="E53" s="21" t="s">
        <v>487</v>
      </c>
      <c r="F53" s="21" t="s">
        <v>488</v>
      </c>
      <c r="G53" s="8" t="str">
        <f t="shared" si="0"/>
        <v>MAHAN DUANE</v>
      </c>
    </row>
    <row r="54" spans="1:7" x14ac:dyDescent="0.25">
      <c r="A54" s="8">
        <v>42735.33421296296</v>
      </c>
      <c r="B54" s="21" t="s">
        <v>231</v>
      </c>
      <c r="C54" s="21" t="s">
        <v>526</v>
      </c>
      <c r="D54" s="160">
        <v>2020000</v>
      </c>
      <c r="E54" s="21" t="s">
        <v>499</v>
      </c>
      <c r="F54" s="21" t="s">
        <v>382</v>
      </c>
      <c r="G54" s="8" t="str">
        <f t="shared" si="0"/>
        <v>SHOOK JOHN</v>
      </c>
    </row>
    <row r="55" spans="1:7" x14ac:dyDescent="0.25">
      <c r="A55" s="8">
        <v>42735.337233796294</v>
      </c>
      <c r="B55" s="21" t="s">
        <v>278</v>
      </c>
      <c r="C55" s="21" t="s">
        <v>527</v>
      </c>
      <c r="D55" s="160">
        <v>1100000</v>
      </c>
      <c r="E55" s="21" t="s">
        <v>501</v>
      </c>
      <c r="F55" s="21" t="s">
        <v>502</v>
      </c>
      <c r="G55" s="8" t="str">
        <f t="shared" si="0"/>
        <v>GEBRETEKLE DAGNEW</v>
      </c>
    </row>
    <row r="56" spans="1:7" x14ac:dyDescent="0.25">
      <c r="A56" s="8">
        <v>42735.339571759258</v>
      </c>
      <c r="B56" s="21" t="s">
        <v>311</v>
      </c>
      <c r="C56" s="21" t="s">
        <v>528</v>
      </c>
      <c r="D56" s="160">
        <v>2110000</v>
      </c>
      <c r="E56" s="21" t="s">
        <v>279</v>
      </c>
      <c r="F56" s="21" t="s">
        <v>280</v>
      </c>
      <c r="G56" s="8" t="str">
        <f t="shared" si="0"/>
        <v>OUN ZACK</v>
      </c>
    </row>
    <row r="57" spans="1:7" x14ac:dyDescent="0.25">
      <c r="A57" s="8">
        <v>42735.346944444442</v>
      </c>
      <c r="B57" s="21" t="s">
        <v>262</v>
      </c>
      <c r="C57" s="21" t="s">
        <v>529</v>
      </c>
      <c r="D57" s="160">
        <v>2140000</v>
      </c>
      <c r="E57" s="21" t="s">
        <v>480</v>
      </c>
      <c r="F57" s="21" t="s">
        <v>481</v>
      </c>
      <c r="G57" s="8" t="str">
        <f t="shared" si="0"/>
        <v>ROBINSON KADDIBA</v>
      </c>
    </row>
    <row r="58" spans="1:7" x14ac:dyDescent="0.25">
      <c r="A58" s="8">
        <v>42735.350960648146</v>
      </c>
      <c r="B58" s="21" t="s">
        <v>327</v>
      </c>
      <c r="C58" s="21" t="s">
        <v>530</v>
      </c>
      <c r="D58" s="160">
        <v>2260000</v>
      </c>
      <c r="E58" s="21" t="s">
        <v>493</v>
      </c>
      <c r="F58" s="21" t="s">
        <v>494</v>
      </c>
      <c r="G58" s="8" t="str">
        <f t="shared" si="0"/>
        <v>ARVIDSON DANIEL</v>
      </c>
    </row>
    <row r="59" spans="1:7" x14ac:dyDescent="0.25">
      <c r="A59" s="8">
        <v>42735.35434027778</v>
      </c>
      <c r="B59" s="21" t="s">
        <v>252</v>
      </c>
      <c r="C59" s="21" t="s">
        <v>531</v>
      </c>
      <c r="D59" s="160">
        <v>2010000</v>
      </c>
      <c r="E59" s="21" t="s">
        <v>347</v>
      </c>
      <c r="F59" s="21" t="s">
        <v>348</v>
      </c>
      <c r="G59" s="8" t="str">
        <f t="shared" si="0"/>
        <v>MAELZER KURT</v>
      </c>
    </row>
    <row r="60" spans="1:7" x14ac:dyDescent="0.25">
      <c r="A60" s="8">
        <v>42735.359768518516</v>
      </c>
      <c r="B60" s="21" t="s">
        <v>204</v>
      </c>
      <c r="C60" s="21" t="s">
        <v>532</v>
      </c>
      <c r="D60" s="160">
        <v>1340000</v>
      </c>
      <c r="E60" s="21" t="s">
        <v>380</v>
      </c>
      <c r="F60" s="21" t="s">
        <v>381</v>
      </c>
      <c r="G60" s="8" t="str">
        <f t="shared" si="0"/>
        <v>BEAM ROSS</v>
      </c>
    </row>
    <row r="61" spans="1:7" x14ac:dyDescent="0.25">
      <c r="A61" s="8">
        <v>42735.360798611109</v>
      </c>
      <c r="B61" s="21" t="s">
        <v>345</v>
      </c>
      <c r="C61" s="21" t="s">
        <v>533</v>
      </c>
      <c r="D61" s="160">
        <v>2020000</v>
      </c>
      <c r="E61" s="21" t="s">
        <v>499</v>
      </c>
      <c r="F61" s="21" t="s">
        <v>382</v>
      </c>
      <c r="G61" s="8" t="str">
        <f t="shared" si="0"/>
        <v>SHOOK JOHN</v>
      </c>
    </row>
    <row r="62" spans="1:7" x14ac:dyDescent="0.25">
      <c r="A62" s="8">
        <v>42735.366516203707</v>
      </c>
      <c r="B62" s="21" t="s">
        <v>253</v>
      </c>
      <c r="C62" s="21" t="s">
        <v>534</v>
      </c>
      <c r="D62" s="160">
        <v>2280000</v>
      </c>
      <c r="E62" s="21" t="s">
        <v>487</v>
      </c>
      <c r="F62" s="21" t="s">
        <v>488</v>
      </c>
      <c r="G62" s="8" t="str">
        <f t="shared" si="0"/>
        <v>MAHAN DUANE</v>
      </c>
    </row>
    <row r="63" spans="1:7" x14ac:dyDescent="0.25">
      <c r="A63" s="8">
        <v>42735.372187499997</v>
      </c>
      <c r="B63" s="21" t="s">
        <v>277</v>
      </c>
      <c r="C63" s="21" t="s">
        <v>535</v>
      </c>
      <c r="D63" s="160">
        <v>1100000</v>
      </c>
      <c r="E63" s="21" t="s">
        <v>501</v>
      </c>
      <c r="F63" s="21" t="s">
        <v>502</v>
      </c>
      <c r="G63" s="8" t="str">
        <f t="shared" si="0"/>
        <v>GEBRETEKLE DAGNEW</v>
      </c>
    </row>
    <row r="64" spans="1:7" x14ac:dyDescent="0.25">
      <c r="A64" s="27">
        <v>42735.375509259262</v>
      </c>
      <c r="B64" s="21" t="s">
        <v>231</v>
      </c>
      <c r="C64" s="21" t="s">
        <v>536</v>
      </c>
      <c r="D64" s="160">
        <v>2020000</v>
      </c>
      <c r="E64" s="21" t="s">
        <v>499</v>
      </c>
      <c r="F64" s="21" t="s">
        <v>382</v>
      </c>
      <c r="G64" s="8" t="str">
        <f t="shared" si="0"/>
        <v>SHOOK JOHN</v>
      </c>
    </row>
    <row r="65" spans="1:7" x14ac:dyDescent="0.25">
      <c r="A65" s="8">
        <v>42735.379490740743</v>
      </c>
      <c r="B65" s="21" t="s">
        <v>312</v>
      </c>
      <c r="C65" s="21" t="s">
        <v>537</v>
      </c>
      <c r="D65" s="160">
        <v>2110000</v>
      </c>
      <c r="E65" s="21" t="s">
        <v>279</v>
      </c>
      <c r="F65" s="21" t="s">
        <v>280</v>
      </c>
      <c r="G65" s="8" t="str">
        <f t="shared" si="0"/>
        <v>OUN ZACK</v>
      </c>
    </row>
    <row r="66" spans="1:7" x14ac:dyDescent="0.25">
      <c r="A66" s="8">
        <v>42735.380671296298</v>
      </c>
      <c r="B66" s="21" t="s">
        <v>263</v>
      </c>
      <c r="C66" s="21" t="s">
        <v>538</v>
      </c>
      <c r="D66" s="160">
        <v>2140000</v>
      </c>
      <c r="E66" s="21" t="s">
        <v>480</v>
      </c>
      <c r="F66" s="21" t="s">
        <v>481</v>
      </c>
      <c r="G66" s="8" t="str">
        <f t="shared" si="0"/>
        <v>ROBINSON KADDIBA</v>
      </c>
    </row>
    <row r="67" spans="1:7" x14ac:dyDescent="0.25">
      <c r="A67" s="8">
        <v>42735.389074074075</v>
      </c>
      <c r="B67" s="21" t="s">
        <v>326</v>
      </c>
      <c r="C67" s="21" t="s">
        <v>539</v>
      </c>
      <c r="D67" s="160">
        <v>2260000</v>
      </c>
      <c r="E67" s="21" t="s">
        <v>493</v>
      </c>
      <c r="F67" s="21" t="s">
        <v>494</v>
      </c>
      <c r="G67" s="8" t="str">
        <f t="shared" ref="G67:G130" si="1">E67&amp;" "&amp;F67</f>
        <v>ARVIDSON DANIEL</v>
      </c>
    </row>
    <row r="68" spans="1:7" x14ac:dyDescent="0.25">
      <c r="A68" s="8">
        <v>42735.391030092593</v>
      </c>
      <c r="B68" s="21" t="s">
        <v>240</v>
      </c>
      <c r="C68" s="21" t="s">
        <v>540</v>
      </c>
      <c r="D68" s="160">
        <v>2010000</v>
      </c>
      <c r="E68" s="21" t="s">
        <v>347</v>
      </c>
      <c r="F68" s="21" t="s">
        <v>348</v>
      </c>
      <c r="G68" s="8" t="str">
        <f t="shared" si="1"/>
        <v>MAELZER KURT</v>
      </c>
    </row>
    <row r="69" spans="1:7" x14ac:dyDescent="0.25">
      <c r="A69" s="8">
        <v>42735.399571759262</v>
      </c>
      <c r="B69" s="21" t="s">
        <v>210</v>
      </c>
      <c r="C69" s="21" t="s">
        <v>541</v>
      </c>
      <c r="D69" s="160">
        <v>1340000</v>
      </c>
      <c r="E69" s="21" t="s">
        <v>380</v>
      </c>
      <c r="F69" s="21" t="s">
        <v>381</v>
      </c>
      <c r="G69" s="8" t="str">
        <f t="shared" si="1"/>
        <v>BEAM ROSS</v>
      </c>
    </row>
    <row r="70" spans="1:7" x14ac:dyDescent="0.25">
      <c r="A70" s="8">
        <v>42735.402546296296</v>
      </c>
      <c r="B70" s="21" t="s">
        <v>229</v>
      </c>
      <c r="C70" s="21" t="s">
        <v>542</v>
      </c>
      <c r="D70" s="160">
        <v>2280000</v>
      </c>
      <c r="E70" s="21" t="s">
        <v>487</v>
      </c>
      <c r="F70" s="21" t="s">
        <v>488</v>
      </c>
      <c r="G70" s="8" t="str">
        <f t="shared" si="1"/>
        <v>MAHAN DUANE</v>
      </c>
    </row>
    <row r="71" spans="1:7" x14ac:dyDescent="0.25">
      <c r="A71" s="8">
        <v>42735.402662037035</v>
      </c>
      <c r="B71" s="21" t="s">
        <v>345</v>
      </c>
      <c r="C71" s="21" t="s">
        <v>543</v>
      </c>
      <c r="D71" s="160">
        <v>2020000</v>
      </c>
      <c r="E71" s="21" t="s">
        <v>499</v>
      </c>
      <c r="F71" s="21" t="s">
        <v>382</v>
      </c>
      <c r="G71" s="8" t="str">
        <f t="shared" si="1"/>
        <v>SHOOK JOHN</v>
      </c>
    </row>
    <row r="72" spans="1:7" x14ac:dyDescent="0.25">
      <c r="A72" s="8">
        <v>42735.406863425924</v>
      </c>
      <c r="B72" s="21" t="s">
        <v>278</v>
      </c>
      <c r="C72" s="21" t="s">
        <v>544</v>
      </c>
      <c r="D72" s="160">
        <v>1100000</v>
      </c>
      <c r="E72" s="21" t="s">
        <v>501</v>
      </c>
      <c r="F72" s="21" t="s">
        <v>502</v>
      </c>
      <c r="G72" s="8" t="str">
        <f t="shared" si="1"/>
        <v>GEBRETEKLE DAGNEW</v>
      </c>
    </row>
    <row r="73" spans="1:7" x14ac:dyDescent="0.25">
      <c r="A73" s="8">
        <v>42735.411736111113</v>
      </c>
      <c r="B73" s="21" t="s">
        <v>311</v>
      </c>
      <c r="C73" s="21" t="s">
        <v>545</v>
      </c>
      <c r="D73" s="160">
        <v>2110000</v>
      </c>
      <c r="E73" s="21" t="s">
        <v>279</v>
      </c>
      <c r="F73" s="21" t="s">
        <v>280</v>
      </c>
      <c r="G73" s="8" t="str">
        <f t="shared" si="1"/>
        <v>OUN ZACK</v>
      </c>
    </row>
    <row r="74" spans="1:7" x14ac:dyDescent="0.25">
      <c r="A74" s="8">
        <v>42735.416597222225</v>
      </c>
      <c r="B74" s="21" t="s">
        <v>231</v>
      </c>
      <c r="C74" s="21" t="s">
        <v>546</v>
      </c>
      <c r="D74" s="160">
        <v>2020000</v>
      </c>
      <c r="E74" s="21" t="s">
        <v>499</v>
      </c>
      <c r="F74" s="21" t="s">
        <v>382</v>
      </c>
      <c r="G74" s="8" t="str">
        <f t="shared" si="1"/>
        <v>SHOOK JOHN</v>
      </c>
    </row>
    <row r="75" spans="1:7" x14ac:dyDescent="0.25">
      <c r="A75" s="8">
        <v>42735.416979166665</v>
      </c>
      <c r="B75" s="21" t="s">
        <v>374</v>
      </c>
      <c r="C75" s="21" t="s">
        <v>441</v>
      </c>
      <c r="D75" s="160">
        <v>1820000</v>
      </c>
      <c r="E75" s="21" t="s">
        <v>547</v>
      </c>
      <c r="F75" s="21" t="s">
        <v>548</v>
      </c>
      <c r="G75" s="8" t="str">
        <f t="shared" si="1"/>
        <v>ADANE ELSHADAY</v>
      </c>
    </row>
    <row r="76" spans="1:7" x14ac:dyDescent="0.25">
      <c r="A76" s="8">
        <v>42735.421655092592</v>
      </c>
      <c r="B76" s="21" t="s">
        <v>262</v>
      </c>
      <c r="C76" s="21" t="s">
        <v>442</v>
      </c>
      <c r="D76" s="160">
        <v>2140000</v>
      </c>
      <c r="E76" s="21" t="s">
        <v>480</v>
      </c>
      <c r="F76" s="21" t="s">
        <v>481</v>
      </c>
      <c r="G76" s="8" t="str">
        <f t="shared" si="1"/>
        <v>ROBINSON KADDIBA</v>
      </c>
    </row>
    <row r="77" spans="1:7" x14ac:dyDescent="0.25">
      <c r="A77" s="8">
        <v>42735.425057870372</v>
      </c>
      <c r="B77" s="21" t="s">
        <v>327</v>
      </c>
      <c r="C77" s="21" t="s">
        <v>549</v>
      </c>
      <c r="D77" s="160">
        <v>2260000</v>
      </c>
      <c r="E77" s="21" t="s">
        <v>493</v>
      </c>
      <c r="F77" s="21" t="s">
        <v>494</v>
      </c>
      <c r="G77" s="8" t="str">
        <f t="shared" si="1"/>
        <v>ARVIDSON DANIEL</v>
      </c>
    </row>
    <row r="78" spans="1:7" x14ac:dyDescent="0.25">
      <c r="A78" s="8">
        <v>42735.428842592592</v>
      </c>
      <c r="B78" s="21" t="s">
        <v>252</v>
      </c>
      <c r="C78" s="21" t="s">
        <v>550</v>
      </c>
      <c r="D78" s="160">
        <v>2010000</v>
      </c>
      <c r="E78" s="21" t="s">
        <v>347</v>
      </c>
      <c r="F78" s="21" t="s">
        <v>348</v>
      </c>
      <c r="G78" s="8" t="str">
        <f t="shared" si="1"/>
        <v>MAELZER KURT</v>
      </c>
    </row>
    <row r="79" spans="1:7" x14ac:dyDescent="0.25">
      <c r="A79" s="8">
        <v>42735.435266203705</v>
      </c>
      <c r="B79" s="21" t="s">
        <v>204</v>
      </c>
      <c r="C79" s="21" t="s">
        <v>551</v>
      </c>
      <c r="D79" s="160">
        <v>1820000</v>
      </c>
      <c r="E79" s="21" t="s">
        <v>547</v>
      </c>
      <c r="F79" s="21" t="s">
        <v>548</v>
      </c>
      <c r="G79" s="8" t="str">
        <f t="shared" si="1"/>
        <v>ADANE ELSHADAY</v>
      </c>
    </row>
    <row r="80" spans="1:7" x14ac:dyDescent="0.25">
      <c r="A80" s="8">
        <v>42735.435601851852</v>
      </c>
      <c r="B80" s="21" t="s">
        <v>377</v>
      </c>
      <c r="C80" s="21" t="s">
        <v>552</v>
      </c>
      <c r="D80" s="160">
        <v>1340000</v>
      </c>
      <c r="E80" s="21" t="s">
        <v>380</v>
      </c>
      <c r="F80" s="21" t="s">
        <v>381</v>
      </c>
      <c r="G80" s="8" t="str">
        <f t="shared" si="1"/>
        <v>BEAM ROSS</v>
      </c>
    </row>
    <row r="81" spans="1:7" x14ac:dyDescent="0.25">
      <c r="A81" s="8">
        <v>42735.441412037035</v>
      </c>
      <c r="B81" s="21" t="s">
        <v>253</v>
      </c>
      <c r="C81" s="21" t="s">
        <v>553</v>
      </c>
      <c r="D81" s="160">
        <v>2280000</v>
      </c>
      <c r="E81" s="21" t="s">
        <v>487</v>
      </c>
      <c r="F81" s="21" t="s">
        <v>488</v>
      </c>
      <c r="G81" s="8" t="str">
        <f t="shared" si="1"/>
        <v>MAHAN DUANE</v>
      </c>
    </row>
    <row r="82" spans="1:7" x14ac:dyDescent="0.25">
      <c r="A82" s="8">
        <v>42735.443877314814</v>
      </c>
      <c r="B82" s="21" t="s">
        <v>277</v>
      </c>
      <c r="C82" s="21" t="s">
        <v>554</v>
      </c>
      <c r="D82" s="160">
        <v>1100000</v>
      </c>
      <c r="E82" s="21" t="s">
        <v>501</v>
      </c>
      <c r="F82" s="21" t="s">
        <v>502</v>
      </c>
      <c r="G82" s="8" t="str">
        <f t="shared" si="1"/>
        <v>GEBRETEKLE DAGNEW</v>
      </c>
    </row>
    <row r="83" spans="1:7" x14ac:dyDescent="0.25">
      <c r="A83" s="8">
        <v>42735.44462962963</v>
      </c>
      <c r="B83" s="21" t="s">
        <v>345</v>
      </c>
      <c r="C83" s="21" t="s">
        <v>555</v>
      </c>
      <c r="D83" s="160">
        <v>2020000</v>
      </c>
      <c r="E83" s="21" t="s">
        <v>499</v>
      </c>
      <c r="F83" s="21" t="s">
        <v>382</v>
      </c>
      <c r="G83" s="8" t="str">
        <f t="shared" si="1"/>
        <v>SHOOK JOHN</v>
      </c>
    </row>
    <row r="84" spans="1:7" x14ac:dyDescent="0.25">
      <c r="A84" s="8">
        <v>42735.451805555553</v>
      </c>
      <c r="B84" s="21" t="s">
        <v>312</v>
      </c>
      <c r="C84" s="21" t="s">
        <v>556</v>
      </c>
      <c r="D84" s="160">
        <v>2110000</v>
      </c>
      <c r="E84" s="21" t="s">
        <v>279</v>
      </c>
      <c r="F84" s="21" t="s">
        <v>280</v>
      </c>
      <c r="G84" s="8" t="str">
        <f t="shared" si="1"/>
        <v>OUN ZACK</v>
      </c>
    </row>
    <row r="85" spans="1:7" x14ac:dyDescent="0.25">
      <c r="A85" s="8">
        <v>42735.454548611109</v>
      </c>
      <c r="B85" s="21" t="s">
        <v>263</v>
      </c>
      <c r="C85" s="21" t="s">
        <v>557</v>
      </c>
      <c r="D85" s="160">
        <v>880000</v>
      </c>
      <c r="E85" s="21" t="s">
        <v>558</v>
      </c>
      <c r="F85" s="21" t="s">
        <v>255</v>
      </c>
      <c r="G85" s="8" t="str">
        <f t="shared" si="1"/>
        <v>STEWART MICHAEL</v>
      </c>
    </row>
    <row r="86" spans="1:7" x14ac:dyDescent="0.25">
      <c r="A86" s="8">
        <v>42735.459907407407</v>
      </c>
      <c r="B86" s="21" t="s">
        <v>231</v>
      </c>
      <c r="C86" s="21" t="s">
        <v>559</v>
      </c>
      <c r="D86" s="160">
        <v>2020000</v>
      </c>
      <c r="E86" s="21" t="s">
        <v>499</v>
      </c>
      <c r="F86" s="21" t="s">
        <v>382</v>
      </c>
      <c r="G86" s="8" t="str">
        <f t="shared" si="1"/>
        <v>SHOOK JOHN</v>
      </c>
    </row>
    <row r="87" spans="1:7" x14ac:dyDescent="0.25">
      <c r="A87" s="8">
        <v>42735.462685185186</v>
      </c>
      <c r="B87" s="21" t="s">
        <v>263</v>
      </c>
      <c r="C87" s="21" t="s">
        <v>557</v>
      </c>
      <c r="D87" s="160">
        <v>880000</v>
      </c>
      <c r="E87" s="21" t="s">
        <v>558</v>
      </c>
      <c r="F87" s="21" t="s">
        <v>255</v>
      </c>
      <c r="G87" s="8" t="str">
        <f t="shared" si="1"/>
        <v>STEWART MICHAEL</v>
      </c>
    </row>
    <row r="88" spans="1:7" x14ac:dyDescent="0.25">
      <c r="A88" s="8">
        <v>42735.462824074071</v>
      </c>
      <c r="B88" s="21" t="s">
        <v>326</v>
      </c>
      <c r="C88" s="21" t="s">
        <v>560</v>
      </c>
      <c r="D88" s="160">
        <v>2260000</v>
      </c>
      <c r="E88" s="21" t="s">
        <v>493</v>
      </c>
      <c r="F88" s="21" t="s">
        <v>494</v>
      </c>
      <c r="G88" s="8" t="str">
        <f t="shared" si="1"/>
        <v>ARVIDSON DANIEL</v>
      </c>
    </row>
    <row r="89" spans="1:7" x14ac:dyDescent="0.25">
      <c r="A89" s="8">
        <v>42735.464583333334</v>
      </c>
      <c r="B89" s="21" t="s">
        <v>210</v>
      </c>
      <c r="C89" s="21" t="s">
        <v>443</v>
      </c>
      <c r="D89" s="160">
        <v>1820000</v>
      </c>
      <c r="E89" s="21" t="s">
        <v>547</v>
      </c>
      <c r="F89" s="21" t="s">
        <v>548</v>
      </c>
      <c r="G89" s="8" t="str">
        <f t="shared" si="1"/>
        <v>ADANE ELSHADAY</v>
      </c>
    </row>
    <row r="90" spans="1:7" x14ac:dyDescent="0.25">
      <c r="A90" s="8">
        <v>42735.468321759261</v>
      </c>
      <c r="B90" s="21" t="s">
        <v>240</v>
      </c>
      <c r="C90" s="21" t="s">
        <v>561</v>
      </c>
      <c r="D90" s="160">
        <v>920000</v>
      </c>
      <c r="E90" s="21" t="s">
        <v>256</v>
      </c>
      <c r="F90" s="21" t="s">
        <v>255</v>
      </c>
      <c r="G90" s="8" t="str">
        <f t="shared" si="1"/>
        <v>DAVIS MICHAEL</v>
      </c>
    </row>
    <row r="91" spans="1:7" x14ac:dyDescent="0.25">
      <c r="A91" s="8">
        <v>42735.477465277778</v>
      </c>
      <c r="B91" s="21" t="s">
        <v>229</v>
      </c>
      <c r="C91" s="21" t="s">
        <v>562</v>
      </c>
      <c r="D91" s="160">
        <v>1770000</v>
      </c>
      <c r="E91" s="21" t="s">
        <v>387</v>
      </c>
      <c r="F91" s="21" t="s">
        <v>388</v>
      </c>
      <c r="G91" s="8" t="str">
        <f t="shared" si="1"/>
        <v>BRUDER RICHARD</v>
      </c>
    </row>
    <row r="92" spans="1:7" x14ac:dyDescent="0.25">
      <c r="A92" s="8">
        <v>42735.484780092593</v>
      </c>
      <c r="B92" s="21" t="s">
        <v>278</v>
      </c>
      <c r="C92" s="21" t="s">
        <v>563</v>
      </c>
      <c r="D92" s="160">
        <v>1100000</v>
      </c>
      <c r="E92" s="21" t="s">
        <v>501</v>
      </c>
      <c r="F92" s="21" t="s">
        <v>502</v>
      </c>
      <c r="G92" s="8" t="str">
        <f t="shared" si="1"/>
        <v>GEBRETEKLE DAGNEW</v>
      </c>
    </row>
    <row r="93" spans="1:7" x14ac:dyDescent="0.25">
      <c r="A93" s="8">
        <v>42735.484953703701</v>
      </c>
      <c r="B93" s="21" t="s">
        <v>311</v>
      </c>
      <c r="C93" s="21" t="s">
        <v>564</v>
      </c>
      <c r="D93" s="160">
        <v>2030000</v>
      </c>
      <c r="E93" s="21" t="s">
        <v>565</v>
      </c>
      <c r="F93" s="21" t="s">
        <v>566</v>
      </c>
      <c r="G93" s="8" t="str">
        <f t="shared" si="1"/>
        <v>KILLION DAVID</v>
      </c>
    </row>
    <row r="94" spans="1:7" x14ac:dyDescent="0.25">
      <c r="A94" s="8">
        <v>42735.485810185186</v>
      </c>
      <c r="B94" s="21" t="s">
        <v>345</v>
      </c>
      <c r="C94" s="21" t="s">
        <v>567</v>
      </c>
      <c r="D94" s="160">
        <v>2020000</v>
      </c>
      <c r="E94" s="21" t="s">
        <v>499</v>
      </c>
      <c r="F94" s="21" t="s">
        <v>382</v>
      </c>
      <c r="G94" s="8" t="str">
        <f t="shared" si="1"/>
        <v>SHOOK JOHN</v>
      </c>
    </row>
    <row r="95" spans="1:7" x14ac:dyDescent="0.25">
      <c r="A95" s="8">
        <v>42735.493750000001</v>
      </c>
      <c r="B95" s="21" t="s">
        <v>262</v>
      </c>
      <c r="C95" s="21" t="s">
        <v>444</v>
      </c>
      <c r="D95" s="160">
        <v>880000</v>
      </c>
      <c r="E95" s="21" t="s">
        <v>558</v>
      </c>
      <c r="F95" s="21" t="s">
        <v>255</v>
      </c>
      <c r="G95" s="8" t="str">
        <f t="shared" si="1"/>
        <v>STEWART MICHAEL</v>
      </c>
    </row>
    <row r="96" spans="1:7" x14ac:dyDescent="0.25">
      <c r="A96" s="8">
        <v>42735.497361111113</v>
      </c>
      <c r="B96" s="21" t="s">
        <v>327</v>
      </c>
      <c r="C96" s="21" t="s">
        <v>568</v>
      </c>
      <c r="D96" s="160">
        <v>2470000</v>
      </c>
      <c r="E96" s="21" t="s">
        <v>385</v>
      </c>
      <c r="F96" s="21" t="s">
        <v>386</v>
      </c>
      <c r="G96" s="8" t="str">
        <f t="shared" si="1"/>
        <v>ROMERO CHAD</v>
      </c>
    </row>
    <row r="97" spans="1:7" x14ac:dyDescent="0.25">
      <c r="A97" s="8">
        <v>42735.501932870371</v>
      </c>
      <c r="B97" s="21" t="s">
        <v>231</v>
      </c>
      <c r="C97" s="21" t="s">
        <v>445</v>
      </c>
      <c r="D97" s="160">
        <v>2020000</v>
      </c>
      <c r="E97" s="21" t="s">
        <v>499</v>
      </c>
      <c r="F97" s="21" t="s">
        <v>382</v>
      </c>
      <c r="G97" s="8" t="str">
        <f t="shared" si="1"/>
        <v>SHOOK JOHN</v>
      </c>
    </row>
    <row r="98" spans="1:7" x14ac:dyDescent="0.25">
      <c r="A98" s="8">
        <v>42735.504895833335</v>
      </c>
      <c r="B98" s="21" t="s">
        <v>252</v>
      </c>
      <c r="C98" s="21" t="s">
        <v>569</v>
      </c>
      <c r="D98" s="160">
        <v>920000</v>
      </c>
      <c r="E98" s="21" t="s">
        <v>256</v>
      </c>
      <c r="F98" s="21" t="s">
        <v>255</v>
      </c>
      <c r="G98" s="8" t="str">
        <f t="shared" si="1"/>
        <v>DAVIS MICHAEL</v>
      </c>
    </row>
    <row r="99" spans="1:7" x14ac:dyDescent="0.25">
      <c r="A99" s="8">
        <v>42735.508645833332</v>
      </c>
      <c r="B99" s="21" t="s">
        <v>204</v>
      </c>
      <c r="C99" s="21" t="s">
        <v>570</v>
      </c>
      <c r="D99" s="160">
        <v>1820000</v>
      </c>
      <c r="E99" s="21" t="s">
        <v>547</v>
      </c>
      <c r="F99" s="21" t="s">
        <v>548</v>
      </c>
      <c r="G99" s="8" t="str">
        <f t="shared" si="1"/>
        <v>ADANE ELSHADAY</v>
      </c>
    </row>
    <row r="100" spans="1:7" x14ac:dyDescent="0.25">
      <c r="A100" s="8">
        <v>42735.514328703706</v>
      </c>
      <c r="B100" s="21" t="s">
        <v>253</v>
      </c>
      <c r="C100" s="21" t="s">
        <v>571</v>
      </c>
      <c r="D100" s="160">
        <v>1770000</v>
      </c>
      <c r="E100" s="21" t="s">
        <v>387</v>
      </c>
      <c r="F100" s="21" t="s">
        <v>388</v>
      </c>
      <c r="G100" s="8" t="str">
        <f t="shared" si="1"/>
        <v>BRUDER RICHARD</v>
      </c>
    </row>
    <row r="101" spans="1:7" x14ac:dyDescent="0.25">
      <c r="A101" s="8">
        <v>42735.517476851855</v>
      </c>
      <c r="B101" s="21" t="s">
        <v>277</v>
      </c>
      <c r="C101" s="21" t="s">
        <v>572</v>
      </c>
      <c r="D101" s="160">
        <v>1190000</v>
      </c>
      <c r="E101" s="21" t="s">
        <v>349</v>
      </c>
      <c r="F101" s="21" t="s">
        <v>350</v>
      </c>
      <c r="G101" s="8" t="str">
        <f t="shared" si="1"/>
        <v>BRANNON JEFFREY</v>
      </c>
    </row>
    <row r="102" spans="1:7" x14ac:dyDescent="0.25">
      <c r="A102" s="8">
        <v>42735.522499999999</v>
      </c>
      <c r="B102" s="21" t="s">
        <v>312</v>
      </c>
      <c r="C102" s="21" t="s">
        <v>446</v>
      </c>
      <c r="D102" s="160">
        <v>2030000</v>
      </c>
      <c r="E102" s="21" t="s">
        <v>565</v>
      </c>
      <c r="F102" s="21" t="s">
        <v>566</v>
      </c>
      <c r="G102" s="8" t="str">
        <f t="shared" si="1"/>
        <v>KILLION DAVID</v>
      </c>
    </row>
    <row r="103" spans="1:7" x14ac:dyDescent="0.25">
      <c r="A103" s="8">
        <v>42735.527430555558</v>
      </c>
      <c r="B103" s="21" t="s">
        <v>263</v>
      </c>
      <c r="C103" s="21" t="s">
        <v>573</v>
      </c>
      <c r="D103" s="160">
        <v>880000</v>
      </c>
      <c r="E103" s="21" t="s">
        <v>558</v>
      </c>
      <c r="F103" s="21" t="s">
        <v>255</v>
      </c>
      <c r="G103" s="8" t="str">
        <f t="shared" si="1"/>
        <v>STEWART MICHAEL</v>
      </c>
    </row>
    <row r="104" spans="1:7" x14ac:dyDescent="0.25">
      <c r="A104" s="8">
        <v>42735.527638888889</v>
      </c>
      <c r="B104" s="21" t="s">
        <v>326</v>
      </c>
      <c r="C104" s="21" t="s">
        <v>574</v>
      </c>
      <c r="D104" s="160">
        <v>2370000</v>
      </c>
      <c r="E104" s="21" t="s">
        <v>389</v>
      </c>
      <c r="F104" s="21" t="s">
        <v>390</v>
      </c>
      <c r="G104" s="8" t="str">
        <f t="shared" si="1"/>
        <v>DELGADO DIANAH</v>
      </c>
    </row>
    <row r="105" spans="1:7" x14ac:dyDescent="0.25">
      <c r="A105" s="8">
        <v>42735.528460648151</v>
      </c>
      <c r="B105" s="21" t="s">
        <v>345</v>
      </c>
      <c r="C105" s="21" t="s">
        <v>575</v>
      </c>
      <c r="D105" s="160">
        <v>2020000</v>
      </c>
      <c r="E105" s="21" t="s">
        <v>499</v>
      </c>
      <c r="F105" s="21" t="s">
        <v>382</v>
      </c>
      <c r="G105" s="8" t="str">
        <f t="shared" si="1"/>
        <v>SHOOK JOHN</v>
      </c>
    </row>
    <row r="106" spans="1:7" x14ac:dyDescent="0.25">
      <c r="A106" s="8">
        <v>42735.538912037038</v>
      </c>
      <c r="B106" s="21" t="s">
        <v>240</v>
      </c>
      <c r="C106" s="21" t="s">
        <v>447</v>
      </c>
      <c r="D106" s="160">
        <v>920000</v>
      </c>
      <c r="E106" s="21" t="s">
        <v>256</v>
      </c>
      <c r="F106" s="21" t="s">
        <v>255</v>
      </c>
      <c r="G106" s="8" t="str">
        <f t="shared" si="1"/>
        <v>DAVIS MICHAEL</v>
      </c>
    </row>
    <row r="107" spans="1:7" x14ac:dyDescent="0.25">
      <c r="A107" s="8">
        <v>42735.53974537037</v>
      </c>
      <c r="B107" s="21" t="s">
        <v>210</v>
      </c>
      <c r="C107" s="21" t="s">
        <v>576</v>
      </c>
      <c r="D107" s="160">
        <v>1820000</v>
      </c>
      <c r="E107" s="21" t="s">
        <v>547</v>
      </c>
      <c r="F107" s="21" t="s">
        <v>548</v>
      </c>
      <c r="G107" s="8" t="str">
        <f t="shared" si="1"/>
        <v>ADANE ELSHADAY</v>
      </c>
    </row>
    <row r="108" spans="1:7" x14ac:dyDescent="0.25">
      <c r="A108" s="8">
        <v>42735.543206018519</v>
      </c>
      <c r="B108" s="21" t="s">
        <v>231</v>
      </c>
      <c r="C108" s="21" t="s">
        <v>577</v>
      </c>
      <c r="D108" s="160">
        <v>2020000</v>
      </c>
      <c r="E108" s="21" t="s">
        <v>499</v>
      </c>
      <c r="F108" s="21" t="s">
        <v>382</v>
      </c>
      <c r="G108" s="8" t="str">
        <f t="shared" si="1"/>
        <v>SHOOK JOHN</v>
      </c>
    </row>
    <row r="109" spans="1:7" x14ac:dyDescent="0.25">
      <c r="A109" s="8">
        <v>42735.547476851854</v>
      </c>
      <c r="B109" s="21" t="s">
        <v>229</v>
      </c>
      <c r="C109" s="21" t="s">
        <v>578</v>
      </c>
      <c r="D109" s="160">
        <v>1770000</v>
      </c>
      <c r="E109" s="21" t="s">
        <v>387</v>
      </c>
      <c r="F109" s="21" t="s">
        <v>388</v>
      </c>
      <c r="G109" s="8" t="str">
        <f t="shared" si="1"/>
        <v>BRUDER RICHARD</v>
      </c>
    </row>
    <row r="110" spans="1:7" x14ac:dyDescent="0.25">
      <c r="A110" s="8">
        <v>42735.556863425925</v>
      </c>
      <c r="B110" s="21" t="s">
        <v>278</v>
      </c>
      <c r="C110" s="21" t="s">
        <v>579</v>
      </c>
      <c r="D110" s="160">
        <v>1190000</v>
      </c>
      <c r="E110" s="21" t="s">
        <v>349</v>
      </c>
      <c r="F110" s="21" t="s">
        <v>350</v>
      </c>
      <c r="G110" s="8" t="str">
        <f t="shared" si="1"/>
        <v>BRANNON JEFFREY</v>
      </c>
    </row>
    <row r="111" spans="1:7" x14ac:dyDescent="0.25">
      <c r="A111" s="8">
        <v>42735.559004629627</v>
      </c>
      <c r="B111" s="21" t="s">
        <v>311</v>
      </c>
      <c r="C111" s="21" t="s">
        <v>448</v>
      </c>
      <c r="D111" s="160">
        <v>2030000</v>
      </c>
      <c r="E111" s="21" t="s">
        <v>565</v>
      </c>
      <c r="F111" s="21" t="s">
        <v>566</v>
      </c>
      <c r="G111" s="8" t="str">
        <f t="shared" si="1"/>
        <v>KILLION DAVID</v>
      </c>
    </row>
    <row r="112" spans="1:7" x14ac:dyDescent="0.25">
      <c r="A112" s="8">
        <v>42735.567997685182</v>
      </c>
      <c r="B112" s="21" t="s">
        <v>262</v>
      </c>
      <c r="C112" s="21" t="s">
        <v>580</v>
      </c>
      <c r="D112" s="160">
        <v>880000</v>
      </c>
      <c r="E112" s="21" t="s">
        <v>558</v>
      </c>
      <c r="F112" s="21" t="s">
        <v>255</v>
      </c>
      <c r="G112" s="8" t="str">
        <f t="shared" si="1"/>
        <v>STEWART MICHAEL</v>
      </c>
    </row>
    <row r="113" spans="1:7" x14ac:dyDescent="0.25">
      <c r="A113" s="8">
        <v>42735.569374999999</v>
      </c>
      <c r="B113" s="21" t="s">
        <v>327</v>
      </c>
      <c r="C113" s="21" t="s">
        <v>581</v>
      </c>
      <c r="D113" s="160">
        <v>2480000</v>
      </c>
      <c r="E113" s="21" t="s">
        <v>582</v>
      </c>
      <c r="F113" s="21" t="s">
        <v>303</v>
      </c>
      <c r="G113" s="8" t="str">
        <f t="shared" si="1"/>
        <v>WHITED DUSTIN</v>
      </c>
    </row>
    <row r="114" spans="1:7" x14ac:dyDescent="0.25">
      <c r="A114" s="8">
        <v>42735.570081018515</v>
      </c>
      <c r="B114" s="21" t="s">
        <v>345</v>
      </c>
      <c r="C114" s="21" t="s">
        <v>583</v>
      </c>
      <c r="D114" s="160">
        <v>2020000</v>
      </c>
      <c r="E114" s="21" t="s">
        <v>499</v>
      </c>
      <c r="F114" s="21" t="s">
        <v>382</v>
      </c>
      <c r="G114" s="8" t="str">
        <f t="shared" si="1"/>
        <v>SHOOK JOHN</v>
      </c>
    </row>
    <row r="115" spans="1:7" x14ac:dyDescent="0.25">
      <c r="A115" s="8">
        <v>42735.57849537037</v>
      </c>
      <c r="B115" s="21" t="s">
        <v>252</v>
      </c>
      <c r="C115" s="21" t="s">
        <v>584</v>
      </c>
      <c r="D115" s="160">
        <v>920000</v>
      </c>
      <c r="E115" s="21" t="s">
        <v>256</v>
      </c>
      <c r="F115" s="21" t="s">
        <v>255</v>
      </c>
      <c r="G115" s="8" t="str">
        <f t="shared" si="1"/>
        <v>DAVIS MICHAEL</v>
      </c>
    </row>
    <row r="116" spans="1:7" x14ac:dyDescent="0.25">
      <c r="A116" s="8">
        <v>42735.579224537039</v>
      </c>
      <c r="B116" s="21" t="s">
        <v>204</v>
      </c>
      <c r="C116" s="21" t="s">
        <v>585</v>
      </c>
      <c r="D116" s="160">
        <v>1820000</v>
      </c>
      <c r="E116" s="21" t="s">
        <v>547</v>
      </c>
      <c r="F116" s="21" t="s">
        <v>548</v>
      </c>
      <c r="G116" s="8" t="str">
        <f t="shared" si="1"/>
        <v>ADANE ELSHADAY</v>
      </c>
    </row>
    <row r="117" spans="1:7" x14ac:dyDescent="0.25">
      <c r="A117" s="8">
        <v>42735.584780092591</v>
      </c>
      <c r="B117" s="21" t="s">
        <v>253</v>
      </c>
      <c r="C117" s="21" t="s">
        <v>586</v>
      </c>
      <c r="D117" s="160">
        <v>1770000</v>
      </c>
      <c r="E117" s="21" t="s">
        <v>387</v>
      </c>
      <c r="F117" s="21" t="s">
        <v>388</v>
      </c>
      <c r="G117" s="8" t="str">
        <f t="shared" si="1"/>
        <v>BRUDER RICHARD</v>
      </c>
    </row>
    <row r="118" spans="1:7" x14ac:dyDescent="0.25">
      <c r="A118" s="8">
        <v>42735.586921296293</v>
      </c>
      <c r="B118" s="21" t="s">
        <v>231</v>
      </c>
      <c r="C118" s="21" t="s">
        <v>587</v>
      </c>
      <c r="D118" s="160">
        <v>1540000</v>
      </c>
      <c r="E118" s="21" t="s">
        <v>383</v>
      </c>
      <c r="F118" s="21" t="s">
        <v>384</v>
      </c>
      <c r="G118" s="8" t="str">
        <f t="shared" si="1"/>
        <v>HELVIE ADAM</v>
      </c>
    </row>
    <row r="119" spans="1:7" x14ac:dyDescent="0.25">
      <c r="A119" s="8">
        <v>42735.588622685187</v>
      </c>
      <c r="B119" s="21" t="s">
        <v>231</v>
      </c>
      <c r="C119" s="21" t="s">
        <v>587</v>
      </c>
      <c r="D119" s="160">
        <v>1540000</v>
      </c>
      <c r="E119" s="21" t="s">
        <v>383</v>
      </c>
      <c r="F119" s="21" t="s">
        <v>384</v>
      </c>
      <c r="G119" s="8" t="str">
        <f t="shared" si="1"/>
        <v>HELVIE ADAM</v>
      </c>
    </row>
    <row r="120" spans="1:7" x14ac:dyDescent="0.25">
      <c r="A120" s="8">
        <v>42735.589571759258</v>
      </c>
      <c r="B120" s="21" t="s">
        <v>277</v>
      </c>
      <c r="C120" s="21" t="s">
        <v>588</v>
      </c>
      <c r="D120" s="160">
        <v>1190000</v>
      </c>
      <c r="E120" s="21" t="s">
        <v>349</v>
      </c>
      <c r="F120" s="21" t="s">
        <v>350</v>
      </c>
      <c r="G120" s="8" t="str">
        <f t="shared" si="1"/>
        <v>BRANNON JEFFREY</v>
      </c>
    </row>
    <row r="121" spans="1:7" x14ac:dyDescent="0.25">
      <c r="A121" s="8">
        <v>42735.599166666667</v>
      </c>
      <c r="B121" s="21" t="s">
        <v>312</v>
      </c>
      <c r="C121" s="21" t="s">
        <v>589</v>
      </c>
      <c r="D121" s="160">
        <v>2030000</v>
      </c>
      <c r="E121" s="21" t="s">
        <v>565</v>
      </c>
      <c r="F121" s="21" t="s">
        <v>566</v>
      </c>
      <c r="G121" s="8" t="str">
        <f t="shared" si="1"/>
        <v>KILLION DAVID</v>
      </c>
    </row>
    <row r="122" spans="1:7" x14ac:dyDescent="0.25">
      <c r="A122" s="8">
        <v>42735.600115740737</v>
      </c>
      <c r="B122" s="26" t="s">
        <v>263</v>
      </c>
      <c r="C122" s="21" t="s">
        <v>590</v>
      </c>
      <c r="D122" s="160">
        <v>880000</v>
      </c>
      <c r="E122" s="21" t="s">
        <v>558</v>
      </c>
      <c r="F122" s="21" t="s">
        <v>255</v>
      </c>
      <c r="G122" s="8" t="str">
        <f t="shared" si="1"/>
        <v>STEWART MICHAEL</v>
      </c>
    </row>
    <row r="123" spans="1:7" x14ac:dyDescent="0.25">
      <c r="A123" s="8">
        <v>42735.60434027778</v>
      </c>
      <c r="B123" s="21" t="s">
        <v>326</v>
      </c>
      <c r="C123" s="21" t="s">
        <v>591</v>
      </c>
      <c r="D123" s="160">
        <v>2480000</v>
      </c>
      <c r="E123" s="21" t="s">
        <v>582</v>
      </c>
      <c r="F123" s="21" t="s">
        <v>303</v>
      </c>
      <c r="G123" s="8" t="str">
        <f t="shared" si="1"/>
        <v>WHITED DUSTIN</v>
      </c>
    </row>
    <row r="124" spans="1:7" x14ac:dyDescent="0.25">
      <c r="A124" s="8">
        <v>42735.609976851854</v>
      </c>
      <c r="B124" s="21" t="s">
        <v>210</v>
      </c>
      <c r="C124" s="21" t="s">
        <v>592</v>
      </c>
      <c r="D124" s="160">
        <v>1820000</v>
      </c>
      <c r="E124" s="21" t="s">
        <v>547</v>
      </c>
      <c r="F124" s="21" t="s">
        <v>548</v>
      </c>
      <c r="G124" s="8" t="str">
        <f t="shared" si="1"/>
        <v>ADANE ELSHADAY</v>
      </c>
    </row>
    <row r="125" spans="1:7" x14ac:dyDescent="0.25">
      <c r="A125" s="8">
        <v>42735.610983796294</v>
      </c>
      <c r="B125" s="21" t="s">
        <v>345</v>
      </c>
      <c r="C125" s="21" t="s">
        <v>593</v>
      </c>
      <c r="D125" s="160">
        <v>1540000</v>
      </c>
      <c r="E125" s="21" t="s">
        <v>383</v>
      </c>
      <c r="F125" s="21" t="s">
        <v>384</v>
      </c>
      <c r="G125" s="8" t="str">
        <f t="shared" si="1"/>
        <v>HELVIE ADAM</v>
      </c>
    </row>
    <row r="126" spans="1:7" x14ac:dyDescent="0.25">
      <c r="A126" s="8">
        <v>42735.611875000002</v>
      </c>
      <c r="B126" s="21" t="s">
        <v>240</v>
      </c>
      <c r="C126" s="21" t="s">
        <v>594</v>
      </c>
      <c r="D126" s="160">
        <v>920000</v>
      </c>
      <c r="E126" s="21" t="s">
        <v>256</v>
      </c>
      <c r="F126" s="21" t="s">
        <v>255</v>
      </c>
      <c r="G126" s="8" t="str">
        <f t="shared" si="1"/>
        <v>DAVIS MICHAEL</v>
      </c>
    </row>
    <row r="127" spans="1:7" x14ac:dyDescent="0.25">
      <c r="A127" s="8">
        <v>42735.620405092595</v>
      </c>
      <c r="B127" s="21" t="s">
        <v>229</v>
      </c>
      <c r="C127" s="21" t="s">
        <v>595</v>
      </c>
      <c r="D127" s="160">
        <v>1770000</v>
      </c>
      <c r="E127" s="21" t="s">
        <v>387</v>
      </c>
      <c r="F127" s="21" t="s">
        <v>388</v>
      </c>
      <c r="G127" s="8" t="str">
        <f t="shared" si="1"/>
        <v>BRUDER RICHARD</v>
      </c>
    </row>
    <row r="128" spans="1:7" x14ac:dyDescent="0.25">
      <c r="A128" s="8">
        <v>42735.629432870373</v>
      </c>
      <c r="B128" s="21" t="s">
        <v>278</v>
      </c>
      <c r="C128" s="21" t="s">
        <v>596</v>
      </c>
      <c r="D128" s="160">
        <v>1190000</v>
      </c>
      <c r="E128" s="21" t="s">
        <v>349</v>
      </c>
      <c r="F128" s="21" t="s">
        <v>350</v>
      </c>
      <c r="G128" s="8" t="str">
        <f t="shared" si="1"/>
        <v>BRANNON JEFFREY</v>
      </c>
    </row>
    <row r="129" spans="1:7" x14ac:dyDescent="0.25">
      <c r="A129" s="8">
        <v>42735.631828703707</v>
      </c>
      <c r="B129" s="21" t="s">
        <v>311</v>
      </c>
      <c r="C129" s="21" t="s">
        <v>597</v>
      </c>
      <c r="D129" s="160">
        <v>2030000</v>
      </c>
      <c r="E129" s="21" t="s">
        <v>565</v>
      </c>
      <c r="F129" s="21" t="s">
        <v>566</v>
      </c>
      <c r="G129" s="8" t="str">
        <f t="shared" si="1"/>
        <v>KILLION DAVID</v>
      </c>
    </row>
    <row r="130" spans="1:7" x14ac:dyDescent="0.25">
      <c r="A130" s="8">
        <v>42735.63690972222</v>
      </c>
      <c r="B130" s="21" t="s">
        <v>214</v>
      </c>
      <c r="C130" s="21" t="s">
        <v>598</v>
      </c>
      <c r="D130" s="160">
        <v>1540000</v>
      </c>
      <c r="E130" s="21" t="s">
        <v>383</v>
      </c>
      <c r="F130" s="21" t="s">
        <v>384</v>
      </c>
      <c r="G130" s="8" t="str">
        <f t="shared" si="1"/>
        <v>HELVIE ADAM</v>
      </c>
    </row>
    <row r="131" spans="1:7" x14ac:dyDescent="0.25">
      <c r="A131" s="8">
        <v>42735.641296296293</v>
      </c>
      <c r="B131" s="21" t="s">
        <v>262</v>
      </c>
      <c r="C131" s="21" t="s">
        <v>599</v>
      </c>
      <c r="D131" s="160">
        <v>880000</v>
      </c>
      <c r="E131" s="21" t="s">
        <v>558</v>
      </c>
      <c r="F131" s="21" t="s">
        <v>255</v>
      </c>
      <c r="G131" s="8" t="str">
        <f t="shared" ref="G131:G194" si="2">E131&amp;" "&amp;F131</f>
        <v>STEWART MICHAEL</v>
      </c>
    </row>
    <row r="132" spans="1:7" x14ac:dyDescent="0.25">
      <c r="A132" s="8">
        <v>42735.64230324074</v>
      </c>
      <c r="B132" s="21" t="s">
        <v>327</v>
      </c>
      <c r="C132" s="21" t="s">
        <v>600</v>
      </c>
      <c r="D132" s="160">
        <v>2470000</v>
      </c>
      <c r="E132" s="21" t="s">
        <v>385</v>
      </c>
      <c r="F132" s="21" t="s">
        <v>386</v>
      </c>
      <c r="G132" s="8" t="str">
        <f t="shared" si="2"/>
        <v>ROMERO CHAD</v>
      </c>
    </row>
    <row r="133" spans="1:7" x14ac:dyDescent="0.25">
      <c r="A133" s="8">
        <v>42735.650173611109</v>
      </c>
      <c r="B133" s="21" t="s">
        <v>252</v>
      </c>
      <c r="C133" s="21" t="s">
        <v>601</v>
      </c>
      <c r="D133" s="160">
        <v>920000</v>
      </c>
      <c r="E133" s="21" t="s">
        <v>256</v>
      </c>
      <c r="F133" s="21" t="s">
        <v>255</v>
      </c>
      <c r="G133" s="8" t="str">
        <f t="shared" si="2"/>
        <v>DAVIS MICHAEL</v>
      </c>
    </row>
    <row r="134" spans="1:7" x14ac:dyDescent="0.25">
      <c r="A134" s="8">
        <v>42735.650393518517</v>
      </c>
      <c r="B134" s="21" t="s">
        <v>204</v>
      </c>
      <c r="C134" s="21" t="s">
        <v>602</v>
      </c>
      <c r="D134" s="160">
        <v>1820000</v>
      </c>
      <c r="E134" s="21" t="s">
        <v>547</v>
      </c>
      <c r="F134" s="21" t="s">
        <v>548</v>
      </c>
      <c r="G134" s="8" t="str">
        <f t="shared" si="2"/>
        <v>ADANE ELSHADAY</v>
      </c>
    </row>
    <row r="135" spans="1:7" x14ac:dyDescent="0.25">
      <c r="A135" s="8">
        <v>42735.651597222219</v>
      </c>
      <c r="B135" s="21" t="s">
        <v>463</v>
      </c>
      <c r="C135" s="21" t="s">
        <v>603</v>
      </c>
      <c r="D135" s="160">
        <v>1540000</v>
      </c>
      <c r="E135" s="21" t="s">
        <v>383</v>
      </c>
      <c r="F135" s="21" t="s">
        <v>384</v>
      </c>
      <c r="G135" s="8" t="str">
        <f t="shared" si="2"/>
        <v>HELVIE ADAM</v>
      </c>
    </row>
    <row r="136" spans="1:7" x14ac:dyDescent="0.25">
      <c r="A136" s="8">
        <v>42735.658692129633</v>
      </c>
      <c r="B136" s="21" t="s">
        <v>253</v>
      </c>
      <c r="C136" s="21" t="s">
        <v>604</v>
      </c>
      <c r="D136" s="160">
        <v>1770000</v>
      </c>
      <c r="E136" s="21" t="s">
        <v>387</v>
      </c>
      <c r="F136" s="21" t="s">
        <v>388</v>
      </c>
      <c r="G136" s="8" t="str">
        <f t="shared" si="2"/>
        <v>BRUDER RICHARD</v>
      </c>
    </row>
    <row r="137" spans="1:7" x14ac:dyDescent="0.25">
      <c r="A137" s="8">
        <v>42735.664189814815</v>
      </c>
      <c r="B137" s="21" t="s">
        <v>277</v>
      </c>
      <c r="C137" s="21" t="s">
        <v>605</v>
      </c>
      <c r="D137" s="160">
        <v>2420000</v>
      </c>
      <c r="E137" s="21" t="s">
        <v>215</v>
      </c>
      <c r="F137" s="21" t="s">
        <v>606</v>
      </c>
      <c r="G137" s="8" t="str">
        <f t="shared" si="2"/>
        <v>HOLCOMB KAMDEN</v>
      </c>
    </row>
    <row r="138" spans="1:7" x14ac:dyDescent="0.25">
      <c r="A138" s="8">
        <v>42735.666122685187</v>
      </c>
      <c r="B138" s="21" t="s">
        <v>277</v>
      </c>
      <c r="C138" s="21" t="s">
        <v>605</v>
      </c>
      <c r="D138" s="160">
        <v>2420000</v>
      </c>
      <c r="E138" s="21" t="s">
        <v>215</v>
      </c>
      <c r="F138" s="21" t="s">
        <v>606</v>
      </c>
      <c r="G138" s="8" t="str">
        <f t="shared" si="2"/>
        <v>HOLCOMB KAMDEN</v>
      </c>
    </row>
    <row r="139" spans="1:7" x14ac:dyDescent="0.25">
      <c r="A139" s="8">
        <v>42735.669178240743</v>
      </c>
      <c r="B139" s="21" t="s">
        <v>312</v>
      </c>
      <c r="C139" s="21" t="s">
        <v>607</v>
      </c>
      <c r="D139" s="160">
        <v>2030000</v>
      </c>
      <c r="E139" s="21" t="s">
        <v>565</v>
      </c>
      <c r="F139" s="21" t="s">
        <v>566</v>
      </c>
      <c r="G139" s="8" t="str">
        <f t="shared" si="2"/>
        <v>KILLION DAVID</v>
      </c>
    </row>
    <row r="140" spans="1:7" x14ac:dyDescent="0.25">
      <c r="A140" s="8">
        <v>42735.673171296294</v>
      </c>
      <c r="B140" s="21" t="s">
        <v>263</v>
      </c>
      <c r="C140" s="21" t="s">
        <v>608</v>
      </c>
      <c r="D140" s="160">
        <v>880000</v>
      </c>
      <c r="E140" s="21" t="s">
        <v>558</v>
      </c>
      <c r="F140" s="21" t="s">
        <v>255</v>
      </c>
      <c r="G140" s="8" t="str">
        <f t="shared" si="2"/>
        <v>STEWART MICHAEL</v>
      </c>
    </row>
    <row r="141" spans="1:7" x14ac:dyDescent="0.25">
      <c r="A141" s="8">
        <v>42735.677766203706</v>
      </c>
      <c r="B141" s="21" t="s">
        <v>214</v>
      </c>
      <c r="C141" s="21" t="s">
        <v>609</v>
      </c>
      <c r="D141" s="160">
        <v>1540000</v>
      </c>
      <c r="E141" s="21" t="s">
        <v>383</v>
      </c>
      <c r="F141" s="21" t="s">
        <v>384</v>
      </c>
      <c r="G141" s="8" t="str">
        <f t="shared" si="2"/>
        <v>HELVIE ADAM</v>
      </c>
    </row>
    <row r="142" spans="1:7" x14ac:dyDescent="0.25">
      <c r="A142" s="8">
        <v>42735.679166666669</v>
      </c>
      <c r="B142" s="21" t="s">
        <v>326</v>
      </c>
      <c r="C142" s="21" t="s">
        <v>610</v>
      </c>
      <c r="D142" s="160">
        <v>2470000</v>
      </c>
      <c r="E142" s="21" t="s">
        <v>385</v>
      </c>
      <c r="F142" s="21" t="s">
        <v>386</v>
      </c>
      <c r="G142" s="8" t="str">
        <f t="shared" si="2"/>
        <v>ROMERO CHAD</v>
      </c>
    </row>
    <row r="143" spans="1:7" x14ac:dyDescent="0.25">
      <c r="A143" s="8">
        <v>42735.685196759259</v>
      </c>
      <c r="B143" s="21" t="s">
        <v>240</v>
      </c>
      <c r="C143" s="21" t="s">
        <v>611</v>
      </c>
      <c r="D143" s="160">
        <v>920000</v>
      </c>
      <c r="E143" s="21" t="s">
        <v>256</v>
      </c>
      <c r="F143" s="21" t="s">
        <v>255</v>
      </c>
      <c r="G143" s="8" t="str">
        <f t="shared" si="2"/>
        <v>DAVIS MICHAEL</v>
      </c>
    </row>
    <row r="144" spans="1:7" x14ac:dyDescent="0.25">
      <c r="A144" s="8">
        <v>42735.68990740741</v>
      </c>
      <c r="B144" s="21" t="s">
        <v>210</v>
      </c>
      <c r="C144" s="21" t="s">
        <v>612</v>
      </c>
      <c r="D144" s="160">
        <v>1820000</v>
      </c>
      <c r="E144" s="21" t="s">
        <v>547</v>
      </c>
      <c r="F144" s="21" t="s">
        <v>548</v>
      </c>
      <c r="G144" s="8" t="str">
        <f t="shared" si="2"/>
        <v>ADANE ELSHADAY</v>
      </c>
    </row>
    <row r="145" spans="1:7" x14ac:dyDescent="0.25">
      <c r="A145" s="8">
        <v>42735.69321759259</v>
      </c>
      <c r="B145" s="21" t="s">
        <v>463</v>
      </c>
      <c r="C145" s="21" t="s">
        <v>609</v>
      </c>
      <c r="D145" s="160">
        <v>1540000</v>
      </c>
      <c r="E145" s="21" t="s">
        <v>383</v>
      </c>
      <c r="F145" s="21" t="s">
        <v>384</v>
      </c>
      <c r="G145" s="8" t="str">
        <f t="shared" si="2"/>
        <v>HELVIE ADAM</v>
      </c>
    </row>
    <row r="146" spans="1:7" x14ac:dyDescent="0.25">
      <c r="A146" s="8">
        <v>42735.693842592591</v>
      </c>
      <c r="B146" s="21" t="s">
        <v>229</v>
      </c>
      <c r="C146" s="21" t="s">
        <v>613</v>
      </c>
      <c r="D146" s="160">
        <v>1770000</v>
      </c>
      <c r="E146" s="21" t="s">
        <v>387</v>
      </c>
      <c r="F146" s="21" t="s">
        <v>388</v>
      </c>
      <c r="G146" s="8" t="str">
        <f t="shared" si="2"/>
        <v>BRUDER RICHARD</v>
      </c>
    </row>
    <row r="147" spans="1:7" x14ac:dyDescent="0.25">
      <c r="A147" s="8">
        <v>42735.693854166668</v>
      </c>
      <c r="B147" s="21" t="s">
        <v>463</v>
      </c>
      <c r="C147" s="21" t="s">
        <v>614</v>
      </c>
      <c r="D147" s="160">
        <v>1540000</v>
      </c>
      <c r="E147" s="21" t="s">
        <v>383</v>
      </c>
      <c r="F147" s="21" t="s">
        <v>384</v>
      </c>
      <c r="G147" s="8" t="str">
        <f t="shared" si="2"/>
        <v>HELVIE ADAM</v>
      </c>
    </row>
    <row r="148" spans="1:7" x14ac:dyDescent="0.25">
      <c r="A148" s="8">
        <v>42735.704224537039</v>
      </c>
      <c r="B148" s="21" t="s">
        <v>311</v>
      </c>
      <c r="C148" s="21" t="s">
        <v>615</v>
      </c>
      <c r="D148" s="160">
        <v>2030000</v>
      </c>
      <c r="E148" s="21" t="s">
        <v>565</v>
      </c>
      <c r="F148" s="21" t="s">
        <v>566</v>
      </c>
      <c r="G148" s="8" t="str">
        <f t="shared" si="2"/>
        <v>KILLION DAVID</v>
      </c>
    </row>
    <row r="149" spans="1:7" x14ac:dyDescent="0.25">
      <c r="A149" s="8">
        <v>42735.704236111109</v>
      </c>
      <c r="B149" s="21" t="s">
        <v>278</v>
      </c>
      <c r="C149" s="21" t="s">
        <v>616</v>
      </c>
      <c r="D149" s="160">
        <v>2420000</v>
      </c>
      <c r="E149" s="21" t="s">
        <v>215</v>
      </c>
      <c r="F149" s="21" t="s">
        <v>606</v>
      </c>
      <c r="G149" s="8" t="str">
        <f t="shared" si="2"/>
        <v>HOLCOMB KAMDEN</v>
      </c>
    </row>
    <row r="150" spans="1:7" x14ac:dyDescent="0.25">
      <c r="A150" s="8">
        <v>42735.713726851849</v>
      </c>
      <c r="B150" s="21" t="s">
        <v>327</v>
      </c>
      <c r="C150" s="21" t="s">
        <v>617</v>
      </c>
      <c r="D150" s="160">
        <v>2470000</v>
      </c>
      <c r="E150" s="21" t="s">
        <v>385</v>
      </c>
      <c r="F150" s="21" t="s">
        <v>386</v>
      </c>
      <c r="G150" s="8" t="str">
        <f t="shared" si="2"/>
        <v>ROMERO CHAD</v>
      </c>
    </row>
    <row r="151" spans="1:7" x14ac:dyDescent="0.25">
      <c r="A151" s="8">
        <v>42735.71398148148</v>
      </c>
      <c r="B151" s="21" t="s">
        <v>262</v>
      </c>
      <c r="C151" s="21" t="s">
        <v>618</v>
      </c>
      <c r="D151" s="160">
        <v>880000</v>
      </c>
      <c r="E151" s="21" t="s">
        <v>558</v>
      </c>
      <c r="F151" s="21" t="s">
        <v>255</v>
      </c>
      <c r="G151" s="8" t="str">
        <f t="shared" si="2"/>
        <v>STEWART MICHAEL</v>
      </c>
    </row>
    <row r="152" spans="1:7" x14ac:dyDescent="0.25">
      <c r="A152" s="8">
        <v>42735.716840277775</v>
      </c>
      <c r="B152" s="21" t="s">
        <v>231</v>
      </c>
      <c r="C152" s="21" t="s">
        <v>451</v>
      </c>
      <c r="D152" s="160">
        <v>2370000</v>
      </c>
      <c r="E152" s="21" t="s">
        <v>389</v>
      </c>
      <c r="F152" s="21" t="s">
        <v>390</v>
      </c>
      <c r="G152" s="8" t="str">
        <f t="shared" si="2"/>
        <v>DELGADO DIANAH</v>
      </c>
    </row>
    <row r="153" spans="1:7" x14ac:dyDescent="0.25">
      <c r="A153" s="8">
        <v>42735.720219907409</v>
      </c>
      <c r="B153" s="21" t="s">
        <v>214</v>
      </c>
      <c r="C153" s="21" t="s">
        <v>619</v>
      </c>
      <c r="D153" s="160">
        <v>1540000</v>
      </c>
      <c r="E153" s="21" t="s">
        <v>383</v>
      </c>
      <c r="F153" s="21" t="s">
        <v>384</v>
      </c>
      <c r="G153" s="8" t="str">
        <f t="shared" si="2"/>
        <v>HELVIE ADAM</v>
      </c>
    </row>
    <row r="154" spans="1:7" x14ac:dyDescent="0.25">
      <c r="A154" s="8">
        <v>42735.723136574074</v>
      </c>
      <c r="B154" s="21" t="s">
        <v>252</v>
      </c>
      <c r="C154" s="21" t="s">
        <v>620</v>
      </c>
      <c r="D154" s="160">
        <v>920000</v>
      </c>
      <c r="E154" s="21" t="s">
        <v>256</v>
      </c>
      <c r="F154" s="21" t="s">
        <v>255</v>
      </c>
      <c r="G154" s="8" t="str">
        <f t="shared" si="2"/>
        <v>DAVIS MICHAEL</v>
      </c>
    </row>
    <row r="155" spans="1:7" x14ac:dyDescent="0.25">
      <c r="A155" s="8">
        <v>42735.724699074075</v>
      </c>
      <c r="B155" s="21" t="s">
        <v>204</v>
      </c>
      <c r="C155" s="21" t="s">
        <v>621</v>
      </c>
      <c r="D155" s="160">
        <v>1820000</v>
      </c>
      <c r="E155" s="21" t="s">
        <v>547</v>
      </c>
      <c r="F155" s="21" t="s">
        <v>548</v>
      </c>
      <c r="G155" s="8" t="str">
        <f t="shared" si="2"/>
        <v>ADANE ELSHADAY</v>
      </c>
    </row>
    <row r="156" spans="1:7" x14ac:dyDescent="0.25">
      <c r="A156" s="8">
        <v>42735.730578703704</v>
      </c>
      <c r="B156" s="21" t="s">
        <v>253</v>
      </c>
      <c r="C156" s="21" t="s">
        <v>622</v>
      </c>
      <c r="D156" s="160">
        <v>1770000</v>
      </c>
      <c r="E156" s="21" t="s">
        <v>387</v>
      </c>
      <c r="F156" s="21" t="s">
        <v>388</v>
      </c>
      <c r="G156" s="8" t="str">
        <f t="shared" si="2"/>
        <v>BRUDER RICHARD</v>
      </c>
    </row>
    <row r="157" spans="1:7" x14ac:dyDescent="0.25">
      <c r="A157" s="8">
        <v>42735.734780092593</v>
      </c>
      <c r="B157" s="21" t="s">
        <v>463</v>
      </c>
      <c r="C157" s="21" t="s">
        <v>623</v>
      </c>
      <c r="D157" s="160">
        <v>1540000</v>
      </c>
      <c r="E157" s="21" t="s">
        <v>383</v>
      </c>
      <c r="F157" s="21" t="s">
        <v>384</v>
      </c>
      <c r="G157" s="8" t="str">
        <f t="shared" si="2"/>
        <v>HELVIE ADAM</v>
      </c>
    </row>
    <row r="158" spans="1:7" x14ac:dyDescent="0.25">
      <c r="A158" s="8">
        <v>42735.738668981481</v>
      </c>
      <c r="B158" s="21" t="s">
        <v>277</v>
      </c>
      <c r="C158" s="21" t="s">
        <v>624</v>
      </c>
      <c r="D158" s="160">
        <v>2230000</v>
      </c>
      <c r="E158" s="21" t="s">
        <v>268</v>
      </c>
      <c r="F158" s="21" t="s">
        <v>255</v>
      </c>
      <c r="G158" s="8" t="str">
        <f t="shared" si="2"/>
        <v>SMITH MICHAEL</v>
      </c>
    </row>
    <row r="159" spans="1:7" x14ac:dyDescent="0.25">
      <c r="A159" s="8">
        <v>42735.741759259261</v>
      </c>
      <c r="B159" s="21" t="s">
        <v>312</v>
      </c>
      <c r="C159" s="21" t="s">
        <v>625</v>
      </c>
      <c r="D159" s="160">
        <v>2030000</v>
      </c>
      <c r="E159" s="21" t="s">
        <v>565</v>
      </c>
      <c r="F159" s="21" t="s">
        <v>566</v>
      </c>
      <c r="G159" s="8" t="str">
        <f t="shared" si="2"/>
        <v>KILLION DAVID</v>
      </c>
    </row>
    <row r="160" spans="1:7" x14ac:dyDescent="0.25">
      <c r="A160" s="8">
        <v>42735.744247685187</v>
      </c>
      <c r="B160" s="21" t="s">
        <v>374</v>
      </c>
      <c r="C160" s="21" t="s">
        <v>452</v>
      </c>
      <c r="D160" s="160">
        <v>2000000</v>
      </c>
      <c r="E160" s="21" t="s">
        <v>209</v>
      </c>
      <c r="F160" s="21" t="s">
        <v>245</v>
      </c>
      <c r="G160" s="8" t="str">
        <f t="shared" si="2"/>
        <v>STAMBAUGH JAMES</v>
      </c>
    </row>
    <row r="161" spans="1:7" x14ac:dyDescent="0.25">
      <c r="A161" s="8">
        <v>42735.745509259257</v>
      </c>
      <c r="B161" s="21" t="s">
        <v>326</v>
      </c>
      <c r="C161" s="21" t="s">
        <v>626</v>
      </c>
      <c r="D161" s="160">
        <v>2470000</v>
      </c>
      <c r="E161" s="21" t="s">
        <v>385</v>
      </c>
      <c r="F161" s="21" t="s">
        <v>386</v>
      </c>
      <c r="G161" s="8" t="str">
        <f t="shared" si="2"/>
        <v>ROMERO CHAD</v>
      </c>
    </row>
    <row r="162" spans="1:7" x14ac:dyDescent="0.25">
      <c r="A162" s="8">
        <v>42735.745879629627</v>
      </c>
      <c r="B162" s="21" t="s">
        <v>263</v>
      </c>
      <c r="C162" s="21" t="s">
        <v>627</v>
      </c>
      <c r="D162" s="160">
        <v>1190000</v>
      </c>
      <c r="E162" s="21" t="s">
        <v>349</v>
      </c>
      <c r="F162" s="21" t="s">
        <v>350</v>
      </c>
      <c r="G162" s="8" t="str">
        <f t="shared" si="2"/>
        <v>BRANNON JEFFREY</v>
      </c>
    </row>
    <row r="163" spans="1:7" x14ac:dyDescent="0.25">
      <c r="A163" s="8">
        <v>42735.748819444445</v>
      </c>
      <c r="B163" s="21" t="s">
        <v>628</v>
      </c>
      <c r="C163" s="21" t="s">
        <v>629</v>
      </c>
      <c r="D163" s="160">
        <v>2560000</v>
      </c>
      <c r="E163" s="21" t="s">
        <v>630</v>
      </c>
      <c r="F163" s="21" t="s">
        <v>631</v>
      </c>
      <c r="G163" s="8" t="str">
        <f t="shared" si="2"/>
        <v>MACDONALD THOMAS</v>
      </c>
    </row>
    <row r="164" spans="1:7" x14ac:dyDescent="0.25">
      <c r="A164" s="8">
        <v>42735.753263888888</v>
      </c>
      <c r="B164" s="21" t="s">
        <v>275</v>
      </c>
      <c r="C164" s="21" t="s">
        <v>632</v>
      </c>
      <c r="D164" s="160">
        <v>2630000</v>
      </c>
      <c r="E164" s="21" t="s">
        <v>633</v>
      </c>
      <c r="F164" s="21" t="s">
        <v>634</v>
      </c>
      <c r="G164" s="8" t="str">
        <f t="shared" si="2"/>
        <v>SAFIEF AEIMEN</v>
      </c>
    </row>
    <row r="165" spans="1:7" x14ac:dyDescent="0.25">
      <c r="A165" s="8">
        <v>42735.757245370369</v>
      </c>
      <c r="B165" s="21" t="s">
        <v>210</v>
      </c>
      <c r="C165" s="21" t="s">
        <v>453</v>
      </c>
      <c r="D165" s="160">
        <v>1820000</v>
      </c>
      <c r="E165" s="21" t="s">
        <v>547</v>
      </c>
      <c r="F165" s="21" t="s">
        <v>548</v>
      </c>
      <c r="G165" s="8" t="str">
        <f t="shared" si="2"/>
        <v>ADANE ELSHADAY</v>
      </c>
    </row>
    <row r="166" spans="1:7" x14ac:dyDescent="0.25">
      <c r="A166" s="8">
        <v>42735.759629629632</v>
      </c>
      <c r="B166" s="21" t="s">
        <v>240</v>
      </c>
      <c r="C166" s="21" t="s">
        <v>635</v>
      </c>
      <c r="D166" s="160">
        <v>2000000</v>
      </c>
      <c r="E166" s="21" t="s">
        <v>209</v>
      </c>
      <c r="F166" s="21" t="s">
        <v>245</v>
      </c>
      <c r="G166" s="8" t="str">
        <f t="shared" si="2"/>
        <v>STAMBAUGH JAMES</v>
      </c>
    </row>
    <row r="167" spans="1:7" x14ac:dyDescent="0.25">
      <c r="A167" s="8">
        <v>42735.762523148151</v>
      </c>
      <c r="B167" s="21" t="s">
        <v>214</v>
      </c>
      <c r="C167" s="21" t="s">
        <v>636</v>
      </c>
      <c r="D167" s="160">
        <v>1540000</v>
      </c>
      <c r="E167" s="21" t="s">
        <v>383</v>
      </c>
      <c r="F167" s="21" t="s">
        <v>384</v>
      </c>
      <c r="G167" s="8" t="str">
        <f t="shared" si="2"/>
        <v>HELVIE ADAM</v>
      </c>
    </row>
    <row r="168" spans="1:7" x14ac:dyDescent="0.25">
      <c r="A168" s="8">
        <v>42735.765567129631</v>
      </c>
      <c r="B168" s="21" t="s">
        <v>377</v>
      </c>
      <c r="C168" s="21" t="s">
        <v>637</v>
      </c>
      <c r="D168" s="160">
        <v>920000</v>
      </c>
      <c r="E168" s="21" t="s">
        <v>256</v>
      </c>
      <c r="F168" s="21" t="s">
        <v>255</v>
      </c>
      <c r="G168" s="8" t="str">
        <f t="shared" si="2"/>
        <v>DAVIS MICHAEL</v>
      </c>
    </row>
    <row r="169" spans="1:7" x14ac:dyDescent="0.25">
      <c r="A169" s="8">
        <v>42735.768240740741</v>
      </c>
      <c r="B169" s="21" t="s">
        <v>229</v>
      </c>
      <c r="C169" s="21" t="s">
        <v>638</v>
      </c>
      <c r="D169" s="160">
        <v>2220000</v>
      </c>
      <c r="E169" s="21" t="s">
        <v>302</v>
      </c>
      <c r="F169" s="21" t="s">
        <v>303</v>
      </c>
      <c r="G169" s="8" t="str">
        <f t="shared" si="2"/>
        <v>HILLS DUSTIN</v>
      </c>
    </row>
    <row r="170" spans="1:7" x14ac:dyDescent="0.25">
      <c r="A170" s="8">
        <v>42735.77076388889</v>
      </c>
      <c r="B170" s="21" t="s">
        <v>278</v>
      </c>
      <c r="C170" s="21" t="s">
        <v>639</v>
      </c>
      <c r="D170" s="160">
        <v>2230000</v>
      </c>
      <c r="E170" s="21" t="s">
        <v>268</v>
      </c>
      <c r="F170" s="21" t="s">
        <v>255</v>
      </c>
      <c r="G170" s="8" t="str">
        <f t="shared" si="2"/>
        <v>SMITH MICHAEL</v>
      </c>
    </row>
    <row r="171" spans="1:7" x14ac:dyDescent="0.25">
      <c r="A171" s="8">
        <v>42735.776307870372</v>
      </c>
      <c r="B171" s="21" t="s">
        <v>463</v>
      </c>
      <c r="C171" s="21" t="s">
        <v>640</v>
      </c>
      <c r="D171" s="160">
        <v>1540000</v>
      </c>
      <c r="E171" s="21" t="s">
        <v>383</v>
      </c>
      <c r="F171" s="21" t="s">
        <v>384</v>
      </c>
      <c r="G171" s="8" t="str">
        <f t="shared" si="2"/>
        <v>HELVIE ADAM</v>
      </c>
    </row>
    <row r="172" spans="1:7" x14ac:dyDescent="0.25">
      <c r="A172" s="8">
        <v>42735.778252314813</v>
      </c>
      <c r="B172" s="21" t="s">
        <v>311</v>
      </c>
      <c r="C172" s="21" t="s">
        <v>641</v>
      </c>
      <c r="D172" s="160">
        <v>2030000</v>
      </c>
      <c r="E172" s="21" t="s">
        <v>565</v>
      </c>
      <c r="F172" s="21" t="s">
        <v>566</v>
      </c>
      <c r="G172" s="8" t="str">
        <f t="shared" si="2"/>
        <v>KILLION DAVID</v>
      </c>
    </row>
    <row r="173" spans="1:7" x14ac:dyDescent="0.25">
      <c r="A173" s="8">
        <v>42735.785787037035</v>
      </c>
      <c r="B173" s="21" t="s">
        <v>262</v>
      </c>
      <c r="C173" s="21" t="s">
        <v>454</v>
      </c>
      <c r="D173" s="160">
        <v>1190000</v>
      </c>
      <c r="E173" s="21" t="s">
        <v>349</v>
      </c>
      <c r="F173" s="21" t="s">
        <v>350</v>
      </c>
      <c r="G173" s="8" t="str">
        <f t="shared" si="2"/>
        <v>BRANNON JEFFREY</v>
      </c>
    </row>
    <row r="174" spans="1:7" x14ac:dyDescent="0.25">
      <c r="A174" s="8">
        <v>42735.789803240739</v>
      </c>
      <c r="B174" s="21" t="s">
        <v>327</v>
      </c>
      <c r="C174" s="21" t="s">
        <v>642</v>
      </c>
      <c r="D174" s="160">
        <v>2270000</v>
      </c>
      <c r="E174" s="21" t="s">
        <v>304</v>
      </c>
      <c r="F174" s="21" t="s">
        <v>305</v>
      </c>
      <c r="G174" s="8" t="str">
        <f t="shared" si="2"/>
        <v>BROWN JACOB</v>
      </c>
    </row>
    <row r="175" spans="1:7" x14ac:dyDescent="0.25">
      <c r="A175" s="8">
        <v>42735.796354166669</v>
      </c>
      <c r="B175" s="21" t="s">
        <v>252</v>
      </c>
      <c r="C175" s="21" t="s">
        <v>643</v>
      </c>
      <c r="D175" s="160">
        <v>2000000</v>
      </c>
      <c r="E175" s="21" t="s">
        <v>209</v>
      </c>
      <c r="F175" s="21" t="s">
        <v>245</v>
      </c>
      <c r="G175" s="8" t="str">
        <f t="shared" si="2"/>
        <v>STAMBAUGH JAMES</v>
      </c>
    </row>
    <row r="176" spans="1:7" x14ac:dyDescent="0.25">
      <c r="A176" s="8">
        <v>42735.798506944448</v>
      </c>
      <c r="B176" s="21" t="s">
        <v>253</v>
      </c>
      <c r="C176" s="21" t="s">
        <v>455</v>
      </c>
      <c r="D176" s="160">
        <v>2220000</v>
      </c>
      <c r="E176" s="21" t="s">
        <v>302</v>
      </c>
      <c r="F176" s="21" t="s">
        <v>303</v>
      </c>
      <c r="G176" s="8" t="str">
        <f t="shared" si="2"/>
        <v>HILLS DUSTIN</v>
      </c>
    </row>
    <row r="177" spans="1:7" x14ac:dyDescent="0.25">
      <c r="A177" s="8">
        <v>42735.798657407409</v>
      </c>
      <c r="B177" s="21" t="s">
        <v>204</v>
      </c>
      <c r="C177" s="21" t="s">
        <v>644</v>
      </c>
      <c r="D177" s="160">
        <v>1820000</v>
      </c>
      <c r="E177" s="21" t="s">
        <v>547</v>
      </c>
      <c r="F177" s="21" t="s">
        <v>548</v>
      </c>
      <c r="G177" s="8" t="str">
        <f t="shared" si="2"/>
        <v>ADANE ELSHADAY</v>
      </c>
    </row>
    <row r="178" spans="1:7" x14ac:dyDescent="0.25">
      <c r="A178" s="8">
        <v>42735.803981481484</v>
      </c>
      <c r="B178" s="21" t="s">
        <v>214</v>
      </c>
      <c r="C178" s="21" t="s">
        <v>645</v>
      </c>
      <c r="D178" s="160">
        <v>1540000</v>
      </c>
      <c r="E178" s="21" t="s">
        <v>383</v>
      </c>
      <c r="F178" s="21" t="s">
        <v>384</v>
      </c>
      <c r="G178" s="8" t="str">
        <f t="shared" si="2"/>
        <v>HELVIE ADAM</v>
      </c>
    </row>
    <row r="179" spans="1:7" x14ac:dyDescent="0.25">
      <c r="A179" s="8">
        <v>42735.810601851852</v>
      </c>
      <c r="B179" s="21" t="s">
        <v>470</v>
      </c>
      <c r="C179" s="21" t="s">
        <v>646</v>
      </c>
      <c r="D179" s="160">
        <v>2230000</v>
      </c>
      <c r="E179" s="21" t="s">
        <v>268</v>
      </c>
      <c r="F179" s="21" t="s">
        <v>255</v>
      </c>
      <c r="G179" s="8" t="str">
        <f t="shared" si="2"/>
        <v>SMITH MICHAEL</v>
      </c>
    </row>
    <row r="180" spans="1:7" x14ac:dyDescent="0.25">
      <c r="A180" s="8">
        <v>42735.818773148145</v>
      </c>
      <c r="B180" s="21" t="s">
        <v>463</v>
      </c>
      <c r="C180" s="21" t="s">
        <v>647</v>
      </c>
      <c r="D180" s="160">
        <v>1540000</v>
      </c>
      <c r="E180" s="21" t="s">
        <v>383</v>
      </c>
      <c r="F180" s="21" t="s">
        <v>384</v>
      </c>
      <c r="G180" s="8" t="str">
        <f t="shared" si="2"/>
        <v>HELVIE ADAM</v>
      </c>
    </row>
    <row r="181" spans="1:7" x14ac:dyDescent="0.25">
      <c r="A181" s="8">
        <v>42735.823414351849</v>
      </c>
      <c r="B181" s="21" t="s">
        <v>346</v>
      </c>
      <c r="C181" s="21" t="s">
        <v>456</v>
      </c>
      <c r="D181" s="160">
        <v>2270000</v>
      </c>
      <c r="E181" s="21" t="s">
        <v>304</v>
      </c>
      <c r="F181" s="21" t="s">
        <v>305</v>
      </c>
      <c r="G181" s="8" t="str">
        <f t="shared" si="2"/>
        <v>BROWN JACOB</v>
      </c>
    </row>
    <row r="182" spans="1:7" x14ac:dyDescent="0.25">
      <c r="A182" s="8">
        <v>42735.827615740738</v>
      </c>
      <c r="B182" s="21" t="s">
        <v>263</v>
      </c>
      <c r="C182" s="21" t="s">
        <v>648</v>
      </c>
      <c r="D182" s="160">
        <v>1190000</v>
      </c>
      <c r="E182" s="21" t="s">
        <v>349</v>
      </c>
      <c r="F182" s="21" t="s">
        <v>350</v>
      </c>
      <c r="G182" s="8" t="str">
        <f t="shared" si="2"/>
        <v>BRANNON JEFFREY</v>
      </c>
    </row>
    <row r="183" spans="1:7" x14ac:dyDescent="0.25">
      <c r="A183" s="8">
        <v>42735.831689814811</v>
      </c>
      <c r="B183" s="21" t="s">
        <v>240</v>
      </c>
      <c r="C183" s="21" t="s">
        <v>649</v>
      </c>
      <c r="D183" s="160">
        <v>2000000</v>
      </c>
      <c r="E183" s="21" t="s">
        <v>209</v>
      </c>
      <c r="F183" s="21" t="s">
        <v>245</v>
      </c>
      <c r="G183" s="8" t="str">
        <f t="shared" si="2"/>
        <v>STAMBAUGH JAMES</v>
      </c>
    </row>
    <row r="184" spans="1:7" x14ac:dyDescent="0.25">
      <c r="A184" s="8">
        <v>42735.845046296294</v>
      </c>
      <c r="B184" s="21" t="s">
        <v>214</v>
      </c>
      <c r="C184" s="21" t="s">
        <v>650</v>
      </c>
      <c r="D184" s="160">
        <v>1540000</v>
      </c>
      <c r="E184" s="21" t="s">
        <v>383</v>
      </c>
      <c r="F184" s="21" t="s">
        <v>384</v>
      </c>
      <c r="G184" s="8" t="str">
        <f t="shared" si="2"/>
        <v>HELVIE ADAM</v>
      </c>
    </row>
    <row r="185" spans="1:7" x14ac:dyDescent="0.25">
      <c r="A185" s="8">
        <v>42735.846388888887</v>
      </c>
      <c r="B185" s="21" t="s">
        <v>466</v>
      </c>
      <c r="C185" s="21" t="s">
        <v>651</v>
      </c>
      <c r="D185" s="160">
        <v>2220000</v>
      </c>
      <c r="E185" s="21" t="s">
        <v>302</v>
      </c>
      <c r="F185" s="21" t="s">
        <v>303</v>
      </c>
      <c r="G185" s="8" t="str">
        <f t="shared" si="2"/>
        <v>HILLS DUSTIN</v>
      </c>
    </row>
    <row r="186" spans="1:7" x14ac:dyDescent="0.25">
      <c r="A186" s="8">
        <v>42735.847928240742</v>
      </c>
      <c r="B186" s="21" t="s">
        <v>278</v>
      </c>
      <c r="C186" s="21" t="s">
        <v>652</v>
      </c>
      <c r="D186" s="160">
        <v>2230000</v>
      </c>
      <c r="E186" s="21" t="s">
        <v>268</v>
      </c>
      <c r="F186" s="21" t="s">
        <v>255</v>
      </c>
      <c r="G186" s="8" t="str">
        <f t="shared" si="2"/>
        <v>SMITH MICHAEL</v>
      </c>
    </row>
    <row r="187" spans="1:7" x14ac:dyDescent="0.25">
      <c r="A187" s="8">
        <v>42735.857557870368</v>
      </c>
      <c r="B187" s="21" t="s">
        <v>374</v>
      </c>
      <c r="C187" s="21" t="s">
        <v>653</v>
      </c>
      <c r="D187" s="160">
        <v>2540000</v>
      </c>
      <c r="E187" s="21" t="s">
        <v>391</v>
      </c>
      <c r="F187" s="21" t="s">
        <v>392</v>
      </c>
      <c r="G187" s="8" t="str">
        <f t="shared" si="2"/>
        <v>MCREYNOLDS KYLE</v>
      </c>
    </row>
    <row r="188" spans="1:7" x14ac:dyDescent="0.25">
      <c r="A188" s="8">
        <v>42735.85974537037</v>
      </c>
      <c r="B188" s="21" t="s">
        <v>463</v>
      </c>
      <c r="C188" s="21" t="s">
        <v>654</v>
      </c>
      <c r="D188" s="160">
        <v>1540000</v>
      </c>
      <c r="E188" s="21" t="s">
        <v>383</v>
      </c>
      <c r="F188" s="21" t="s">
        <v>384</v>
      </c>
      <c r="G188" s="8" t="str">
        <f t="shared" si="2"/>
        <v>HELVIE ADAM</v>
      </c>
    </row>
    <row r="189" spans="1:7" x14ac:dyDescent="0.25">
      <c r="A189" s="8">
        <v>42735.868819444448</v>
      </c>
      <c r="B189" s="21" t="s">
        <v>327</v>
      </c>
      <c r="C189" s="21" t="s">
        <v>457</v>
      </c>
      <c r="D189" s="160">
        <v>2270000</v>
      </c>
      <c r="E189" s="21" t="s">
        <v>304</v>
      </c>
      <c r="F189" s="21" t="s">
        <v>305</v>
      </c>
      <c r="G189" s="8" t="str">
        <f t="shared" si="2"/>
        <v>BROWN JACOB</v>
      </c>
    </row>
    <row r="190" spans="1:7" x14ac:dyDescent="0.25">
      <c r="A190" s="8">
        <v>42735.87059027778</v>
      </c>
      <c r="B190" s="21" t="s">
        <v>275</v>
      </c>
      <c r="C190" s="21" t="s">
        <v>458</v>
      </c>
      <c r="D190" s="160">
        <v>2000000</v>
      </c>
      <c r="E190" s="21" t="s">
        <v>209</v>
      </c>
      <c r="F190" s="21" t="s">
        <v>245</v>
      </c>
      <c r="G190" s="8" t="str">
        <f t="shared" si="2"/>
        <v>STAMBAUGH JAMES</v>
      </c>
    </row>
    <row r="191" spans="1:7" x14ac:dyDescent="0.25">
      <c r="A191" s="8">
        <v>42735.883379629631</v>
      </c>
      <c r="B191" s="21" t="s">
        <v>253</v>
      </c>
      <c r="C191" s="21" t="s">
        <v>459</v>
      </c>
      <c r="D191" s="160">
        <v>2220000</v>
      </c>
      <c r="E191" s="21" t="s">
        <v>302</v>
      </c>
      <c r="F191" s="21" t="s">
        <v>303</v>
      </c>
      <c r="G191" s="8" t="str">
        <f t="shared" si="2"/>
        <v>HILLS DUSTIN</v>
      </c>
    </row>
    <row r="192" spans="1:7" x14ac:dyDescent="0.25">
      <c r="A192" s="8">
        <v>42735.884675925925</v>
      </c>
      <c r="B192" s="21" t="s">
        <v>470</v>
      </c>
      <c r="C192" s="21" t="s">
        <v>655</v>
      </c>
      <c r="D192" s="160">
        <v>2230000</v>
      </c>
      <c r="E192" s="21" t="s">
        <v>268</v>
      </c>
      <c r="F192" s="21" t="s">
        <v>255</v>
      </c>
      <c r="G192" s="8" t="str">
        <f t="shared" si="2"/>
        <v>SMITH MICHAEL</v>
      </c>
    </row>
    <row r="193" spans="1:7" x14ac:dyDescent="0.25">
      <c r="A193" s="8">
        <v>42735.887835648151</v>
      </c>
      <c r="B193" s="21" t="s">
        <v>214</v>
      </c>
      <c r="C193" s="21" t="s">
        <v>656</v>
      </c>
      <c r="D193" s="160">
        <v>1540000</v>
      </c>
      <c r="E193" s="21" t="s">
        <v>383</v>
      </c>
      <c r="F193" s="21" t="s">
        <v>384</v>
      </c>
      <c r="G193" s="8" t="str">
        <f t="shared" si="2"/>
        <v>HELVIE ADAM</v>
      </c>
    </row>
    <row r="194" spans="1:7" x14ac:dyDescent="0.25">
      <c r="A194" s="8">
        <v>42735.902939814812</v>
      </c>
      <c r="B194" s="21" t="s">
        <v>240</v>
      </c>
      <c r="C194" s="21" t="s">
        <v>462</v>
      </c>
      <c r="D194" s="160">
        <v>2000000</v>
      </c>
      <c r="E194" s="21" t="s">
        <v>209</v>
      </c>
      <c r="F194" s="21" t="s">
        <v>245</v>
      </c>
      <c r="G194" s="8" t="str">
        <f t="shared" si="2"/>
        <v>STAMBAUGH JAMES</v>
      </c>
    </row>
    <row r="195" spans="1:7" x14ac:dyDescent="0.25">
      <c r="A195" s="8">
        <v>42735.903252314813</v>
      </c>
      <c r="B195" s="21" t="s">
        <v>463</v>
      </c>
      <c r="C195" s="21" t="s">
        <v>657</v>
      </c>
      <c r="D195" s="160">
        <v>1540000</v>
      </c>
      <c r="E195" s="21" t="s">
        <v>383</v>
      </c>
      <c r="F195" s="21" t="s">
        <v>384</v>
      </c>
      <c r="G195" s="8" t="str">
        <f t="shared" ref="G195:G258" si="3">E195&amp;" "&amp;F195</f>
        <v>HELVIE ADAM</v>
      </c>
    </row>
    <row r="196" spans="1:7" x14ac:dyDescent="0.25">
      <c r="A196" s="8">
        <v>42735.91065972222</v>
      </c>
      <c r="B196" s="21" t="s">
        <v>346</v>
      </c>
      <c r="C196" s="21" t="s">
        <v>460</v>
      </c>
      <c r="D196" s="160">
        <v>2270000</v>
      </c>
      <c r="E196" s="21" t="s">
        <v>304</v>
      </c>
      <c r="F196" s="21" t="s">
        <v>305</v>
      </c>
      <c r="G196" s="8" t="str">
        <f t="shared" si="3"/>
        <v>BROWN JACOB</v>
      </c>
    </row>
    <row r="197" spans="1:7" x14ac:dyDescent="0.25">
      <c r="A197" s="8">
        <v>42735.923368055555</v>
      </c>
      <c r="B197" s="21" t="s">
        <v>214</v>
      </c>
      <c r="C197" s="21" t="s">
        <v>461</v>
      </c>
      <c r="D197" s="160">
        <v>1540000</v>
      </c>
      <c r="E197" s="21" t="s">
        <v>383</v>
      </c>
      <c r="F197" s="21" t="s">
        <v>384</v>
      </c>
      <c r="G197" s="8" t="str">
        <f t="shared" si="3"/>
        <v>HELVIE ADAM</v>
      </c>
    </row>
    <row r="198" spans="1:7" x14ac:dyDescent="0.25">
      <c r="A198" s="8">
        <v>42735.928611111114</v>
      </c>
      <c r="B198" s="21" t="s">
        <v>278</v>
      </c>
      <c r="C198" s="21" t="s">
        <v>658</v>
      </c>
      <c r="D198" s="160">
        <v>2230000</v>
      </c>
      <c r="E198" s="21" t="s">
        <v>268</v>
      </c>
      <c r="F198" s="21" t="s">
        <v>255</v>
      </c>
      <c r="G198" s="8" t="str">
        <f t="shared" si="3"/>
        <v>SMITH MICHAEL</v>
      </c>
    </row>
    <row r="199" spans="1:7" x14ac:dyDescent="0.25">
      <c r="A199" s="8">
        <v>42735.930231481485</v>
      </c>
      <c r="B199" s="21" t="s">
        <v>466</v>
      </c>
      <c r="C199" s="21" t="s">
        <v>659</v>
      </c>
      <c r="D199" s="160">
        <v>2560000</v>
      </c>
      <c r="E199" s="21" t="s">
        <v>630</v>
      </c>
      <c r="F199" s="21" t="s">
        <v>631</v>
      </c>
      <c r="G199" s="8" t="str">
        <f t="shared" si="3"/>
        <v>MACDONALD THOMAS</v>
      </c>
    </row>
    <row r="200" spans="1:7" x14ac:dyDescent="0.25">
      <c r="A200" s="8">
        <v>42735.944837962961</v>
      </c>
      <c r="B200" s="21" t="s">
        <v>463</v>
      </c>
      <c r="C200" s="21" t="s">
        <v>464</v>
      </c>
      <c r="D200" s="160">
        <v>2600000</v>
      </c>
      <c r="E200" s="21" t="s">
        <v>232</v>
      </c>
      <c r="F200" s="21" t="s">
        <v>566</v>
      </c>
      <c r="G200" s="8" t="str">
        <f t="shared" si="3"/>
        <v>DAVIDSON DAVID</v>
      </c>
    </row>
    <row r="201" spans="1:7" x14ac:dyDescent="0.25">
      <c r="A201" s="8">
        <v>42735.949374999997</v>
      </c>
      <c r="B201" s="21" t="s">
        <v>327</v>
      </c>
      <c r="C201" s="21" t="s">
        <v>465</v>
      </c>
      <c r="D201" s="160">
        <v>2270000</v>
      </c>
      <c r="E201" s="21" t="s">
        <v>304</v>
      </c>
      <c r="F201" s="21" t="s">
        <v>305</v>
      </c>
      <c r="G201" s="8" t="str">
        <f t="shared" si="3"/>
        <v>BROWN JACOB</v>
      </c>
    </row>
    <row r="202" spans="1:7" x14ac:dyDescent="0.25">
      <c r="A202" s="27">
        <v>42735.953333333331</v>
      </c>
      <c r="B202" s="21" t="s">
        <v>275</v>
      </c>
      <c r="C202" s="21" t="s">
        <v>660</v>
      </c>
      <c r="D202" s="160">
        <v>2000000</v>
      </c>
      <c r="E202" s="21" t="s">
        <v>209</v>
      </c>
      <c r="F202" s="21" t="s">
        <v>245</v>
      </c>
      <c r="G202" s="8" t="str">
        <f t="shared" si="3"/>
        <v>STAMBAUGH JAMES</v>
      </c>
    </row>
    <row r="203" spans="1:7" x14ac:dyDescent="0.25">
      <c r="A203" s="8">
        <v>42735.960601851853</v>
      </c>
      <c r="B203" s="21" t="s">
        <v>214</v>
      </c>
      <c r="C203" s="21" t="s">
        <v>661</v>
      </c>
      <c r="D203" s="160">
        <v>2600000</v>
      </c>
      <c r="E203" s="21" t="s">
        <v>232</v>
      </c>
      <c r="F203" s="21" t="s">
        <v>566</v>
      </c>
      <c r="G203" s="8" t="str">
        <f t="shared" si="3"/>
        <v>DAVIDSON DAVID</v>
      </c>
    </row>
    <row r="204" spans="1:7" x14ac:dyDescent="0.25">
      <c r="A204" s="8">
        <v>42735.967962962961</v>
      </c>
      <c r="B204" s="21" t="s">
        <v>253</v>
      </c>
      <c r="C204" s="21" t="s">
        <v>662</v>
      </c>
      <c r="D204" s="160">
        <v>2560000</v>
      </c>
      <c r="E204" s="21" t="s">
        <v>630</v>
      </c>
      <c r="F204" s="21" t="s">
        <v>631</v>
      </c>
      <c r="G204" s="8" t="str">
        <f t="shared" si="3"/>
        <v>MACDONALD THOMAS</v>
      </c>
    </row>
    <row r="205" spans="1:7" x14ac:dyDescent="0.25">
      <c r="A205" s="8">
        <v>42735.968668981484</v>
      </c>
      <c r="B205" s="21" t="s">
        <v>470</v>
      </c>
      <c r="C205" s="21" t="s">
        <v>663</v>
      </c>
      <c r="D205" s="160">
        <v>2230000</v>
      </c>
      <c r="E205" s="21" t="s">
        <v>268</v>
      </c>
      <c r="F205" s="21" t="s">
        <v>255</v>
      </c>
      <c r="G205" s="8" t="str">
        <f t="shared" si="3"/>
        <v>SMITH MICHAEL</v>
      </c>
    </row>
    <row r="206" spans="1:7" x14ac:dyDescent="0.25">
      <c r="A206" s="8">
        <v>42735.986342592594</v>
      </c>
      <c r="B206" s="21" t="s">
        <v>463</v>
      </c>
      <c r="C206" s="21" t="s">
        <v>664</v>
      </c>
      <c r="D206" s="160">
        <v>2600000</v>
      </c>
      <c r="E206" s="21" t="s">
        <v>232</v>
      </c>
      <c r="F206" s="21" t="s">
        <v>566</v>
      </c>
      <c r="G206" s="8" t="str">
        <f t="shared" si="3"/>
        <v>DAVIDSON DAVID</v>
      </c>
    </row>
    <row r="207" spans="1:7" x14ac:dyDescent="0.25">
      <c r="A207" s="8">
        <v>42735.993206018517</v>
      </c>
      <c r="B207" s="21" t="s">
        <v>240</v>
      </c>
      <c r="C207" s="21" t="s">
        <v>665</v>
      </c>
      <c r="D207" s="160">
        <v>2000000</v>
      </c>
      <c r="E207" s="21" t="s">
        <v>209</v>
      </c>
      <c r="F207" s="21" t="s">
        <v>245</v>
      </c>
      <c r="G207" s="8" t="str">
        <f t="shared" si="3"/>
        <v>STAMBAUGH JAMES</v>
      </c>
    </row>
    <row r="208" spans="1:7" x14ac:dyDescent="0.25">
      <c r="A208" s="8">
        <v>42735.993541666663</v>
      </c>
      <c r="B208" s="21" t="s">
        <v>346</v>
      </c>
      <c r="C208" s="21" t="s">
        <v>666</v>
      </c>
      <c r="D208" s="160">
        <v>2270000</v>
      </c>
      <c r="E208" s="21" t="s">
        <v>304</v>
      </c>
      <c r="F208" s="21" t="s">
        <v>305</v>
      </c>
      <c r="G208" s="8" t="str">
        <f t="shared" si="3"/>
        <v>BROWN JACOB</v>
      </c>
    </row>
    <row r="209" spans="1:7" x14ac:dyDescent="0.25">
      <c r="A209" s="8">
        <v>42735.99422453704</v>
      </c>
      <c r="B209" s="21" t="s">
        <v>346</v>
      </c>
      <c r="C209" s="21" t="s">
        <v>666</v>
      </c>
      <c r="D209" s="160">
        <v>2270000</v>
      </c>
      <c r="E209" s="21" t="s">
        <v>304</v>
      </c>
      <c r="F209" s="21" t="s">
        <v>305</v>
      </c>
      <c r="G209" s="8" t="str">
        <f t="shared" si="3"/>
        <v>BROWN JACOB</v>
      </c>
    </row>
    <row r="210" spans="1:7" x14ac:dyDescent="0.25">
      <c r="A210" s="8">
        <v>42736.001597222225</v>
      </c>
      <c r="B210" s="21" t="s">
        <v>214</v>
      </c>
      <c r="C210" s="21" t="s">
        <v>667</v>
      </c>
      <c r="D210" s="160">
        <v>2600000</v>
      </c>
      <c r="E210" s="21" t="s">
        <v>232</v>
      </c>
      <c r="F210" s="21" t="s">
        <v>566</v>
      </c>
      <c r="G210" s="8" t="str">
        <f t="shared" si="3"/>
        <v>DAVIDSON DAVID</v>
      </c>
    </row>
    <row r="211" spans="1:7" x14ac:dyDescent="0.25">
      <c r="A211" s="8">
        <v>42736.008981481478</v>
      </c>
      <c r="B211" s="21" t="s">
        <v>278</v>
      </c>
      <c r="C211" s="21" t="s">
        <v>668</v>
      </c>
      <c r="D211" s="160">
        <v>2230000</v>
      </c>
      <c r="E211" s="21" t="s">
        <v>268</v>
      </c>
      <c r="F211" s="21" t="s">
        <v>255</v>
      </c>
      <c r="G211" s="8" t="str">
        <f t="shared" si="3"/>
        <v>SMITH MICHAEL</v>
      </c>
    </row>
    <row r="212" spans="1:7" x14ac:dyDescent="0.25">
      <c r="A212" s="8">
        <v>42736.013379629629</v>
      </c>
      <c r="B212" s="21" t="s">
        <v>466</v>
      </c>
      <c r="C212" s="21" t="s">
        <v>467</v>
      </c>
      <c r="D212" s="160">
        <v>2220000</v>
      </c>
      <c r="E212" s="21" t="s">
        <v>302</v>
      </c>
      <c r="F212" s="21" t="s">
        <v>303</v>
      </c>
      <c r="G212" s="8" t="str">
        <f t="shared" si="3"/>
        <v>HILLS DUSTIN</v>
      </c>
    </row>
    <row r="213" spans="1:7" x14ac:dyDescent="0.25">
      <c r="A213" s="8">
        <v>42736.030659722222</v>
      </c>
      <c r="B213" s="21" t="s">
        <v>463</v>
      </c>
      <c r="C213" s="21" t="s">
        <v>669</v>
      </c>
      <c r="D213" s="160">
        <v>2600000</v>
      </c>
      <c r="E213" s="21" t="s">
        <v>232</v>
      </c>
      <c r="F213" s="21" t="s">
        <v>566</v>
      </c>
      <c r="G213" s="8" t="str">
        <f t="shared" si="3"/>
        <v>DAVIDSON DAVID</v>
      </c>
    </row>
    <row r="214" spans="1:7" x14ac:dyDescent="0.25">
      <c r="A214" s="8">
        <v>42736.033460648148</v>
      </c>
      <c r="B214" s="21" t="s">
        <v>327</v>
      </c>
      <c r="C214" s="21" t="s">
        <v>670</v>
      </c>
      <c r="D214" s="160">
        <v>2270000</v>
      </c>
      <c r="E214" s="21" t="s">
        <v>304</v>
      </c>
      <c r="F214" s="21" t="s">
        <v>305</v>
      </c>
      <c r="G214" s="8" t="str">
        <f t="shared" si="3"/>
        <v>BROWN JACOB</v>
      </c>
    </row>
    <row r="215" spans="1:7" x14ac:dyDescent="0.25">
      <c r="A215" s="8">
        <v>42736.037372685183</v>
      </c>
      <c r="B215" s="21" t="s">
        <v>275</v>
      </c>
      <c r="C215" s="21" t="s">
        <v>671</v>
      </c>
      <c r="D215" s="160">
        <v>2000000</v>
      </c>
      <c r="E215" s="21" t="s">
        <v>209</v>
      </c>
      <c r="F215" s="21" t="s">
        <v>245</v>
      </c>
      <c r="G215" s="8" t="str">
        <f t="shared" si="3"/>
        <v>STAMBAUGH JAMES</v>
      </c>
    </row>
    <row r="216" spans="1:7" x14ac:dyDescent="0.25">
      <c r="A216" s="8">
        <v>42736.05059027778</v>
      </c>
      <c r="B216" s="21" t="s">
        <v>470</v>
      </c>
      <c r="C216" s="21" t="s">
        <v>672</v>
      </c>
      <c r="D216" s="160">
        <v>2230000</v>
      </c>
      <c r="E216" s="21" t="s">
        <v>268</v>
      </c>
      <c r="F216" s="21" t="s">
        <v>255</v>
      </c>
      <c r="G216" s="8" t="str">
        <f t="shared" si="3"/>
        <v>SMITH MICHAEL</v>
      </c>
    </row>
    <row r="217" spans="1:7" x14ac:dyDescent="0.25">
      <c r="A217" s="8">
        <v>42736.056041666663</v>
      </c>
      <c r="B217" s="21" t="s">
        <v>253</v>
      </c>
      <c r="C217" s="21" t="s">
        <v>673</v>
      </c>
      <c r="D217" s="160">
        <v>2220000</v>
      </c>
      <c r="E217" s="21" t="s">
        <v>302</v>
      </c>
      <c r="F217" s="21" t="s">
        <v>303</v>
      </c>
      <c r="G217" s="8" t="str">
        <f t="shared" si="3"/>
        <v>HILLS DUSTIN</v>
      </c>
    </row>
    <row r="218" spans="1:7" x14ac:dyDescent="0.25">
      <c r="A218" s="8">
        <v>42736.071226851855</v>
      </c>
      <c r="B218" s="21" t="s">
        <v>240</v>
      </c>
      <c r="C218" s="21" t="s">
        <v>674</v>
      </c>
      <c r="D218" s="160">
        <v>2000000</v>
      </c>
      <c r="E218" s="21" t="s">
        <v>209</v>
      </c>
      <c r="F218" s="21" t="s">
        <v>245</v>
      </c>
      <c r="G218" s="8" t="str">
        <f t="shared" si="3"/>
        <v>STAMBAUGH JAMES</v>
      </c>
    </row>
    <row r="219" spans="1:7" x14ac:dyDescent="0.25">
      <c r="A219" s="8">
        <v>42736.076099537036</v>
      </c>
      <c r="B219" s="21" t="s">
        <v>346</v>
      </c>
      <c r="C219" s="21" t="s">
        <v>675</v>
      </c>
      <c r="D219" s="160">
        <v>2270000</v>
      </c>
      <c r="E219" s="21" t="s">
        <v>304</v>
      </c>
      <c r="F219" s="21" t="s">
        <v>305</v>
      </c>
      <c r="G219" s="8" t="str">
        <f t="shared" si="3"/>
        <v>BROWN JACOB</v>
      </c>
    </row>
    <row r="220" spans="1:7" x14ac:dyDescent="0.25">
      <c r="A220" s="8">
        <v>42736.093530092592</v>
      </c>
      <c r="B220" s="21" t="s">
        <v>466</v>
      </c>
      <c r="C220" s="21" t="s">
        <v>676</v>
      </c>
      <c r="D220" s="160">
        <v>2220000</v>
      </c>
      <c r="E220" s="21" t="s">
        <v>302</v>
      </c>
      <c r="F220" s="21" t="s">
        <v>303</v>
      </c>
      <c r="G220" s="8" t="str">
        <f t="shared" si="3"/>
        <v>HILLS DUSTIN</v>
      </c>
    </row>
    <row r="221" spans="1:7" x14ac:dyDescent="0.25">
      <c r="A221" s="8">
        <v>42732.972407407404</v>
      </c>
      <c r="B221" s="21" t="s">
        <v>229</v>
      </c>
      <c r="C221" s="21" t="s">
        <v>393</v>
      </c>
      <c r="D221" s="160">
        <v>2720000</v>
      </c>
      <c r="E221" s="21" t="s">
        <v>335</v>
      </c>
      <c r="F221" s="21" t="s">
        <v>336</v>
      </c>
      <c r="G221" s="8" t="str">
        <f t="shared" si="3"/>
        <v>SIMONEAUX TERA</v>
      </c>
    </row>
    <row r="222" spans="1:7" x14ac:dyDescent="0.25">
      <c r="A222" s="8">
        <v>42732.984722222223</v>
      </c>
      <c r="B222" s="21" t="s">
        <v>210</v>
      </c>
      <c r="C222" s="21" t="s">
        <v>394</v>
      </c>
      <c r="D222" s="160">
        <v>2220000</v>
      </c>
      <c r="E222" s="21" t="s">
        <v>302</v>
      </c>
      <c r="F222" s="21" t="s">
        <v>303</v>
      </c>
      <c r="G222" s="8" t="str">
        <f t="shared" si="3"/>
        <v>HILLS DUSTIN</v>
      </c>
    </row>
    <row r="223" spans="1:7" x14ac:dyDescent="0.25">
      <c r="A223" s="8">
        <v>42732.992627314816</v>
      </c>
      <c r="B223" s="21" t="s">
        <v>311</v>
      </c>
      <c r="C223" s="21" t="s">
        <v>395</v>
      </c>
      <c r="D223" s="160">
        <v>2270000</v>
      </c>
      <c r="E223" s="21" t="s">
        <v>304</v>
      </c>
      <c r="F223" s="21" t="s">
        <v>305</v>
      </c>
      <c r="G223" s="8" t="str">
        <f t="shared" si="3"/>
        <v>BROWN JACOB</v>
      </c>
    </row>
    <row r="224" spans="1:7" x14ac:dyDescent="0.25">
      <c r="A224" s="8">
        <v>42733.012256944443</v>
      </c>
      <c r="B224" t="s">
        <v>253</v>
      </c>
      <c r="C224" t="s">
        <v>396</v>
      </c>
      <c r="D224" s="160">
        <v>2720000</v>
      </c>
      <c r="E224" t="s">
        <v>335</v>
      </c>
      <c r="F224" s="21" t="s">
        <v>336</v>
      </c>
      <c r="G224" s="8" t="str">
        <f t="shared" si="3"/>
        <v>SIMONEAUX TERA</v>
      </c>
    </row>
    <row r="225" spans="1:7" x14ac:dyDescent="0.25">
      <c r="A225" s="8">
        <v>42733.018819444442</v>
      </c>
      <c r="B225" t="s">
        <v>376</v>
      </c>
      <c r="C225" t="s">
        <v>397</v>
      </c>
      <c r="D225" s="160">
        <v>1810000</v>
      </c>
      <c r="E225" t="s">
        <v>269</v>
      </c>
      <c r="F225" s="21" t="s">
        <v>245</v>
      </c>
      <c r="G225" s="8" t="str">
        <f t="shared" si="3"/>
        <v>NEWELL JAMES</v>
      </c>
    </row>
    <row r="226" spans="1:7" x14ac:dyDescent="0.25">
      <c r="A226" s="8">
        <v>42733.038078703707</v>
      </c>
      <c r="B226" t="s">
        <v>312</v>
      </c>
      <c r="C226" t="s">
        <v>398</v>
      </c>
      <c r="D226" s="160">
        <v>2270000</v>
      </c>
      <c r="E226" t="s">
        <v>304</v>
      </c>
      <c r="F226" s="21" t="s">
        <v>305</v>
      </c>
      <c r="G226" s="8" t="str">
        <f t="shared" si="3"/>
        <v>BROWN JACOB</v>
      </c>
    </row>
    <row r="227" spans="1:7" x14ac:dyDescent="0.25">
      <c r="A227" s="8">
        <v>42733.049861111111</v>
      </c>
      <c r="B227" t="s">
        <v>204</v>
      </c>
      <c r="C227" t="s">
        <v>399</v>
      </c>
      <c r="D227" s="160">
        <v>2220000</v>
      </c>
      <c r="E227" t="s">
        <v>302</v>
      </c>
      <c r="F227" s="21" t="s">
        <v>303</v>
      </c>
      <c r="G227" s="8" t="str">
        <f t="shared" si="3"/>
        <v>HILLS DUSTIN</v>
      </c>
    </row>
    <row r="228" spans="1:7" x14ac:dyDescent="0.25">
      <c r="A228" s="8">
        <v>42733.055717592593</v>
      </c>
      <c r="B228" t="s">
        <v>229</v>
      </c>
      <c r="C228" t="s">
        <v>400</v>
      </c>
      <c r="D228" s="160">
        <v>2720000</v>
      </c>
      <c r="E228" t="s">
        <v>335</v>
      </c>
      <c r="F228" s="21" t="s">
        <v>336</v>
      </c>
      <c r="G228" s="8" t="str">
        <f t="shared" si="3"/>
        <v>SIMONEAUX TERA</v>
      </c>
    </row>
    <row r="229" spans="1:7" x14ac:dyDescent="0.25">
      <c r="A229" s="8">
        <v>42733.056759259256</v>
      </c>
      <c r="B229" t="s">
        <v>229</v>
      </c>
      <c r="C229" t="s">
        <v>400</v>
      </c>
      <c r="D229" s="160">
        <v>2720000</v>
      </c>
      <c r="E229" t="s">
        <v>335</v>
      </c>
      <c r="F229" s="21" t="s">
        <v>336</v>
      </c>
      <c r="G229" s="8" t="str">
        <f t="shared" si="3"/>
        <v>SIMONEAUX TERA</v>
      </c>
    </row>
    <row r="230" spans="1:7" x14ac:dyDescent="0.25">
      <c r="A230" s="8">
        <v>42733.058379629627</v>
      </c>
      <c r="B230" t="s">
        <v>229</v>
      </c>
      <c r="C230" t="s">
        <v>400</v>
      </c>
      <c r="D230" s="160">
        <v>2720000</v>
      </c>
      <c r="E230" t="s">
        <v>335</v>
      </c>
      <c r="F230" s="21" t="s">
        <v>336</v>
      </c>
      <c r="G230" s="8" t="str">
        <f t="shared" si="3"/>
        <v>SIMONEAUX TERA</v>
      </c>
    </row>
    <row r="231" spans="1:7" x14ac:dyDescent="0.25">
      <c r="A231" s="8">
        <v>42733.072997685187</v>
      </c>
      <c r="B231" t="s">
        <v>311</v>
      </c>
      <c r="C231" t="s">
        <v>401</v>
      </c>
      <c r="D231" s="160">
        <v>2270000</v>
      </c>
      <c r="E231" t="s">
        <v>304</v>
      </c>
      <c r="F231" s="21" t="s">
        <v>305</v>
      </c>
      <c r="G231" s="8" t="str">
        <f t="shared" si="3"/>
        <v>BROWN JACOB</v>
      </c>
    </row>
    <row r="232" spans="1:7" x14ac:dyDescent="0.25">
      <c r="A232" s="8">
        <v>42733.108020833337</v>
      </c>
      <c r="B232" t="s">
        <v>240</v>
      </c>
      <c r="C232" t="s">
        <v>402</v>
      </c>
      <c r="D232" s="160">
        <v>1090000</v>
      </c>
      <c r="E232" t="s">
        <v>403</v>
      </c>
      <c r="F232" s="21" t="s">
        <v>255</v>
      </c>
      <c r="G232" s="8" t="str">
        <f t="shared" si="3"/>
        <v>SPECTOR MICHAEL</v>
      </c>
    </row>
    <row r="233" spans="1:7" x14ac:dyDescent="0.25">
      <c r="A233" s="8">
        <v>42733.110335648147</v>
      </c>
      <c r="B233" t="s">
        <v>345</v>
      </c>
      <c r="C233" t="s">
        <v>404</v>
      </c>
      <c r="D233" s="160">
        <v>2100000</v>
      </c>
      <c r="E233" t="s">
        <v>378</v>
      </c>
      <c r="F233" s="21" t="s">
        <v>379</v>
      </c>
      <c r="G233" s="8" t="str">
        <f t="shared" si="3"/>
        <v>ISHMAEL JOSEPH</v>
      </c>
    </row>
    <row r="234" spans="1:7" x14ac:dyDescent="0.25">
      <c r="A234" s="8">
        <v>42732.057754629626</v>
      </c>
      <c r="B234" t="s">
        <v>334</v>
      </c>
      <c r="C234" t="s">
        <v>351</v>
      </c>
      <c r="D234" s="160">
        <v>2000000</v>
      </c>
      <c r="E234" t="s">
        <v>209</v>
      </c>
      <c r="F234" s="21" t="s">
        <v>245</v>
      </c>
      <c r="G234" s="8" t="str">
        <f t="shared" si="3"/>
        <v>STAMBAUGH JAMES</v>
      </c>
    </row>
    <row r="235" spans="1:7" x14ac:dyDescent="0.25">
      <c r="A235" s="8">
        <v>42732.070798611108</v>
      </c>
      <c r="B235" t="s">
        <v>231</v>
      </c>
      <c r="C235" t="s">
        <v>352</v>
      </c>
      <c r="D235" s="160">
        <v>2720000</v>
      </c>
      <c r="E235" t="s">
        <v>335</v>
      </c>
      <c r="F235" s="21" t="s">
        <v>336</v>
      </c>
      <c r="G235" s="8" t="str">
        <f t="shared" si="3"/>
        <v>SIMONEAUX TERA</v>
      </c>
    </row>
    <row r="236" spans="1:7" x14ac:dyDescent="0.25">
      <c r="A236" s="8">
        <v>42732.088171296295</v>
      </c>
      <c r="B236" t="s">
        <v>212</v>
      </c>
      <c r="C236" t="s">
        <v>353</v>
      </c>
      <c r="D236" s="160">
        <v>2000000</v>
      </c>
      <c r="E236" t="s">
        <v>209</v>
      </c>
      <c r="F236" s="21" t="s">
        <v>245</v>
      </c>
      <c r="G236" s="8" t="str">
        <f t="shared" si="3"/>
        <v>STAMBAUGH JAMES</v>
      </c>
    </row>
    <row r="237" spans="1:7" x14ac:dyDescent="0.25">
      <c r="A237" s="8">
        <v>42728.056018518517</v>
      </c>
      <c r="B237" t="s">
        <v>155</v>
      </c>
      <c r="C237" t="s">
        <v>313</v>
      </c>
      <c r="D237" s="160">
        <v>2220000</v>
      </c>
      <c r="E237" t="s">
        <v>302</v>
      </c>
      <c r="F237" s="21" t="s">
        <v>303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313</v>
      </c>
      <c r="D238" s="160">
        <v>2220000</v>
      </c>
      <c r="E238" t="s">
        <v>302</v>
      </c>
      <c r="F238" s="21" t="s">
        <v>303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313</v>
      </c>
      <c r="D239" s="160">
        <v>2220000</v>
      </c>
      <c r="E239" t="s">
        <v>302</v>
      </c>
      <c r="F239" s="21" t="s">
        <v>303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313</v>
      </c>
      <c r="D240" s="160">
        <v>2220000</v>
      </c>
      <c r="E240" t="s">
        <v>302</v>
      </c>
      <c r="F240" s="21" t="s">
        <v>303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240</v>
      </c>
      <c r="C241" t="s">
        <v>314</v>
      </c>
      <c r="D241" s="160">
        <v>2000000</v>
      </c>
      <c r="E241" t="s">
        <v>209</v>
      </c>
      <c r="F241" s="21" t="s">
        <v>245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312</v>
      </c>
      <c r="C242" t="s">
        <v>315</v>
      </c>
      <c r="D242" s="160">
        <v>2270000</v>
      </c>
      <c r="E242" t="s">
        <v>304</v>
      </c>
      <c r="F242" s="21" t="s">
        <v>305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316</v>
      </c>
      <c r="D243" s="160">
        <v>2220000</v>
      </c>
      <c r="E243" t="s">
        <v>302</v>
      </c>
      <c r="F243" s="21" t="s">
        <v>303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316</v>
      </c>
      <c r="D244" s="160">
        <v>2220000</v>
      </c>
      <c r="E244" t="s">
        <v>302</v>
      </c>
      <c r="F244" s="21" t="s">
        <v>303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311</v>
      </c>
      <c r="C245" t="s">
        <v>317</v>
      </c>
      <c r="D245" s="160">
        <v>2270000</v>
      </c>
      <c r="E245" t="s">
        <v>304</v>
      </c>
      <c r="F245" s="21" t="s">
        <v>305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278</v>
      </c>
      <c r="C246" t="s">
        <v>281</v>
      </c>
      <c r="D246" s="160">
        <v>2000000</v>
      </c>
      <c r="E246" t="s">
        <v>209</v>
      </c>
      <c r="F246" s="21" t="s">
        <v>245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263</v>
      </c>
      <c r="C247" t="s">
        <v>282</v>
      </c>
      <c r="D247" s="160">
        <v>1810000</v>
      </c>
      <c r="E247" t="s">
        <v>269</v>
      </c>
      <c r="F247" s="21" t="s">
        <v>245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283</v>
      </c>
      <c r="D248" s="160">
        <v>2230000</v>
      </c>
      <c r="E248" t="s">
        <v>268</v>
      </c>
      <c r="F248" s="21" t="s">
        <v>255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284</v>
      </c>
      <c r="D249" s="160">
        <v>1800000</v>
      </c>
      <c r="E249" t="s">
        <v>234</v>
      </c>
      <c r="F249" s="21" t="s">
        <v>248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262</v>
      </c>
      <c r="C250" t="s">
        <v>285</v>
      </c>
      <c r="D250" s="160">
        <v>1810000</v>
      </c>
      <c r="E250" t="s">
        <v>269</v>
      </c>
      <c r="F250" s="21" t="s">
        <v>245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277</v>
      </c>
      <c r="C251" t="s">
        <v>286</v>
      </c>
      <c r="D251" s="160">
        <v>2000000</v>
      </c>
      <c r="E251" t="s">
        <v>209</v>
      </c>
      <c r="F251" s="21" t="s">
        <v>245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287</v>
      </c>
      <c r="D252" s="160">
        <v>1800000</v>
      </c>
      <c r="E252" t="s">
        <v>234</v>
      </c>
      <c r="F252" s="21" t="s">
        <v>248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261</v>
      </c>
      <c r="C253" t="s">
        <v>288</v>
      </c>
      <c r="D253" s="160">
        <v>2230000</v>
      </c>
      <c r="E253" t="s">
        <v>268</v>
      </c>
      <c r="F253" s="21" t="s">
        <v>255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263</v>
      </c>
      <c r="C254" t="s">
        <v>289</v>
      </c>
      <c r="D254" s="160">
        <v>1810000</v>
      </c>
      <c r="E254" t="s">
        <v>269</v>
      </c>
      <c r="F254" s="21" t="s">
        <v>245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278</v>
      </c>
      <c r="C255" t="s">
        <v>290</v>
      </c>
      <c r="D255" s="160">
        <v>2000000</v>
      </c>
      <c r="E255" t="s">
        <v>209</v>
      </c>
      <c r="F255" s="21" t="s">
        <v>245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291</v>
      </c>
      <c r="D256" s="160">
        <v>2230000</v>
      </c>
      <c r="E256" t="s">
        <v>268</v>
      </c>
      <c r="F256" s="21" t="s">
        <v>255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277</v>
      </c>
      <c r="C257" t="s">
        <v>292</v>
      </c>
      <c r="D257" s="160">
        <v>2000000</v>
      </c>
      <c r="E257" t="s">
        <v>209</v>
      </c>
      <c r="F257" s="21" t="s">
        <v>245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293</v>
      </c>
      <c r="D258" s="160">
        <v>2110000</v>
      </c>
      <c r="E258" t="s">
        <v>279</v>
      </c>
      <c r="F258" s="21" t="s">
        <v>280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293</v>
      </c>
      <c r="D259" s="160">
        <v>2110000</v>
      </c>
      <c r="E259" t="s">
        <v>279</v>
      </c>
      <c r="F259" s="21" t="s">
        <v>280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237</v>
      </c>
      <c r="D260" s="160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236</v>
      </c>
      <c r="D261" s="160">
        <v>2530000</v>
      </c>
      <c r="E261" t="s">
        <v>235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238</v>
      </c>
      <c r="D262" s="160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0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0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0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0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35.21</v>
      </c>
      <c r="B2" s="165">
        <v>0.2</v>
      </c>
      <c r="C2" s="165">
        <v>9.42</v>
      </c>
      <c r="D2" s="8">
        <v>42735</v>
      </c>
      <c r="E2" s="165">
        <v>0.34</v>
      </c>
      <c r="F2" s="165" t="s">
        <v>319</v>
      </c>
      <c r="G2" s="165">
        <v>278.76</v>
      </c>
      <c r="H2" s="165">
        <v>0</v>
      </c>
      <c r="I2" s="165">
        <v>0</v>
      </c>
      <c r="J2" s="165">
        <v>1010.72</v>
      </c>
      <c r="K2" s="165" t="s">
        <v>318</v>
      </c>
      <c r="L2" s="165">
        <v>35.21</v>
      </c>
      <c r="M2" s="165">
        <v>1483167600</v>
      </c>
      <c r="N2" s="165">
        <v>5.15</v>
      </c>
      <c r="O2" s="165">
        <v>265</v>
      </c>
      <c r="P2" s="165">
        <v>2.13</v>
      </c>
      <c r="Q2"/>
      <c r="R2"/>
    </row>
    <row r="3" spans="1:18" x14ac:dyDescent="0.25">
      <c r="A3" s="165">
        <v>32.340000000000003</v>
      </c>
      <c r="B3" s="165">
        <v>0.14000000000000001</v>
      </c>
      <c r="C3" s="165">
        <v>10.42</v>
      </c>
      <c r="D3" s="8">
        <v>42735.041666666664</v>
      </c>
      <c r="E3" s="165">
        <v>0.39</v>
      </c>
      <c r="F3" s="165" t="s">
        <v>319</v>
      </c>
      <c r="G3" s="165">
        <v>277.02999999999997</v>
      </c>
      <c r="H3" s="165">
        <v>0</v>
      </c>
      <c r="I3" s="165">
        <v>0</v>
      </c>
      <c r="J3" s="165">
        <v>1011.75</v>
      </c>
      <c r="K3" s="165" t="s">
        <v>318</v>
      </c>
      <c r="L3" s="165">
        <v>32.340000000000003</v>
      </c>
      <c r="M3" s="165">
        <v>1483171200</v>
      </c>
      <c r="N3" s="165">
        <v>4.78</v>
      </c>
      <c r="O3" s="165">
        <v>343</v>
      </c>
      <c r="P3" s="165">
        <v>2.38</v>
      </c>
      <c r="Q3"/>
      <c r="R3"/>
    </row>
    <row r="4" spans="1:18" x14ac:dyDescent="0.25">
      <c r="A4" s="165">
        <v>26.57</v>
      </c>
      <c r="B4" s="165">
        <v>7.0000000000000007E-2</v>
      </c>
      <c r="C4" s="165">
        <v>20.02</v>
      </c>
      <c r="D4" s="8">
        <v>42735.083333333336</v>
      </c>
      <c r="E4" s="165">
        <v>0.64</v>
      </c>
      <c r="F4" s="165" t="s">
        <v>319</v>
      </c>
      <c r="G4" s="165">
        <v>275.29000000000002</v>
      </c>
      <c r="H4" s="165">
        <v>0</v>
      </c>
      <c r="I4" s="165">
        <v>0</v>
      </c>
      <c r="J4" s="165">
        <v>1012.86</v>
      </c>
      <c r="K4" s="165" t="s">
        <v>318</v>
      </c>
      <c r="L4" s="165">
        <v>30.59</v>
      </c>
      <c r="M4" s="165">
        <v>1483174800</v>
      </c>
      <c r="N4" s="165">
        <v>3.89</v>
      </c>
      <c r="O4" s="165">
        <v>14</v>
      </c>
      <c r="P4" s="165">
        <v>3.9</v>
      </c>
      <c r="Q4"/>
      <c r="R4"/>
    </row>
    <row r="5" spans="1:18" x14ac:dyDescent="0.25">
      <c r="A5" s="165">
        <v>25.46</v>
      </c>
      <c r="B5" s="165">
        <v>7.0000000000000007E-2</v>
      </c>
      <c r="C5" s="165">
        <v>18.93</v>
      </c>
      <c r="D5" s="8">
        <v>42735.125</v>
      </c>
      <c r="E5" s="165">
        <v>0.64</v>
      </c>
      <c r="F5" s="165" t="s">
        <v>319</v>
      </c>
      <c r="G5" s="165">
        <v>274.52999999999997</v>
      </c>
      <c r="H5" s="165">
        <v>0</v>
      </c>
      <c r="I5" s="165">
        <v>0</v>
      </c>
      <c r="J5" s="165">
        <v>1014.08</v>
      </c>
      <c r="K5" s="165" t="s">
        <v>318</v>
      </c>
      <c r="L5" s="165">
        <v>29.42</v>
      </c>
      <c r="M5" s="165">
        <v>1483178400</v>
      </c>
      <c r="N5" s="165">
        <v>3.33</v>
      </c>
      <c r="O5" s="165">
        <v>355</v>
      </c>
      <c r="P5" s="165">
        <v>3.7</v>
      </c>
      <c r="Q5"/>
      <c r="R5"/>
    </row>
    <row r="6" spans="1:18" x14ac:dyDescent="0.25">
      <c r="A6" s="165">
        <v>26.7</v>
      </c>
      <c r="B6" s="165">
        <v>0.09</v>
      </c>
      <c r="C6" s="165">
        <v>20.36</v>
      </c>
      <c r="D6" s="8">
        <v>42735.166666666664</v>
      </c>
      <c r="E6" s="165">
        <v>0.77</v>
      </c>
      <c r="F6" s="165" t="s">
        <v>319</v>
      </c>
      <c r="G6" s="165">
        <v>274.32</v>
      </c>
      <c r="H6" s="165">
        <v>0</v>
      </c>
      <c r="I6" s="165">
        <v>0</v>
      </c>
      <c r="J6" s="165">
        <v>1015.36</v>
      </c>
      <c r="K6" s="165" t="s">
        <v>318</v>
      </c>
      <c r="L6" s="165">
        <v>26.7</v>
      </c>
      <c r="M6" s="165">
        <v>1483182000</v>
      </c>
      <c r="N6" s="165">
        <v>3.41</v>
      </c>
      <c r="O6" s="165">
        <v>18</v>
      </c>
      <c r="P6" s="165">
        <v>2.48</v>
      </c>
      <c r="Q6"/>
      <c r="R6"/>
    </row>
    <row r="7" spans="1:18" x14ac:dyDescent="0.25">
      <c r="A7" s="165">
        <v>25.83</v>
      </c>
      <c r="B7" s="165">
        <v>0.11</v>
      </c>
      <c r="C7" s="165">
        <v>19.82</v>
      </c>
      <c r="D7" s="8">
        <v>42735.208333333336</v>
      </c>
      <c r="E7" s="165">
        <v>0.78</v>
      </c>
      <c r="F7" s="165" t="s">
        <v>319</v>
      </c>
      <c r="G7" s="165">
        <v>275.12</v>
      </c>
      <c r="H7" s="165">
        <v>0</v>
      </c>
      <c r="I7" s="165">
        <v>0</v>
      </c>
      <c r="J7" s="165">
        <v>1016.29</v>
      </c>
      <c r="K7" s="165" t="s">
        <v>318</v>
      </c>
      <c r="L7" s="165">
        <v>25.83</v>
      </c>
      <c r="M7" s="165">
        <v>1483185600</v>
      </c>
      <c r="N7" s="165">
        <v>4.76</v>
      </c>
      <c r="O7" s="165">
        <v>78</v>
      </c>
      <c r="P7" s="165">
        <v>1.04</v>
      </c>
      <c r="Q7"/>
      <c r="R7"/>
    </row>
    <row r="8" spans="1:18" x14ac:dyDescent="0.25">
      <c r="A8" s="165">
        <v>25.16</v>
      </c>
      <c r="B8" s="165">
        <v>0.1</v>
      </c>
      <c r="C8" s="165">
        <v>19.05</v>
      </c>
      <c r="D8" s="8">
        <v>42735.25</v>
      </c>
      <c r="E8" s="165">
        <v>0.77</v>
      </c>
      <c r="F8" s="165" t="s">
        <v>319</v>
      </c>
      <c r="G8" s="165">
        <v>277.74</v>
      </c>
      <c r="H8" s="165">
        <v>0</v>
      </c>
      <c r="I8" s="165">
        <v>0</v>
      </c>
      <c r="J8" s="165">
        <v>1016.49</v>
      </c>
      <c r="K8" s="165" t="s">
        <v>318</v>
      </c>
      <c r="L8" s="165">
        <v>25.16</v>
      </c>
      <c r="M8" s="165">
        <v>1483189200</v>
      </c>
      <c r="N8" s="165">
        <v>4.2699999999999996</v>
      </c>
      <c r="O8" s="165">
        <v>140</v>
      </c>
      <c r="P8" s="165">
        <v>1.71</v>
      </c>
      <c r="Q8"/>
      <c r="R8"/>
    </row>
    <row r="9" spans="1:18" x14ac:dyDescent="0.25">
      <c r="A9" s="165">
        <v>21.59</v>
      </c>
      <c r="B9" s="165">
        <v>0.14000000000000001</v>
      </c>
      <c r="C9" s="165">
        <v>19.47</v>
      </c>
      <c r="D9" s="8">
        <v>42735.291666666664</v>
      </c>
      <c r="E9" s="165">
        <v>0.78</v>
      </c>
      <c r="F9" s="165" t="s">
        <v>319</v>
      </c>
      <c r="G9" s="165">
        <v>281.37</v>
      </c>
      <c r="H9" s="165">
        <v>0</v>
      </c>
      <c r="I9" s="165">
        <v>0</v>
      </c>
      <c r="J9" s="165">
        <v>1016.24</v>
      </c>
      <c r="K9" s="165" t="s">
        <v>318</v>
      </c>
      <c r="L9" s="165">
        <v>25.29</v>
      </c>
      <c r="M9" s="165">
        <v>1483192800</v>
      </c>
      <c r="N9" s="165">
        <v>3.3</v>
      </c>
      <c r="O9" s="165">
        <v>178</v>
      </c>
      <c r="P9" s="165">
        <v>3.09</v>
      </c>
      <c r="Q9"/>
      <c r="R9"/>
    </row>
    <row r="10" spans="1:18" x14ac:dyDescent="0.25">
      <c r="A10" s="165">
        <v>25.56</v>
      </c>
      <c r="B10" s="165">
        <v>0.09</v>
      </c>
      <c r="C10" s="165">
        <v>19.920000000000002</v>
      </c>
      <c r="D10" s="8">
        <v>42735.333333333336</v>
      </c>
      <c r="E10" s="165">
        <v>0.79</v>
      </c>
      <c r="F10" s="165" t="s">
        <v>405</v>
      </c>
      <c r="G10" s="165">
        <v>284.04000000000002</v>
      </c>
      <c r="H10" s="165">
        <v>0</v>
      </c>
      <c r="I10" s="165">
        <v>0</v>
      </c>
      <c r="J10" s="165">
        <v>1015.7</v>
      </c>
      <c r="K10" s="165" t="s">
        <v>318</v>
      </c>
      <c r="L10" s="165">
        <v>25.56</v>
      </c>
      <c r="M10" s="165">
        <v>1483196400</v>
      </c>
      <c r="N10" s="165">
        <v>10</v>
      </c>
      <c r="O10" s="165">
        <v>170</v>
      </c>
      <c r="P10" s="165">
        <v>2.2200000000000002</v>
      </c>
      <c r="Q10"/>
      <c r="R10"/>
    </row>
    <row r="11" spans="1:18" x14ac:dyDescent="0.25">
      <c r="A11" s="165">
        <v>27.07</v>
      </c>
      <c r="B11" s="165">
        <v>0.12</v>
      </c>
      <c r="C11" s="165">
        <v>20.84</v>
      </c>
      <c r="D11" s="8">
        <v>42735.375</v>
      </c>
      <c r="E11" s="165">
        <v>0.77</v>
      </c>
      <c r="F11" s="165" t="s">
        <v>405</v>
      </c>
      <c r="G11" s="165">
        <v>284.83</v>
      </c>
      <c r="H11" s="165">
        <v>0</v>
      </c>
      <c r="I11" s="165">
        <v>0</v>
      </c>
      <c r="J11" s="165">
        <v>1014.83</v>
      </c>
      <c r="K11" s="165" t="s">
        <v>318</v>
      </c>
      <c r="L11" s="165">
        <v>27.07</v>
      </c>
      <c r="M11" s="165">
        <v>1483200000</v>
      </c>
      <c r="N11" s="165">
        <v>10</v>
      </c>
      <c r="O11" s="165">
        <v>323</v>
      </c>
      <c r="P11" s="165">
        <v>0.34</v>
      </c>
      <c r="Q11"/>
      <c r="R11"/>
    </row>
    <row r="12" spans="1:18" x14ac:dyDescent="0.25">
      <c r="A12" s="165">
        <v>29.68</v>
      </c>
      <c r="B12" s="165">
        <v>0.12</v>
      </c>
      <c r="C12" s="165">
        <v>21.29</v>
      </c>
      <c r="D12" s="8">
        <v>42735.416666666664</v>
      </c>
      <c r="E12" s="165">
        <v>0.71</v>
      </c>
      <c r="F12" s="165" t="s">
        <v>405</v>
      </c>
      <c r="G12" s="165">
        <v>284.67</v>
      </c>
      <c r="H12" s="165">
        <v>0</v>
      </c>
      <c r="I12" s="165">
        <v>0</v>
      </c>
      <c r="J12" s="165">
        <v>1013.16</v>
      </c>
      <c r="K12" s="165" t="s">
        <v>318</v>
      </c>
      <c r="L12" s="165">
        <v>29.68</v>
      </c>
      <c r="M12" s="165">
        <v>1483203600</v>
      </c>
      <c r="N12" s="165">
        <v>10</v>
      </c>
      <c r="O12" s="165">
        <v>347</v>
      </c>
      <c r="P12" s="165">
        <v>2.46</v>
      </c>
      <c r="Q12"/>
      <c r="R12"/>
    </row>
    <row r="13" spans="1:18" x14ac:dyDescent="0.25">
      <c r="A13" s="165">
        <v>32.43</v>
      </c>
      <c r="B13" s="165">
        <v>0.12</v>
      </c>
      <c r="C13" s="165">
        <v>21.8</v>
      </c>
      <c r="D13" s="8">
        <v>42735.458333333336</v>
      </c>
      <c r="E13" s="165">
        <v>0.64</v>
      </c>
      <c r="F13" s="165" t="s">
        <v>405</v>
      </c>
      <c r="G13" s="165">
        <v>284.29000000000002</v>
      </c>
      <c r="H13" s="165">
        <v>0</v>
      </c>
      <c r="I13" s="165">
        <v>0</v>
      </c>
      <c r="J13" s="165">
        <v>1011.76</v>
      </c>
      <c r="K13" s="165" t="s">
        <v>318</v>
      </c>
      <c r="L13" s="165">
        <v>32.43</v>
      </c>
      <c r="M13" s="165">
        <v>1483207200</v>
      </c>
      <c r="N13" s="165">
        <v>2.74</v>
      </c>
      <c r="O13" s="165">
        <v>344</v>
      </c>
      <c r="P13" s="165">
        <v>2.68</v>
      </c>
      <c r="Q13"/>
      <c r="R13"/>
    </row>
    <row r="14" spans="1:18" x14ac:dyDescent="0.25">
      <c r="A14" s="165">
        <v>35.340000000000003</v>
      </c>
      <c r="B14" s="165">
        <v>0.13</v>
      </c>
      <c r="C14" s="165">
        <v>21.83</v>
      </c>
      <c r="D14" s="8">
        <v>42735.5</v>
      </c>
      <c r="E14" s="165">
        <v>0.56999999999999995</v>
      </c>
      <c r="F14" s="165" t="s">
        <v>405</v>
      </c>
      <c r="G14" s="165">
        <v>284.08999999999997</v>
      </c>
      <c r="H14" s="165">
        <v>0</v>
      </c>
      <c r="I14" s="165">
        <v>0</v>
      </c>
      <c r="J14" s="165">
        <v>1010.37</v>
      </c>
      <c r="K14" s="165" t="s">
        <v>318</v>
      </c>
      <c r="L14" s="165">
        <v>35.340000000000003</v>
      </c>
      <c r="M14" s="165">
        <v>1483210800</v>
      </c>
      <c r="N14" s="165">
        <v>2.74</v>
      </c>
      <c r="O14" s="165">
        <v>8</v>
      </c>
      <c r="P14" s="165">
        <v>2.65</v>
      </c>
      <c r="Q14"/>
      <c r="R14"/>
    </row>
    <row r="15" spans="1:18" x14ac:dyDescent="0.25">
      <c r="A15" s="165">
        <v>38.4</v>
      </c>
      <c r="B15" s="165">
        <v>0.12</v>
      </c>
      <c r="C15" s="165">
        <v>21.73</v>
      </c>
      <c r="D15" s="8">
        <v>42735.541666666664</v>
      </c>
      <c r="E15" s="165">
        <v>0.51</v>
      </c>
      <c r="F15" s="165" t="s">
        <v>405</v>
      </c>
      <c r="G15" s="165">
        <v>283.68</v>
      </c>
      <c r="H15" s="165">
        <v>0</v>
      </c>
      <c r="I15" s="165">
        <v>0</v>
      </c>
      <c r="J15" s="165">
        <v>1008.92</v>
      </c>
      <c r="K15" s="165" t="s">
        <v>318</v>
      </c>
      <c r="L15" s="165">
        <v>38.4</v>
      </c>
      <c r="M15" s="165">
        <v>1483214400</v>
      </c>
      <c r="N15" s="165">
        <v>2.74</v>
      </c>
      <c r="O15" s="165">
        <v>5</v>
      </c>
      <c r="P15" s="165">
        <v>2.73</v>
      </c>
      <c r="Q15"/>
      <c r="R15"/>
    </row>
    <row r="16" spans="1:18" x14ac:dyDescent="0.25">
      <c r="A16" s="165">
        <v>39.9</v>
      </c>
      <c r="B16" s="165">
        <v>0.11</v>
      </c>
      <c r="C16" s="165">
        <v>22.3</v>
      </c>
      <c r="D16" s="8">
        <v>42735.583333333336</v>
      </c>
      <c r="E16" s="165">
        <v>0.49</v>
      </c>
      <c r="F16" s="165" t="s">
        <v>405</v>
      </c>
      <c r="G16" s="165">
        <v>282.58999999999997</v>
      </c>
      <c r="H16" s="165">
        <v>0</v>
      </c>
      <c r="I16" s="165">
        <v>0</v>
      </c>
      <c r="J16" s="165">
        <v>1008.09</v>
      </c>
      <c r="K16" s="165" t="s">
        <v>318</v>
      </c>
      <c r="L16" s="165">
        <v>39.9</v>
      </c>
      <c r="M16" s="165">
        <v>1483218000</v>
      </c>
      <c r="N16" s="165">
        <v>2.75</v>
      </c>
      <c r="O16" s="165">
        <v>2</v>
      </c>
      <c r="P16" s="165">
        <v>2.81</v>
      </c>
      <c r="Q16"/>
      <c r="R16"/>
    </row>
    <row r="17" spans="1:18" x14ac:dyDescent="0.25">
      <c r="A17" s="165">
        <v>41.45</v>
      </c>
      <c r="B17" s="165">
        <v>0.17</v>
      </c>
      <c r="C17" s="165">
        <v>21.4</v>
      </c>
      <c r="D17" s="8">
        <v>42735.625</v>
      </c>
      <c r="E17" s="165">
        <v>0.44</v>
      </c>
      <c r="F17" s="165" t="s">
        <v>405</v>
      </c>
      <c r="G17" s="165">
        <v>280.13</v>
      </c>
      <c r="H17" s="165">
        <v>0</v>
      </c>
      <c r="I17" s="165">
        <v>0</v>
      </c>
      <c r="J17" s="165">
        <v>1007.79</v>
      </c>
      <c r="K17" s="165" t="s">
        <v>318</v>
      </c>
      <c r="L17" s="165">
        <v>41.45</v>
      </c>
      <c r="M17" s="165">
        <v>1483221600</v>
      </c>
      <c r="N17" s="165">
        <v>2.81</v>
      </c>
      <c r="O17" s="165">
        <v>30</v>
      </c>
      <c r="P17" s="165">
        <v>1.8</v>
      </c>
      <c r="Q17"/>
      <c r="R17"/>
    </row>
    <row r="18" spans="1:18" x14ac:dyDescent="0.25">
      <c r="A18" s="165">
        <v>39.97</v>
      </c>
      <c r="B18" s="165">
        <v>0.27</v>
      </c>
      <c r="C18" s="165">
        <v>19.829999999999998</v>
      </c>
      <c r="D18" s="8">
        <v>42735.666666666664</v>
      </c>
      <c r="E18" s="165">
        <v>0.44</v>
      </c>
      <c r="F18" s="165" t="s">
        <v>354</v>
      </c>
      <c r="G18" s="165">
        <v>276.99</v>
      </c>
      <c r="H18" s="165">
        <v>0</v>
      </c>
      <c r="I18" s="165">
        <v>0</v>
      </c>
      <c r="J18" s="165">
        <v>1008.75</v>
      </c>
      <c r="K18" s="165" t="s">
        <v>242</v>
      </c>
      <c r="L18" s="165">
        <v>39.97</v>
      </c>
      <c r="M18" s="165">
        <v>1483225200</v>
      </c>
      <c r="N18" s="165">
        <v>10</v>
      </c>
      <c r="O18" s="165">
        <v>357</v>
      </c>
      <c r="P18" s="165">
        <v>2.21</v>
      </c>
      <c r="Q18"/>
      <c r="R18"/>
    </row>
    <row r="19" spans="1:18" x14ac:dyDescent="0.25">
      <c r="A19" s="165">
        <v>37.81</v>
      </c>
      <c r="B19" s="165">
        <v>0.17</v>
      </c>
      <c r="C19" s="165">
        <v>19.34</v>
      </c>
      <c r="D19" s="8">
        <v>42735.708333333336</v>
      </c>
      <c r="E19" s="165">
        <v>0.47</v>
      </c>
      <c r="F19" s="165" t="s">
        <v>319</v>
      </c>
      <c r="G19" s="165">
        <v>274.88</v>
      </c>
      <c r="H19" s="165">
        <v>0</v>
      </c>
      <c r="I19" s="165">
        <v>0</v>
      </c>
      <c r="J19" s="165">
        <v>1008.96</v>
      </c>
      <c r="K19" s="165" t="s">
        <v>318</v>
      </c>
      <c r="L19" s="165">
        <v>37.81</v>
      </c>
      <c r="M19" s="165">
        <v>1483228800</v>
      </c>
      <c r="N19" s="165">
        <v>5.56</v>
      </c>
      <c r="O19" s="165">
        <v>352</v>
      </c>
      <c r="P19" s="165">
        <v>2.19</v>
      </c>
      <c r="Q19"/>
      <c r="R19"/>
    </row>
    <row r="20" spans="1:18" x14ac:dyDescent="0.25">
      <c r="A20" s="165">
        <v>34.26</v>
      </c>
      <c r="B20" s="165">
        <v>0.05</v>
      </c>
      <c r="C20" s="165">
        <v>18.63</v>
      </c>
      <c r="D20" s="8">
        <v>42735.75</v>
      </c>
      <c r="E20" s="165">
        <v>0.52</v>
      </c>
      <c r="F20" s="165" t="s">
        <v>319</v>
      </c>
      <c r="G20" s="165">
        <v>274.70999999999998</v>
      </c>
      <c r="H20" s="165">
        <v>0</v>
      </c>
      <c r="I20" s="165">
        <v>0</v>
      </c>
      <c r="J20" s="165">
        <v>1009.2</v>
      </c>
      <c r="K20" s="165" t="s">
        <v>318</v>
      </c>
      <c r="L20" s="165">
        <v>34.26</v>
      </c>
      <c r="M20" s="165">
        <v>1483232400</v>
      </c>
      <c r="N20" s="165">
        <v>6.33</v>
      </c>
      <c r="O20" s="165">
        <v>21</v>
      </c>
      <c r="P20" s="165">
        <v>1.69</v>
      </c>
      <c r="Q20"/>
      <c r="R20"/>
    </row>
    <row r="21" spans="1:18" x14ac:dyDescent="0.25">
      <c r="A21" s="165">
        <v>32.17</v>
      </c>
      <c r="B21" s="165">
        <v>0.03</v>
      </c>
      <c r="C21" s="165">
        <v>20.7</v>
      </c>
      <c r="D21" s="8">
        <v>42735.791666666664</v>
      </c>
      <c r="E21" s="165">
        <v>0.62</v>
      </c>
      <c r="F21" s="165" t="s">
        <v>319</v>
      </c>
      <c r="G21" s="165">
        <v>275.56</v>
      </c>
      <c r="H21" s="165">
        <v>0</v>
      </c>
      <c r="I21" s="165">
        <v>0</v>
      </c>
      <c r="J21" s="165">
        <v>1010.22</v>
      </c>
      <c r="K21" s="165" t="s">
        <v>318</v>
      </c>
      <c r="L21" s="165">
        <v>32.17</v>
      </c>
      <c r="M21" s="165">
        <v>1483236000</v>
      </c>
      <c r="N21" s="165">
        <v>7.54</v>
      </c>
      <c r="O21" s="165">
        <v>355</v>
      </c>
      <c r="P21" s="165">
        <v>1.5</v>
      </c>
      <c r="Q21"/>
      <c r="R21"/>
    </row>
    <row r="22" spans="1:18" x14ac:dyDescent="0.25">
      <c r="A22" s="165">
        <v>30.07</v>
      </c>
      <c r="B22" s="165">
        <v>0.05</v>
      </c>
      <c r="C22" s="165">
        <v>19.5</v>
      </c>
      <c r="D22" s="8">
        <v>42735.833333333336</v>
      </c>
      <c r="E22" s="165">
        <v>0.64</v>
      </c>
      <c r="F22" s="165" t="s">
        <v>319</v>
      </c>
      <c r="G22" s="165">
        <v>276.33</v>
      </c>
      <c r="H22" s="165">
        <v>0</v>
      </c>
      <c r="I22" s="165">
        <v>0</v>
      </c>
      <c r="J22" s="165">
        <v>1011.2</v>
      </c>
      <c r="K22" s="165" t="s">
        <v>318</v>
      </c>
      <c r="L22" s="165">
        <v>30.07</v>
      </c>
      <c r="M22" s="165">
        <v>1483239600</v>
      </c>
      <c r="N22" s="165">
        <v>6.4</v>
      </c>
      <c r="O22" s="165">
        <v>347</v>
      </c>
      <c r="P22" s="165">
        <v>1.91</v>
      </c>
      <c r="Q22"/>
      <c r="R22"/>
    </row>
    <row r="23" spans="1:18" x14ac:dyDescent="0.25">
      <c r="A23" s="165">
        <v>28.25</v>
      </c>
      <c r="B23" s="165">
        <v>0.1</v>
      </c>
      <c r="C23" s="165">
        <v>19.329999999999998</v>
      </c>
      <c r="D23" s="8">
        <v>42735.875</v>
      </c>
      <c r="E23" s="165">
        <v>0.69</v>
      </c>
      <c r="F23" s="165" t="s">
        <v>319</v>
      </c>
      <c r="G23" s="165">
        <v>276.61</v>
      </c>
      <c r="H23" s="165">
        <v>0</v>
      </c>
      <c r="I23" s="165">
        <v>0</v>
      </c>
      <c r="J23" s="165">
        <v>1011.55</v>
      </c>
      <c r="K23" s="165" t="s">
        <v>318</v>
      </c>
      <c r="L23" s="165">
        <v>28.25</v>
      </c>
      <c r="M23" s="165">
        <v>1483243200</v>
      </c>
      <c r="N23" s="165">
        <v>5.62</v>
      </c>
      <c r="O23" s="165">
        <v>328</v>
      </c>
      <c r="P23" s="165">
        <v>1.22</v>
      </c>
      <c r="Q23"/>
      <c r="R23"/>
    </row>
    <row r="24" spans="1:18" x14ac:dyDescent="0.25">
      <c r="A24" s="165">
        <v>27.59</v>
      </c>
      <c r="B24" s="165">
        <v>0.17</v>
      </c>
      <c r="C24" s="165">
        <v>19.47</v>
      </c>
      <c r="D24" s="8">
        <v>42735.916666666664</v>
      </c>
      <c r="E24" s="165">
        <v>0.71</v>
      </c>
      <c r="F24" s="165" t="s">
        <v>319</v>
      </c>
      <c r="G24" s="165">
        <v>276.81</v>
      </c>
      <c r="H24" s="165">
        <v>0</v>
      </c>
      <c r="I24" s="165">
        <v>0</v>
      </c>
      <c r="J24" s="165">
        <v>1011.47</v>
      </c>
      <c r="K24" s="165" t="s">
        <v>318</v>
      </c>
      <c r="L24" s="165">
        <v>27.59</v>
      </c>
      <c r="M24" s="165">
        <v>1483246800</v>
      </c>
      <c r="N24" s="165">
        <v>5.8</v>
      </c>
      <c r="O24" s="165">
        <v>277</v>
      </c>
      <c r="P24" s="165">
        <v>0.87</v>
      </c>
      <c r="Q24"/>
      <c r="R24"/>
    </row>
    <row r="25" spans="1:18" x14ac:dyDescent="0.25">
      <c r="A25" s="165">
        <v>25.82</v>
      </c>
      <c r="B25" s="165">
        <v>0.21</v>
      </c>
      <c r="C25" s="165">
        <v>18.239999999999998</v>
      </c>
      <c r="D25" s="8">
        <v>42735.958333333336</v>
      </c>
      <c r="E25" s="165">
        <v>0.73</v>
      </c>
      <c r="F25" s="165" t="s">
        <v>319</v>
      </c>
      <c r="G25" s="165">
        <v>277.11</v>
      </c>
      <c r="H25" s="165">
        <v>0</v>
      </c>
      <c r="I25" s="165">
        <v>0</v>
      </c>
      <c r="J25" s="165">
        <v>1011.23</v>
      </c>
      <c r="K25" s="165" t="s">
        <v>318</v>
      </c>
      <c r="L25" s="165">
        <v>25.82</v>
      </c>
      <c r="M25" s="165">
        <v>1483250400</v>
      </c>
      <c r="N25" s="165">
        <v>9.65</v>
      </c>
      <c r="O25" s="165">
        <v>228</v>
      </c>
      <c r="P25" s="165">
        <v>2.93</v>
      </c>
      <c r="Q25"/>
      <c r="R25"/>
    </row>
    <row r="26" spans="1:18" x14ac:dyDescent="0.25">
      <c r="A26" s="165">
        <v>25.03</v>
      </c>
      <c r="B26" s="165">
        <v>0.15</v>
      </c>
      <c r="C26" s="165">
        <v>17.77</v>
      </c>
      <c r="D26" s="8">
        <v>42736</v>
      </c>
      <c r="E26" s="165">
        <v>0.73</v>
      </c>
      <c r="F26" s="165" t="s">
        <v>319</v>
      </c>
      <c r="G26" s="165">
        <v>277.67</v>
      </c>
      <c r="H26" s="165">
        <v>0</v>
      </c>
      <c r="I26" s="165">
        <v>0</v>
      </c>
      <c r="J26" s="165">
        <v>1010.76</v>
      </c>
      <c r="K26" s="165" t="s">
        <v>318</v>
      </c>
      <c r="L26" s="165">
        <v>25.03</v>
      </c>
      <c r="M26" s="165">
        <v>1483254000</v>
      </c>
      <c r="N26" s="165">
        <v>6.68</v>
      </c>
      <c r="O26" s="165">
        <v>225</v>
      </c>
      <c r="P26" s="165">
        <v>2.5499999999999998</v>
      </c>
      <c r="Q26"/>
      <c r="R26"/>
    </row>
    <row r="27" spans="1:18" x14ac:dyDescent="0.25">
      <c r="A27" s="165">
        <v>18.850000000000001</v>
      </c>
      <c r="B27" s="165">
        <v>0.14000000000000001</v>
      </c>
      <c r="C27" s="165">
        <v>15.86</v>
      </c>
      <c r="D27" s="8">
        <v>42736.041666666664</v>
      </c>
      <c r="E27" s="165">
        <v>0.74</v>
      </c>
      <c r="F27" s="165" t="s">
        <v>319</v>
      </c>
      <c r="G27" s="165">
        <v>278.23</v>
      </c>
      <c r="H27" s="165">
        <v>0</v>
      </c>
      <c r="I27" s="165">
        <v>0</v>
      </c>
      <c r="J27" s="165">
        <v>1010.31</v>
      </c>
      <c r="K27" s="165" t="s">
        <v>318</v>
      </c>
      <c r="L27" s="165">
        <v>23.01</v>
      </c>
      <c r="M27" s="165">
        <v>1483257600</v>
      </c>
      <c r="N27" s="165">
        <v>6.54</v>
      </c>
      <c r="O27" s="165">
        <v>208</v>
      </c>
      <c r="P27" s="165">
        <v>3.18</v>
      </c>
      <c r="Q27"/>
      <c r="R27"/>
    </row>
    <row r="28" spans="1:18" x14ac:dyDescent="0.25">
      <c r="A28" s="165">
        <v>22.61</v>
      </c>
      <c r="B28" s="165">
        <v>0.08</v>
      </c>
      <c r="C28" s="165">
        <v>15.48</v>
      </c>
      <c r="D28" s="8">
        <v>42736.083333333336</v>
      </c>
      <c r="E28" s="165">
        <v>0.74</v>
      </c>
      <c r="F28" s="165" t="s">
        <v>319</v>
      </c>
      <c r="G28" s="165">
        <v>278.79000000000002</v>
      </c>
      <c r="H28" s="165">
        <v>0</v>
      </c>
      <c r="I28" s="165">
        <v>0</v>
      </c>
      <c r="J28" s="165">
        <v>1009.87</v>
      </c>
      <c r="K28" s="165" t="s">
        <v>318</v>
      </c>
      <c r="L28" s="165">
        <v>22.61</v>
      </c>
      <c r="M28" s="165">
        <v>1483261200</v>
      </c>
      <c r="N28" s="165">
        <v>5.68</v>
      </c>
      <c r="O28" s="165">
        <v>196</v>
      </c>
      <c r="P28" s="165">
        <v>2.75</v>
      </c>
      <c r="Q28"/>
      <c r="R28"/>
    </row>
    <row r="29" spans="1:18" x14ac:dyDescent="0.25">
      <c r="A29" s="165">
        <v>17.59</v>
      </c>
      <c r="B29" s="165">
        <v>0.09</v>
      </c>
      <c r="C29" s="165">
        <v>13.14</v>
      </c>
      <c r="D29" s="8">
        <v>42736.125</v>
      </c>
      <c r="E29" s="165">
        <v>0.69</v>
      </c>
      <c r="F29" s="165" t="s">
        <v>319</v>
      </c>
      <c r="G29" s="165">
        <v>278.82</v>
      </c>
      <c r="H29" s="165">
        <v>0</v>
      </c>
      <c r="I29" s="165">
        <v>0</v>
      </c>
      <c r="J29" s="165">
        <v>1009.5</v>
      </c>
      <c r="K29" s="165" t="s">
        <v>318</v>
      </c>
      <c r="L29" s="165">
        <v>21.72</v>
      </c>
      <c r="M29" s="165">
        <v>1483264800</v>
      </c>
      <c r="N29" s="165">
        <v>7.21</v>
      </c>
      <c r="O29" s="165">
        <v>217</v>
      </c>
      <c r="P29" s="165">
        <v>3.06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202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42735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203</v>
      </c>
      <c r="J17" s="186"/>
      <c r="K17" s="187"/>
      <c r="L17" s="187"/>
    </row>
    <row r="18" spans="3:13" x14ac:dyDescent="0.25">
      <c r="C18" t="s">
        <v>825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826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827</v>
      </c>
      <c r="J20" s="165" t="s">
        <v>87</v>
      </c>
      <c r="M20" s="165" t="s">
        <v>437</v>
      </c>
    </row>
    <row r="21" spans="3:13" x14ac:dyDescent="0.25">
      <c r="C21" t="s">
        <v>828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829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830</v>
      </c>
      <c r="J23" s="188" t="s">
        <v>95</v>
      </c>
      <c r="M23" s="165">
        <v>-7</v>
      </c>
    </row>
    <row r="24" spans="3:13" x14ac:dyDescent="0.25">
      <c r="C24" t="s">
        <v>831</v>
      </c>
      <c r="J24" s="165" t="s">
        <v>108</v>
      </c>
      <c r="M24" s="165" t="s">
        <v>110</v>
      </c>
    </row>
    <row r="25" spans="3:13" x14ac:dyDescent="0.25">
      <c r="C25" t="s">
        <v>832</v>
      </c>
      <c r="J25" s="165" t="s">
        <v>151</v>
      </c>
      <c r="M25" s="165" t="b">
        <v>1</v>
      </c>
    </row>
    <row r="26" spans="3:13" x14ac:dyDescent="0.25">
      <c r="C26" t="s">
        <v>833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C:\Users\stu\Documents\GitHub\eaglep3-reporting\EC\2016-12-31-refined-times.txt</v>
      </c>
    </row>
    <row r="27" spans="3:13" x14ac:dyDescent="0.25">
      <c r="C27" t="s">
        <v>834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C:\Users\stu\Documents\GitHub\eaglep3-reporting\EC\2016-12-31-Enforcements.txt</v>
      </c>
    </row>
    <row r="28" spans="3:13" x14ac:dyDescent="0.25">
      <c r="C28" t="s">
        <v>835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C:\Users\stu\Documents\GitHub\eaglep3-reporting\EC\2016-12-31-Runs-refined.txt</v>
      </c>
    </row>
    <row r="29" spans="3:13" x14ac:dyDescent="0.25">
      <c r="C29" t="s">
        <v>836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C:\Users\stu\Documents\GitHub\eaglep3-reporting\EC\2016-12-31-Trips.txt</v>
      </c>
    </row>
    <row r="30" spans="3:13" x14ac:dyDescent="0.25">
      <c r="C30" t="s">
        <v>837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C:\Users\stu\Documents\GitHub\eaglep3-reporting\EC\2016-12-31-Weather.txt</v>
      </c>
    </row>
    <row r="31" spans="3:13" x14ac:dyDescent="0.25">
      <c r="C31" t="s">
        <v>838</v>
      </c>
      <c r="J31" s="165" t="s">
        <v>435</v>
      </c>
      <c r="M31" s="165" t="s">
        <v>436</v>
      </c>
    </row>
    <row r="32" spans="3:13" x14ac:dyDescent="0.25">
      <c r="C32" t="s">
        <v>839</v>
      </c>
    </row>
    <row r="33" spans="3:3" x14ac:dyDescent="0.25">
      <c r="C33" t="s">
        <v>840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853</v>
      </c>
      <c r="B1" t="str">
        <f t="shared" ref="B1:B2" si="0">MID(A1,6,23)</f>
        <v>2016/12/31 12:07:20.493</v>
      </c>
      <c r="C1" t="e">
        <f>ABS(B1-#REF!)</f>
        <v>#REF!</v>
      </c>
    </row>
    <row r="2" spans="1:3" x14ac:dyDescent="0.25">
      <c r="A2" t="s">
        <v>856</v>
      </c>
      <c r="B2" s="21" t="str">
        <f t="shared" si="0"/>
        <v>2016/12/31 12:07:22.122</v>
      </c>
      <c r="C2">
        <f>ABS(B2-B1)</f>
        <v>1.8854167137760669E-5</v>
      </c>
    </row>
    <row r="3" spans="1:3" x14ac:dyDescent="0.25">
      <c r="A3" t="s">
        <v>850</v>
      </c>
      <c r="B3" s="21" t="str">
        <f t="shared" ref="B3:B66" si="1">MID(A3,6,23)</f>
        <v>2016/12/31 12:07:23.825</v>
      </c>
      <c r="C3" s="21">
        <f t="shared" ref="C3:C66" si="2">ABS(B3-B2)</f>
        <v>1.9710641936399043E-5</v>
      </c>
    </row>
    <row r="4" spans="1:3" x14ac:dyDescent="0.25">
      <c r="A4" t="s">
        <v>878</v>
      </c>
      <c r="B4" s="21" t="str">
        <f t="shared" si="1"/>
        <v>2016/12/31 13:20:50.263</v>
      </c>
      <c r="C4" s="21">
        <f t="shared" si="2"/>
        <v>5.1000439816561993E-2</v>
      </c>
    </row>
    <row r="5" spans="1:3" x14ac:dyDescent="0.25">
      <c r="A5" t="s">
        <v>893</v>
      </c>
      <c r="B5" s="21" t="str">
        <f t="shared" si="1"/>
        <v>2016/12/31 13:36:27.659</v>
      </c>
      <c r="C5" s="21">
        <f t="shared" si="2"/>
        <v>1.0849490739929024E-2</v>
      </c>
    </row>
    <row r="6" spans="1:3" x14ac:dyDescent="0.25">
      <c r="A6" t="s">
        <v>854</v>
      </c>
      <c r="B6" s="21" t="str">
        <f t="shared" si="1"/>
        <v>2016/12/31 17:12:06.489</v>
      </c>
      <c r="C6" s="21">
        <f t="shared" si="2"/>
        <v>0.14975497685372829</v>
      </c>
    </row>
    <row r="7" spans="1:3" x14ac:dyDescent="0.25">
      <c r="A7" t="s">
        <v>851</v>
      </c>
      <c r="B7" s="21" t="str">
        <f t="shared" si="1"/>
        <v>2016/12/31 17:12:06.825</v>
      </c>
      <c r="C7" s="21">
        <f t="shared" si="2"/>
        <v>3.8888902054168284E-6</v>
      </c>
    </row>
    <row r="8" spans="1:3" x14ac:dyDescent="0.25">
      <c r="A8" t="s">
        <v>857</v>
      </c>
      <c r="B8" s="21" t="str">
        <f t="shared" si="1"/>
        <v>2016/12/31 17:12:07.107</v>
      </c>
      <c r="C8" s="21">
        <f t="shared" si="2"/>
        <v>3.2638854463584721E-6</v>
      </c>
    </row>
    <row r="9" spans="1:3" x14ac:dyDescent="0.25">
      <c r="A9" t="s">
        <v>849</v>
      </c>
      <c r="B9" s="21" t="str">
        <f t="shared" si="1"/>
        <v>2016/12/31 18:55:42.814</v>
      </c>
      <c r="C9" s="21">
        <f t="shared" si="2"/>
        <v>7.1941053240152542E-2</v>
      </c>
    </row>
    <row r="10" spans="1:3" x14ac:dyDescent="0.25">
      <c r="A10" t="s">
        <v>848</v>
      </c>
      <c r="B10" s="21" t="str">
        <f t="shared" si="1"/>
        <v>2016/12/31 18:55:42.976</v>
      </c>
      <c r="C10" s="21">
        <f t="shared" si="2"/>
        <v>1.8749997252598405E-6</v>
      </c>
    </row>
    <row r="11" spans="1:3" x14ac:dyDescent="0.25">
      <c r="A11" t="s">
        <v>847</v>
      </c>
      <c r="B11" s="21" t="str">
        <f t="shared" si="1"/>
        <v>2016/12/31 18:55:43.499</v>
      </c>
      <c r="C11" s="21">
        <f t="shared" si="2"/>
        <v>6.0532402130775154E-6</v>
      </c>
    </row>
    <row r="12" spans="1:3" x14ac:dyDescent="0.25">
      <c r="A12" t="s">
        <v>855</v>
      </c>
      <c r="B12" s="21" t="str">
        <f t="shared" si="1"/>
        <v>2016/12/31 19:27:25.479</v>
      </c>
      <c r="C12" s="21">
        <f t="shared" si="2"/>
        <v>2.2013657413481269E-2</v>
      </c>
    </row>
    <row r="13" spans="1:3" x14ac:dyDescent="0.25">
      <c r="A13" t="s">
        <v>852</v>
      </c>
      <c r="B13" s="21" t="str">
        <f t="shared" si="1"/>
        <v>2016/12/31 19:27:25.813</v>
      </c>
      <c r="C13" s="21">
        <f t="shared" si="2"/>
        <v>3.8657381082884967E-6</v>
      </c>
    </row>
    <row r="14" spans="1:3" x14ac:dyDescent="0.25">
      <c r="A14" t="s">
        <v>858</v>
      </c>
      <c r="B14" s="21" t="str">
        <f t="shared" si="1"/>
        <v>2016/12/31 19:27:26.116</v>
      </c>
      <c r="C14" s="21">
        <f t="shared" si="2"/>
        <v>3.5069460864178836E-6</v>
      </c>
    </row>
    <row r="15" spans="1:3" x14ac:dyDescent="0.25">
      <c r="A15" t="s">
        <v>903</v>
      </c>
      <c r="B15" s="21" t="str">
        <f t="shared" si="1"/>
        <v>2016/12/31 19:35:25.415</v>
      </c>
      <c r="C15" s="21">
        <f t="shared" si="2"/>
        <v>5.5474421315011568E-3</v>
      </c>
    </row>
    <row r="16" spans="1:3" x14ac:dyDescent="0.25">
      <c r="A16" t="s">
        <v>900</v>
      </c>
      <c r="B16" s="21" t="str">
        <f t="shared" si="1"/>
        <v>2016/12/31 19:35:25.784</v>
      </c>
      <c r="C16" s="21">
        <f t="shared" si="2"/>
        <v>4.270827048458159E-6</v>
      </c>
    </row>
    <row r="17" spans="1:3" x14ac:dyDescent="0.25">
      <c r="A17" t="s">
        <v>897</v>
      </c>
      <c r="B17" s="21" t="str">
        <f t="shared" si="1"/>
        <v>2016/12/31 19:35:26.418</v>
      </c>
      <c r="C17" s="21">
        <f t="shared" si="2"/>
        <v>7.3379633249714971E-6</v>
      </c>
    </row>
    <row r="18" spans="1:3" x14ac:dyDescent="0.25">
      <c r="A18" t="s">
        <v>898</v>
      </c>
      <c r="B18" s="21" t="str">
        <f t="shared" si="1"/>
        <v>2016/12/31 19:36:46.409</v>
      </c>
      <c r="C18" s="21">
        <f t="shared" si="2"/>
        <v>9.2582176148425788E-4</v>
      </c>
    </row>
    <row r="19" spans="1:3" x14ac:dyDescent="0.25">
      <c r="A19" t="s">
        <v>901</v>
      </c>
      <c r="B19" s="21" t="str">
        <f t="shared" si="1"/>
        <v>2016/12/31 19:36:46.780</v>
      </c>
      <c r="C19" s="21">
        <f t="shared" si="2"/>
        <v>4.2939791455864906E-6</v>
      </c>
    </row>
    <row r="20" spans="1:3" x14ac:dyDescent="0.25">
      <c r="A20" t="s">
        <v>904</v>
      </c>
      <c r="B20" s="21" t="str">
        <f t="shared" si="1"/>
        <v>2016/12/31 19:36:47.412</v>
      </c>
      <c r="C20" s="21">
        <f t="shared" si="2"/>
        <v>7.3148185038007796E-6</v>
      </c>
    </row>
    <row r="21" spans="1:3" x14ac:dyDescent="0.25">
      <c r="A21" t="s">
        <v>899</v>
      </c>
      <c r="B21" s="21" t="str">
        <f t="shared" si="1"/>
        <v>2016/12/31 19:37:52.414</v>
      </c>
      <c r="C21" s="21">
        <f t="shared" si="2"/>
        <v>7.5233796087559313E-4</v>
      </c>
    </row>
    <row r="22" spans="1:3" x14ac:dyDescent="0.25">
      <c r="A22" t="s">
        <v>902</v>
      </c>
      <c r="B22" s="21" t="str">
        <f t="shared" si="1"/>
        <v>2016/12/31 19:37:52.780</v>
      </c>
      <c r="C22" s="21">
        <f t="shared" si="2"/>
        <v>4.2361134546808898E-6</v>
      </c>
    </row>
    <row r="23" spans="1:3" x14ac:dyDescent="0.25">
      <c r="A23" t="s">
        <v>905</v>
      </c>
      <c r="B23" s="21" t="str">
        <f t="shared" si="1"/>
        <v>2016/12/31 19:37:53.410</v>
      </c>
      <c r="C23" s="21">
        <f t="shared" si="2"/>
        <v>7.2916664066724479E-6</v>
      </c>
    </row>
    <row r="24" spans="1:3" x14ac:dyDescent="0.25">
      <c r="A24" t="s">
        <v>859</v>
      </c>
      <c r="B24" s="21" t="str">
        <f t="shared" si="1"/>
        <v>2016/12/31 20:12:49.250</v>
      </c>
      <c r="C24" s="21">
        <f t="shared" si="2"/>
        <v>2.4257407407276332E-2</v>
      </c>
    </row>
    <row r="25" spans="1:3" x14ac:dyDescent="0.25">
      <c r="A25" t="s">
        <v>860</v>
      </c>
      <c r="B25" s="21" t="str">
        <f t="shared" si="1"/>
        <v>2016/12/31 20:12:49.267</v>
      </c>
      <c r="C25" s="21">
        <f t="shared" si="2"/>
        <v>1.967564458027482E-7</v>
      </c>
    </row>
    <row r="26" spans="1:3" x14ac:dyDescent="0.25">
      <c r="A26" t="s">
        <v>870</v>
      </c>
      <c r="B26" s="21" t="str">
        <f t="shared" si="1"/>
        <v>2016/12/31 20:35:50.663</v>
      </c>
      <c r="C26" s="21">
        <f t="shared" si="2"/>
        <v>1.5988379629561678E-2</v>
      </c>
    </row>
    <row r="27" spans="1:3" x14ac:dyDescent="0.25">
      <c r="A27" t="s">
        <v>871</v>
      </c>
      <c r="B27" s="21" t="str">
        <f t="shared" si="1"/>
        <v>2016/12/31 20:35:51.374</v>
      </c>
      <c r="C27" s="21">
        <f t="shared" si="2"/>
        <v>8.2291662693023682E-6</v>
      </c>
    </row>
    <row r="28" spans="1:3" x14ac:dyDescent="0.25">
      <c r="A28" t="s">
        <v>869</v>
      </c>
      <c r="B28" s="21" t="str">
        <f t="shared" si="1"/>
        <v>2016/12/31 20:35:51.504</v>
      </c>
      <c r="C28" s="21">
        <f t="shared" si="2"/>
        <v>1.5046316548250616E-6</v>
      </c>
    </row>
    <row r="29" spans="1:3" x14ac:dyDescent="0.25">
      <c r="A29" t="s">
        <v>873</v>
      </c>
      <c r="B29" s="21" t="str">
        <f t="shared" si="1"/>
        <v>2016/12/31 21:02:45.133</v>
      </c>
      <c r="C29" s="21">
        <f t="shared" si="2"/>
        <v>1.8676261577638797E-2</v>
      </c>
    </row>
    <row r="30" spans="1:3" x14ac:dyDescent="0.25">
      <c r="A30" t="s">
        <v>872</v>
      </c>
      <c r="B30" s="21" t="str">
        <f t="shared" si="1"/>
        <v>2016/12/31 21:02:45.383</v>
      </c>
      <c r="C30" s="21">
        <f t="shared" si="2"/>
        <v>2.8935173759236932E-6</v>
      </c>
    </row>
    <row r="31" spans="1:3" x14ac:dyDescent="0.25">
      <c r="A31" t="s">
        <v>874</v>
      </c>
      <c r="B31" s="21" t="str">
        <f t="shared" si="1"/>
        <v>2016/12/31 21:02:45.472</v>
      </c>
      <c r="C31" s="21">
        <f t="shared" si="2"/>
        <v>1.0300936992280185E-6</v>
      </c>
    </row>
    <row r="32" spans="1:3" x14ac:dyDescent="0.25">
      <c r="A32" t="s">
        <v>879</v>
      </c>
      <c r="B32" s="21" t="str">
        <f t="shared" si="1"/>
        <v>2017/01/01 02:05:22.489</v>
      </c>
      <c r="C32" s="21">
        <f t="shared" si="2"/>
        <v>0.21015065971732838</v>
      </c>
    </row>
    <row r="33" spans="1:3" x14ac:dyDescent="0.25">
      <c r="A33" t="s">
        <v>881</v>
      </c>
      <c r="B33" s="21" t="str">
        <f t="shared" si="1"/>
        <v>2017/01/01 02:05:22.782</v>
      </c>
      <c r="C33" s="21">
        <f t="shared" si="2"/>
        <v>3.3912074286490679E-6</v>
      </c>
    </row>
    <row r="34" spans="1:3" x14ac:dyDescent="0.25">
      <c r="A34" t="s">
        <v>880</v>
      </c>
      <c r="B34" s="21" t="str">
        <f t="shared" si="1"/>
        <v>2017/01/01 02:05:22.958</v>
      </c>
      <c r="C34" s="21">
        <f t="shared" si="2"/>
        <v>2.0370353013277054E-6</v>
      </c>
    </row>
    <row r="35" spans="1:3" x14ac:dyDescent="0.25">
      <c r="A35" t="s">
        <v>891</v>
      </c>
      <c r="B35" s="21" t="str">
        <f t="shared" si="1"/>
        <v>2017/01/01 02:34:51.454</v>
      </c>
      <c r="C35" s="21">
        <f t="shared" si="2"/>
        <v>2.0468703703954816E-2</v>
      </c>
    </row>
    <row r="36" spans="1:3" x14ac:dyDescent="0.25">
      <c r="A36" t="s">
        <v>890</v>
      </c>
      <c r="B36" s="21" t="str">
        <f t="shared" si="1"/>
        <v>2017/01/01 02:34:51.799</v>
      </c>
      <c r="C36" s="21">
        <f t="shared" si="2"/>
        <v>3.9930528146214783E-6</v>
      </c>
    </row>
    <row r="37" spans="1:3" x14ac:dyDescent="0.25">
      <c r="A37" t="s">
        <v>892</v>
      </c>
      <c r="B37" s="21" t="str">
        <f t="shared" si="1"/>
        <v>2017/01/01 02:34:52.093</v>
      </c>
      <c r="C37" s="21">
        <f t="shared" si="2"/>
        <v>3.4027834772132337E-6</v>
      </c>
    </row>
    <row r="38" spans="1:3" x14ac:dyDescent="0.25">
      <c r="A38" t="s">
        <v>887</v>
      </c>
      <c r="B38" s="21" t="str">
        <f t="shared" si="1"/>
        <v>2017/01/01 03:11:06.908</v>
      </c>
      <c r="C38" s="21">
        <f t="shared" si="2"/>
        <v>2.5171469904307742E-2</v>
      </c>
    </row>
    <row r="39" spans="1:3" x14ac:dyDescent="0.25">
      <c r="A39" t="s">
        <v>882</v>
      </c>
      <c r="B39" s="21" t="str">
        <f t="shared" si="1"/>
        <v>2017/01/01 03:11:07.083</v>
      </c>
      <c r="C39" s="21">
        <f t="shared" si="2"/>
        <v>2.0254592527635396E-6</v>
      </c>
    </row>
    <row r="40" spans="1:3" x14ac:dyDescent="0.25">
      <c r="A40" t="s">
        <v>885</v>
      </c>
      <c r="B40" s="21" t="str">
        <f t="shared" si="1"/>
        <v>2017/01/01 03:11:07.143</v>
      </c>
      <c r="C40" s="21">
        <f t="shared" si="2"/>
        <v>6.944464985281229E-7</v>
      </c>
    </row>
    <row r="41" spans="1:3" x14ac:dyDescent="0.25">
      <c r="A41" t="s">
        <v>864</v>
      </c>
      <c r="B41" s="21" t="str">
        <f t="shared" si="1"/>
        <v>2017/01/01 03:38:50.789</v>
      </c>
      <c r="C41" s="21">
        <f t="shared" si="2"/>
        <v>1.9255162034824025E-2</v>
      </c>
    </row>
    <row r="42" spans="1:3" x14ac:dyDescent="0.25">
      <c r="A42" t="s">
        <v>861</v>
      </c>
      <c r="B42" s="21" t="str">
        <f t="shared" si="1"/>
        <v>2017/01/01 03:38:51.085</v>
      </c>
      <c r="C42" s="21">
        <f t="shared" si="2"/>
        <v>3.4259282983839512E-6</v>
      </c>
    </row>
    <row r="43" spans="1:3" x14ac:dyDescent="0.25">
      <c r="A43" t="s">
        <v>866</v>
      </c>
      <c r="B43" s="21" t="str">
        <f t="shared" si="1"/>
        <v>2017/01/01 03:38:51.387</v>
      </c>
      <c r="C43" s="21">
        <f t="shared" si="2"/>
        <v>3.4953700378537178E-6</v>
      </c>
    </row>
    <row r="44" spans="1:3" x14ac:dyDescent="0.25">
      <c r="A44" t="s">
        <v>865</v>
      </c>
      <c r="B44" s="21" t="str">
        <f t="shared" si="1"/>
        <v>2017/01/01 03:39:29.790</v>
      </c>
      <c r="C44" s="21">
        <f t="shared" si="2"/>
        <v>4.4447917025536299E-4</v>
      </c>
    </row>
    <row r="45" spans="1:3" x14ac:dyDescent="0.25">
      <c r="A45" t="s">
        <v>862</v>
      </c>
      <c r="B45" s="21" t="str">
        <f t="shared" si="1"/>
        <v>2017/01/01 03:39:37.084</v>
      </c>
      <c r="C45" s="21">
        <f t="shared" si="2"/>
        <v>8.4421291830949485E-5</v>
      </c>
    </row>
    <row r="46" spans="1:3" x14ac:dyDescent="0.25">
      <c r="A46" t="s">
        <v>867</v>
      </c>
      <c r="B46" s="21" t="str">
        <f t="shared" si="1"/>
        <v>2017/01/01 03:39:37.384</v>
      </c>
      <c r="C46" s="21">
        <f t="shared" si="2"/>
        <v>3.4722252166830003E-6</v>
      </c>
    </row>
    <row r="47" spans="1:3" x14ac:dyDescent="0.25">
      <c r="A47" t="s">
        <v>845</v>
      </c>
      <c r="B47" s="21" t="str">
        <f t="shared" si="1"/>
        <v>2017/01/01 04:08:34.305</v>
      </c>
      <c r="C47" s="21">
        <f t="shared" si="2"/>
        <v>2.0103252310946118E-2</v>
      </c>
    </row>
    <row r="48" spans="1:3" x14ac:dyDescent="0.25">
      <c r="A48" t="s">
        <v>843</v>
      </c>
      <c r="B48" s="21" t="str">
        <f t="shared" si="1"/>
        <v>2017/01/01 04:08:36.052</v>
      </c>
      <c r="C48" s="21">
        <f t="shared" si="2"/>
        <v>2.0219908037688583E-5</v>
      </c>
    </row>
    <row r="49" spans="1:3" x14ac:dyDescent="0.25">
      <c r="A49" t="s">
        <v>888</v>
      </c>
      <c r="B49" s="21" t="str">
        <f t="shared" si="1"/>
        <v>2017/01/01 05:08:23.913</v>
      </c>
      <c r="C49" s="21">
        <f t="shared" si="2"/>
        <v>4.1526168985001277E-2</v>
      </c>
    </row>
    <row r="50" spans="1:3" x14ac:dyDescent="0.25">
      <c r="A50" t="s">
        <v>883</v>
      </c>
      <c r="B50" s="21" t="str">
        <f t="shared" si="1"/>
        <v>2017/01/01 05:08:24.084</v>
      </c>
      <c r="C50" s="21">
        <f t="shared" si="2"/>
        <v>1.9791623344644904E-6</v>
      </c>
    </row>
    <row r="51" spans="1:3" x14ac:dyDescent="0.25">
      <c r="A51" t="s">
        <v>886</v>
      </c>
      <c r="B51" s="21" t="str">
        <f t="shared" si="1"/>
        <v>2017/01/01 05:09:35.151</v>
      </c>
      <c r="C51" s="21">
        <f t="shared" si="2"/>
        <v>8.2253472646698356E-4</v>
      </c>
    </row>
    <row r="52" spans="1:3" x14ac:dyDescent="0.25">
      <c r="A52" t="s">
        <v>889</v>
      </c>
      <c r="B52" s="21" t="str">
        <f t="shared" si="1"/>
        <v>2017/01/01 05:09:35.909</v>
      </c>
      <c r="C52" s="21">
        <f t="shared" si="2"/>
        <v>8.7731459643691778E-6</v>
      </c>
    </row>
    <row r="53" spans="1:3" x14ac:dyDescent="0.25">
      <c r="A53" t="s">
        <v>884</v>
      </c>
      <c r="B53" s="21" t="str">
        <f t="shared" si="1"/>
        <v>2017/01/01 05:09:36.082</v>
      </c>
      <c r="C53" s="21">
        <f t="shared" si="2"/>
        <v>2.0023144315928221E-6</v>
      </c>
    </row>
    <row r="54" spans="1:3" x14ac:dyDescent="0.25">
      <c r="A54" t="s">
        <v>863</v>
      </c>
      <c r="B54" s="21" t="str">
        <f t="shared" si="1"/>
        <v>2017/01/01 05:14:26.125</v>
      </c>
      <c r="C54" s="21">
        <f t="shared" si="2"/>
        <v>3.3569791703484952E-3</v>
      </c>
    </row>
    <row r="55" spans="1:3" x14ac:dyDescent="0.25">
      <c r="A55" t="s">
        <v>868</v>
      </c>
      <c r="B55" s="21" t="str">
        <f t="shared" si="1"/>
        <v>2017/01/01 05:14:26.404</v>
      </c>
      <c r="C55" s="21">
        <f t="shared" si="2"/>
        <v>3.2291645766235888E-6</v>
      </c>
    </row>
    <row r="56" spans="1:3" x14ac:dyDescent="0.25">
      <c r="A56" t="s">
        <v>908</v>
      </c>
      <c r="B56" s="21" t="str">
        <f t="shared" si="1"/>
        <v>2017/01/01 05:36:38.846</v>
      </c>
      <c r="C56" s="21">
        <f t="shared" si="2"/>
        <v>1.5421782409248408E-2</v>
      </c>
    </row>
    <row r="57" spans="1:3" x14ac:dyDescent="0.25">
      <c r="A57" t="s">
        <v>907</v>
      </c>
      <c r="B57" s="21" t="str">
        <f t="shared" si="1"/>
        <v>2017/01/01 05:36:39.087</v>
      </c>
      <c r="C57" s="21">
        <f t="shared" si="2"/>
        <v>2.7893474907614291E-6</v>
      </c>
    </row>
    <row r="58" spans="1:3" x14ac:dyDescent="0.25">
      <c r="A58" t="s">
        <v>906</v>
      </c>
      <c r="B58" s="21" t="str">
        <f t="shared" si="1"/>
        <v>2017/01/01 05:36:39.284</v>
      </c>
      <c r="C58" s="21">
        <f t="shared" si="2"/>
        <v>2.2800959413871169E-6</v>
      </c>
    </row>
    <row r="59" spans="1:3" x14ac:dyDescent="0.25">
      <c r="A59" t="s">
        <v>894</v>
      </c>
      <c r="B59" s="21" t="str">
        <f t="shared" si="1"/>
        <v>2017/01/01 05:45:02.491</v>
      </c>
      <c r="C59" s="21">
        <f t="shared" si="2"/>
        <v>5.8241550941602327E-3</v>
      </c>
    </row>
    <row r="60" spans="1:3" x14ac:dyDescent="0.25">
      <c r="A60" t="s">
        <v>895</v>
      </c>
      <c r="B60" s="21" t="str">
        <f t="shared" si="1"/>
        <v>2017/01/01 05:45:02.639</v>
      </c>
      <c r="C60" s="21">
        <f t="shared" si="2"/>
        <v>1.7129641491919756E-6</v>
      </c>
    </row>
    <row r="61" spans="1:3" x14ac:dyDescent="0.25">
      <c r="A61" t="s">
        <v>896</v>
      </c>
      <c r="B61" s="21" t="str">
        <f t="shared" si="1"/>
        <v>2017/01/01 05:45:03.366</v>
      </c>
      <c r="C61" s="21">
        <f t="shared" si="2"/>
        <v>8.4143466665409505E-6</v>
      </c>
    </row>
    <row r="62" spans="1:3" x14ac:dyDescent="0.25">
      <c r="A62" t="s">
        <v>846</v>
      </c>
      <c r="B62" s="21" t="str">
        <f t="shared" si="1"/>
        <v>2017/01/01 06:08:33.308</v>
      </c>
      <c r="C62" s="21">
        <f t="shared" si="2"/>
        <v>1.6318773152306676E-2</v>
      </c>
    </row>
    <row r="63" spans="1:3" x14ac:dyDescent="0.25">
      <c r="A63" t="s">
        <v>844</v>
      </c>
      <c r="B63" s="21" t="str">
        <f t="shared" si="1"/>
        <v>2017/01/01 06:08:35.039</v>
      </c>
      <c r="C63" s="21">
        <f t="shared" si="2"/>
        <v>2.0034720364492387E-5</v>
      </c>
    </row>
    <row r="64" spans="1:3" x14ac:dyDescent="0.25">
      <c r="A64" t="s">
        <v>875</v>
      </c>
      <c r="B64" s="21" t="str">
        <f t="shared" si="1"/>
        <v>2017/01/01 07:44:39.428</v>
      </c>
      <c r="C64" s="21">
        <f t="shared" si="2"/>
        <v>6.6717465277179144E-2</v>
      </c>
    </row>
    <row r="65" spans="1:3" x14ac:dyDescent="0.25">
      <c r="A65" t="s">
        <v>876</v>
      </c>
      <c r="B65" s="21" t="str">
        <f t="shared" si="1"/>
        <v>2017/01/01 07:44:39.845</v>
      </c>
      <c r="C65" s="21">
        <f t="shared" si="2"/>
        <v>4.8263900680467486E-6</v>
      </c>
    </row>
    <row r="66" spans="1:3" x14ac:dyDescent="0.25">
      <c r="A66" t="s">
        <v>877</v>
      </c>
      <c r="B66" s="21" t="str">
        <f t="shared" si="1"/>
        <v>2017/01/01 07:44:39.979</v>
      </c>
      <c r="C66" s="21">
        <f t="shared" si="2"/>
        <v>1.5509212971664965E-6</v>
      </c>
    </row>
    <row r="67" spans="1:3" x14ac:dyDescent="0.25">
      <c r="B67" s="21"/>
      <c r="C67" s="21"/>
    </row>
    <row r="68" spans="1:3" x14ac:dyDescent="0.25">
      <c r="B68" s="21"/>
      <c r="C68" s="21"/>
    </row>
    <row r="69" spans="1:3" x14ac:dyDescent="0.25">
      <c r="B69" s="21"/>
      <c r="C69" s="21"/>
    </row>
    <row r="70" spans="1:3" x14ac:dyDescent="0.25">
      <c r="B70" s="21"/>
      <c r="C70" s="21"/>
    </row>
    <row r="71" spans="1:3" x14ac:dyDescent="0.25">
      <c r="B71" s="21"/>
      <c r="C71" s="21"/>
    </row>
    <row r="72" spans="1:3" x14ac:dyDescent="0.25">
      <c r="B72" s="21"/>
      <c r="C72" s="21"/>
    </row>
    <row r="73" spans="1:3" x14ac:dyDescent="0.25">
      <c r="B73" s="21"/>
      <c r="C73" s="21"/>
    </row>
    <row r="74" spans="1:3" x14ac:dyDescent="0.25">
      <c r="B74" s="21"/>
      <c r="C74" s="21"/>
    </row>
    <row r="75" spans="1:3" x14ac:dyDescent="0.25">
      <c r="B75" s="21"/>
      <c r="C75" s="21"/>
    </row>
    <row r="76" spans="1:3" x14ac:dyDescent="0.25">
      <c r="B76" s="21"/>
      <c r="C76" s="21"/>
    </row>
    <row r="77" spans="1:3" x14ac:dyDescent="0.25">
      <c r="B77" s="21"/>
      <c r="C77" s="21"/>
    </row>
    <row r="78" spans="1:3" x14ac:dyDescent="0.25">
      <c r="B78" s="21"/>
      <c r="C78" s="21"/>
    </row>
    <row r="79" spans="1:3" x14ac:dyDescent="0.25">
      <c r="B79" s="21"/>
      <c r="C79" s="21"/>
    </row>
    <row r="80" spans="1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2017-01-04T17:14:57Z</dcterms:modified>
</cp:coreProperties>
</file>