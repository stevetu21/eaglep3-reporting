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Enforcements!$A$6:$AC$43</definedName>
    <definedName name="_xlnm._FilterDatabase" localSheetId="2" hidden="1">'Missing Trips'!$B$2:$I$2</definedName>
    <definedName name="_xlnm._FilterDatabase" localSheetId="0" hidden="1">'Train Runs'!$A$12:$AG$257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1" i="1" l="1"/>
  <c r="L191" i="1"/>
  <c r="M191" i="1"/>
  <c r="V191" i="1"/>
  <c r="Y191" i="1"/>
  <c r="Z191" i="1"/>
  <c r="AA191" i="1" s="1"/>
  <c r="AB191" i="1"/>
  <c r="AC191" i="1"/>
  <c r="AD191" i="1"/>
  <c r="T191" i="1" s="1"/>
  <c r="AE191" i="1"/>
  <c r="AG191" i="1" l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K15" i="1"/>
  <c r="L15" i="1"/>
  <c r="M15" i="1"/>
  <c r="N15" i="1" s="1"/>
  <c r="V15" i="1"/>
  <c r="Y15" i="1"/>
  <c r="Z15" i="1"/>
  <c r="AB15" i="1"/>
  <c r="AC15" i="1"/>
  <c r="AD15" i="1"/>
  <c r="X15" i="1" s="1"/>
  <c r="AE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K17" i="1"/>
  <c r="L17" i="1"/>
  <c r="M17" i="1"/>
  <c r="N17" i="1" s="1"/>
  <c r="V17" i="1"/>
  <c r="Y17" i="1"/>
  <c r="Z17" i="1"/>
  <c r="AB17" i="1"/>
  <c r="AC17" i="1"/>
  <c r="AD17" i="1"/>
  <c r="AE17" i="1"/>
  <c r="K18" i="1"/>
  <c r="L18" i="1"/>
  <c r="M18" i="1"/>
  <c r="N18" i="1" s="1"/>
  <c r="V18" i="1"/>
  <c r="Y18" i="1"/>
  <c r="Z18" i="1"/>
  <c r="AB18" i="1"/>
  <c r="AC18" i="1"/>
  <c r="AD18" i="1"/>
  <c r="AE18" i="1"/>
  <c r="R8" i="3" s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Y21" i="1"/>
  <c r="Z21" i="1"/>
  <c r="AB21" i="1"/>
  <c r="AC21" i="1"/>
  <c r="AD21" i="1"/>
  <c r="AE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K25" i="1"/>
  <c r="L25" i="1"/>
  <c r="M25" i="1"/>
  <c r="N25" i="1" s="1"/>
  <c r="V25" i="1"/>
  <c r="Y25" i="1"/>
  <c r="Z25" i="1"/>
  <c r="AB25" i="1"/>
  <c r="AC25" i="1"/>
  <c r="AD25" i="1"/>
  <c r="AE25" i="1"/>
  <c r="K26" i="1"/>
  <c r="L26" i="1"/>
  <c r="M26" i="1"/>
  <c r="N26" i="1" s="1"/>
  <c r="V26" i="1"/>
  <c r="Y26" i="1"/>
  <c r="Z26" i="1"/>
  <c r="AB26" i="1"/>
  <c r="AC26" i="1"/>
  <c r="AD26" i="1"/>
  <c r="AE26" i="1"/>
  <c r="K27" i="1"/>
  <c r="L27" i="1"/>
  <c r="M27" i="1"/>
  <c r="N27" i="1" s="1"/>
  <c r="V27" i="1"/>
  <c r="Z27" i="1"/>
  <c r="AB27" i="1"/>
  <c r="AC27" i="1"/>
  <c r="AD27" i="1"/>
  <c r="T27" i="1" s="1"/>
  <c r="AE27" i="1"/>
  <c r="K28" i="1"/>
  <c r="L28" i="1"/>
  <c r="M28" i="1"/>
  <c r="N28" i="1" s="1"/>
  <c r="V28" i="1"/>
  <c r="Y28" i="1"/>
  <c r="Z28" i="1"/>
  <c r="AB28" i="1"/>
  <c r="AC28" i="1"/>
  <c r="AD28" i="1"/>
  <c r="AE28" i="1"/>
  <c r="K29" i="1"/>
  <c r="L29" i="1"/>
  <c r="M29" i="1"/>
  <c r="N29" i="1" s="1"/>
  <c r="V29" i="1"/>
  <c r="Y29" i="1"/>
  <c r="Z29" i="1"/>
  <c r="AB29" i="1"/>
  <c r="AC29" i="1"/>
  <c r="AD29" i="1"/>
  <c r="AE29" i="1"/>
  <c r="K30" i="1"/>
  <c r="L30" i="1"/>
  <c r="M30" i="1"/>
  <c r="N30" i="1" s="1"/>
  <c r="V30" i="1"/>
  <c r="Y30" i="1"/>
  <c r="Z30" i="1"/>
  <c r="AB30" i="1"/>
  <c r="AC30" i="1"/>
  <c r="AD30" i="1"/>
  <c r="AE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K32" i="1"/>
  <c r="L32" i="1"/>
  <c r="M32" i="1"/>
  <c r="N32" i="1" s="1"/>
  <c r="V32" i="1"/>
  <c r="Y32" i="1"/>
  <c r="Z32" i="1"/>
  <c r="AB32" i="1"/>
  <c r="AC32" i="1"/>
  <c r="AD32" i="1"/>
  <c r="AE32" i="1"/>
  <c r="K33" i="1"/>
  <c r="L33" i="1"/>
  <c r="M33" i="1"/>
  <c r="N33" i="1" s="1"/>
  <c r="V33" i="1"/>
  <c r="Y33" i="1"/>
  <c r="Z33" i="1"/>
  <c r="AB33" i="1"/>
  <c r="AC33" i="1"/>
  <c r="AD33" i="1"/>
  <c r="AE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K35" i="1"/>
  <c r="L35" i="1"/>
  <c r="M35" i="1"/>
  <c r="N35" i="1" s="1"/>
  <c r="V35" i="1"/>
  <c r="Y35" i="1"/>
  <c r="Z35" i="1"/>
  <c r="AB35" i="1"/>
  <c r="AC35" i="1"/>
  <c r="AD35" i="1"/>
  <c r="AE35" i="1"/>
  <c r="K36" i="1"/>
  <c r="L36" i="1"/>
  <c r="M36" i="1"/>
  <c r="N36" i="1" s="1"/>
  <c r="V36" i="1"/>
  <c r="Y36" i="1"/>
  <c r="Z36" i="1"/>
  <c r="AB36" i="1"/>
  <c r="AC36" i="1"/>
  <c r="AD36" i="1"/>
  <c r="AE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K38" i="1"/>
  <c r="L38" i="1"/>
  <c r="M38" i="1"/>
  <c r="N38" i="1" s="1"/>
  <c r="V38" i="1"/>
  <c r="S9" i="3" s="1"/>
  <c r="Y38" i="1"/>
  <c r="Z38" i="1"/>
  <c r="AB38" i="1"/>
  <c r="AC38" i="1"/>
  <c r="AD38" i="1"/>
  <c r="AG38" i="1" s="1"/>
  <c r="AE38" i="1"/>
  <c r="R9" i="3" s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K40" i="1"/>
  <c r="L40" i="1"/>
  <c r="M40" i="1"/>
  <c r="N40" i="1" s="1"/>
  <c r="V40" i="1"/>
  <c r="Y40" i="1"/>
  <c r="Z40" i="1"/>
  <c r="AB40" i="1"/>
  <c r="AC40" i="1"/>
  <c r="AD40" i="1"/>
  <c r="AE40" i="1"/>
  <c r="K41" i="1"/>
  <c r="L41" i="1"/>
  <c r="M41" i="1"/>
  <c r="N41" i="1" s="1"/>
  <c r="V41" i="1"/>
  <c r="Y41" i="1"/>
  <c r="Z41" i="1"/>
  <c r="AB41" i="1"/>
  <c r="AC41" i="1"/>
  <c r="AD41" i="1"/>
  <c r="AE41" i="1"/>
  <c r="K42" i="1"/>
  <c r="L42" i="1"/>
  <c r="M42" i="1"/>
  <c r="N42" i="1" s="1"/>
  <c r="V42" i="1"/>
  <c r="S10" i="3" s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K44" i="1"/>
  <c r="L44" i="1"/>
  <c r="M44" i="1"/>
  <c r="N44" i="1" s="1"/>
  <c r="V44" i="1"/>
  <c r="Y44" i="1"/>
  <c r="Z44" i="1"/>
  <c r="AB44" i="1"/>
  <c r="AC44" i="1"/>
  <c r="AD44" i="1"/>
  <c r="AE44" i="1"/>
  <c r="K45" i="1"/>
  <c r="L45" i="1"/>
  <c r="M45" i="1"/>
  <c r="N45" i="1" s="1"/>
  <c r="V45" i="1"/>
  <c r="Y45" i="1"/>
  <c r="Z45" i="1"/>
  <c r="AB45" i="1"/>
  <c r="AC45" i="1"/>
  <c r="AD45" i="1"/>
  <c r="AE45" i="1"/>
  <c r="K46" i="1"/>
  <c r="L46" i="1"/>
  <c r="M46" i="1"/>
  <c r="N46" i="1" s="1"/>
  <c r="V46" i="1"/>
  <c r="Y46" i="1"/>
  <c r="Z46" i="1"/>
  <c r="AB46" i="1"/>
  <c r="AC46" i="1"/>
  <c r="AD46" i="1"/>
  <c r="AE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K50" i="1"/>
  <c r="L50" i="1"/>
  <c r="M50" i="1"/>
  <c r="N50" i="1" s="1"/>
  <c r="V50" i="1"/>
  <c r="Y50" i="1"/>
  <c r="Z50" i="1"/>
  <c r="AB50" i="1"/>
  <c r="AC50" i="1"/>
  <c r="AD50" i="1"/>
  <c r="AE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K56" i="1"/>
  <c r="L56" i="1"/>
  <c r="M56" i="1"/>
  <c r="N56" i="1" s="1"/>
  <c r="V56" i="1"/>
  <c r="S14" i="3" s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K61" i="1"/>
  <c r="L61" i="1"/>
  <c r="M61" i="1"/>
  <c r="N61" i="1" s="1"/>
  <c r="V61" i="1"/>
  <c r="S13" i="3" s="1"/>
  <c r="Y61" i="1"/>
  <c r="Z61" i="1"/>
  <c r="AB61" i="1"/>
  <c r="AC61" i="1"/>
  <c r="AD61" i="1"/>
  <c r="T61" i="1" s="1"/>
  <c r="AE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K67" i="1"/>
  <c r="L67" i="1"/>
  <c r="M67" i="1"/>
  <c r="N67" i="1" s="1"/>
  <c r="V67" i="1"/>
  <c r="Y67" i="1"/>
  <c r="Z67" i="1"/>
  <c r="AB67" i="1"/>
  <c r="AC67" i="1"/>
  <c r="AD67" i="1"/>
  <c r="AE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K69" i="1"/>
  <c r="L69" i="1"/>
  <c r="M69" i="1"/>
  <c r="N69" i="1" s="1"/>
  <c r="V69" i="1"/>
  <c r="S15" i="3" s="1"/>
  <c r="Y69" i="1"/>
  <c r="Z69" i="1"/>
  <c r="AB69" i="1"/>
  <c r="AC69" i="1"/>
  <c r="AD69" i="1"/>
  <c r="T69" i="1" s="1"/>
  <c r="AE69" i="1"/>
  <c r="R15" i="3" s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K71" i="1"/>
  <c r="L71" i="1"/>
  <c r="M71" i="1"/>
  <c r="N71" i="1" s="1"/>
  <c r="V71" i="1"/>
  <c r="Y71" i="1"/>
  <c r="Z71" i="1"/>
  <c r="AB71" i="1"/>
  <c r="AC71" i="1"/>
  <c r="AD71" i="1"/>
  <c r="AE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K74" i="1"/>
  <c r="L74" i="1"/>
  <c r="M74" i="1"/>
  <c r="N74" i="1" s="1"/>
  <c r="V74" i="1"/>
  <c r="Y74" i="1"/>
  <c r="Z74" i="1"/>
  <c r="AB74" i="1"/>
  <c r="AC74" i="1"/>
  <c r="AD74" i="1"/>
  <c r="AE74" i="1"/>
  <c r="K75" i="1"/>
  <c r="L75" i="1"/>
  <c r="M75" i="1"/>
  <c r="N75" i="1" s="1"/>
  <c r="V75" i="1"/>
  <c r="Y75" i="1"/>
  <c r="Z75" i="1"/>
  <c r="AB75" i="1"/>
  <c r="AC75" i="1"/>
  <c r="AD75" i="1"/>
  <c r="AE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R19" i="3" s="1"/>
  <c r="K77" i="1"/>
  <c r="L77" i="1"/>
  <c r="M77" i="1"/>
  <c r="N77" i="1" s="1"/>
  <c r="V77" i="1"/>
  <c r="S16" i="3" s="1"/>
  <c r="Y77" i="1"/>
  <c r="Z77" i="1"/>
  <c r="AB77" i="1"/>
  <c r="AC77" i="1"/>
  <c r="AD77" i="1"/>
  <c r="T77" i="1" s="1"/>
  <c r="AE77" i="1"/>
  <c r="R16" i="3" s="1"/>
  <c r="K78" i="1"/>
  <c r="L78" i="1"/>
  <c r="M78" i="1"/>
  <c r="N78" i="1" s="1"/>
  <c r="V78" i="1"/>
  <c r="Y78" i="1"/>
  <c r="Z78" i="1"/>
  <c r="AB78" i="1"/>
  <c r="AC78" i="1"/>
  <c r="AD78" i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R20" i="3" s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17" i="3" s="1"/>
  <c r="K86" i="1"/>
  <c r="L86" i="1"/>
  <c r="M86" i="1"/>
  <c r="N86" i="1" s="1"/>
  <c r="V86" i="1"/>
  <c r="Y86" i="1"/>
  <c r="Z86" i="1"/>
  <c r="AB86" i="1"/>
  <c r="AC86" i="1"/>
  <c r="AD86" i="1"/>
  <c r="AE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K90" i="1"/>
  <c r="L90" i="1"/>
  <c r="M90" i="1"/>
  <c r="N90" i="1" s="1"/>
  <c r="V90" i="1"/>
  <c r="Y90" i="1"/>
  <c r="Z90" i="1"/>
  <c r="AB90" i="1"/>
  <c r="AC90" i="1"/>
  <c r="AD90" i="1"/>
  <c r="AE90" i="1"/>
  <c r="R21" i="3" s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K159" i="1"/>
  <c r="L159" i="1"/>
  <c r="M159" i="1"/>
  <c r="N159" i="1" s="1"/>
  <c r="V159" i="1"/>
  <c r="Y159" i="1"/>
  <c r="Z159" i="1"/>
  <c r="AB159" i="1"/>
  <c r="AC159" i="1"/>
  <c r="AD159" i="1"/>
  <c r="AE159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K164" i="1"/>
  <c r="L164" i="1"/>
  <c r="M164" i="1"/>
  <c r="N164" i="1" s="1"/>
  <c r="V164" i="1"/>
  <c r="Y164" i="1"/>
  <c r="Z164" i="1"/>
  <c r="AB164" i="1"/>
  <c r="AC164" i="1"/>
  <c r="AD164" i="1"/>
  <c r="AE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R11" i="3" s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12" i="3" s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K168" i="1"/>
  <c r="L168" i="1"/>
  <c r="M168" i="1"/>
  <c r="N168" i="1" s="1"/>
  <c r="V168" i="1"/>
  <c r="Y168" i="1"/>
  <c r="Z168" i="1"/>
  <c r="AB168" i="1"/>
  <c r="AC168" i="1"/>
  <c r="AD168" i="1"/>
  <c r="AE168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K174" i="1"/>
  <c r="L174" i="1"/>
  <c r="M174" i="1"/>
  <c r="N174" i="1" s="1"/>
  <c r="V174" i="1"/>
  <c r="Y174" i="1"/>
  <c r="Z174" i="1"/>
  <c r="AB174" i="1"/>
  <c r="AC174" i="1"/>
  <c r="AD174" i="1"/>
  <c r="AE174" i="1"/>
  <c r="K175" i="1"/>
  <c r="L175" i="1"/>
  <c r="M175" i="1"/>
  <c r="N175" i="1" s="1"/>
  <c r="V175" i="1"/>
  <c r="Y175" i="1"/>
  <c r="Z175" i="1"/>
  <c r="AB175" i="1"/>
  <c r="AC175" i="1"/>
  <c r="AD175" i="1"/>
  <c r="AE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K94" i="1"/>
  <c r="L94" i="1"/>
  <c r="M94" i="1"/>
  <c r="N94" i="1" s="1"/>
  <c r="V94" i="1"/>
  <c r="S22" i="3" s="1"/>
  <c r="Y94" i="1"/>
  <c r="Z94" i="1"/>
  <c r="AB94" i="1"/>
  <c r="AC94" i="1"/>
  <c r="AD94" i="1"/>
  <c r="AG94" i="1" s="1"/>
  <c r="AE94" i="1"/>
  <c r="R22" i="3" s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AE181" i="1"/>
  <c r="K182" i="1"/>
  <c r="L182" i="1"/>
  <c r="M182" i="1"/>
  <c r="N182" i="1" s="1"/>
  <c r="V182" i="1"/>
  <c r="S25" i="3" s="1"/>
  <c r="Y182" i="1"/>
  <c r="Z182" i="1"/>
  <c r="AB182" i="1"/>
  <c r="AC182" i="1"/>
  <c r="AD182" i="1"/>
  <c r="AG182" i="1" s="1"/>
  <c r="AE182" i="1"/>
  <c r="R26" i="3" s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K188" i="1"/>
  <c r="L188" i="1"/>
  <c r="M188" i="1"/>
  <c r="N188" i="1" s="1"/>
  <c r="V188" i="1"/>
  <c r="S30" i="3" s="1"/>
  <c r="Y188" i="1"/>
  <c r="Z188" i="1"/>
  <c r="AB188" i="1"/>
  <c r="AC188" i="1"/>
  <c r="AD188" i="1"/>
  <c r="T188" i="1" s="1"/>
  <c r="AE188" i="1"/>
  <c r="R30" i="3" s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K190" i="1"/>
  <c r="L190" i="1"/>
  <c r="M190" i="1"/>
  <c r="N190" i="1" s="1"/>
  <c r="V190" i="1"/>
  <c r="Y190" i="1"/>
  <c r="Z190" i="1"/>
  <c r="AB190" i="1"/>
  <c r="AC190" i="1"/>
  <c r="AD190" i="1"/>
  <c r="AE190" i="1"/>
  <c r="K192" i="1"/>
  <c r="L192" i="1"/>
  <c r="M192" i="1"/>
  <c r="N192" i="1" s="1"/>
  <c r="V192" i="1"/>
  <c r="Y192" i="1"/>
  <c r="Z192" i="1"/>
  <c r="AB192" i="1"/>
  <c r="AC192" i="1"/>
  <c r="AD192" i="1"/>
  <c r="AE192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K98" i="1"/>
  <c r="L98" i="1"/>
  <c r="M98" i="1"/>
  <c r="N98" i="1" s="1"/>
  <c r="V98" i="1"/>
  <c r="S23" i="3" s="1"/>
  <c r="Y98" i="1"/>
  <c r="Z98" i="1"/>
  <c r="AB98" i="1"/>
  <c r="AC98" i="1"/>
  <c r="AD98" i="1"/>
  <c r="T98" i="1" s="1"/>
  <c r="AE98" i="1"/>
  <c r="R23" i="3" s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K101" i="1"/>
  <c r="L101" i="1"/>
  <c r="M101" i="1"/>
  <c r="N101" i="1" s="1"/>
  <c r="V101" i="1"/>
  <c r="Y101" i="1"/>
  <c r="Z101" i="1"/>
  <c r="AB101" i="1"/>
  <c r="AC101" i="1"/>
  <c r="AD101" i="1"/>
  <c r="X101" i="1" s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204" i="1"/>
  <c r="L204" i="1"/>
  <c r="M204" i="1"/>
  <c r="N204" i="1" s="1"/>
  <c r="V204" i="1"/>
  <c r="Y204" i="1"/>
  <c r="Z204" i="1"/>
  <c r="AB204" i="1"/>
  <c r="AC204" i="1"/>
  <c r="AD204" i="1"/>
  <c r="AE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K105" i="1"/>
  <c r="L105" i="1"/>
  <c r="M105" i="1"/>
  <c r="N105" i="1" s="1"/>
  <c r="V105" i="1"/>
  <c r="Y105" i="1"/>
  <c r="Z105" i="1"/>
  <c r="AB105" i="1"/>
  <c r="AC105" i="1"/>
  <c r="AD105" i="1"/>
  <c r="AE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K109" i="1"/>
  <c r="L109" i="1"/>
  <c r="M109" i="1"/>
  <c r="N109" i="1" s="1"/>
  <c r="V109" i="1"/>
  <c r="Y109" i="1"/>
  <c r="Z109" i="1"/>
  <c r="AB109" i="1"/>
  <c r="AC109" i="1"/>
  <c r="AD109" i="1"/>
  <c r="AE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K111" i="1"/>
  <c r="L111" i="1"/>
  <c r="M111" i="1"/>
  <c r="N111" i="1" s="1"/>
  <c r="V111" i="1"/>
  <c r="S24" i="3" s="1"/>
  <c r="Y111" i="1"/>
  <c r="Z111" i="1"/>
  <c r="AB111" i="1"/>
  <c r="AC111" i="1"/>
  <c r="AD111" i="1"/>
  <c r="AE111" i="1"/>
  <c r="R24" i="3" s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K113" i="1"/>
  <c r="L113" i="1"/>
  <c r="M113" i="1"/>
  <c r="N113" i="1" s="1"/>
  <c r="V113" i="1"/>
  <c r="Y113" i="1"/>
  <c r="Z113" i="1"/>
  <c r="AB113" i="1"/>
  <c r="AC113" i="1"/>
  <c r="AD113" i="1"/>
  <c r="AE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K117" i="1"/>
  <c r="L117" i="1"/>
  <c r="M117" i="1"/>
  <c r="N117" i="1" s="1"/>
  <c r="V117" i="1"/>
  <c r="Y117" i="1"/>
  <c r="Z117" i="1"/>
  <c r="AB117" i="1"/>
  <c r="AC117" i="1"/>
  <c r="AD117" i="1"/>
  <c r="AE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K119" i="1"/>
  <c r="L119" i="1"/>
  <c r="M119" i="1"/>
  <c r="P119" i="1" s="1"/>
  <c r="V119" i="1"/>
  <c r="Y119" i="1"/>
  <c r="Z119" i="1"/>
  <c r="AB119" i="1"/>
  <c r="AC119" i="1"/>
  <c r="AD119" i="1"/>
  <c r="X119" i="1" s="1"/>
  <c r="AE119" i="1"/>
  <c r="K120" i="1"/>
  <c r="L120" i="1"/>
  <c r="M120" i="1"/>
  <c r="N120" i="1" s="1"/>
  <c r="V120" i="1"/>
  <c r="Y120" i="1"/>
  <c r="Z120" i="1"/>
  <c r="AB120" i="1"/>
  <c r="AC120" i="1"/>
  <c r="AD120" i="1"/>
  <c r="AE120" i="1"/>
  <c r="K121" i="1"/>
  <c r="L121" i="1"/>
  <c r="M121" i="1"/>
  <c r="N121" i="1" s="1"/>
  <c r="V121" i="1"/>
  <c r="Y121" i="1"/>
  <c r="Z121" i="1"/>
  <c r="AB121" i="1"/>
  <c r="AC121" i="1"/>
  <c r="AD121" i="1"/>
  <c r="AE121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K124" i="1"/>
  <c r="L124" i="1"/>
  <c r="M124" i="1"/>
  <c r="N124" i="1" s="1"/>
  <c r="V124" i="1"/>
  <c r="Y124" i="1"/>
  <c r="Z124" i="1"/>
  <c r="AB124" i="1"/>
  <c r="AC124" i="1"/>
  <c r="AD124" i="1"/>
  <c r="AE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K128" i="1"/>
  <c r="L128" i="1"/>
  <c r="M128" i="1"/>
  <c r="N128" i="1" s="1"/>
  <c r="V128" i="1"/>
  <c r="S28" i="3" s="1"/>
  <c r="Y128" i="1"/>
  <c r="Z128" i="1"/>
  <c r="AB128" i="1"/>
  <c r="AC128" i="1"/>
  <c r="AD128" i="1"/>
  <c r="AE128" i="1"/>
  <c r="R28" i="3" s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K132" i="1"/>
  <c r="L132" i="1"/>
  <c r="M132" i="1"/>
  <c r="N132" i="1" s="1"/>
  <c r="V132" i="1"/>
  <c r="Y132" i="1"/>
  <c r="Z132" i="1"/>
  <c r="AB132" i="1"/>
  <c r="AC132" i="1"/>
  <c r="AD132" i="1"/>
  <c r="AE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K135" i="1"/>
  <c r="L135" i="1"/>
  <c r="M135" i="1"/>
  <c r="N135" i="1" s="1"/>
  <c r="V135" i="1"/>
  <c r="Y135" i="1"/>
  <c r="Z135" i="1"/>
  <c r="AB135" i="1"/>
  <c r="AC135" i="1"/>
  <c r="AD135" i="1"/>
  <c r="AE135" i="1"/>
  <c r="K136" i="1"/>
  <c r="L136" i="1"/>
  <c r="M136" i="1"/>
  <c r="N136" i="1" s="1"/>
  <c r="V136" i="1"/>
  <c r="S29" i="3" s="1"/>
  <c r="Y136" i="1"/>
  <c r="Z136" i="1"/>
  <c r="AB136" i="1"/>
  <c r="AC136" i="1"/>
  <c r="AD136" i="1"/>
  <c r="AG136" i="1" s="1"/>
  <c r="AE136" i="1"/>
  <c r="R29" i="3" s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K140" i="1"/>
  <c r="L140" i="1"/>
  <c r="M140" i="1"/>
  <c r="N140" i="1" s="1"/>
  <c r="V140" i="1"/>
  <c r="Y140" i="1"/>
  <c r="Z140" i="1"/>
  <c r="AB140" i="1"/>
  <c r="AC140" i="1"/>
  <c r="AD140" i="1"/>
  <c r="AE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K151" i="1"/>
  <c r="L151" i="1"/>
  <c r="M151" i="1"/>
  <c r="N151" i="1" s="1"/>
  <c r="V151" i="1"/>
  <c r="Y151" i="1"/>
  <c r="Z151" i="1"/>
  <c r="AB151" i="1"/>
  <c r="AC151" i="1"/>
  <c r="AD151" i="1"/>
  <c r="AE151" i="1"/>
  <c r="K152" i="1"/>
  <c r="L152" i="1"/>
  <c r="M152" i="1"/>
  <c r="N152" i="1" s="1"/>
  <c r="V152" i="1"/>
  <c r="Y152" i="1"/>
  <c r="Z152" i="1"/>
  <c r="AB152" i="1"/>
  <c r="AC152" i="1"/>
  <c r="AD152" i="1"/>
  <c r="AE152" i="1"/>
  <c r="K153" i="1"/>
  <c r="L153" i="1"/>
  <c r="M153" i="1"/>
  <c r="N153" i="1" s="1"/>
  <c r="V153" i="1"/>
  <c r="Y153" i="1"/>
  <c r="Z153" i="1"/>
  <c r="AB153" i="1"/>
  <c r="AC153" i="1"/>
  <c r="AD153" i="1"/>
  <c r="AE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K157" i="1"/>
  <c r="L157" i="1"/>
  <c r="M157" i="1"/>
  <c r="N157" i="1" s="1"/>
  <c r="V157" i="1"/>
  <c r="Y157" i="1"/>
  <c r="Z157" i="1"/>
  <c r="AB157" i="1"/>
  <c r="AC157" i="1"/>
  <c r="AD157" i="1"/>
  <c r="AE157" i="1"/>
  <c r="K158" i="1"/>
  <c r="L158" i="1"/>
  <c r="M158" i="1"/>
  <c r="N158" i="1" s="1"/>
  <c r="V158" i="1"/>
  <c r="Y158" i="1"/>
  <c r="Z158" i="1"/>
  <c r="AB158" i="1"/>
  <c r="AC158" i="1"/>
  <c r="AD158" i="1"/>
  <c r="AE158" i="1"/>
  <c r="K193" i="1"/>
  <c r="L193" i="1"/>
  <c r="M193" i="1"/>
  <c r="N193" i="1" s="1"/>
  <c r="V193" i="1"/>
  <c r="Y193" i="1"/>
  <c r="Z193" i="1"/>
  <c r="AB193" i="1"/>
  <c r="AC193" i="1"/>
  <c r="AD193" i="1"/>
  <c r="AE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K197" i="1"/>
  <c r="L197" i="1"/>
  <c r="M197" i="1"/>
  <c r="N197" i="1" s="1"/>
  <c r="V197" i="1"/>
  <c r="Y197" i="1"/>
  <c r="Z197" i="1"/>
  <c r="AB197" i="1"/>
  <c r="AC197" i="1"/>
  <c r="AD197" i="1"/>
  <c r="AE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K201" i="1"/>
  <c r="L201" i="1"/>
  <c r="M201" i="1"/>
  <c r="N201" i="1" s="1"/>
  <c r="V201" i="1"/>
  <c r="Y201" i="1"/>
  <c r="Z201" i="1"/>
  <c r="AB201" i="1"/>
  <c r="AC201" i="1"/>
  <c r="AD201" i="1"/>
  <c r="AE201" i="1"/>
  <c r="K202" i="1"/>
  <c r="L202" i="1"/>
  <c r="M202" i="1"/>
  <c r="N202" i="1" s="1"/>
  <c r="V202" i="1"/>
  <c r="Y202" i="1"/>
  <c r="Z202" i="1"/>
  <c r="AB202" i="1"/>
  <c r="AC202" i="1"/>
  <c r="AD202" i="1"/>
  <c r="AE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K207" i="1"/>
  <c r="L207" i="1"/>
  <c r="M207" i="1"/>
  <c r="N207" i="1" s="1"/>
  <c r="V207" i="1"/>
  <c r="S27" i="3" s="1"/>
  <c r="Y207" i="1"/>
  <c r="Z207" i="1"/>
  <c r="AB207" i="1"/>
  <c r="AC207" i="1"/>
  <c r="AD207" i="1"/>
  <c r="AE207" i="1"/>
  <c r="R27" i="3" s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M8" i="3"/>
  <c r="N8" i="3"/>
  <c r="S8" i="3"/>
  <c r="U8" i="3"/>
  <c r="V8" i="3"/>
  <c r="W8" i="3"/>
  <c r="X8" i="3"/>
  <c r="AC8" i="3"/>
  <c r="M9" i="3"/>
  <c r="N9" i="3"/>
  <c r="U9" i="3"/>
  <c r="AD9" i="3" s="1"/>
  <c r="V9" i="3"/>
  <c r="W9" i="3"/>
  <c r="X9" i="3"/>
  <c r="AC9" i="3"/>
  <c r="M10" i="3"/>
  <c r="N10" i="3"/>
  <c r="R10" i="3"/>
  <c r="U10" i="3"/>
  <c r="V10" i="3"/>
  <c r="W10" i="3"/>
  <c r="X10" i="3"/>
  <c r="M11" i="3"/>
  <c r="N11" i="3"/>
  <c r="S11" i="3"/>
  <c r="U11" i="3"/>
  <c r="V11" i="3"/>
  <c r="W11" i="3"/>
  <c r="X11" i="3"/>
  <c r="AC11" i="3"/>
  <c r="M12" i="3"/>
  <c r="N12" i="3"/>
  <c r="S12" i="3"/>
  <c r="U12" i="3"/>
  <c r="V12" i="3"/>
  <c r="W12" i="3"/>
  <c r="X12" i="3"/>
  <c r="M13" i="3"/>
  <c r="N13" i="3"/>
  <c r="R13" i="3"/>
  <c r="U13" i="3"/>
  <c r="V13" i="3"/>
  <c r="W13" i="3"/>
  <c r="X13" i="3"/>
  <c r="AC13" i="3"/>
  <c r="M14" i="3"/>
  <c r="N14" i="3"/>
  <c r="R14" i="3"/>
  <c r="U14" i="3"/>
  <c r="V14" i="3"/>
  <c r="W14" i="3"/>
  <c r="X14" i="3"/>
  <c r="M15" i="3"/>
  <c r="N15" i="3"/>
  <c r="U15" i="3"/>
  <c r="V15" i="3"/>
  <c r="W15" i="3"/>
  <c r="X15" i="3"/>
  <c r="M16" i="3"/>
  <c r="N16" i="3"/>
  <c r="U16" i="3"/>
  <c r="V16" i="3"/>
  <c r="W16" i="3"/>
  <c r="X16" i="3"/>
  <c r="AC16" i="3"/>
  <c r="M17" i="3"/>
  <c r="N17" i="3"/>
  <c r="S17" i="3"/>
  <c r="U17" i="3"/>
  <c r="AD17" i="3" s="1"/>
  <c r="V17" i="3"/>
  <c r="W17" i="3"/>
  <c r="X17" i="3"/>
  <c r="AC17" i="3"/>
  <c r="M18" i="3"/>
  <c r="N18" i="3"/>
  <c r="S18" i="3"/>
  <c r="U18" i="3"/>
  <c r="V18" i="3"/>
  <c r="W18" i="3"/>
  <c r="X18" i="3"/>
  <c r="M19" i="3"/>
  <c r="N19" i="3"/>
  <c r="S19" i="3"/>
  <c r="U19" i="3"/>
  <c r="V19" i="3"/>
  <c r="W19" i="3"/>
  <c r="X19" i="3"/>
  <c r="AC19" i="3"/>
  <c r="M20" i="3"/>
  <c r="N20" i="3"/>
  <c r="S20" i="3"/>
  <c r="U20" i="3"/>
  <c r="V20" i="3"/>
  <c r="W20" i="3"/>
  <c r="X20" i="3"/>
  <c r="AC20" i="3"/>
  <c r="M21" i="3"/>
  <c r="N21" i="3"/>
  <c r="S21" i="3"/>
  <c r="U21" i="3"/>
  <c r="V21" i="3"/>
  <c r="W21" i="3"/>
  <c r="X21" i="3"/>
  <c r="AC21" i="3"/>
  <c r="M22" i="3"/>
  <c r="N22" i="3"/>
  <c r="U22" i="3"/>
  <c r="V22" i="3"/>
  <c r="W22" i="3"/>
  <c r="X22" i="3"/>
  <c r="M23" i="3"/>
  <c r="N23" i="3"/>
  <c r="U23" i="3"/>
  <c r="V23" i="3"/>
  <c r="W23" i="3"/>
  <c r="X23" i="3"/>
  <c r="M24" i="3"/>
  <c r="N24" i="3"/>
  <c r="U24" i="3"/>
  <c r="V24" i="3"/>
  <c r="W24" i="3"/>
  <c r="X24" i="3"/>
  <c r="AC24" i="3"/>
  <c r="M25" i="3"/>
  <c r="N25" i="3"/>
  <c r="R25" i="3"/>
  <c r="U25" i="3"/>
  <c r="AD25" i="3" s="1"/>
  <c r="V25" i="3"/>
  <c r="W25" i="3"/>
  <c r="X25" i="3"/>
  <c r="AC25" i="3"/>
  <c r="M26" i="3"/>
  <c r="N26" i="3"/>
  <c r="U26" i="3"/>
  <c r="V26" i="3"/>
  <c r="W26" i="3"/>
  <c r="X26" i="3"/>
  <c r="M27" i="3"/>
  <c r="N27" i="3"/>
  <c r="U27" i="3"/>
  <c r="V27" i="3"/>
  <c r="W27" i="3"/>
  <c r="Y27" i="3" s="1"/>
  <c r="X27" i="3"/>
  <c r="AC27" i="3"/>
  <c r="M28" i="3"/>
  <c r="N28" i="3"/>
  <c r="U28" i="3"/>
  <c r="V28" i="3"/>
  <c r="W28" i="3"/>
  <c r="X28" i="3"/>
  <c r="M29" i="3"/>
  <c r="N29" i="3"/>
  <c r="U29" i="3"/>
  <c r="V29" i="3"/>
  <c r="W29" i="3"/>
  <c r="X29" i="3"/>
  <c r="AC29" i="3"/>
  <c r="M30" i="3"/>
  <c r="N30" i="3"/>
  <c r="U30" i="3"/>
  <c r="V30" i="3"/>
  <c r="W30" i="3"/>
  <c r="Y30" i="3" s="1"/>
  <c r="X30" i="3"/>
  <c r="Y15" i="3" l="1"/>
  <c r="Y23" i="3"/>
  <c r="Y18" i="3"/>
  <c r="AA48" i="1"/>
  <c r="W48" i="1" s="1"/>
  <c r="T192" i="1"/>
  <c r="X192" i="1"/>
  <c r="T190" i="1"/>
  <c r="X191" i="1"/>
  <c r="T35" i="1"/>
  <c r="AG35" i="1"/>
  <c r="X28" i="1"/>
  <c r="AA47" i="1"/>
  <c r="X29" i="1"/>
  <c r="Y10" i="3"/>
  <c r="Y9" i="3"/>
  <c r="Y8" i="3"/>
  <c r="AD28" i="3"/>
  <c r="AD20" i="3"/>
  <c r="AD11" i="3"/>
  <c r="AD24" i="3"/>
  <c r="AC14" i="3"/>
  <c r="AD14" i="3"/>
  <c r="AD13" i="3"/>
  <c r="AD29" i="3"/>
  <c r="Y19" i="3"/>
  <c r="Y11" i="3"/>
  <c r="AD21" i="3"/>
  <c r="AD19" i="3"/>
  <c r="AD16" i="3"/>
  <c r="AD12" i="3"/>
  <c r="AC26" i="3"/>
  <c r="AD26" i="3"/>
  <c r="AC22" i="3"/>
  <c r="AD22" i="3"/>
  <c r="AC30" i="3"/>
  <c r="AD30" i="3"/>
  <c r="AD27" i="3"/>
  <c r="Y26" i="3"/>
  <c r="AD23" i="3"/>
  <c r="Y22" i="3"/>
  <c r="AC18" i="3"/>
  <c r="AD18" i="3"/>
  <c r="AD15" i="3"/>
  <c r="Y14" i="3"/>
  <c r="Y13" i="3"/>
  <c r="AC10" i="3"/>
  <c r="AD10" i="3"/>
  <c r="AD8" i="3"/>
  <c r="AI191" i="1"/>
  <c r="W191" i="1"/>
  <c r="T157" i="1"/>
  <c r="X157" i="1"/>
  <c r="X120" i="1"/>
  <c r="AA114" i="1"/>
  <c r="AA84" i="1"/>
  <c r="W84" i="1" s="1"/>
  <c r="T159" i="1"/>
  <c r="X159" i="1"/>
  <c r="AG114" i="1"/>
  <c r="AG158" i="1"/>
  <c r="X158" i="1"/>
  <c r="AA116" i="1"/>
  <c r="AA115" i="1"/>
  <c r="T84" i="1"/>
  <c r="AI206" i="1"/>
  <c r="AA77" i="1"/>
  <c r="T153" i="1"/>
  <c r="X153" i="1"/>
  <c r="T152" i="1"/>
  <c r="X152" i="1"/>
  <c r="AG151" i="1"/>
  <c r="AI151" i="1" s="1"/>
  <c r="X151" i="1"/>
  <c r="AA135" i="1"/>
  <c r="AA144" i="1"/>
  <c r="T139" i="1"/>
  <c r="T64" i="1"/>
  <c r="AI48" i="1"/>
  <c r="R18" i="3"/>
  <c r="AA133" i="1"/>
  <c r="W133" i="1" s="1"/>
  <c r="AA131" i="1"/>
  <c r="AA130" i="1"/>
  <c r="AA128" i="1"/>
  <c r="AA104" i="1"/>
  <c r="AA183" i="1"/>
  <c r="AA182" i="1"/>
  <c r="W182" i="1" s="1"/>
  <c r="AA175" i="1"/>
  <c r="AA174" i="1"/>
  <c r="AG72" i="1"/>
  <c r="AA123" i="1"/>
  <c r="AG121" i="1"/>
  <c r="AI121" i="1" s="1"/>
  <c r="X121" i="1"/>
  <c r="AG103" i="1"/>
  <c r="AI103" i="1" s="1"/>
  <c r="AG172" i="1"/>
  <c r="AI172" i="1" s="1"/>
  <c r="X172" i="1"/>
  <c r="AA195" i="1"/>
  <c r="AA142" i="1"/>
  <c r="AA140" i="1"/>
  <c r="AA111" i="1"/>
  <c r="T110" i="1"/>
  <c r="AA102" i="1"/>
  <c r="AA101" i="1"/>
  <c r="AA99" i="1"/>
  <c r="AA187" i="1"/>
  <c r="X182" i="1"/>
  <c r="AA82" i="1"/>
  <c r="AA81" i="1"/>
  <c r="AG39" i="1"/>
  <c r="AI39" i="1" s="1"/>
  <c r="AA148" i="1"/>
  <c r="X111" i="1"/>
  <c r="AA170" i="1"/>
  <c r="AA169" i="1"/>
  <c r="AA168" i="1"/>
  <c r="AA167" i="1"/>
  <c r="AA163" i="1"/>
  <c r="AA162" i="1"/>
  <c r="AA160" i="1"/>
  <c r="AA159" i="1"/>
  <c r="AA54" i="1"/>
  <c r="AA53" i="1"/>
  <c r="AA51" i="1"/>
  <c r="AA40" i="1"/>
  <c r="T38" i="1"/>
  <c r="AA31" i="1"/>
  <c r="AA25" i="1"/>
  <c r="AA24" i="1"/>
  <c r="AA20" i="1"/>
  <c r="W20" i="1" s="1"/>
  <c r="AA17" i="1"/>
  <c r="AA16" i="1"/>
  <c r="AA203" i="1"/>
  <c r="AA89" i="1"/>
  <c r="AG31" i="1"/>
  <c r="AI31" i="1" s="1"/>
  <c r="X31" i="1"/>
  <c r="T30" i="1"/>
  <c r="X30" i="1"/>
  <c r="X155" i="1"/>
  <c r="AG126" i="1"/>
  <c r="X126" i="1"/>
  <c r="AG111" i="1"/>
  <c r="W111" i="1" s="1"/>
  <c r="AG205" i="1"/>
  <c r="AG181" i="1"/>
  <c r="AG76" i="1"/>
  <c r="AI76" i="1" s="1"/>
  <c r="X76" i="1"/>
  <c r="X134" i="1"/>
  <c r="AA112" i="1"/>
  <c r="AG107" i="1"/>
  <c r="AA97" i="1"/>
  <c r="T181" i="1"/>
  <c r="T56" i="1"/>
  <c r="AA43" i="1"/>
  <c r="AA35" i="1"/>
  <c r="W35" i="1" s="1"/>
  <c r="AG30" i="1"/>
  <c r="AG20" i="1"/>
  <c r="AI20" i="1" s="1"/>
  <c r="S26" i="3"/>
  <c r="AG153" i="1"/>
  <c r="AA134" i="1"/>
  <c r="AA122" i="1"/>
  <c r="AA98" i="1"/>
  <c r="AI49" i="1"/>
  <c r="AA49" i="1"/>
  <c r="AG23" i="1"/>
  <c r="AA158" i="1"/>
  <c r="W158" i="1" s="1"/>
  <c r="AA157" i="1"/>
  <c r="AA156" i="1"/>
  <c r="AG154" i="1"/>
  <c r="X154" i="1"/>
  <c r="AA153" i="1"/>
  <c r="AA126" i="1"/>
  <c r="AG125" i="1"/>
  <c r="AI125" i="1" s="1"/>
  <c r="X103" i="1"/>
  <c r="T178" i="1"/>
  <c r="T165" i="1"/>
  <c r="AG85" i="1"/>
  <c r="X77" i="1"/>
  <c r="AA76" i="1"/>
  <c r="AG47" i="1"/>
  <c r="AI47" i="1" s="1"/>
  <c r="X47" i="1"/>
  <c r="AI35" i="1"/>
  <c r="X24" i="1"/>
  <c r="AA23" i="1"/>
  <c r="T15" i="1"/>
  <c r="AA206" i="1"/>
  <c r="W206" i="1" s="1"/>
  <c r="AA201" i="1"/>
  <c r="AA200" i="1"/>
  <c r="W200" i="1" s="1"/>
  <c r="AG198" i="1"/>
  <c r="AI198" i="1" s="1"/>
  <c r="X196" i="1"/>
  <c r="AG194" i="1"/>
  <c r="AA154" i="1"/>
  <c r="AG142" i="1"/>
  <c r="W142" i="1" s="1"/>
  <c r="AA139" i="1"/>
  <c r="W139" i="1" s="1"/>
  <c r="AA119" i="1"/>
  <c r="AA108" i="1"/>
  <c r="AG106" i="1"/>
  <c r="AG96" i="1"/>
  <c r="AI96" i="1" s="1"/>
  <c r="AA190" i="1"/>
  <c r="AA189" i="1"/>
  <c r="AA188" i="1"/>
  <c r="AG185" i="1"/>
  <c r="X94" i="1"/>
  <c r="AG173" i="1"/>
  <c r="AG166" i="1"/>
  <c r="X166" i="1"/>
  <c r="AG91" i="1"/>
  <c r="AA85" i="1"/>
  <c r="W85" i="1" s="1"/>
  <c r="AG83" i="1"/>
  <c r="AG73" i="1"/>
  <c r="AI73" i="1" s="1"/>
  <c r="X73" i="1"/>
  <c r="AA70" i="1"/>
  <c r="AA69" i="1"/>
  <c r="AA67" i="1"/>
  <c r="AA66" i="1"/>
  <c r="AA65" i="1"/>
  <c r="W65" i="1" s="1"/>
  <c r="X57" i="1"/>
  <c r="AG46" i="1"/>
  <c r="AG43" i="1"/>
  <c r="AI43" i="1" s="1"/>
  <c r="AA39" i="1"/>
  <c r="AA38" i="1"/>
  <c r="W38" i="1" s="1"/>
  <c r="T34" i="1"/>
  <c r="T147" i="1"/>
  <c r="T138" i="1"/>
  <c r="T121" i="1"/>
  <c r="X115" i="1"/>
  <c r="W114" i="1"/>
  <c r="X84" i="1"/>
  <c r="AA74" i="1"/>
  <c r="T46" i="1"/>
  <c r="AA37" i="1"/>
  <c r="AG24" i="1"/>
  <c r="AI24" i="1" s="1"/>
  <c r="AA207" i="1"/>
  <c r="AA199" i="1"/>
  <c r="AA196" i="1"/>
  <c r="W196" i="1" s="1"/>
  <c r="AG195" i="1"/>
  <c r="X195" i="1"/>
  <c r="AA155" i="1"/>
  <c r="W155" i="1" s="1"/>
  <c r="AA151" i="1"/>
  <c r="AG150" i="1"/>
  <c r="T133" i="1"/>
  <c r="AA127" i="1"/>
  <c r="AA121" i="1"/>
  <c r="AA107" i="1"/>
  <c r="AA105" i="1"/>
  <c r="AA103" i="1"/>
  <c r="W103" i="1" s="1"/>
  <c r="AG97" i="1"/>
  <c r="X97" i="1"/>
  <c r="AA96" i="1"/>
  <c r="AA179" i="1"/>
  <c r="AA94" i="1"/>
  <c r="AA173" i="1"/>
  <c r="AA166" i="1"/>
  <c r="AA91" i="1"/>
  <c r="W91" i="1" s="1"/>
  <c r="AA87" i="1"/>
  <c r="W87" i="1" s="1"/>
  <c r="AG81" i="1"/>
  <c r="AA79" i="1"/>
  <c r="AG77" i="1"/>
  <c r="AI77" i="1" s="1"/>
  <c r="AA73" i="1"/>
  <c r="X65" i="1"/>
  <c r="AA62" i="1"/>
  <c r="AA61" i="1"/>
  <c r="AA59" i="1"/>
  <c r="AA58" i="1"/>
  <c r="AA57" i="1"/>
  <c r="W57" i="1" s="1"/>
  <c r="AI133" i="1"/>
  <c r="T148" i="1"/>
  <c r="T137" i="1"/>
  <c r="W134" i="1"/>
  <c r="T130" i="1"/>
  <c r="T119" i="1"/>
  <c r="AA117" i="1"/>
  <c r="T101" i="1"/>
  <c r="T189" i="1"/>
  <c r="X206" i="1"/>
  <c r="AG203" i="1"/>
  <c r="X200" i="1"/>
  <c r="AG199" i="1"/>
  <c r="X199" i="1"/>
  <c r="AA194" i="1"/>
  <c r="W194" i="1" s="1"/>
  <c r="T158" i="1"/>
  <c r="AA152" i="1"/>
  <c r="AA147" i="1"/>
  <c r="AG146" i="1"/>
  <c r="AA138" i="1"/>
  <c r="AG137" i="1"/>
  <c r="T134" i="1"/>
  <c r="AG130" i="1"/>
  <c r="AG129" i="1"/>
  <c r="T122" i="1"/>
  <c r="AG119" i="1"/>
  <c r="AG118" i="1"/>
  <c r="AI118" i="1" s="1"/>
  <c r="W115" i="1"/>
  <c r="T111" i="1"/>
  <c r="AA109" i="1"/>
  <c r="X107" i="1"/>
  <c r="AG101" i="1"/>
  <c r="AG100" i="1"/>
  <c r="AG189" i="1"/>
  <c r="AG95" i="1"/>
  <c r="AG186" i="1"/>
  <c r="X186" i="1"/>
  <c r="AI65" i="1"/>
  <c r="AA198" i="1"/>
  <c r="T196" i="1"/>
  <c r="AA193" i="1"/>
  <c r="AG157" i="1"/>
  <c r="T155" i="1"/>
  <c r="AA150" i="1"/>
  <c r="AA149" i="1"/>
  <c r="X148" i="1"/>
  <c r="AG147" i="1"/>
  <c r="AG141" i="1"/>
  <c r="X141" i="1"/>
  <c r="X139" i="1"/>
  <c r="AG138" i="1"/>
  <c r="AA132" i="1"/>
  <c r="AG122" i="1"/>
  <c r="AA120" i="1"/>
  <c r="T115" i="1"/>
  <c r="AA106" i="1"/>
  <c r="AA204" i="1"/>
  <c r="AA192" i="1"/>
  <c r="AA208" i="1"/>
  <c r="W208" i="1" s="1"/>
  <c r="T206" i="1"/>
  <c r="T200" i="1"/>
  <c r="AA197" i="1"/>
  <c r="W154" i="1"/>
  <c r="T151" i="1"/>
  <c r="AA146" i="1"/>
  <c r="AA145" i="1"/>
  <c r="AA143" i="1"/>
  <c r="W143" i="1" s="1"/>
  <c r="AA137" i="1"/>
  <c r="AA136" i="1"/>
  <c r="W136" i="1" s="1"/>
  <c r="AA129" i="1"/>
  <c r="AA124" i="1"/>
  <c r="AA113" i="1"/>
  <c r="AA100" i="1"/>
  <c r="AA95" i="1"/>
  <c r="AA186" i="1"/>
  <c r="W186" i="1" s="1"/>
  <c r="AI57" i="1"/>
  <c r="AA185" i="1"/>
  <c r="AA181" i="1"/>
  <c r="W181" i="1" s="1"/>
  <c r="AA178" i="1"/>
  <c r="W178" i="1" s="1"/>
  <c r="AG176" i="1"/>
  <c r="AI176" i="1" s="1"/>
  <c r="X176" i="1"/>
  <c r="X173" i="1"/>
  <c r="AG169" i="1"/>
  <c r="AG93" i="1"/>
  <c r="AA165" i="1"/>
  <c r="W165" i="1" s="1"/>
  <c r="AG162" i="1"/>
  <c r="AG161" i="1"/>
  <c r="X92" i="1"/>
  <c r="AA88" i="1"/>
  <c r="W88" i="1" s="1"/>
  <c r="T88" i="1"/>
  <c r="T87" i="1"/>
  <c r="AA83" i="1"/>
  <c r="X80" i="1"/>
  <c r="AG79" i="1"/>
  <c r="AA78" i="1"/>
  <c r="AG69" i="1"/>
  <c r="AI69" i="1" s="1"/>
  <c r="AG68" i="1"/>
  <c r="AA64" i="1"/>
  <c r="W64" i="1" s="1"/>
  <c r="AG61" i="1"/>
  <c r="AG60" i="1"/>
  <c r="AA56" i="1"/>
  <c r="W56" i="1" s="1"/>
  <c r="AG53" i="1"/>
  <c r="AG52" i="1"/>
  <c r="AA50" i="1"/>
  <c r="AA44" i="1"/>
  <c r="X39" i="1"/>
  <c r="AA36" i="1"/>
  <c r="AG27" i="1"/>
  <c r="X20" i="1"/>
  <c r="AG19" i="1"/>
  <c r="AG16" i="1"/>
  <c r="AA184" i="1"/>
  <c r="T182" i="1"/>
  <c r="AA180" i="1"/>
  <c r="T94" i="1"/>
  <c r="AA177" i="1"/>
  <c r="AA172" i="1"/>
  <c r="AA171" i="1"/>
  <c r="W171" i="1" s="1"/>
  <c r="X169" i="1"/>
  <c r="AA164" i="1"/>
  <c r="X162" i="1"/>
  <c r="AI85" i="1"/>
  <c r="X69" i="1"/>
  <c r="T65" i="1"/>
  <c r="AA63" i="1"/>
  <c r="X61" i="1"/>
  <c r="T57" i="1"/>
  <c r="AA55" i="1"/>
  <c r="X53" i="1"/>
  <c r="X50" i="1"/>
  <c r="AA32" i="1"/>
  <c r="AA22" i="1"/>
  <c r="X16" i="1"/>
  <c r="AG15" i="1"/>
  <c r="AI15" i="1" s="1"/>
  <c r="AA176" i="1"/>
  <c r="AA92" i="1"/>
  <c r="T92" i="1"/>
  <c r="AA90" i="1"/>
  <c r="X88" i="1"/>
  <c r="AA86" i="1"/>
  <c r="AA80" i="1"/>
  <c r="W80" i="1" s="1"/>
  <c r="T80" i="1"/>
  <c r="AA68" i="1"/>
  <c r="AA60" i="1"/>
  <c r="AA52" i="1"/>
  <c r="X43" i="1"/>
  <c r="AG42" i="1"/>
  <c r="AI42" i="1" s="1"/>
  <c r="X35" i="1"/>
  <c r="AA28" i="1"/>
  <c r="AA21" i="1"/>
  <c r="W49" i="1"/>
  <c r="AI208" i="1"/>
  <c r="T202" i="1"/>
  <c r="X202" i="1"/>
  <c r="AI205" i="1"/>
  <c r="AG202" i="1"/>
  <c r="AI202" i="1" s="1"/>
  <c r="T207" i="1"/>
  <c r="X207" i="1"/>
  <c r="AG207" i="1"/>
  <c r="T208" i="1"/>
  <c r="X208" i="1"/>
  <c r="X203" i="1"/>
  <c r="AA202" i="1"/>
  <c r="T201" i="1"/>
  <c r="X201" i="1"/>
  <c r="AG201" i="1"/>
  <c r="AI201" i="1" s="1"/>
  <c r="AI200" i="1"/>
  <c r="T197" i="1"/>
  <c r="X197" i="1"/>
  <c r="AG197" i="1"/>
  <c r="AI197" i="1" s="1"/>
  <c r="AI189" i="1"/>
  <c r="AI196" i="1"/>
  <c r="T193" i="1"/>
  <c r="X193" i="1"/>
  <c r="AG193" i="1"/>
  <c r="AI193" i="1" s="1"/>
  <c r="W148" i="1"/>
  <c r="AI181" i="1"/>
  <c r="X198" i="1"/>
  <c r="X194" i="1"/>
  <c r="AG156" i="1"/>
  <c r="AI156" i="1" s="1"/>
  <c r="AG152" i="1"/>
  <c r="AI152" i="1" s="1"/>
  <c r="X150" i="1"/>
  <c r="AG149" i="1"/>
  <c r="AI149" i="1" s="1"/>
  <c r="X146" i="1"/>
  <c r="AG145" i="1"/>
  <c r="AI145" i="1" s="1"/>
  <c r="T143" i="1"/>
  <c r="T140" i="1"/>
  <c r="X140" i="1"/>
  <c r="T135" i="1"/>
  <c r="X135" i="1"/>
  <c r="AG135" i="1"/>
  <c r="T132" i="1"/>
  <c r="X132" i="1"/>
  <c r="AI158" i="1"/>
  <c r="AI136" i="1"/>
  <c r="W94" i="1"/>
  <c r="X156" i="1"/>
  <c r="X149" i="1"/>
  <c r="X145" i="1"/>
  <c r="AG144" i="1"/>
  <c r="X143" i="1"/>
  <c r="X142" i="1"/>
  <c r="AA141" i="1"/>
  <c r="AG140" i="1"/>
  <c r="AI171" i="1"/>
  <c r="T136" i="1"/>
  <c r="X136" i="1"/>
  <c r="X133" i="1"/>
  <c r="AG132" i="1"/>
  <c r="AI132" i="1" s="1"/>
  <c r="T124" i="1"/>
  <c r="X124" i="1"/>
  <c r="AG124" i="1"/>
  <c r="AI124" i="1" s="1"/>
  <c r="X125" i="1"/>
  <c r="T117" i="1"/>
  <c r="X117" i="1"/>
  <c r="AG117" i="1"/>
  <c r="W117" i="1" s="1"/>
  <c r="X118" i="1"/>
  <c r="T109" i="1"/>
  <c r="X109" i="1"/>
  <c r="AG109" i="1"/>
  <c r="X110" i="1"/>
  <c r="T204" i="1"/>
  <c r="X204" i="1"/>
  <c r="AG204" i="1"/>
  <c r="W204" i="1" s="1"/>
  <c r="X205" i="1"/>
  <c r="AI114" i="1"/>
  <c r="X144" i="1"/>
  <c r="AI162" i="1"/>
  <c r="AA125" i="1"/>
  <c r="W125" i="1" s="1"/>
  <c r="AI155" i="1"/>
  <c r="AA118" i="1"/>
  <c r="AI148" i="1"/>
  <c r="AA110" i="1"/>
  <c r="W110" i="1" s="1"/>
  <c r="AI140" i="1"/>
  <c r="AA205" i="1"/>
  <c r="W205" i="1" s="1"/>
  <c r="T128" i="1"/>
  <c r="X128" i="1"/>
  <c r="AG128" i="1"/>
  <c r="AI128" i="1" s="1"/>
  <c r="X129" i="1"/>
  <c r="T120" i="1"/>
  <c r="AG120" i="1"/>
  <c r="AI120" i="1" s="1"/>
  <c r="T113" i="1"/>
  <c r="X113" i="1"/>
  <c r="AG113" i="1"/>
  <c r="AI113" i="1" s="1"/>
  <c r="X114" i="1"/>
  <c r="T105" i="1"/>
  <c r="X105" i="1"/>
  <c r="AG105" i="1"/>
  <c r="X106" i="1"/>
  <c r="X100" i="1"/>
  <c r="AG99" i="1"/>
  <c r="W99" i="1" s="1"/>
  <c r="X96" i="1"/>
  <c r="AG192" i="1"/>
  <c r="X95" i="1"/>
  <c r="AG188" i="1"/>
  <c r="X185" i="1"/>
  <c r="AG184" i="1"/>
  <c r="AI184" i="1" s="1"/>
  <c r="X181" i="1"/>
  <c r="AG180" i="1"/>
  <c r="W180" i="1" s="1"/>
  <c r="X178" i="1"/>
  <c r="AG177" i="1"/>
  <c r="T175" i="1"/>
  <c r="X175" i="1"/>
  <c r="T90" i="1"/>
  <c r="X90" i="1"/>
  <c r="AG90" i="1"/>
  <c r="X91" i="1"/>
  <c r="AG131" i="1"/>
  <c r="AG127" i="1"/>
  <c r="AG123" i="1"/>
  <c r="AG116" i="1"/>
  <c r="AG112" i="1"/>
  <c r="AG108" i="1"/>
  <c r="AG104" i="1"/>
  <c r="AI104" i="1" s="1"/>
  <c r="AG102" i="1"/>
  <c r="X99" i="1"/>
  <c r="AG98" i="1"/>
  <c r="AG190" i="1"/>
  <c r="X188" i="1"/>
  <c r="AG187" i="1"/>
  <c r="X184" i="1"/>
  <c r="AG183" i="1"/>
  <c r="W183" i="1" s="1"/>
  <c r="X180" i="1"/>
  <c r="AG179" i="1"/>
  <c r="X177" i="1"/>
  <c r="AG175" i="1"/>
  <c r="T168" i="1"/>
  <c r="X168" i="1"/>
  <c r="AG168" i="1"/>
  <c r="W168" i="1" s="1"/>
  <c r="X93" i="1"/>
  <c r="T160" i="1"/>
  <c r="AG160" i="1"/>
  <c r="W160" i="1" s="1"/>
  <c r="X161" i="1"/>
  <c r="AI88" i="1"/>
  <c r="AI84" i="1"/>
  <c r="AI80" i="1"/>
  <c r="X131" i="1"/>
  <c r="X127" i="1"/>
  <c r="X123" i="1"/>
  <c r="X116" i="1"/>
  <c r="X112" i="1"/>
  <c r="X108" i="1"/>
  <c r="X104" i="1"/>
  <c r="X102" i="1"/>
  <c r="X98" i="1"/>
  <c r="X190" i="1"/>
  <c r="X187" i="1"/>
  <c r="X183" i="1"/>
  <c r="X179" i="1"/>
  <c r="T174" i="1"/>
  <c r="X174" i="1"/>
  <c r="AG174" i="1"/>
  <c r="AI174" i="1" s="1"/>
  <c r="T171" i="1"/>
  <c r="X171" i="1"/>
  <c r="AA93" i="1"/>
  <c r="AA161" i="1"/>
  <c r="W92" i="1"/>
  <c r="AI87" i="1"/>
  <c r="AI107" i="1"/>
  <c r="T164" i="1"/>
  <c r="X164" i="1"/>
  <c r="AG164" i="1"/>
  <c r="X165" i="1"/>
  <c r="AI92" i="1"/>
  <c r="T86" i="1"/>
  <c r="X86" i="1"/>
  <c r="AG86" i="1"/>
  <c r="X87" i="1"/>
  <c r="T82" i="1"/>
  <c r="X82" i="1"/>
  <c r="AG82" i="1"/>
  <c r="W82" i="1" s="1"/>
  <c r="X83" i="1"/>
  <c r="T78" i="1"/>
  <c r="X78" i="1"/>
  <c r="AG78" i="1"/>
  <c r="X79" i="1"/>
  <c r="AA75" i="1"/>
  <c r="T74" i="1"/>
  <c r="X74" i="1"/>
  <c r="AG74" i="1"/>
  <c r="T71" i="1"/>
  <c r="X71" i="1"/>
  <c r="AI37" i="1"/>
  <c r="AG170" i="1"/>
  <c r="AI170" i="1" s="1"/>
  <c r="AG167" i="1"/>
  <c r="AI167" i="1" s="1"/>
  <c r="AG163" i="1"/>
  <c r="AI163" i="1" s="1"/>
  <c r="AG159" i="1"/>
  <c r="AI159" i="1" s="1"/>
  <c r="AG89" i="1"/>
  <c r="T75" i="1"/>
  <c r="X75" i="1"/>
  <c r="AI72" i="1"/>
  <c r="X72" i="1"/>
  <c r="AG71" i="1"/>
  <c r="X170" i="1"/>
  <c r="X167" i="1"/>
  <c r="X163" i="1"/>
  <c r="X89" i="1"/>
  <c r="X85" i="1"/>
  <c r="X81" i="1"/>
  <c r="AG75" i="1"/>
  <c r="AI22" i="1"/>
  <c r="AA72" i="1"/>
  <c r="W72" i="1" s="1"/>
  <c r="AA71" i="1"/>
  <c r="T67" i="1"/>
  <c r="X67" i="1"/>
  <c r="AG67" i="1"/>
  <c r="X68" i="1"/>
  <c r="T49" i="1"/>
  <c r="X49" i="1"/>
  <c r="X48" i="1"/>
  <c r="AA46" i="1"/>
  <c r="AA45" i="1"/>
  <c r="T44" i="1"/>
  <c r="X44" i="1"/>
  <c r="AG44" i="1"/>
  <c r="T41" i="1"/>
  <c r="X41" i="1"/>
  <c r="AI38" i="1"/>
  <c r="X38" i="1"/>
  <c r="AA30" i="1"/>
  <c r="W30" i="1" s="1"/>
  <c r="AA29" i="1"/>
  <c r="T28" i="1"/>
  <c r="AG28" i="1"/>
  <c r="T26" i="1"/>
  <c r="X26" i="1"/>
  <c r="AI23" i="1"/>
  <c r="X23" i="1"/>
  <c r="AA15" i="1"/>
  <c r="AA14" i="1"/>
  <c r="W14" i="1" s="1"/>
  <c r="X64" i="1"/>
  <c r="AG63" i="1"/>
  <c r="X60" i="1"/>
  <c r="AG59" i="1"/>
  <c r="X56" i="1"/>
  <c r="AG55" i="1"/>
  <c r="X52" i="1"/>
  <c r="AG51" i="1"/>
  <c r="T45" i="1"/>
  <c r="X45" i="1"/>
  <c r="X42" i="1"/>
  <c r="AG41" i="1"/>
  <c r="AA34" i="1"/>
  <c r="W34" i="1" s="1"/>
  <c r="AA33" i="1"/>
  <c r="T32" i="1"/>
  <c r="X32" i="1"/>
  <c r="AG32" i="1"/>
  <c r="T29" i="1"/>
  <c r="AI27" i="1"/>
  <c r="X27" i="1"/>
  <c r="AG26" i="1"/>
  <c r="AA19" i="1"/>
  <c r="AA18" i="1"/>
  <c r="T17" i="1"/>
  <c r="X17" i="1"/>
  <c r="AG17" i="1"/>
  <c r="T14" i="1"/>
  <c r="AG70" i="1"/>
  <c r="AG66" i="1"/>
  <c r="AI64" i="1"/>
  <c r="X63" i="1"/>
  <c r="AG62" i="1"/>
  <c r="W62" i="1" s="1"/>
  <c r="AI60" i="1"/>
  <c r="X59" i="1"/>
  <c r="AG58" i="1"/>
  <c r="AI56" i="1"/>
  <c r="X55" i="1"/>
  <c r="AG54" i="1"/>
  <c r="X51" i="1"/>
  <c r="AG50" i="1"/>
  <c r="T50" i="1"/>
  <c r="X46" i="1"/>
  <c r="AG45" i="1"/>
  <c r="W37" i="1"/>
  <c r="T36" i="1"/>
  <c r="X36" i="1"/>
  <c r="AG36" i="1"/>
  <c r="T33" i="1"/>
  <c r="X33" i="1"/>
  <c r="AI30" i="1"/>
  <c r="AG29" i="1"/>
  <c r="W22" i="1"/>
  <c r="T21" i="1"/>
  <c r="X21" i="1"/>
  <c r="AG21" i="1"/>
  <c r="T18" i="1"/>
  <c r="X18" i="1"/>
  <c r="AI14" i="1"/>
  <c r="X70" i="1"/>
  <c r="X66" i="1"/>
  <c r="X62" i="1"/>
  <c r="X58" i="1"/>
  <c r="X54" i="1"/>
  <c r="T48" i="1"/>
  <c r="AA42" i="1"/>
  <c r="AA41" i="1"/>
  <c r="T40" i="1"/>
  <c r="X40" i="1"/>
  <c r="AG40" i="1"/>
  <c r="T37" i="1"/>
  <c r="X37" i="1"/>
  <c r="AI34" i="1"/>
  <c r="X34" i="1"/>
  <c r="AG33" i="1"/>
  <c r="AA27" i="1"/>
  <c r="W27" i="1" s="1"/>
  <c r="AA26" i="1"/>
  <c r="T25" i="1"/>
  <c r="X25" i="1"/>
  <c r="AG25" i="1"/>
  <c r="W25" i="1" s="1"/>
  <c r="T22" i="1"/>
  <c r="X22" i="1"/>
  <c r="X19" i="1"/>
  <c r="AG18" i="1"/>
  <c r="AC12" i="3"/>
  <c r="Y29" i="3"/>
  <c r="Y24" i="3"/>
  <c r="Y16" i="3"/>
  <c r="Y12" i="3"/>
  <c r="AC28" i="3"/>
  <c r="Y21" i="3"/>
  <c r="Y17" i="3"/>
  <c r="AC23" i="3"/>
  <c r="AC15" i="3"/>
  <c r="Y28" i="3"/>
  <c r="Y25" i="3"/>
  <c r="Y20" i="3"/>
  <c r="M7" i="3"/>
  <c r="N7" i="3"/>
  <c r="R7" i="3"/>
  <c r="S7" i="3"/>
  <c r="U7" i="3"/>
  <c r="V7" i="3"/>
  <c r="W7" i="3"/>
  <c r="X7" i="3"/>
  <c r="AC7" i="3"/>
  <c r="W129" i="1" l="1"/>
  <c r="W203" i="1"/>
  <c r="Y7" i="3"/>
  <c r="W90" i="1"/>
  <c r="W140" i="1"/>
  <c r="W172" i="1"/>
  <c r="W107" i="1"/>
  <c r="W76" i="1"/>
  <c r="W98" i="1"/>
  <c r="AD7" i="3"/>
  <c r="AI83" i="1"/>
  <c r="W121" i="1"/>
  <c r="AI19" i="1"/>
  <c r="W54" i="1"/>
  <c r="W19" i="1"/>
  <c r="W28" i="1"/>
  <c r="AI79" i="1"/>
  <c r="W144" i="1"/>
  <c r="W79" i="1"/>
  <c r="W116" i="1"/>
  <c r="AI95" i="1"/>
  <c r="W192" i="1"/>
  <c r="W42" i="1"/>
  <c r="AI106" i="1"/>
  <c r="W118" i="1"/>
  <c r="AI166" i="1"/>
  <c r="W106" i="1"/>
  <c r="W151" i="1"/>
  <c r="W126" i="1"/>
  <c r="W83" i="1"/>
  <c r="W119" i="1"/>
  <c r="W188" i="1"/>
  <c r="W195" i="1"/>
  <c r="W187" i="1"/>
  <c r="AI169" i="1"/>
  <c r="W96" i="1"/>
  <c r="W31" i="1"/>
  <c r="W26" i="1"/>
  <c r="AI52" i="1"/>
  <c r="W161" i="1"/>
  <c r="AI144" i="1"/>
  <c r="W153" i="1"/>
  <c r="W47" i="1"/>
  <c r="AI185" i="1"/>
  <c r="W197" i="1"/>
  <c r="W39" i="1"/>
  <c r="W23" i="1"/>
  <c r="W44" i="1"/>
  <c r="W74" i="1"/>
  <c r="W179" i="1"/>
  <c r="W173" i="1"/>
  <c r="W53" i="1"/>
  <c r="W162" i="1"/>
  <c r="W137" i="1"/>
  <c r="W146" i="1"/>
  <c r="W17" i="1"/>
  <c r="W15" i="1"/>
  <c r="AI68" i="1"/>
  <c r="W132" i="1"/>
  <c r="W46" i="1"/>
  <c r="AI91" i="1"/>
  <c r="AI99" i="1"/>
  <c r="W141" i="1"/>
  <c r="W193" i="1"/>
  <c r="W157" i="1"/>
  <c r="W198" i="1"/>
  <c r="AI46" i="1"/>
  <c r="W67" i="1"/>
  <c r="W78" i="1"/>
  <c r="W176" i="1"/>
  <c r="W109" i="1"/>
  <c r="W52" i="1"/>
  <c r="AI81" i="1"/>
  <c r="W166" i="1"/>
  <c r="W41" i="1"/>
  <c r="AI111" i="1"/>
  <c r="W93" i="1"/>
  <c r="AI117" i="1"/>
  <c r="W190" i="1"/>
  <c r="W68" i="1"/>
  <c r="W73" i="1"/>
  <c r="W97" i="1"/>
  <c r="W81" i="1"/>
  <c r="W156" i="1"/>
  <c r="W202" i="1"/>
  <c r="W60" i="1"/>
  <c r="AI194" i="1"/>
  <c r="W100" i="1"/>
  <c r="W138" i="1"/>
  <c r="W185" i="1"/>
  <c r="W150" i="1"/>
  <c r="W77" i="1"/>
  <c r="W24" i="1"/>
  <c r="W43" i="1"/>
  <c r="W29" i="1"/>
  <c r="AI183" i="1"/>
  <c r="AI16" i="1"/>
  <c r="W95" i="1"/>
  <c r="W169" i="1"/>
  <c r="W69" i="1"/>
  <c r="W108" i="1"/>
  <c r="AI108" i="1"/>
  <c r="AI179" i="1"/>
  <c r="AI192" i="1"/>
  <c r="AI61" i="1"/>
  <c r="W147" i="1"/>
  <c r="W16" i="1"/>
  <c r="W101" i="1"/>
  <c r="W33" i="1"/>
  <c r="W71" i="1"/>
  <c r="W175" i="1"/>
  <c r="AI175" i="1"/>
  <c r="AI53" i="1"/>
  <c r="W61" i="1"/>
  <c r="AI100" i="1"/>
  <c r="AI137" i="1"/>
  <c r="W130" i="1"/>
  <c r="AI187" i="1"/>
  <c r="AI180" i="1"/>
  <c r="AI188" i="1"/>
  <c r="AI141" i="1"/>
  <c r="AI129" i="1"/>
  <c r="W199" i="1"/>
  <c r="W122" i="1"/>
  <c r="W189" i="1"/>
  <c r="AI25" i="1"/>
  <c r="AI54" i="1"/>
  <c r="W18" i="1"/>
  <c r="AI32" i="1"/>
  <c r="AI51" i="1"/>
  <c r="AI59" i="1"/>
  <c r="W45" i="1"/>
  <c r="W51" i="1"/>
  <c r="W32" i="1"/>
  <c r="AI71" i="1"/>
  <c r="W163" i="1"/>
  <c r="AI97" i="1"/>
  <c r="AI74" i="1"/>
  <c r="AI78" i="1"/>
  <c r="AI82" i="1"/>
  <c r="AI86" i="1"/>
  <c r="W104" i="1"/>
  <c r="AI138" i="1"/>
  <c r="AI153" i="1"/>
  <c r="AI139" i="1"/>
  <c r="AI147" i="1"/>
  <c r="AI154" i="1"/>
  <c r="AI161" i="1"/>
  <c r="AI178" i="1"/>
  <c r="AI182" i="1"/>
  <c r="AI186" i="1"/>
  <c r="AI190" i="1"/>
  <c r="W145" i="1"/>
  <c r="W152" i="1"/>
  <c r="AI40" i="1"/>
  <c r="AI36" i="1"/>
  <c r="AI45" i="1"/>
  <c r="AI58" i="1"/>
  <c r="AI33" i="1"/>
  <c r="AI21" i="1"/>
  <c r="AI29" i="1"/>
  <c r="AI50" i="1"/>
  <c r="AI66" i="1"/>
  <c r="AI17" i="1"/>
  <c r="AI41" i="1"/>
  <c r="AI44" i="1"/>
  <c r="W59" i="1"/>
  <c r="W21" i="1"/>
  <c r="W40" i="1"/>
  <c r="AI101" i="1"/>
  <c r="W167" i="1"/>
  <c r="W50" i="1"/>
  <c r="W66" i="1"/>
  <c r="W86" i="1"/>
  <c r="AI109" i="1"/>
  <c r="W174" i="1"/>
  <c r="AI142" i="1"/>
  <c r="AI157" i="1"/>
  <c r="AI90" i="1"/>
  <c r="AI112" i="1"/>
  <c r="AI127" i="1"/>
  <c r="W105" i="1"/>
  <c r="W113" i="1"/>
  <c r="W120" i="1"/>
  <c r="W128" i="1"/>
  <c r="AI135" i="1"/>
  <c r="AI143" i="1"/>
  <c r="AI168" i="1"/>
  <c r="W123" i="1"/>
  <c r="AI199" i="1"/>
  <c r="AI204" i="1"/>
  <c r="AI18" i="1"/>
  <c r="AI62" i="1"/>
  <c r="AI70" i="1"/>
  <c r="W70" i="1"/>
  <c r="AI26" i="1"/>
  <c r="AI55" i="1"/>
  <c r="AI63" i="1"/>
  <c r="AI75" i="1"/>
  <c r="W55" i="1"/>
  <c r="AI89" i="1"/>
  <c r="W89" i="1"/>
  <c r="AI105" i="1"/>
  <c r="AI98" i="1"/>
  <c r="W164" i="1"/>
  <c r="AI94" i="1"/>
  <c r="AI102" i="1"/>
  <c r="AI110" i="1"/>
  <c r="W112" i="1"/>
  <c r="AI146" i="1"/>
  <c r="W127" i="1"/>
  <c r="AI160" i="1"/>
  <c r="W177" i="1"/>
  <c r="W184" i="1"/>
  <c r="W135" i="1"/>
  <c r="AI195" i="1"/>
  <c r="W149" i="1"/>
  <c r="AI203" i="1"/>
  <c r="W201" i="1"/>
  <c r="AI28" i="1"/>
  <c r="AI67" i="1"/>
  <c r="W63" i="1"/>
  <c r="AI93" i="1"/>
  <c r="W159" i="1"/>
  <c r="W36" i="1"/>
  <c r="W58" i="1"/>
  <c r="W75" i="1"/>
  <c r="AI115" i="1"/>
  <c r="AI119" i="1"/>
  <c r="AI122" i="1"/>
  <c r="AI126" i="1"/>
  <c r="AI130" i="1"/>
  <c r="AI134" i="1"/>
  <c r="AI150" i="1"/>
  <c r="AI164" i="1"/>
  <c r="AI116" i="1"/>
  <c r="AI123" i="1"/>
  <c r="AI131" i="1"/>
  <c r="W170" i="1"/>
  <c r="W102" i="1"/>
  <c r="AI165" i="1"/>
  <c r="AI173" i="1"/>
  <c r="AI177" i="1"/>
  <c r="W124" i="1"/>
  <c r="W131" i="1"/>
  <c r="AI207" i="1"/>
  <c r="W207" i="1"/>
  <c r="B4" i="6"/>
  <c r="K4" i="6"/>
  <c r="J4" i="6" l="1"/>
  <c r="F4" i="6"/>
  <c r="I4" i="6"/>
  <c r="B3" i="6"/>
  <c r="F3" i="6" s="1"/>
  <c r="K3" i="6"/>
  <c r="B5" i="6"/>
  <c r="F5" i="6" s="1"/>
  <c r="K5" i="6"/>
  <c r="B6" i="6"/>
  <c r="K6" i="6"/>
  <c r="B7" i="6"/>
  <c r="K7" i="6"/>
  <c r="B8" i="6"/>
  <c r="F8" i="6" s="1"/>
  <c r="K8" i="6"/>
  <c r="B9" i="6"/>
  <c r="F9" i="6" s="1"/>
  <c r="K9" i="6"/>
  <c r="B10" i="6"/>
  <c r="K10" i="6"/>
  <c r="B11" i="6"/>
  <c r="K11" i="6"/>
  <c r="I11" i="6" l="1"/>
  <c r="F6" i="6"/>
  <c r="F10" i="6"/>
  <c r="I7" i="6"/>
  <c r="J10" i="6"/>
  <c r="I8" i="6"/>
  <c r="J6" i="6"/>
  <c r="I3" i="6"/>
  <c r="J11" i="6"/>
  <c r="F11" i="6"/>
  <c r="I10" i="6"/>
  <c r="I9" i="6"/>
  <c r="J7" i="6"/>
  <c r="F7" i="6"/>
  <c r="I6" i="6"/>
  <c r="I5" i="6"/>
  <c r="J8" i="6"/>
  <c r="J3" i="6"/>
  <c r="J9" i="6"/>
  <c r="J5" i="6"/>
  <c r="V13" i="1" l="1"/>
  <c r="Z13" i="1" l="1"/>
  <c r="Y13" i="1"/>
  <c r="M30" i="5" l="1"/>
  <c r="M29" i="5"/>
  <c r="M28" i="5"/>
  <c r="M27" i="5"/>
  <c r="AE13" i="1" l="1"/>
  <c r="AD13" i="1"/>
  <c r="X14" i="1" s="1"/>
  <c r="AC13" i="1"/>
  <c r="AB13" i="1"/>
  <c r="M13" i="1"/>
  <c r="N13" i="1" s="1"/>
  <c r="L13" i="1"/>
  <c r="K13" i="1"/>
  <c r="AA13" i="1" l="1"/>
  <c r="AG13" i="1"/>
  <c r="AI13" i="1" s="1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4" i="6" s="1"/>
  <c r="G99" i="4"/>
  <c r="H4" i="6" s="1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3" i="6" s="1"/>
  <c r="G107" i="4"/>
  <c r="H3" i="6" s="1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7" i="6" s="1"/>
  <c r="G121" i="4"/>
  <c r="H7" i="6" s="1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9" i="6" s="1"/>
  <c r="G131" i="4"/>
  <c r="H9" i="6" s="1"/>
  <c r="F132" i="4"/>
  <c r="G132" i="4"/>
  <c r="F133" i="4"/>
  <c r="G11" i="6" s="1"/>
  <c r="G133" i="4"/>
  <c r="H11" i="6" s="1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0" i="6" s="1"/>
  <c r="G140" i="4"/>
  <c r="H10" i="6" s="1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8" i="6" l="1"/>
  <c r="H5" i="6"/>
  <c r="H6" i="6"/>
  <c r="G8" i="6"/>
  <c r="G5" i="6"/>
  <c r="G6" i="6"/>
  <c r="M26" i="5"/>
  <c r="AH191" i="1" l="1"/>
  <c r="AH27" i="1"/>
  <c r="AH28" i="1"/>
  <c r="AH29" i="1"/>
  <c r="AH30" i="1"/>
  <c r="AH31" i="1"/>
  <c r="AH32" i="1"/>
  <c r="AH33" i="1"/>
  <c r="AH34" i="1"/>
  <c r="AH14" i="1"/>
  <c r="AH15" i="1"/>
  <c r="AH16" i="1"/>
  <c r="AH17" i="1"/>
  <c r="AH18" i="1"/>
  <c r="AH19" i="1"/>
  <c r="AH20" i="1"/>
  <c r="AH21" i="1"/>
  <c r="AH22" i="1"/>
  <c r="AH24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51" i="1"/>
  <c r="AH152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23" i="1"/>
  <c r="AH35" i="1"/>
  <c r="AH39" i="1"/>
  <c r="AH43" i="1"/>
  <c r="AH47" i="1"/>
  <c r="AH51" i="1"/>
  <c r="AH55" i="1"/>
  <c r="AH59" i="1"/>
  <c r="AH63" i="1"/>
  <c r="AH67" i="1"/>
  <c r="AH71" i="1"/>
  <c r="AH75" i="1"/>
  <c r="AH79" i="1"/>
  <c r="AH83" i="1"/>
  <c r="AH87" i="1"/>
  <c r="AH91" i="1"/>
  <c r="AH95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3" i="1"/>
  <c r="AH154" i="1"/>
  <c r="AH155" i="1"/>
  <c r="AH156" i="1"/>
  <c r="AH157" i="1"/>
  <c r="AH184" i="1"/>
  <c r="AH185" i="1"/>
  <c r="AH186" i="1"/>
  <c r="AH187" i="1"/>
  <c r="AH188" i="1"/>
  <c r="AH189" i="1"/>
  <c r="AH190" i="1"/>
  <c r="AH26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25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203" i="1"/>
  <c r="AH206" i="1"/>
  <c r="AH204" i="1"/>
  <c r="AH207" i="1"/>
  <c r="AH192" i="1"/>
  <c r="AH193" i="1"/>
  <c r="AH195" i="1"/>
  <c r="AH198" i="1"/>
  <c r="AH200" i="1"/>
  <c r="AH202" i="1"/>
  <c r="AH205" i="1"/>
  <c r="AH208" i="1"/>
  <c r="AH194" i="1"/>
  <c r="AH196" i="1"/>
  <c r="AH197" i="1"/>
  <c r="AH199" i="1"/>
  <c r="AH201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205" i="1" l="1"/>
  <c r="S205" i="1" s="1"/>
  <c r="U165" i="1"/>
  <c r="S165" i="1" s="1"/>
  <c r="U191" i="1"/>
  <c r="S191" i="1" s="1"/>
  <c r="U172" i="1"/>
  <c r="S172" i="1" s="1"/>
  <c r="U181" i="1"/>
  <c r="S181" i="1" s="1"/>
  <c r="U173" i="1"/>
  <c r="S173" i="1" s="1"/>
  <c r="U196" i="1"/>
  <c r="S196" i="1" s="1"/>
  <c r="U200" i="1"/>
  <c r="S200" i="1" s="1"/>
  <c r="U178" i="1"/>
  <c r="S178" i="1" s="1"/>
  <c r="U199" i="1"/>
  <c r="S199" i="1" s="1"/>
  <c r="U195" i="1"/>
  <c r="S195" i="1" s="1"/>
  <c r="U194" i="1"/>
  <c r="S194" i="1" s="1"/>
  <c r="U189" i="1"/>
  <c r="S189" i="1" s="1"/>
  <c r="U174" i="1"/>
  <c r="S174" i="1" s="1"/>
  <c r="U202" i="1"/>
  <c r="S202" i="1" s="1"/>
  <c r="U170" i="1"/>
  <c r="S170" i="1" s="1"/>
  <c r="U168" i="1"/>
  <c r="S168" i="1" s="1"/>
  <c r="U201" i="1"/>
  <c r="S201" i="1" s="1"/>
  <c r="U159" i="1"/>
  <c r="S159" i="1" s="1"/>
  <c r="U161" i="1"/>
  <c r="S161" i="1" s="1"/>
  <c r="U176" i="1"/>
  <c r="S176" i="1" s="1"/>
  <c r="U203" i="1"/>
  <c r="S203" i="1" s="1"/>
  <c r="U192" i="1"/>
  <c r="S192" i="1" s="1"/>
  <c r="U183" i="1"/>
  <c r="S183" i="1" s="1"/>
  <c r="U190" i="1"/>
  <c r="S190" i="1" s="1"/>
  <c r="U188" i="1"/>
  <c r="S188" i="1" s="1"/>
  <c r="U186" i="1"/>
  <c r="S186" i="1" s="1"/>
  <c r="U162" i="1"/>
  <c r="S162" i="1" s="1"/>
  <c r="U182" i="1"/>
  <c r="S182" i="1" s="1"/>
  <c r="U185" i="1"/>
  <c r="S185" i="1" s="1"/>
  <c r="U171" i="1"/>
  <c r="S171" i="1" s="1"/>
  <c r="U198" i="1"/>
  <c r="S198" i="1" s="1"/>
  <c r="U163" i="1"/>
  <c r="S163" i="1" s="1"/>
  <c r="U167" i="1"/>
  <c r="S167" i="1" s="1"/>
  <c r="U177" i="1"/>
  <c r="S177" i="1" s="1"/>
  <c r="U197" i="1"/>
  <c r="S197" i="1" s="1"/>
  <c r="U160" i="1"/>
  <c r="S160" i="1" s="1"/>
  <c r="U175" i="1"/>
  <c r="S175" i="1" s="1"/>
  <c r="U193" i="1"/>
  <c r="S193" i="1" s="1"/>
  <c r="U180" i="1"/>
  <c r="S180" i="1" s="1"/>
  <c r="U169" i="1"/>
  <c r="S169" i="1" s="1"/>
  <c r="U208" i="1"/>
  <c r="S208" i="1" s="1"/>
  <c r="U206" i="1"/>
  <c r="S206" i="1" s="1"/>
  <c r="U166" i="1"/>
  <c r="S166" i="1" s="1"/>
  <c r="U184" i="1"/>
  <c r="S184" i="1" s="1"/>
  <c r="U204" i="1"/>
  <c r="S204" i="1" s="1"/>
  <c r="U164" i="1"/>
  <c r="S164" i="1" s="1"/>
  <c r="U179" i="1"/>
  <c r="S179" i="1" s="1"/>
  <c r="U187" i="1"/>
  <c r="S187" i="1" s="1"/>
  <c r="U207" i="1"/>
  <c r="S207" i="1" s="1"/>
  <c r="M18" i="5"/>
  <c r="AF191" i="1" l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159" i="1"/>
  <c r="AF160" i="1"/>
  <c r="AF161" i="1"/>
  <c r="AF162" i="1"/>
  <c r="AF163" i="1"/>
  <c r="AF164" i="1"/>
  <c r="AF27" i="1"/>
  <c r="AF31" i="1"/>
  <c r="AF35" i="1"/>
  <c r="AF185" i="1"/>
  <c r="AF186" i="1"/>
  <c r="AF187" i="1"/>
  <c r="AF188" i="1"/>
  <c r="AF95" i="1"/>
  <c r="AF189" i="1"/>
  <c r="AF190" i="1"/>
  <c r="AF192" i="1"/>
  <c r="AF96" i="1"/>
  <c r="AF97" i="1"/>
  <c r="AF98" i="1"/>
  <c r="AF99" i="1"/>
  <c r="AF100" i="1"/>
  <c r="AF101" i="1"/>
  <c r="AF102" i="1"/>
  <c r="AF204" i="1"/>
  <c r="AF205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20" i="1"/>
  <c r="AF121" i="1"/>
  <c r="AF122" i="1"/>
  <c r="AF123" i="1"/>
  <c r="AF124" i="1"/>
  <c r="AF151" i="1"/>
  <c r="AF152" i="1"/>
  <c r="AF153" i="1"/>
  <c r="AF154" i="1"/>
  <c r="AF155" i="1"/>
  <c r="AF156" i="1"/>
  <c r="AF157" i="1"/>
  <c r="AF30" i="1"/>
  <c r="AF34" i="1"/>
  <c r="AF165" i="1"/>
  <c r="AF166" i="1"/>
  <c r="AF167" i="1"/>
  <c r="AF168" i="1"/>
  <c r="AF93" i="1"/>
  <c r="AF169" i="1"/>
  <c r="AF170" i="1"/>
  <c r="AF171" i="1"/>
  <c r="AF172" i="1"/>
  <c r="AF173" i="1"/>
  <c r="AF174" i="1"/>
  <c r="AF175" i="1"/>
  <c r="AF176" i="1"/>
  <c r="AF177" i="1"/>
  <c r="AF178" i="1"/>
  <c r="AF94" i="1"/>
  <c r="AF179" i="1"/>
  <c r="AF180" i="1"/>
  <c r="AF181" i="1"/>
  <c r="AF182" i="1"/>
  <c r="AF183" i="1"/>
  <c r="AF184" i="1"/>
  <c r="AF29" i="1"/>
  <c r="AF33" i="1"/>
  <c r="AF28" i="1"/>
  <c r="AF32" i="1"/>
  <c r="AF118" i="1"/>
  <c r="AF119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T17" i="3"/>
  <c r="AF158" i="1"/>
  <c r="AF193" i="1"/>
  <c r="AF194" i="1"/>
  <c r="AF195" i="1"/>
  <c r="AF196" i="1"/>
  <c r="AF197" i="1"/>
  <c r="AF198" i="1"/>
  <c r="AF199" i="1"/>
  <c r="AF200" i="1"/>
  <c r="AF201" i="1"/>
  <c r="AF202" i="1"/>
  <c r="AF203" i="1"/>
  <c r="AF206" i="1"/>
  <c r="AF207" i="1"/>
  <c r="AF208" i="1"/>
  <c r="T9" i="3"/>
  <c r="T28" i="3"/>
  <c r="T11" i="3"/>
  <c r="T29" i="3"/>
  <c r="T21" i="3"/>
  <c r="T16" i="3"/>
  <c r="T10" i="3"/>
  <c r="T8" i="3"/>
  <c r="T26" i="3"/>
  <c r="T22" i="3"/>
  <c r="T18" i="3"/>
  <c r="T30" i="3"/>
  <c r="T20" i="3"/>
  <c r="T24" i="3"/>
  <c r="T13" i="3"/>
  <c r="T19" i="3"/>
  <c r="T12" i="3"/>
  <c r="T25" i="3"/>
  <c r="T23" i="3"/>
  <c r="T14" i="3"/>
  <c r="T27" i="3"/>
  <c r="T15" i="3"/>
  <c r="T7" i="3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38" i="1" l="1"/>
  <c r="S38" i="1" s="1"/>
  <c r="U47" i="1"/>
  <c r="S47" i="1" s="1"/>
  <c r="U84" i="1"/>
  <c r="S84" i="1" s="1"/>
  <c r="U64" i="1"/>
  <c r="S64" i="1" s="1"/>
  <c r="U43" i="1"/>
  <c r="S43" i="1" s="1"/>
  <c r="U126" i="1"/>
  <c r="S126" i="1" s="1"/>
  <c r="U60" i="1"/>
  <c r="S60" i="1" s="1"/>
  <c r="U157" i="1"/>
  <c r="S157" i="1" s="1"/>
  <c r="U103" i="1"/>
  <c r="S103" i="1" s="1"/>
  <c r="U125" i="1"/>
  <c r="S125" i="1" s="1"/>
  <c r="U35" i="1"/>
  <c r="S35" i="1" s="1"/>
  <c r="U88" i="1"/>
  <c r="S88" i="1" s="1"/>
  <c r="U72" i="1"/>
  <c r="S72" i="1" s="1"/>
  <c r="U56" i="1"/>
  <c r="S56" i="1" s="1"/>
  <c r="U69" i="1"/>
  <c r="S69" i="1" s="1"/>
  <c r="U114" i="1"/>
  <c r="S114" i="1" s="1"/>
  <c r="U20" i="1"/>
  <c r="S20" i="1" s="1"/>
  <c r="U30" i="1"/>
  <c r="S30" i="1" s="1"/>
  <c r="U87" i="1"/>
  <c r="S87" i="1" s="1"/>
  <c r="U19" i="1"/>
  <c r="S19" i="1" s="1"/>
  <c r="U115" i="1"/>
  <c r="S115" i="1" s="1"/>
  <c r="U146" i="1"/>
  <c r="S146" i="1" s="1"/>
  <c r="U23" i="1"/>
  <c r="S23" i="1" s="1"/>
  <c r="U65" i="1"/>
  <c r="S65" i="1" s="1"/>
  <c r="U150" i="1"/>
  <c r="S150" i="1" s="1"/>
  <c r="U22" i="1"/>
  <c r="S22" i="1" s="1"/>
  <c r="U57" i="1"/>
  <c r="S57" i="1" s="1"/>
  <c r="U106" i="1"/>
  <c r="S106" i="1" s="1"/>
  <c r="U73" i="1"/>
  <c r="S73" i="1" s="1"/>
  <c r="U119" i="1"/>
  <c r="S119" i="1" s="1"/>
  <c r="U101" i="1"/>
  <c r="S101" i="1" s="1"/>
  <c r="U53" i="1"/>
  <c r="S53" i="1" s="1"/>
  <c r="U54" i="1"/>
  <c r="S54" i="1" s="1"/>
  <c r="U59" i="1"/>
  <c r="S59" i="1" s="1"/>
  <c r="U78" i="1"/>
  <c r="S78" i="1" s="1"/>
  <c r="U86" i="1"/>
  <c r="S86" i="1" s="1"/>
  <c r="U113" i="1"/>
  <c r="S113" i="1" s="1"/>
  <c r="U128" i="1"/>
  <c r="S128" i="1" s="1"/>
  <c r="U149" i="1"/>
  <c r="S149" i="1" s="1"/>
  <c r="U156" i="1"/>
  <c r="S156" i="1" s="1"/>
  <c r="U45" i="1"/>
  <c r="S45" i="1" s="1"/>
  <c r="U33" i="1"/>
  <c r="S33" i="1" s="1"/>
  <c r="U29" i="1"/>
  <c r="S29" i="1" s="1"/>
  <c r="U41" i="1"/>
  <c r="S41" i="1" s="1"/>
  <c r="U90" i="1"/>
  <c r="S90" i="1" s="1"/>
  <c r="U102" i="1"/>
  <c r="S102" i="1" s="1"/>
  <c r="U132" i="1"/>
  <c r="S132" i="1" s="1"/>
  <c r="U158" i="1"/>
  <c r="S158" i="1" s="1"/>
  <c r="U80" i="1"/>
  <c r="S80" i="1" s="1"/>
  <c r="U79" i="1"/>
  <c r="S79" i="1" s="1"/>
  <c r="U138" i="1"/>
  <c r="S138" i="1" s="1"/>
  <c r="U136" i="1"/>
  <c r="S136" i="1" s="1"/>
  <c r="U37" i="1"/>
  <c r="S37" i="1" s="1"/>
  <c r="U134" i="1"/>
  <c r="S134" i="1" s="1"/>
  <c r="U34" i="1"/>
  <c r="S34" i="1" s="1"/>
  <c r="U110" i="1"/>
  <c r="S110" i="1" s="1"/>
  <c r="U48" i="1"/>
  <c r="S48" i="1" s="1"/>
  <c r="U27" i="1"/>
  <c r="S27" i="1" s="1"/>
  <c r="U148" i="1"/>
  <c r="S148" i="1" s="1"/>
  <c r="U153" i="1"/>
  <c r="S153" i="1" s="1"/>
  <c r="U142" i="1"/>
  <c r="S142" i="1" s="1"/>
  <c r="U151" i="1"/>
  <c r="S151" i="1" s="1"/>
  <c r="U96" i="1"/>
  <c r="S96" i="1" s="1"/>
  <c r="U130" i="1"/>
  <c r="S130" i="1" s="1"/>
  <c r="U39" i="1"/>
  <c r="S39" i="1" s="1"/>
  <c r="U111" i="1"/>
  <c r="S111" i="1" s="1"/>
  <c r="U137" i="1"/>
  <c r="S137" i="1" s="1"/>
  <c r="U129" i="1"/>
  <c r="S129" i="1" s="1"/>
  <c r="U71" i="1"/>
  <c r="S71" i="1" s="1"/>
  <c r="U74" i="1"/>
  <c r="S74" i="1" s="1"/>
  <c r="U104" i="1"/>
  <c r="S104" i="1" s="1"/>
  <c r="U36" i="1"/>
  <c r="S36" i="1" s="1"/>
  <c r="U58" i="1"/>
  <c r="S58" i="1" s="1"/>
  <c r="U21" i="1"/>
  <c r="S21" i="1" s="1"/>
  <c r="U50" i="1"/>
  <c r="S50" i="1" s="1"/>
  <c r="U17" i="1"/>
  <c r="S17" i="1" s="1"/>
  <c r="U44" i="1"/>
  <c r="S44" i="1" s="1"/>
  <c r="U123" i="1"/>
  <c r="S123" i="1" s="1"/>
  <c r="U109" i="1"/>
  <c r="S109" i="1" s="1"/>
  <c r="U70" i="1"/>
  <c r="S70" i="1" s="1"/>
  <c r="U26" i="1"/>
  <c r="S26" i="1" s="1"/>
  <c r="U63" i="1"/>
  <c r="S63" i="1" s="1"/>
  <c r="U89" i="1"/>
  <c r="S89" i="1" s="1"/>
  <c r="U124" i="1"/>
  <c r="S124" i="1" s="1"/>
  <c r="U131" i="1"/>
  <c r="S131" i="1" s="1"/>
  <c r="U144" i="1"/>
  <c r="S144" i="1" s="1"/>
  <c r="U85" i="1"/>
  <c r="S85" i="1" s="1"/>
  <c r="U49" i="1"/>
  <c r="S49" i="1" s="1"/>
  <c r="U155" i="1"/>
  <c r="S155" i="1" s="1"/>
  <c r="U133" i="1"/>
  <c r="S133" i="1" s="1"/>
  <c r="U52" i="1"/>
  <c r="S52" i="1" s="1"/>
  <c r="U143" i="1"/>
  <c r="S143" i="1" s="1"/>
  <c r="U81" i="1"/>
  <c r="S81" i="1" s="1"/>
  <c r="U139" i="1"/>
  <c r="S139" i="1" s="1"/>
  <c r="U93" i="1"/>
  <c r="S93" i="1" s="1"/>
  <c r="U83" i="1"/>
  <c r="S83" i="1" s="1"/>
  <c r="U121" i="1"/>
  <c r="S121" i="1" s="1"/>
  <c r="U118" i="1"/>
  <c r="S118" i="1" s="1"/>
  <c r="U46" i="1"/>
  <c r="S46" i="1" s="1"/>
  <c r="U31" i="1"/>
  <c r="S31" i="1" s="1"/>
  <c r="U97" i="1"/>
  <c r="S97" i="1" s="1"/>
  <c r="U16" i="1"/>
  <c r="S16" i="1" s="1"/>
  <c r="U25" i="1"/>
  <c r="S25" i="1" s="1"/>
  <c r="U51" i="1"/>
  <c r="S51" i="1" s="1"/>
  <c r="U82" i="1"/>
  <c r="S82" i="1" s="1"/>
  <c r="U105" i="1"/>
  <c r="S105" i="1" s="1"/>
  <c r="U120" i="1"/>
  <c r="S120" i="1" s="1"/>
  <c r="U145" i="1"/>
  <c r="S145" i="1" s="1"/>
  <c r="U152" i="1"/>
  <c r="S152" i="1" s="1"/>
  <c r="U135" i="1"/>
  <c r="S135" i="1" s="1"/>
  <c r="U18" i="1"/>
  <c r="S18" i="1" s="1"/>
  <c r="U75" i="1"/>
  <c r="S75" i="1" s="1"/>
  <c r="U127" i="1"/>
  <c r="S127" i="1" s="1"/>
  <c r="U67" i="1"/>
  <c r="S67" i="1" s="1"/>
  <c r="U116" i="1"/>
  <c r="S116" i="1" s="1"/>
  <c r="U140" i="1"/>
  <c r="S140" i="1" s="1"/>
  <c r="U99" i="1"/>
  <c r="S99" i="1" s="1"/>
  <c r="U107" i="1"/>
  <c r="S107" i="1" s="1"/>
  <c r="U94" i="1"/>
  <c r="S94" i="1" s="1"/>
  <c r="U92" i="1"/>
  <c r="S92" i="1" s="1"/>
  <c r="U95" i="1"/>
  <c r="S95" i="1" s="1"/>
  <c r="U154" i="1"/>
  <c r="S154" i="1" s="1"/>
  <c r="U76" i="1"/>
  <c r="S76" i="1" s="1"/>
  <c r="U68" i="1"/>
  <c r="S68" i="1" s="1"/>
  <c r="U14" i="1"/>
  <c r="S14" i="1" s="1"/>
  <c r="U42" i="1"/>
  <c r="S42" i="1" s="1"/>
  <c r="U147" i="1"/>
  <c r="S147" i="1" s="1"/>
  <c r="U24" i="1"/>
  <c r="S24" i="1" s="1"/>
  <c r="U77" i="1"/>
  <c r="S77" i="1" s="1"/>
  <c r="U91" i="1"/>
  <c r="S91" i="1" s="1"/>
  <c r="U15" i="1"/>
  <c r="S15" i="1" s="1"/>
  <c r="U122" i="1"/>
  <c r="S122" i="1" s="1"/>
  <c r="U61" i="1"/>
  <c r="S61" i="1" s="1"/>
  <c r="U100" i="1"/>
  <c r="S100" i="1" s="1"/>
  <c r="U141" i="1"/>
  <c r="S141" i="1" s="1"/>
  <c r="U32" i="1"/>
  <c r="S32" i="1" s="1"/>
  <c r="U40" i="1"/>
  <c r="S40" i="1" s="1"/>
  <c r="U66" i="1"/>
  <c r="S66" i="1" s="1"/>
  <c r="U108" i="1"/>
  <c r="S108" i="1" s="1"/>
  <c r="U62" i="1"/>
  <c r="S62" i="1" s="1"/>
  <c r="U55" i="1"/>
  <c r="S55" i="1" s="1"/>
  <c r="U112" i="1"/>
  <c r="S112" i="1" s="1"/>
  <c r="U117" i="1"/>
  <c r="S117" i="1" s="1"/>
  <c r="U28" i="1"/>
  <c r="S28" i="1" s="1"/>
  <c r="U98" i="1"/>
  <c r="S98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<sst xmlns="http://schemas.openxmlformats.org/spreadsheetml/2006/main" count="2075" uniqueCount="769">
  <si>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</si>
  <si>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</si>
  <si>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</si>
  <si>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</si>
  <si>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</si>
  <si>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</si>
  <si>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</si>
  <si>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</si>
  <si>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</si>
  <si>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</si>
  <si>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</si>
  <si>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</si>
  <si>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</si>
  <si>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</si>
  <si>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</si>
  <si>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</si>
  <si>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</si>
  <si>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</si>
  <si>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</si>
  <si>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</si>
  <si>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</si>
  <si>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</si>
  <si>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</si>
  <si>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</si>
  <si>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</si>
  <si>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</si>
  <si>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</si>
  <si>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</si>
  <si>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</si>
  <si>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</si>
  <si>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</si>
  <si>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</si>
  <si>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</si>
  <si>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</si>
  <si>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</si>
  <si>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</si>
  <si>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</si>
  <si>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</si>
  <si>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</si>
  <si>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</si>
  <si>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</si>
  <si>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</si>
  <si>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</si>
  <si>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</si>
  <si>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</si>
  <si>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</si>
  <si>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</si>
  <si>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</si>
  <si>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</si>
  <si>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</si>
  <si>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</si>
  <si>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</si>
  <si>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</si>
  <si>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</si>
  <si>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</si>
  <si>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</si>
  <si>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</si>
  <si>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</si>
  <si>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</si>
  <si>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</si>
  <si>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</si>
  <si>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</si>
  <si>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</si>
  <si>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</si>
  <si>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</si>
  <si>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</si>
  <si>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</si>
  <si>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</si>
  <si>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</si>
  <si>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</si>
  <si>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</si>
  <si>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</si>
  <si>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</si>
  <si>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</si>
  <si>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</si>
  <si>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</si>
  <si>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</si>
  <si>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</si>
  <si>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</si>
  <si>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</si>
  <si>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</si>
  <si>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</si>
  <si>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</si>
  <si>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</si>
  <si>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</si>
  <si>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</si>
  <si>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</si>
  <si>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</si>
  <si>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</si>
  <si>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</si>
  <si>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</si>
  <si>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</si>
  <si>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</si>
  <si>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</si>
  <si>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</si>
  <si>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</si>
  <si>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</si>
  <si>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</si>
  <si>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</si>
  <si>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</si>
  <si>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</si>
  <si>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</si>
  <si>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</si>
  <si>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</si>
  <si>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</si>
  <si>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</si>
  <si>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</si>
  <si>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</si>
  <si>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</si>
  <si>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</si>
  <si>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</si>
  <si>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</si>
  <si>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</si>
  <si>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</si>
  <si>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</si>
  <si>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</si>
  <si>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</si>
  <si>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</si>
  <si>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</si>
  <si>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</si>
  <si>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</si>
  <si>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</si>
  <si>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</si>
  <si>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</si>
  <si>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</si>
  <si>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</si>
  <si>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</si>
  <si>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</si>
  <si>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</si>
  <si>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</si>
  <si>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</si>
  <si>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</si>
  <si>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</si>
  <si>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</si>
  <si>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</si>
  <si>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</si>
  <si>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</si>
  <si>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</si>
  <si>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</si>
  <si>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</si>
  <si>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</si>
  <si>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</si>
  <si>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</si>
  <si>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</si>
  <si>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</si>
  <si>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</si>
  <si>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</si>
  <si>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</si>
  <si>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</si>
  <si>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</si>
  <si>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</si>
  <si>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</si>
  <si>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</si>
  <si>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</si>
  <si>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</si>
  <si>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</si>
  <si>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</si>
  <si>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</si>
  <si>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</si>
  <si>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</si>
  <si>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</si>
  <si>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</si>
  <si>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</si>
  <si>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</si>
  <si>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</si>
  <si>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</si>
  <si>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</si>
  <si>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</si>
  <si>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</si>
  <si>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</si>
  <si>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</si>
  <si>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</si>
  <si>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</si>
  <si>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</si>
  <si>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</si>
  <si>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</si>
  <si>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</si>
  <si>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</si>
  <si>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</si>
  <si>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</si>
  <si>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</si>
  <si>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</si>
  <si>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</si>
  <si>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</si>
  <si>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</si>
  <si>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</si>
  <si>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</si>
  <si>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</si>
  <si>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204:233297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</si>
  <si>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</si>
  <si>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</si>
  <si>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</si>
  <si>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</si>
  <si>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</si>
  <si>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</si>
  <si>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</si>
  <si>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</si>
  <si>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204:145</t>
  </si>
  <si>
    <t>204:149</t>
  </si>
  <si>
    <t>204:143</t>
  </si>
  <si>
    <t>204:447</t>
  </si>
  <si>
    <t>204:453</t>
  </si>
  <si>
    <t>204:455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</si>
  <si>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</si>
  <si>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</si>
  <si>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</si>
  <si>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</si>
  <si>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</si>
  <si>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</si>
  <si>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</si>
  <si>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</si>
  <si>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</si>
  <si>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</si>
  <si>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</si>
  <si>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</si>
  <si>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</si>
  <si>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</si>
  <si>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</si>
  <si>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</si>
  <si>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204:462</t>
  </si>
  <si>
    <t>204:232985</t>
  </si>
  <si>
    <t>rtdc.l.rtdc.4011:itc</t>
  </si>
  <si>
    <t>204:457</t>
  </si>
  <si>
    <t>204:161</t>
  </si>
  <si>
    <t>204:464</t>
  </si>
  <si>
    <t>DE.1.0.8.0</t>
  </si>
  <si>
    <t>rtdc.l.rtdc.4040:itc</t>
  </si>
  <si>
    <t>204:458</t>
  </si>
  <si>
    <t>partly-cloudy-night</t>
  </si>
  <si>
    <t>Partly Cloudy</t>
  </si>
  <si>
    <t>204:158</t>
  </si>
  <si>
    <t>rtdc.l.rtdc.4003:itc</t>
  </si>
  <si>
    <t>clear-night</t>
  </si>
  <si>
    <t>Clear</t>
  </si>
  <si>
    <t>rtdc.l.rtdc.4039:itc</t>
  </si>
  <si>
    <t>rtdc.l.rtdc.4032:itc</t>
  </si>
  <si>
    <t>Y</t>
  </si>
  <si>
    <t>rtdc.l.rtdc.4004:itc</t>
  </si>
  <si>
    <t>204:233298</t>
  </si>
  <si>
    <t>204:232982</t>
  </si>
  <si>
    <t>204:233312</t>
  </si>
  <si>
    <t>Human Factors</t>
  </si>
  <si>
    <t>rtdc.l.rtdc.4041:itc</t>
  </si>
  <si>
    <t>rtdc.l.rtdc.4042:itc</t>
  </si>
  <si>
    <t>STAMBAUGH</t>
  </si>
  <si>
    <t>204:469</t>
  </si>
  <si>
    <t>204:233306</t>
  </si>
  <si>
    <t>204:232991</t>
  </si>
  <si>
    <t>rtdc.l.rtdc.4031:itc</t>
  </si>
  <si>
    <t>rtdc.l.rtdc.4025:itc</t>
  </si>
  <si>
    <t>clear-day</t>
  </si>
  <si>
    <t>rtdc.l.rtdc.4012:itc</t>
  </si>
  <si>
    <t>204:160</t>
  </si>
  <si>
    <t>204:150</t>
  </si>
  <si>
    <t>204:139</t>
  </si>
  <si>
    <t>204:437</t>
  </si>
  <si>
    <t>204:233002</t>
  </si>
  <si>
    <t>204:467</t>
  </si>
  <si>
    <t>204:232990</t>
  </si>
  <si>
    <t>204:440</t>
  </si>
  <si>
    <t>rtdc.l.rtdc.4001:itc</t>
  </si>
  <si>
    <t>rtdc.l.rtdc.4002:itc</t>
  </si>
  <si>
    <t>BADERTSCHER</t>
  </si>
  <si>
    <t>MAGEE</t>
  </si>
  <si>
    <t>YANAI</t>
  </si>
  <si>
    <t>204:232978</t>
  </si>
  <si>
    <t>204:233319</t>
  </si>
  <si>
    <t>204:232992</t>
  </si>
  <si>
    <t>204:233293</t>
  </si>
  <si>
    <t>204:165</t>
  </si>
  <si>
    <t>rtdc.l.rtdc.4016:itc</t>
  </si>
  <si>
    <t>Track device (7)</t>
  </si>
  <si>
    <t>rtdc.l.rtdc.4015:itc</t>
  </si>
  <si>
    <t>rtdc.l.rtdc.4043:itc</t>
  </si>
  <si>
    <t>204:233299</t>
  </si>
  <si>
    <t>204:233302</t>
  </si>
  <si>
    <t>204:438</t>
  </si>
  <si>
    <t>204:232981</t>
  </si>
  <si>
    <t>204:232973</t>
  </si>
  <si>
    <t>204:233309</t>
  </si>
  <si>
    <t>204:174</t>
  </si>
  <si>
    <t>204:446</t>
  </si>
  <si>
    <t>300:58611</t>
  </si>
  <si>
    <t>300:58628</t>
  </si>
  <si>
    <t>:.+((SYSTEM_STATE.+slice.+state.+changed )|(ment ac)|(system.+state.+changed )|(\[timeout)|(PRM\|1\|D)|(kpr)|(kdp)|(\|lc)|(penalty))</t>
  </si>
  <si>
    <t>rtdc.l.rtdc.4026:itc</t>
  </si>
  <si>
    <t>rtdc.l.rtdc.4010:itc</t>
  </si>
  <si>
    <t>rtdc.l.rtdc.4022:itc</t>
  </si>
  <si>
    <t>SWITCH UNKNOWN</t>
  </si>
  <si>
    <t>rtdc.l.rtdc.4021:itc</t>
  </si>
  <si>
    <t>MOSES</t>
  </si>
  <si>
    <t>HOLCOMB</t>
  </si>
  <si>
    <t>204:136</t>
  </si>
  <si>
    <t>204:473</t>
  </si>
  <si>
    <t>204:233303</t>
  </si>
  <si>
    <t>204:233304</t>
  </si>
  <si>
    <t>204:233310</t>
  </si>
  <si>
    <t>204:232993</t>
  </si>
  <si>
    <t>204:442</t>
  </si>
  <si>
    <t>204:471</t>
  </si>
  <si>
    <t>204:480</t>
  </si>
  <si>
    <t>204:232996</t>
  </si>
  <si>
    <t>204:134</t>
  </si>
  <si>
    <t>300:58937</t>
  </si>
  <si>
    <t>204:979</t>
  </si>
  <si>
    <t>rtdc.l.rtdc.4054:itc</t>
  </si>
  <si>
    <t>rtdc.l.rtdc.4053:itc</t>
  </si>
  <si>
    <t>rtdc.l.rtdc.4038:itc</t>
  </si>
  <si>
    <t>845-10</t>
  </si>
  <si>
    <t>232-10</t>
  </si>
  <si>
    <t>236-10</t>
  </si>
  <si>
    <t>239-10</t>
  </si>
  <si>
    <t>ISHMAEL</t>
  </si>
  <si>
    <t>rtdc.l.rtdc.4037:itc</t>
  </si>
  <si>
    <t>GEBRETEKLE</t>
  </si>
  <si>
    <t>HILLS</t>
  </si>
  <si>
    <t>SHOOK</t>
  </si>
  <si>
    <t>STORY</t>
  </si>
  <si>
    <t>DAVIDSON</t>
  </si>
  <si>
    <t>229-10</t>
  </si>
  <si>
    <t>226-10</t>
  </si>
  <si>
    <t>231-10</t>
  </si>
  <si>
    <t>228-10</t>
  </si>
  <si>
    <t>844-10</t>
  </si>
  <si>
    <t>230-10</t>
  </si>
  <si>
    <t>233-10</t>
  </si>
  <si>
    <t>847-10</t>
  </si>
  <si>
    <t>235-10</t>
  </si>
  <si>
    <t>908-10</t>
  </si>
  <si>
    <t>234-10</t>
  </si>
  <si>
    <t>237-10</t>
  </si>
  <si>
    <t>238-10</t>
  </si>
  <si>
    <t>241-10</t>
  </si>
  <si>
    <t>240-10</t>
  </si>
  <si>
    <t>243-10</t>
  </si>
  <si>
    <t>309-10</t>
  </si>
  <si>
    <t>242-10</t>
  </si>
  <si>
    <t>311-10</t>
  </si>
  <si>
    <t>244-10</t>
  </si>
  <si>
    <t>313-10</t>
  </si>
  <si>
    <t>204:154</t>
  </si>
  <si>
    <t>204:233314</t>
  </si>
  <si>
    <t>204:759</t>
  </si>
  <si>
    <t>204:138</t>
  </si>
  <si>
    <t>204:233291</t>
  </si>
  <si>
    <t>204:466</t>
  </si>
  <si>
    <t>204:233300</t>
  </si>
  <si>
    <t>204:232980</t>
  </si>
  <si>
    <t>204:232968</t>
  </si>
  <si>
    <t>204:232988</t>
  </si>
  <si>
    <t>204:431</t>
  </si>
  <si>
    <t>204:449</t>
  </si>
  <si>
    <t>204:232976</t>
  </si>
  <si>
    <t>204:141</t>
  </si>
  <si>
    <t>300:23310</t>
  </si>
  <si>
    <t>300:58613</t>
  </si>
  <si>
    <t>228-11</t>
  </si>
  <si>
    <t>DAVIS</t>
  </si>
  <si>
    <t>STRICKLAND</t>
  </si>
  <si>
    <t>SANTIZO</t>
  </si>
  <si>
    <t>CLARK</t>
  </si>
  <si>
    <t>SWANSON</t>
  </si>
  <si>
    <t>SAFIEF</t>
  </si>
  <si>
    <t>CHANDLER</t>
  </si>
  <si>
    <t>842-11</t>
  </si>
  <si>
    <t>226-11</t>
  </si>
  <si>
    <t>229-11</t>
  </si>
  <si>
    <t>845-11</t>
  </si>
  <si>
    <t>231-11</t>
  </si>
  <si>
    <t>844-11</t>
  </si>
  <si>
    <t>230-11</t>
  </si>
  <si>
    <t>847-11</t>
  </si>
  <si>
    <t>233-11</t>
  </si>
  <si>
    <t>235-11</t>
  </si>
  <si>
    <t>232-11</t>
  </si>
  <si>
    <t>908-11</t>
  </si>
  <si>
    <t>237-11</t>
  </si>
  <si>
    <t>234-11</t>
  </si>
  <si>
    <t>239-11</t>
  </si>
  <si>
    <t>236-11</t>
  </si>
  <si>
    <t>238-11</t>
  </si>
  <si>
    <t>241-11</t>
  </si>
  <si>
    <t>243-11</t>
  </si>
  <si>
    <t>240-11</t>
  </si>
  <si>
    <t>242-11</t>
  </si>
  <si>
    <t>245-11</t>
  </si>
  <si>
    <t>309-11</t>
  </si>
  <si>
    <t>244-11</t>
  </si>
  <si>
    <t>311-11</t>
  </si>
  <si>
    <t>partly-cloudy-day</t>
  </si>
  <si>
    <t>204:444</t>
  </si>
  <si>
    <t>204:233286</t>
  </si>
  <si>
    <t>204:232984</t>
  </si>
  <si>
    <t>204:232987</t>
  </si>
  <si>
    <t>204:163</t>
  </si>
  <si>
    <t>204:233278</t>
  </si>
  <si>
    <t>204:233370</t>
  </si>
  <si>
    <t>204:132</t>
  </si>
  <si>
    <t>204:233315</t>
  </si>
  <si>
    <t>204:233010</t>
  </si>
  <si>
    <t>204:232983</t>
  </si>
  <si>
    <t>204:233019</t>
  </si>
  <si>
    <t>204:233332</t>
  </si>
  <si>
    <t>204:484</t>
  </si>
  <si>
    <t>204:233006</t>
  </si>
  <si>
    <t>204:233328</t>
  </si>
  <si>
    <t>204:129</t>
  </si>
  <si>
    <t>246-11</t>
  </si>
  <si>
    <t>300:23302</t>
  </si>
  <si>
    <t>300:23312</t>
  </si>
  <si>
    <t>300:23308</t>
  </si>
  <si>
    <t>315-11</t>
  </si>
  <si>
    <t>204:1048</t>
  </si>
  <si>
    <t>204:986</t>
  </si>
  <si>
    <t>300:58939</t>
  </si>
  <si>
    <t>300:58626</t>
  </si>
  <si>
    <t>300:58946</t>
  </si>
  <si>
    <t>204:766</t>
  </si>
  <si>
    <t>204:967</t>
  </si>
  <si>
    <t>306-12</t>
  </si>
  <si>
    <t>106-12</t>
  </si>
  <si>
    <t>126-12</t>
  </si>
  <si>
    <t>130-12</t>
  </si>
  <si>
    <t>1806-12</t>
  </si>
  <si>
    <t>1807-12</t>
  </si>
  <si>
    <t>149-12</t>
  </si>
  <si>
    <t>144-12</t>
  </si>
  <si>
    <t>157-12</t>
  </si>
  <si>
    <t>165-12</t>
  </si>
  <si>
    <t>rtdc.l.rtdc.4014:itc</t>
  </si>
  <si>
    <t>173-12</t>
  </si>
  <si>
    <t>164-12</t>
  </si>
  <si>
    <t>172-12</t>
  </si>
  <si>
    <t>178-12</t>
  </si>
  <si>
    <t>182-12</t>
  </si>
  <si>
    <t>186-12</t>
  </si>
  <si>
    <t>199-12</t>
  </si>
  <si>
    <t>1823-12</t>
  </si>
  <si>
    <t>66-12</t>
  </si>
  <si>
    <t>rtdc.l.rtdc.4013:itc</t>
  </si>
  <si>
    <t>216-12</t>
  </si>
  <si>
    <t>224-12</t>
  </si>
  <si>
    <t>1829-12</t>
  </si>
  <si>
    <t>313-11</t>
  </si>
  <si>
    <t>302-12</t>
  </si>
  <si>
    <t>101-12</t>
  </si>
  <si>
    <t>304-12</t>
  </si>
  <si>
    <t>DE LA ROSA</t>
  </si>
  <si>
    <t>103-12</t>
  </si>
  <si>
    <t>ACKERMAN</t>
  </si>
  <si>
    <t>102-12</t>
  </si>
  <si>
    <t>308-12</t>
  </si>
  <si>
    <t>105-12</t>
  </si>
  <si>
    <t>310-12</t>
  </si>
  <si>
    <t>KILLION</t>
  </si>
  <si>
    <t>107-12</t>
  </si>
  <si>
    <t>109-12</t>
  </si>
  <si>
    <t>104-12</t>
  </si>
  <si>
    <t>113-12</t>
  </si>
  <si>
    <t>111-12</t>
  </si>
  <si>
    <t>1901-12</t>
  </si>
  <si>
    <t>108-12</t>
  </si>
  <si>
    <t>115-12</t>
  </si>
  <si>
    <t>1800-12</t>
  </si>
  <si>
    <t>117-12</t>
  </si>
  <si>
    <t>110-12</t>
  </si>
  <si>
    <t>112-12</t>
  </si>
  <si>
    <t>114-12</t>
  </si>
  <si>
    <t>119-12</t>
  </si>
  <si>
    <t>121-12</t>
  </si>
  <si>
    <t>1801-12</t>
  </si>
  <si>
    <t>116-12</t>
  </si>
  <si>
    <t>123-12</t>
  </si>
  <si>
    <t>118-12</t>
  </si>
  <si>
    <t>1802-12</t>
  </si>
  <si>
    <t>125-12</t>
  </si>
  <si>
    <t>120-12</t>
  </si>
  <si>
    <t>127-12</t>
  </si>
  <si>
    <t>129-12</t>
  </si>
  <si>
    <t>122-12</t>
  </si>
  <si>
    <t>124-12</t>
  </si>
  <si>
    <t>1803-12</t>
  </si>
  <si>
    <t>131-12</t>
  </si>
  <si>
    <t>1804-12</t>
  </si>
  <si>
    <t>133-12</t>
  </si>
  <si>
    <t>128-12</t>
  </si>
  <si>
    <t>135-12</t>
  </si>
  <si>
    <t>137-12</t>
  </si>
  <si>
    <t>1805-12</t>
  </si>
  <si>
    <t>132-12</t>
  </si>
  <si>
    <t>139-12</t>
  </si>
  <si>
    <t>134-12</t>
  </si>
  <si>
    <t>141-12</t>
  </si>
  <si>
    <t>136-12</t>
  </si>
  <si>
    <t>143-12</t>
  </si>
  <si>
    <t>138-12</t>
  </si>
  <si>
    <t>145-12</t>
  </si>
  <si>
    <t>147-12</t>
  </si>
  <si>
    <t>140-12</t>
  </si>
  <si>
    <t>142-12</t>
  </si>
  <si>
    <t>1808-12</t>
  </si>
  <si>
    <t>151-12</t>
  </si>
  <si>
    <t>146-12</t>
  </si>
  <si>
    <t>153-12</t>
  </si>
  <si>
    <t>1809-12</t>
  </si>
  <si>
    <t>148-12</t>
  </si>
  <si>
    <t>155-12</t>
  </si>
  <si>
    <t>1810-12</t>
  </si>
  <si>
    <t>150-12</t>
  </si>
  <si>
    <t>152-12</t>
  </si>
  <si>
    <t>159-12</t>
  </si>
  <si>
    <t>STEWART</t>
  </si>
  <si>
    <t>154-12</t>
  </si>
  <si>
    <t>161-12</t>
  </si>
  <si>
    <t>BARTLETT</t>
  </si>
  <si>
    <t>1811-12</t>
  </si>
  <si>
    <t>156-12</t>
  </si>
  <si>
    <t>163-12</t>
  </si>
  <si>
    <t>1812-12</t>
  </si>
  <si>
    <t>158-12</t>
  </si>
  <si>
    <t>160-12</t>
  </si>
  <si>
    <t>167-12</t>
  </si>
  <si>
    <t>BRUDER</t>
  </si>
  <si>
    <t>162-12</t>
  </si>
  <si>
    <t>169-12</t>
  </si>
  <si>
    <t>1813-12</t>
  </si>
  <si>
    <t>171-12</t>
  </si>
  <si>
    <t>166-12</t>
  </si>
  <si>
    <t>1814-12</t>
  </si>
  <si>
    <t>168-12</t>
  </si>
  <si>
    <t>175-12</t>
  </si>
  <si>
    <t>170-12</t>
  </si>
  <si>
    <t>177-12</t>
  </si>
  <si>
    <t>1815-12</t>
  </si>
  <si>
    <t>179-12</t>
  </si>
  <si>
    <t>1816-12</t>
  </si>
  <si>
    <t>181-12</t>
  </si>
  <si>
    <t>174-12</t>
  </si>
  <si>
    <t>176-12</t>
  </si>
  <si>
    <t>183-12</t>
  </si>
  <si>
    <t>OUN</t>
  </si>
  <si>
    <t>185-12</t>
  </si>
  <si>
    <t>1817-12</t>
  </si>
  <si>
    <t>MAHAN</t>
  </si>
  <si>
    <t>180-12</t>
  </si>
  <si>
    <t>187-12</t>
  </si>
  <si>
    <t>1818-12</t>
  </si>
  <si>
    <t>189-12</t>
  </si>
  <si>
    <t>184-12</t>
  </si>
  <si>
    <t>191-12</t>
  </si>
  <si>
    <t>193-12</t>
  </si>
  <si>
    <t>1819-12</t>
  </si>
  <si>
    <t>188-12</t>
  </si>
  <si>
    <t>195-12</t>
  </si>
  <si>
    <t>190-12</t>
  </si>
  <si>
    <t>1820-12</t>
  </si>
  <si>
    <t>197-12</t>
  </si>
  <si>
    <t>192-12</t>
  </si>
  <si>
    <t>194-12</t>
  </si>
  <si>
    <t>201-12</t>
  </si>
  <si>
    <t>1821-12</t>
  </si>
  <si>
    <t>196-12</t>
  </si>
  <si>
    <t>203-12</t>
  </si>
  <si>
    <t>198-12</t>
  </si>
  <si>
    <t>1822-12</t>
  </si>
  <si>
    <t>205-12</t>
  </si>
  <si>
    <t>200-12</t>
  </si>
  <si>
    <t>207-12</t>
  </si>
  <si>
    <t>209-12</t>
  </si>
  <si>
    <t>202-12</t>
  </si>
  <si>
    <t>204-12</t>
  </si>
  <si>
    <t>75-12</t>
  </si>
  <si>
    <t>211-12</t>
  </si>
  <si>
    <t>206-12</t>
  </si>
  <si>
    <t>213-12</t>
  </si>
  <si>
    <t>NEWELL</t>
  </si>
  <si>
    <t>1824-12</t>
  </si>
  <si>
    <t>BRANDNER</t>
  </si>
  <si>
    <t>208-12</t>
  </si>
  <si>
    <t>215-12</t>
  </si>
  <si>
    <t>210-12</t>
  </si>
  <si>
    <t>217-12</t>
  </si>
  <si>
    <t>1825-12</t>
  </si>
  <si>
    <t>212-12</t>
  </si>
  <si>
    <t>219-12</t>
  </si>
  <si>
    <t>214-12</t>
  </si>
  <si>
    <t>1826-12</t>
  </si>
  <si>
    <t>303-12</t>
  </si>
  <si>
    <t>221-12</t>
  </si>
  <si>
    <t>218-12</t>
  </si>
  <si>
    <t>305-12</t>
  </si>
  <si>
    <t>1827-12</t>
  </si>
  <si>
    <t>220-12</t>
  </si>
  <si>
    <t>223-12</t>
  </si>
  <si>
    <t>1828-12</t>
  </si>
  <si>
    <t>307-12</t>
  </si>
  <si>
    <t>222-12</t>
  </si>
  <si>
    <t>225-12</t>
  </si>
  <si>
    <t>227-12</t>
  </si>
  <si>
    <t>1830-12</t>
  </si>
  <si>
    <t>226-12</t>
  </si>
  <si>
    <t>229-12</t>
  </si>
  <si>
    <t>231-12</t>
  </si>
  <si>
    <t>1831-12</t>
  </si>
  <si>
    <t>228-12</t>
  </si>
  <si>
    <t>230-12</t>
  </si>
  <si>
    <t>233-12</t>
  </si>
  <si>
    <t>235-12</t>
  </si>
  <si>
    <t>232-12</t>
  </si>
  <si>
    <t>1833-12</t>
  </si>
  <si>
    <t>1902-12</t>
  </si>
  <si>
    <t>237-12</t>
  </si>
  <si>
    <t>234-12</t>
  </si>
  <si>
    <t>239-12</t>
  </si>
  <si>
    <t>236-12</t>
  </si>
  <si>
    <t>238-12</t>
  </si>
  <si>
    <t>241-12</t>
  </si>
  <si>
    <t>243-12</t>
  </si>
  <si>
    <t>240-12</t>
  </si>
  <si>
    <t>245-12</t>
  </si>
  <si>
    <t>242-12</t>
  </si>
  <si>
    <t>309-12</t>
  </si>
  <si>
    <t>244-12</t>
  </si>
  <si>
    <t>51-13</t>
  </si>
  <si>
    <t>204:713</t>
  </si>
  <si>
    <t>204:232672</t>
  </si>
  <si>
    <t>204:744</t>
  </si>
  <si>
    <t>204:232666</t>
  </si>
  <si>
    <t>204:688</t>
  </si>
  <si>
    <t>204:232734</t>
  </si>
  <si>
    <t>204:233301</t>
  </si>
  <si>
    <t>204:232989</t>
  </si>
  <si>
    <t>204:785</t>
  </si>
  <si>
    <t>204:233282</t>
  </si>
  <si>
    <t>204:232957</t>
  </si>
  <si>
    <t>204:418</t>
  </si>
  <si>
    <t>204:37197</t>
  </si>
  <si>
    <t>204:233316</t>
  </si>
  <si>
    <t>204:232986</t>
  </si>
  <si>
    <t>204:172</t>
  </si>
  <si>
    <t>204:233283</t>
  </si>
  <si>
    <t>204:765</t>
  </si>
  <si>
    <t>204:130</t>
  </si>
  <si>
    <t>204:196</t>
  </si>
  <si>
    <t>204:233274</t>
  </si>
  <si>
    <t>204:506</t>
  </si>
  <si>
    <t>204:232967</t>
  </si>
  <si>
    <t>204:233287</t>
  </si>
  <si>
    <t>204:232972</t>
  </si>
  <si>
    <t>204:232969</t>
  </si>
  <si>
    <t>204:232975</t>
  </si>
  <si>
    <t>204:233321</t>
  </si>
  <si>
    <t>204:420</t>
  </si>
  <si>
    <t>204:233355</t>
  </si>
  <si>
    <t>204:233045</t>
  </si>
  <si>
    <t>204:170</t>
  </si>
  <si>
    <t>204:233372</t>
  </si>
  <si>
    <t>204:233027</t>
  </si>
  <si>
    <t>204:475</t>
  </si>
  <si>
    <t>204:225</t>
  </si>
  <si>
    <t>204:233311</t>
  </si>
  <si>
    <t>204:233378</t>
  </si>
  <si>
    <t>204:233042</t>
  </si>
  <si>
    <t>204:682</t>
  </si>
  <si>
    <t>204:985</t>
  </si>
  <si>
    <t>204:664</t>
  </si>
  <si>
    <t>204:684</t>
  </si>
  <si>
    <t>300:58941</t>
  </si>
  <si>
    <t>300:58643</t>
  </si>
  <si>
    <t>204:663</t>
  </si>
  <si>
    <t>300:58935</t>
  </si>
  <si>
    <t>204:675</t>
  </si>
  <si>
    <t>204:971</t>
  </si>
  <si>
    <t>300:58630</t>
  </si>
  <si>
    <t>204:685</t>
  </si>
  <si>
    <t>204:978</t>
  </si>
  <si>
    <t>300:58950</t>
  </si>
  <si>
    <t>300:58638</t>
  </si>
  <si>
    <t>204:974</t>
  </si>
  <si>
    <t>300:58926</t>
  </si>
  <si>
    <t>300:58278</t>
  </si>
  <si>
    <t>204:696</t>
  </si>
  <si>
    <t>204:969</t>
  </si>
  <si>
    <t>204:976</t>
  </si>
  <si>
    <t>300:58961</t>
  </si>
  <si>
    <t>300:58649</t>
  </si>
  <si>
    <t>204:1063</t>
  </si>
  <si>
    <t>300:58944</t>
  </si>
  <si>
    <t>204:265</t>
  </si>
  <si>
    <t>300:58634</t>
  </si>
  <si>
    <t>204:755</t>
  </si>
  <si>
    <t>204:1065</t>
  </si>
  <si>
    <t>300:58969</t>
  </si>
  <si>
    <t>300:58662</t>
  </si>
  <si>
    <t>204:1060</t>
  </si>
  <si>
    <t>300:58655</t>
  </si>
  <si>
    <t>204:1032</t>
  </si>
  <si>
    <t>300:58976</t>
  </si>
  <si>
    <t>204:764</t>
  </si>
  <si>
    <t>300:58997</t>
  </si>
  <si>
    <t>300:58681</t>
  </si>
  <si>
    <t>204:733</t>
  </si>
  <si>
    <t>204:1028</t>
  </si>
  <si>
    <t>300:58980</t>
  </si>
  <si>
    <t>300:58658</t>
  </si>
  <si>
    <t>204:748</t>
  </si>
  <si>
    <t>300:58999</t>
  </si>
  <si>
    <t>204:1076</t>
  </si>
  <si>
    <t>300:58982</t>
  </si>
  <si>
    <t>204:232971</t>
  </si>
  <si>
    <t>204:535</t>
  </si>
  <si>
    <t>204:233021</t>
  </si>
  <si>
    <t>204:121</t>
  </si>
  <si>
    <t>204:233263</t>
  </si>
  <si>
    <t>204:169</t>
  </si>
  <si>
    <t>204:233285</t>
  </si>
  <si>
    <t>300:21121</t>
  </si>
  <si>
    <t>300:58656</t>
  </si>
  <si>
    <t>204:233376</t>
  </si>
  <si>
    <t>204:595</t>
  </si>
  <si>
    <t>204:233261</t>
  </si>
  <si>
    <t>204:232944</t>
  </si>
  <si>
    <t>204:233405</t>
  </si>
  <si>
    <t>204:233080</t>
  </si>
  <si>
    <t>204:12661</t>
  </si>
  <si>
    <t>204:166</t>
  </si>
  <si>
    <t>204:126</t>
  </si>
  <si>
    <t>204:109</t>
  </si>
  <si>
    <t>204:233344</t>
  </si>
  <si>
    <t>204:233351</t>
  </si>
  <si>
    <t>204:482</t>
  </si>
  <si>
    <t>204:495</t>
  </si>
  <si>
    <t>204:426</t>
  </si>
  <si>
    <t>204:233266</t>
  </si>
  <si>
    <t>204:233364</t>
  </si>
  <si>
    <t>246-12</t>
  </si>
  <si>
    <t>300:19417</t>
  </si>
  <si>
    <t>300:22274</t>
  </si>
  <si>
    <t>300:22337</t>
  </si>
  <si>
    <t>204:83</t>
  </si>
  <si>
    <t>204:428</t>
  </si>
  <si>
    <t>300:23301</t>
  </si>
  <si>
    <t>300:23213</t>
  </si>
  <si>
    <t>313-12</t>
  </si>
  <si>
    <t>300:23304</t>
  </si>
  <si>
    <t>315-12</t>
  </si>
  <si>
    <t>300:22019</t>
  </si>
  <si>
    <t>204:889</t>
  </si>
  <si>
    <t>204:1483</t>
  </si>
  <si>
    <t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t>
  </si>
  <si>
    <t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t>
  </si>
  <si>
    <t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t>
  </si>
  <si>
    <t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t>
  </si>
  <si>
    <t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t>
  </si>
  <si>
    <t>Re-inited at York &amp; Josephine, otherwise normal run (logs indicate maybe a mechanical issue with brakes?)</t>
  </si>
  <si>
    <t>DUS 22N at STOP, likely due to other traffic</t>
  </si>
  <si>
    <t>See title</t>
  </si>
  <si>
    <t>Delayed coming out of Westminster</t>
  </si>
  <si>
    <t>Early arrival</t>
  </si>
  <si>
    <t>40th 4S STOP</t>
  </si>
  <si>
    <t>http://stevetu21.github.io/eaglep3/load_kml.html?kml=http://rtdc.gmaps-snips.s3.amazonaws.com/eec0c886-dfa8-4982-9418-c2c5151535c1.kml</t>
  </si>
  <si>
    <t>Wi-MAX data drop</t>
  </si>
  <si>
    <t>http://stevetu21.github.io/eaglep3/load_kml.html?kml=http://rtdc.gmaps-snips.s3.amazonaws.com/e03ef75c-ed73-478e-97c1-5a5b141d3608.kml</t>
  </si>
  <si>
    <t>1832-12</t>
  </si>
  <si>
    <t>Onboard in-route failure</t>
  </si>
  <si>
    <t>Multiple CPU faults at 2016-11-12 21:38:13 Denver time</t>
  </si>
  <si>
    <t>CLI Grep2 (for slice disagreement)</t>
  </si>
  <si>
    <t>Enforcement issued by Slice 1, but not by other 2 slices.</t>
  </si>
  <si>
    <t>Banner without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</si>
</sst>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e03ef75c-ed73-478e-97c1-5a5b141d3608.kml" TargetMode="External"/><Relationship Id="rId1" Type="http://schemas.openxmlformats.org/officeDocument/2006/relationships/hyperlink" Target="http://stevetu21.github.io/eaglep3/load_kml.html?kml=http://rtdc.gmaps-snips.s3.amazonaws.com/eec0c886-dfa8-4982-9418-c2c5151535c1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7"/>
  <sheetViews>
    <sheetView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42686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COUNTIFS($N$13:$N$9390,"&gt;0",$AG$13:$AG$9390,I1)</f>
        <v>145</v>
      </c>
      <c r="K5" s="44"/>
      <c r="L5" s="44"/>
      <c r="M5" s="45">
        <f>AVERAGEIFS($N$13:$N$9390,$AG$13:$AG$9390,I1)</f>
        <v>36.951149425148195</v>
      </c>
      <c r="N5" s="43">
        <f t="array" ref="N5">MIN(IF($AG$13:$AG$9390=I1,IF(ISNUMBER($N$13:$N$9390),IF($N$13:$N$9390&gt;0,$N$13:$N$9390))))</f>
        <v>34.200000000419095</v>
      </c>
      <c r="O5" s="3">
        <f t="array" ref="O5">MAX(IF($AG$13:$AG$9390=I1,IF(ISNUMBER($N$13:$N$9390),IF($N$13:$N$9390&gt;0,$N$13:$N$9390))))</f>
        <v>46.233333338750526</v>
      </c>
      <c r="P5" s="2"/>
      <c r="R5" s="80" t="s">
        <v>17</v>
      </c>
      <c r="S5" s="55">
        <f>COUNTIFS($N$13:$N$9390,"&gt;0",$AG$13:$AG$9390,R1)</f>
        <v>33</v>
      </c>
      <c r="T5" s="44"/>
      <c r="U5" s="169"/>
      <c r="V5" s="45">
        <f>AVERAGEIFS($N$13:$N$9390,$AG$13:$AG$9390,R1)</f>
        <v>15.422222221545367</v>
      </c>
      <c r="W5" s="43">
        <f t="array" ref="W5">MIN(IF($AG$13:$AG$9390=R1,IF(ISNUMBER($N$13:$N$9390),IF($N$13:$N$9390&gt;0,$N$13:$N$9390))))</f>
        <v>12.716666663764045</v>
      </c>
      <c r="X5" s="173">
        <f t="array" ref="X5">MAX(IF($AG$13:$AG$9390=R1,IF(ISNUMBER($N$13:$N$9390),IF($N$13:$N$9390&gt;0,$N$13:$N$9390))))</f>
        <v>29.483333331299946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COUNT($O$13:$O$161)</f>
        <v>0</v>
      </c>
      <c r="K6" s="44"/>
      <c r="L6" s="44"/>
      <c r="M6" s="45">
        <f>IFERROR(AVERAGE($O$13:$O$161),0)</f>
        <v>0</v>
      </c>
      <c r="N6" s="43">
        <f>MIN($O$13:$O$161)</f>
        <v>0</v>
      </c>
      <c r="O6" s="3">
        <f>MAX($O$13:$O$161)</f>
        <v>0</v>
      </c>
      <c r="P6" s="2"/>
      <c r="R6" s="81" t="s">
        <v>43</v>
      </c>
      <c r="S6" s="55">
        <f>COUNT($O$13:$O$161)</f>
        <v>0</v>
      </c>
      <c r="T6" s="44"/>
      <c r="U6" s="169"/>
      <c r="V6" s="45">
        <f>IFERROR(AVERAGE($O$13:$O$161),0)</f>
        <v>0</v>
      </c>
      <c r="W6" s="43">
        <f>MIN($O$13:$O$161)</f>
        <v>0</v>
      </c>
      <c r="X6" s="173">
        <f>MAX($O$13:$O$161)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COUNTIFS($P$13:$P$9390,"&gt;0",$AG$13:$AG$9390,I1)</f>
        <v>1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COUNTIFS($P$13:$P$9390,"&gt;0",$AG$13:$AG$9390,R1)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145</v>
      </c>
      <c r="K8" s="44"/>
      <c r="L8" s="44"/>
      <c r="M8" s="45">
        <f>M5</f>
        <v>36.951149425148195</v>
      </c>
      <c r="N8" s="43">
        <f>N5</f>
        <v>34.200000000419095</v>
      </c>
      <c r="O8" s="3">
        <f>O5</f>
        <v>46.233333338750526</v>
      </c>
      <c r="P8" s="2"/>
      <c r="R8" s="80" t="s">
        <v>16</v>
      </c>
      <c r="S8" s="55">
        <f>S5</f>
        <v>33</v>
      </c>
      <c r="T8" s="44"/>
      <c r="U8" s="169"/>
      <c r="V8" s="45">
        <f>V5</f>
        <v>15.422222221545367</v>
      </c>
      <c r="W8" s="43">
        <f>W5</f>
        <v>12.716666663764045</v>
      </c>
      <c r="X8" s="173">
        <f>X5</f>
        <v>29.483333331299946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0.99315068493150682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0.97058823529411764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- 2016-11-12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AVERAGE(S13:S109)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445</v>
      </c>
      <c r="B13" s="7">
        <v>4038</v>
      </c>
      <c r="C13" s="22" t="s">
        <v>225</v>
      </c>
      <c r="D13" s="22" t="s">
        <v>624</v>
      </c>
      <c r="E13" s="13">
        <v>42686.134131944447</v>
      </c>
      <c r="F13" s="13">
        <v>42686.136157407411</v>
      </c>
      <c r="G13" s="7">
        <v>1</v>
      </c>
      <c r="H13" s="22" t="s">
        <v>346</v>
      </c>
      <c r="I13" s="13">
        <v>42686.160266203704</v>
      </c>
      <c r="J13" s="7">
        <v>0</v>
      </c>
      <c r="K13" s="109" t="str">
        <f t="shared" ref="K13:K43" si="0">IF(ISEVEN(B13),(B13-1)&amp;"/"&amp;B13,B13&amp;"/"&amp;(B13+1))</f>
        <v>4037/4038</v>
      </c>
      <c r="L13" s="22" t="str">
        <f>VLOOKUP(A13,'Trips&amp;Operators'!$C$1:$E$10000,3,FALSE)</f>
        <v>SANTIZO</v>
      </c>
      <c r="M13" s="6">
        <f t="shared" ref="M13:M43" si="1">I13-F13</f>
        <v>2.4108796293148771E-2</v>
      </c>
      <c r="N13" s="7">
        <f t="shared" ref="N13:N43" si="2">24*60*SUM($M13:$M13)</f>
        <v>34.71666666213423</v>
      </c>
      <c r="O13" s="7"/>
      <c r="P13" s="7"/>
      <c r="Q13" s="23"/>
      <c r="R13" s="23"/>
      <c r="S13" s="35">
        <f t="shared" ref="S13:S43" si="3">SUM(U13:U13)/IF(AG13="EC",12,1)</f>
        <v>1</v>
      </c>
      <c r="T13" s="50" t="str">
        <f t="shared" ref="T13:T43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3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https://search-rtdc-monitor-bjffxe2xuh6vdkpspy63sjmuny.us-east-1.es.amazonaws.com/_plugin/kibana/#/discover/Steve-Slow-Train-Analysis-(2080s-and-2083s)?_g=(refreshInterval:(display:Off,section:0,value:0),time:(from:'2016-11-12 02:13:09-700',mode:absolute,to:'2016-11-12 04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" s="52" t="str">
        <f t="shared" ref="W13:W43" si="6">IF(AA13&lt;IF(AG13="EC",23,5.65),"Y","N")</f>
        <v>N</v>
      </c>
      <c r="X13" s="177" t="e">
        <f t="shared" ref="X13:X43" si="7">VALUE(LEFT(AD13,4))-VALUE(LEFT(AD12,4))</f>
        <v>#VALUE!</v>
      </c>
      <c r="Y13" s="67">
        <f t="shared" ref="Y13:Y43" si="8">RIGHT(D13,LEN(D13)-4)/10000</f>
        <v>7.1300000000000002E-2</v>
      </c>
      <c r="Z13" s="67">
        <f t="shared" ref="Z13:Z43" si="9">RIGHT(H13,LEN(H13)-4)/10000</f>
        <v>23.33</v>
      </c>
      <c r="AA13" s="67">
        <f t="shared" ref="AA13:AA43" si="10">ABS(Z13-Y13)</f>
        <v>23.258699999999997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43" si="11">IF(LEN(A13)=6,"0"&amp;A13,A13)</f>
        <v>0101-12</v>
      </c>
      <c r="AE13" s="91" t="str">
        <f t="shared" ref="AE13:AE43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3" s="88" t="str">
        <f t="shared" ref="AF13:AF43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/stypes="app*4038*20161112*" /stext=" 10:.+((SYSTEM_STATE.+slice.+state.+changed )|(ment ac)|(system.+state.+changed )|(\[timeout)|(PRM\|1\|D)|(kpr)|(kdp)|(\|lc)|(penalty))" /e /r /s</v>
      </c>
      <c r="AG13" s="1" t="str">
        <f t="shared" ref="AG13:AG43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4038 --swversion DE.1.0.8.0 --startMP 204:713 --initTime 2016-11-12T03:13:09 --startdatetime 2016-11-12T03:16:04 --delay 1 --endMP 204:233300 --enddatetime 2016-11-12T03:50:47 --enforcementcount 0 &gt;&gt;C:\Users\stu\Documents\GitHub\eaglep3-reporting\EC\2016-11-12-refined-times.txt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{"issue":{"subject":"","project_id":79,"tracker_id":40,"status_id":1,"priority_id":2,"assigned_to_id":23,"start_date":"2016-11-12","description":"","custom_fields":[{"id":1,"name":"Subdivision","value":"EC"},{"id":4,"name":"Milepost","value":"23.33"},{"id":17,"name":"Train ID","value":"101-12"},{"id":16,"name":"Locomotive ID","value":"4038"},{"id":130,"name":"Impact","value":""},{"id":150,"name":"Time of Event (Mountain Time)","value":"03:50:47"},{"id":151,"name":"Denver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450</v>
      </c>
      <c r="B14" s="7">
        <v>4021</v>
      </c>
      <c r="C14" s="22" t="s">
        <v>225</v>
      </c>
      <c r="D14" s="22" t="s">
        <v>625</v>
      </c>
      <c r="E14" s="13">
        <v>42686.163194444445</v>
      </c>
      <c r="F14" s="13">
        <v>42686.174571759257</v>
      </c>
      <c r="G14" s="7">
        <v>1</v>
      </c>
      <c r="H14" s="22" t="s">
        <v>343</v>
      </c>
      <c r="I14" s="13">
        <v>42686.200243055559</v>
      </c>
      <c r="J14" s="7">
        <v>0</v>
      </c>
      <c r="K14" s="109" t="str">
        <f t="shared" si="0"/>
        <v>4021/4022</v>
      </c>
      <c r="L14" s="22" t="str">
        <f>VLOOKUP(A14,'Trips&amp;Operators'!$C$1:$E$10000,3,FALSE)</f>
        <v>SANTIZO</v>
      </c>
      <c r="M14" s="6">
        <f t="shared" si="1"/>
        <v>2.567129630187992E-2</v>
      </c>
      <c r="N14" s="7">
        <f t="shared" si="2"/>
        <v>36.966666674707085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02:55:00-700',mode:absolute,to:'2016-11-12 05:48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23.267199999999999</v>
      </c>
      <c r="Z14" s="67">
        <f t="shared" si="9"/>
        <v>1.38E-2</v>
      </c>
      <c r="AA14" s="67">
        <f t="shared" si="10"/>
        <v>23.253399999999999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0102-12</v>
      </c>
      <c r="AE14" s="91" t="str">
        <f t="shared" si="12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4" s="88" t="str">
        <f t="shared" si="13"/>
        <v>"C:\Program Files (x86)\AstroGrep\AstroGrep.exe" /spath="%USERPROFILE%\AppData\Local\Temp\OnboardLogs" /stypes="app*4021*20161112*" /stext=" 11:.+((SYSTEM_STATE.+slice.+state.+changed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4021 --swversion DE.1.0.8.0 --startMP 204:232672 --initTime 2016-11-12T03:55:00 --startdatetime 2016-11-12T04:11:23 --delay 1 --endMP 204:138 --enddatetime 2016-11-12T04:48:21 --enforcementcount 0 &gt;&gt;C:\Users\stu\Documents\GitHub\eaglep3-reporting\EC\2016-11-12-refined-times.txt</v>
      </c>
      <c r="AI14" s="11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{"issue":{"subject":"","project_id":79,"tracker_id":40,"status_id":1,"priority_id":2,"assigned_to_id":23,"start_date":"2016-11-12","description":"","custom_fields":[{"id":1,"name":"Subdivision","value":"EC"},{"id":4,"name":"Milepost","value":"0.0138"},{"id":17,"name":"Train ID","value":"102-12"},{"id":16,"name":"Locomotive ID","value":"4021"},{"id":130,"name":"Impact","value":""},{"id":150,"name":"Time of Event (Mountain Time)","value":"04:48:21"},{"id":151,"name":"Denver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448</v>
      </c>
      <c r="B15" s="7">
        <v>4011</v>
      </c>
      <c r="C15" s="22" t="s">
        <v>225</v>
      </c>
      <c r="D15" s="22" t="s">
        <v>626</v>
      </c>
      <c r="E15" s="13">
        <v>42686.150763888887</v>
      </c>
      <c r="F15" s="13">
        <v>42686.156469907408</v>
      </c>
      <c r="G15" s="7">
        <v>1</v>
      </c>
      <c r="H15" s="22" t="s">
        <v>275</v>
      </c>
      <c r="I15" s="13">
        <v>42686.181712962964</v>
      </c>
      <c r="J15" s="7">
        <v>0</v>
      </c>
      <c r="K15" s="109" t="str">
        <f t="shared" si="0"/>
        <v>4011/4012</v>
      </c>
      <c r="L15" s="22" t="str">
        <f>VLOOKUP(A15,'Trips&amp;Operators'!$C$1:$E$10000,3,FALSE)</f>
        <v>DE LA ROSA</v>
      </c>
      <c r="M15" s="6">
        <f t="shared" si="1"/>
        <v>2.5243055555620231E-2</v>
      </c>
      <c r="N15" s="7">
        <f t="shared" si="2"/>
        <v>36.350000000093132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02:37:06-700',mode:absolute,to:'2016-11-12 05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7.4399999999999994E-2</v>
      </c>
      <c r="Z15" s="67">
        <f t="shared" si="9"/>
        <v>23.330200000000001</v>
      </c>
      <c r="AA15" s="67">
        <f t="shared" si="10"/>
        <v>23.255800000000001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0103-12</v>
      </c>
      <c r="AE15" s="91" t="str">
        <f t="shared" si="12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5" s="88" t="str">
        <f t="shared" si="13"/>
        <v>"C:\Program Files (x86)\AstroGrep\AstroGrep.exe" /spath="%USERPROFILE%\AppData\Local\Temp\OnboardLogs" /stypes="app*4011*20161112*" /stext=" 11:.+((SYSTEM_STATE.+slice.+state.+changed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103-12 --locoid 4011 --swversion DE.1.0.8.0 --startMP 204:744 --initTime 2016-11-12T03:37:06 --startdatetime 2016-11-12T03:45:19 --delay 1 --endMP 204:233302 --enddatetime 2016-11-12T04:21:40 --enforcementcount 0 &gt;&gt;C:\Users\stu\Documents\GitHub\eaglep3-reporting\EC\2016-11-12-refined-times.txt</v>
      </c>
      <c r="AI1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{"issue":{"subject":"","project_id":79,"tracker_id":40,"status_id":1,"priority_id":2,"assigned_to_id":23,"start_date":"2016-11-12","description":"","custom_fields":[{"id":1,"name":"Subdivision","value":"EC"},{"id":4,"name":"Milepost","value":"23.3302"},{"id":17,"name":"Train ID","value":"103-12"},{"id":16,"name":"Locomotive ID","value":"4011"},{"id":130,"name":"Impact","value":""},{"id":150,"name":"Time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457</v>
      </c>
      <c r="B16" s="7">
        <v>4013</v>
      </c>
      <c r="C16" s="22" t="s">
        <v>225</v>
      </c>
      <c r="D16" s="22" t="s">
        <v>627</v>
      </c>
      <c r="E16" s="13">
        <v>42686.190995370373</v>
      </c>
      <c r="F16" s="13">
        <v>42686.195428240739</v>
      </c>
      <c r="G16" s="7">
        <v>1</v>
      </c>
      <c r="H16" s="22" t="s">
        <v>216</v>
      </c>
      <c r="I16" s="13">
        <v>42686.221655092595</v>
      </c>
      <c r="J16" s="7">
        <v>0</v>
      </c>
      <c r="K16" s="109" t="str">
        <f t="shared" si="0"/>
        <v>4013/4014</v>
      </c>
      <c r="L16" s="22" t="str">
        <f>VLOOKUP(A16,'Trips&amp;Operators'!$C$1:$E$10000,3,FALSE)</f>
        <v>DE LA ROSA</v>
      </c>
      <c r="M16" s="6">
        <f t="shared" si="1"/>
        <v>2.6226851856335998E-2</v>
      </c>
      <c r="N16" s="7">
        <f t="shared" si="2"/>
        <v>37.766666673123837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03:35:02-700',mode:absolute,to:'2016-11-12 06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23.2666</v>
      </c>
      <c r="Z16" s="67">
        <f t="shared" si="9"/>
        <v>1.5599999999999999E-2</v>
      </c>
      <c r="AA16" s="67">
        <f t="shared" si="10"/>
        <v>23.251000000000001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0104-12</v>
      </c>
      <c r="AE16" s="91" t="str">
        <f t="shared" si="12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6" s="88" t="str">
        <f t="shared" si="13"/>
        <v>"C:\Program Files (x86)\AstroGrep\AstroGrep.exe" /spath="%USERPROFILE%\AppData\Local\Temp\OnboardLogs" /stypes="app*4013*20161112*" /stext=" 12:.+((SYSTEM_STATE.+slice.+state.+changed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104-12 --locoid 4013 --swversion DE.1.0.8.0 --startMP 204:232666 --initTime 2016-11-12T04:35:02 --startdatetime 2016-11-12T04:41:25 --delay 1 --endMP 204:156 --enddatetime 2016-11-12T05:19:11 --enforcementcount 0 &gt;&gt;C:\Users\stu\Documents\GitHub\eaglep3-reporting\EC\2016-11-12-refined-times.txt</v>
      </c>
      <c r="AI1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ID","value":"104-12"},{"id":16,"name":"Locomotive ID","value":"4013"},{"id":130,"name":"Impact","value":""},{"id":150,"name":"Time of Event (Mountain Time)","value":"05:19:11"},{"id":151,"name":"Denver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452</v>
      </c>
      <c r="B17" s="7">
        <v>4053</v>
      </c>
      <c r="C17" s="22" t="s">
        <v>225</v>
      </c>
      <c r="D17" s="22" t="s">
        <v>628</v>
      </c>
      <c r="E17" s="13">
        <v>42686.173993055556</v>
      </c>
      <c r="F17" s="13">
        <v>42686.177407407406</v>
      </c>
      <c r="G17" s="7">
        <v>2</v>
      </c>
      <c r="H17" s="22" t="s">
        <v>396</v>
      </c>
      <c r="I17" s="13">
        <v>42686.202615740738</v>
      </c>
      <c r="J17" s="7">
        <v>0</v>
      </c>
      <c r="K17" s="109" t="str">
        <f t="shared" si="0"/>
        <v>4053/4054</v>
      </c>
      <c r="L17" s="22" t="str">
        <f>VLOOKUP(A17,'Trips&amp;Operators'!$C$1:$E$10000,3,FALSE)</f>
        <v>ACKERMAN</v>
      </c>
      <c r="M17" s="6">
        <f t="shared" si="1"/>
        <v>2.5208333332557231E-2</v>
      </c>
      <c r="N17" s="7">
        <f t="shared" si="2"/>
        <v>36.299999998882413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03:10:33-700',mode:absolute,to:'2016-11-12 05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6.88E-2</v>
      </c>
      <c r="Z17" s="67">
        <f t="shared" si="9"/>
        <v>23.337</v>
      </c>
      <c r="AA17" s="67">
        <f t="shared" si="10"/>
        <v>23.2682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0105-12</v>
      </c>
      <c r="AE17" s="91" t="str">
        <f t="shared" si="12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7" s="88" t="str">
        <f t="shared" si="13"/>
        <v>"C:\Program Files (x86)\AstroGrep\AstroGrep.exe" /spath="%USERPROFILE%\AppData\Local\Temp\OnboardLogs" /stypes="app*4053*20161112*" /stext=" 11:.+((SYSTEM_STATE.+slice.+state.+changed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105-12 --locoid 4053 --swversion DE.1.0.8.0 --startMP 204:688 --initTime 2016-11-12T04:10:33 --startdatetime 2016-11-12T04:15:28 --delay 2 --endMP 204:233370 --enddatetime 2016-11-12T04:51:46 --enforcementcount 0 &gt;&gt;C:\Users\stu\Documents\GitHub\eaglep3-reporting\EC\2016-11-12-refined-times.txt</v>
      </c>
      <c r="AI1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{"issue":{"subject":"","project_id":79,"tracker_id":40,"status_id":1,"priority_id":2,"assigned_to_id":23,"start_date":"2016-11-12","description":"","custom_fields":[{"id":1,"name":"Subdivision","value":"EC"},{"id":4,"name":"Milepost","value":"23.337"},{"id":17,"name":"Train ID","value":"105-12"},{"id":16,"name":"Locomotive ID","value":"4053"},{"id":130,"name":"Impact","value":""},{"id":150,"name":"Time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420</v>
      </c>
      <c r="B18" s="7">
        <v>4015</v>
      </c>
      <c r="C18" s="22" t="s">
        <v>225</v>
      </c>
      <c r="D18" s="22" t="s">
        <v>629</v>
      </c>
      <c r="E18" s="13">
        <v>42686.208912037036</v>
      </c>
      <c r="F18" s="13">
        <v>42686.216203703705</v>
      </c>
      <c r="G18" s="7">
        <v>1</v>
      </c>
      <c r="H18" s="22" t="s">
        <v>253</v>
      </c>
      <c r="I18" s="13">
        <v>42686.242534722223</v>
      </c>
      <c r="J18" s="7">
        <v>0</v>
      </c>
      <c r="K18" s="109" t="str">
        <f t="shared" si="0"/>
        <v>4015/4016</v>
      </c>
      <c r="L18" s="22" t="str">
        <f>VLOOKUP(A18,'Trips&amp;Operators'!$C$1:$E$10000,3,FALSE)</f>
        <v>ACKERMAN</v>
      </c>
      <c r="M18" s="6">
        <f t="shared" si="1"/>
        <v>2.6331018518249039E-2</v>
      </c>
      <c r="N18" s="7">
        <f t="shared" si="2"/>
        <v>37.916666666278616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04:00:50-700',mode:absolute,to:'2016-11-12 06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23.273399999999999</v>
      </c>
      <c r="Z18" s="67">
        <f t="shared" si="9"/>
        <v>1.4999999999999999E-2</v>
      </c>
      <c r="AA18" s="67">
        <f t="shared" si="10"/>
        <v>23.258399999999998</v>
      </c>
      <c r="AB18" s="64" t="str">
        <f>VLOOKUP(A18,Enforcements!$C$7:$K$20,8,0)</f>
        <v>Form based authority (4)</v>
      </c>
      <c r="AC18" s="60" t="str">
        <f>VLOOKUP(A18,Enforcements!$C$7:$E$20,3,0)</f>
        <v>TRACK WARRANT AUTHORITY</v>
      </c>
      <c r="AD18" s="61" t="str">
        <f t="shared" si="11"/>
        <v>0106-12</v>
      </c>
      <c r="AE18" s="91" t="str">
        <f t="shared" si="12"/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AF18" s="88" t="str">
        <f t="shared" si="13"/>
        <v>"C:\Program Files (x86)\AstroGrep\AstroGrep.exe" /spath="%USERPROFILE%\AppData\Local\Temp\OnboardLogs" /stypes="app*4015*20161112*" /stext=" 12:.+((SYSTEM_STATE.+slice.+state.+changed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106-12 --locoid 4015 --swversion DE.1.0.8.0 --startMP 204:232734 --initTime 2016-11-12T05:00:50 --startdatetime 2016-11-12T05:11:20 --delay 1 --endMP 204:150 --enddatetime 2016-11-12T05:49:15 --enforcementcount 0 &gt;&gt;C:\Users\stu\Documents\GitHub\eaglep3-reporting\EC\2016-11-12-refined-times.txt</v>
      </c>
      <c r="AI1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ID","value":"106-12"},{"id":16,"name":"Locomotive ID","value":"4015"},{"id":130,"name":"Impact","value":""},{"id":150,"name":"Time of Event (Mountain Time)","value":"05:49:15"},{"id":151,"name":"Denver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455</v>
      </c>
      <c r="B19" s="7">
        <v>4025</v>
      </c>
      <c r="C19" s="22" t="s">
        <v>225</v>
      </c>
      <c r="D19" s="22" t="s">
        <v>204</v>
      </c>
      <c r="E19" s="13">
        <v>42686.185925925929</v>
      </c>
      <c r="F19" s="13">
        <v>42686.187754629631</v>
      </c>
      <c r="G19" s="7">
        <v>1</v>
      </c>
      <c r="H19" s="22" t="s">
        <v>630</v>
      </c>
      <c r="I19" s="13">
        <v>42686.213865740741</v>
      </c>
      <c r="J19" s="7">
        <v>0</v>
      </c>
      <c r="K19" s="109" t="str">
        <f t="shared" si="0"/>
        <v>4025/4026</v>
      </c>
      <c r="L19" s="22" t="str">
        <f>VLOOKUP(A19,'Trips&amp;Operators'!$C$1:$E$10000,3,FALSE)</f>
        <v>DAVIS</v>
      </c>
      <c r="M19" s="6">
        <f t="shared" si="1"/>
        <v>2.6111111110367347E-2</v>
      </c>
      <c r="N19" s="7">
        <f t="shared" si="2"/>
        <v>37.599999998928979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03:27:44-700',mode:absolute,to:'2016-11-12 06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4.5999999999999999E-2</v>
      </c>
      <c r="Z19" s="67">
        <f t="shared" si="9"/>
        <v>23.330100000000002</v>
      </c>
      <c r="AA19" s="67">
        <f t="shared" si="10"/>
        <v>23.284100000000002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0107-12</v>
      </c>
      <c r="AE19" s="91" t="str">
        <f t="shared" si="12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9" s="88" t="str">
        <f t="shared" si="13"/>
        <v>"C:\Program Files (x86)\AstroGrep\AstroGrep.exe" /spath="%USERPROFILE%\AppData\Local\Temp\OnboardLogs" /stypes="app*4025*20161112*" /stext=" 12:.+((SYSTEM_STATE.+slice.+state.+changed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107-12 --locoid 4025 --swversion DE.1.0.8.0 --startMP 204:460 --initTime 2016-11-12T04:27:44 --startdatetime 2016-11-12T04:30:22 --delay 1 --endMP 204:233301 --enddatetime 2016-11-12T05:07:58 --enforcementcount 0 &gt;&gt;C:\Users\stu\Documents\GitHub\eaglep3-reporting\EC\2016-11-12-refined-times.txt</v>
      </c>
      <c r="AI1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ID","value":"107-12"},{"id":16,"name":"Locomotive ID","value":"4025"},{"id":130,"name":"Impact","value":""},{"id":150,"name":"Time of Event (Mountain Time)","value":"05:07:58"},{"id":151,"name":"Denver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461</v>
      </c>
      <c r="B20" s="7">
        <v>4026</v>
      </c>
      <c r="C20" s="22" t="s">
        <v>225</v>
      </c>
      <c r="D20" s="22" t="s">
        <v>239</v>
      </c>
      <c r="E20" s="13">
        <v>42686.222083333334</v>
      </c>
      <c r="F20" s="13">
        <v>42686.226539351854</v>
      </c>
      <c r="G20" s="7">
        <v>1</v>
      </c>
      <c r="H20" s="22" t="s">
        <v>176</v>
      </c>
      <c r="I20" s="13">
        <v>42686.254699074074</v>
      </c>
      <c r="J20" s="7">
        <v>0</v>
      </c>
      <c r="K20" s="109" t="str">
        <f t="shared" si="0"/>
        <v>4025/4026</v>
      </c>
      <c r="L20" s="22" t="str">
        <f>VLOOKUP(A20,'Trips&amp;Operators'!$C$1:$E$10000,3,FALSE)</f>
        <v>DAVIS</v>
      </c>
      <c r="M20" s="6">
        <f t="shared" si="1"/>
        <v>2.8159722220152617E-2</v>
      </c>
      <c r="N20" s="7">
        <f t="shared" si="2"/>
        <v>40.549999997019768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04:19:48-700',mode:absolute,to:'2016-11-12 07:06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23.298200000000001</v>
      </c>
      <c r="Z20" s="67">
        <f t="shared" si="9"/>
        <v>1.52E-2</v>
      </c>
      <c r="AA20" s="67">
        <f t="shared" si="10"/>
        <v>23.283000000000001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0108-12</v>
      </c>
      <c r="AE20" s="91" t="str">
        <f t="shared" si="12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20" s="88" t="str">
        <f t="shared" si="13"/>
        <v>"C:\Program Files (x86)\AstroGrep\AstroGrep.exe" /spath="%USERPROFILE%\AppData\Local\Temp\OnboardLogs" /stypes="app*4026*20161112*" /stext=" 13:.+((SYSTEM_STATE.+slice.+state.+changed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108-12 --locoid 4026 --swversion DE.1.0.8.0 --startMP 204:232982 --initTime 2016-11-12T05:19:48 --startdatetime 2016-11-12T05:26:13 --delay 1 --endMP 204:152 --enddatetime 2016-11-12T06:06:46 --enforcementcount 0 &gt;&gt;C:\Users\stu\Documents\GitHub\eaglep3-reporting\EC\2016-11-12-refined-times.txt</v>
      </c>
      <c r="AI2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ID","value":"108-12"},{"id":16,"name":"Locomotive ID","value":"4026"},{"id":130,"name":"Impact","value":""},{"id":150,"name":"Time of Event (Mountain Time)","value":"06:06:46"},{"id":151,"name":"Denver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456</v>
      </c>
      <c r="B21" s="7">
        <v>4042</v>
      </c>
      <c r="C21" s="22" t="s">
        <v>225</v>
      </c>
      <c r="D21" s="22" t="s">
        <v>200</v>
      </c>
      <c r="E21" s="13">
        <v>42686.187384259261</v>
      </c>
      <c r="F21" s="13">
        <v>42686.198136574072</v>
      </c>
      <c r="G21" s="7">
        <v>1</v>
      </c>
      <c r="H21" s="22" t="s">
        <v>238</v>
      </c>
      <c r="I21" s="13">
        <v>42686.222997685189</v>
      </c>
      <c r="J21" s="7">
        <v>0</v>
      </c>
      <c r="K21" s="109" t="str">
        <f t="shared" si="0"/>
        <v>4041/4042</v>
      </c>
      <c r="L21" s="22" t="str">
        <f>VLOOKUP(A21,'Trips&amp;Operators'!$C$1:$E$10000,3,FALSE)</f>
        <v>KILLION</v>
      </c>
      <c r="M21" s="6">
        <f t="shared" si="1"/>
        <v>2.4861111116479151E-2</v>
      </c>
      <c r="N21" s="7">
        <f t="shared" si="2"/>
        <v>35.800000007729977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03:29:50-700',mode:absolute,to:'2016-11-12 06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4.4699999999999997E-2</v>
      </c>
      <c r="Z21" s="67">
        <f t="shared" si="9"/>
        <v>23.329799999999999</v>
      </c>
      <c r="AA21" s="67">
        <f t="shared" si="10"/>
        <v>23.2851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0109-12</v>
      </c>
      <c r="AE21" s="91" t="str">
        <f t="shared" si="12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21" s="88" t="str">
        <f t="shared" si="13"/>
        <v>"C:\Program Files (x86)\AstroGrep\AstroGrep.exe" /spath="%USERPROFILE%\AppData\Local\Temp\OnboardLogs" /stypes="app*4042*20161112*" /stext=" 12:.+((SYSTEM_STATE.+slice.+state.+changed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109-12 --locoid 4042 --swversion DE.1.0.8.0 --startMP 204:447 --initTime 2016-11-12T04:29:50 --startdatetime 2016-11-12T04:45:19 --delay 1 --endMP 204:233298 --enddatetime 2016-11-12T05:21:07 --enforcementcount 0 &gt;&gt;C:\Users\stu\Documents\GitHub\eaglep3-reporting\EC\2016-11-12-refined-times.txt</v>
      </c>
      <c r="AI2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{"issue":{"subject":"","project_id":79,"tracker_id":40,"status_id":1,"priority_id":2,"assigned_to_id":23,"start_date":"2016-11-12","description":"","custom_fields":[{"id":1,"name":"Subdivision","value":"EC"},{"id":4,"name":"Milepost","value":"23.3298"},{"id":17,"name":"Train ID","value":"109-12"},{"id":16,"name":"Locomotive ID","value":"4042"},{"id":130,"name":"Impact","value":""},{"id":150,"name":"Time of Event (Mountain Time)","value":"05:21:07"},{"id":151,"name":"Denver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465</v>
      </c>
      <c r="B22" s="7">
        <v>4041</v>
      </c>
      <c r="C22" s="22" t="s">
        <v>225</v>
      </c>
      <c r="D22" s="22" t="s">
        <v>631</v>
      </c>
      <c r="E22" s="13">
        <v>42686.230682870373</v>
      </c>
      <c r="F22" s="13">
        <v>42686.237002314818</v>
      </c>
      <c r="G22" s="7">
        <v>1</v>
      </c>
      <c r="H22" s="22" t="s">
        <v>176</v>
      </c>
      <c r="I22" s="13">
        <v>42686.262777777774</v>
      </c>
      <c r="J22" s="7">
        <v>0</v>
      </c>
      <c r="K22" s="109" t="str">
        <f t="shared" si="0"/>
        <v>4041/4042</v>
      </c>
      <c r="L22" s="22" t="str">
        <f>VLOOKUP(A22,'Trips&amp;Operators'!$C$1:$E$10000,3,FALSE)</f>
        <v>KILLION</v>
      </c>
      <c r="M22" s="6">
        <f t="shared" si="1"/>
        <v>2.5775462956517003E-2</v>
      </c>
      <c r="N22" s="7">
        <f t="shared" si="2"/>
        <v>37.116666657384485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04:32:11-700',mode:absolute,to:'2016-11-12 07:18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23.2989</v>
      </c>
      <c r="Z22" s="67">
        <f t="shared" si="9"/>
        <v>1.52E-2</v>
      </c>
      <c r="AA22" s="67">
        <f t="shared" si="10"/>
        <v>23.2837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0110-12</v>
      </c>
      <c r="AE22" s="91" t="str">
        <f t="shared" si="12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22" s="88" t="str">
        <f t="shared" si="13"/>
        <v>"C:\Program Files (x86)\AstroGrep\AstroGrep.exe" /spath="%USERPROFILE%\AppData\Local\Temp\OnboardLogs" /stypes="app*4041*20161112*" /stext=" 13:.+((SYSTEM_STATE.+slice.+state.+changed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110-12 --locoid 4041 --swversion DE.1.0.8.0 --startMP 204:232989 --initTime 2016-11-12T05:32:11 --startdatetime 2016-11-12T05:41:17 --delay 1 --endMP 204:152 --enddatetime 2016-11-12T06:18:24 --enforcementcount 0 &gt;&gt;C:\Users\stu\Documents\GitHub\eaglep3-reporting\EC\2016-11-12-refined-times.txt</v>
      </c>
      <c r="AI2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ID","value":"110-12"},{"id":16,"name":"Locomotive ID","value":"4041"},{"id":130,"name":"Impact","value":""},{"id":150,"name":"Time of Event (Mountain Time)","value":"06:18:24"},{"id":151,"name":"Denver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459</v>
      </c>
      <c r="B23" s="7">
        <v>4038</v>
      </c>
      <c r="C23" s="22" t="s">
        <v>225</v>
      </c>
      <c r="D23" s="22" t="s">
        <v>632</v>
      </c>
      <c r="E23" s="13">
        <v>42686.202719907407</v>
      </c>
      <c r="F23" s="13">
        <v>42686.20853009259</v>
      </c>
      <c r="G23" s="7">
        <v>6</v>
      </c>
      <c r="H23" s="22" t="s">
        <v>633</v>
      </c>
      <c r="I23" s="13">
        <v>42686.232569444444</v>
      </c>
      <c r="J23" s="7">
        <v>0</v>
      </c>
      <c r="K23" s="109" t="str">
        <f t="shared" si="0"/>
        <v>4037/4038</v>
      </c>
      <c r="L23" s="22" t="str">
        <f>VLOOKUP(A23,'Trips&amp;Operators'!$C$1:$E$10000,3,FALSE)</f>
        <v>GEBRETEKLE</v>
      </c>
      <c r="M23" s="6">
        <f t="shared" si="1"/>
        <v>2.4039351854298729E-2</v>
      </c>
      <c r="N23" s="7">
        <f t="shared" si="2"/>
        <v>34.61666667019017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03:51:55-700',mode:absolute,to:'2016-11-12 06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7.85E-2</v>
      </c>
      <c r="Z23" s="67">
        <f t="shared" si="9"/>
        <v>23.328199999999999</v>
      </c>
      <c r="AA23" s="67">
        <f t="shared" si="10"/>
        <v>23.249700000000001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0111-12</v>
      </c>
      <c r="AE23" s="91" t="str">
        <f t="shared" si="12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23" s="88" t="str">
        <f t="shared" si="13"/>
        <v>"C:\Program Files (x86)\AstroGrep\AstroGrep.exe" /spath="%USERPROFILE%\AppData\Local\Temp\OnboardLogs" /stypes="app*4038*20161112*" /stext=" 12:.+((SYSTEM_STATE.+slice.+state.+changed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111-12 --locoid 4038 --swversion DE.1.0.8.0 --startMP 204:785 --initTime 2016-11-12T04:51:55 --startdatetime 2016-11-12T05:00:17 --delay 6 --endMP 204:233282 --enddatetime 2016-11-12T05:34:54 --enforcementcount 0 &gt;&gt;C:\Users\stu\Documents\GitHub\eaglep3-reporting\EC\2016-11-12-refined-times.txt</v>
      </c>
      <c r="AI2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{"issue":{"subject":"","project_id":79,"tracker_id":40,"status_id":1,"priority_id":2,"assigned_to_id":23,"start_date":"2016-11-12","description":"","custom_fields":[{"id":1,"name":"Subdivision","value":"EC"},{"id":4,"name":"Milepost","value":"23.3282"},{"id":17,"name":"Train ID","value":"111-12"},{"id":16,"name":"Locomotive ID","value":"4038"},{"id":130,"name":"Impact","value":""},{"id":150,"name":"Time of Event (Mountain Time)","value":"05:34:54"},{"id":151,"name":"Denver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466</v>
      </c>
      <c r="B24" s="7">
        <v>4037</v>
      </c>
      <c r="C24" s="22" t="s">
        <v>225</v>
      </c>
      <c r="D24" s="22" t="s">
        <v>634</v>
      </c>
      <c r="E24" s="13">
        <v>42686.243171296293</v>
      </c>
      <c r="F24" s="13">
        <v>42686.247418981482</v>
      </c>
      <c r="G24" s="7">
        <v>2</v>
      </c>
      <c r="H24" s="22" t="s">
        <v>216</v>
      </c>
      <c r="I24" s="13">
        <v>42686.273032407407</v>
      </c>
      <c r="J24" s="7">
        <v>0</v>
      </c>
      <c r="K24" s="109" t="str">
        <f t="shared" si="0"/>
        <v>4037/4038</v>
      </c>
      <c r="L24" s="22" t="str">
        <f>VLOOKUP(A24,'Trips&amp;Operators'!$C$1:$E$10000,3,FALSE)</f>
        <v>GEBRETEKLE</v>
      </c>
      <c r="M24" s="6">
        <f t="shared" si="1"/>
        <v>2.5613425925257616E-2</v>
      </c>
      <c r="N24" s="7">
        <f t="shared" si="2"/>
        <v>36.883333332370967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04:50:10-700',mode:absolute,to:'2016-11-12 07:33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23.2957</v>
      </c>
      <c r="Z24" s="67">
        <f t="shared" si="9"/>
        <v>1.5599999999999999E-2</v>
      </c>
      <c r="AA24" s="67">
        <f t="shared" si="10"/>
        <v>23.280100000000001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0112-12</v>
      </c>
      <c r="AE24" s="91" t="str">
        <f t="shared" si="12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24" s="88" t="str">
        <f t="shared" si="13"/>
        <v>"C:\Program Files (x86)\AstroGrep\AstroGrep.exe" /spath="%USERPROFILE%\AppData\Local\Temp\OnboardLogs" /stypes="app*4037*20161112*" /stext=" 13:.+((SYSTEM_STATE.+slice.+state.+changed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112-12 --locoid 4037 --swversion DE.1.0.8.0 --startMP 204:232957 --initTime 2016-11-12T05:50:10 --startdatetime 2016-11-12T05:56:17 --delay 2 --endMP 204:156 --enddatetime 2016-11-12T06:33:10 --enforcementcount 0 &gt;&gt;C:\Users\stu\Documents\GitHub\eaglep3-reporting\EC\2016-11-12-refined-times.txt</v>
      </c>
      <c r="AI2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ID","value":"112-12"},{"id":16,"name":"Locomotive ID","value":"4037"},{"id":130,"name":"Impact","value":""},{"id":150,"name":"Time of Event (Mountain Time)","value":"06:33:10"},{"id":151,"name":"Denver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458</v>
      </c>
      <c r="B25" s="7">
        <v>4022</v>
      </c>
      <c r="C25" s="22" t="s">
        <v>225</v>
      </c>
      <c r="D25" s="22" t="s">
        <v>635</v>
      </c>
      <c r="E25" s="13">
        <v>42686.202499999999</v>
      </c>
      <c r="F25" s="13">
        <v>42686.219652777778</v>
      </c>
      <c r="G25" s="7">
        <v>1</v>
      </c>
      <c r="H25" s="22" t="s">
        <v>246</v>
      </c>
      <c r="I25" s="13">
        <v>42686.24422453704</v>
      </c>
      <c r="J25" s="7">
        <v>0</v>
      </c>
      <c r="K25" s="109" t="str">
        <f t="shared" si="0"/>
        <v>4021/4022</v>
      </c>
      <c r="L25" s="22" t="str">
        <f>VLOOKUP(A25,'Trips&amp;Operators'!$C$1:$E$10000,3,FALSE)</f>
        <v>SANTIZO</v>
      </c>
      <c r="M25" s="6">
        <f t="shared" si="1"/>
        <v>2.457175926247146E-2</v>
      </c>
      <c r="N25" s="7">
        <f t="shared" si="2"/>
        <v>35.383333337958902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03:51:36-700',mode:absolute,to:'2016-11-12 06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4.1799999999999997E-2</v>
      </c>
      <c r="Z25" s="67">
        <f t="shared" si="9"/>
        <v>23.3306</v>
      </c>
      <c r="AA25" s="67">
        <f t="shared" si="10"/>
        <v>23.288800000000002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0113-12</v>
      </c>
      <c r="AE25" s="91" t="str">
        <f t="shared" si="12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25" s="88" t="str">
        <f t="shared" si="13"/>
        <v>"C:\Program Files (x86)\AstroGrep\AstroGrep.exe" /spath="%USERPROFILE%\AppData\Local\Temp\OnboardLogs" /stypes="app*4022*20161112*" /stext=" 12:.+((SYSTEM_STATE.+slice.+state.+changed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113-12 --locoid 4022 --swversion DE.1.0.8.0 --startMP 204:418 --initTime 2016-11-12T04:51:36 --startdatetime 2016-11-12T05:16:18 --delay 1 --endMP 204:233306 --enddatetime 2016-11-12T05:51:41 --enforcementcount 0 &gt;&gt;C:\Users\stu\Documents\GitHub\eaglep3-reporting\EC\2016-11-12-refined-times.txt</v>
      </c>
      <c r="AI2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{"issue":{"subject":"","project_id":79,"tracker_id":40,"status_id":1,"priority_id":2,"assigned_to_id":23,"start_date":"2016-11-12","description":"","custom_fields":[{"id":1,"name":"Subdivision","value":"EC"},{"id":4,"name":"Milepost","value":"23.3306"},{"id":17,"name":"Train ID","value":"113-12"},{"id":16,"name":"Locomotive ID","value":"4022"},{"id":130,"name":"Impact","value":""},{"id":150,"name":"Time of Event (Mountain Time)","value":"05:51:41"},{"id":151,"name":"Denver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467</v>
      </c>
      <c r="B26" s="7">
        <v>4021</v>
      </c>
      <c r="C26" s="22" t="s">
        <v>225</v>
      </c>
      <c r="D26" s="22" t="s">
        <v>393</v>
      </c>
      <c r="E26" s="13">
        <v>42686.24590277778</v>
      </c>
      <c r="F26" s="13">
        <v>42686.257939814815</v>
      </c>
      <c r="G26" s="7">
        <v>0</v>
      </c>
      <c r="H26" s="22" t="s">
        <v>199</v>
      </c>
      <c r="I26" s="13">
        <v>42686.283310185187</v>
      </c>
      <c r="J26" s="7">
        <v>0</v>
      </c>
      <c r="K26" s="109" t="str">
        <f t="shared" si="0"/>
        <v>4021/4022</v>
      </c>
      <c r="L26" s="22" t="str">
        <f>VLOOKUP(A26,'Trips&amp;Operators'!$C$1:$E$10000,3,FALSE)</f>
        <v>SANTIZO</v>
      </c>
      <c r="M26" s="6">
        <f t="shared" si="1"/>
        <v>2.5370370371092577E-2</v>
      </c>
      <c r="N26" s="7">
        <f t="shared" si="2"/>
        <v>36.53333333437331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04:54:06-700',mode:absolute,to:'2016-11-12 07:47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23.2987</v>
      </c>
      <c r="Z26" s="67">
        <f t="shared" si="9"/>
        <v>1.43E-2</v>
      </c>
      <c r="AA26" s="67">
        <f t="shared" si="10"/>
        <v>23.284400000000002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0114-12</v>
      </c>
      <c r="AE26" s="91" t="str">
        <f t="shared" si="12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26" s="88" t="str">
        <f t="shared" si="13"/>
        <v>"C:\Program Files (x86)\AstroGrep\AstroGrep.exe" /spath="%USERPROFILE%\AppData\Local\Temp\OnboardLogs" /stypes="app*4021*20161112*" /stext=" 13:.+((SYSTEM_STATE.+slice.+state.+changed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114-12 --locoid 4021 --swversion DE.1.0.8.0 --startMP 204:232987 --initTime 2016-11-12T05:54:06 --startdatetime 2016-11-12T06:11:26 --delay 0 --endMP 204:143 --enddatetime 2016-11-12T06:47:58 --enforcementcount 0 &gt;&gt;C:\Users\stu\Documents\GitHub\eaglep3-reporting\EC\2016-11-12-refined-times.txt</v>
      </c>
      <c r="AI2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{"issue":{"subject":"","project_id":79,"tracker_id":40,"status_id":1,"priority_id":2,"assigned_to_id":23,"start_date":"2016-11-12","description":"","custom_fields":[{"id":1,"name":"Subdivision","value":"EC"},{"id":4,"name":"Milepost","value":"0.0143"},{"id":17,"name":"Train ID","value":"114-12"},{"id":16,"name":"Locomotive ID","value":"4021"},{"id":130,"name":"Impact","value":""},{"id":150,"name":"Time of Event (Mountain Time)","value":"06:47:58"},{"id":151,"name":"Denver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462</v>
      </c>
      <c r="B27" s="7">
        <v>4011</v>
      </c>
      <c r="C27" s="22" t="s">
        <v>225</v>
      </c>
      <c r="D27" s="22" t="s">
        <v>636</v>
      </c>
      <c r="E27" s="13">
        <v>42686.23940972222</v>
      </c>
      <c r="F27" s="13">
        <v>42686.229664351849</v>
      </c>
      <c r="G27" s="7">
        <v>1</v>
      </c>
      <c r="H27" s="22" t="s">
        <v>637</v>
      </c>
      <c r="I27" s="13">
        <v>42686.261481481481</v>
      </c>
      <c r="J27" s="7">
        <v>0</v>
      </c>
      <c r="K27" s="109" t="str">
        <f t="shared" si="0"/>
        <v>4011/4012</v>
      </c>
      <c r="L27" s="22" t="str">
        <f>VLOOKUP(A27,'Trips&amp;Operators'!$C$1:$E$10000,3,FALSE)</f>
        <v>STRICKLAND</v>
      </c>
      <c r="M27" s="6">
        <f t="shared" si="1"/>
        <v>3.181712963123573E-2</v>
      </c>
      <c r="N27" s="7">
        <f>24*60*SUM($M27:$M27)</f>
        <v>45.816666668979451</v>
      </c>
      <c r="O27" s="7"/>
      <c r="P27" s="7"/>
      <c r="Q27" s="23"/>
      <c r="R27" s="23" t="s">
        <v>754</v>
      </c>
      <c r="S27" s="35">
        <f>SUM(U27:U27)/IF(AG27="EC",12,1)</f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04:44:45-700',mode:absolute,to:'2016-11-12 07:16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7" s="52" t="str">
        <f t="shared" si="6"/>
        <v>N</v>
      </c>
      <c r="X27" s="177">
        <f t="shared" si="7"/>
        <v>1</v>
      </c>
      <c r="Y27" s="67">
        <v>0.04</v>
      </c>
      <c r="Z27" s="67">
        <f t="shared" si="9"/>
        <v>23.331600000000002</v>
      </c>
      <c r="AA27" s="67">
        <f t="shared" si="10"/>
        <v>23.291600000000003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0115-12</v>
      </c>
      <c r="AE27" s="91" t="str">
        <f t="shared" si="12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27" s="88" t="str">
        <f t="shared" si="13"/>
        <v>"C:\Program Files (x86)\AstroGrep\AstroGrep.exe" /spath="%USERPROFILE%\AppData\Local\Temp\OnboardLogs" /stypes="app*4011*20161112*" /stext=" 13:.+((SYSTEM_STATE.+slice.+state.+changed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115-12 --locoid 4011 --swversion DE.1.0.8.0 --startMP 204:37197 --initTime 2016-11-12T05:44:45 --startdatetime 2016-11-12T05:30:43 --delay 1 --endMP 204:233316 --enddatetime 2016-11-12T06:16:32 --enforcementcount 0 &gt;&gt;C:\Users\stu\Documents\GitHub\eaglep3-reporting\EC\2016-11-12-refined-times.txt</v>
      </c>
      <c r="AI27" s="119" t="str">
        <f t="shared" si="18"/>
        <v>echo {"issue":{"subject":"Re-inited at York &amp; Josephine, otherwise normal run (logs indicate maybe a mechanical issue with brakes?)","project_id":79,"tracker_id":40,"status_id":1,"priority_id":2,"assigned_to_id":23,"start_date":"2016-11-12","description":"","custom_fields":[{"id":1,"name":"Subdivision","value":"EC"},{"id":4,"name":"Milepost","value":"23.3316"},{"id":17,"name":"Train ID","value":"115-12"},{"id":16,"name":"Locomotive ID","value":"4011"},{"id":130,"name":"Impact","value":""},{"id":150,"name":"Time of Event (Mountain Time)","value":"06:16:32"},{"id":151,"name":"Denver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471</v>
      </c>
      <c r="B28" s="7">
        <v>4012</v>
      </c>
      <c r="C28" s="22" t="s">
        <v>225</v>
      </c>
      <c r="D28" s="22" t="s">
        <v>638</v>
      </c>
      <c r="E28" s="13">
        <v>42686.26390046296</v>
      </c>
      <c r="F28" s="13">
        <v>42686.268263888887</v>
      </c>
      <c r="G28" s="7">
        <v>1</v>
      </c>
      <c r="H28" s="22" t="s">
        <v>639</v>
      </c>
      <c r="I28" s="13">
        <v>42686.295057870368</v>
      </c>
      <c r="J28" s="7">
        <v>0</v>
      </c>
      <c r="K28" s="109" t="str">
        <f t="shared" si="0"/>
        <v>4011/4012</v>
      </c>
      <c r="L28" s="22" t="str">
        <f>VLOOKUP(A28,'Trips&amp;Operators'!$C$1:$E$10000,3,FALSE)</f>
        <v>STRICKLAND</v>
      </c>
      <c r="M28" s="6">
        <f t="shared" si="1"/>
        <v>2.679398148029577E-2</v>
      </c>
      <c r="N28" s="7">
        <f t="shared" si="2"/>
        <v>38.583333331625909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05:20:01-700',mode:absolute,to:'2016-11-12 08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1.72E-2</v>
      </c>
      <c r="AA28" s="67">
        <f t="shared" si="10"/>
        <v>23.281400000000001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0116-12</v>
      </c>
      <c r="AE28" s="91" t="str">
        <f t="shared" si="12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28" s="88" t="str">
        <f t="shared" si="13"/>
        <v>"C:\Program Files (x86)\AstroGrep\AstroGrep.exe" /spath="%USERPROFILE%\AppData\Local\Temp\OnboardLogs" /stypes="app*4012*20161112*" /stext=" 14:.+((SYSTEM_STATE.+slice.+state.+changed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116-12 --locoid 4012 --swversion DE.1.0.8.0 --startMP 204:232986 --initTime 2016-11-12T06:20:01 --startdatetime 2016-11-12T06:26:18 --delay 1 --endMP 204:172 --enddatetime 2016-11-12T07:04:53 --enforcementcount 0 &gt;&gt;C:\Users\stu\Documents\GitHub\eaglep3-reporting\EC\2016-11-12-refined-times.txt</v>
      </c>
      <c r="AI2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{"issue":{"subject":"","project_id":79,"tracker_id":40,"status_id":1,"priority_id":2,"assigned_to_id":23,"start_date":"2016-11-12","description":"","custom_fields":[{"id":1,"name":"Subdivision","value":"EC"},{"id":4,"name":"Milepost","value":"0.0172"},{"id":17,"name":"Train ID","value":"116-12"},{"id":16,"name":"Locomotive ID","value":"4012"},{"id":130,"name":"Impact","value":""},{"id":150,"name":"Time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464</v>
      </c>
      <c r="B29" s="7">
        <v>4014</v>
      </c>
      <c r="C29" s="22" t="s">
        <v>225</v>
      </c>
      <c r="D29" s="22" t="s">
        <v>390</v>
      </c>
      <c r="E29" s="13">
        <v>42686.230219907404</v>
      </c>
      <c r="F29" s="13">
        <v>42686.240034722221</v>
      </c>
      <c r="G29" s="7">
        <v>1</v>
      </c>
      <c r="H29" s="22" t="s">
        <v>640</v>
      </c>
      <c r="I29" s="13">
        <v>42686.272141203706</v>
      </c>
      <c r="J29" s="7">
        <v>0</v>
      </c>
      <c r="K29" s="109" t="str">
        <f t="shared" si="0"/>
        <v>4013/4014</v>
      </c>
      <c r="L29" s="22" t="str">
        <f>VLOOKUP(A29,'Trips&amp;Operators'!$C$1:$E$10000,3,FALSE)</f>
        <v>DE LA ROSA</v>
      </c>
      <c r="M29" s="6">
        <f t="shared" si="1"/>
        <v>3.2106481485243421E-2</v>
      </c>
      <c r="N29" s="7">
        <f t="shared" si="2"/>
        <v>46.233333338750526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04:31:31-700',mode:absolute,to:'2016-11-12 07:31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4.4400000000000002E-2</v>
      </c>
      <c r="Z29" s="67">
        <f t="shared" si="9"/>
        <v>23.328299999999999</v>
      </c>
      <c r="AA29" s="67">
        <f t="shared" si="10"/>
        <v>23.283899999999999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11"/>
        <v>0117-12</v>
      </c>
      <c r="AE29" s="91" t="str">
        <f t="shared" si="12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29" s="88" t="str">
        <f t="shared" si="13"/>
        <v>"C:\Program Files (x86)\AstroGrep\AstroGrep.exe" /spath="%USERPROFILE%\AppData\Local\Temp\OnboardLogs" /stypes="app*4014*20161112*" /stext=" 13:.+((SYSTEM_STATE.+slice.+state.+changed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117-12 --locoid 4014 --swversion DE.1.0.8.0 --startMP 204:444 --initTime 2016-11-12T05:31:31 --startdatetime 2016-11-12T05:45:39 --delay 1 --endMP 204:233283 --enddatetime 2016-11-12T06:31:53 --enforcementcount 0 &gt;&gt;C:\Users\stu\Documents\GitHub\eaglep3-reporting\EC\2016-11-12-refined-times.txt</v>
      </c>
      <c r="AI2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{"issue":{"subject":"","project_id":79,"tracker_id":40,"status_id":1,"priority_id":2,"assigned_to_id":23,"start_date":"2016-11-12","description":"","custom_fields":[{"id":1,"name":"Subdivision","value":"EC"},{"id":4,"name":"Milepost","value":"23.3283"},{"id":17,"name":"Train ID","value":"117-12"},{"id":16,"name":"Locomotive ID","value":"4014"},{"id":130,"name":"Impact","value":""},{"id":150,"name":"Time of Event (Mountain Time)","value":"06:31:53"},{"id":151,"name":"Denver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473</v>
      </c>
      <c r="B30" s="7">
        <v>4013</v>
      </c>
      <c r="C30" s="22" t="s">
        <v>225</v>
      </c>
      <c r="D30" s="22" t="s">
        <v>352</v>
      </c>
      <c r="E30" s="13">
        <v>42686.274502314816</v>
      </c>
      <c r="F30" s="13">
        <v>42686.278854166667</v>
      </c>
      <c r="G30" s="7">
        <v>1</v>
      </c>
      <c r="H30" s="22" t="s">
        <v>198</v>
      </c>
      <c r="I30" s="13">
        <v>42686.304537037038</v>
      </c>
      <c r="J30" s="7">
        <v>0</v>
      </c>
      <c r="K30" s="109" t="str">
        <f t="shared" si="0"/>
        <v>4013/4014</v>
      </c>
      <c r="L30" s="22" t="str">
        <f>VLOOKUP(A30,'Trips&amp;Operators'!$C$1:$E$10000,3,FALSE)</f>
        <v>DE LA ROSA</v>
      </c>
      <c r="M30" s="6">
        <f t="shared" si="1"/>
        <v>2.5682870371383615E-2</v>
      </c>
      <c r="N30" s="7">
        <f t="shared" si="2"/>
        <v>36.983333334792405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05:35:17-700',mode:absolute,to:'2016-11-12 08:18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23.297599999999999</v>
      </c>
      <c r="Z30" s="67">
        <f t="shared" si="9"/>
        <v>1.49E-2</v>
      </c>
      <c r="AA30" s="67">
        <f t="shared" si="10"/>
        <v>23.282699999999998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0118-12</v>
      </c>
      <c r="AE30" s="91" t="str">
        <f t="shared" si="12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30" s="88" t="str">
        <f t="shared" si="13"/>
        <v>"C:\Program Files (x86)\AstroGrep\AstroGrep.exe" /spath="%USERPROFILE%\AppData\Local\Temp\OnboardLogs" /stypes="app*4013*20161112*" /stext=" 14:.+((SYSTEM_STATE.+slice.+state.+changed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118-12 --locoid 4013 --swversion DE.1.0.8.0 --startMP 204:232976 --initTime 2016-11-12T06:35:17 --startdatetime 2016-11-12T06:41:33 --delay 1 --endMP 204:149 --enddatetime 2016-11-12T07:18:32 --enforcementcount 0 &gt;&gt;C:\Users\stu\Documents\GitHub\eaglep3-reporting\EC\2016-11-12-refined-times.txt</v>
      </c>
      <c r="AI3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{"issue":{"subject":"","project_id":79,"tracker_id":40,"status_id":1,"priority_id":2,"assigned_to_id":23,"start_date":"2016-11-12","description":"","custom_fields":[{"id":1,"name":"Subdivision","value":"EC"},{"id":4,"name":"Milepost","value":"0.0149"},{"id":17,"name":"Train ID","value":"118-12"},{"id":16,"name":"Locomotive ID","value":"4013"},{"id":130,"name":"Impact","value":""},{"id":150,"name":"Time of Event (Mountain Time)","value":"07:18:32"},{"id":151,"name":"Denver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468</v>
      </c>
      <c r="B31" s="7">
        <v>4053</v>
      </c>
      <c r="C31" s="22" t="s">
        <v>225</v>
      </c>
      <c r="D31" s="22" t="s">
        <v>641</v>
      </c>
      <c r="E31" s="13">
        <v>42686.24560185185</v>
      </c>
      <c r="F31" s="13">
        <v>42686.250231481485</v>
      </c>
      <c r="G31" s="7">
        <v>2</v>
      </c>
      <c r="H31" s="22" t="s">
        <v>391</v>
      </c>
      <c r="I31" s="13">
        <v>42686.275081018517</v>
      </c>
      <c r="J31" s="7">
        <v>0</v>
      </c>
      <c r="K31" s="109" t="str">
        <f t="shared" si="0"/>
        <v>4053/4054</v>
      </c>
      <c r="L31" s="22" t="str">
        <f>VLOOKUP(A31,'Trips&amp;Operators'!$C$1:$E$10000,3,FALSE)</f>
        <v>ACKERMAN</v>
      </c>
      <c r="M31" s="6">
        <f t="shared" si="1"/>
        <v>2.4849537032423541E-2</v>
      </c>
      <c r="N31" s="7">
        <f t="shared" si="2"/>
        <v>35.783333326689899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04:53:40-700',mode:absolute,to:'2016-11-12 07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7.6499999999999999E-2</v>
      </c>
      <c r="Z31" s="67">
        <f t="shared" si="9"/>
        <v>23.328600000000002</v>
      </c>
      <c r="AA31" s="67">
        <f t="shared" si="10"/>
        <v>23.252100000000002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0119-12</v>
      </c>
      <c r="AE31" s="91" t="str">
        <f t="shared" si="12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31" s="88" t="str">
        <f t="shared" si="13"/>
        <v>"C:\Program Files (x86)\AstroGrep\AstroGrep.exe" /spath="%USERPROFILE%\AppData\Local\Temp\OnboardLogs" /stypes="app*4053*20161112*" /stext=" 13:.+((SYSTEM_STATE.+slice.+state.+changed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119-12 --locoid 4053 --swversion DE.1.0.8.0 --startMP 204:765 --initTime 2016-11-12T05:53:40 --startdatetime 2016-11-12T06:00:20 --delay 2 --endMP 204:233286 --enddatetime 2016-11-12T06:36:07 --enforcementcount 0 &gt;&gt;C:\Users\stu\Documents\GitHub\eaglep3-reporting\EC\2016-11-12-refined-times.txt</v>
      </c>
      <c r="AI3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{"issue":{"subject":"","project_id":79,"tracker_id":40,"status_id":1,"priority_id":2,"assigned_to_id":23,"start_date":"2016-11-12","description":"","custom_fields":[{"id":1,"name":"Subdivision","value":"EC"},{"id":4,"name":"Milepost","value":"23.3286"},{"id":17,"name":"Train ID","value":"119-12"},{"id":16,"name":"Locomotive ID","value":"4053"},{"id":130,"name":"Impact","value":""},{"id":150,"name":"Time of Event (Mountain Time)","value":"06:36:07"},{"id":151,"name":"Denver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476</v>
      </c>
      <c r="B32" s="7">
        <v>4054</v>
      </c>
      <c r="C32" s="22" t="s">
        <v>225</v>
      </c>
      <c r="D32" s="22" t="s">
        <v>634</v>
      </c>
      <c r="E32" s="13">
        <v>42686.282418981478</v>
      </c>
      <c r="F32" s="13">
        <v>42686.2890625</v>
      </c>
      <c r="G32" s="7">
        <v>2</v>
      </c>
      <c r="H32" s="22" t="s">
        <v>340</v>
      </c>
      <c r="I32" s="13">
        <v>42686.31521990741</v>
      </c>
      <c r="J32" s="7">
        <v>0</v>
      </c>
      <c r="K32" s="109" t="str">
        <f t="shared" si="0"/>
        <v>4053/4054</v>
      </c>
      <c r="L32" s="22" t="str">
        <f>VLOOKUP(A32,'Trips&amp;Operators'!$C$1:$E$10000,3,FALSE)</f>
        <v>ACKERMAN</v>
      </c>
      <c r="M32" s="6">
        <f t="shared" si="1"/>
        <v>2.6157407410209998E-2</v>
      </c>
      <c r="N32" s="7">
        <f t="shared" si="2"/>
        <v>37.666666670702398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05:46:41-700',mode:absolute,to:'2016-11-12 08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23.2957</v>
      </c>
      <c r="Z32" s="67">
        <f t="shared" si="9"/>
        <v>1.54E-2</v>
      </c>
      <c r="AA32" s="67">
        <f t="shared" si="10"/>
        <v>23.2803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0120-12</v>
      </c>
      <c r="AE32" s="91" t="str">
        <f t="shared" si="12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32" s="88" t="str">
        <f t="shared" si="13"/>
        <v>"C:\Program Files (x86)\AstroGrep\AstroGrep.exe" /spath="%USERPROFILE%\AppData\Local\Temp\OnboardLogs" /stypes="app*4054*20161112*" /stext=" 14:.+((SYSTEM_STATE.+slice.+state.+changed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120-12 --locoid 4054 --swversion DE.1.0.8.0 --startMP 204:232957 --initTime 2016-11-12T06:46:41 --startdatetime 2016-11-12T06:56:15 --delay 2 --endMP 204:154 --enddatetime 2016-11-12T07:33:55 --enforcementcount 0 &gt;&gt;C:\Users\stu\Documents\GitHub\eaglep3-reporting\EC\2016-11-12-refined-times.txt</v>
      </c>
      <c r="AI3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ID","value":"120-12"},{"id":16,"name":"Locomotive ID","value":"4054"},{"id":130,"name":"Impact","value":""},{"id":150,"name":"Time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469</v>
      </c>
      <c r="B33" s="7">
        <v>4025</v>
      </c>
      <c r="C33" s="22" t="s">
        <v>225</v>
      </c>
      <c r="D33" s="22" t="s">
        <v>224</v>
      </c>
      <c r="E33" s="13">
        <v>42686.256921296299</v>
      </c>
      <c r="F33" s="13">
        <v>42686.260555555556</v>
      </c>
      <c r="G33" s="7">
        <v>1</v>
      </c>
      <c r="H33" s="22" t="s">
        <v>640</v>
      </c>
      <c r="I33" s="13">
        <v>42686.286041666666</v>
      </c>
      <c r="J33" s="7">
        <v>0</v>
      </c>
      <c r="K33" s="109" t="str">
        <f t="shared" si="0"/>
        <v>4025/4026</v>
      </c>
      <c r="L33" s="22" t="str">
        <f>VLOOKUP(A33,'Trips&amp;Operators'!$C$1:$E$10000,3,FALSE)</f>
        <v>DAVIS</v>
      </c>
      <c r="M33" s="6">
        <f t="shared" si="1"/>
        <v>2.548611110978527E-2</v>
      </c>
      <c r="N33" s="7">
        <f t="shared" si="2"/>
        <v>36.699999998090789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05:09:58-700',mode:absolute,to:'2016-11-12 07:51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4.6399999999999997E-2</v>
      </c>
      <c r="Z33" s="67">
        <f t="shared" si="9"/>
        <v>23.328299999999999</v>
      </c>
      <c r="AA33" s="67">
        <f t="shared" si="10"/>
        <v>23.2819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0121-12</v>
      </c>
      <c r="AE33" s="91" t="str">
        <f t="shared" si="12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33" s="88" t="str">
        <f t="shared" si="13"/>
        <v>"C:\Program Files (x86)\AstroGrep\AstroGrep.exe" /spath="%USERPROFILE%\AppData\Local\Temp\OnboardLogs" /stypes="app*4025*20161112*" /stext=" 13:.+((SYSTEM_STATE.+slice.+state.+changed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121-12 --locoid 4025 --swversion DE.1.0.8.0 --startMP 204:464 --initTime 2016-11-12T06:09:58 --startdatetime 2016-11-12T06:15:12 --delay 1 --endMP 204:233283 --enddatetime 2016-11-12T06:51:54 --enforcementcount 0 &gt;&gt;C:\Users\stu\Documents\GitHub\eaglep3-reporting\EC\2016-11-12-refined-times.txt</v>
      </c>
      <c r="AI3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{"issue":{"subject":"","project_id":79,"tracker_id":40,"status_id":1,"priority_id":2,"assigned_to_id":23,"start_date":"2016-11-12","description":"","custom_fields":[{"id":1,"name":"Subdivision","value":"EC"},{"id":4,"name":"Milepost","value":"23.3283"},{"id":17,"name":"Train ID","value":"121-12"},{"id":16,"name":"Locomotive ID","value":"4025"},{"id":130,"name":"Impact","value":""},{"id":150,"name":"Time of Event (Mountain Time)","value":"06:51:54"},{"id":151,"name":"Denver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479</v>
      </c>
      <c r="B34" s="7">
        <v>4026</v>
      </c>
      <c r="C34" s="22" t="s">
        <v>225</v>
      </c>
      <c r="D34" s="22" t="s">
        <v>214</v>
      </c>
      <c r="E34" s="13">
        <v>42686.298148148147</v>
      </c>
      <c r="F34" s="13">
        <v>42686.299525462964</v>
      </c>
      <c r="G34" s="7">
        <v>1</v>
      </c>
      <c r="H34" s="22" t="s">
        <v>642</v>
      </c>
      <c r="I34" s="13">
        <v>42686.326423611114</v>
      </c>
      <c r="J34" s="7">
        <v>0</v>
      </c>
      <c r="K34" s="109" t="str">
        <f t="shared" si="0"/>
        <v>4025/4026</v>
      </c>
      <c r="L34" s="22" t="str">
        <f>VLOOKUP(A34,'Trips&amp;Operators'!$C$1:$E$10000,3,FALSE)</f>
        <v>DAVIS</v>
      </c>
      <c r="M34" s="6">
        <f t="shared" si="1"/>
        <v>2.6898148149484769E-2</v>
      </c>
      <c r="N34" s="7">
        <f t="shared" si="2"/>
        <v>38.733333335258067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06:09:20-700',mode:absolute,to:'2016-11-12 08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23.297699999999999</v>
      </c>
      <c r="Z34" s="67">
        <f t="shared" si="9"/>
        <v>1.2999999999999999E-2</v>
      </c>
      <c r="AA34" s="67">
        <f t="shared" si="10"/>
        <v>23.284699999999997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0122-12</v>
      </c>
      <c r="AE34" s="91" t="str">
        <f t="shared" si="12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34" s="88" t="str">
        <f t="shared" si="13"/>
        <v>"C:\Program Files (x86)\AstroGrep\AstroGrep.exe" /spath="%USERPROFILE%\AppData\Local\Temp\OnboardLogs" /stypes="app*4026*20161112*" /stext=" 14:.+((SYSTEM_STATE.+slice.+state.+changed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122-12 --locoid 4026 --swversion DE.1.0.8.0 --startMP 204:232977 --initTime 2016-11-12T07:09:20 --startdatetime 2016-11-12T07:11:19 --delay 1 --endMP 204:130 --enddatetime 2016-11-12T07:50:03 --enforcementcount 0 &gt;&gt;C:\Users\stu\Documents\GitHub\eaglep3-reporting\EC\2016-11-12-refined-times.txt</v>
      </c>
      <c r="AI3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{"issue":{"subject":"","project_id":79,"tracker_id":40,"status_id":1,"priority_id":2,"assigned_to_id":23,"start_date":"2016-11-12","description":"","custom_fields":[{"id":1,"name":"Subdivision","value":"EC"},{"id":4,"name":"Milepost","value":"0.013"},{"id":17,"name":"Train ID","value":"122-12"},{"id":16,"name":"Locomotive ID","value":"4026"},{"id":130,"name":"Impact","value":""},{"id":150,"name":"Time of Event (Mountain Time)","value":"07:50:03"},{"id":151,"name":"Denver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472</v>
      </c>
      <c r="B35" s="7">
        <v>4042</v>
      </c>
      <c r="C35" s="22" t="s">
        <v>225</v>
      </c>
      <c r="D35" s="22" t="s">
        <v>205</v>
      </c>
      <c r="E35" s="13">
        <v>42686.264155092591</v>
      </c>
      <c r="F35" s="13">
        <v>42686.271099537036</v>
      </c>
      <c r="G35" s="7">
        <v>1</v>
      </c>
      <c r="H35" s="22" t="s">
        <v>391</v>
      </c>
      <c r="I35" s="13">
        <v>42686.295787037037</v>
      </c>
      <c r="J35" s="7">
        <v>0</v>
      </c>
      <c r="K35" s="109" t="str">
        <f t="shared" si="0"/>
        <v>4041/4042</v>
      </c>
      <c r="L35" s="22" t="str">
        <f>VLOOKUP(A35,'Trips&amp;Operators'!$C$1:$E$10000,3,FALSE)</f>
        <v>KILLION</v>
      </c>
      <c r="M35" s="6">
        <f t="shared" si="1"/>
        <v>2.4687500001164153E-2</v>
      </c>
      <c r="N35" s="7">
        <f t="shared" si="2"/>
        <v>35.550000001676381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05:20:23-700',mode:absolute,to:'2016-11-12 08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4.5100000000000001E-2</v>
      </c>
      <c r="Z35" s="67">
        <f t="shared" si="9"/>
        <v>23.328600000000002</v>
      </c>
      <c r="AA35" s="67">
        <f t="shared" si="10"/>
        <v>23.2835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11"/>
        <v>0123-12</v>
      </c>
      <c r="AE35" s="91" t="str">
        <f t="shared" si="12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35" s="88" t="str">
        <f t="shared" si="13"/>
        <v>"C:\Program Files (x86)\AstroGrep\AstroGrep.exe" /spath="%USERPROFILE%\AppData\Local\Temp\OnboardLogs" /stypes="app*4042*20161112*" /stext=" 14:.+((SYSTEM_STATE.+slice.+state.+changed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123-12 --locoid 4042 --swversion DE.1.0.8.0 --startMP 204:451 --initTime 2016-11-12T06:20:23 --startdatetime 2016-11-12T06:30:23 --delay 1 --endMP 204:233286 --enddatetime 2016-11-12T07:05:56 --enforcementcount 0 &gt;&gt;C:\Users\stu\Documents\GitHub\eaglep3-reporting\EC\2016-11-12-refined-times.txt</v>
      </c>
      <c r="AI3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{"issue":{"subject":"","project_id":79,"tracker_id":40,"status_id":1,"priority_id":2,"assigned_to_id":23,"start_date":"2016-11-12","description":"","custom_fields":[{"id":1,"name":"Subdivision","value":"EC"},{"id":4,"name":"Milepost","value":"23.3286"},{"id":17,"name":"Train ID","value":"123-12"},{"id":16,"name":"Locomotive ID","value":"4042"},{"id":130,"name":"Impact","value":""},{"id":150,"name":"Time of Event (Mountain Time)","value":"07:05:56"},{"id":151,"name":"Denver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480</v>
      </c>
      <c r="B36" s="7">
        <v>4041</v>
      </c>
      <c r="C36" s="22" t="s">
        <v>225</v>
      </c>
      <c r="D36" s="22" t="s">
        <v>278</v>
      </c>
      <c r="E36" s="13">
        <v>42686.301122685189</v>
      </c>
      <c r="F36" s="13">
        <v>42686.309895833336</v>
      </c>
      <c r="G36" s="7">
        <v>1</v>
      </c>
      <c r="H36" s="22" t="s">
        <v>198</v>
      </c>
      <c r="I36" s="13">
        <v>42686.335694444446</v>
      </c>
      <c r="J36" s="7">
        <v>0</v>
      </c>
      <c r="K36" s="109" t="str">
        <f t="shared" si="0"/>
        <v>4041/4042</v>
      </c>
      <c r="L36" s="22" t="str">
        <f>VLOOKUP(A36,'Trips&amp;Operators'!$C$1:$E$10000,3,FALSE)</f>
        <v>KILLION</v>
      </c>
      <c r="M36" s="6">
        <f t="shared" si="1"/>
        <v>2.5798611110076308E-2</v>
      </c>
      <c r="N36" s="7">
        <f t="shared" si="2"/>
        <v>37.149999998509884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06:13:37-700',mode:absolute,to:'2016-11-12 09:03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23.2973</v>
      </c>
      <c r="Z36" s="67">
        <f t="shared" si="9"/>
        <v>1.49E-2</v>
      </c>
      <c r="AA36" s="67">
        <f t="shared" si="10"/>
        <v>23.282399999999999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0124-12</v>
      </c>
      <c r="AE36" s="91" t="str">
        <f t="shared" si="12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36" s="88" t="str">
        <f t="shared" si="13"/>
        <v>"C:\Program Files (x86)\AstroGrep\AstroGrep.exe" /spath="%USERPROFILE%\AppData\Local\Temp\OnboardLogs" /stypes="app*4041*20161112*" /stext=" 15:.+((SYSTEM_STATE.+slice.+state.+changed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124-12 --locoid 4041 --swversion DE.1.0.8.0 --startMP 204:232973 --initTime 2016-11-12T07:13:37 --startdatetime 2016-11-12T07:26:15 --delay 1 --endMP 204:149 --enddatetime 2016-11-12T08:03:24 --enforcementcount 0 &gt;&gt;C:\Users\stu\Documents\GitHub\eaglep3-reporting\EC\2016-11-12-refined-times.txt</v>
      </c>
      <c r="AI3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{"issue":{"subject":"","project_id":79,"tracker_id":40,"status_id":1,"priority_id":2,"assigned_to_id":23,"start_date":"2016-11-12","description":"","custom_fields":[{"id":1,"name":"Subdivision","value":"EC"},{"id":4,"name":"Milepost","value":"0.0149"},{"id":17,"name":"Train ID","value":"124-12"},{"id":16,"name":"Locomotive ID","value":"4041"},{"id":130,"name":"Impact","value":""},{"id":150,"name":"Time of Event (Mountain Time)","value":"08:03:24"},{"id":151,"name":"Denver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475</v>
      </c>
      <c r="B37" s="7">
        <v>4038</v>
      </c>
      <c r="C37" s="22" t="s">
        <v>225</v>
      </c>
      <c r="D37" s="22" t="s">
        <v>257</v>
      </c>
      <c r="E37" s="13">
        <v>42686.274826388886</v>
      </c>
      <c r="F37" s="13">
        <v>42686.281458333331</v>
      </c>
      <c r="G37" s="7">
        <v>4</v>
      </c>
      <c r="H37" s="22" t="s">
        <v>295</v>
      </c>
      <c r="I37" s="13">
        <v>42686.305787037039</v>
      </c>
      <c r="J37" s="7">
        <v>0</v>
      </c>
      <c r="K37" s="109" t="str">
        <f t="shared" si="0"/>
        <v>4037/4038</v>
      </c>
      <c r="L37" s="22" t="str">
        <f>VLOOKUP(A37,'Trips&amp;Operators'!$C$1:$E$10000,3,FALSE)</f>
        <v>GEBRETEKLE</v>
      </c>
      <c r="M37" s="6">
        <f t="shared" si="1"/>
        <v>2.4328703708306421E-2</v>
      </c>
      <c r="N37" s="7">
        <f t="shared" si="2"/>
        <v>35.033333339961246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05:35:45-700',mode:absolute,to:'2016-11-12 08:20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4.6699999999999998E-2</v>
      </c>
      <c r="Z37" s="67">
        <f t="shared" si="9"/>
        <v>23.330400000000001</v>
      </c>
      <c r="AA37" s="67">
        <f t="shared" si="10"/>
        <v>23.2837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0125-12</v>
      </c>
      <c r="AE37" s="91" t="str">
        <f t="shared" si="12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37" s="88" t="str">
        <f t="shared" si="13"/>
        <v>"C:\Program Files (x86)\AstroGrep\AstroGrep.exe" /spath="%USERPROFILE%\AppData\Local\Temp\OnboardLogs" /stypes="app*4038*20161112*" /stext=" 14:.+((SYSTEM_STATE.+slice.+state.+changed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125-12 --locoid 4038 --swversion DE.1.0.8.0 --startMP 204:467 --initTime 2016-11-12T06:35:45 --startdatetime 2016-11-12T06:45:18 --delay 4 --endMP 204:233304 --enddatetime 2016-11-12T07:20:20 --enforcementcount 0 &gt;&gt;C:\Users\stu\Documents\GitHub\eaglep3-reporting\EC\2016-11-12-refined-times.txt</v>
      </c>
      <c r="AI3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ID","value":"125-12"},{"id":16,"name":"Locomotive ID","value":"4038"},{"id":130,"name":"Impact","value":""},{"id":150,"name":"Time of Event (Mountain Time)","value":"07:20:20"},{"id":151,"name":"Denver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421</v>
      </c>
      <c r="B38" s="7">
        <v>4037</v>
      </c>
      <c r="C38" s="22" t="s">
        <v>225</v>
      </c>
      <c r="D38" s="22" t="s">
        <v>214</v>
      </c>
      <c r="E38" s="13">
        <v>42686.316493055558</v>
      </c>
      <c r="F38" s="13">
        <v>42686.3203125</v>
      </c>
      <c r="G38" s="7">
        <v>1</v>
      </c>
      <c r="H38" s="22" t="s">
        <v>643</v>
      </c>
      <c r="I38" s="13">
        <v>42686.34584490741</v>
      </c>
      <c r="J38" s="7">
        <v>0</v>
      </c>
      <c r="K38" s="109" t="str">
        <f t="shared" si="0"/>
        <v>4037/4038</v>
      </c>
      <c r="L38" s="22" t="str">
        <f>VLOOKUP(A38,'Trips&amp;Operators'!$C$1:$E$10000,3,FALSE)</f>
        <v>GEBRETEKLE</v>
      </c>
      <c r="M38" s="6">
        <f t="shared" si="1"/>
        <v>2.5532407409627922E-2</v>
      </c>
      <c r="N38" s="7">
        <f t="shared" si="2"/>
        <v>36.766666669864208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06:35:45-700',mode:absolute,to:'2016-11-12 09:18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23.297699999999999</v>
      </c>
      <c r="Z38" s="67">
        <f t="shared" si="9"/>
        <v>1.9599999999999999E-2</v>
      </c>
      <c r="AA38" s="67">
        <f t="shared" si="10"/>
        <v>23.278099999999998</v>
      </c>
      <c r="AB38" s="64" t="str">
        <f>VLOOKUP(A38,Enforcements!$C$7:$K$20,8,0)</f>
        <v>Form based authority (4)</v>
      </c>
      <c r="AC38" s="60" t="str">
        <f>VLOOKUP(A38,Enforcements!$C$7:$E$20,3,0)</f>
        <v>TRACK WARRANT AUTHORITY</v>
      </c>
      <c r="AD38" s="61" t="str">
        <f t="shared" si="11"/>
        <v>0126-12</v>
      </c>
      <c r="AE38" s="91" t="str">
        <f t="shared" si="12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38" s="88" t="str">
        <f t="shared" si="13"/>
        <v>"C:\Program Files (x86)\AstroGrep\AstroGrep.exe" /spath="%USERPROFILE%\AppData\Local\Temp\OnboardLogs" /stypes="app*4037*20161112*" /stext=" 15:.+((SYSTEM_STATE.+slice.+state.+changed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126-12 --locoid 4037 --swversion DE.1.0.8.0 --startMP 204:232977 --initTime 2016-11-12T07:35:45 --startdatetime 2016-11-12T07:41:15 --delay 1 --endMP 204:196 --enddatetime 2016-11-12T08:18:01 --enforcementcount 0 &gt;&gt;C:\Users\stu\Documents\GitHub\eaglep3-reporting\EC\2016-11-12-refined-times.txt</v>
      </c>
      <c r="AI3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{"issue":{"subject":"","project_id":79,"tracker_id":40,"status_id":1,"priority_id":2,"assigned_to_id":23,"start_date":"2016-11-12","description":"","custom_fields":[{"id":1,"name":"Subdivision","value":"EC"},{"id":4,"name":"Milepost","value":"0.0196"},{"id":17,"name":"Train ID","value":"126-12"},{"id":16,"name":"Locomotive ID","value":"4037"},{"id":130,"name":"Impact","value":""},{"id":150,"name":"Time of Event (Mountain Time)","value":"08:18:01"},{"id":151,"name":"Denver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477</v>
      </c>
      <c r="B39" s="7">
        <v>4022</v>
      </c>
      <c r="C39" s="22" t="s">
        <v>225</v>
      </c>
      <c r="D39" s="22" t="s">
        <v>222</v>
      </c>
      <c r="E39" s="13">
        <v>42686.285000000003</v>
      </c>
      <c r="F39" s="13">
        <v>42686.291921296295</v>
      </c>
      <c r="G39" s="7">
        <v>3</v>
      </c>
      <c r="H39" s="22" t="s">
        <v>644</v>
      </c>
      <c r="I39" s="13">
        <v>42686.316157407404</v>
      </c>
      <c r="J39" s="7">
        <v>0</v>
      </c>
      <c r="K39" s="109" t="str">
        <f t="shared" si="0"/>
        <v>4021/4022</v>
      </c>
      <c r="L39" s="22" t="str">
        <f>VLOOKUP(A39,'Trips&amp;Operators'!$C$1:$E$10000,3,FALSE)</f>
        <v>SANTIZO</v>
      </c>
      <c r="M39" s="6">
        <f t="shared" si="1"/>
        <v>2.4236111108621117E-2</v>
      </c>
      <c r="N39" s="7">
        <f t="shared" si="2"/>
        <v>34.899999996414408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05:50:24-700',mode:absolute,to:'2016-11-12 08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4.5699999999999998E-2</v>
      </c>
      <c r="Z39" s="67">
        <f t="shared" si="9"/>
        <v>23.327400000000001</v>
      </c>
      <c r="AA39" s="67">
        <f t="shared" si="10"/>
        <v>23.281700000000001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0127-12</v>
      </c>
      <c r="AE39" s="91" t="str">
        <f t="shared" si="12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39" s="88" t="str">
        <f t="shared" si="13"/>
        <v>"C:\Program Files (x86)\AstroGrep\AstroGrep.exe" /spath="%USERPROFILE%\AppData\Local\Temp\OnboardLogs" /stypes="app*4022*20161112*" /stext=" 14:.+((SYSTEM_STATE.+slice.+state.+changed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127-12 --locoid 4022 --swversion DE.1.0.8.0 --startMP 204:457 --initTime 2016-11-12T06:50:24 --startdatetime 2016-11-12T07:00:22 --delay 3 --endMP 204:233274 --enddatetime 2016-11-12T07:35:16 --enforcementcount 0 &gt;&gt;C:\Users\stu\Documents\GitHub\eaglep3-reporting\EC\2016-11-12-refined-times.txt</v>
      </c>
      <c r="AI3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{"issue":{"subject":"","project_id":79,"tracker_id":40,"status_id":1,"priority_id":2,"assigned_to_id":23,"start_date":"2016-11-12","description":"","custom_fields":[{"id":1,"name":"Subdivision","value":"EC"},{"id":4,"name":"Milepost","value":"23.3274"},{"id":17,"name":"Train ID","value":"127-12"},{"id":16,"name":"Locomotive ID","value":"4022"},{"id":130,"name":"Impact","value":""},{"id":150,"name":"Time of Event (Mountain Time)","value":"07:35:16"},{"id":151,"name":"Denver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485</v>
      </c>
      <c r="B40" s="7">
        <v>4021</v>
      </c>
      <c r="C40" s="22" t="s">
        <v>225</v>
      </c>
      <c r="D40" s="22" t="s">
        <v>392</v>
      </c>
      <c r="E40" s="13">
        <v>42686.317685185182</v>
      </c>
      <c r="F40" s="13">
        <v>42686.330740740741</v>
      </c>
      <c r="G40" s="7">
        <v>0</v>
      </c>
      <c r="H40" s="22" t="s">
        <v>223</v>
      </c>
      <c r="I40" s="13">
        <v>42686.356273148151</v>
      </c>
      <c r="J40" s="7">
        <v>0</v>
      </c>
      <c r="K40" s="109" t="str">
        <f t="shared" si="0"/>
        <v>4021/4022</v>
      </c>
      <c r="L40" s="22" t="str">
        <f>VLOOKUP(A40,'Trips&amp;Operators'!$C$1:$E$10000,3,FALSE)</f>
        <v>SANTIZO</v>
      </c>
      <c r="M40" s="6">
        <f t="shared" si="1"/>
        <v>2.5532407409627922E-2</v>
      </c>
      <c r="N40" s="7">
        <f t="shared" si="2"/>
        <v>36.766666669864208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06:37:28-700',mode:absolute,to:'2016-11-12 09:33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23.298400000000001</v>
      </c>
      <c r="Z40" s="67">
        <f t="shared" si="9"/>
        <v>1.61E-2</v>
      </c>
      <c r="AA40" s="67">
        <f t="shared" si="10"/>
        <v>23.282299999999999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0128-12</v>
      </c>
      <c r="AE40" s="91" t="str">
        <f t="shared" si="12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40" s="88" t="str">
        <f t="shared" si="13"/>
        <v>"C:\Program Files (x86)\AstroGrep\AstroGrep.exe" /spath="%USERPROFILE%\AppData\Local\Temp\OnboardLogs" /stypes="app*4021*20161112*" /stext=" 15:.+((SYSTEM_STATE.+slice.+state.+changed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128-12 --locoid 4021 --swversion DE.1.0.8.0 --startMP 204:232984 --initTime 2016-11-12T07:37:28 --startdatetime 2016-11-12T07:56:16 --delay 0 --endMP 204:161 --enddatetime 2016-11-12T08:33:02 --enforcementcount 0 &gt;&gt;C:\Users\stu\Documents\GitHub\eaglep3-reporting\EC\2016-11-12-refined-times.txt</v>
      </c>
      <c r="AI4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{"issue":{"subject":"","project_id":79,"tracker_id":40,"status_id":1,"priority_id":2,"assigned_to_id":23,"start_date":"2016-11-12","description":"","custom_fields":[{"id":1,"name":"Subdivision","value":"EC"},{"id":4,"name":"Milepost","value":"0.0161"},{"id":17,"name":"Train ID","value":"128-12"},{"id":16,"name":"Locomotive ID","value":"4021"},{"id":130,"name":"Impact","value":""},{"id":150,"name":"Time of Event (Mountain Time)","value":"08:33:02"},{"id":151,"name":"Denver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478</v>
      </c>
      <c r="B41" s="7">
        <v>4011</v>
      </c>
      <c r="C41" s="22" t="s">
        <v>225</v>
      </c>
      <c r="D41" s="22" t="s">
        <v>227</v>
      </c>
      <c r="E41" s="13">
        <v>42686.296990740739</v>
      </c>
      <c r="F41" s="13">
        <v>42686.302314814813</v>
      </c>
      <c r="G41" s="7">
        <v>1</v>
      </c>
      <c r="H41" s="22" t="s">
        <v>188</v>
      </c>
      <c r="I41" s="13">
        <v>42686.328252314815</v>
      </c>
      <c r="J41" s="7">
        <v>0</v>
      </c>
      <c r="K41" s="109" t="str">
        <f t="shared" si="0"/>
        <v>4011/4012</v>
      </c>
      <c r="L41" s="22" t="str">
        <f>VLOOKUP(A41,'Trips&amp;Operators'!$C$1:$E$10000,3,FALSE)</f>
        <v>STRICKLAND</v>
      </c>
      <c r="M41" s="6">
        <f t="shared" si="1"/>
        <v>2.5937500002328306E-2</v>
      </c>
      <c r="N41" s="7">
        <f t="shared" si="2"/>
        <v>37.350000003352761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06:07:40-700',mode:absolute,to:'2016-11-12 08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4.58E-2</v>
      </c>
      <c r="Z41" s="67">
        <f t="shared" si="9"/>
        <v>23.329699999999999</v>
      </c>
      <c r="AA41" s="67">
        <f t="shared" si="10"/>
        <v>23.283899999999999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0129-12</v>
      </c>
      <c r="AE41" s="91" t="str">
        <f t="shared" si="12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41" s="88" t="str">
        <f t="shared" si="13"/>
        <v>"C:\Program Files (x86)\AstroGrep\AstroGrep.exe" /spath="%USERPROFILE%\AppData\Local\Temp\OnboardLogs" /stypes="app*4011*20161112*" /stext=" 14:.+((SYSTEM_STATE.+slice.+state.+changed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129-12 --locoid 4011 --swversion DE.1.0.8.0 --startMP 204:458 --initTime 2016-11-12T07:07:40 --startdatetime 2016-11-12T07:15:20 --delay 1 --endMP 204:233297 --enddatetime 2016-11-12T07:52:41 --enforcementcount 0 &gt;&gt;C:\Users\stu\Documents\GitHub\eaglep3-reporting\EC\2016-11-12-refined-times.txt</v>
      </c>
      <c r="AI4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{"issue":{"subject":"","project_id":79,"tracker_id":40,"status_id":1,"priority_id":2,"assigned_to_id":23,"start_date":"2016-11-12","description":"","custom_fields":[{"id":1,"name":"Subdivision","value":"EC"},{"id":4,"name":"Milepost","value":"23.3297"},{"id":17,"name":"Train ID","value":"129-12"},{"id":16,"name":"Locomotive ID","value":"4011"},{"id":130,"name":"Impact","value":""},{"id":150,"name":"Time of Event (Mountain Time)","value":"07:52:41"},{"id":151,"name":"Denver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422</v>
      </c>
      <c r="B42" s="7">
        <v>4012</v>
      </c>
      <c r="C42" s="22" t="s">
        <v>225</v>
      </c>
      <c r="D42" s="22" t="s">
        <v>214</v>
      </c>
      <c r="E42" s="13">
        <v>42686.336724537039</v>
      </c>
      <c r="F42" s="13">
        <v>42686.34138888889</v>
      </c>
      <c r="G42" s="7">
        <v>1</v>
      </c>
      <c r="H42" s="22" t="s">
        <v>176</v>
      </c>
      <c r="I42" s="13">
        <v>42686.36824074074</v>
      </c>
      <c r="J42" s="7">
        <v>0</v>
      </c>
      <c r="K42" s="109" t="str">
        <f t="shared" si="0"/>
        <v>4011/4012</v>
      </c>
      <c r="L42" s="22" t="str">
        <f>VLOOKUP(A42,'Trips&amp;Operators'!$C$1:$E$10000,3,FALSE)</f>
        <v>STRICKLAND</v>
      </c>
      <c r="M42" s="6">
        <f t="shared" si="1"/>
        <v>2.6851851849642117E-2</v>
      </c>
      <c r="N42" s="7">
        <f t="shared" si="2"/>
        <v>38.666666663484648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07:04:53-700',mode:absolute,to:'2016-11-12 09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23.297699999999999</v>
      </c>
      <c r="Z42" s="67">
        <f t="shared" si="9"/>
        <v>1.52E-2</v>
      </c>
      <c r="AA42" s="67">
        <f t="shared" si="10"/>
        <v>23.282499999999999</v>
      </c>
      <c r="AB42" s="64" t="str">
        <f>VLOOKUP(A42,Enforcements!$C$7:$K$20,8,0)</f>
        <v>Bulletin (2)</v>
      </c>
      <c r="AC42" s="60" t="str">
        <f>VLOOKUP(A42,Enforcements!$C$7:$E$20,3,0)</f>
        <v>GRADE CROSSING</v>
      </c>
      <c r="AD42" s="61" t="str">
        <f t="shared" si="11"/>
        <v>0130-12</v>
      </c>
      <c r="AE42" s="91" t="str">
        <f t="shared" si="12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42" s="88" t="str">
        <f t="shared" si="13"/>
        <v>"C:\Program Files (x86)\AstroGrep\AstroGrep.exe" /spath="%USERPROFILE%\AppData\Local\Temp\OnboardLogs" /stypes="app*4012*20161112*" /stext=" 15:.+((SYSTEM_STATE.+slice.+state.+changed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130-12 --locoid 4012 --swversion DE.1.0.8.0 --startMP 204:232977 --initTime 2016-11-12T08:04:53 --startdatetime 2016-11-12T08:11:36 --delay 1 --endMP 204:152 --enddatetime 2016-11-12T08:50:16 --enforcementcount 0 &gt;&gt;C:\Users\stu\Documents\GitHub\eaglep3-reporting\EC\2016-11-12-refined-times.txt</v>
      </c>
      <c r="AI4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ID","value":"130-12"},{"id":16,"name":"Locomotive ID","value":"4012"},{"id":130,"name":"Impact","value":""},{"id":150,"name":"Time of Event (Mountain Time)","value":"08:50:16"},{"id":151,"name":"Denver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482</v>
      </c>
      <c r="B43" s="7">
        <v>4014</v>
      </c>
      <c r="C43" s="22" t="s">
        <v>225</v>
      </c>
      <c r="D43" s="22" t="s">
        <v>224</v>
      </c>
      <c r="E43" s="13">
        <v>42686.30746527778</v>
      </c>
      <c r="F43" s="13">
        <v>42686.312789351854</v>
      </c>
      <c r="G43" s="7">
        <v>1</v>
      </c>
      <c r="H43" s="22" t="s">
        <v>344</v>
      </c>
      <c r="I43" s="13">
        <v>42686.33693287037</v>
      </c>
      <c r="J43" s="7">
        <v>0</v>
      </c>
      <c r="K43" s="109" t="str">
        <f t="shared" si="0"/>
        <v>4013/4014</v>
      </c>
      <c r="L43" s="22" t="str">
        <f>VLOOKUP(A43,'Trips&amp;Operators'!$C$1:$E$10000,3,FALSE)</f>
        <v>DE LA ROSA</v>
      </c>
      <c r="M43" s="6">
        <f t="shared" si="1"/>
        <v>2.414351851621177E-2</v>
      </c>
      <c r="N43" s="7">
        <f t="shared" si="2"/>
        <v>34.766666663344949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https://search-rtdc-monitor-bjffxe2xuh6vdkpspy63sjmuny.us-east-1.es.amazonaws.com/_plugin/kibana/#/discover/Steve-Slow-Train-Analysis-(2080s-and-2083s)?_g=(refreshInterval:(display:Off,section:0,value:0),time:(from:'2016-11-12 06:22:45-700',mode:absolute,to:'2016-11-12 09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4.6399999999999997E-2</v>
      </c>
      <c r="Z43" s="67">
        <f t="shared" si="9"/>
        <v>23.3291</v>
      </c>
      <c r="AA43" s="67">
        <f t="shared" si="10"/>
        <v>23.282700000000002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11"/>
        <v>0131-12</v>
      </c>
      <c r="AE43" s="91" t="str">
        <f t="shared" si="12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43" s="88" t="str">
        <f t="shared" si="13"/>
        <v>"C:\Program Files (x86)\AstroGrep\AstroGrep.exe" /spath="%USERPROFILE%\AppData\Local\Temp\OnboardLogs" /stypes="app*4014*20161112*" /stext=" 15:.+((SYSTEM_STATE.+slice.+state.+changed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131-12 --locoid 4014 --swversion DE.1.0.8.0 --startMP 204:464 --initTime 2016-11-12T07:22:45 --startdatetime 2016-11-12T07:30:25 --delay 1 --endMP 204:233291 --enddatetime 2016-11-12T08:05:11 --enforcementcount 0 &gt;&gt;C:\Users\stu\Documents\GitHub\eaglep3-reporting\EC\2016-11-12-refined-times.txt</v>
      </c>
      <c r="AI4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ID","value":"131-12"},{"id":16,"name":"Locomotive ID","value":"4014"},{"id":130,"name":"Impact","value":""},{"id":150,"name":"Time of Event (Mountain Time)","value":"08:05:11"},{"id":151,"name":"Denver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489</v>
      </c>
      <c r="B44" s="7">
        <v>4013</v>
      </c>
      <c r="C44" s="22" t="s">
        <v>225</v>
      </c>
      <c r="D44" s="22" t="s">
        <v>265</v>
      </c>
      <c r="E44" s="13">
        <v>42686.344351851854</v>
      </c>
      <c r="F44" s="13">
        <v>42686.351689814815</v>
      </c>
      <c r="G44" s="7">
        <v>3</v>
      </c>
      <c r="H44" s="22" t="s">
        <v>175</v>
      </c>
      <c r="I44" s="13">
        <v>42686.378078703703</v>
      </c>
      <c r="J44" s="7">
        <v>0</v>
      </c>
      <c r="K44" s="109" t="str">
        <f t="shared" ref="K44:K75" si="19">IF(ISEVEN(B44),(B44-1)&amp;"/"&amp;B44,B44&amp;"/"&amp;(B44+1))</f>
        <v>4013/4014</v>
      </c>
      <c r="L44" s="22" t="str">
        <f>VLOOKUP(A44,'Trips&amp;Operators'!$C$1:$E$10000,3,FALSE)</f>
        <v>DE LA ROSA</v>
      </c>
      <c r="M44" s="6">
        <f t="shared" ref="M44:M75" si="20">I44-F44</f>
        <v>2.6388888887595385E-2</v>
      </c>
      <c r="N44" s="7">
        <f t="shared" ref="N44:N75" si="21">24*60*SUM($M44:$M44)</f>
        <v>37.999999998137355</v>
      </c>
      <c r="O44" s="7"/>
      <c r="P44" s="7"/>
      <c r="Q44" s="23"/>
      <c r="R44" s="23"/>
      <c r="S44" s="35">
        <f t="shared" ref="S44:S75" si="22">SUM(U44:U44)/IF(AG44="EC",12,1)</f>
        <v>1</v>
      </c>
      <c r="T44" s="50" t="str">
        <f t="shared" ref="T44:T75" si="23">IF(ISEVEN(LEFT(AD44,4)),"Southbound","NorthBound")</f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ref="V44:V75" si="24"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https://search-rtdc-monitor-bjffxe2xuh6vdkpspy63sjmuny.us-east-1.es.amazonaws.com/_plugin/kibana/#/discover/Steve-Slow-Train-Analysis-(2080s-and-2083s)?_g=(refreshInterval:(display:Off,section:0,value:0),time:(from:'2016-11-12 07:15:52-700',mode:absolute,to:'2016-11-12 10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4" s="52" t="str">
        <f t="shared" ref="W44:W75" si="25">IF(AA44&lt;IF(AG44="EC",23,5.65),"Y","N")</f>
        <v>N</v>
      </c>
      <c r="X44" s="177">
        <f t="shared" ref="X44:X75" si="26">VALUE(LEFT(AD44,4))-VALUE(LEFT(AD43,4))</f>
        <v>1</v>
      </c>
      <c r="Y44" s="67">
        <f t="shared" ref="Y44:Y75" si="27">RIGHT(D44,LEN(D44)-4)/10000</f>
        <v>23.297799999999999</v>
      </c>
      <c r="Z44" s="67">
        <f t="shared" ref="Z44:Z75" si="28">RIGHT(H44,LEN(H44)-4)/10000</f>
        <v>1.47E-2</v>
      </c>
      <c r="AA44" s="67">
        <f t="shared" ref="AA44:AA75" si="29">ABS(Z44-Y44)</f>
        <v>23.283099999999997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ref="AD44:AD75" si="30">IF(LEN(A44)=6,"0"&amp;A44,A44)</f>
        <v>0132-12</v>
      </c>
      <c r="AE44" s="91" t="str">
        <f t="shared" ref="AE44:AE75" si="31"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44" s="88" t="str">
        <f t="shared" ref="AF44:AF75" si="32"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/stypes="app*4013*20161112*" /stext=" 16:.+((SYSTEM_STATE.+slice.+state.+changed )|(ment ac)|(system.+state.+changed )|(\[timeout)|(PRM\|1\|D)|(kpr)|(kdp)|(\|lc)|(penalty))" /e /r /s</v>
      </c>
      <c r="AG44" s="1" t="str">
        <f t="shared" ref="AG44:AG75" si="33">IFERROR(IF(VALUE(LEFT(AD44,2))&lt;=2,"EC",IF(OR(VALUE(LEFT(AD44,2))=8,VALUE(LEFT(AD44,2))=18),"NW","Other")),"Other")</f>
        <v>EC</v>
      </c>
      <c r="AH44" s="92" t="str">
        <f t="shared" si="17"/>
        <v>"%USERPROFILE%\Documents\GitHub\eaglep3\Utilities\RefineRTDCRunTimes.py" --tripid 132-12 --locoid 4013 --swversion DE.1.0.8.0 --startMP 204:232978 --initTime 2016-11-12T08:15:52 --startdatetime 2016-11-12T08:26:26 --delay 3 --endMP 204:147 --enddatetime 2016-11-12T09:04:26 --enforcementcount 0 &gt;&gt;C:\Users\stu\Documents\GitHub\eaglep3-reporting\EC\2016-11-12-refined-times.txt</v>
      </c>
      <c r="AI4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ID","value":"132-12"},{"id":16,"name":"Locomotive ID","value":"4013"},{"id":130,"name":"Impact","value":""},{"id":150,"name":"Time of Event (Mountain Time)","value":"09:04:26"},{"id":151,"name":"Denver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484</v>
      </c>
      <c r="B45" s="7">
        <v>4053</v>
      </c>
      <c r="C45" s="22" t="s">
        <v>225</v>
      </c>
      <c r="D45" s="22" t="s">
        <v>222</v>
      </c>
      <c r="E45" s="13">
        <v>42686.31695601852</v>
      </c>
      <c r="F45" s="13">
        <v>42686.32309027778</v>
      </c>
      <c r="G45" s="7">
        <v>2</v>
      </c>
      <c r="H45" s="22" t="s">
        <v>275</v>
      </c>
      <c r="I45" s="13">
        <v>42686.347534722219</v>
      </c>
      <c r="J45" s="7">
        <v>0</v>
      </c>
      <c r="K45" s="109" t="str">
        <f t="shared" si="19"/>
        <v>4053/4054</v>
      </c>
      <c r="L45" s="22" t="str">
        <f>VLOOKUP(A45,'Trips&amp;Operators'!$C$1:$E$10000,3,FALSE)</f>
        <v>ACKERMAN</v>
      </c>
      <c r="M45" s="6">
        <f t="shared" si="20"/>
        <v>2.4444444439723156E-2</v>
      </c>
      <c r="N45" s="7">
        <f t="shared" si="21"/>
        <v>35.199999993201345</v>
      </c>
      <c r="O45" s="7"/>
      <c r="P45" s="7"/>
      <c r="Q45" s="23"/>
      <c r="R45" s="23"/>
      <c r="S45" s="35">
        <f t="shared" si="22"/>
        <v>1</v>
      </c>
      <c r="T45" s="50" t="str">
        <f t="shared" si="23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06:36:25-700',mode:absolute,to:'2016-11-12 09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5" s="52" t="str">
        <f t="shared" si="25"/>
        <v>N</v>
      </c>
      <c r="X45" s="177">
        <f t="shared" si="26"/>
        <v>1</v>
      </c>
      <c r="Y45" s="67">
        <f t="shared" si="27"/>
        <v>4.5699999999999998E-2</v>
      </c>
      <c r="Z45" s="67">
        <f t="shared" si="28"/>
        <v>23.330200000000001</v>
      </c>
      <c r="AA45" s="67">
        <f t="shared" si="29"/>
        <v>23.284500000000001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30"/>
        <v>0133-12</v>
      </c>
      <c r="AE45" s="91" t="str">
        <f t="shared" si="31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45" s="88" t="str">
        <f t="shared" si="32"/>
        <v>"C:\Program Files (x86)\AstroGrep\AstroGrep.exe" /spath="%USERPROFILE%\AppData\Local\Temp\OnboardLogs" /stypes="app*4053*20161112*" /stext=" 15:.+((SYSTEM_STATE.+slice.+state.+changed )|(ment ac)|(system.+state.+changed )|(\[timeout)|(PRM\|1\|D)|(kpr)|(kdp)|(\|lc)|(penalty))" /e /r /s</v>
      </c>
      <c r="AG45" s="1" t="str">
        <f t="shared" si="33"/>
        <v>EC</v>
      </c>
      <c r="AH45" s="92" t="str">
        <f t="shared" si="17"/>
        <v>"%USERPROFILE%\Documents\GitHub\eaglep3\Utilities\RefineRTDCRunTimes.py" --tripid 133-12 --locoid 4053 --swversion DE.1.0.8.0 --startMP 204:457 --initTime 2016-11-12T07:36:25 --startdatetime 2016-11-12T07:45:15 --delay 2 --endMP 204:233302 --enddatetime 2016-11-12T08:20:27 --enforcementcount 0 &gt;&gt;C:\Users\stu\Documents\GitHub\eaglep3-reporting\EC\2016-11-12-refined-times.txt</v>
      </c>
      <c r="AI4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{"issue":{"subject":"","project_id":79,"tracker_id":40,"status_id":1,"priority_id":2,"assigned_to_id":23,"start_date":"2016-11-12","description":"","custom_fields":[{"id":1,"name":"Subdivision","value":"EC"},{"id":4,"name":"Milepost","value":"23.3302"},{"id":17,"name":"Train ID","value":"133-12"},{"id":16,"name":"Locomotive ID","value":"4053"},{"id":130,"name":"Impact","value":""},{"id":150,"name":"Time of Event (Mountain Time)","value":"08:20:27"},{"id":151,"name":"Denver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491</v>
      </c>
      <c r="B46" s="7">
        <v>4054</v>
      </c>
      <c r="C46" s="22" t="s">
        <v>225</v>
      </c>
      <c r="D46" s="22" t="s">
        <v>214</v>
      </c>
      <c r="E46" s="13">
        <v>42686.354641203703</v>
      </c>
      <c r="F46" s="13">
        <v>42686.362013888887</v>
      </c>
      <c r="G46" s="7">
        <v>1</v>
      </c>
      <c r="H46" s="22" t="s">
        <v>302</v>
      </c>
      <c r="I46" s="13">
        <v>42686.387939814813</v>
      </c>
      <c r="J46" s="7">
        <v>0</v>
      </c>
      <c r="K46" s="109" t="str">
        <f t="shared" si="19"/>
        <v>4053/4054</v>
      </c>
      <c r="L46" s="22" t="str">
        <f>VLOOKUP(A46,'Trips&amp;Operators'!$C$1:$E$10000,3,FALSE)</f>
        <v>ACKERMAN</v>
      </c>
      <c r="M46" s="6">
        <f t="shared" si="20"/>
        <v>2.5925925925548654E-2</v>
      </c>
      <c r="N46" s="7">
        <f t="shared" si="21"/>
        <v>37.333333332790062</v>
      </c>
      <c r="O46" s="7"/>
      <c r="P46" s="7"/>
      <c r="Q46" s="23"/>
      <c r="R46" s="23"/>
      <c r="S46" s="35">
        <f t="shared" si="22"/>
        <v>1</v>
      </c>
      <c r="T46" s="50" t="str">
        <f t="shared" si="23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07:30:41-700',mode:absolute,to:'2016-11-12 10:18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6" s="52" t="str">
        <f t="shared" si="25"/>
        <v>N</v>
      </c>
      <c r="X46" s="177">
        <f t="shared" si="26"/>
        <v>1</v>
      </c>
      <c r="Y46" s="67">
        <f t="shared" si="27"/>
        <v>23.297699999999999</v>
      </c>
      <c r="Z46" s="67">
        <f t="shared" si="28"/>
        <v>1.34E-2</v>
      </c>
      <c r="AA46" s="67">
        <f t="shared" si="29"/>
        <v>23.284299999999998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30"/>
        <v>0134-12</v>
      </c>
      <c r="AE46" s="91" t="str">
        <f t="shared" si="31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46" s="88" t="str">
        <f t="shared" si="32"/>
        <v>"C:\Program Files (x86)\AstroGrep\AstroGrep.exe" /spath="%USERPROFILE%\AppData\Local\Temp\OnboardLogs" /stypes="app*4054*20161112*" /stext=" 16:.+((SYSTEM_STATE.+slice.+state.+changed )|(ment ac)|(system.+state.+changed )|(\[timeout)|(PRM\|1\|D)|(kpr)|(kdp)|(\|lc)|(penalty))" /e /r /s</v>
      </c>
      <c r="AG46" s="1" t="str">
        <f t="shared" si="33"/>
        <v>EC</v>
      </c>
      <c r="AH46" s="92" t="str">
        <f t="shared" si="17"/>
        <v>"%USERPROFILE%\Documents\GitHub\eaglep3\Utilities\RefineRTDCRunTimes.py" --tripid 134-12 --locoid 4054 --swversion DE.1.0.8.0 --startMP 204:232977 --initTime 2016-11-12T08:30:41 --startdatetime 2016-11-12T08:41:18 --delay 1 --endMP 204:134 --enddatetime 2016-11-12T09:18:38 --enforcementcount 0 &gt;&gt;C:\Users\stu\Documents\GitHub\eaglep3-reporting\EC\2016-11-12-refined-times.txt</v>
      </c>
      <c r="AI4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{"issue":{"subject":"","project_id":79,"tracker_id":40,"status_id":1,"priority_id":2,"assigned_to_id":23,"start_date":"2016-11-12","description":"","custom_fields":[{"id":1,"name":"Subdivision","value":"EC"},{"id":4,"name":"Milepost","value":"0.0134"},{"id":17,"name":"Train ID","value":"134-12"},{"id":16,"name":"Locomotive ID","value":"4054"},{"id":130,"name":"Impact","value":""},{"id":150,"name":"Time of Event (Mountain Time)","value":"09:18:38"},{"id":151,"name":"Denver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486</v>
      </c>
      <c r="B47" s="7">
        <v>4025</v>
      </c>
      <c r="C47" s="22" t="s">
        <v>225</v>
      </c>
      <c r="D47" s="22" t="s">
        <v>281</v>
      </c>
      <c r="E47" s="13">
        <v>42686.327766203707</v>
      </c>
      <c r="F47" s="13">
        <v>42686.333483796298</v>
      </c>
      <c r="G47" s="7">
        <v>1</v>
      </c>
      <c r="H47" s="22" t="s">
        <v>274</v>
      </c>
      <c r="I47" s="13">
        <v>42686.360243055555</v>
      </c>
      <c r="J47" s="7">
        <v>0</v>
      </c>
      <c r="K47" s="109" t="str">
        <f t="shared" si="19"/>
        <v>4025/4026</v>
      </c>
      <c r="L47" s="22" t="str">
        <f>VLOOKUP(A47,'Trips&amp;Operators'!$C$1:$E$10000,3,FALSE)</f>
        <v>DAVIS</v>
      </c>
      <c r="M47" s="6">
        <f t="shared" si="20"/>
        <v>2.675925925723277E-2</v>
      </c>
      <c r="N47" s="7">
        <f t="shared" si="21"/>
        <v>38.533333330415189</v>
      </c>
      <c r="O47" s="7"/>
      <c r="P47" s="7"/>
      <c r="Q47" s="23"/>
      <c r="R47" s="23"/>
      <c r="S47" s="35">
        <f t="shared" si="22"/>
        <v>1</v>
      </c>
      <c r="T47" s="50" t="str">
        <f t="shared" si="23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06:51:59-700',mode:absolute,to:'2016-11-12 09:38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7" s="52" t="str">
        <f t="shared" si="25"/>
        <v>N</v>
      </c>
      <c r="X47" s="177">
        <f t="shared" si="26"/>
        <v>1</v>
      </c>
      <c r="Y47" s="67">
        <f t="shared" si="27"/>
        <v>4.4600000000000001E-2</v>
      </c>
      <c r="Z47" s="67">
        <f t="shared" si="28"/>
        <v>23.329899999999999</v>
      </c>
      <c r="AA47" s="67">
        <f t="shared" si="29"/>
        <v>23.285299999999999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30"/>
        <v>0135-12</v>
      </c>
      <c r="AE47" s="91" t="str">
        <f t="shared" si="31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47" s="88" t="str">
        <f t="shared" si="32"/>
        <v>"C:\Program Files (x86)\AstroGrep\AstroGrep.exe" /spath="%USERPROFILE%\AppData\Local\Temp\OnboardLogs" /stypes="app*4025*20161112*" /stext=" 15:.+((SYSTEM_STATE.+slice.+state.+changed )|(ment ac)|(system.+state.+changed )|(\[timeout)|(PRM\|1\|D)|(kpr)|(kdp)|(\|lc)|(penalty))" /e /r /s</v>
      </c>
      <c r="AG47" s="1" t="str">
        <f t="shared" si="33"/>
        <v>EC</v>
      </c>
      <c r="AH47" s="92" t="str">
        <f t="shared" si="17"/>
        <v>"%USERPROFILE%\Documents\GitHub\eaglep3\Utilities\RefineRTDCRunTimes.py" --tripid 135-12 --locoid 4025 --swversion DE.1.0.8.0 --startMP 204:446 --initTime 2016-11-12T07:51:59 --startdatetime 2016-11-12T08:00:13 --delay 1 --endMP 204:233299 --enddatetime 2016-11-12T08:38:45 --enforcementcount 0 &gt;&gt;C:\Users\stu\Documents\GitHub\eaglep3-reporting\EC\2016-11-12-refined-times.txt</v>
      </c>
      <c r="AI4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{"issue":{"subject":"","project_id":79,"tracker_id":40,"status_id":1,"priority_id":2,"assigned_to_id":23,"start_date":"2016-11-12","description":"","custom_fields":[{"id":1,"name":"Subdivision","value":"EC"},{"id":4,"name":"Milepost","value":"23.3299"},{"id":17,"name":"Train ID","value":"135-12"},{"id":16,"name":"Locomotive ID","value":"4025"},{"id":130,"name":"Impact","value":""},{"id":150,"name":"Time of Event (Mountain Time)","value":"08:38:45"},{"id":151,"name":"Denver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493</v>
      </c>
      <c r="B48" s="7">
        <v>4026</v>
      </c>
      <c r="C48" s="22" t="s">
        <v>225</v>
      </c>
      <c r="D48" s="22" t="s">
        <v>214</v>
      </c>
      <c r="E48" s="13">
        <v>42686.36996527778</v>
      </c>
      <c r="F48" s="13">
        <v>42686.372395833336</v>
      </c>
      <c r="G48" s="7">
        <v>0</v>
      </c>
      <c r="H48" s="22" t="s">
        <v>254</v>
      </c>
      <c r="I48" s="13">
        <v>42686.39980324074</v>
      </c>
      <c r="J48" s="7">
        <v>0</v>
      </c>
      <c r="K48" s="109" t="str">
        <f t="shared" si="19"/>
        <v>4025/4026</v>
      </c>
      <c r="L48" s="22" t="str">
        <f>VLOOKUP(A48,'Trips&amp;Operators'!$C$1:$E$10000,3,FALSE)</f>
        <v>DAVIS</v>
      </c>
      <c r="M48" s="6">
        <f t="shared" si="20"/>
        <v>2.7407407404098194E-2</v>
      </c>
      <c r="N48" s="7">
        <f t="shared" si="21"/>
        <v>39.466666661901399</v>
      </c>
      <c r="O48" s="7"/>
      <c r="P48" s="7"/>
      <c r="Q48" s="23"/>
      <c r="R48" s="23"/>
      <c r="S48" s="35">
        <f t="shared" si="22"/>
        <v>1</v>
      </c>
      <c r="T48" s="50" t="str">
        <f t="shared" si="23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07:52:45-700',mode:absolute,to:'2016-11-12 10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8" s="52" t="str">
        <f t="shared" si="25"/>
        <v>N</v>
      </c>
      <c r="X48" s="177">
        <f t="shared" si="26"/>
        <v>1</v>
      </c>
      <c r="Y48" s="67">
        <f t="shared" si="27"/>
        <v>23.297699999999999</v>
      </c>
      <c r="Z48" s="67">
        <f t="shared" si="28"/>
        <v>1.3899999999999999E-2</v>
      </c>
      <c r="AA48" s="67">
        <f t="shared" si="29"/>
        <v>23.283799999999999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30"/>
        <v>0136-12</v>
      </c>
      <c r="AE48" s="91" t="str">
        <f t="shared" si="31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48" s="88" t="str">
        <f t="shared" si="32"/>
        <v>"C:\Program Files (x86)\AstroGrep\AstroGrep.exe" /spath="%USERPROFILE%\AppData\Local\Temp\OnboardLogs" /stypes="app*4026*20161112*" /stext=" 16:.+((SYSTEM_STATE.+slice.+state.+changed )|(ment ac)|(system.+state.+changed )|(\[timeout)|(PRM\|1\|D)|(kpr)|(kdp)|(\|lc)|(penalty))" /e /r /s</v>
      </c>
      <c r="AG48" s="1" t="str">
        <f t="shared" si="33"/>
        <v>EC</v>
      </c>
      <c r="AH48" s="92" t="str">
        <f t="shared" si="17"/>
        <v>"%USERPROFILE%\Documents\GitHub\eaglep3\Utilities\RefineRTDCRunTimes.py" --tripid 136-12 --locoid 4026 --swversion DE.1.0.8.0 --startMP 204:232977 --initTime 2016-11-12T08:52:45 --startdatetime 2016-11-12T08:56:15 --delay 0 --endMP 204:139 --enddatetime 2016-11-12T09:35:43 --enforcementcount 0 &gt;&gt;C:\Users\stu\Documents\GitHub\eaglep3-reporting\EC\2016-11-12-refined-times.txt</v>
      </c>
      <c r="AI4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ID","value":"136-12"},{"id":16,"name":"Locomotive ID","value":"4026"},{"id":130,"name":"Impact","value":""},{"id":150,"name":"Time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487</v>
      </c>
      <c r="B49" s="7">
        <v>4042</v>
      </c>
      <c r="C49" s="22" t="s">
        <v>225</v>
      </c>
      <c r="D49" s="22" t="s">
        <v>257</v>
      </c>
      <c r="E49" s="13">
        <v>42686.339675925927</v>
      </c>
      <c r="F49" s="13">
        <v>42686.343946759262</v>
      </c>
      <c r="G49" s="7">
        <v>1</v>
      </c>
      <c r="H49" s="22" t="s">
        <v>295</v>
      </c>
      <c r="I49" s="13">
        <v>42686.368819444448</v>
      </c>
      <c r="J49" s="7">
        <v>0</v>
      </c>
      <c r="K49" s="109" t="str">
        <f t="shared" si="19"/>
        <v>4041/4042</v>
      </c>
      <c r="L49" s="22" t="str">
        <f>VLOOKUP(A49,'Trips&amp;Operators'!$C$1:$E$10000,3,FALSE)</f>
        <v>KILLION</v>
      </c>
      <c r="M49" s="6">
        <f t="shared" si="20"/>
        <v>2.4872685185982846E-2</v>
      </c>
      <c r="N49" s="7">
        <f t="shared" si="21"/>
        <v>35.816666667815298</v>
      </c>
      <c r="O49" s="7"/>
      <c r="P49" s="7"/>
      <c r="Q49" s="23"/>
      <c r="R49" s="23"/>
      <c r="S49" s="35">
        <f t="shared" si="22"/>
        <v>1</v>
      </c>
      <c r="T49" s="50" t="str">
        <f t="shared" si="23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07:09:08-700',mode:absolute,to:'2016-11-12 09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25"/>
        <v>N</v>
      </c>
      <c r="X49" s="177">
        <f t="shared" si="26"/>
        <v>1</v>
      </c>
      <c r="Y49" s="67">
        <f t="shared" si="27"/>
        <v>4.6699999999999998E-2</v>
      </c>
      <c r="Z49" s="67">
        <f t="shared" si="28"/>
        <v>23.330400000000001</v>
      </c>
      <c r="AA49" s="67">
        <f t="shared" si="29"/>
        <v>23.2837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30"/>
        <v>0137-12</v>
      </c>
      <c r="AE49" s="91" t="str">
        <f t="shared" si="31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49" s="88" t="str">
        <f t="shared" si="32"/>
        <v>"C:\Program Files (x86)\AstroGrep\AstroGrep.exe" /spath="%USERPROFILE%\AppData\Local\Temp\OnboardLogs" /stypes="app*4042*20161112*" /stext=" 15:.+((SYSTEM_STATE.+slice.+state.+changed )|(ment ac)|(system.+state.+changed )|(\[timeout)|(PRM\|1\|D)|(kpr)|(kdp)|(\|lc)|(penalty))" /e /r /s</v>
      </c>
      <c r="AG49" s="1" t="str">
        <f t="shared" si="33"/>
        <v>EC</v>
      </c>
      <c r="AH49" s="92" t="str">
        <f t="shared" si="17"/>
        <v>"%USERPROFILE%\Documents\GitHub\eaglep3\Utilities\RefineRTDCRunTimes.py" --tripid 137-12 --locoid 4042 --swversion DE.1.0.8.0 --startMP 204:467 --initTime 2016-11-12T08:09:08 --startdatetime 2016-11-12T08:15:17 --delay 1 --endMP 204:233304 --enddatetime 2016-11-12T08:51:06 --enforcementcount 0 &gt;&gt;C:\Users\stu\Documents\GitHub\eaglep3-reporting\EC\2016-11-12-refined-times.txt</v>
      </c>
      <c r="AI4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ID","value":"137-12"},{"id":16,"name":"Locomotive ID","value":"4042"},{"id":130,"name":"Impact","value":""},{"id":150,"name":"Time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495</v>
      </c>
      <c r="B50" s="7">
        <v>4041</v>
      </c>
      <c r="C50" s="22" t="s">
        <v>225</v>
      </c>
      <c r="D50" s="22" t="s">
        <v>348</v>
      </c>
      <c r="E50" s="13">
        <v>42686.374606481484</v>
      </c>
      <c r="F50" s="13">
        <v>42686.383043981485</v>
      </c>
      <c r="G50" s="7">
        <v>1</v>
      </c>
      <c r="H50" s="22" t="s">
        <v>340</v>
      </c>
      <c r="I50" s="13">
        <v>42686.408634259256</v>
      </c>
      <c r="J50" s="7">
        <v>0</v>
      </c>
      <c r="K50" s="109" t="str">
        <f t="shared" si="19"/>
        <v>4041/4042</v>
      </c>
      <c r="L50" s="22" t="str">
        <f>VLOOKUP(A50,'Trips&amp;Operators'!$C$1:$E$10000,3,FALSE)</f>
        <v>KILLION</v>
      </c>
      <c r="M50" s="6">
        <f t="shared" si="20"/>
        <v>2.5590277771698311E-2</v>
      </c>
      <c r="N50" s="7">
        <f t="shared" si="21"/>
        <v>36.849999991245568</v>
      </c>
      <c r="O50" s="7"/>
      <c r="P50" s="7"/>
      <c r="Q50" s="23"/>
      <c r="R50" s="23"/>
      <c r="S50" s="35">
        <f t="shared" si="22"/>
        <v>1</v>
      </c>
      <c r="T50" s="50" t="str">
        <f t="shared" si="23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07:59:26-700',mode:absolute,to:'2016-11-12 10:48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25"/>
        <v>N</v>
      </c>
      <c r="X50" s="177">
        <f t="shared" si="26"/>
        <v>1</v>
      </c>
      <c r="Y50" s="67">
        <f t="shared" si="27"/>
        <v>23.296800000000001</v>
      </c>
      <c r="Z50" s="67">
        <f t="shared" si="28"/>
        <v>1.54E-2</v>
      </c>
      <c r="AA50" s="67">
        <f t="shared" si="29"/>
        <v>23.281400000000001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30"/>
        <v>0138-12</v>
      </c>
      <c r="AE50" s="91" t="str">
        <f t="shared" si="31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50" s="88" t="str">
        <f t="shared" si="32"/>
        <v>"C:\Program Files (x86)\AstroGrep\AstroGrep.exe" /spath="%USERPROFILE%\AppData\Local\Temp\OnboardLogs" /stypes="app*4041*20161112*" /stext=" 16:.+((SYSTEM_STATE.+slice.+state.+changed )|(ment ac)|(system.+state.+changed )|(\[timeout)|(PRM\|1\|D)|(kpr)|(kdp)|(\|lc)|(penalty))" /e /r /s</v>
      </c>
      <c r="AG50" s="1" t="str">
        <f t="shared" si="33"/>
        <v>EC</v>
      </c>
      <c r="AH50" s="92" t="str">
        <f t="shared" si="17"/>
        <v>"%USERPROFILE%\Documents\GitHub\eaglep3\Utilities\RefineRTDCRunTimes.py" --tripid 138-12 --locoid 4041 --swversion DE.1.0.8.0 --startMP 204:232968 --initTime 2016-11-12T08:59:26 --startdatetime 2016-11-12T09:11:35 --delay 1 --endMP 204:154 --enddatetime 2016-11-12T09:48:26 --enforcementcount 0 &gt;&gt;C:\Users\stu\Documents\GitHub\eaglep3-reporting\EC\2016-11-12-refined-times.txt</v>
      </c>
      <c r="AI5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ID","value":"138-12"},{"id":16,"name":"Locomotive ID","value":"4041"},{"id":130,"name":"Impact","value":""},{"id":150,"name":"Time of Event (Mountain Time)","value":"09:48:26"},{"id":151,"name":"Denver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490</v>
      </c>
      <c r="B51" s="7">
        <v>4038</v>
      </c>
      <c r="C51" s="22" t="s">
        <v>225</v>
      </c>
      <c r="D51" s="22" t="s">
        <v>645</v>
      </c>
      <c r="E51" s="13">
        <v>42686.348865740743</v>
      </c>
      <c r="F51" s="13">
        <v>42686.354930555557</v>
      </c>
      <c r="G51" s="7">
        <v>5</v>
      </c>
      <c r="H51" s="22" t="s">
        <v>344</v>
      </c>
      <c r="I51" s="13">
        <v>42686.378877314812</v>
      </c>
      <c r="J51" s="7">
        <v>0</v>
      </c>
      <c r="K51" s="109" t="str">
        <f t="shared" si="19"/>
        <v>4037/4038</v>
      </c>
      <c r="L51" s="22" t="str">
        <f>VLOOKUP(A51,'Trips&amp;Operators'!$C$1:$E$10000,3,FALSE)</f>
        <v>GEBRETEKLE</v>
      </c>
      <c r="M51" s="6">
        <f t="shared" si="20"/>
        <v>2.3946759254613426E-2</v>
      </c>
      <c r="N51" s="7">
        <f t="shared" si="21"/>
        <v>34.483333326643333</v>
      </c>
      <c r="O51" s="7"/>
      <c r="P51" s="7"/>
      <c r="Q51" s="23"/>
      <c r="R51" s="23"/>
      <c r="S51" s="35">
        <f t="shared" si="22"/>
        <v>1</v>
      </c>
      <c r="T51" s="50" t="str">
        <f t="shared" si="23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07:22:22-700',mode:absolute,to:'2016-11-12 10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1" s="52" t="str">
        <f t="shared" si="25"/>
        <v>N</v>
      </c>
      <c r="X51" s="177">
        <f t="shared" si="26"/>
        <v>1</v>
      </c>
      <c r="Y51" s="67">
        <f t="shared" si="27"/>
        <v>5.0599999999999999E-2</v>
      </c>
      <c r="Z51" s="67">
        <f t="shared" si="28"/>
        <v>23.3291</v>
      </c>
      <c r="AA51" s="67">
        <f t="shared" si="29"/>
        <v>23.278500000000001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30"/>
        <v>0139-12</v>
      </c>
      <c r="AE51" s="91" t="str">
        <f t="shared" si="31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51" s="88" t="str">
        <f t="shared" si="32"/>
        <v>"C:\Program Files (x86)\AstroGrep\AstroGrep.exe" /spath="%USERPROFILE%\AppData\Local\Temp\OnboardLogs" /stypes="app*4038*20161112*" /stext=" 16:.+((SYSTEM_STATE.+slice.+state.+changed )|(ment ac)|(system.+state.+changed )|(\[timeout)|(PRM\|1\|D)|(kpr)|(kdp)|(\|lc)|(penalty))" /e /r /s</v>
      </c>
      <c r="AG51" s="1" t="str">
        <f t="shared" si="33"/>
        <v>EC</v>
      </c>
      <c r="AH51" s="92" t="str">
        <f t="shared" si="17"/>
        <v>"%USERPROFILE%\Documents\GitHub\eaglep3\Utilities\RefineRTDCRunTimes.py" --tripid 139-12 --locoid 4038 --swversion DE.1.0.8.0 --startMP 204:506 --initTime 2016-11-12T08:22:22 --startdatetime 2016-11-12T08:31:06 --delay 5 --endMP 204:233291 --enddatetime 2016-11-12T09:05:35 --enforcementcount 0 &gt;&gt;C:\Users\stu\Documents\GitHub\eaglep3-reporting\EC\2016-11-12-refined-times.txt</v>
      </c>
      <c r="AI5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ID","value":"139-12"},{"id":16,"name":"Locomotive ID","value":"4038"},{"id":130,"name":"Impact","value":""},{"id":150,"name":"Time of Event (Mountain Time)","value":"09:05:35"},{"id":151,"name":"Denver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498</v>
      </c>
      <c r="B52" s="7">
        <v>4037</v>
      </c>
      <c r="C52" s="22" t="s">
        <v>225</v>
      </c>
      <c r="D52" s="22" t="s">
        <v>392</v>
      </c>
      <c r="E52" s="13">
        <v>42686.390011574076</v>
      </c>
      <c r="F52" s="13">
        <v>42686.393252314818</v>
      </c>
      <c r="G52" s="7">
        <v>1</v>
      </c>
      <c r="H52" s="22" t="s">
        <v>253</v>
      </c>
      <c r="I52" s="13">
        <v>42686.418738425928</v>
      </c>
      <c r="J52" s="7">
        <v>0</v>
      </c>
      <c r="K52" s="109" t="str">
        <f t="shared" si="19"/>
        <v>4037/4038</v>
      </c>
      <c r="L52" s="22" t="str">
        <f>VLOOKUP(A52,'Trips&amp;Operators'!$C$1:$E$10000,3,FALSE)</f>
        <v>GEBRETEKLE</v>
      </c>
      <c r="M52" s="6">
        <f t="shared" si="20"/>
        <v>2.548611110978527E-2</v>
      </c>
      <c r="N52" s="7">
        <f t="shared" si="21"/>
        <v>36.699999998090789</v>
      </c>
      <c r="O52" s="7"/>
      <c r="P52" s="7"/>
      <c r="Q52" s="23"/>
      <c r="R52" s="23"/>
      <c r="S52" s="35">
        <f t="shared" si="22"/>
        <v>1</v>
      </c>
      <c r="T52" s="50" t="str">
        <f t="shared" si="23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08:21:37-700',mode:absolute,to:'2016-11-12 11:02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2" s="52" t="str">
        <f t="shared" si="25"/>
        <v>N</v>
      </c>
      <c r="X52" s="177">
        <f t="shared" si="26"/>
        <v>1</v>
      </c>
      <c r="Y52" s="67">
        <f t="shared" si="27"/>
        <v>23.298400000000001</v>
      </c>
      <c r="Z52" s="67">
        <f t="shared" si="28"/>
        <v>1.4999999999999999E-2</v>
      </c>
      <c r="AA52" s="67">
        <f t="shared" si="29"/>
        <v>23.2834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30"/>
        <v>0140-12</v>
      </c>
      <c r="AE52" s="91" t="str">
        <f t="shared" si="31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52" s="88" t="str">
        <f t="shared" si="32"/>
        <v>"C:\Program Files (x86)\AstroGrep\AstroGrep.exe" /spath="%USERPROFILE%\AppData\Local\Temp\OnboardLogs" /stypes="app*4037*20161112*" /stext=" 17:.+((SYSTEM_STATE.+slice.+state.+changed )|(ment ac)|(system.+state.+changed )|(\[timeout)|(PRM\|1\|D)|(kpr)|(kdp)|(\|lc)|(penalty))" /e /r /s</v>
      </c>
      <c r="AG52" s="1" t="str">
        <f t="shared" si="33"/>
        <v>EC</v>
      </c>
      <c r="AH52" s="92" t="str">
        <f t="shared" si="17"/>
        <v>"%USERPROFILE%\Documents\GitHub\eaglep3\Utilities\RefineRTDCRunTimes.py" --tripid 140-12 --locoid 4037 --swversion DE.1.0.8.0 --startMP 204:232984 --initTime 2016-11-12T09:21:37 --startdatetime 2016-11-12T09:26:17 --delay 1 --endMP 204:150 --enddatetime 2016-11-12T10:02:59 --enforcementcount 0 &gt;&gt;C:\Users\stu\Documents\GitHub\eaglep3-reporting\EC\2016-11-12-refined-times.txt</v>
      </c>
      <c r="AI5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ID","value":"140-12"},{"id":16,"name":"Locomotive ID","value":"4037"},{"id":130,"name":"Impact","value":""},{"id":150,"name":"Time of Event (Mountain Time)","value":"10:02:59"},{"id":151,"name":"Denver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492</v>
      </c>
      <c r="B53" s="7">
        <v>4022</v>
      </c>
      <c r="C53" s="22" t="s">
        <v>225</v>
      </c>
      <c r="D53" s="22" t="s">
        <v>345</v>
      </c>
      <c r="E53" s="13">
        <v>42686.357141203705</v>
      </c>
      <c r="F53" s="13">
        <v>42686.364965277775</v>
      </c>
      <c r="G53" s="7">
        <v>1</v>
      </c>
      <c r="H53" s="22" t="s">
        <v>268</v>
      </c>
      <c r="I53" s="13">
        <v>42686.389247685183</v>
      </c>
      <c r="J53" s="7">
        <v>0</v>
      </c>
      <c r="K53" s="109" t="str">
        <f t="shared" si="19"/>
        <v>4021/4022</v>
      </c>
      <c r="L53" s="22" t="str">
        <f>VLOOKUP(A53,'Trips&amp;Operators'!$C$1:$E$10000,3,FALSE)</f>
        <v>SANTIZO</v>
      </c>
      <c r="M53" s="6">
        <f t="shared" si="20"/>
        <v>2.4282407408463769E-2</v>
      </c>
      <c r="N53" s="7">
        <f t="shared" si="21"/>
        <v>34.966666668187827</v>
      </c>
      <c r="O53" s="7"/>
      <c r="P53" s="7"/>
      <c r="Q53" s="23"/>
      <c r="R53" s="23"/>
      <c r="S53" s="35">
        <f t="shared" si="22"/>
        <v>1</v>
      </c>
      <c r="T53" s="50" t="str">
        <f t="shared" si="23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07:34:17-700',mode:absolute,to:'2016-11-12 10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3" s="52" t="str">
        <f t="shared" si="25"/>
        <v>N</v>
      </c>
      <c r="X53" s="177">
        <f t="shared" si="26"/>
        <v>1</v>
      </c>
      <c r="Y53" s="67">
        <f t="shared" si="27"/>
        <v>4.6600000000000003E-2</v>
      </c>
      <c r="Z53" s="67">
        <f t="shared" si="28"/>
        <v>23.3293</v>
      </c>
      <c r="AA53" s="67">
        <f t="shared" si="29"/>
        <v>23.282699999999998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30"/>
        <v>0141-12</v>
      </c>
      <c r="AE53" s="91" t="str">
        <f t="shared" si="31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53" s="88" t="str">
        <f t="shared" si="32"/>
        <v>"C:\Program Files (x86)\AstroGrep\AstroGrep.exe" /spath="%USERPROFILE%\AppData\Local\Temp\OnboardLogs" /stypes="app*4022*20161112*" /stext=" 16:.+((SYSTEM_STATE.+slice.+state.+changed )|(ment ac)|(system.+state.+changed )|(\[timeout)|(PRM\|1\|D)|(kpr)|(kdp)|(\|lc)|(penalty))" /e /r /s</v>
      </c>
      <c r="AG53" s="1" t="str">
        <f t="shared" si="33"/>
        <v>EC</v>
      </c>
      <c r="AH53" s="92" t="str">
        <f t="shared" si="17"/>
        <v>"%USERPROFILE%\Documents\GitHub\eaglep3\Utilities\RefineRTDCRunTimes.py" --tripid 141-12 --locoid 4022 --swversion DE.1.0.8.0 --startMP 204:466 --initTime 2016-11-12T08:34:17 --startdatetime 2016-11-12T08:45:33 --delay 1 --endMP 204:233293 --enddatetime 2016-11-12T09:20:31 --enforcementcount 0 &gt;&gt;C:\Users\stu\Documents\GitHub\eaglep3-reporting\EC\2016-11-12-refined-times.txt</v>
      </c>
      <c r="AI5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{"issue":{"subject":"","project_id":79,"tracker_id":40,"status_id":1,"priority_id":2,"assigned_to_id":23,"start_date":"2016-11-12","description":"","custom_fields":[{"id":1,"name":"Subdivision","value":"EC"},{"id":4,"name":"Milepost","value":"23.3293"},{"id":17,"name":"Train ID","value":"141-12"},{"id":16,"name":"Locomotive ID","value":"4022"},{"id":130,"name":"Impact","value":""},{"id":150,"name":"Time of Event (Mountain Time)","value":"09:20:31"},{"id":151,"name":"Denver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499</v>
      </c>
      <c r="B54" s="7">
        <v>4021</v>
      </c>
      <c r="C54" s="22" t="s">
        <v>225</v>
      </c>
      <c r="D54" s="22" t="s">
        <v>400</v>
      </c>
      <c r="E54" s="13">
        <v>42686.390474537038</v>
      </c>
      <c r="F54" s="13">
        <v>42686.403715277775</v>
      </c>
      <c r="G54" s="7">
        <v>1</v>
      </c>
      <c r="H54" s="22" t="s">
        <v>292</v>
      </c>
      <c r="I54" s="13">
        <v>42686.429155092592</v>
      </c>
      <c r="J54" s="7">
        <v>0</v>
      </c>
      <c r="K54" s="109" t="str">
        <f t="shared" si="19"/>
        <v>4021/4022</v>
      </c>
      <c r="L54" s="22" t="str">
        <f>VLOOKUP(A54,'Trips&amp;Operators'!$C$1:$E$10000,3,FALSE)</f>
        <v>SANTIZO</v>
      </c>
      <c r="M54" s="6">
        <f t="shared" si="20"/>
        <v>2.5439814817218576E-2</v>
      </c>
      <c r="N54" s="7">
        <f t="shared" si="21"/>
        <v>36.633333336794749</v>
      </c>
      <c r="O54" s="7"/>
      <c r="P54" s="7"/>
      <c r="Q54" s="23"/>
      <c r="R54" s="23"/>
      <c r="S54" s="35">
        <f t="shared" si="22"/>
        <v>1</v>
      </c>
      <c r="T54" s="50" t="str">
        <f t="shared" si="23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08:22:17-700',mode:absolute,to:'2016-11-12 11:17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4" s="52" t="str">
        <f t="shared" si="25"/>
        <v>N</v>
      </c>
      <c r="X54" s="177">
        <f t="shared" si="26"/>
        <v>1</v>
      </c>
      <c r="Y54" s="67">
        <f t="shared" si="27"/>
        <v>23.298300000000001</v>
      </c>
      <c r="Z54" s="67">
        <f t="shared" si="28"/>
        <v>1.3599999999999999E-2</v>
      </c>
      <c r="AA54" s="67">
        <f t="shared" si="29"/>
        <v>23.284700000000001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30"/>
        <v>0142-12</v>
      </c>
      <c r="AE54" s="91" t="str">
        <f t="shared" si="31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54" s="88" t="str">
        <f t="shared" si="32"/>
        <v>"C:\Program Files (x86)\AstroGrep\AstroGrep.exe" /spath="%USERPROFILE%\AppData\Local\Temp\OnboardLogs" /stypes="app*4021*20161112*" /stext=" 17:.+((SYSTEM_STATE.+slice.+state.+changed )|(ment ac)|(system.+state.+changed )|(\[timeout)|(PRM\|1\|D)|(kpr)|(kdp)|(\|lc)|(penalty))" /e /r /s</v>
      </c>
      <c r="AG54" s="1" t="str">
        <f t="shared" si="33"/>
        <v>EC</v>
      </c>
      <c r="AH54" s="92" t="str">
        <f t="shared" si="17"/>
        <v>"%USERPROFILE%\Documents\GitHub\eaglep3\Utilities\RefineRTDCRunTimes.py" --tripid 142-12 --locoid 4021 --swversion DE.1.0.8.0 --startMP 204:232983 --initTime 2016-11-12T09:22:17 --startdatetime 2016-11-12T09:41:21 --delay 1 --endMP 204:136 --enddatetime 2016-11-12T10:17:59 --enforcementcount 0 &gt;&gt;C:\Users\stu\Documents\GitHub\eaglep3-reporting\EC\2016-11-12-refined-times.txt</v>
      </c>
      <c r="AI5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{"issue":{"subject":"","project_id":79,"tracker_id":40,"status_id":1,"priority_id":2,"assigned_to_id":23,"start_date":"2016-11-12","description":"","custom_fields":[{"id":1,"name":"Subdivision","value":"EC"},{"id":4,"name":"Milepost","value":"0.0136"},{"id":17,"name":"Train ID","value":"142-12"},{"id":16,"name":"Locomotive ID","value":"4021"},{"id":130,"name":"Impact","value":""},{"id":150,"name":"Time of Event (Mountain Time)","value":"10:17:59"},{"id":151,"name":"Denver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494</v>
      </c>
      <c r="B55" s="7">
        <v>4011</v>
      </c>
      <c r="C55" s="22" t="s">
        <v>225</v>
      </c>
      <c r="D55" s="22" t="s">
        <v>205</v>
      </c>
      <c r="E55" s="13">
        <v>42686.370173611111</v>
      </c>
      <c r="F55" s="13">
        <v>42686.375381944446</v>
      </c>
      <c r="G55" s="7">
        <v>1</v>
      </c>
      <c r="H55" s="22" t="s">
        <v>630</v>
      </c>
      <c r="I55" s="13">
        <v>42686.400509259256</v>
      </c>
      <c r="J55" s="7">
        <v>0</v>
      </c>
      <c r="K55" s="109" t="str">
        <f t="shared" si="19"/>
        <v>4011/4012</v>
      </c>
      <c r="L55" s="22" t="str">
        <f>VLOOKUP(A55,'Trips&amp;Operators'!$C$1:$E$10000,3,FALSE)</f>
        <v>STRICKLAND</v>
      </c>
      <c r="M55" s="6">
        <f t="shared" si="20"/>
        <v>2.512731480965158E-2</v>
      </c>
      <c r="N55" s="7">
        <f t="shared" si="21"/>
        <v>36.183333325898275</v>
      </c>
      <c r="O55" s="7"/>
      <c r="P55" s="7"/>
      <c r="Q55" s="23"/>
      <c r="R55" s="23"/>
      <c r="S55" s="35">
        <f t="shared" si="22"/>
        <v>1</v>
      </c>
      <c r="T55" s="50" t="str">
        <f t="shared" si="23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07:53:03-700',mode:absolute,to:'2016-11-12 10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5" s="52" t="str">
        <f t="shared" si="25"/>
        <v>N</v>
      </c>
      <c r="X55" s="177">
        <f t="shared" si="26"/>
        <v>1</v>
      </c>
      <c r="Y55" s="67">
        <f t="shared" si="27"/>
        <v>4.5100000000000001E-2</v>
      </c>
      <c r="Z55" s="67">
        <f t="shared" si="28"/>
        <v>23.330100000000002</v>
      </c>
      <c r="AA55" s="67">
        <f t="shared" si="29"/>
        <v>23.285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30"/>
        <v>0143-12</v>
      </c>
      <c r="AE55" s="91" t="str">
        <f t="shared" si="31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55" s="88" t="str">
        <f t="shared" si="32"/>
        <v>"C:\Program Files (x86)\AstroGrep\AstroGrep.exe" /spath="%USERPROFILE%\AppData\Local\Temp\OnboardLogs" /stypes="app*4011*20161112*" /stext=" 16:.+((SYSTEM_STATE.+slice.+state.+changed )|(ment ac)|(system.+state.+changed )|(\[timeout)|(PRM\|1\|D)|(kpr)|(kdp)|(\|lc)|(penalty))" /e /r /s</v>
      </c>
      <c r="AG55" s="1" t="str">
        <f t="shared" si="33"/>
        <v>EC</v>
      </c>
      <c r="AH55" s="92" t="str">
        <f t="shared" si="17"/>
        <v>"%USERPROFILE%\Documents\GitHub\eaglep3\Utilities\RefineRTDCRunTimes.py" --tripid 143-12 --locoid 4011 --swversion DE.1.0.8.0 --startMP 204:451 --initTime 2016-11-12T08:53:03 --startdatetime 2016-11-12T09:00:33 --delay 1 --endMP 204:233301 --enddatetime 2016-11-12T09:36:44 --enforcementcount 0 &gt;&gt;C:\Users\stu\Documents\GitHub\eaglep3-reporting\EC\2016-11-12-refined-times.txt</v>
      </c>
      <c r="AI5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ID","value":"143-12"},{"id":16,"name":"Locomotive ID","value":"4011"},{"id":130,"name":"Impact","value":""},{"id":150,"name":"Time of Event (Mountain Time)","value":"09:36:44"},{"id":151,"name":"Denver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426</v>
      </c>
      <c r="B56" s="7">
        <v>4012</v>
      </c>
      <c r="C56" s="22" t="s">
        <v>225</v>
      </c>
      <c r="D56" s="22" t="s">
        <v>646</v>
      </c>
      <c r="E56" s="13">
        <v>42686.409583333334</v>
      </c>
      <c r="F56" s="13">
        <v>42686.414212962962</v>
      </c>
      <c r="G56" s="7">
        <v>1</v>
      </c>
      <c r="H56" s="22" t="s">
        <v>253</v>
      </c>
      <c r="I56" s="13">
        <v>42686.441840277781</v>
      </c>
      <c r="J56" s="7">
        <v>0</v>
      </c>
      <c r="K56" s="109" t="str">
        <f t="shared" si="19"/>
        <v>4011/4012</v>
      </c>
      <c r="L56" s="22" t="str">
        <f>VLOOKUP(A56,'Trips&amp;Operators'!$C$1:$E$10000,3,FALSE)</f>
        <v>STRICKLAND</v>
      </c>
      <c r="M56" s="6">
        <f t="shared" si="20"/>
        <v>2.7627314819255844E-2</v>
      </c>
      <c r="N56" s="7">
        <f t="shared" si="21"/>
        <v>39.783333339728415</v>
      </c>
      <c r="O56" s="7"/>
      <c r="P56" s="7"/>
      <c r="Q56" s="23"/>
      <c r="R56" s="23"/>
      <c r="S56" s="35">
        <f t="shared" si="22"/>
        <v>1</v>
      </c>
      <c r="T56" s="50" t="str">
        <f t="shared" si="23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08:49:48-700',mode:absolute,to:'2016-11-12 11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6" s="52" t="str">
        <f t="shared" si="25"/>
        <v>N</v>
      </c>
      <c r="X56" s="177">
        <f t="shared" si="26"/>
        <v>1</v>
      </c>
      <c r="Y56" s="67">
        <f t="shared" si="27"/>
        <v>23.296700000000001</v>
      </c>
      <c r="Z56" s="67">
        <f t="shared" si="28"/>
        <v>1.4999999999999999E-2</v>
      </c>
      <c r="AA56" s="67">
        <f t="shared" si="29"/>
        <v>23.281700000000001</v>
      </c>
      <c r="AB56" s="64" t="str">
        <f>VLOOKUP(A56,Enforcements!$C$7:$K$20,8,0)</f>
        <v>Bulletin (2)</v>
      </c>
      <c r="AC56" s="60" t="str">
        <f>VLOOKUP(A56,Enforcements!$C$7:$E$20,3,0)</f>
        <v>GRADE CROSSING</v>
      </c>
      <c r="AD56" s="61" t="str">
        <f t="shared" si="30"/>
        <v>0144-12</v>
      </c>
      <c r="AE56" s="91" t="str">
        <f t="shared" si="31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56" s="88" t="str">
        <f t="shared" si="32"/>
        <v>"C:\Program Files (x86)\AstroGrep\AstroGrep.exe" /spath="%USERPROFILE%\AppData\Local\Temp\OnboardLogs" /stypes="app*4012*20161112*" /stext=" 17:.+((SYSTEM_STATE.+slice.+state.+changed )|(ment ac)|(system.+state.+changed )|(\[timeout)|(PRM\|1\|D)|(kpr)|(kdp)|(\|lc)|(penalty))" /e /r /s</v>
      </c>
      <c r="AG56" s="1" t="str">
        <f t="shared" si="33"/>
        <v>EC</v>
      </c>
      <c r="AH56" s="92" t="str">
        <f t="shared" si="17"/>
        <v>"%USERPROFILE%\Documents\GitHub\eaglep3\Utilities\RefineRTDCRunTimes.py" --tripid 144-12 --locoid 4012 --swversion DE.1.0.8.0 --startMP 204:232967 --initTime 2016-11-12T09:49:48 --startdatetime 2016-11-12T09:56:28 --delay 1 --endMP 204:150 --enddatetime 2016-11-12T10:36:15 --enforcementcount 0 &gt;&gt;C:\Users\stu\Documents\GitHub\eaglep3-reporting\EC\2016-11-12-refined-times.txt</v>
      </c>
      <c r="AI5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ID","value":"144-12"},{"id":16,"name":"Locomotive ID","value":"4012"},{"id":130,"name":"Impact","value":""},{"id":150,"name":"Time of Event (Mountain Time)","value":"10:36:15"},{"id":151,"name":"Denver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496</v>
      </c>
      <c r="B57" s="7">
        <v>4014</v>
      </c>
      <c r="C57" s="22" t="s">
        <v>225</v>
      </c>
      <c r="D57" s="22" t="s">
        <v>201</v>
      </c>
      <c r="E57" s="13">
        <v>42686.381689814814</v>
      </c>
      <c r="F57" s="13">
        <v>42686.385729166665</v>
      </c>
      <c r="G57" s="7">
        <v>1</v>
      </c>
      <c r="H57" s="22" t="s">
        <v>647</v>
      </c>
      <c r="I57" s="13">
        <v>42686.409895833334</v>
      </c>
      <c r="J57" s="7">
        <v>0</v>
      </c>
      <c r="K57" s="109" t="str">
        <f t="shared" si="19"/>
        <v>4013/4014</v>
      </c>
      <c r="L57" s="22" t="str">
        <f>VLOOKUP(A57,'Trips&amp;Operators'!$C$1:$E$10000,3,FALSE)</f>
        <v>DE LA ROSA</v>
      </c>
      <c r="M57" s="6">
        <f t="shared" si="20"/>
        <v>2.4166666669771075E-2</v>
      </c>
      <c r="N57" s="7">
        <f t="shared" si="21"/>
        <v>34.800000004470348</v>
      </c>
      <c r="O57" s="7"/>
      <c r="P57" s="7"/>
      <c r="Q57" s="23"/>
      <c r="R57" s="23"/>
      <c r="S57" s="35">
        <f t="shared" si="22"/>
        <v>1</v>
      </c>
      <c r="T57" s="50" t="str">
        <f t="shared" si="2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08:09:38-700',mode:absolute,to:'2016-11-12 10:50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7" s="52" t="str">
        <f t="shared" si="25"/>
        <v>N</v>
      </c>
      <c r="X57" s="177">
        <f t="shared" si="26"/>
        <v>1</v>
      </c>
      <c r="Y57" s="67">
        <f t="shared" si="27"/>
        <v>4.53E-2</v>
      </c>
      <c r="Z57" s="67">
        <f t="shared" si="28"/>
        <v>23.328700000000001</v>
      </c>
      <c r="AA57" s="67">
        <f t="shared" si="29"/>
        <v>23.2834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30"/>
        <v>0145-12</v>
      </c>
      <c r="AE57" s="91" t="str">
        <f t="shared" si="31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57" s="88" t="str">
        <f t="shared" si="32"/>
        <v>"C:\Program Files (x86)\AstroGrep\AstroGrep.exe" /spath="%USERPROFILE%\AppData\Local\Temp\OnboardLogs" /stypes="app*4014*20161112*" /stext=" 16:.+((SYSTEM_STATE.+slice.+state.+changed )|(ment ac)|(system.+state.+changed )|(\[timeout)|(PRM\|1\|D)|(kpr)|(kdp)|(\|lc)|(penalty))" /e /r /s</v>
      </c>
      <c r="AG57" s="1" t="str">
        <f t="shared" si="33"/>
        <v>EC</v>
      </c>
      <c r="AH57" s="92" t="str">
        <f t="shared" si="17"/>
        <v>"%USERPROFILE%\Documents\GitHub\eaglep3\Utilities\RefineRTDCRunTimes.py" --tripid 145-12 --locoid 4014 --swversion DE.1.0.8.0 --startMP 204:453 --initTime 2016-11-12T09:09:38 --startdatetime 2016-11-12T09:15:27 --delay 1 --endMP 204:233287 --enddatetime 2016-11-12T09:50:15 --enforcementcount 0 &gt;&gt;C:\Users\stu\Documents\GitHub\eaglep3-reporting\EC\2016-11-12-refined-times.txt</v>
      </c>
      <c r="AI5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{"issue":{"subject":"","project_id":79,"tracker_id":40,"status_id":1,"priority_id":2,"assigned_to_id":23,"start_date":"2016-11-12","description":"","custom_fields":[{"id":1,"name":"Subdivision","value":"EC"},{"id":4,"name":"Milepost","value":"23.3287"},{"id":17,"name":"Train ID","value":"145-12"},{"id":16,"name":"Locomotive ID","value":"4014"},{"id":130,"name":"Impact","value":""},{"id":150,"name":"Time of Event (Mountain Time)","value":"09:50:15"},{"id":151,"name":"Denver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502</v>
      </c>
      <c r="B58" s="7">
        <v>4013</v>
      </c>
      <c r="C58" s="22" t="s">
        <v>225</v>
      </c>
      <c r="D58" s="22" t="s">
        <v>648</v>
      </c>
      <c r="E58" s="13">
        <v>42686.42015046296</v>
      </c>
      <c r="F58" s="13">
        <v>42686.424675925926</v>
      </c>
      <c r="G58" s="7">
        <v>1</v>
      </c>
      <c r="H58" s="22" t="s">
        <v>340</v>
      </c>
      <c r="I58" s="13">
        <v>42686.450231481482</v>
      </c>
      <c r="J58" s="7">
        <v>0</v>
      </c>
      <c r="K58" s="109" t="str">
        <f t="shared" si="19"/>
        <v>4013/4014</v>
      </c>
      <c r="L58" s="22" t="str">
        <f>VLOOKUP(A58,'Trips&amp;Operators'!$C$1:$E$10000,3,FALSE)</f>
        <v>DE LA ROSA</v>
      </c>
      <c r="M58" s="6">
        <f t="shared" si="20"/>
        <v>2.5555555555911269E-2</v>
      </c>
      <c r="N58" s="7">
        <f t="shared" si="21"/>
        <v>36.800000000512227</v>
      </c>
      <c r="O58" s="7"/>
      <c r="P58" s="7"/>
      <c r="Q58" s="23"/>
      <c r="R58" s="23"/>
      <c r="S58" s="35">
        <f t="shared" si="22"/>
        <v>1</v>
      </c>
      <c r="T58" s="50" t="str">
        <f t="shared" si="2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09:05:01-700',mode:absolute,to:'2016-11-12 11:48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8" s="52" t="str">
        <f t="shared" si="25"/>
        <v>N</v>
      </c>
      <c r="X58" s="177">
        <f t="shared" si="26"/>
        <v>1</v>
      </c>
      <c r="Y58" s="67">
        <f t="shared" si="27"/>
        <v>23.2972</v>
      </c>
      <c r="Z58" s="67">
        <f t="shared" si="28"/>
        <v>1.54E-2</v>
      </c>
      <c r="AA58" s="67">
        <f t="shared" si="29"/>
        <v>23.2818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30"/>
        <v>0146-12</v>
      </c>
      <c r="AE58" s="91" t="str">
        <f t="shared" si="31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58" s="88" t="str">
        <f t="shared" si="32"/>
        <v>"C:\Program Files (x86)\AstroGrep\AstroGrep.exe" /spath="%USERPROFILE%\AppData\Local\Temp\OnboardLogs" /stypes="app*4013*20161112*" /stext=" 17:.+((SYSTEM_STATE.+slice.+state.+changed )|(ment ac)|(system.+state.+changed )|(\[timeout)|(PRM\|1\|D)|(kpr)|(kdp)|(\|lc)|(penalty))" /e /r /s</v>
      </c>
      <c r="AG58" s="1" t="str">
        <f t="shared" si="33"/>
        <v>EC</v>
      </c>
      <c r="AH58" s="92" t="str">
        <f t="shared" si="17"/>
        <v>"%USERPROFILE%\Documents\GitHub\eaglep3\Utilities\RefineRTDCRunTimes.py" --tripid 146-12 --locoid 4013 --swversion DE.1.0.8.0 --startMP 204:232972 --initTime 2016-11-12T10:05:01 --startdatetime 2016-11-12T10:11:32 --delay 1 --endMP 204:154 --enddatetime 2016-11-12T10:48:20 --enforcementcount 0 &gt;&gt;C:\Users\stu\Documents\GitHub\eaglep3-reporting\EC\2016-11-12-refined-times.txt</v>
      </c>
      <c r="AI5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ID","value":"146-12"},{"id":16,"name":"Locomotive ID","value":"4013"},{"id":130,"name":"Impact","value":""},{"id":150,"name":"Time of Event (Mountain Time)","value":"10:48:20"},{"id":151,"name":"Denver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497</v>
      </c>
      <c r="B59" s="7">
        <v>4053</v>
      </c>
      <c r="C59" s="22" t="s">
        <v>225</v>
      </c>
      <c r="D59" s="22" t="s">
        <v>298</v>
      </c>
      <c r="E59" s="13">
        <v>42686.389363425929</v>
      </c>
      <c r="F59" s="13">
        <v>42686.395995370367</v>
      </c>
      <c r="G59" s="7">
        <v>1</v>
      </c>
      <c r="H59" s="22" t="s">
        <v>630</v>
      </c>
      <c r="I59" s="13">
        <v>42686.420254629629</v>
      </c>
      <c r="J59" s="7">
        <v>0</v>
      </c>
      <c r="K59" s="109" t="str">
        <f t="shared" si="19"/>
        <v>4053/4054</v>
      </c>
      <c r="L59" s="22" t="str">
        <f>VLOOKUP(A59,'Trips&amp;Operators'!$C$1:$E$10000,3,FALSE)</f>
        <v>ACKERMAN</v>
      </c>
      <c r="M59" s="6">
        <f t="shared" si="20"/>
        <v>2.4259259262180422E-2</v>
      </c>
      <c r="N59" s="7">
        <f t="shared" si="21"/>
        <v>34.933333337539807</v>
      </c>
      <c r="O59" s="7"/>
      <c r="P59" s="7"/>
      <c r="Q59" s="23"/>
      <c r="R59" s="23"/>
      <c r="S59" s="35">
        <f t="shared" si="22"/>
        <v>1</v>
      </c>
      <c r="T59" s="50" t="str">
        <f t="shared" si="2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08:20:41-700',mode:absolute,to:'2016-11-12 11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9" s="52" t="str">
        <f t="shared" si="25"/>
        <v>N</v>
      </c>
      <c r="X59" s="177">
        <f t="shared" si="26"/>
        <v>1</v>
      </c>
      <c r="Y59" s="67">
        <f t="shared" si="27"/>
        <v>4.4200000000000003E-2</v>
      </c>
      <c r="Z59" s="67">
        <f t="shared" si="28"/>
        <v>23.330100000000002</v>
      </c>
      <c r="AA59" s="67">
        <f t="shared" si="29"/>
        <v>23.285900000000002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30"/>
        <v>0147-12</v>
      </c>
      <c r="AE59" s="91" t="str">
        <f t="shared" si="31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59" s="88" t="str">
        <f t="shared" si="32"/>
        <v>"C:\Program Files (x86)\AstroGrep\AstroGrep.exe" /spath="%USERPROFILE%\AppData\Local\Temp\OnboardLogs" /stypes="app*4053*20161112*" /stext=" 17:.+((SYSTEM_STATE.+slice.+state.+changed )|(ment ac)|(system.+state.+changed )|(\[timeout)|(PRM\|1\|D)|(kpr)|(kdp)|(\|lc)|(penalty))" /e /r /s</v>
      </c>
      <c r="AG59" s="1" t="str">
        <f t="shared" si="33"/>
        <v>EC</v>
      </c>
      <c r="AH59" s="92" t="str">
        <f t="shared" si="17"/>
        <v>"%USERPROFILE%\Documents\GitHub\eaglep3\Utilities\RefineRTDCRunTimes.py" --tripid 147-12 --locoid 4053 --swversion DE.1.0.8.0 --startMP 204:442 --initTime 2016-11-12T09:20:41 --startdatetime 2016-11-12T09:30:14 --delay 1 --endMP 204:233301 --enddatetime 2016-11-12T10:05:10 --enforcementcount 0 &gt;&gt;C:\Users\stu\Documents\GitHub\eaglep3-reporting\EC\2016-11-12-refined-times.txt</v>
      </c>
      <c r="AI5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ID","value":"147-12"},{"id":16,"name":"Locomotive ID","value":"4053"},{"id":130,"name":"Impact","value":""},{"id":150,"name":"Time of Event (Mountain Time)","value":"10:05:10"},{"id":151,"name":"Denver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505</v>
      </c>
      <c r="B60" s="7">
        <v>4054</v>
      </c>
      <c r="C60" s="22" t="s">
        <v>225</v>
      </c>
      <c r="D60" s="22" t="s">
        <v>649</v>
      </c>
      <c r="E60" s="13">
        <v>42686.429201388892</v>
      </c>
      <c r="F60" s="13">
        <v>42686.435023148151</v>
      </c>
      <c r="G60" s="7">
        <v>1</v>
      </c>
      <c r="H60" s="22" t="s">
        <v>269</v>
      </c>
      <c r="I60" s="13">
        <v>42686.460925925923</v>
      </c>
      <c r="J60" s="7">
        <v>0</v>
      </c>
      <c r="K60" s="109" t="str">
        <f t="shared" si="19"/>
        <v>4053/4054</v>
      </c>
      <c r="L60" s="22" t="str">
        <f>VLOOKUP(A60,'Trips&amp;Operators'!$C$1:$E$10000,3,FALSE)</f>
        <v>ACKERMAN</v>
      </c>
      <c r="M60" s="6">
        <f t="shared" si="20"/>
        <v>2.5902777771989349E-2</v>
      </c>
      <c r="N60" s="7">
        <f t="shared" si="21"/>
        <v>37.299999991664663</v>
      </c>
      <c r="O60" s="7"/>
      <c r="P60" s="7"/>
      <c r="Q60" s="23"/>
      <c r="R60" s="23"/>
      <c r="S60" s="35">
        <f t="shared" si="22"/>
        <v>1</v>
      </c>
      <c r="T60" s="50" t="str">
        <f t="shared" si="2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09:18:03-700',mode:absolute,to:'2016-11-12 12:03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60" s="52" t="str">
        <f t="shared" si="25"/>
        <v>N</v>
      </c>
      <c r="X60" s="177">
        <f t="shared" si="26"/>
        <v>1</v>
      </c>
      <c r="Y60" s="67">
        <f t="shared" si="27"/>
        <v>23.296900000000001</v>
      </c>
      <c r="Z60" s="67">
        <f t="shared" si="28"/>
        <v>1.6500000000000001E-2</v>
      </c>
      <c r="AA60" s="67">
        <f t="shared" si="29"/>
        <v>23.2804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30"/>
        <v>0148-12</v>
      </c>
      <c r="AE60" s="91" t="str">
        <f t="shared" si="31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60" s="88" t="str">
        <f t="shared" si="32"/>
        <v>"C:\Program Files (x86)\AstroGrep\AstroGrep.exe" /spath="%USERPROFILE%\AppData\Local\Temp\OnboardLogs" /stypes="app*4054*20161112*" /stext=" 18:.+((SYSTEM_STATE.+slice.+state.+changed )|(ment ac)|(system.+state.+changed )|(\[timeout)|(PRM\|1\|D)|(kpr)|(kdp)|(\|lc)|(penalty))" /e /r /s</v>
      </c>
      <c r="AG60" s="1" t="str">
        <f t="shared" si="33"/>
        <v>EC</v>
      </c>
      <c r="AH60" s="92" t="str">
        <f t="shared" si="17"/>
        <v>"%USERPROFILE%\Documents\GitHub\eaglep3\Utilities\RefineRTDCRunTimes.py" --tripid 148-12 --locoid 4054 --swversion DE.1.0.8.0 --startMP 204:232969 --initTime 2016-11-12T10:18:03 --startdatetime 2016-11-12T10:26:26 --delay 1 --endMP 204:165 --enddatetime 2016-11-12T11:03:44 --enforcementcount 0 &gt;&gt;C:\Users\stu\Documents\GitHub\eaglep3-reporting\EC\2016-11-12-refined-times.txt</v>
      </c>
      <c r="AI6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ID","value":"148-12"},{"id":16,"name":"Locomotive ID","value":"4054"},{"id":130,"name":"Impact","value":""},{"id":150,"name":"Time of Event (Mountain Time)","value":"11:03:44"},{"id":151,"name":"Denver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425</v>
      </c>
      <c r="B61" s="7">
        <v>4025</v>
      </c>
      <c r="C61" s="22" t="s">
        <v>225</v>
      </c>
      <c r="D61" s="22" t="s">
        <v>351</v>
      </c>
      <c r="E61" s="13">
        <v>42686.402048611111</v>
      </c>
      <c r="F61" s="13">
        <v>42686.406400462962</v>
      </c>
      <c r="G61" s="7">
        <v>1</v>
      </c>
      <c r="H61" s="22" t="s">
        <v>188</v>
      </c>
      <c r="I61" s="13">
        <v>42686.431898148148</v>
      </c>
      <c r="J61" s="7">
        <v>0</v>
      </c>
      <c r="K61" s="109" t="str">
        <f t="shared" si="19"/>
        <v>4025/4026</v>
      </c>
      <c r="L61" s="22" t="str">
        <f>VLOOKUP(A61,'Trips&amp;Operators'!$C$1:$E$10000,3,FALSE)</f>
        <v>DAVIS</v>
      </c>
      <c r="M61" s="6">
        <f t="shared" si="20"/>
        <v>2.5497685186564922E-2</v>
      </c>
      <c r="N61" s="7">
        <f t="shared" si="21"/>
        <v>36.716666668653488</v>
      </c>
      <c r="O61" s="7"/>
      <c r="P61" s="7"/>
      <c r="Q61" s="23"/>
      <c r="R61" s="23"/>
      <c r="S61" s="35">
        <f t="shared" si="22"/>
        <v>1</v>
      </c>
      <c r="T61" s="50" t="str">
        <f t="shared" si="2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08:38:57-700',mode:absolute,to:'2016-11-12 11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1" s="52" t="str">
        <f t="shared" si="25"/>
        <v>N</v>
      </c>
      <c r="X61" s="177">
        <f t="shared" si="26"/>
        <v>1</v>
      </c>
      <c r="Y61" s="67">
        <f t="shared" si="27"/>
        <v>4.4900000000000002E-2</v>
      </c>
      <c r="Z61" s="67">
        <f t="shared" si="28"/>
        <v>23.329699999999999</v>
      </c>
      <c r="AA61" s="67">
        <f t="shared" si="29"/>
        <v>23.284800000000001</v>
      </c>
      <c r="AB61" s="64" t="str">
        <f>VLOOKUP(A61,Enforcements!$C$7:$K$20,8,0)</f>
        <v>Speed (6)</v>
      </c>
      <c r="AC61" s="60" t="str">
        <f>VLOOKUP(A61,Enforcements!$C$7:$E$20,3,0)</f>
        <v>PERMANENT SPEED RESTRICTION</v>
      </c>
      <c r="AD61" s="61" t="str">
        <f t="shared" si="30"/>
        <v>0149-12</v>
      </c>
      <c r="AE61" s="91" t="str">
        <f t="shared" si="31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61" s="88" t="str">
        <f t="shared" si="32"/>
        <v>"C:\Program Files (x86)\AstroGrep\AstroGrep.exe" /spath="%USERPROFILE%\AppData\Local\Temp\OnboardLogs" /stypes="app*4025*20161112*" /stext=" 17:.+((SYSTEM_STATE.+slice.+state.+changed )|(ment ac)|(system.+state.+changed )|(\[timeout)|(PRM\|1\|D)|(kpr)|(kdp)|(\|lc)|(penalty))" /e /r /s</v>
      </c>
      <c r="AG61" s="1" t="str">
        <f t="shared" si="33"/>
        <v>EC</v>
      </c>
      <c r="AH61" s="92" t="str">
        <f t="shared" si="17"/>
        <v>"%USERPROFILE%\Documents\GitHub\eaglep3\Utilities\RefineRTDCRunTimes.py" --tripid 149-12 --locoid 4025 --swversion DE.1.0.8.0 --startMP 204:449 --initTime 2016-11-12T09:38:57 --startdatetime 2016-11-12T09:45:13 --delay 1 --endMP 204:233297 --enddatetime 2016-11-12T10:21:56 --enforcementcount 0 &gt;&gt;C:\Users\stu\Documents\GitHub\eaglep3-reporting\EC\2016-11-12-refined-times.txt</v>
      </c>
      <c r="AI6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{"issue":{"subject":"","project_id":79,"tracker_id":40,"status_id":1,"priority_id":2,"assigned_to_id":23,"start_date":"2016-11-12","description":"","custom_fields":[{"id":1,"name":"Subdivision","value":"EC"},{"id":4,"name":"Milepost","value":"23.3297"},{"id":17,"name":"Train ID","value":"149-12"},{"id":16,"name":"Locomotive ID","value":"4025"},{"id":130,"name":"Impact","value":""},{"id":150,"name":"Time of Event (Mountain Time)","value":"10:21:56"},{"id":151,"name":"Denver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508</v>
      </c>
      <c r="B62" s="7">
        <v>4026</v>
      </c>
      <c r="C62" s="22" t="s">
        <v>225</v>
      </c>
      <c r="D62" s="22" t="s">
        <v>400</v>
      </c>
      <c r="E62" s="13">
        <v>42686.441736111112</v>
      </c>
      <c r="F62" s="13">
        <v>42686.445555555554</v>
      </c>
      <c r="G62" s="7">
        <v>5</v>
      </c>
      <c r="H62" s="22" t="s">
        <v>302</v>
      </c>
      <c r="I62" s="13">
        <v>42686.473645833335</v>
      </c>
      <c r="J62" s="7">
        <v>0</v>
      </c>
      <c r="K62" s="109" t="str">
        <f t="shared" si="19"/>
        <v>4025/4026</v>
      </c>
      <c r="L62" s="22" t="str">
        <f>VLOOKUP(A62,'Trips&amp;Operators'!$C$1:$E$10000,3,FALSE)</f>
        <v>DAVIS</v>
      </c>
      <c r="M62" s="6">
        <f t="shared" si="20"/>
        <v>2.8090277781302575E-2</v>
      </c>
      <c r="N62" s="7">
        <f t="shared" si="21"/>
        <v>40.450000005075708</v>
      </c>
      <c r="O62" s="7"/>
      <c r="P62" s="7"/>
      <c r="Q62" s="23"/>
      <c r="R62" s="23"/>
      <c r="S62" s="35">
        <f t="shared" si="22"/>
        <v>1</v>
      </c>
      <c r="T62" s="50" t="str">
        <f t="shared" si="2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09:36:06-700',mode:absolute,to:'2016-11-12 12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2" s="52" t="str">
        <f t="shared" si="25"/>
        <v>N</v>
      </c>
      <c r="X62" s="177">
        <f t="shared" si="26"/>
        <v>1</v>
      </c>
      <c r="Y62" s="67">
        <f t="shared" si="27"/>
        <v>23.298300000000001</v>
      </c>
      <c r="Z62" s="67">
        <f t="shared" si="28"/>
        <v>1.34E-2</v>
      </c>
      <c r="AA62" s="67">
        <f t="shared" si="29"/>
        <v>23.2849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30"/>
        <v>0150-12</v>
      </c>
      <c r="AE62" s="91" t="str">
        <f t="shared" si="31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62" s="88" t="str">
        <f t="shared" si="32"/>
        <v>"C:\Program Files (x86)\AstroGrep\AstroGrep.exe" /spath="%USERPROFILE%\AppData\Local\Temp\OnboardLogs" /stypes="app*4026*20161112*" /stext=" 18:.+((SYSTEM_STATE.+slice.+state.+changed )|(ment ac)|(system.+state.+changed )|(\[timeout)|(PRM\|1\|D)|(kpr)|(kdp)|(\|lc)|(penalty))" /e /r /s</v>
      </c>
      <c r="AG62" s="1" t="str">
        <f t="shared" si="33"/>
        <v>EC</v>
      </c>
      <c r="AH62" s="92" t="str">
        <f t="shared" si="17"/>
        <v>"%USERPROFILE%\Documents\GitHub\eaglep3\Utilities\RefineRTDCRunTimes.py" --tripid 150-12 --locoid 4026 --swversion DE.1.0.8.0 --startMP 204:232983 --initTime 2016-11-12T10:36:06 --startdatetime 2016-11-12T10:41:36 --delay 5 --endMP 204:134 --enddatetime 2016-11-12T11:22:03 --enforcementcount 0 &gt;&gt;C:\Users\stu\Documents\GitHub\eaglep3-reporting\EC\2016-11-12-refined-times.txt</v>
      </c>
      <c r="AI6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{"issue":{"subject":"","project_id":79,"tracker_id":40,"status_id":1,"priority_id":2,"assigned_to_id":23,"start_date":"2016-11-12","description":"","custom_fields":[{"id":1,"name":"Subdivision","value":"EC"},{"id":4,"name":"Milepost","value":"0.0134"},{"id":17,"name":"Train ID","value":"150-12"},{"id":16,"name":"Locomotive ID","value":"4026"},{"id":130,"name":"Impact","value":""},{"id":150,"name":"Time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501</v>
      </c>
      <c r="B63" s="7">
        <v>4042</v>
      </c>
      <c r="C63" s="22" t="s">
        <v>225</v>
      </c>
      <c r="D63" s="22" t="s">
        <v>257</v>
      </c>
      <c r="E63" s="13">
        <v>42686.410104166665</v>
      </c>
      <c r="F63" s="13">
        <v>42686.416886574072</v>
      </c>
      <c r="G63" s="7">
        <v>1</v>
      </c>
      <c r="H63" s="22" t="s">
        <v>402</v>
      </c>
      <c r="I63" s="13">
        <v>42686.441319444442</v>
      </c>
      <c r="J63" s="7">
        <v>0</v>
      </c>
      <c r="K63" s="109" t="str">
        <f t="shared" si="19"/>
        <v>4041/4042</v>
      </c>
      <c r="L63" s="22" t="str">
        <f>VLOOKUP(A63,'Trips&amp;Operators'!$C$1:$E$10000,3,FALSE)</f>
        <v>KILLION</v>
      </c>
      <c r="M63" s="6">
        <f t="shared" si="20"/>
        <v>2.4432870370219462E-2</v>
      </c>
      <c r="N63" s="7">
        <f t="shared" si="21"/>
        <v>35.183333333116025</v>
      </c>
      <c r="O63" s="7"/>
      <c r="P63" s="7"/>
      <c r="Q63" s="23"/>
      <c r="R63" s="23"/>
      <c r="S63" s="35">
        <f t="shared" si="22"/>
        <v>1</v>
      </c>
      <c r="T63" s="50" t="str">
        <f t="shared" si="2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08:50:33-700',mode:absolute,to:'2016-11-12 11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2" t="str">
        <f t="shared" si="25"/>
        <v>N</v>
      </c>
      <c r="X63" s="177">
        <f t="shared" si="26"/>
        <v>1</v>
      </c>
      <c r="Y63" s="67">
        <f t="shared" si="27"/>
        <v>4.6699999999999998E-2</v>
      </c>
      <c r="Z63" s="67">
        <f t="shared" si="28"/>
        <v>23.333200000000001</v>
      </c>
      <c r="AA63" s="67">
        <f t="shared" si="29"/>
        <v>23.2865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30"/>
        <v>0151-12</v>
      </c>
      <c r="AE63" s="91" t="str">
        <f t="shared" si="31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63" s="88" t="str">
        <f t="shared" si="32"/>
        <v>"C:\Program Files (x86)\AstroGrep\AstroGrep.exe" /spath="%USERPROFILE%\AppData\Local\Temp\OnboardLogs" /stypes="app*4042*20161112*" /stext=" 17:.+((SYSTEM_STATE.+slice.+state.+changed )|(ment ac)|(system.+state.+changed )|(\[timeout)|(PRM\|1\|D)|(kpr)|(kdp)|(\|lc)|(penalty))" /e /r /s</v>
      </c>
      <c r="AG63" s="1" t="str">
        <f t="shared" si="33"/>
        <v>EC</v>
      </c>
      <c r="AH63" s="92" t="str">
        <f t="shared" si="17"/>
        <v>"%USERPROFILE%\Documents\GitHub\eaglep3\Utilities\RefineRTDCRunTimes.py" --tripid 151-12 --locoid 4042 --swversion DE.1.0.8.0 --startMP 204:467 --initTime 2016-11-12T09:50:33 --startdatetime 2016-11-12T10:00:19 --delay 1 --endMP 204:233332 --enddatetime 2016-11-12T10:35:30 --enforcementcount 0 &gt;&gt;C:\Users\stu\Documents\GitHub\eaglep3-reporting\EC\2016-11-12-refined-times.txt</v>
      </c>
      <c r="AI6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{"issue":{"subject":"","project_id":79,"tracker_id":40,"status_id":1,"priority_id":2,"assigned_to_id":23,"start_date":"2016-11-12","description":"","custom_fields":[{"id":1,"name":"Subdivision","value":"EC"},{"id":4,"name":"Milepost","value":"23.3332"},{"id":17,"name":"Train ID","value":"151-12"},{"id":16,"name":"Locomotive ID","value":"4042"},{"id":130,"name":"Impact","value":""},{"id":150,"name":"Time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509</v>
      </c>
      <c r="B64" s="7">
        <v>4041</v>
      </c>
      <c r="C64" s="22" t="s">
        <v>225</v>
      </c>
      <c r="D64" s="22" t="s">
        <v>650</v>
      </c>
      <c r="E64" s="13">
        <v>42686.443564814814</v>
      </c>
      <c r="F64" s="13">
        <v>42686.455729166664</v>
      </c>
      <c r="G64" s="7">
        <v>1</v>
      </c>
      <c r="H64" s="22" t="s">
        <v>253</v>
      </c>
      <c r="I64" s="13">
        <v>42686.482129629629</v>
      </c>
      <c r="J64" s="7">
        <v>0</v>
      </c>
      <c r="K64" s="109" t="str">
        <f t="shared" si="19"/>
        <v>4041/4042</v>
      </c>
      <c r="L64" s="22" t="str">
        <f>VLOOKUP(A64,'Trips&amp;Operators'!$C$1:$E$10000,3,FALSE)</f>
        <v>KILLION</v>
      </c>
      <c r="M64" s="6">
        <f t="shared" si="20"/>
        <v>2.6400462964375038E-2</v>
      </c>
      <c r="N64" s="7">
        <f t="shared" si="21"/>
        <v>38.016666668700054</v>
      </c>
      <c r="O64" s="7"/>
      <c r="P64" s="7"/>
      <c r="Q64" s="23"/>
      <c r="R64" s="23"/>
      <c r="S64" s="35">
        <f t="shared" si="22"/>
        <v>1</v>
      </c>
      <c r="T64" s="50" t="str">
        <f t="shared" si="2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09:38:44-700',mode:absolute,to:'2016-11-12 12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4" s="52" t="str">
        <f t="shared" si="25"/>
        <v>N</v>
      </c>
      <c r="X64" s="177">
        <f t="shared" si="26"/>
        <v>1</v>
      </c>
      <c r="Y64" s="67">
        <f t="shared" si="27"/>
        <v>23.297499999999999</v>
      </c>
      <c r="Z64" s="67">
        <f t="shared" si="28"/>
        <v>1.4999999999999999E-2</v>
      </c>
      <c r="AA64" s="67">
        <f t="shared" si="29"/>
        <v>23.282499999999999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30"/>
        <v>0152-12</v>
      </c>
      <c r="AE64" s="91" t="str">
        <f t="shared" si="31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64" s="88" t="str">
        <f t="shared" si="32"/>
        <v>"C:\Program Files (x86)\AstroGrep\AstroGrep.exe" /spath="%USERPROFILE%\AppData\Local\Temp\OnboardLogs" /stypes="app*4041*20161112*" /stext=" 18:.+((SYSTEM_STATE.+slice.+state.+changed )|(ment ac)|(system.+state.+changed )|(\[timeout)|(PRM\|1\|D)|(kpr)|(kdp)|(\|lc)|(penalty))" /e /r /s</v>
      </c>
      <c r="AG64" s="1" t="str">
        <f t="shared" si="33"/>
        <v>EC</v>
      </c>
      <c r="AH64" s="92" t="str">
        <f t="shared" si="17"/>
        <v>"%USERPROFILE%\Documents\GitHub\eaglep3\Utilities\RefineRTDCRunTimes.py" --tripid 152-12 --locoid 4041 --swversion DE.1.0.8.0 --startMP 204:232975 --initTime 2016-11-12T10:38:44 --startdatetime 2016-11-12T10:56:15 --delay 1 --endMP 204:150 --enddatetime 2016-11-12T11:34:16 --enforcementcount 0 &gt;&gt;C:\Users\stu\Documents\GitHub\eaglep3-reporting\EC\2016-11-12-refined-times.txt</v>
      </c>
      <c r="AI6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ID","value":"152-12"},{"id":16,"name":"Locomotive ID","value":"4041"},{"id":130,"name":"Impact","value":""},{"id":150,"name":"Time of Event (Mountain Time)","value":"11:34:16"},{"id":151,"name":"Denver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503</v>
      </c>
      <c r="B65" s="7">
        <v>4038</v>
      </c>
      <c r="C65" s="22" t="s">
        <v>225</v>
      </c>
      <c r="D65" s="22" t="s">
        <v>222</v>
      </c>
      <c r="E65" s="13">
        <v>42686.421469907407</v>
      </c>
      <c r="F65" s="13">
        <v>42686.427256944444</v>
      </c>
      <c r="G65" s="7">
        <v>6</v>
      </c>
      <c r="H65" s="22" t="s">
        <v>651</v>
      </c>
      <c r="I65" s="13">
        <v>42686.451655092591</v>
      </c>
      <c r="J65" s="7">
        <v>0</v>
      </c>
      <c r="K65" s="109" t="str">
        <f t="shared" si="19"/>
        <v>4037/4038</v>
      </c>
      <c r="L65" s="22" t="str">
        <f>VLOOKUP(A65,'Trips&amp;Operators'!$C$1:$E$10000,3,FALSE)</f>
        <v>GEBRETEKLE</v>
      </c>
      <c r="M65" s="6">
        <f t="shared" si="20"/>
        <v>2.4398148147156462E-2</v>
      </c>
      <c r="N65" s="7">
        <f t="shared" si="21"/>
        <v>35.133333331905305</v>
      </c>
      <c r="O65" s="7"/>
      <c r="P65" s="7"/>
      <c r="Q65" s="23"/>
      <c r="R65" s="23"/>
      <c r="S65" s="35">
        <f t="shared" si="22"/>
        <v>1</v>
      </c>
      <c r="T65" s="50" t="str">
        <f t="shared" si="2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09:06:55-700',mode:absolute,to:'2016-11-12 11:50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5" s="52" t="str">
        <f t="shared" si="25"/>
        <v>N</v>
      </c>
      <c r="X65" s="177">
        <f t="shared" si="26"/>
        <v>1</v>
      </c>
      <c r="Y65" s="67">
        <f t="shared" si="27"/>
        <v>4.5699999999999998E-2</v>
      </c>
      <c r="Z65" s="67">
        <f t="shared" si="28"/>
        <v>23.332100000000001</v>
      </c>
      <c r="AA65" s="67">
        <f t="shared" si="29"/>
        <v>23.2864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30"/>
        <v>0153-12</v>
      </c>
      <c r="AE65" s="91" t="str">
        <f t="shared" si="31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65" s="88" t="str">
        <f t="shared" si="32"/>
        <v>"C:\Program Files (x86)\AstroGrep\AstroGrep.exe" /spath="%USERPROFILE%\AppData\Local\Temp\OnboardLogs" /stypes="app*4038*20161112*" /stext=" 17:.+((SYSTEM_STATE.+slice.+state.+changed )|(ment ac)|(system.+state.+changed )|(\[timeout)|(PRM\|1\|D)|(kpr)|(kdp)|(\|lc)|(penalty))" /e /r /s</v>
      </c>
      <c r="AG65" s="1" t="str">
        <f t="shared" si="33"/>
        <v>EC</v>
      </c>
      <c r="AH65" s="92" t="str">
        <f t="shared" si="17"/>
        <v>"%USERPROFILE%\Documents\GitHub\eaglep3\Utilities\RefineRTDCRunTimes.py" --tripid 153-12 --locoid 4038 --swversion DE.1.0.8.0 --startMP 204:457 --initTime 2016-11-12T10:06:55 --startdatetime 2016-11-12T10:15:15 --delay 6 --endMP 204:233321 --enddatetime 2016-11-12T10:50:23 --enforcementcount 0 &gt;&gt;C:\Users\stu\Documents\GitHub\eaglep3-reporting\EC\2016-11-12-refined-times.txt</v>
      </c>
      <c r="AI6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{"issue":{"subject":"","project_id":79,"tracker_id":40,"status_id":1,"priority_id":2,"assigned_to_id":23,"start_date":"2016-11-12","description":"","custom_fields":[{"id":1,"name":"Subdivision","value":"EC"},{"id":4,"name":"Milepost","value":"23.3321"},{"id":17,"name":"Train ID","value":"153-12"},{"id":16,"name":"Locomotive ID","value":"4038"},{"id":130,"name":"Impact","value":""},{"id":150,"name":"Time of Event (Mountain Time)","value":"10:50:23"},{"id":151,"name":"Denver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512</v>
      </c>
      <c r="B66" s="7">
        <v>4037</v>
      </c>
      <c r="C66" s="22" t="s">
        <v>225</v>
      </c>
      <c r="D66" s="22" t="s">
        <v>256</v>
      </c>
      <c r="E66" s="13">
        <v>42686.461782407408</v>
      </c>
      <c r="F66" s="13">
        <v>42686.466238425928</v>
      </c>
      <c r="G66" s="7">
        <v>1</v>
      </c>
      <c r="H66" s="22" t="s">
        <v>353</v>
      </c>
      <c r="I66" s="13">
        <v>42686.491550925923</v>
      </c>
      <c r="J66" s="7">
        <v>0</v>
      </c>
      <c r="K66" s="109" t="str">
        <f t="shared" si="19"/>
        <v>4037/4038</v>
      </c>
      <c r="L66" s="22" t="str">
        <f>VLOOKUP(A66,'Trips&amp;Operators'!$C$1:$E$10000,3,FALSE)</f>
        <v>GEBRETEKLE</v>
      </c>
      <c r="M66" s="6">
        <f t="shared" si="20"/>
        <v>2.5312499994470272E-2</v>
      </c>
      <c r="N66" s="7">
        <f t="shared" si="21"/>
        <v>36.449999992037192</v>
      </c>
      <c r="O66" s="7"/>
      <c r="P66" s="7"/>
      <c r="Q66" s="23"/>
      <c r="R66" s="23"/>
      <c r="S66" s="35">
        <f t="shared" si="22"/>
        <v>1</v>
      </c>
      <c r="T66" s="50" t="str">
        <f t="shared" si="2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10:04:58-700',mode:absolute,to:'2016-11-12 12:47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6" s="52" t="str">
        <f t="shared" si="25"/>
        <v>N</v>
      </c>
      <c r="X66" s="177">
        <f t="shared" si="26"/>
        <v>1</v>
      </c>
      <c r="Y66" s="67">
        <f t="shared" si="27"/>
        <v>23.3002</v>
      </c>
      <c r="Z66" s="67">
        <f t="shared" si="28"/>
        <v>1.41E-2</v>
      </c>
      <c r="AA66" s="67">
        <f t="shared" si="29"/>
        <v>23.286100000000001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30"/>
        <v>0154-12</v>
      </c>
      <c r="AE66" s="91" t="str">
        <f t="shared" si="31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66" s="88" t="str">
        <f t="shared" si="32"/>
        <v>"C:\Program Files (x86)\AstroGrep\AstroGrep.exe" /spath="%USERPROFILE%\AppData\Local\Temp\OnboardLogs" /stypes="app*4037*20161112*" /stext=" 18:.+((SYSTEM_STATE.+slice.+state.+changed )|(ment ac)|(system.+state.+changed )|(\[timeout)|(PRM\|1\|D)|(kpr)|(kdp)|(\|lc)|(penalty))" /e /r /s</v>
      </c>
      <c r="AG66" s="1" t="str">
        <f t="shared" si="33"/>
        <v>EC</v>
      </c>
      <c r="AH66" s="92" t="str">
        <f t="shared" si="17"/>
        <v>"%USERPROFILE%\Documents\GitHub\eaglep3\Utilities\RefineRTDCRunTimes.py" --tripid 154-12 --locoid 4037 --swversion DE.1.0.8.0 --startMP 204:233002 --initTime 2016-11-12T11:04:58 --startdatetime 2016-11-12T11:11:23 --delay 1 --endMP 204:141 --enddatetime 2016-11-12T11:47:50 --enforcementcount 0 &gt;&gt;C:\Users\stu\Documents\GitHub\eaglep3-reporting\EC\2016-11-12-refined-times.txt</v>
      </c>
      <c r="AI6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{"issue":{"subject":"","project_id":79,"tracker_id":40,"status_id":1,"priority_id":2,"assigned_to_id":23,"start_date":"2016-11-12","description":"","custom_fields":[{"id":1,"name":"Subdivision","value":"EC"},{"id":4,"name":"Milepost","value":"0.0141"},{"id":17,"name":"Train ID","value":"154-12"},{"id":16,"name":"Locomotive ID","value":"4037"},{"id":130,"name":"Impact","value":""},{"id":150,"name":"Time of Event (Mountain Time)","value":"11:47:50"},{"id":151,"name":"Denver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506</v>
      </c>
      <c r="B67" s="7">
        <v>4022</v>
      </c>
      <c r="C67" s="22" t="s">
        <v>225</v>
      </c>
      <c r="D67" s="22" t="s">
        <v>255</v>
      </c>
      <c r="E67" s="13">
        <v>42686.431435185186</v>
      </c>
      <c r="F67" s="13">
        <v>42686.437685185185</v>
      </c>
      <c r="G67" s="7">
        <v>1</v>
      </c>
      <c r="H67" s="22" t="s">
        <v>294</v>
      </c>
      <c r="I67" s="13">
        <v>42686.463472222225</v>
      </c>
      <c r="J67" s="7">
        <v>0</v>
      </c>
      <c r="K67" s="109" t="str">
        <f t="shared" si="19"/>
        <v>4021/4022</v>
      </c>
      <c r="L67" s="22" t="str">
        <f>VLOOKUP(A67,'Trips&amp;Operators'!$C$1:$E$10000,3,FALSE)</f>
        <v>CLARK</v>
      </c>
      <c r="M67" s="6">
        <f t="shared" si="20"/>
        <v>2.5787037040572613E-2</v>
      </c>
      <c r="N67" s="7">
        <f t="shared" si="21"/>
        <v>37.133333338424563</v>
      </c>
      <c r="O67" s="7"/>
      <c r="P67" s="7"/>
      <c r="Q67" s="23"/>
      <c r="R67" s="23"/>
      <c r="S67" s="35">
        <f t="shared" si="22"/>
        <v>1</v>
      </c>
      <c r="T67" s="50" t="str">
        <f t="shared" si="2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09:21:16-700',mode:absolute,to:'2016-11-12 12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7" s="52" t="str">
        <f t="shared" si="25"/>
        <v>N</v>
      </c>
      <c r="X67" s="177">
        <f t="shared" si="26"/>
        <v>1</v>
      </c>
      <c r="Y67" s="67">
        <f t="shared" si="27"/>
        <v>4.3700000000000003E-2</v>
      </c>
      <c r="Z67" s="67">
        <f t="shared" si="28"/>
        <v>23.330300000000001</v>
      </c>
      <c r="AA67" s="67">
        <f t="shared" si="29"/>
        <v>23.2866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30"/>
        <v>0155-12</v>
      </c>
      <c r="AE67" s="91" t="str">
        <f t="shared" si="31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67" s="88" t="str">
        <f t="shared" si="32"/>
        <v>"C:\Program Files (x86)\AstroGrep\AstroGrep.exe" /spath="%USERPROFILE%\AppData\Local\Temp\OnboardLogs" /stypes="app*4022*20161112*" /stext=" 18:.+((SYSTEM_STATE.+slice.+state.+changed )|(ment ac)|(system.+state.+changed )|(\[timeout)|(PRM\|1\|D)|(kpr)|(kdp)|(\|lc)|(penalty))" /e /r /s</v>
      </c>
      <c r="AG67" s="1" t="str">
        <f t="shared" si="33"/>
        <v>EC</v>
      </c>
      <c r="AH67" s="92" t="str">
        <f t="shared" si="17"/>
        <v>"%USERPROFILE%\Documents\GitHub\eaglep3\Utilities\RefineRTDCRunTimes.py" --tripid 155-12 --locoid 4022 --swversion DE.1.0.8.0 --startMP 204:437 --initTime 2016-11-12T10:21:16 --startdatetime 2016-11-12T10:30:16 --delay 1 --endMP 204:233303 --enddatetime 2016-11-12T11:07:24 --enforcementcount 0 &gt;&gt;C:\Users\stu\Documents\GitHub\eaglep3-reporting\EC\2016-11-12-refined-times.txt</v>
      </c>
      <c r="AI67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{"issue":{"subject":"","project_id":79,"tracker_id":40,"status_id":1,"priority_id":2,"assigned_to_id":23,"start_date":"2016-11-12","description":"","custom_fields":[{"id":1,"name":"Subdivision","value":"EC"},{"id":4,"name":"Milepost","value":"23.3303"},{"id":17,"name":"Train ID","value":"155-12"},{"id":16,"name":"Locomotive ID","value":"4022"},{"id":130,"name":"Impact","value":""},{"id":150,"name":"Time of Event (Mountain Time)","value":"11:07:24"},{"id":151,"name":"Denver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516</v>
      </c>
      <c r="B68" s="7">
        <v>4021</v>
      </c>
      <c r="C68" s="22" t="s">
        <v>225</v>
      </c>
      <c r="D68" s="22" t="s">
        <v>349</v>
      </c>
      <c r="E68" s="13">
        <v>42686.471388888887</v>
      </c>
      <c r="F68" s="13">
        <v>42686.476180555554</v>
      </c>
      <c r="G68" s="7">
        <v>1</v>
      </c>
      <c r="H68" s="22" t="s">
        <v>394</v>
      </c>
      <c r="I68" s="13">
        <v>42686.50403935185</v>
      </c>
      <c r="J68" s="7">
        <v>0</v>
      </c>
      <c r="K68" s="109" t="str">
        <f t="shared" si="19"/>
        <v>4021/4022</v>
      </c>
      <c r="L68" s="22" t="str">
        <f>VLOOKUP(A68,'Trips&amp;Operators'!$C$1:$E$10000,3,FALSE)</f>
        <v>CLARK</v>
      </c>
      <c r="M68" s="6">
        <f t="shared" si="20"/>
        <v>2.7858796296641231E-2</v>
      </c>
      <c r="N68" s="7">
        <f t="shared" si="21"/>
        <v>40.116666667163372</v>
      </c>
      <c r="O68" s="7"/>
      <c r="P68" s="7"/>
      <c r="Q68" s="23"/>
      <c r="R68" s="23"/>
      <c r="S68" s="35">
        <f t="shared" si="22"/>
        <v>1</v>
      </c>
      <c r="T68" s="50" t="str">
        <f t="shared" si="2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10:18:48-700',mode:absolute,to:'2016-11-12 13:05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8" s="52" t="str">
        <f t="shared" si="25"/>
        <v>N</v>
      </c>
      <c r="X68" s="177">
        <f t="shared" si="26"/>
        <v>1</v>
      </c>
      <c r="Y68" s="67">
        <f t="shared" si="27"/>
        <v>23.2988</v>
      </c>
      <c r="Z68" s="67">
        <f t="shared" si="28"/>
        <v>1.6299999999999999E-2</v>
      </c>
      <c r="AA68" s="67">
        <f t="shared" si="29"/>
        <v>23.282499999999999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30"/>
        <v>0156-12</v>
      </c>
      <c r="AE68" s="91" t="str">
        <f t="shared" si="31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68" s="88" t="str">
        <f t="shared" si="32"/>
        <v>"C:\Program Files (x86)\AstroGrep\AstroGrep.exe" /spath="%USERPROFILE%\AppData\Local\Temp\OnboardLogs" /stypes="app*4021*20161112*" /stext=" 19:.+((SYSTEM_STATE.+slice.+state.+changed )|(ment ac)|(system.+state.+changed )|(\[timeout)|(PRM\|1\|D)|(kpr)|(kdp)|(\|lc)|(penalty))" /e /r /s</v>
      </c>
      <c r="AG68" s="1" t="str">
        <f t="shared" si="33"/>
        <v>EC</v>
      </c>
      <c r="AH68" s="92" t="str">
        <f t="shared" si="17"/>
        <v>"%USERPROFILE%\Documents\GitHub\eaglep3\Utilities\RefineRTDCRunTimes.py" --tripid 156-12 --locoid 4021 --swversion DE.1.0.8.0 --startMP 204:232988 --initTime 2016-11-12T11:18:48 --startdatetime 2016-11-12T11:25:42 --delay 1 --endMP 204:163 --enddatetime 2016-11-12T12:05:49 --enforcementcount 0 &gt;&gt;C:\Users\stu\Documents\GitHub\eaglep3-reporting\EC\2016-11-12-refined-times.txt</v>
      </c>
      <c r="AI68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{"issue":{"subject":"","project_id":79,"tracker_id":40,"status_id":1,"priority_id":2,"assigned_to_id":23,"start_date":"2016-11-12","description":"","custom_fields":[{"id":1,"name":"Subdivision","value":"EC"},{"id":4,"name":"Milepost","value":"0.0163"},{"id":17,"name":"Train ID","value":"156-12"},{"id":16,"name":"Locomotive ID","value":"4021"},{"id":130,"name":"Impact","value":""},{"id":150,"name":"Time of Event (Mountain Time)","value":"12:05:49"},{"id":151,"name":"Denver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427</v>
      </c>
      <c r="B69" s="7">
        <v>4011</v>
      </c>
      <c r="C69" s="22" t="s">
        <v>225</v>
      </c>
      <c r="D69" s="22" t="s">
        <v>652</v>
      </c>
      <c r="E69" s="13">
        <v>42686.443726851852</v>
      </c>
      <c r="F69" s="13">
        <v>42686.448136574072</v>
      </c>
      <c r="G69" s="7">
        <v>1</v>
      </c>
      <c r="H69" s="22" t="s">
        <v>295</v>
      </c>
      <c r="I69" s="13">
        <v>42686.474374999998</v>
      </c>
      <c r="J69" s="7">
        <v>0</v>
      </c>
      <c r="K69" s="109" t="str">
        <f t="shared" si="19"/>
        <v>4011/4012</v>
      </c>
      <c r="L69" s="22" t="str">
        <f>VLOOKUP(A69,'Trips&amp;Operators'!$C$1:$E$10000,3,FALSE)</f>
        <v>STRICKLAND</v>
      </c>
      <c r="M69" s="6">
        <f t="shared" si="20"/>
        <v>2.6238425925839692E-2</v>
      </c>
      <c r="N69" s="7">
        <f t="shared" si="21"/>
        <v>37.783333333209157</v>
      </c>
      <c r="O69" s="7"/>
      <c r="P69" s="7"/>
      <c r="Q69" s="23"/>
      <c r="R69" s="23"/>
      <c r="S69" s="35">
        <f t="shared" si="22"/>
        <v>1</v>
      </c>
      <c r="T69" s="50" t="str">
        <f t="shared" si="2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09:38:58-700',mode:absolute,to:'2016-11-12 12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9" s="52" t="str">
        <f t="shared" si="25"/>
        <v>N</v>
      </c>
      <c r="X69" s="177">
        <f t="shared" si="26"/>
        <v>1</v>
      </c>
      <c r="Y69" s="67">
        <f t="shared" si="27"/>
        <v>4.2000000000000003E-2</v>
      </c>
      <c r="Z69" s="67">
        <f t="shared" si="28"/>
        <v>23.330400000000001</v>
      </c>
      <c r="AA69" s="67">
        <f t="shared" si="29"/>
        <v>23.288399999999999</v>
      </c>
      <c r="AB69" s="64" t="str">
        <f>VLOOKUP(A69,Enforcements!$C$7:$K$20,8,0)</f>
        <v>Speed (6)</v>
      </c>
      <c r="AC69" s="60" t="str">
        <f>VLOOKUP(A69,Enforcements!$C$7:$E$20,3,0)</f>
        <v>PERMANENT SPEED RESTRICTION</v>
      </c>
      <c r="AD69" s="61" t="str">
        <f t="shared" si="30"/>
        <v>0157-12</v>
      </c>
      <c r="AE69" s="91" t="str">
        <f t="shared" si="31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69" s="88" t="str">
        <f t="shared" si="32"/>
        <v>"C:\Program Files (x86)\AstroGrep\AstroGrep.exe" /spath="%USERPROFILE%\AppData\Local\Temp\OnboardLogs" /stypes="app*4011*20161112*" /stext=" 18:.+((SYSTEM_STATE.+slice.+state.+changed )|(ment ac)|(system.+state.+changed )|(\[timeout)|(PRM\|1\|D)|(kpr)|(kdp)|(\|lc)|(penalty))" /e /r /s</v>
      </c>
      <c r="AG69" s="1" t="str">
        <f t="shared" si="33"/>
        <v>EC</v>
      </c>
      <c r="AH69" s="92" t="str">
        <f t="shared" si="17"/>
        <v>"%USERPROFILE%\Documents\GitHub\eaglep3\Utilities\RefineRTDCRunTimes.py" --tripid 157-12 --locoid 4011 --swversion DE.1.0.8.0 --startMP 204:420 --initTime 2016-11-12T10:38:58 --startdatetime 2016-11-12T10:45:19 --delay 1 --endMP 204:233304 --enddatetime 2016-11-12T11:23:06 --enforcementcount 0 &gt;&gt;C:\Users\stu\Documents\GitHub\eaglep3-reporting\EC\2016-11-12-refined-times.txt</v>
      </c>
      <c r="AI69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ID","value":"157-12"},{"id":16,"name":"Locomotive ID","value":"4011"},{"id":130,"name":"Impact","value":""},{"id":150,"name":"Time of Event (Mountain Time)","value":"11:23:06"},{"id":151,"name":"Denver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519</v>
      </c>
      <c r="B70" s="7">
        <v>4012</v>
      </c>
      <c r="C70" s="22" t="s">
        <v>225</v>
      </c>
      <c r="D70" s="22" t="s">
        <v>301</v>
      </c>
      <c r="E70" s="13">
        <v>42686.483391203707</v>
      </c>
      <c r="F70" s="13">
        <v>42686.48636574074</v>
      </c>
      <c r="G70" s="7">
        <v>2</v>
      </c>
      <c r="H70" s="22" t="s">
        <v>252</v>
      </c>
      <c r="I70" s="13">
        <v>42686.514641203707</v>
      </c>
      <c r="J70" s="7">
        <v>0</v>
      </c>
      <c r="K70" s="109" t="str">
        <f t="shared" si="19"/>
        <v>4011/4012</v>
      </c>
      <c r="L70" s="22" t="str">
        <f>VLOOKUP(A70,'Trips&amp;Operators'!$C$1:$E$10000,3,FALSE)</f>
        <v>STRICKLAND</v>
      </c>
      <c r="M70" s="6">
        <f t="shared" si="20"/>
        <v>2.8275462966121268E-2</v>
      </c>
      <c r="N70" s="7">
        <f t="shared" si="21"/>
        <v>40.716666671214625</v>
      </c>
      <c r="O70" s="7"/>
      <c r="P70" s="7"/>
      <c r="Q70" s="23"/>
      <c r="R70" s="23"/>
      <c r="S70" s="35">
        <f t="shared" si="22"/>
        <v>1</v>
      </c>
      <c r="T70" s="50" t="str">
        <f t="shared" si="2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10:36:05-700',mode:absolute,to:'2016-11-12 13:21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0" s="52" t="str">
        <f t="shared" si="25"/>
        <v>N</v>
      </c>
      <c r="X70" s="177">
        <f t="shared" si="26"/>
        <v>1</v>
      </c>
      <c r="Y70" s="67">
        <f t="shared" si="27"/>
        <v>23.299600000000002</v>
      </c>
      <c r="Z70" s="67">
        <f t="shared" si="28"/>
        <v>1.6E-2</v>
      </c>
      <c r="AA70" s="67">
        <f t="shared" si="29"/>
        <v>23.283600000000003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30"/>
        <v>0158-12</v>
      </c>
      <c r="AE70" s="91" t="str">
        <f t="shared" si="31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70" s="88" t="str">
        <f t="shared" si="32"/>
        <v>"C:\Program Files (x86)\AstroGrep\AstroGrep.exe" /spath="%USERPROFILE%\AppData\Local\Temp\OnboardLogs" /stypes="app*4012*20161112*" /stext=" 19:.+((SYSTEM_STATE.+slice.+state.+changed )|(ment ac)|(system.+state.+changed )|(\[timeout)|(PRM\|1\|D)|(kpr)|(kdp)|(\|lc)|(penalty))" /e /r /s</v>
      </c>
      <c r="AG70" s="1" t="str">
        <f t="shared" si="33"/>
        <v>EC</v>
      </c>
      <c r="AH70" s="92" t="str">
        <f t="shared" si="17"/>
        <v>"%USERPROFILE%\Documents\GitHub\eaglep3\Utilities\RefineRTDCRunTimes.py" --tripid 158-12 --locoid 4012 --swversion DE.1.0.8.0 --startMP 204:232996 --initTime 2016-11-12T11:36:05 --startdatetime 2016-11-12T11:40:22 --delay 2 --endMP 204:160 --enddatetime 2016-11-12T12:21:05 --enforcementcount 0 &gt;&gt;C:\Users\stu\Documents\GitHub\eaglep3-reporting\EC\2016-11-12-refined-times.txt</v>
      </c>
      <c r="AI70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{"issue":{"subject":"","project_id":79,"tracker_id":40,"status_id":1,"priority_id":2,"assigned_to_id":23,"start_date":"2016-11-12","description":"","custom_fields":[{"id":1,"name":"Subdivision","value":"EC"},{"id":4,"name":"Milepost","value":"0.016"},{"id":17,"name":"Train ID","value":"158-12"},{"id":16,"name":"Locomotive ID","value":"4012"},{"id":130,"name":"Impact","value":""},{"id":150,"name":"Time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510</v>
      </c>
      <c r="B71" s="7">
        <v>4014</v>
      </c>
      <c r="C71" s="22" t="s">
        <v>225</v>
      </c>
      <c r="D71" s="22" t="s">
        <v>259</v>
      </c>
      <c r="E71" s="13">
        <v>42686.452060185184</v>
      </c>
      <c r="F71" s="13">
        <v>42686.458564814813</v>
      </c>
      <c r="G71" s="7">
        <v>2</v>
      </c>
      <c r="H71" s="22" t="s">
        <v>395</v>
      </c>
      <c r="I71" s="13">
        <v>42686.483252314814</v>
      </c>
      <c r="J71" s="7">
        <v>0</v>
      </c>
      <c r="K71" s="109" t="str">
        <f t="shared" si="19"/>
        <v>4013/4014</v>
      </c>
      <c r="L71" s="22" t="str">
        <f>VLOOKUP(A71,'Trips&amp;Operators'!$C$1:$E$10000,3,FALSE)</f>
        <v>STEWART</v>
      </c>
      <c r="M71" s="6">
        <f t="shared" si="20"/>
        <v>2.4687500001164153E-2</v>
      </c>
      <c r="N71" s="7">
        <f t="shared" si="21"/>
        <v>35.550000001676381</v>
      </c>
      <c r="O71" s="7"/>
      <c r="P71" s="7"/>
      <c r="Q71" s="23"/>
      <c r="R71" s="23"/>
      <c r="S71" s="35">
        <f t="shared" si="22"/>
        <v>1</v>
      </c>
      <c r="T71" s="50" t="str">
        <f t="shared" si="2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09:50:58-700',mode:absolute,to:'2016-11-12 12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1" s="52" t="str">
        <f t="shared" si="25"/>
        <v>N</v>
      </c>
      <c r="X71" s="177">
        <f t="shared" si="26"/>
        <v>1</v>
      </c>
      <c r="Y71" s="67">
        <f t="shared" si="27"/>
        <v>4.3999999999999997E-2</v>
      </c>
      <c r="Z71" s="67">
        <f t="shared" si="28"/>
        <v>23.3278</v>
      </c>
      <c r="AA71" s="67">
        <f t="shared" si="29"/>
        <v>23.283799999999999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30"/>
        <v>0159-12</v>
      </c>
      <c r="AE71" s="91" t="str">
        <f t="shared" si="31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71" s="88" t="str">
        <f t="shared" si="32"/>
        <v>"C:\Program Files (x86)\AstroGrep\AstroGrep.exe" /spath="%USERPROFILE%\AppData\Local\Temp\OnboardLogs" /stypes="app*4014*20161112*" /stext=" 18:.+((SYSTEM_STATE.+slice.+state.+changed )|(ment ac)|(system.+state.+changed )|(\[timeout)|(PRM\|1\|D)|(kpr)|(kdp)|(\|lc)|(penalty))" /e /r /s</v>
      </c>
      <c r="AG71" s="1" t="str">
        <f t="shared" si="33"/>
        <v>EC</v>
      </c>
      <c r="AH71" s="92" t="str">
        <f t="shared" si="17"/>
        <v>"%USERPROFILE%\Documents\GitHub\eaglep3\Utilities\RefineRTDCRunTimes.py" --tripid 159-12 --locoid 4014 --swversion DE.1.0.8.0 --startMP 204:440 --initTime 2016-11-12T10:50:58 --startdatetime 2016-11-12T11:00:20 --delay 2 --endMP 204:233278 --enddatetime 2016-11-12T11:35:53 --enforcementcount 0 &gt;&gt;C:\Users\stu\Documents\GitHub\eaglep3-reporting\EC\2016-11-12-refined-times.txt</v>
      </c>
      <c r="AI71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{"issue":{"subject":"","project_id":79,"tracker_id":40,"status_id":1,"priority_id":2,"assigned_to_id":23,"start_date":"2016-11-12","description":"","custom_fields":[{"id":1,"name":"Subdivision","value":"EC"},{"id":4,"name":"Milepost","value":"23.3278"},{"id":17,"name":"Train ID","value":"159-12"},{"id":16,"name":"Locomotive ID","value":"4014"},{"id":130,"name":"Impact","value":""},{"id":150,"name":"Time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520</v>
      </c>
      <c r="B72" s="7">
        <v>4013</v>
      </c>
      <c r="C72" s="22" t="s">
        <v>225</v>
      </c>
      <c r="D72" s="22" t="s">
        <v>278</v>
      </c>
      <c r="E72" s="13">
        <v>42686.493113425924</v>
      </c>
      <c r="F72" s="13">
        <v>42686.497546296298</v>
      </c>
      <c r="G72" s="7">
        <v>2</v>
      </c>
      <c r="H72" s="22" t="s">
        <v>230</v>
      </c>
      <c r="I72" s="13">
        <v>42686.523402777777</v>
      </c>
      <c r="J72" s="7">
        <v>0</v>
      </c>
      <c r="K72" s="109" t="str">
        <f t="shared" si="19"/>
        <v>4013/4014</v>
      </c>
      <c r="L72" s="22" t="str">
        <f>VLOOKUP(A72,'Trips&amp;Operators'!$C$1:$E$10000,3,FALSE)</f>
        <v>STEWART</v>
      </c>
      <c r="M72" s="6">
        <f t="shared" si="20"/>
        <v>2.5856481479422655E-2</v>
      </c>
      <c r="N72" s="7">
        <f t="shared" si="21"/>
        <v>37.233333330368623</v>
      </c>
      <c r="O72" s="7"/>
      <c r="P72" s="7"/>
      <c r="Q72" s="23"/>
      <c r="R72" s="23"/>
      <c r="S72" s="35">
        <f t="shared" si="22"/>
        <v>1</v>
      </c>
      <c r="T72" s="50" t="str">
        <f t="shared" si="2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10:50:05-700',mode:absolute,to:'2016-11-12 13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2" s="52" t="str">
        <f t="shared" si="25"/>
        <v>N</v>
      </c>
      <c r="X72" s="177">
        <f t="shared" si="26"/>
        <v>1</v>
      </c>
      <c r="Y72" s="67">
        <f t="shared" si="27"/>
        <v>23.2973</v>
      </c>
      <c r="Z72" s="67">
        <f t="shared" si="28"/>
        <v>1.5800000000000002E-2</v>
      </c>
      <c r="AA72" s="67">
        <f t="shared" si="29"/>
        <v>23.281500000000001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30"/>
        <v>0160-12</v>
      </c>
      <c r="AE72" s="91" t="str">
        <f t="shared" si="31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72" s="88" t="str">
        <f t="shared" si="32"/>
        <v>"C:\Program Files (x86)\AstroGrep\AstroGrep.exe" /spath="%USERPROFILE%\AppData\Local\Temp\OnboardLogs" /stypes="app*4013*20161112*" /stext=" 19:.+((SYSTEM_STATE.+slice.+state.+changed )|(ment ac)|(system.+state.+changed )|(\[timeout)|(PRM\|1\|D)|(kpr)|(kdp)|(\|lc)|(penalty))" /e /r /s</v>
      </c>
      <c r="AG72" s="1" t="str">
        <f t="shared" si="33"/>
        <v>EC</v>
      </c>
      <c r="AH72" s="92" t="str">
        <f t="shared" si="17"/>
        <v>"%USERPROFILE%\Documents\GitHub\eaglep3\Utilities\RefineRTDCRunTimes.py" --tripid 160-12 --locoid 4013 --swversion DE.1.0.8.0 --startMP 204:232973 --initTime 2016-11-12T11:50:05 --startdatetime 2016-11-12T11:56:28 --delay 2 --endMP 204:158 --enddatetime 2016-11-12T12:33:42 --enforcementcount 0 &gt;&gt;C:\Users\stu\Documents\GitHub\eaglep3-reporting\EC\2016-11-12-refined-times.txt</v>
      </c>
      <c r="AI72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{"issue":{"subject":"","project_id":79,"tracker_id":40,"status_id":1,"priority_id":2,"assigned_to_id":23,"start_date":"2016-11-12","description":"","custom_fields":[{"id":1,"name":"Subdivision","value":"EC"},{"id":4,"name":"Milepost","value":"0.0158"},{"id":17,"name":"Train ID","value":"160-12"},{"id":16,"name":"Locomotive ID","value":"4013"},{"id":130,"name":"Impact","value":""},{"id":150,"name":"Time of Event (Mountain Time)","value":"12:33:42"},{"id":151,"name":"Denver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513</v>
      </c>
      <c r="B73" s="7">
        <v>4053</v>
      </c>
      <c r="C73" s="22" t="s">
        <v>225</v>
      </c>
      <c r="D73" s="22" t="s">
        <v>222</v>
      </c>
      <c r="E73" s="13">
        <v>42686.463761574072</v>
      </c>
      <c r="F73" s="13">
        <v>42686.468946759262</v>
      </c>
      <c r="G73" s="7">
        <v>1</v>
      </c>
      <c r="H73" s="22" t="s">
        <v>653</v>
      </c>
      <c r="I73" s="13">
        <v>42686.493449074071</v>
      </c>
      <c r="J73" s="7">
        <v>0</v>
      </c>
      <c r="K73" s="109" t="str">
        <f t="shared" si="19"/>
        <v>4053/4054</v>
      </c>
      <c r="L73" s="22" t="str">
        <f>VLOOKUP(A73,'Trips&amp;Operators'!$C$1:$E$10000,3,FALSE)</f>
        <v>BARTLETT</v>
      </c>
      <c r="M73" s="6">
        <f t="shared" si="20"/>
        <v>2.4502314809069503E-2</v>
      </c>
      <c r="N73" s="7">
        <f t="shared" si="21"/>
        <v>35.283333325060084</v>
      </c>
      <c r="O73" s="7"/>
      <c r="P73" s="7"/>
      <c r="Q73" s="23"/>
      <c r="R73" s="23"/>
      <c r="S73" s="35">
        <f t="shared" si="22"/>
        <v>1</v>
      </c>
      <c r="T73" s="50" t="str">
        <f t="shared" si="2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10:07:49-700',mode:absolute,to:'2016-11-12 12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3" s="52" t="str">
        <f t="shared" si="25"/>
        <v>N</v>
      </c>
      <c r="X73" s="177">
        <f t="shared" si="26"/>
        <v>1</v>
      </c>
      <c r="Y73" s="67">
        <f t="shared" si="27"/>
        <v>4.5699999999999998E-2</v>
      </c>
      <c r="Z73" s="67">
        <f t="shared" si="28"/>
        <v>23.3355</v>
      </c>
      <c r="AA73" s="67">
        <f t="shared" si="29"/>
        <v>23.2898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30"/>
        <v>0161-12</v>
      </c>
      <c r="AE73" s="91" t="str">
        <f t="shared" si="31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73" s="88" t="str">
        <f t="shared" si="32"/>
        <v>"C:\Program Files (x86)\AstroGrep\AstroGrep.exe" /spath="%USERPROFILE%\AppData\Local\Temp\OnboardLogs" /stypes="app*4053*20161112*" /stext=" 18:.+((SYSTEM_STATE.+slice.+state.+changed )|(ment ac)|(system.+state.+changed )|(\[timeout)|(PRM\|1\|D)|(kpr)|(kdp)|(\|lc)|(penalty))" /e /r /s</v>
      </c>
      <c r="AG73" s="1" t="str">
        <f t="shared" si="33"/>
        <v>EC</v>
      </c>
      <c r="AH73" s="92" t="str">
        <f t="shared" si="17"/>
        <v>"%USERPROFILE%\Documents\GitHub\eaglep3\Utilities\RefineRTDCRunTimes.py" --tripid 161-12 --locoid 4053 --swversion DE.1.0.8.0 --startMP 204:457 --initTime 2016-11-12T11:07:49 --startdatetime 2016-11-12T11:15:17 --delay 1 --endMP 204:233355 --enddatetime 2016-11-12T11:50:34 --enforcementcount 0 &gt;&gt;C:\Users\stu\Documents\GitHub\eaglep3-reporting\EC\2016-11-12-refined-times.txt</v>
      </c>
      <c r="AI73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{"issue":{"subject":"","project_id":79,"tracker_id":40,"status_id":1,"priority_id":2,"assigned_to_id":23,"start_date":"2016-11-12","description":"","custom_fields":[{"id":1,"name":"Subdivision","value":"EC"},{"id":4,"name":"Milepost","value":"23.3355"},{"id":17,"name":"Train ID","value":"161-12"},{"id":16,"name":"Locomotive ID","value":"4053"},{"id":130,"name":"Impact","value":""},{"id":150,"name":"Time of Event (Mountain Time)","value":"11:50:34"},{"id":151,"name":"Denver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523</v>
      </c>
      <c r="B74" s="7">
        <v>4054</v>
      </c>
      <c r="C74" s="22" t="s">
        <v>225</v>
      </c>
      <c r="D74" s="22" t="s">
        <v>654</v>
      </c>
      <c r="E74" s="13">
        <v>42686.496296296296</v>
      </c>
      <c r="F74" s="13">
        <v>42686.508206018516</v>
      </c>
      <c r="G74" s="7">
        <v>2</v>
      </c>
      <c r="H74" s="22" t="s">
        <v>655</v>
      </c>
      <c r="I74" s="13">
        <v>42686.534039351849</v>
      </c>
      <c r="J74" s="7">
        <v>0</v>
      </c>
      <c r="K74" s="109" t="str">
        <f t="shared" si="19"/>
        <v>4053/4054</v>
      </c>
      <c r="L74" s="22" t="str">
        <f>VLOOKUP(A74,'Trips&amp;Operators'!$C$1:$E$10000,3,FALSE)</f>
        <v>BARTLETT</v>
      </c>
      <c r="M74" s="6">
        <f t="shared" si="20"/>
        <v>2.5833333333139308E-2</v>
      </c>
      <c r="N74" s="7">
        <f t="shared" si="21"/>
        <v>37.199999999720603</v>
      </c>
      <c r="O74" s="7"/>
      <c r="P74" s="7"/>
      <c r="Q74" s="23"/>
      <c r="R74" s="23"/>
      <c r="S74" s="35">
        <f t="shared" si="22"/>
        <v>1</v>
      </c>
      <c r="T74" s="50" t="str">
        <f t="shared" si="2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10:54:40-700',mode:absolute,to:'2016-11-12 13:49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4" s="52" t="str">
        <f t="shared" si="25"/>
        <v>N</v>
      </c>
      <c r="X74" s="177">
        <f t="shared" si="26"/>
        <v>1</v>
      </c>
      <c r="Y74" s="67">
        <f t="shared" si="27"/>
        <v>23.304500000000001</v>
      </c>
      <c r="Z74" s="67">
        <f t="shared" si="28"/>
        <v>1.7000000000000001E-2</v>
      </c>
      <c r="AA74" s="67">
        <f t="shared" si="29"/>
        <v>23.287500000000001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30"/>
        <v>0162-12</v>
      </c>
      <c r="AE74" s="91" t="str">
        <f t="shared" si="31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74" s="88" t="str">
        <f t="shared" si="32"/>
        <v>"C:\Program Files (x86)\AstroGrep\AstroGrep.exe" /spath="%USERPROFILE%\AppData\Local\Temp\OnboardLogs" /stypes="app*4054*20161112*" /stext=" 19:.+((SYSTEM_STATE.+slice.+state.+changed )|(ment ac)|(system.+state.+changed )|(\[timeout)|(PRM\|1\|D)|(kpr)|(kdp)|(\|lc)|(penalty))" /e /r /s</v>
      </c>
      <c r="AG74" s="1" t="str">
        <f t="shared" si="33"/>
        <v>EC</v>
      </c>
      <c r="AH74" s="92" t="str">
        <f t="shared" si="17"/>
        <v>"%USERPROFILE%\Documents\GitHub\eaglep3\Utilities\RefineRTDCRunTimes.py" --tripid 162-12 --locoid 4054 --swversion DE.1.0.8.0 --startMP 204:233045 --initTime 2016-11-12T11:54:40 --startdatetime 2016-11-12T12:11:49 --delay 2 --endMP 204:170 --enddatetime 2016-11-12T12:49:01 --enforcementcount 0 &gt;&gt;C:\Users\stu\Documents\GitHub\eaglep3-reporting\EC\2016-11-12-refined-times.txt</v>
      </c>
      <c r="AI74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{"issue":{"subject":"","project_id":79,"tracker_id":40,"status_id":1,"priority_id":2,"assigned_to_id":23,"start_date":"2016-11-12","description":"","custom_fields":[{"id":1,"name":"Subdivision","value":"EC"},{"id":4,"name":"Milepost","value":"0.017"},{"id":17,"name":"Train ID","value":"162-12"},{"id":16,"name":"Locomotive ID","value":"4054"},{"id":130,"name":"Impact","value":""},{"id":150,"name":"Time of Event (Mountain Time)","value":"12:49:01"},{"id":151,"name":"Denver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517</v>
      </c>
      <c r="B75" s="7">
        <v>4025</v>
      </c>
      <c r="C75" s="22" t="s">
        <v>225</v>
      </c>
      <c r="D75" s="22" t="s">
        <v>351</v>
      </c>
      <c r="E75" s="13">
        <v>42686.477407407408</v>
      </c>
      <c r="F75" s="13">
        <v>42686.479930555557</v>
      </c>
      <c r="G75" s="7">
        <v>1</v>
      </c>
      <c r="H75" s="22" t="s">
        <v>402</v>
      </c>
      <c r="I75" s="13">
        <v>42686.504374999997</v>
      </c>
      <c r="J75" s="7">
        <v>0</v>
      </c>
      <c r="K75" s="109" t="str">
        <f t="shared" si="19"/>
        <v>4025/4026</v>
      </c>
      <c r="L75" s="22" t="str">
        <f>VLOOKUP(A75,'Trips&amp;Operators'!$C$1:$E$10000,3,FALSE)</f>
        <v>MOSES</v>
      </c>
      <c r="M75" s="6">
        <f t="shared" si="20"/>
        <v>2.4444444439723156E-2</v>
      </c>
      <c r="N75" s="7">
        <f t="shared" si="21"/>
        <v>35.199999993201345</v>
      </c>
      <c r="O75" s="7"/>
      <c r="P75" s="7"/>
      <c r="Q75" s="23"/>
      <c r="R75" s="23"/>
      <c r="S75" s="35">
        <f t="shared" si="22"/>
        <v>1</v>
      </c>
      <c r="T75" s="50" t="str">
        <f t="shared" si="23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https://search-rtdc-monitor-bjffxe2xuh6vdkpspy63sjmuny.us-east-1.es.amazonaws.com/_plugin/kibana/#/discover/Steve-Slow-Train-Analysis-(2080s-and-2083s)?_g=(refreshInterval:(display:Off,section:0,value:0),time:(from:'2016-11-12 10:27:28-700',mode:absolute,to:'2016-11-12 13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5" s="52" t="str">
        <f t="shared" si="25"/>
        <v>N</v>
      </c>
      <c r="X75" s="177">
        <f t="shared" si="26"/>
        <v>1</v>
      </c>
      <c r="Y75" s="67">
        <f t="shared" si="27"/>
        <v>4.4900000000000002E-2</v>
      </c>
      <c r="Z75" s="67">
        <f t="shared" si="28"/>
        <v>23.333200000000001</v>
      </c>
      <c r="AA75" s="67">
        <f t="shared" si="29"/>
        <v>23.288300000000003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30"/>
        <v>0163-12</v>
      </c>
      <c r="AE75" s="91" t="str">
        <f t="shared" si="31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75" s="88" t="str">
        <f t="shared" si="32"/>
        <v>"C:\Program Files (x86)\AstroGrep\AstroGrep.exe" /spath="%USERPROFILE%\AppData\Local\Temp\OnboardLogs" /stypes="app*4025*20161112*" /stext=" 19:.+((SYSTEM_STATE.+slice.+state.+changed )|(ment ac)|(system.+state.+changed )|(\[timeout)|(PRM\|1\|D)|(kpr)|(kdp)|(\|lc)|(penalty))" /e /r /s</v>
      </c>
      <c r="AG75" s="1" t="str">
        <f t="shared" si="33"/>
        <v>EC</v>
      </c>
      <c r="AH75" s="92" t="str">
        <f t="shared" si="17"/>
        <v>"%USERPROFILE%\Documents\GitHub\eaglep3\Utilities\RefineRTDCRunTimes.py" --tripid 163-12 --locoid 4025 --swversion DE.1.0.8.0 --startMP 204:449 --initTime 2016-11-12T11:27:28 --startdatetime 2016-11-12T11:31:06 --delay 1 --endMP 204:233332 --enddatetime 2016-11-12T12:06:18 --enforcementcount 0 &gt;&gt;C:\Users\stu\Documents\GitHub\eaglep3-reporting\EC\2016-11-12-refined-times.txt</v>
      </c>
      <c r="AI75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{"issue":{"subject":"","project_id":79,"tracker_id":40,"status_id":1,"priority_id":2,"assigned_to_id":23,"start_date":"2016-11-12","description":"","custom_fields":[{"id":1,"name":"Subdivision","value":"EC"},{"id":4,"name":"Milepost","value":"23.3332"},{"id":17,"name":"Train ID","value":"163-12"},{"id":16,"name":"Locomotive ID","value":"4025"},{"id":130,"name":"Impact","value":""},{"id":150,"name":"Time of Event (Mountain Time)","value":"12:06:18"},{"id":151,"name":"Denver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431</v>
      </c>
      <c r="B76" s="7">
        <v>4026</v>
      </c>
      <c r="C76" s="22" t="s">
        <v>225</v>
      </c>
      <c r="D76" s="22" t="s">
        <v>301</v>
      </c>
      <c r="E76" s="13">
        <v>42686.513993055552</v>
      </c>
      <c r="F76" s="13">
        <v>42686.51834490741</v>
      </c>
      <c r="G76" s="7">
        <v>2</v>
      </c>
      <c r="H76" s="22" t="s">
        <v>175</v>
      </c>
      <c r="I76" s="13">
        <v>42686.544699074075</v>
      </c>
      <c r="J76" s="7">
        <v>0</v>
      </c>
      <c r="K76" s="109" t="str">
        <f t="shared" ref="K76:K107" si="34">IF(ISEVEN(B76),(B76-1)&amp;"/"&amp;B76,B76&amp;"/"&amp;(B76+1))</f>
        <v>4025/4026</v>
      </c>
      <c r="L76" s="22" t="str">
        <f>VLOOKUP(A76,'Trips&amp;Operators'!$C$1:$E$10000,3,FALSE)</f>
        <v>MOSES</v>
      </c>
      <c r="M76" s="6">
        <f t="shared" ref="M76:M107" si="35">I76-F76</f>
        <v>2.6354166664532386E-2</v>
      </c>
      <c r="N76" s="7">
        <f t="shared" ref="N76:N107" si="36">24*60*SUM($M76:$M76)</f>
        <v>37.949999996926636</v>
      </c>
      <c r="O76" s="7"/>
      <c r="P76" s="7"/>
      <c r="Q76" s="23"/>
      <c r="R76" s="23"/>
      <c r="S76" s="35">
        <f t="shared" ref="S76:S107" si="37">SUM(U76:U76)/IF(AG76="EC",12,1)</f>
        <v>1</v>
      </c>
      <c r="T76" s="50" t="str">
        <f t="shared" ref="T76:T107" si="38"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07" si="39"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https://search-rtdc-monitor-bjffxe2xuh6vdkpspy63sjmuny.us-east-1.es.amazonaws.com/_plugin/kibana/#/discover/Steve-Slow-Train-Analysis-(2080s-and-2083s)?_g=(refreshInterval:(display:Off,section:0,value:0),time:(from:'2016-11-12 11:20:09-700',mode:absolute,to:'2016-11-12 14:04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6" s="52" t="str">
        <f t="shared" ref="W76:W107" si="40">IF(AA76&lt;IF(AG76="EC",23,5.65),"Y","N")</f>
        <v>N</v>
      </c>
      <c r="X76" s="177">
        <f t="shared" ref="X76:X107" si="41">VALUE(LEFT(AD76,4))-VALUE(LEFT(AD75,4))</f>
        <v>1</v>
      </c>
      <c r="Y76" s="67">
        <f t="shared" ref="Y76:Y107" si="42">RIGHT(D76,LEN(D76)-4)/10000</f>
        <v>23.299600000000002</v>
      </c>
      <c r="Z76" s="67">
        <f t="shared" ref="Z76:Z107" si="43">RIGHT(H76,LEN(H76)-4)/10000</f>
        <v>1.47E-2</v>
      </c>
      <c r="AA76" s="67">
        <f t="shared" ref="AA76:AA107" si="44">ABS(Z76-Y76)</f>
        <v>23.2849</v>
      </c>
      <c r="AB76" s="64" t="str">
        <f>VLOOKUP(A76,Enforcements!$C$7:$K$20,8,0)</f>
        <v>Form based authority (4)</v>
      </c>
      <c r="AC76" s="60" t="str">
        <f>VLOOKUP(A76,Enforcements!$C$7:$E$20,3,0)</f>
        <v>TRACK WARRANT AUTHORITY</v>
      </c>
      <c r="AD76" s="61" t="str">
        <f t="shared" ref="AD76:AD107" si="45">IF(LEN(A76)=6,"0"&amp;A76,A76)</f>
        <v>0164-12</v>
      </c>
      <c r="AE76" s="91" t="str">
        <f t="shared" ref="AE76:AE107" si="46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76" s="88" t="str">
        <f t="shared" ref="AF76:AF107" si="47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/stypes="app*4026*20161112*" /stext=" 20:.+((SYSTEM_STATE.+slice.+state.+changed )|(ment ac)|(system.+state.+changed )|(\[timeout)|(PRM\|1\|D)|(kpr)|(kdp)|(\|lc)|(penalty))" /e /r /s</v>
      </c>
      <c r="AG76" s="1" t="str">
        <f t="shared" ref="AG76:AG107" si="48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164-12 --locoid 4026 --swversion DE.1.0.8.0 --startMP 204:232996 --initTime 2016-11-12T12:20:09 --startdatetime 2016-11-12T12:26:25 --delay 2 --endMP 204:147 --enddatetime 2016-11-12T13:04:22 --enforcementcount 0 &gt;&gt;C:\Users\stu\Documents\GitHub\eaglep3-reporting\EC\2016-11-12-refined-times.txt</v>
      </c>
      <c r="AI76" s="119" t="str">
        <f t="shared" si="18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ID","value":"164-12"},{"id":16,"name":"Locomotive ID","value":"4026"},{"id":130,"name":"Impact","value":""},{"id":150,"name":"Time of Event (Mountain Time)","value":"13:04:22"},{"id":151,"name":"Denver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428</v>
      </c>
      <c r="B77" s="7">
        <v>4042</v>
      </c>
      <c r="C77" s="22" t="s">
        <v>225</v>
      </c>
      <c r="D77" s="22" t="s">
        <v>200</v>
      </c>
      <c r="E77" s="13">
        <v>42686.484398148146</v>
      </c>
      <c r="F77" s="13">
        <v>42686.489803240744</v>
      </c>
      <c r="G77" s="7">
        <v>1</v>
      </c>
      <c r="H77" s="22" t="s">
        <v>656</v>
      </c>
      <c r="I77" s="13">
        <v>42686.515752314815</v>
      </c>
      <c r="J77" s="7">
        <v>0</v>
      </c>
      <c r="K77" s="109" t="str">
        <f t="shared" si="34"/>
        <v>4041/4042</v>
      </c>
      <c r="L77" s="22" t="str">
        <f>VLOOKUP(A77,'Trips&amp;Operators'!$C$1:$E$10000,3,FALSE)</f>
        <v>SHOOK</v>
      </c>
      <c r="M77" s="6">
        <f t="shared" si="35"/>
        <v>2.5949074071832001E-2</v>
      </c>
      <c r="N77" s="7">
        <f t="shared" si="36"/>
        <v>37.366666663438082</v>
      </c>
      <c r="O77" s="7"/>
      <c r="P77" s="7"/>
      <c r="Q77" s="23"/>
      <c r="R77" s="23"/>
      <c r="S77" s="35">
        <f t="shared" si="37"/>
        <v>1</v>
      </c>
      <c r="T77" s="50" t="str">
        <f t="shared" si="38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10:37:32-700',mode:absolute,to:'2016-11-12 13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52" t="str">
        <f t="shared" si="40"/>
        <v>N</v>
      </c>
      <c r="X77" s="177">
        <f t="shared" si="41"/>
        <v>1</v>
      </c>
      <c r="Y77" s="67">
        <f t="shared" si="42"/>
        <v>4.4699999999999997E-2</v>
      </c>
      <c r="Z77" s="67">
        <f t="shared" si="43"/>
        <v>23.337199999999999</v>
      </c>
      <c r="AA77" s="67">
        <f t="shared" si="44"/>
        <v>23.2925</v>
      </c>
      <c r="AB77" s="64" t="str">
        <f>VLOOKUP(A77,Enforcements!$C$7:$K$20,8,0)</f>
        <v>Track device (7)</v>
      </c>
      <c r="AC77" s="60" t="str">
        <f>VLOOKUP(A77,Enforcements!$C$7:$E$20,3,0)</f>
        <v>SWITCH UNKNOWN</v>
      </c>
      <c r="AD77" s="61" t="str">
        <f t="shared" si="45"/>
        <v>0165-12</v>
      </c>
      <c r="AE77" s="91" t="str">
        <f t="shared" si="46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77" s="88" t="str">
        <f t="shared" si="47"/>
        <v>"C:\Program Files (x86)\AstroGrep\AstroGrep.exe" /spath="%USERPROFILE%\AppData\Local\Temp\OnboardLogs" /stypes="app*4042*20161112*" /stext=" 19:.+((SYSTEM_STATE.+slice.+state.+changed )|(ment ac)|(system.+state.+changed )|(\[timeout)|(PRM\|1\|D)|(kpr)|(kdp)|(\|lc)|(penalty))" /e /r /s</v>
      </c>
      <c r="AG77" s="1" t="str">
        <f t="shared" si="48"/>
        <v>EC</v>
      </c>
      <c r="AH77" s="92" t="str">
        <f t="shared" ref="AH77:AH139" si="4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165-12 --locoid 4042 --swversion DE.1.0.8.0 --startMP 204:447 --initTime 2016-11-12T11:37:32 --startdatetime 2016-11-12T11:45:19 --delay 1 --endMP 204:233372 --enddatetime 2016-11-12T12:22:41 --enforcementcount 0 &gt;&gt;C:\Users\stu\Documents\GitHub\eaglep3-reporting\EC\2016-11-12-refined-times.txt</v>
      </c>
      <c r="AI77" s="119" t="str">
        <f t="shared" ref="AI77:AI139" si="5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{"issue":{"subject":"","project_id":79,"tracker_id":40,"status_id":1,"priority_id":2,"assigned_to_id":23,"start_date":"2016-11-12","description":"","custom_fields":[{"id":1,"name":"Subdivision","value":"EC"},{"id":4,"name":"Milepost","value":"23.3372"},{"id":17,"name":"Train ID","value":"165-12"},{"id":16,"name":"Locomotive ID","value":"4042"},{"id":130,"name":"Impact","value":""},{"id":150,"name":"Time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527</v>
      </c>
      <c r="B78" s="7">
        <v>4041</v>
      </c>
      <c r="C78" s="22" t="s">
        <v>225</v>
      </c>
      <c r="D78" s="22" t="s">
        <v>657</v>
      </c>
      <c r="E78" s="13">
        <v>42686.524155092593</v>
      </c>
      <c r="F78" s="13">
        <v>42686.528761574074</v>
      </c>
      <c r="G78" s="7">
        <v>1</v>
      </c>
      <c r="H78" s="22" t="s">
        <v>302</v>
      </c>
      <c r="I78" s="13">
        <v>42686.554837962962</v>
      </c>
      <c r="J78" s="7">
        <v>0</v>
      </c>
      <c r="K78" s="109" t="str">
        <f t="shared" si="34"/>
        <v>4041/4042</v>
      </c>
      <c r="L78" s="22" t="str">
        <f>VLOOKUP(A78,'Trips&amp;Operators'!$C$1:$E$10000,3,FALSE)</f>
        <v>SHOOK</v>
      </c>
      <c r="M78" s="6">
        <f t="shared" si="35"/>
        <v>2.6076388887304347E-2</v>
      </c>
      <c r="N78" s="7">
        <f t="shared" si="36"/>
        <v>37.54999999771826</v>
      </c>
      <c r="O78" s="7"/>
      <c r="P78" s="7"/>
      <c r="Q78" s="23"/>
      <c r="R78" s="23"/>
      <c r="S78" s="35">
        <f t="shared" si="37"/>
        <v>1</v>
      </c>
      <c r="T78" s="50" t="str">
        <f t="shared" si="38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11:34:47-700',mode:absolute,to:'2016-11-12 14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8" s="52" t="str">
        <f t="shared" si="40"/>
        <v>N</v>
      </c>
      <c r="X78" s="177">
        <f t="shared" si="41"/>
        <v>1</v>
      </c>
      <c r="Y78" s="67">
        <f t="shared" si="42"/>
        <v>23.302700000000002</v>
      </c>
      <c r="Z78" s="67">
        <f t="shared" si="43"/>
        <v>1.34E-2</v>
      </c>
      <c r="AA78" s="67">
        <f t="shared" si="44"/>
        <v>23.289300000000001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45"/>
        <v>0166-12</v>
      </c>
      <c r="AE78" s="91" t="str">
        <f t="shared" si="46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78" s="88" t="str">
        <f t="shared" si="47"/>
        <v>"C:\Program Files (x86)\AstroGrep\AstroGrep.exe" /spath="%USERPROFILE%\AppData\Local\Temp\OnboardLogs" /stypes="app*4041*20161112*" /stext=" 20:.+((SYSTEM_STATE.+slice.+state.+changed )|(ment ac)|(system.+state.+changed )|(\[timeout)|(PRM\|1\|D)|(kpr)|(kdp)|(\|lc)|(penalty))" /e /r /s</v>
      </c>
      <c r="AG78" s="1" t="str">
        <f t="shared" si="48"/>
        <v>EC</v>
      </c>
      <c r="AH78" s="92" t="str">
        <f t="shared" si="49"/>
        <v>"%USERPROFILE%\Documents\GitHub\eaglep3\Utilities\RefineRTDCRunTimes.py" --tripid 166-12 --locoid 4041 --swversion DE.1.0.8.0 --startMP 204:233027 --initTime 2016-11-12T12:34:47 --startdatetime 2016-11-12T12:41:25 --delay 1 --endMP 204:134 --enddatetime 2016-11-12T13:18:58 --enforcementcount 0 &gt;&gt;C:\Users\stu\Documents\GitHub\eaglep3-reporting\EC\2016-11-12-refined-times.txt</v>
      </c>
      <c r="AI7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{"issue":{"subject":"","project_id":79,"tracker_id":40,"status_id":1,"priority_id":2,"assigned_to_id":23,"start_date":"2016-11-12","description":"","custom_fields":[{"id":1,"name":"Subdivision","value":"EC"},{"id":4,"name":"Milepost","value":"0.0134"},{"id":17,"name":"Train ID","value":"166-12"},{"id":16,"name":"Locomotive ID","value":"4041"},{"id":130,"name":"Impact","value":""},{"id":150,"name":"Time of Event (Mountain Time)","value":"13:18:58"},{"id":151,"name":"Denver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521</v>
      </c>
      <c r="B79" s="7">
        <v>4038</v>
      </c>
      <c r="C79" s="22" t="s">
        <v>225</v>
      </c>
      <c r="D79" s="22" t="s">
        <v>227</v>
      </c>
      <c r="E79" s="13">
        <v>42686.495324074072</v>
      </c>
      <c r="F79" s="13">
        <v>42686.500231481485</v>
      </c>
      <c r="G79" s="7">
        <v>3</v>
      </c>
      <c r="H79" s="22" t="s">
        <v>630</v>
      </c>
      <c r="I79" s="13">
        <v>42686.524282407408</v>
      </c>
      <c r="J79" s="7">
        <v>0</v>
      </c>
      <c r="K79" s="109" t="str">
        <f t="shared" si="34"/>
        <v>4037/4038</v>
      </c>
      <c r="L79" s="22" t="str">
        <f>VLOOKUP(A79,'Trips&amp;Operators'!$C$1:$E$10000,3,FALSE)</f>
        <v>BRUDER</v>
      </c>
      <c r="M79" s="6">
        <f t="shared" si="35"/>
        <v>2.4050925923802424E-2</v>
      </c>
      <c r="N79" s="7">
        <f t="shared" si="36"/>
        <v>34.633333330275491</v>
      </c>
      <c r="O79" s="7"/>
      <c r="P79" s="7"/>
      <c r="Q79" s="23"/>
      <c r="R79" s="23"/>
      <c r="S79" s="35">
        <f t="shared" si="37"/>
        <v>1</v>
      </c>
      <c r="T79" s="50" t="str">
        <f t="shared" si="38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10:53:16-700',mode:absolute,to:'2016-11-12 13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9" s="52" t="str">
        <f t="shared" si="40"/>
        <v>N</v>
      </c>
      <c r="X79" s="177">
        <f t="shared" si="41"/>
        <v>1</v>
      </c>
      <c r="Y79" s="67">
        <f t="shared" si="42"/>
        <v>4.58E-2</v>
      </c>
      <c r="Z79" s="67">
        <f t="shared" si="43"/>
        <v>23.330100000000002</v>
      </c>
      <c r="AA79" s="67">
        <f t="shared" si="44"/>
        <v>23.284300000000002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45"/>
        <v>0167-12</v>
      </c>
      <c r="AE79" s="91" t="str">
        <f t="shared" si="46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79" s="88" t="str">
        <f t="shared" si="47"/>
        <v>"C:\Program Files (x86)\AstroGrep\AstroGrep.exe" /spath="%USERPROFILE%\AppData\Local\Temp\OnboardLogs" /stypes="app*4038*20161112*" /stext=" 19:.+((SYSTEM_STATE.+slice.+state.+changed )|(ment ac)|(system.+state.+changed )|(\[timeout)|(PRM\|1\|D)|(kpr)|(kdp)|(\|lc)|(penalty))" /e /r /s</v>
      </c>
      <c r="AG79" s="1" t="str">
        <f t="shared" si="48"/>
        <v>EC</v>
      </c>
      <c r="AH79" s="92" t="str">
        <f t="shared" si="49"/>
        <v>"%USERPROFILE%\Documents\GitHub\eaglep3\Utilities\RefineRTDCRunTimes.py" --tripid 167-12 --locoid 4038 --swversion DE.1.0.8.0 --startMP 204:458 --initTime 2016-11-12T11:53:16 --startdatetime 2016-11-12T12:00:20 --delay 3 --endMP 204:233301 --enddatetime 2016-11-12T12:34:58 --enforcementcount 0 &gt;&gt;C:\Users\stu\Documents\GitHub\eaglep3-reporting\EC\2016-11-12-refined-times.txt</v>
      </c>
      <c r="AI7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ID","value":"167-12"},{"id":16,"name":"Locomotive ID","value":"4038"},{"id":130,"name":"Impact","value":""},{"id":150,"name":"Time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529</v>
      </c>
      <c r="B80" s="7">
        <v>4037</v>
      </c>
      <c r="C80" s="22" t="s">
        <v>225</v>
      </c>
      <c r="D80" s="22" t="s">
        <v>265</v>
      </c>
      <c r="E80" s="13">
        <v>42686.532951388886</v>
      </c>
      <c r="F80" s="13">
        <v>42686.539097222223</v>
      </c>
      <c r="G80" s="7">
        <v>1</v>
      </c>
      <c r="H80" s="22" t="s">
        <v>176</v>
      </c>
      <c r="I80" s="13">
        <v>42686.564687500002</v>
      </c>
      <c r="J80" s="7">
        <v>0</v>
      </c>
      <c r="K80" s="109" t="str">
        <f t="shared" si="34"/>
        <v>4037/4038</v>
      </c>
      <c r="L80" s="22" t="str">
        <f>VLOOKUP(A80,'Trips&amp;Operators'!$C$1:$E$10000,3,FALSE)</f>
        <v>BRUDER</v>
      </c>
      <c r="M80" s="6">
        <f t="shared" si="35"/>
        <v>2.5590277778974269E-2</v>
      </c>
      <c r="N80" s="7">
        <f t="shared" si="36"/>
        <v>36.850000001722947</v>
      </c>
      <c r="O80" s="7"/>
      <c r="P80" s="7"/>
      <c r="Q80" s="23"/>
      <c r="R80" s="23"/>
      <c r="S80" s="35">
        <f t="shared" si="37"/>
        <v>1</v>
      </c>
      <c r="T80" s="50" t="str">
        <f t="shared" si="38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11:47:27-700',mode:absolute,to:'2016-11-12 14:33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0" s="52" t="str">
        <f t="shared" si="40"/>
        <v>N</v>
      </c>
      <c r="X80" s="177">
        <f t="shared" si="41"/>
        <v>1</v>
      </c>
      <c r="Y80" s="67">
        <f t="shared" si="42"/>
        <v>23.297799999999999</v>
      </c>
      <c r="Z80" s="67">
        <f t="shared" si="43"/>
        <v>1.52E-2</v>
      </c>
      <c r="AA80" s="67">
        <f t="shared" si="44"/>
        <v>23.282599999999999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45"/>
        <v>0168-12</v>
      </c>
      <c r="AE80" s="91" t="str">
        <f t="shared" si="46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80" s="88" t="str">
        <f t="shared" si="47"/>
        <v>"C:\Program Files (x86)\AstroGrep\AstroGrep.exe" /spath="%USERPROFILE%\AppData\Local\Temp\OnboardLogs" /stypes="app*4037*20161112*" /stext=" 20:.+((SYSTEM_STATE.+slice.+state.+changed )|(ment ac)|(system.+state.+changed )|(\[timeout)|(PRM\|1\|D)|(kpr)|(kdp)|(\|lc)|(penalty))" /e /r /s</v>
      </c>
      <c r="AG80" s="1" t="str">
        <f t="shared" si="48"/>
        <v>EC</v>
      </c>
      <c r="AH80" s="92" t="str">
        <f t="shared" si="49"/>
        <v>"%USERPROFILE%\Documents\GitHub\eaglep3\Utilities\RefineRTDCRunTimes.py" --tripid 168-12 --locoid 4037 --swversion DE.1.0.8.0 --startMP 204:232978 --initTime 2016-11-12T12:47:27 --startdatetime 2016-11-12T12:56:18 --delay 1 --endMP 204:152 --enddatetime 2016-11-12T13:33:09 --enforcementcount 0 &gt;&gt;C:\Users\stu\Documents\GitHub\eaglep3-reporting\EC\2016-11-12-refined-times.txt</v>
      </c>
      <c r="AI8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{"issue":{"subject":"","project_id":79,"tracker_id":40,"status_id":1,"priority_id":2,"assigned_to_id":23,"start_date":"2016-11-12","description":"","custom_fields":[{"id":1,"name":"Subdivision","value":"EC"},{"id":4,"name":"Milepost","value":"0.0152"},{"id":17,"name":"Train ID","value":"168-12"},{"id":16,"name":"Locomotive ID","value":"4037"},{"id":130,"name":"Impact","value":""},{"id":150,"name":"Time of Event (Mountain Time)","value":"13:33:09"},{"id":151,"name":"Denver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524</v>
      </c>
      <c r="B81" s="7">
        <v>4022</v>
      </c>
      <c r="C81" s="22" t="s">
        <v>225</v>
      </c>
      <c r="D81" s="22" t="s">
        <v>204</v>
      </c>
      <c r="E81" s="13">
        <v>42686.506458333337</v>
      </c>
      <c r="F81" s="13">
        <v>42686.510729166665</v>
      </c>
      <c r="G81" s="7">
        <v>1</v>
      </c>
      <c r="H81" s="22" t="s">
        <v>296</v>
      </c>
      <c r="I81" s="13">
        <v>42686.536238425928</v>
      </c>
      <c r="J81" s="7">
        <v>0</v>
      </c>
      <c r="K81" s="109" t="str">
        <f t="shared" si="34"/>
        <v>4021/4022</v>
      </c>
      <c r="L81" s="22" t="str">
        <f>VLOOKUP(A81,'Trips&amp;Operators'!$C$1:$E$10000,3,FALSE)</f>
        <v>CLARK</v>
      </c>
      <c r="M81" s="6">
        <f t="shared" si="35"/>
        <v>2.5509259263344575E-2</v>
      </c>
      <c r="N81" s="7">
        <f t="shared" si="36"/>
        <v>36.733333339216188</v>
      </c>
      <c r="O81" s="7"/>
      <c r="P81" s="7"/>
      <c r="Q81" s="23"/>
      <c r="R81" s="23"/>
      <c r="S81" s="35">
        <f t="shared" si="37"/>
        <v>1</v>
      </c>
      <c r="T81" s="50" t="str">
        <f t="shared" si="38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11:09:18-700',mode:absolute,to:'2016-11-12 13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1" s="52" t="str">
        <f t="shared" si="40"/>
        <v>N</v>
      </c>
      <c r="X81" s="177">
        <f t="shared" si="41"/>
        <v>1</v>
      </c>
      <c r="Y81" s="67">
        <f t="shared" si="42"/>
        <v>4.5999999999999999E-2</v>
      </c>
      <c r="Z81" s="67">
        <f t="shared" si="43"/>
        <v>23.331</v>
      </c>
      <c r="AA81" s="67">
        <f t="shared" si="44"/>
        <v>23.285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45"/>
        <v>0169-12</v>
      </c>
      <c r="AE81" s="91" t="str">
        <f t="shared" si="46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81" s="88" t="str">
        <f t="shared" si="47"/>
        <v>"C:\Program Files (x86)\AstroGrep\AstroGrep.exe" /spath="%USERPROFILE%\AppData\Local\Temp\OnboardLogs" /stypes="app*4022*20161112*" /stext=" 19:.+((SYSTEM_STATE.+slice.+state.+changed )|(ment ac)|(system.+state.+changed )|(\[timeout)|(PRM\|1\|D)|(kpr)|(kdp)|(\|lc)|(penalty))" /e /r /s</v>
      </c>
      <c r="AG81" s="1" t="str">
        <f t="shared" si="48"/>
        <v>EC</v>
      </c>
      <c r="AH81" s="92" t="str">
        <f t="shared" si="49"/>
        <v>"%USERPROFILE%\Documents\GitHub\eaglep3\Utilities\RefineRTDCRunTimes.py" --tripid 169-12 --locoid 4022 --swversion DE.1.0.8.0 --startMP 204:460 --initTime 2016-11-12T12:09:18 --startdatetime 2016-11-12T12:15:27 --delay 1 --endMP 204:233310 --enddatetime 2016-11-12T12:52:11 --enforcementcount 0 &gt;&gt;C:\Users\stu\Documents\GitHub\eaglep3-reporting\EC\2016-11-12-refined-times.txt</v>
      </c>
      <c r="AI8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{"issue":{"subject":"","project_id":79,"tracker_id":40,"status_id":1,"priority_id":2,"assigned_to_id":23,"start_date":"2016-11-12","description":"","custom_fields":[{"id":1,"name":"Subdivision","value":"EC"},{"id":4,"name":"Milepost","value":"23.331"},{"id":17,"name":"Train ID","value":"169-12"},{"id":16,"name":"Locomotive ID","value":"4022"},{"id":130,"name":"Impact","value":""},{"id":150,"name":"Time of Event (Mountain Time)","value":"12:52:11"},{"id":151,"name":"Denver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531</v>
      </c>
      <c r="B82" s="7">
        <v>4021</v>
      </c>
      <c r="C82" s="22" t="s">
        <v>225</v>
      </c>
      <c r="D82" s="22" t="s">
        <v>256</v>
      </c>
      <c r="E82" s="13">
        <v>42686.544652777775</v>
      </c>
      <c r="F82" s="13">
        <v>42686.549513888887</v>
      </c>
      <c r="G82" s="7">
        <v>1</v>
      </c>
      <c r="H82" s="22" t="s">
        <v>254</v>
      </c>
      <c r="I82" s="13">
        <v>42686.576979166668</v>
      </c>
      <c r="J82" s="7">
        <v>0</v>
      </c>
      <c r="K82" s="109" t="str">
        <f t="shared" si="34"/>
        <v>4021/4022</v>
      </c>
      <c r="L82" s="22" t="str">
        <f>VLOOKUP(A82,'Trips&amp;Operators'!$C$1:$E$10000,3,FALSE)</f>
        <v>CLARK</v>
      </c>
      <c r="M82" s="6">
        <f t="shared" si="35"/>
        <v>2.7465277780720498E-2</v>
      </c>
      <c r="N82" s="7">
        <f t="shared" si="36"/>
        <v>39.550000004237518</v>
      </c>
      <c r="O82" s="7"/>
      <c r="P82" s="7"/>
      <c r="Q82" s="23"/>
      <c r="R82" s="23"/>
      <c r="S82" s="35">
        <f t="shared" si="37"/>
        <v>1</v>
      </c>
      <c r="T82" s="50" t="str">
        <f t="shared" si="38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12:04:18-700',mode:absolute,to:'2016-11-12 14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2" s="52" t="str">
        <f t="shared" si="40"/>
        <v>N</v>
      </c>
      <c r="X82" s="177">
        <f t="shared" si="41"/>
        <v>1</v>
      </c>
      <c r="Y82" s="67">
        <f t="shared" si="42"/>
        <v>23.3002</v>
      </c>
      <c r="Z82" s="67">
        <f t="shared" si="43"/>
        <v>1.3899999999999999E-2</v>
      </c>
      <c r="AA82" s="67">
        <f t="shared" si="44"/>
        <v>23.286300000000001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45"/>
        <v>0170-12</v>
      </c>
      <c r="AE82" s="91" t="str">
        <f t="shared" si="46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82" s="88" t="str">
        <f t="shared" si="47"/>
        <v>"C:\Program Files (x86)\AstroGrep\AstroGrep.exe" /spath="%USERPROFILE%\AppData\Local\Temp\OnboardLogs" /stypes="app*4021*20161112*" /stext=" 20:.+((SYSTEM_STATE.+slice.+state.+changed )|(ment ac)|(system.+state.+changed )|(\[timeout)|(PRM\|1\|D)|(kpr)|(kdp)|(\|lc)|(penalty))" /e /r /s</v>
      </c>
      <c r="AG82" s="1" t="str">
        <f t="shared" si="48"/>
        <v>EC</v>
      </c>
      <c r="AH82" s="92" t="str">
        <f t="shared" si="49"/>
        <v>"%USERPROFILE%\Documents\GitHub\eaglep3\Utilities\RefineRTDCRunTimes.py" --tripid 170-12 --locoid 4021 --swversion DE.1.0.8.0 --startMP 204:233002 --initTime 2016-11-12T13:04:18 --startdatetime 2016-11-12T13:11:18 --delay 1 --endMP 204:139 --enddatetime 2016-11-12T13:50:51 --enforcementcount 0 &gt;&gt;C:\Users\stu\Documents\GitHub\eaglep3-reporting\EC\2016-11-12-refined-times.txt</v>
      </c>
      <c r="AI8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ID","value":"170-12"},{"id":16,"name":"Locomotive ID","value":"4021"},{"id":130,"name":"Impact","value":""},{"id":150,"name":"Time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526</v>
      </c>
      <c r="B83" s="7">
        <v>4011</v>
      </c>
      <c r="C83" s="22" t="s">
        <v>225</v>
      </c>
      <c r="D83" s="22" t="s">
        <v>658</v>
      </c>
      <c r="E83" s="13">
        <v>42686.516469907408</v>
      </c>
      <c r="F83" s="13">
        <v>42686.521180555559</v>
      </c>
      <c r="G83" s="7">
        <v>6</v>
      </c>
      <c r="H83" s="22" t="s">
        <v>240</v>
      </c>
      <c r="I83" s="13">
        <v>42686.545300925929</v>
      </c>
      <c r="J83" s="7">
        <v>0</v>
      </c>
      <c r="K83" s="109" t="str">
        <f t="shared" si="34"/>
        <v>4011/4012</v>
      </c>
      <c r="L83" s="22" t="str">
        <f>VLOOKUP(A83,'Trips&amp;Operators'!$C$1:$E$10000,3,FALSE)</f>
        <v>STORY</v>
      </c>
      <c r="M83" s="6">
        <f t="shared" si="35"/>
        <v>2.4120370369928423E-2</v>
      </c>
      <c r="N83" s="7">
        <f t="shared" si="36"/>
        <v>34.73333333269693</v>
      </c>
      <c r="O83" s="7"/>
      <c r="P83" s="7"/>
      <c r="Q83" s="23"/>
      <c r="R83" s="23"/>
      <c r="S83" s="35">
        <f t="shared" si="37"/>
        <v>1</v>
      </c>
      <c r="T83" s="50" t="str">
        <f t="shared" si="38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11:23:43-700',mode:absolute,to:'2016-11-12 14:05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3" s="52" t="str">
        <f t="shared" si="40"/>
        <v>N</v>
      </c>
      <c r="X83" s="177">
        <f t="shared" si="41"/>
        <v>1</v>
      </c>
      <c r="Y83" s="67">
        <f t="shared" si="42"/>
        <v>4.7500000000000001E-2</v>
      </c>
      <c r="Z83" s="67">
        <f t="shared" si="43"/>
        <v>23.331199999999999</v>
      </c>
      <c r="AA83" s="67">
        <f t="shared" si="44"/>
        <v>23.2837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45"/>
        <v>0171-12</v>
      </c>
      <c r="AE83" s="91" t="str">
        <f t="shared" si="46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83" s="88" t="str">
        <f t="shared" si="47"/>
        <v>"C:\Program Files (x86)\AstroGrep\AstroGrep.exe" /spath="%USERPROFILE%\AppData\Local\Temp\OnboardLogs" /stypes="app*4011*20161112*" /stext=" 20:.+((SYSTEM_STATE.+slice.+state.+changed )|(ment ac)|(system.+state.+changed )|(\[timeout)|(PRM\|1\|D)|(kpr)|(kdp)|(\|lc)|(penalty))" /e /r /s</v>
      </c>
      <c r="AG83" s="1" t="str">
        <f t="shared" si="48"/>
        <v>EC</v>
      </c>
      <c r="AH83" s="92" t="str">
        <f t="shared" si="49"/>
        <v>"%USERPROFILE%\Documents\GitHub\eaglep3\Utilities\RefineRTDCRunTimes.py" --tripid 171-12 --locoid 4011 --swversion DE.1.0.8.0 --startMP 204:475 --initTime 2016-11-12T12:23:43 --startdatetime 2016-11-12T12:30:30 --delay 6 --endMP 204:233312 --enddatetime 2016-11-12T13:05:14 --enforcementcount 0 &gt;&gt;C:\Users\stu\Documents\GitHub\eaglep3-reporting\EC\2016-11-12-refined-times.txt</v>
      </c>
      <c r="AI8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{"issue":{"subject":"","project_id":79,"tracker_id":40,"status_id":1,"priority_id":2,"assigned_to_id":23,"start_date":"2016-11-12","description":"","custom_fields":[{"id":1,"name":"Subdivision","value":"EC"},{"id":4,"name":"Milepost","value":"23.3312"},{"id":17,"name":"Train ID","value":"171-12"},{"id":16,"name":"Locomotive ID","value":"4011"},{"id":130,"name":"Impact","value":""},{"id":150,"name":"Time of Event (Mountain Time)","value":"13:05:14"},{"id":151,"name":"Denver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432</v>
      </c>
      <c r="B84" s="7">
        <v>4012</v>
      </c>
      <c r="C84" s="22" t="s">
        <v>225</v>
      </c>
      <c r="D84" s="22" t="s">
        <v>301</v>
      </c>
      <c r="E84" s="13">
        <v>42686.555034722223</v>
      </c>
      <c r="F84" s="13">
        <v>42686.560104166667</v>
      </c>
      <c r="G84" s="7">
        <v>2</v>
      </c>
      <c r="H84" s="22" t="s">
        <v>659</v>
      </c>
      <c r="I84" s="13">
        <v>42686.585752314815</v>
      </c>
      <c r="J84" s="7">
        <v>0</v>
      </c>
      <c r="K84" s="109" t="str">
        <f t="shared" si="34"/>
        <v>4011/4012</v>
      </c>
      <c r="L84" s="22" t="str">
        <f>VLOOKUP(A84,'Trips&amp;Operators'!$C$1:$E$10000,3,FALSE)</f>
        <v>STORY</v>
      </c>
      <c r="M84" s="6">
        <f t="shared" si="35"/>
        <v>2.5648148148320615E-2</v>
      </c>
      <c r="N84" s="7">
        <f t="shared" si="36"/>
        <v>36.933333333581686</v>
      </c>
      <c r="O84" s="7"/>
      <c r="P84" s="7"/>
      <c r="Q84" s="23"/>
      <c r="R84" s="23"/>
      <c r="S84" s="35">
        <f t="shared" si="37"/>
        <v>1</v>
      </c>
      <c r="T84" s="50" t="str">
        <f t="shared" si="38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12:19:15-700',mode:absolute,to:'2016-11-12 15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4" s="52" t="str">
        <f t="shared" si="40"/>
        <v>N</v>
      </c>
      <c r="X84" s="177">
        <f t="shared" si="41"/>
        <v>1</v>
      </c>
      <c r="Y84" s="67">
        <f t="shared" si="42"/>
        <v>23.299600000000002</v>
      </c>
      <c r="Z84" s="67">
        <f t="shared" si="43"/>
        <v>2.2499999999999999E-2</v>
      </c>
      <c r="AA84" s="67">
        <f t="shared" si="44"/>
        <v>23.277100000000001</v>
      </c>
      <c r="AB84" s="64" t="str">
        <f>VLOOKUP(A84,Enforcements!$C$7:$K$20,8,0)</f>
        <v>Form based authority (4)</v>
      </c>
      <c r="AC84" s="60" t="str">
        <f>VLOOKUP(A84,Enforcements!$C$7:$E$20,3,0)</f>
        <v>TRACK WARRANT AUTHORITY</v>
      </c>
      <c r="AD84" s="61" t="str">
        <f t="shared" si="45"/>
        <v>0172-12</v>
      </c>
      <c r="AE84" s="91" t="str">
        <f t="shared" si="46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84" s="88" t="str">
        <f t="shared" si="47"/>
        <v>"C:\Program Files (x86)\AstroGrep\AstroGrep.exe" /spath="%USERPROFILE%\AppData\Local\Temp\OnboardLogs" /stypes="app*4012*20161112*" /stext=" 21:.+((SYSTEM_STATE.+slice.+state.+changed )|(ment ac)|(system.+state.+changed )|(\[timeout)|(PRM\|1\|D)|(kpr)|(kdp)|(\|lc)|(penalty))" /e /r /s</v>
      </c>
      <c r="AG84" s="1" t="str">
        <f t="shared" si="48"/>
        <v>EC</v>
      </c>
      <c r="AH84" s="92" t="str">
        <f t="shared" si="49"/>
        <v>"%USERPROFILE%\Documents\GitHub\eaglep3\Utilities\RefineRTDCRunTimes.py" --tripid 172-12 --locoid 4012 --swversion DE.1.0.8.0 --startMP 204:232996 --initTime 2016-11-12T13:19:15 --startdatetime 2016-11-12T13:26:33 --delay 2 --endMP 204:225 --enddatetime 2016-11-12T14:03:29 --enforcementcount 0 &gt;&gt;C:\Users\stu\Documents\GitHub\eaglep3-reporting\EC\2016-11-12-refined-times.txt</v>
      </c>
      <c r="AI8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{"issue":{"subject":"","project_id":79,"tracker_id":40,"status_id":1,"priority_id":2,"assigned_to_id":23,"start_date":"2016-11-12","description":"","custom_fields":[{"id":1,"name":"Subdivision","value":"EC"},{"id":4,"name":"Milepost","value":"0.0225"},{"id":17,"name":"Train ID","value":"172-12"},{"id":16,"name":"Locomotive ID","value":"4012"},{"id":130,"name":"Impact","value":""},{"id":150,"name":"Time of Event (Mountain Time)","value":"14:03:29"},{"id":151,"name":"Denver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430</v>
      </c>
      <c r="B85" s="7">
        <v>4014</v>
      </c>
      <c r="C85" s="22" t="s">
        <v>225</v>
      </c>
      <c r="D85" s="22" t="s">
        <v>205</v>
      </c>
      <c r="E85" s="13">
        <v>42686.52715277778</v>
      </c>
      <c r="F85" s="13">
        <v>42686.531504629631</v>
      </c>
      <c r="G85" s="7">
        <v>1</v>
      </c>
      <c r="H85" s="22" t="s">
        <v>266</v>
      </c>
      <c r="I85" s="13">
        <v>42686.557476851849</v>
      </c>
      <c r="J85" s="7">
        <v>0</v>
      </c>
      <c r="K85" s="109" t="str">
        <f t="shared" si="34"/>
        <v>4013/4014</v>
      </c>
      <c r="L85" s="22" t="str">
        <f>VLOOKUP(A85,'Trips&amp;Operators'!$C$1:$E$10000,3,FALSE)</f>
        <v>STEWART</v>
      </c>
      <c r="M85" s="6">
        <f t="shared" si="35"/>
        <v>2.5972222218115348E-2</v>
      </c>
      <c r="N85" s="7">
        <f t="shared" si="36"/>
        <v>37.399999994086102</v>
      </c>
      <c r="O85" s="7"/>
      <c r="P85" s="7"/>
      <c r="Q85" s="23"/>
      <c r="R85" s="23"/>
      <c r="S85" s="35">
        <f t="shared" si="37"/>
        <v>1</v>
      </c>
      <c r="T85" s="50" t="str">
        <f t="shared" si="38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11:39:06-700',mode:absolute,to:'2016-11-12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5" s="52" t="str">
        <f t="shared" si="40"/>
        <v>N</v>
      </c>
      <c r="X85" s="177">
        <f t="shared" si="41"/>
        <v>1</v>
      </c>
      <c r="Y85" s="67">
        <f t="shared" si="42"/>
        <v>4.5100000000000001E-2</v>
      </c>
      <c r="Z85" s="67">
        <f t="shared" si="43"/>
        <v>23.331900000000001</v>
      </c>
      <c r="AA85" s="67">
        <f t="shared" si="44"/>
        <v>23.286799999999999</v>
      </c>
      <c r="AB85" s="64" t="str">
        <f>VLOOKUP(A85,Enforcements!$C$7:$K$20,8,0)</f>
        <v>Bulletin (2)</v>
      </c>
      <c r="AC85" s="60" t="str">
        <f>VLOOKUP(A85,Enforcements!$C$7:$E$20,3,0)</f>
        <v>GRADE CROSSING</v>
      </c>
      <c r="AD85" s="61" t="str">
        <f t="shared" si="45"/>
        <v>0173-12</v>
      </c>
      <c r="AE85" s="91" t="str">
        <f t="shared" si="46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85" s="88" t="str">
        <f t="shared" si="47"/>
        <v>"C:\Program Files (x86)\AstroGrep\AstroGrep.exe" /spath="%USERPROFILE%\AppData\Local\Temp\OnboardLogs" /stypes="app*4014*20161112*" /stext=" 20:.+((SYSTEM_STATE.+slice.+state.+changed )|(ment ac)|(system.+state.+changed )|(\[timeout)|(PRM\|1\|D)|(kpr)|(kdp)|(\|lc)|(penalty))" /e /r /s</v>
      </c>
      <c r="AG85" s="1" t="str">
        <f t="shared" si="48"/>
        <v>EC</v>
      </c>
      <c r="AH85" s="92" t="str">
        <f t="shared" si="49"/>
        <v>"%USERPROFILE%\Documents\GitHub\eaglep3\Utilities\RefineRTDCRunTimes.py" --tripid 173-12 --locoid 4014 --swversion DE.1.0.8.0 --startMP 204:451 --initTime 2016-11-12T12:39:06 --startdatetime 2016-11-12T12:45:22 --delay 1 --endMP 204:233319 --enddatetime 2016-11-12T13:22:46 --enforcementcount 0 &gt;&gt;C:\Users\stu\Documents\GitHub\eaglep3-reporting\EC\2016-11-12-refined-times.txt</v>
      </c>
      <c r="AI8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{"issue":{"subject":"","project_id":79,"tracker_id":40,"status_id":1,"priority_id":2,"assigned_to_id":23,"start_date":"2016-11-12","description":"","custom_fields":[{"id":1,"name":"Subdivision","value":"EC"},{"id":4,"name":"Milepost","value":"23.3319"},{"id":17,"name":"Train ID","value":"173-12"},{"id":16,"name":"Locomotive ID","value":"4014"},{"id":130,"name":"Impact","value":""},{"id":150,"name":"Time of Event (Mountain Time)","value":"13:22:46"},{"id":151,"name":"Denver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537</v>
      </c>
      <c r="B86" s="7">
        <v>4013</v>
      </c>
      <c r="C86" s="22" t="s">
        <v>225</v>
      </c>
      <c r="D86" s="22" t="s">
        <v>400</v>
      </c>
      <c r="E86" s="13">
        <v>42686.566747685189</v>
      </c>
      <c r="F86" s="13">
        <v>42686.570416666669</v>
      </c>
      <c r="G86" s="7">
        <v>1</v>
      </c>
      <c r="H86" s="22" t="s">
        <v>340</v>
      </c>
      <c r="I86" s="13">
        <v>42686.59615740741</v>
      </c>
      <c r="J86" s="7">
        <v>0</v>
      </c>
      <c r="K86" s="109" t="str">
        <f t="shared" si="34"/>
        <v>4013/4014</v>
      </c>
      <c r="L86" s="22" t="str">
        <f>VLOOKUP(A86,'Trips&amp;Operators'!$C$1:$E$10000,3,FALSE)</f>
        <v>STEWART</v>
      </c>
      <c r="M86" s="6">
        <f t="shared" si="35"/>
        <v>2.5740740740729962E-2</v>
      </c>
      <c r="N86" s="7">
        <f t="shared" si="36"/>
        <v>37.066666666651145</v>
      </c>
      <c r="O86" s="7"/>
      <c r="P86" s="7"/>
      <c r="Q86" s="23"/>
      <c r="R86" s="23"/>
      <c r="S86" s="35">
        <f t="shared" si="37"/>
        <v>1</v>
      </c>
      <c r="T86" s="50" t="str">
        <f t="shared" si="38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12:36:07-700',mode:absolute,to:'2016-11-12 15:18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6" s="52" t="str">
        <f t="shared" si="40"/>
        <v>N</v>
      </c>
      <c r="X86" s="177">
        <f t="shared" si="41"/>
        <v>1</v>
      </c>
      <c r="Y86" s="67">
        <f t="shared" si="42"/>
        <v>23.298300000000001</v>
      </c>
      <c r="Z86" s="67">
        <f t="shared" si="43"/>
        <v>1.54E-2</v>
      </c>
      <c r="AA86" s="67">
        <f t="shared" si="44"/>
        <v>23.282900000000001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45"/>
        <v>0174-12</v>
      </c>
      <c r="AE86" s="91" t="str">
        <f t="shared" si="46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86" s="88" t="str">
        <f t="shared" si="47"/>
        <v>"C:\Program Files (x86)\AstroGrep\AstroGrep.exe" /spath="%USERPROFILE%\AppData\Local\Temp\OnboardLogs" /stypes="app*4013*20161112*" /stext=" 21:.+((SYSTEM_STATE.+slice.+state.+changed )|(ment ac)|(system.+state.+changed )|(\[timeout)|(PRM\|1\|D)|(kpr)|(kdp)|(\|lc)|(penalty))" /e /r /s</v>
      </c>
      <c r="AG86" s="1" t="str">
        <f t="shared" si="48"/>
        <v>EC</v>
      </c>
      <c r="AH86" s="92" t="str">
        <f t="shared" si="49"/>
        <v>"%USERPROFILE%\Documents\GitHub\eaglep3\Utilities\RefineRTDCRunTimes.py" --tripid 174-12 --locoid 4013 --swversion DE.1.0.8.0 --startMP 204:232983 --initTime 2016-11-12T13:36:07 --startdatetime 2016-11-12T13:41:24 --delay 1 --endMP 204:154 --enddatetime 2016-11-12T14:18:28 --enforcementcount 0 &gt;&gt;C:\Users\stu\Documents\GitHub\eaglep3-reporting\EC\2016-11-12-refined-times.txt</v>
      </c>
      <c r="AI8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ID","value":"174-12"},{"id":16,"name":"Locomotive ID","value":"4013"},{"id":130,"name":"Impact","value":""},{"id":150,"name":"Time of Event (Mountain Time)","value":"14:18:28"},{"id":151,"name":"Denver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530</v>
      </c>
      <c r="B87" s="7">
        <v>4053</v>
      </c>
      <c r="C87" s="22" t="s">
        <v>225</v>
      </c>
      <c r="D87" s="22" t="s">
        <v>205</v>
      </c>
      <c r="E87" s="13">
        <v>42686.535752314812</v>
      </c>
      <c r="F87" s="13">
        <v>42686.541875000003</v>
      </c>
      <c r="G87" s="7">
        <v>2</v>
      </c>
      <c r="H87" s="22" t="s">
        <v>660</v>
      </c>
      <c r="I87" s="13">
        <v>42686.566770833335</v>
      </c>
      <c r="J87" s="7">
        <v>0</v>
      </c>
      <c r="K87" s="109" t="str">
        <f t="shared" si="34"/>
        <v>4053/4054</v>
      </c>
      <c r="L87" s="22" t="str">
        <f>VLOOKUP(A87,'Trips&amp;Operators'!$C$1:$E$10000,3,FALSE)</f>
        <v>BARTLETT</v>
      </c>
      <c r="M87" s="6">
        <f t="shared" si="35"/>
        <v>2.4895833332266193E-2</v>
      </c>
      <c r="N87" s="7">
        <f t="shared" si="36"/>
        <v>35.849999998463318</v>
      </c>
      <c r="O87" s="7"/>
      <c r="P87" s="7"/>
      <c r="Q87" s="23"/>
      <c r="R87" s="23"/>
      <c r="S87" s="35">
        <f t="shared" si="37"/>
        <v>1</v>
      </c>
      <c r="T87" s="50" t="str">
        <f t="shared" si="38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11:51:29-700',mode:absolute,to:'2016-11-12 14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7" s="52" t="str">
        <f t="shared" si="40"/>
        <v>N</v>
      </c>
      <c r="X87" s="177">
        <f t="shared" si="41"/>
        <v>1</v>
      </c>
      <c r="Y87" s="67">
        <f t="shared" si="42"/>
        <v>4.5100000000000001E-2</v>
      </c>
      <c r="Z87" s="67">
        <f t="shared" si="43"/>
        <v>23.331099999999999</v>
      </c>
      <c r="AA87" s="67">
        <f t="shared" si="44"/>
        <v>23.285999999999998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45"/>
        <v>0175-12</v>
      </c>
      <c r="AE87" s="91" t="str">
        <f t="shared" si="46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87" s="88" t="str">
        <f t="shared" si="47"/>
        <v>"C:\Program Files (x86)\AstroGrep\AstroGrep.exe" /spath="%USERPROFILE%\AppData\Local\Temp\OnboardLogs" /stypes="app*4053*20161112*" /stext=" 20:.+((SYSTEM_STATE.+slice.+state.+changed )|(ment ac)|(system.+state.+changed )|(\[timeout)|(PRM\|1\|D)|(kpr)|(kdp)|(\|lc)|(penalty))" /e /r /s</v>
      </c>
      <c r="AG87" s="1" t="str">
        <f t="shared" si="48"/>
        <v>EC</v>
      </c>
      <c r="AH87" s="92" t="str">
        <f t="shared" si="49"/>
        <v>"%USERPROFILE%\Documents\GitHub\eaglep3\Utilities\RefineRTDCRunTimes.py" --tripid 175-12 --locoid 4053 --swversion DE.1.0.8.0 --startMP 204:451 --initTime 2016-11-12T12:51:29 --startdatetime 2016-11-12T13:00:18 --delay 2 --endMP 204:233311 --enddatetime 2016-11-12T13:36:09 --enforcementcount 0 &gt;&gt;C:\Users\stu\Documents\GitHub\eaglep3-reporting\EC\2016-11-12-refined-times.txt</v>
      </c>
      <c r="AI8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{"issue":{"subject":"","project_id":79,"tracker_id":40,"status_id":1,"priority_id":2,"assigned_to_id":23,"start_date":"2016-11-12","description":"","custom_fields":[{"id":1,"name":"Subdivision","value":"EC"},{"id":4,"name":"Milepost","value":"23.3311"},{"id":17,"name":"Train ID","value":"175-12"},{"id":16,"name":"Locomotive ID","value":"4053"},{"id":130,"name":"Impact","value":""},{"id":150,"name":"Time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538</v>
      </c>
      <c r="B88" s="7">
        <v>4054</v>
      </c>
      <c r="C88" s="22" t="s">
        <v>225</v>
      </c>
      <c r="D88" s="22" t="s">
        <v>267</v>
      </c>
      <c r="E88" s="13">
        <v>42686.568657407406</v>
      </c>
      <c r="F88" s="13">
        <v>42686.580740740741</v>
      </c>
      <c r="G88" s="7">
        <v>0</v>
      </c>
      <c r="H88" s="22" t="s">
        <v>175</v>
      </c>
      <c r="I88" s="13">
        <v>42686.607222222221</v>
      </c>
      <c r="J88" s="7">
        <v>0</v>
      </c>
      <c r="K88" s="109" t="str">
        <f t="shared" si="34"/>
        <v>4053/4054</v>
      </c>
      <c r="L88" s="22" t="str">
        <f>VLOOKUP(A88,'Trips&amp;Operators'!$C$1:$E$10000,3,FALSE)</f>
        <v>BARTLETT</v>
      </c>
      <c r="M88" s="6">
        <f t="shared" si="35"/>
        <v>2.6481481480004732E-2</v>
      </c>
      <c r="N88" s="7">
        <f t="shared" si="36"/>
        <v>38.133333331206813</v>
      </c>
      <c r="O88" s="7"/>
      <c r="P88" s="7"/>
      <c r="Q88" s="23"/>
      <c r="R88" s="23"/>
      <c r="S88" s="35">
        <f t="shared" si="37"/>
        <v>1</v>
      </c>
      <c r="T88" s="50" t="str">
        <f t="shared" si="38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12:38:52-700',mode:absolute,to:'2016-11-12 15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8" s="52" t="str">
        <f t="shared" si="40"/>
        <v>N</v>
      </c>
      <c r="X88" s="177">
        <f t="shared" si="41"/>
        <v>1</v>
      </c>
      <c r="Y88" s="67">
        <f t="shared" si="42"/>
        <v>23.299199999999999</v>
      </c>
      <c r="Z88" s="67">
        <f t="shared" si="43"/>
        <v>1.47E-2</v>
      </c>
      <c r="AA88" s="67">
        <f t="shared" si="44"/>
        <v>23.284499999999998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45"/>
        <v>0176-12</v>
      </c>
      <c r="AE88" s="91" t="str">
        <f t="shared" si="46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88" s="88" t="str">
        <f t="shared" si="47"/>
        <v>"C:\Program Files (x86)\AstroGrep\AstroGrep.exe" /spath="%USERPROFILE%\AppData\Local\Temp\OnboardLogs" /stypes="app*4054*20161112*" /stext=" 21:.+((SYSTEM_STATE.+slice.+state.+changed )|(ment ac)|(system.+state.+changed )|(\[timeout)|(PRM\|1\|D)|(kpr)|(kdp)|(\|lc)|(penalty))" /e /r /s</v>
      </c>
      <c r="AG88" s="1" t="str">
        <f t="shared" si="48"/>
        <v>EC</v>
      </c>
      <c r="AH88" s="92" t="str">
        <f t="shared" si="49"/>
        <v>"%USERPROFILE%\Documents\GitHub\eaglep3\Utilities\RefineRTDCRunTimes.py" --tripid 176-12 --locoid 4054 --swversion DE.1.0.8.0 --startMP 204:232992 --initTime 2016-11-12T13:38:52 --startdatetime 2016-11-12T13:56:16 --delay 0 --endMP 204:147 --enddatetime 2016-11-12T14:34:24 --enforcementcount 0 &gt;&gt;C:\Users\stu\Documents\GitHub\eaglep3-reporting\EC\2016-11-12-refined-times.txt</v>
      </c>
      <c r="AI8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ID","value":"176-12"},{"id":16,"name":"Locomotive ID","value":"4054"},{"id":130,"name":"Impact","value":""},{"id":150,"name":"Time of Event (Mountain Time)","value":"14:34:24"},{"id":151,"name":"Denver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532</v>
      </c>
      <c r="B89" s="7">
        <v>4025</v>
      </c>
      <c r="C89" s="22" t="s">
        <v>225</v>
      </c>
      <c r="D89" s="22" t="s">
        <v>205</v>
      </c>
      <c r="E89" s="13">
        <v>42686.550138888888</v>
      </c>
      <c r="F89" s="13">
        <v>42686.552303240744</v>
      </c>
      <c r="G89" s="7">
        <v>1</v>
      </c>
      <c r="H89" s="22" t="s">
        <v>651</v>
      </c>
      <c r="I89" s="13">
        <v>42686.577037037037</v>
      </c>
      <c r="J89" s="7">
        <v>0</v>
      </c>
      <c r="K89" s="109" t="str">
        <f t="shared" si="34"/>
        <v>4025/4026</v>
      </c>
      <c r="L89" s="22" t="str">
        <f>VLOOKUP(A89,'Trips&amp;Operators'!$C$1:$E$10000,3,FALSE)</f>
        <v>MOSES</v>
      </c>
      <c r="M89" s="6">
        <f t="shared" si="35"/>
        <v>2.4733796293730848E-2</v>
      </c>
      <c r="N89" s="7">
        <f t="shared" si="36"/>
        <v>35.61666666297242</v>
      </c>
      <c r="O89" s="7"/>
      <c r="P89" s="7"/>
      <c r="Q89" s="23"/>
      <c r="R89" s="23"/>
      <c r="S89" s="35">
        <f t="shared" si="37"/>
        <v>1</v>
      </c>
      <c r="T89" s="50" t="str">
        <f t="shared" si="38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12:12:12-700',mode:absolute,to:'2016-11-12 14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9" s="52" t="str">
        <f t="shared" si="40"/>
        <v>N</v>
      </c>
      <c r="X89" s="177">
        <f t="shared" si="41"/>
        <v>1</v>
      </c>
      <c r="Y89" s="67">
        <f t="shared" si="42"/>
        <v>4.5100000000000001E-2</v>
      </c>
      <c r="Z89" s="67">
        <f t="shared" si="43"/>
        <v>23.332100000000001</v>
      </c>
      <c r="AA89" s="67">
        <f t="shared" si="44"/>
        <v>23.286999999999999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45"/>
        <v>0177-12</v>
      </c>
      <c r="AE89" s="91" t="str">
        <f t="shared" si="46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89" s="88" t="str">
        <f t="shared" si="47"/>
        <v>"C:\Program Files (x86)\AstroGrep\AstroGrep.exe" /spath="%USERPROFILE%\AppData\Local\Temp\OnboardLogs" /stypes="app*4025*20161112*" /stext=" 20:.+((SYSTEM_STATE.+slice.+state.+changed )|(ment ac)|(system.+state.+changed )|(\[timeout)|(PRM\|1\|D)|(kpr)|(kdp)|(\|lc)|(penalty))" /e /r /s</v>
      </c>
      <c r="AG89" s="1" t="str">
        <f t="shared" si="48"/>
        <v>EC</v>
      </c>
      <c r="AH89" s="92" t="str">
        <f t="shared" si="49"/>
        <v>"%USERPROFILE%\Documents\GitHub\eaglep3\Utilities\RefineRTDCRunTimes.py" --tripid 177-12 --locoid 4025 --swversion DE.1.0.8.0 --startMP 204:451 --initTime 2016-11-12T13:12:12 --startdatetime 2016-11-12T13:15:19 --delay 1 --endMP 204:233321 --enddatetime 2016-11-12T13:50:56 --enforcementcount 0 &gt;&gt;C:\Users\stu\Documents\GitHub\eaglep3-reporting\EC\2016-11-12-refined-times.txt</v>
      </c>
      <c r="AI8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{"issue":{"subject":"","project_id":79,"tracker_id":40,"status_id":1,"priority_id":2,"assigned_to_id":23,"start_date":"2016-11-12","description":"","custom_fields":[{"id":1,"name":"Subdivision","value":"EC"},{"id":4,"name":"Milepost","value":"23.3321"},{"id":17,"name":"Train ID","value":"177-12"},{"id":16,"name":"Locomotive ID","value":"4025"},{"id":130,"name":"Impact","value":""},{"id":150,"name":"Time of Event (Mountain Time)","value":"13:50:56"},{"id":151,"name":"Denver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433</v>
      </c>
      <c r="B90" s="7">
        <v>4026</v>
      </c>
      <c r="C90" s="22" t="s">
        <v>225</v>
      </c>
      <c r="D90" s="22" t="s">
        <v>404</v>
      </c>
      <c r="E90" s="13">
        <v>42686.585590277777</v>
      </c>
      <c r="F90" s="13">
        <v>42686.591249999998</v>
      </c>
      <c r="G90" s="7">
        <v>1</v>
      </c>
      <c r="H90" s="22" t="s">
        <v>280</v>
      </c>
      <c r="I90" s="13">
        <v>42686.617650462962</v>
      </c>
      <c r="J90" s="7">
        <v>0</v>
      </c>
      <c r="K90" s="109" t="str">
        <f t="shared" si="34"/>
        <v>4025/4026</v>
      </c>
      <c r="L90" s="22" t="str">
        <f>VLOOKUP(A90,'Trips&amp;Operators'!$C$1:$E$10000,3,FALSE)</f>
        <v>MOSES</v>
      </c>
      <c r="M90" s="6">
        <f t="shared" si="35"/>
        <v>2.6400462964375038E-2</v>
      </c>
      <c r="N90" s="7">
        <f t="shared" si="36"/>
        <v>38.016666668700054</v>
      </c>
      <c r="O90" s="7"/>
      <c r="P90" s="7"/>
      <c r="Q90" s="23"/>
      <c r="R90" s="23"/>
      <c r="S90" s="35">
        <f t="shared" si="37"/>
        <v>1</v>
      </c>
      <c r="T90" s="50" t="str">
        <f t="shared" si="38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13:03:15-700',mode:absolute,to:'2016-11-12 15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0" s="52" t="str">
        <f t="shared" si="40"/>
        <v>N</v>
      </c>
      <c r="X90" s="177">
        <f t="shared" si="41"/>
        <v>1</v>
      </c>
      <c r="Y90" s="67">
        <f t="shared" si="42"/>
        <v>23.300599999999999</v>
      </c>
      <c r="Z90" s="67">
        <f t="shared" si="43"/>
        <v>1.7399999999999999E-2</v>
      </c>
      <c r="AA90" s="67">
        <f t="shared" si="44"/>
        <v>23.283200000000001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45"/>
        <v>0178-12</v>
      </c>
      <c r="AE90" s="91" t="str">
        <f t="shared" si="46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90" s="88" t="str">
        <f t="shared" si="47"/>
        <v>"C:\Program Files (x86)\AstroGrep\AstroGrep.exe" /spath="%USERPROFILE%\AppData\Local\Temp\OnboardLogs" /stypes="app*4026*20161112*" /stext=" 21:.+((SYSTEM_STATE.+slice.+state.+changed )|(ment ac)|(system.+state.+changed )|(\[timeout)|(PRM\|1\|D)|(kpr)|(kdp)|(\|lc)|(penalty))" /e /r /s</v>
      </c>
      <c r="AG90" s="1" t="str">
        <f t="shared" si="48"/>
        <v>EC</v>
      </c>
      <c r="AH90" s="92" t="str">
        <f t="shared" si="49"/>
        <v>"%USERPROFILE%\Documents\GitHub\eaglep3\Utilities\RefineRTDCRunTimes.py" --tripid 178-12 --locoid 4026 --swversion DE.1.0.8.0 --startMP 204:233006 --initTime 2016-11-12T14:03:15 --startdatetime 2016-11-12T14:11:24 --delay 1 --endMP 204:174 --enddatetime 2016-11-12T14:49:25 --enforcementcount 0 &gt;&gt;C:\Users\stu\Documents\GitHub\eaglep3-reporting\EC\2016-11-12-refined-times.txt</v>
      </c>
      <c r="AI9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{"issue":{"subject":"","project_id":79,"tracker_id":40,"status_id":1,"priority_id":2,"assigned_to_id":23,"start_date":"2016-11-12","description":"","custom_fields":[{"id":1,"name":"Subdivision","value":"EC"},{"id":4,"name":"Milepost","value":"0.0174"},{"id":17,"name":"Train ID","value":"178-12"},{"id":16,"name":"Locomotive ID","value":"4026"},{"id":130,"name":"Impact","value":""},{"id":150,"name":"Time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534</v>
      </c>
      <c r="B91" s="7">
        <v>4042</v>
      </c>
      <c r="C91" s="22" t="s">
        <v>225</v>
      </c>
      <c r="D91" s="22" t="s">
        <v>202</v>
      </c>
      <c r="E91" s="13">
        <v>42686.558506944442</v>
      </c>
      <c r="F91" s="13">
        <v>42686.562731481485</v>
      </c>
      <c r="G91" s="7">
        <v>1</v>
      </c>
      <c r="H91" s="22" t="s">
        <v>661</v>
      </c>
      <c r="I91" s="13">
        <v>42686.588113425925</v>
      </c>
      <c r="J91" s="7">
        <v>0</v>
      </c>
      <c r="K91" s="109" t="str">
        <f t="shared" si="34"/>
        <v>4041/4042</v>
      </c>
      <c r="L91" s="22" t="str">
        <f>VLOOKUP(A91,'Trips&amp;Operators'!$C$1:$E$10000,3,FALSE)</f>
        <v>SHOOK</v>
      </c>
      <c r="M91" s="6">
        <f t="shared" si="35"/>
        <v>2.5381944440596271E-2</v>
      </c>
      <c r="N91" s="7">
        <f t="shared" si="36"/>
        <v>36.549999994458631</v>
      </c>
      <c r="O91" s="7"/>
      <c r="P91" s="7"/>
      <c r="Q91" s="23"/>
      <c r="R91" s="23"/>
      <c r="S91" s="35">
        <f t="shared" si="37"/>
        <v>1</v>
      </c>
      <c r="T91" s="50" t="str">
        <f t="shared" si="38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12:24:15-700',mode:absolute,to:'2016-11-12 15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2" t="str">
        <f t="shared" si="40"/>
        <v>N</v>
      </c>
      <c r="X91" s="177">
        <f t="shared" si="41"/>
        <v>1</v>
      </c>
      <c r="Y91" s="67">
        <f t="shared" si="42"/>
        <v>4.5499999999999999E-2</v>
      </c>
      <c r="Z91" s="67">
        <f t="shared" si="43"/>
        <v>23.337800000000001</v>
      </c>
      <c r="AA91" s="67">
        <f t="shared" si="44"/>
        <v>23.292300000000001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45"/>
        <v>0179-12</v>
      </c>
      <c r="AE91" s="91" t="str">
        <f t="shared" si="46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91" s="88" t="str">
        <f t="shared" si="47"/>
        <v>"C:\Program Files (x86)\AstroGrep\AstroGrep.exe" /spath="%USERPROFILE%\AppData\Local\Temp\OnboardLogs" /stypes="app*4042*20161112*" /stext=" 21:.+((SYSTEM_STATE.+slice.+state.+changed )|(ment ac)|(system.+state.+changed )|(\[timeout)|(PRM\|1\|D)|(kpr)|(kdp)|(\|lc)|(penalty))" /e /r /s</v>
      </c>
      <c r="AG91" s="1" t="str">
        <f t="shared" si="48"/>
        <v>EC</v>
      </c>
      <c r="AH91" s="92" t="str">
        <f t="shared" si="49"/>
        <v>"%USERPROFILE%\Documents\GitHub\eaglep3\Utilities\RefineRTDCRunTimes.py" --tripid 179-12 --locoid 4042 --swversion DE.1.0.8.0 --startMP 204:455 --initTime 2016-11-12T13:24:15 --startdatetime 2016-11-12T13:30:20 --delay 1 --endMP 204:233378 --enddatetime 2016-11-12T14:06:53 --enforcementcount 0 &gt;&gt;C:\Users\stu\Documents\GitHub\eaglep3-reporting\EC\2016-11-12-refined-times.txt</v>
      </c>
      <c r="AI9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{"issue":{"subject":"","project_id":79,"tracker_id":40,"status_id":1,"priority_id":2,"assigned_to_id":23,"start_date":"2016-11-12","description":"","custom_fields":[{"id":1,"name":"Subdivision","value":"EC"},{"id":4,"name":"Milepost","value":"23.3378"},{"id":17,"name":"Train ID","value":"179-12"},{"id":16,"name":"Locomotive ID","value":"4042"},{"id":130,"name":"Impact","value":""},{"id":150,"name":"Time of Event (Mountain Time)","value":"14:06:53"},{"id":151,"name":"Denver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544</v>
      </c>
      <c r="B92" s="7">
        <v>4041</v>
      </c>
      <c r="C92" s="22" t="s">
        <v>225</v>
      </c>
      <c r="D92" s="22" t="s">
        <v>662</v>
      </c>
      <c r="E92" s="13">
        <v>42686.596284722225</v>
      </c>
      <c r="F92" s="13">
        <v>42686.6016087963</v>
      </c>
      <c r="G92" s="7">
        <v>1</v>
      </c>
      <c r="H92" s="22" t="s">
        <v>253</v>
      </c>
      <c r="I92" s="13">
        <v>42686.62809027778</v>
      </c>
      <c r="J92" s="7">
        <v>0</v>
      </c>
      <c r="K92" s="109" t="str">
        <f t="shared" si="34"/>
        <v>4041/4042</v>
      </c>
      <c r="L92" s="22" t="str">
        <f>VLOOKUP(A92,'Trips&amp;Operators'!$C$1:$E$10000,3,FALSE)</f>
        <v>SHOOK</v>
      </c>
      <c r="M92" s="6">
        <f t="shared" si="35"/>
        <v>2.6481481480004732E-2</v>
      </c>
      <c r="N92" s="7">
        <f t="shared" si="36"/>
        <v>38.133333331206813</v>
      </c>
      <c r="O92" s="7"/>
      <c r="P92" s="7"/>
      <c r="Q92" s="23"/>
      <c r="R92" s="23"/>
      <c r="S92" s="35">
        <f t="shared" si="37"/>
        <v>1</v>
      </c>
      <c r="T92" s="50" t="str">
        <f t="shared" si="38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13:18:39-700',mode:absolute,to:'2016-11-12 16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2" t="str">
        <f t="shared" si="40"/>
        <v>N</v>
      </c>
      <c r="X92" s="177">
        <f t="shared" si="41"/>
        <v>1</v>
      </c>
      <c r="Y92" s="67">
        <f t="shared" si="42"/>
        <v>23.304200000000002</v>
      </c>
      <c r="Z92" s="67">
        <f t="shared" si="43"/>
        <v>1.4999999999999999E-2</v>
      </c>
      <c r="AA92" s="67">
        <f t="shared" si="44"/>
        <v>23.289200000000001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45"/>
        <v>0180-12</v>
      </c>
      <c r="AE92" s="91" t="str">
        <f t="shared" si="46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92" s="88" t="str">
        <f t="shared" si="47"/>
        <v>"C:\Program Files (x86)\AstroGrep\AstroGrep.exe" /spath="%USERPROFILE%\AppData\Local\Temp\OnboardLogs" /stypes="app*4041*20161112*" /stext=" 22:.+((SYSTEM_STATE.+slice.+state.+changed )|(ment ac)|(system.+state.+changed )|(\[timeout)|(PRM\|1\|D)|(kpr)|(kdp)|(\|lc)|(penalty))" /e /r /s</v>
      </c>
      <c r="AG92" s="1" t="str">
        <f t="shared" si="48"/>
        <v>EC</v>
      </c>
      <c r="AH92" s="92" t="str">
        <f t="shared" si="49"/>
        <v>"%USERPROFILE%\Documents\GitHub\eaglep3\Utilities\RefineRTDCRunTimes.py" --tripid 180-12 --locoid 4041 --swversion DE.1.0.8.0 --startMP 204:233042 --initTime 2016-11-12T14:18:39 --startdatetime 2016-11-12T14:26:19 --delay 1 --endMP 204:150 --enddatetime 2016-11-12T15:04:27 --enforcementcount 0 &gt;&gt;C:\Users\stu\Documents\GitHub\eaglep3-reporting\EC\2016-11-12-refined-times.txt</v>
      </c>
      <c r="AI9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{"issue":{"subject":"","project_id":79,"tracker_id":40,"status_id":1,"priority_id":2,"assigned_to_id":23,"start_date":"2016-11-12","description":"","custom_fields":[{"id":1,"name":"Subdivision","value":"EC"},{"id":4,"name":"Milepost","value":"0.015"},{"id":17,"name":"Train ID","value":"180-12"},{"id":16,"name":"Locomotive ID","value":"4041"},{"id":130,"name":"Impact","value":""},{"id":150,"name":"Time of Event (Mountain Time)","value":"15:04:27"},{"id":151,"name":"Denver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536</v>
      </c>
      <c r="B93" s="7">
        <v>4038</v>
      </c>
      <c r="C93" s="22" t="s">
        <v>225</v>
      </c>
      <c r="D93" s="22" t="s">
        <v>293</v>
      </c>
      <c r="E93" s="13">
        <v>42686.56627314815</v>
      </c>
      <c r="F93" s="13">
        <v>42686.573206018518</v>
      </c>
      <c r="G93" s="7">
        <v>1</v>
      </c>
      <c r="H93" s="22" t="s">
        <v>296</v>
      </c>
      <c r="I93" s="13">
        <v>42686.597488425927</v>
      </c>
      <c r="J93" s="7">
        <v>0</v>
      </c>
      <c r="K93" s="109" t="str">
        <f t="shared" si="34"/>
        <v>4037/4038</v>
      </c>
      <c r="L93" s="22" t="str">
        <f>VLOOKUP(A93,'Trips&amp;Operators'!$C$1:$E$10000,3,FALSE)</f>
        <v>BRUDER</v>
      </c>
      <c r="M93" s="6">
        <f t="shared" si="35"/>
        <v>2.4282407408463769E-2</v>
      </c>
      <c r="N93" s="7">
        <f t="shared" si="36"/>
        <v>34.966666668187827</v>
      </c>
      <c r="O93" s="7"/>
      <c r="P93" s="7"/>
      <c r="Q93" s="23"/>
      <c r="R93" s="23"/>
      <c r="S93" s="35">
        <f t="shared" si="37"/>
        <v>1</v>
      </c>
      <c r="T93" s="50" t="str">
        <f t="shared" si="38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12:35:26-700',mode:absolute,to:'2016-11-12 15:20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3" s="52" t="str">
        <f t="shared" si="40"/>
        <v>N</v>
      </c>
      <c r="X93" s="177">
        <f t="shared" si="41"/>
        <v>1</v>
      </c>
      <c r="Y93" s="67">
        <f t="shared" si="42"/>
        <v>4.7300000000000002E-2</v>
      </c>
      <c r="Z93" s="67">
        <f t="shared" si="43"/>
        <v>23.331</v>
      </c>
      <c r="AA93" s="67">
        <f t="shared" si="44"/>
        <v>23.2837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45"/>
        <v>0181-12</v>
      </c>
      <c r="AE93" s="91" t="str">
        <f t="shared" si="46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93" s="88" t="str">
        <f t="shared" si="47"/>
        <v>"C:\Program Files (x86)\AstroGrep\AstroGrep.exe" /spath="%USERPROFILE%\AppData\Local\Temp\OnboardLogs" /stypes="app*4038*20161112*" /stext=" 21:.+((SYSTEM_STATE.+slice.+state.+changed )|(ment ac)|(system.+state.+changed )|(\[timeout)|(PRM\|1\|D)|(kpr)|(kdp)|(\|lc)|(penalty))" /e /r /s</v>
      </c>
      <c r="AG93" s="1" t="str">
        <f t="shared" si="48"/>
        <v>EC</v>
      </c>
      <c r="AH93" s="92" t="str">
        <f t="shared" si="49"/>
        <v>"%USERPROFILE%\Documents\GitHub\eaglep3\Utilities\RefineRTDCRunTimes.py" --tripid 181-12 --locoid 4038 --swversion DE.1.0.8.0 --startMP 204:473 --initTime 2016-11-12T13:35:26 --startdatetime 2016-11-12T13:45:25 --delay 1 --endMP 204:233310 --enddatetime 2016-11-12T14:20:23 --enforcementcount 0 &gt;&gt;C:\Users\stu\Documents\GitHub\eaglep3-reporting\EC\2016-11-12-refined-times.txt</v>
      </c>
      <c r="AI9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{"issue":{"subject":"","project_id":79,"tracker_id":40,"status_id":1,"priority_id":2,"assigned_to_id":23,"start_date":"2016-11-12","description":"","custom_fields":[{"id":1,"name":"Subdivision","value":"EC"},{"id":4,"name":"Milepost","value":"23.331"},{"id":17,"name":"Train ID","value":"181-12"},{"id":16,"name":"Locomotive ID","value":"4038"},{"id":130,"name":"Impact","value":""},{"id":150,"name":"Time of Event (Mountain Time)","value":"14:20:23"},{"id":151,"name":"Denver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434</v>
      </c>
      <c r="B94" s="7">
        <v>4037</v>
      </c>
      <c r="C94" s="22" t="s">
        <v>225</v>
      </c>
      <c r="D94" s="22" t="s">
        <v>220</v>
      </c>
      <c r="E94" s="13">
        <v>42686.604756944442</v>
      </c>
      <c r="F94" s="13">
        <v>42686.61215277778</v>
      </c>
      <c r="G94" s="7">
        <v>1</v>
      </c>
      <c r="H94" s="22" t="s">
        <v>688</v>
      </c>
      <c r="I94" s="13">
        <v>42686.637395833335</v>
      </c>
      <c r="J94" s="7">
        <v>0</v>
      </c>
      <c r="K94" s="109" t="str">
        <f t="shared" si="34"/>
        <v>4037/4038</v>
      </c>
      <c r="L94" s="22" t="str">
        <f>VLOOKUP(A94,'Trips&amp;Operators'!$C$1:$E$10000,3,FALSE)</f>
        <v>BRUDER</v>
      </c>
      <c r="M94" s="6">
        <f t="shared" si="35"/>
        <v>2.5243055555620231E-2</v>
      </c>
      <c r="N94" s="7">
        <f t="shared" si="36"/>
        <v>36.350000000093132</v>
      </c>
      <c r="O94" s="7"/>
      <c r="P94" s="7"/>
      <c r="Q94" s="23"/>
      <c r="R94" s="23"/>
      <c r="S94" s="35">
        <f t="shared" si="37"/>
        <v>1</v>
      </c>
      <c r="T94" s="50" t="str">
        <f t="shared" si="38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13:30:51-700',mode:absolute,to:'2016-11-12 16:17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4" s="52" t="str">
        <f t="shared" si="40"/>
        <v>N</v>
      </c>
      <c r="X94" s="177">
        <f t="shared" si="41"/>
        <v>1</v>
      </c>
      <c r="Y94" s="67">
        <f t="shared" si="42"/>
        <v>23.298500000000001</v>
      </c>
      <c r="Z94" s="67">
        <f t="shared" si="43"/>
        <v>2.6499999999999999E-2</v>
      </c>
      <c r="AA94" s="67">
        <f t="shared" si="44"/>
        <v>23.272000000000002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45"/>
        <v>0182-12</v>
      </c>
      <c r="AE94" s="91" t="str">
        <f t="shared" si="46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94" s="88" t="str">
        <f t="shared" si="47"/>
        <v>"C:\Program Files (x86)\AstroGrep\AstroGrep.exe" /spath="%USERPROFILE%\AppData\Local\Temp\OnboardLogs" /stypes="app*4037*20161112*" /stext=" 22:.+((SYSTEM_STATE.+slice.+state.+changed )|(ment ac)|(system.+state.+changed )|(\[timeout)|(PRM\|1\|D)|(kpr)|(kdp)|(\|lc)|(penalty))" /e /r /s</v>
      </c>
      <c r="AG94" s="1" t="str">
        <f t="shared" si="48"/>
        <v>EC</v>
      </c>
      <c r="AH94" s="92" t="str">
        <f t="shared" si="49"/>
        <v>"%USERPROFILE%\Documents\GitHub\eaglep3\Utilities\RefineRTDCRunTimes.py" --tripid 182-12 --locoid 4037 --swversion DE.1.0.8.0 --startMP 204:232985 --initTime 2016-11-12T14:30:51 --startdatetime 2016-11-12T14:41:30 --delay 1 --endMP 204:265 --enddatetime 2016-11-12T15:17:51 --enforcementcount 0 &gt;&gt;C:\Users\stu\Documents\GitHub\eaglep3-reporting\EC\2016-11-12-refined-times.txt</v>
      </c>
      <c r="AI9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{"issue":{"subject":"","project_id":79,"tracker_id":40,"status_id":1,"priority_id":2,"assigned_to_id":23,"start_date":"2016-11-12","description":"","custom_fields":[{"id":1,"name":"Subdivision","value":"EC"},{"id":4,"name":"Milepost","value":"0.0265"},{"id":17,"name":"Train ID","value":"182-12"},{"id":16,"name":"Locomotive ID","value":"4037"},{"id":130,"name":"Impact","value":""},{"id":150,"name":"Time of Event (Mountain Time)","value":"15:17:51"},{"id":151,"name":"Denver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539</v>
      </c>
      <c r="B95" s="7">
        <v>4022</v>
      </c>
      <c r="C95" s="22" t="s">
        <v>225</v>
      </c>
      <c r="D95" s="22" t="s">
        <v>201</v>
      </c>
      <c r="E95" s="13">
        <v>42686.578842592593</v>
      </c>
      <c r="F95" s="13">
        <v>42686.58353009259</v>
      </c>
      <c r="G95" s="7">
        <v>3</v>
      </c>
      <c r="H95" s="22" t="s">
        <v>630</v>
      </c>
      <c r="I95" s="13">
        <v>42686.609178240738</v>
      </c>
      <c r="J95" s="7">
        <v>0</v>
      </c>
      <c r="K95" s="109" t="str">
        <f t="shared" si="34"/>
        <v>4021/4022</v>
      </c>
      <c r="L95" s="22" t="str">
        <f>VLOOKUP(A95,'Trips&amp;Operators'!$C$1:$E$10000,3,FALSE)</f>
        <v>OUN</v>
      </c>
      <c r="M95" s="6">
        <f t="shared" si="35"/>
        <v>2.5648148148320615E-2</v>
      </c>
      <c r="N95" s="7">
        <f t="shared" si="36"/>
        <v>36.933333333581686</v>
      </c>
      <c r="O95" s="7"/>
      <c r="P95" s="7"/>
      <c r="Q95" s="23"/>
      <c r="R95" s="23"/>
      <c r="S95" s="35">
        <f t="shared" si="37"/>
        <v>1</v>
      </c>
      <c r="T95" s="50" t="str">
        <f t="shared" si="38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12:53:32-700',mode:absolute,to:'2016-11-12 15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5" s="52" t="str">
        <f t="shared" si="40"/>
        <v>N</v>
      </c>
      <c r="X95" s="177">
        <f t="shared" si="41"/>
        <v>1</v>
      </c>
      <c r="Y95" s="67">
        <f t="shared" si="42"/>
        <v>4.53E-2</v>
      </c>
      <c r="Z95" s="67">
        <f t="shared" si="43"/>
        <v>23.330100000000002</v>
      </c>
      <c r="AA95" s="67">
        <f t="shared" si="44"/>
        <v>23.284800000000001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45"/>
        <v>0183-12</v>
      </c>
      <c r="AE95" s="91" t="str">
        <f t="shared" si="46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95" s="88" t="str">
        <f t="shared" si="47"/>
        <v>"C:\Program Files (x86)\AstroGrep\AstroGrep.exe" /spath="%USERPROFILE%\AppData\Local\Temp\OnboardLogs" /stypes="app*4022*20161112*" /stext=" 21:.+((SYSTEM_STATE.+slice.+state.+changed )|(ment ac)|(system.+state.+changed )|(\[timeout)|(PRM\|1\|D)|(kpr)|(kdp)|(\|lc)|(penalty))" /e /r /s</v>
      </c>
      <c r="AG95" s="1" t="str">
        <f t="shared" si="48"/>
        <v>EC</v>
      </c>
      <c r="AH95" s="92" t="str">
        <f t="shared" si="49"/>
        <v>"%USERPROFILE%\Documents\GitHub\eaglep3\Utilities\RefineRTDCRunTimes.py" --tripid 183-12 --locoid 4022 --swversion DE.1.0.8.0 --startMP 204:453 --initTime 2016-11-12T13:53:32 --startdatetime 2016-11-12T14:00:17 --delay 3 --endMP 204:233301 --enddatetime 2016-11-12T14:37:13 --enforcementcount 0 &gt;&gt;C:\Users\stu\Documents\GitHub\eaglep3-reporting\EC\2016-11-12-refined-times.txt</v>
      </c>
      <c r="AI9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{"issue":{"subject":"","project_id":79,"tracker_id":40,"status_id":1,"priority_id":2,"assigned_to_id":23,"start_date":"2016-11-12","description":"","custom_fields":[{"id":1,"name":"Subdivision","value":"EC"},{"id":4,"name":"Milepost","value":"23.3301"},{"id":17,"name":"Train ID","value":"183-12"},{"id":16,"name":"Locomotive ID","value":"4022"},{"id":130,"name":"Impact","value":""},{"id":150,"name":"Time of Event (Mountain Time)","value":"14:37:13"},{"id":151,"name":"Denver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548</v>
      </c>
      <c r="B96" s="7">
        <v>4021</v>
      </c>
      <c r="C96" s="22" t="s">
        <v>225</v>
      </c>
      <c r="D96" s="22" t="s">
        <v>709</v>
      </c>
      <c r="E96" s="13">
        <v>42686.619062500002</v>
      </c>
      <c r="F96" s="13">
        <v>42686.622418981482</v>
      </c>
      <c r="G96" s="7">
        <v>1</v>
      </c>
      <c r="H96" s="22" t="s">
        <v>340</v>
      </c>
      <c r="I96" s="13">
        <v>42686.649363425924</v>
      </c>
      <c r="J96" s="7">
        <v>0</v>
      </c>
      <c r="K96" s="109" t="str">
        <f t="shared" si="34"/>
        <v>4021/4022</v>
      </c>
      <c r="L96" s="22" t="str">
        <f>VLOOKUP(A96,'Trips&amp;Operators'!$C$1:$E$10000,3,FALSE)</f>
        <v>OUN</v>
      </c>
      <c r="M96" s="6">
        <f t="shared" si="35"/>
        <v>2.6944444442051463E-2</v>
      </c>
      <c r="N96" s="7">
        <f t="shared" si="36"/>
        <v>38.799999996554106</v>
      </c>
      <c r="O96" s="7"/>
      <c r="P96" s="7"/>
      <c r="Q96" s="23"/>
      <c r="R96" s="23"/>
      <c r="S96" s="35">
        <f t="shared" si="37"/>
        <v>1</v>
      </c>
      <c r="T96" s="50" t="str">
        <f t="shared" si="38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13:51:27-700',mode:absolute,to:'2016-11-12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6" s="52" t="str">
        <f t="shared" si="40"/>
        <v>N</v>
      </c>
      <c r="X96" s="177">
        <f t="shared" si="41"/>
        <v>1</v>
      </c>
      <c r="Y96" s="67">
        <f t="shared" si="42"/>
        <v>23.2971</v>
      </c>
      <c r="Z96" s="67">
        <f t="shared" si="43"/>
        <v>1.54E-2</v>
      </c>
      <c r="AA96" s="67">
        <f t="shared" si="44"/>
        <v>23.281700000000001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45"/>
        <v>0184-12</v>
      </c>
      <c r="AE96" s="91" t="str">
        <f t="shared" si="46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96" s="88" t="str">
        <f t="shared" si="47"/>
        <v>"C:\Program Files (x86)\AstroGrep\AstroGrep.exe" /spath="%USERPROFILE%\AppData\Local\Temp\OnboardLogs" /stypes="app*4021*20161112*" /stext=" 22:.+((SYSTEM_STATE.+slice.+state.+changed )|(ment ac)|(system.+state.+changed )|(\[timeout)|(PRM\|1\|D)|(kpr)|(kdp)|(\|lc)|(penalty))" /e /r /s</v>
      </c>
      <c r="AG96" s="1" t="str">
        <f t="shared" si="48"/>
        <v>EC</v>
      </c>
      <c r="AH96" s="92" t="str">
        <f t="shared" si="49"/>
        <v>"%USERPROFILE%\Documents\GitHub\eaglep3\Utilities\RefineRTDCRunTimes.py" --tripid 184-12 --locoid 4021 --swversion DE.1.0.8.0 --startMP 204:232971 --initTime 2016-11-12T14:51:27 --startdatetime 2016-11-12T14:56:17 --delay 1 --endMP 204:154 --enddatetime 2016-11-12T15:35:05 --enforcementcount 0 &gt;&gt;C:\Users\stu\Documents\GitHub\eaglep3-reporting\EC\2016-11-12-refined-times.txt</v>
      </c>
      <c r="AI9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ID","value":"184-12"},{"id":16,"name":"Locomotive ID","value":"4021"},{"id":130,"name":"Impact","value":""},{"id":150,"name":"Time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541</v>
      </c>
      <c r="B97" s="7">
        <v>4011</v>
      </c>
      <c r="C97" s="22" t="s">
        <v>225</v>
      </c>
      <c r="D97" s="22" t="s">
        <v>710</v>
      </c>
      <c r="E97" s="13">
        <v>42686.588796296295</v>
      </c>
      <c r="F97" s="13">
        <v>42686.594293981485</v>
      </c>
      <c r="G97" s="7">
        <v>1</v>
      </c>
      <c r="H97" s="22" t="s">
        <v>651</v>
      </c>
      <c r="I97" s="13">
        <v>42686.618657407409</v>
      </c>
      <c r="J97" s="7">
        <v>0</v>
      </c>
      <c r="K97" s="109" t="str">
        <f t="shared" si="34"/>
        <v>4011/4012</v>
      </c>
      <c r="L97" s="22" t="str">
        <f>VLOOKUP(A97,'Trips&amp;Operators'!$C$1:$E$10000,3,FALSE)</f>
        <v>HILLS</v>
      </c>
      <c r="M97" s="6">
        <f t="shared" si="35"/>
        <v>2.4363425924093463E-2</v>
      </c>
      <c r="N97" s="7">
        <f t="shared" si="36"/>
        <v>35.083333330694586</v>
      </c>
      <c r="O97" s="7"/>
      <c r="P97" s="7"/>
      <c r="Q97" s="23"/>
      <c r="R97" s="23"/>
      <c r="S97" s="35">
        <f t="shared" si="37"/>
        <v>1</v>
      </c>
      <c r="T97" s="50" t="str">
        <f t="shared" si="38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13:07:52-700',mode:absolute,to:'2016-11-12 15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7" s="52" t="str">
        <f t="shared" si="40"/>
        <v>N</v>
      </c>
      <c r="X97" s="177">
        <f t="shared" si="41"/>
        <v>1</v>
      </c>
      <c r="Y97" s="67">
        <f t="shared" si="42"/>
        <v>5.3499999999999999E-2</v>
      </c>
      <c r="Z97" s="67">
        <f t="shared" si="43"/>
        <v>23.332100000000001</v>
      </c>
      <c r="AA97" s="67">
        <f t="shared" si="44"/>
        <v>23.278600000000001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45"/>
        <v>0185-12</v>
      </c>
      <c r="AE97" s="91" t="str">
        <f t="shared" si="46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97" s="88" t="str">
        <f t="shared" si="47"/>
        <v>"C:\Program Files (x86)\AstroGrep\AstroGrep.exe" /spath="%USERPROFILE%\AppData\Local\Temp\OnboardLogs" /stypes="app*4011*20161112*" /stext=" 21:.+((SYSTEM_STATE.+slice.+state.+changed )|(ment ac)|(system.+state.+changed )|(\[timeout)|(PRM\|1\|D)|(kpr)|(kdp)|(\|lc)|(penalty))" /e /r /s</v>
      </c>
      <c r="AG97" s="1" t="str">
        <f t="shared" si="48"/>
        <v>EC</v>
      </c>
      <c r="AH97" s="92" t="str">
        <f t="shared" si="49"/>
        <v>"%USERPROFILE%\Documents\GitHub\eaglep3\Utilities\RefineRTDCRunTimes.py" --tripid 185-12 --locoid 4011 --swversion DE.1.0.8.0 --startMP 204:535 --initTime 2016-11-12T14:07:52 --startdatetime 2016-11-12T14:15:47 --delay 1 --endMP 204:233321 --enddatetime 2016-11-12T14:50:52 --enforcementcount 0 &gt;&gt;C:\Users\stu\Documents\GitHub\eaglep3-reporting\EC\2016-11-12-refined-times.txt</v>
      </c>
      <c r="AI9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{"issue":{"subject":"","project_id":79,"tracker_id":40,"status_id":1,"priority_id":2,"assigned_to_id":23,"start_date":"2016-11-12","description":"","custom_fields":[{"id":1,"name":"Subdivision","value":"EC"},{"id":4,"name":"Milepost","value":"23.3321"},{"id":17,"name":"Train ID","value":"185-12"},{"id":16,"name":"Locomotive ID","value":"4011"},{"id":130,"name":"Impact","value":""},{"id":150,"name":"Time of Event (Mountain Time)","value":"14:50:52"},{"id":151,"name":"Denver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435</v>
      </c>
      <c r="B98" s="7">
        <v>4012</v>
      </c>
      <c r="C98" s="22" t="s">
        <v>225</v>
      </c>
      <c r="D98" s="22" t="s">
        <v>711</v>
      </c>
      <c r="E98" s="13">
        <v>42686.620300925926</v>
      </c>
      <c r="F98" s="13">
        <v>42686.633009259262</v>
      </c>
      <c r="G98" s="7">
        <v>1</v>
      </c>
      <c r="H98" s="22" t="s">
        <v>712</v>
      </c>
      <c r="I98" s="13">
        <v>42686.660034722219</v>
      </c>
      <c r="J98" s="7">
        <v>0</v>
      </c>
      <c r="K98" s="109" t="str">
        <f t="shared" si="34"/>
        <v>4011/4012</v>
      </c>
      <c r="L98" s="22" t="str">
        <f>VLOOKUP(A98,'Trips&amp;Operators'!$C$1:$E$10000,3,FALSE)</f>
        <v>HILLS</v>
      </c>
      <c r="M98" s="6">
        <f t="shared" si="35"/>
        <v>2.7025462957681157E-2</v>
      </c>
      <c r="N98" s="7">
        <f t="shared" si="36"/>
        <v>38.916666659060866</v>
      </c>
      <c r="O98" s="7"/>
      <c r="P98" s="7"/>
      <c r="Q98" s="23"/>
      <c r="R98" s="23"/>
      <c r="S98" s="35">
        <f t="shared" si="37"/>
        <v>1</v>
      </c>
      <c r="T98" s="50" t="str">
        <f t="shared" si="38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13:53:14-700',mode:absolute,to:'2016-11-12 16:50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8" s="52" t="str">
        <f t="shared" si="40"/>
        <v>N</v>
      </c>
      <c r="X98" s="177">
        <f t="shared" si="41"/>
        <v>1</v>
      </c>
      <c r="Y98" s="67">
        <f t="shared" si="42"/>
        <v>23.302099999999999</v>
      </c>
      <c r="Z98" s="67">
        <f t="shared" si="43"/>
        <v>1.21E-2</v>
      </c>
      <c r="AA98" s="67">
        <f t="shared" si="44"/>
        <v>23.29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45"/>
        <v>0186-12</v>
      </c>
      <c r="AE98" s="91" t="str">
        <f t="shared" si="46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98" s="88" t="str">
        <f t="shared" si="47"/>
        <v>"C:\Program Files (x86)\AstroGrep\AstroGrep.exe" /spath="%USERPROFILE%\AppData\Local\Temp\OnboardLogs" /stypes="app*4012*20161112*" /stext=" 22:.+((SYSTEM_STATE.+slice.+state.+changed )|(ment ac)|(system.+state.+changed )|(\[timeout)|(PRM\|1\|D)|(kpr)|(kdp)|(\|lc)|(penalty))" /e /r /s</v>
      </c>
      <c r="AG98" s="1" t="str">
        <f t="shared" si="48"/>
        <v>EC</v>
      </c>
      <c r="AH98" s="92" t="str">
        <f t="shared" si="49"/>
        <v>"%USERPROFILE%\Documents\GitHub\eaglep3\Utilities\RefineRTDCRunTimes.py" --tripid 186-12 --locoid 4012 --swversion DE.1.0.8.0 --startMP 204:233021 --initTime 2016-11-12T14:53:14 --startdatetime 2016-11-12T15:11:32 --delay 1 --endMP 204:121 --enddatetime 2016-11-12T15:50:27 --enforcementcount 0 &gt;&gt;C:\Users\stu\Documents\GitHub\eaglep3-reporting\EC\2016-11-12-refined-times.txt</v>
      </c>
      <c r="AI9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{"issue":{"subject":"","project_id":79,"tracker_id":40,"status_id":1,"priority_id":2,"assigned_to_id":23,"start_date":"2016-11-12","description":"","custom_fields":[{"id":1,"name":"Subdivision","value":"EC"},{"id":4,"name":"Milepost","value":"0.0121"},{"id":17,"name":"Train ID","value":"186-12"},{"id":16,"name":"Locomotive ID","value":"4012"},{"id":130,"name":"Impact","value":""},{"id":150,"name":"Time of Event (Mountain Time)","value":"15:50:27"},{"id":151,"name":"Denver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545</v>
      </c>
      <c r="B99" s="7">
        <v>4014</v>
      </c>
      <c r="C99" s="22" t="s">
        <v>225</v>
      </c>
      <c r="D99" s="22" t="s">
        <v>224</v>
      </c>
      <c r="E99" s="13">
        <v>42686.600243055553</v>
      </c>
      <c r="F99" s="13">
        <v>42686.604398148149</v>
      </c>
      <c r="G99" s="7">
        <v>1</v>
      </c>
      <c r="H99" s="22" t="s">
        <v>713</v>
      </c>
      <c r="I99" s="13">
        <v>42686.628668981481</v>
      </c>
      <c r="J99" s="7">
        <v>0</v>
      </c>
      <c r="K99" s="109" t="str">
        <f t="shared" si="34"/>
        <v>4013/4014</v>
      </c>
      <c r="L99" s="22" t="str">
        <f>VLOOKUP(A99,'Trips&amp;Operators'!$C$1:$E$10000,3,FALSE)</f>
        <v>STEWART</v>
      </c>
      <c r="M99" s="6">
        <f t="shared" si="35"/>
        <v>2.4270833331684116E-2</v>
      </c>
      <c r="N99" s="7">
        <f t="shared" si="36"/>
        <v>34.949999997625127</v>
      </c>
      <c r="O99" s="7"/>
      <c r="P99" s="7"/>
      <c r="Q99" s="23"/>
      <c r="R99" s="23"/>
      <c r="S99" s="35">
        <f t="shared" si="37"/>
        <v>1</v>
      </c>
      <c r="T99" s="50" t="str">
        <f t="shared" si="38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13:24:21-700',mode:absolute,to:'2016-11-12 16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9" s="52" t="str">
        <f t="shared" si="40"/>
        <v>N</v>
      </c>
      <c r="X99" s="177">
        <f t="shared" si="41"/>
        <v>1</v>
      </c>
      <c r="Y99" s="67">
        <f t="shared" si="42"/>
        <v>4.6399999999999997E-2</v>
      </c>
      <c r="Z99" s="67">
        <f t="shared" si="43"/>
        <v>23.3263</v>
      </c>
      <c r="AA99" s="67">
        <f t="shared" si="44"/>
        <v>23.279900000000001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45"/>
        <v>0187-12</v>
      </c>
      <c r="AE99" s="91" t="str">
        <f t="shared" si="46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99" s="88" t="str">
        <f t="shared" si="47"/>
        <v>"C:\Program Files (x86)\AstroGrep\AstroGrep.exe" /spath="%USERPROFILE%\AppData\Local\Temp\OnboardLogs" /stypes="app*4014*20161112*" /stext=" 22:.+((SYSTEM_STATE.+slice.+state.+changed )|(ment ac)|(system.+state.+changed )|(\[timeout)|(PRM\|1\|D)|(kpr)|(kdp)|(\|lc)|(penalty))" /e /r /s</v>
      </c>
      <c r="AG99" s="1" t="str">
        <f t="shared" si="48"/>
        <v>EC</v>
      </c>
      <c r="AH99" s="92" t="str">
        <f t="shared" si="49"/>
        <v>"%USERPROFILE%\Documents\GitHub\eaglep3\Utilities\RefineRTDCRunTimes.py" --tripid 187-12 --locoid 4014 --swversion DE.1.0.8.0 --startMP 204:464 --initTime 2016-11-12T14:24:21 --startdatetime 2016-11-12T14:30:20 --delay 1 --endMP 204:233263 --enddatetime 2016-11-12T15:05:17 --enforcementcount 0 &gt;&gt;C:\Users\stu\Documents\GitHub\eaglep3-reporting\EC\2016-11-12-refined-times.txt</v>
      </c>
      <c r="AI9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{"issue":{"subject":"","project_id":79,"tracker_id":40,"status_id":1,"priority_id":2,"assigned_to_id":23,"start_date":"2016-11-12","description":"","custom_fields":[{"id":1,"name":"Subdivision","value":"EC"},{"id":4,"name":"Milepost","value":"23.3263"},{"id":17,"name":"Train ID","value":"187-12"},{"id":16,"name":"Locomotive ID","value":"4014"},{"id":130,"name":"Impact","value":""},{"id":150,"name":"Time of Event (Mountain Time)","value":"15:05:17"},{"id":151,"name":"Denver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552</v>
      </c>
      <c r="B100" s="7">
        <v>4013</v>
      </c>
      <c r="C100" s="22" t="s">
        <v>225</v>
      </c>
      <c r="D100" s="22" t="s">
        <v>650</v>
      </c>
      <c r="E100" s="13">
        <v>42686.639606481483</v>
      </c>
      <c r="F100" s="13">
        <v>42686.643275462964</v>
      </c>
      <c r="G100" s="7">
        <v>1</v>
      </c>
      <c r="H100" s="22" t="s">
        <v>714</v>
      </c>
      <c r="I100" s="13">
        <v>42686.669456018521</v>
      </c>
      <c r="J100" s="7">
        <v>0</v>
      </c>
      <c r="K100" s="109" t="str">
        <f t="shared" si="34"/>
        <v>4013/4014</v>
      </c>
      <c r="L100" s="22" t="str">
        <f>VLOOKUP(A100,'Trips&amp;Operators'!$C$1:$E$10000,3,FALSE)</f>
        <v>STEWART</v>
      </c>
      <c r="M100" s="6">
        <f t="shared" si="35"/>
        <v>2.6180555556493346E-2</v>
      </c>
      <c r="N100" s="7">
        <f t="shared" si="36"/>
        <v>37.700000001350418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14:21:02-700',mode:absolute,to:'2016-11-12 17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0" s="52" t="str">
        <f t="shared" si="40"/>
        <v>N</v>
      </c>
      <c r="X100" s="177">
        <f t="shared" si="41"/>
        <v>1</v>
      </c>
      <c r="Y100" s="67">
        <f t="shared" si="42"/>
        <v>23.297499999999999</v>
      </c>
      <c r="Z100" s="67">
        <f t="shared" si="43"/>
        <v>1.6899999999999998E-2</v>
      </c>
      <c r="AA100" s="67">
        <f t="shared" si="44"/>
        <v>23.2806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45"/>
        <v>0188-12</v>
      </c>
      <c r="AE100" s="91" t="str">
        <f t="shared" si="46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00" s="88" t="str">
        <f t="shared" si="47"/>
        <v>"C:\Program Files (x86)\AstroGrep\AstroGrep.exe" /spath="%USERPROFILE%\AppData\Local\Temp\OnboardLogs" /stypes="app*4013*20161112*" /stext=" 23:.+((SYSTEM_STATE.+slice.+state.+changed )|(ment ac)|(system.+state.+changed )|(\[timeout)|(PRM\|1\|D)|(kpr)|(kdp)|(\|lc)|(penalty))" /e /r /s</v>
      </c>
      <c r="AG100" s="1" t="str">
        <f t="shared" si="48"/>
        <v>EC</v>
      </c>
      <c r="AH100" s="92" t="str">
        <f t="shared" si="49"/>
        <v>"%USERPROFILE%\Documents\GitHub\eaglep3\Utilities\RefineRTDCRunTimes.py" --tripid 188-12 --locoid 4013 --swversion DE.1.0.8.0 --startMP 204:232975 --initTime 2016-11-12T15:21:02 --startdatetime 2016-11-12T15:26:19 --delay 1 --endMP 204:169 --enddatetime 2016-11-12T16:04:01 --enforcementcount 0 &gt;&gt;C:\Users\stu\Documents\GitHub\eaglep3-reporting\EC\2016-11-12-refined-times.txt</v>
      </c>
      <c r="AI10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{"issue":{"subject":"","project_id":79,"tracker_id":40,"status_id":1,"priority_id":2,"assigned_to_id":23,"start_date":"2016-11-12","description":"","custom_fields":[{"id":1,"name":"Subdivision","value":"EC"},{"id":4,"name":"Milepost","value":"0.0169"},{"id":17,"name":"Train ID","value":"188-12"},{"id":16,"name":"Locomotive ID","value":"4013"},{"id":130,"name":"Impact","value":""},{"id":150,"name":"Time of Event (Mountain Time)","value":"16:04:01"},{"id":151,"name":"Denver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547</v>
      </c>
      <c r="B101" s="7">
        <v>4053</v>
      </c>
      <c r="C101" s="22" t="s">
        <v>225</v>
      </c>
      <c r="D101" s="22" t="s">
        <v>390</v>
      </c>
      <c r="E101" s="13">
        <v>42686.609351851854</v>
      </c>
      <c r="F101" s="13">
        <v>42686.614861111113</v>
      </c>
      <c r="G101" s="7">
        <v>1</v>
      </c>
      <c r="H101" s="22" t="s">
        <v>715</v>
      </c>
      <c r="I101" s="13">
        <v>42686.63989583333</v>
      </c>
      <c r="J101" s="7">
        <v>0</v>
      </c>
      <c r="K101" s="109" t="str">
        <f t="shared" si="34"/>
        <v>4053/4054</v>
      </c>
      <c r="L101" s="22" t="str">
        <f>VLOOKUP(A101,'Trips&amp;Operators'!$C$1:$E$10000,3,FALSE)</f>
        <v>BARTLETT</v>
      </c>
      <c r="M101" s="6">
        <f t="shared" si="35"/>
        <v>2.5034722217242233E-2</v>
      </c>
      <c r="N101" s="7">
        <f t="shared" si="36"/>
        <v>36.049999992828816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13:37:28-700',mode:absolute,to:'2016-11-12 16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01" s="52" t="str">
        <f t="shared" si="40"/>
        <v>N</v>
      </c>
      <c r="X101" s="177">
        <f t="shared" si="41"/>
        <v>1</v>
      </c>
      <c r="Y101" s="67">
        <f t="shared" si="42"/>
        <v>4.4400000000000002E-2</v>
      </c>
      <c r="Z101" s="67">
        <f t="shared" si="43"/>
        <v>23.328499999999998</v>
      </c>
      <c r="AA101" s="67">
        <f t="shared" si="44"/>
        <v>23.284099999999999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45"/>
        <v>0189-12</v>
      </c>
      <c r="AE101" s="91" t="str">
        <f t="shared" si="46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01" s="88" t="str">
        <f t="shared" si="47"/>
        <v>"C:\Program Files (x86)\AstroGrep\AstroGrep.exe" /spath="%USERPROFILE%\AppData\Local\Temp\OnboardLogs" /stypes="app*4053*20161112*" /stext=" 22:.+((SYSTEM_STATE.+slice.+state.+changed )|(ment ac)|(system.+state.+changed )|(\[timeout)|(PRM\|1\|D)|(kpr)|(kdp)|(\|lc)|(penalty))" /e /r /s</v>
      </c>
      <c r="AG101" s="1" t="str">
        <f t="shared" si="48"/>
        <v>EC</v>
      </c>
      <c r="AH101" s="92" t="str">
        <f t="shared" si="49"/>
        <v>"%USERPROFILE%\Documents\GitHub\eaglep3\Utilities\RefineRTDCRunTimes.py" --tripid 189-12 --locoid 4053 --swversion DE.1.0.8.0 --startMP 204:444 --initTime 2016-11-12T14:37:28 --startdatetime 2016-11-12T14:45:24 --delay 1 --endMP 204:233285 --enddatetime 2016-11-12T15:21:27 --enforcementcount 0 &gt;&gt;C:\Users\stu\Documents\GitHub\eaglep3-reporting\EC\2016-11-12-refined-times.txt</v>
      </c>
      <c r="AI10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{"issue":{"subject":"","project_id":79,"tracker_id":40,"status_id":1,"priority_id":2,"assigned_to_id":23,"start_date":"2016-11-12","description":"","custom_fields":[{"id":1,"name":"Subdivision","value":"EC"},{"id":4,"name":"Milepost","value":"23.3285"},{"id":17,"name":"Train ID","value":"189-12"},{"id":16,"name":"Locomotive ID","value":"4053"},{"id":130,"name":"Impact","value":""},{"id":150,"name":"Time of Event (Mountain Time)","value":"15:21:27"},{"id":151,"name":"Denver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554</v>
      </c>
      <c r="B102" s="7">
        <v>4054</v>
      </c>
      <c r="C102" s="22" t="s">
        <v>225</v>
      </c>
      <c r="D102" s="22" t="s">
        <v>297</v>
      </c>
      <c r="E102" s="13">
        <v>42686.641643518517</v>
      </c>
      <c r="F102" s="13">
        <v>42686.653668981482</v>
      </c>
      <c r="G102" s="7">
        <v>1</v>
      </c>
      <c r="H102" s="22" t="s">
        <v>269</v>
      </c>
      <c r="I102" s="13">
        <v>42686.68005787037</v>
      </c>
      <c r="J102" s="7">
        <v>0</v>
      </c>
      <c r="K102" s="109" t="str">
        <f t="shared" si="34"/>
        <v>4053/4054</v>
      </c>
      <c r="L102" s="22" t="str">
        <f>VLOOKUP(A102,'Trips&amp;Operators'!$C$1:$E$10000,3,FALSE)</f>
        <v>BARTLETT</v>
      </c>
      <c r="M102" s="6">
        <f t="shared" si="35"/>
        <v>2.6388888887595385E-2</v>
      </c>
      <c r="N102" s="7">
        <f t="shared" si="36"/>
        <v>37.999999998137355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14:23:58-700',mode:absolute,to:'2016-11-12 17:19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02" s="52" t="str">
        <f t="shared" si="40"/>
        <v>N</v>
      </c>
      <c r="X102" s="177">
        <f t="shared" si="41"/>
        <v>1</v>
      </c>
      <c r="Y102" s="67">
        <f t="shared" si="42"/>
        <v>23.299299999999999</v>
      </c>
      <c r="Z102" s="67">
        <f t="shared" si="43"/>
        <v>1.6500000000000001E-2</v>
      </c>
      <c r="AA102" s="67">
        <f t="shared" si="44"/>
        <v>23.282799999999998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45"/>
        <v>0190-12</v>
      </c>
      <c r="AE102" s="91" t="str">
        <f t="shared" si="46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02" s="88" t="str">
        <f t="shared" si="47"/>
        <v>"C:\Program Files (x86)\AstroGrep\AstroGrep.exe" /spath="%USERPROFILE%\AppData\Local\Temp\OnboardLogs" /stypes="app*4054*20161112*" /stext=" 23:.+((SYSTEM_STATE.+slice.+state.+changed )|(ment ac)|(system.+state.+changed )|(\[timeout)|(PRM\|1\|D)|(kpr)|(kdp)|(\|lc)|(penalty))" /e /r /s</v>
      </c>
      <c r="AG102" s="1" t="str">
        <f t="shared" si="48"/>
        <v>EC</v>
      </c>
      <c r="AH102" s="92" t="str">
        <f t="shared" si="49"/>
        <v>"%USERPROFILE%\Documents\GitHub\eaglep3\Utilities\RefineRTDCRunTimes.py" --tripid 190-12 --locoid 4054 --swversion DE.1.0.8.0 --startMP 204:232993 --initTime 2016-11-12T15:23:58 --startdatetime 2016-11-12T15:41:17 --delay 1 --endMP 204:165 --enddatetime 2016-11-12T16:19:17 --enforcementcount 0 &gt;&gt;C:\Users\stu\Documents\GitHub\eaglep3-reporting\EC\2016-11-12-refined-times.txt</v>
      </c>
      <c r="AI10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ID","value":"190-12"},{"id":16,"name":"Locomotive ID","value":"4054"},{"id":130,"name":"Impact","value":""},{"id":150,"name":"Time of Event (Mountain Time)","value":"16:19:17"},{"id":151,"name":"Denver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549</v>
      </c>
      <c r="B103" s="7">
        <v>4025</v>
      </c>
      <c r="C103" s="22" t="s">
        <v>225</v>
      </c>
      <c r="D103" s="22" t="s">
        <v>300</v>
      </c>
      <c r="E103" s="13">
        <v>42686.62226851852</v>
      </c>
      <c r="F103" s="13">
        <v>42686.625405092593</v>
      </c>
      <c r="G103" s="7">
        <v>4</v>
      </c>
      <c r="H103" s="22" t="s">
        <v>660</v>
      </c>
      <c r="I103" s="13">
        <v>42686.650613425925</v>
      </c>
      <c r="J103" s="7">
        <v>0</v>
      </c>
      <c r="K103" s="109" t="str">
        <f t="shared" si="34"/>
        <v>4025/4026</v>
      </c>
      <c r="L103" s="22" t="str">
        <f>VLOOKUP(A103,'Trips&amp;Operators'!$C$1:$E$10000,3,FALSE)</f>
        <v>MOSES</v>
      </c>
      <c r="M103" s="6">
        <f t="shared" si="35"/>
        <v>2.5208333332557231E-2</v>
      </c>
      <c r="N103" s="7">
        <f t="shared" si="36"/>
        <v>36.299999998882413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13:56:04-700',mode:absolute,to:'2016-11-12 16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3" s="52" t="str">
        <f t="shared" si="40"/>
        <v>N</v>
      </c>
      <c r="X103" s="177">
        <f t="shared" si="41"/>
        <v>1</v>
      </c>
      <c r="Y103" s="67">
        <f t="shared" si="42"/>
        <v>4.8000000000000001E-2</v>
      </c>
      <c r="Z103" s="67">
        <f t="shared" si="43"/>
        <v>23.331099999999999</v>
      </c>
      <c r="AA103" s="67">
        <f t="shared" si="44"/>
        <v>23.283100000000001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45"/>
        <v>0191-12</v>
      </c>
      <c r="AE103" s="91" t="str">
        <f t="shared" si="46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03" s="88" t="str">
        <f t="shared" si="47"/>
        <v>"C:\Program Files (x86)\AstroGrep\AstroGrep.exe" /spath="%USERPROFILE%\AppData\Local\Temp\OnboardLogs" /stypes="app*4025*20161112*" /stext=" 22:.+((SYSTEM_STATE.+slice.+state.+changed )|(ment ac)|(system.+state.+changed )|(\[timeout)|(PRM\|1\|D)|(kpr)|(kdp)|(\|lc)|(penalty))" /e /r /s</v>
      </c>
      <c r="AG103" s="1" t="str">
        <f t="shared" si="48"/>
        <v>EC</v>
      </c>
      <c r="AH103" s="92" t="str">
        <f t="shared" si="49"/>
        <v>"%USERPROFILE%\Documents\GitHub\eaglep3\Utilities\RefineRTDCRunTimes.py" --tripid 191-12 --locoid 4025 --swversion DE.1.0.8.0 --startMP 204:480 --initTime 2016-11-12T14:56:04 --startdatetime 2016-11-12T15:00:35 --delay 4 --endMP 204:233311 --enddatetime 2016-11-12T15:36:53 --enforcementcount 0 &gt;&gt;C:\Users\stu\Documents\GitHub\eaglep3-reporting\EC\2016-11-12-refined-times.txt</v>
      </c>
      <c r="AI10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{"issue":{"subject":"","project_id":79,"tracker_id":40,"status_id":1,"priority_id":2,"assigned_to_id":23,"start_date":"2016-11-12","description":"","custom_fields":[{"id":1,"name":"Subdivision","value":"EC"},{"id":4,"name":"Milepost","value":"23.3311"},{"id":17,"name":"Train ID","value":"191-12"},{"id":16,"name":"Locomotive ID","value":"4025"},{"id":130,"name":"Impact","value":""},{"id":150,"name":"Time of Event (Mountain Time)","value":"15:36:53"},{"id":151,"name":"Denver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557</v>
      </c>
      <c r="B104" s="7">
        <v>4026</v>
      </c>
      <c r="C104" s="22" t="s">
        <v>225</v>
      </c>
      <c r="D104" s="22" t="s">
        <v>258</v>
      </c>
      <c r="E104" s="13">
        <v>42686.658206018517</v>
      </c>
      <c r="F104" s="13">
        <v>42686.664097222223</v>
      </c>
      <c r="G104" s="7">
        <v>2</v>
      </c>
      <c r="H104" s="22" t="s">
        <v>269</v>
      </c>
      <c r="I104" s="13">
        <v>42686.69121527778</v>
      </c>
      <c r="J104" s="7">
        <v>0</v>
      </c>
      <c r="K104" s="109" t="str">
        <f t="shared" si="34"/>
        <v>4025/4026</v>
      </c>
      <c r="L104" s="22" t="str">
        <f>VLOOKUP(A104,'Trips&amp;Operators'!$C$1:$E$10000,3,FALSE)</f>
        <v>MOSES</v>
      </c>
      <c r="M104" s="6">
        <f t="shared" si="35"/>
        <v>2.7118055557366461E-2</v>
      </c>
      <c r="N104" s="7">
        <f t="shared" si="36"/>
        <v>39.050000002607703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14:47:49-700',mode:absolute,to:'2016-11-12 17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4" s="52" t="str">
        <f t="shared" si="40"/>
        <v>N</v>
      </c>
      <c r="X104" s="177">
        <f t="shared" si="41"/>
        <v>1</v>
      </c>
      <c r="Y104" s="67">
        <f t="shared" si="42"/>
        <v>23.298999999999999</v>
      </c>
      <c r="Z104" s="67">
        <f t="shared" si="43"/>
        <v>1.6500000000000001E-2</v>
      </c>
      <c r="AA104" s="67">
        <f t="shared" si="44"/>
        <v>23.282499999999999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45"/>
        <v>0192-12</v>
      </c>
      <c r="AE104" s="91" t="str">
        <f t="shared" si="46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04" s="88" t="str">
        <f t="shared" si="47"/>
        <v>"C:\Program Files (x86)\AstroGrep\AstroGrep.exe" /spath="%USERPROFILE%\AppData\Local\Temp\OnboardLogs" /stypes="app*4026*20161112*" /stext=" 23:.+((SYSTEM_STATE.+slice.+state.+changed )|(ment ac)|(system.+state.+changed )|(\[timeout)|(PRM\|1\|D)|(kpr)|(kdp)|(\|lc)|(penalty))" /e /r /s</v>
      </c>
      <c r="AG104" s="1" t="str">
        <f t="shared" si="48"/>
        <v>EC</v>
      </c>
      <c r="AH104" s="92" t="str">
        <f t="shared" si="49"/>
        <v>"%USERPROFILE%\Documents\GitHub\eaglep3\Utilities\RefineRTDCRunTimes.py" --tripid 192-12 --locoid 4026 --swversion DE.1.0.8.0 --startMP 204:232990 --initTime 2016-11-12T15:47:49 --startdatetime 2016-11-12T15:56:18 --delay 2 --endMP 204:165 --enddatetime 2016-11-12T16:35:21 --enforcementcount 0 &gt;&gt;C:\Users\stu\Documents\GitHub\eaglep3-reporting\EC\2016-11-12-refined-times.txt</v>
      </c>
      <c r="AI10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ID","value":"192-12"},{"id":16,"name":"Locomotive ID","value":"4026"},{"id":130,"name":"Impact","value":""},{"id":150,"name":"Time of Event (Mountain Time)","value":"16:35:21"},{"id":151,"name":"Denver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550</v>
      </c>
      <c r="B105" s="7">
        <v>4042</v>
      </c>
      <c r="C105" s="22" t="s">
        <v>225</v>
      </c>
      <c r="D105" s="22" t="s">
        <v>390</v>
      </c>
      <c r="E105" s="13">
        <v>42686.63175925926</v>
      </c>
      <c r="F105" s="13">
        <v>42686.635636574072</v>
      </c>
      <c r="G105" s="7">
        <v>1</v>
      </c>
      <c r="H105" s="22" t="s">
        <v>718</v>
      </c>
      <c r="I105" s="13">
        <v>42686.660787037035</v>
      </c>
      <c r="J105" s="7">
        <v>0</v>
      </c>
      <c r="K105" s="109" t="str">
        <f t="shared" si="34"/>
        <v>4041/4042</v>
      </c>
      <c r="L105" s="22" t="str">
        <f>VLOOKUP(A105,'Trips&amp;Operators'!$C$1:$E$10000,3,FALSE)</f>
        <v>SHOOK</v>
      </c>
      <c r="M105" s="6">
        <f t="shared" si="35"/>
        <v>2.5150462963210884E-2</v>
      </c>
      <c r="N105" s="7">
        <f t="shared" si="36"/>
        <v>36.216666667023674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14:09:44-700',mode:absolute,to:'2016-11-12 16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5" s="52" t="str">
        <f t="shared" si="40"/>
        <v>N</v>
      </c>
      <c r="X105" s="177">
        <f t="shared" si="41"/>
        <v>1</v>
      </c>
      <c r="Y105" s="67">
        <f t="shared" si="42"/>
        <v>4.4400000000000002E-2</v>
      </c>
      <c r="Z105" s="67">
        <f t="shared" si="43"/>
        <v>23.337599999999998</v>
      </c>
      <c r="AA105" s="67">
        <f t="shared" si="44"/>
        <v>23.293199999999999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45"/>
        <v>0193-12</v>
      </c>
      <c r="AE105" s="91" t="str">
        <f t="shared" si="46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105" s="88" t="str">
        <f t="shared" si="47"/>
        <v>"C:\Program Files (x86)\AstroGrep\AstroGrep.exe" /spath="%USERPROFILE%\AppData\Local\Temp\OnboardLogs" /stypes="app*4042*20161112*" /stext=" 22:.+((SYSTEM_STATE.+slice.+state.+changed )|(ment ac)|(system.+state.+changed )|(\[timeout)|(PRM\|1\|D)|(kpr)|(kdp)|(\|lc)|(penalty))" /e /r /s</v>
      </c>
      <c r="AG105" s="1" t="str">
        <f t="shared" si="48"/>
        <v>EC</v>
      </c>
      <c r="AH105" s="92" t="str">
        <f t="shared" si="49"/>
        <v>"%USERPROFILE%\Documents\GitHub\eaglep3\Utilities\RefineRTDCRunTimes.py" --tripid 193-12 --locoid 4042 --swversion DE.1.0.8.0 --startMP 204:444 --initTime 2016-11-12T15:09:44 --startdatetime 2016-11-12T15:15:19 --delay 1 --endMP 204:233376 --enddatetime 2016-11-12T15:51:32 --enforcementcount 0 &gt;&gt;C:\Users\stu\Documents\GitHub\eaglep3-reporting\EC\2016-11-12-refined-times.txt</v>
      </c>
      <c r="AI10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{"issue":{"subject":"","project_id":79,"tracker_id":40,"status_id":1,"priority_id":2,"assigned_to_id":23,"start_date":"2016-11-12","description":"","custom_fields":[{"id":1,"name":"Subdivision","value":"EC"},{"id":4,"name":"Milepost","value":"23.3376"},{"id":17,"name":"Train ID","value":"193-12"},{"id":16,"name":"Locomotive ID","value":"4042"},{"id":130,"name":"Impact","value":""},{"id":150,"name":"Time of Event (Mountain Time)","value":"15:51:32"},{"id":151,"name":"Denver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558</v>
      </c>
      <c r="B106" s="7">
        <v>4041</v>
      </c>
      <c r="C106" s="22" t="s">
        <v>225</v>
      </c>
      <c r="D106" s="22" t="s">
        <v>662</v>
      </c>
      <c r="E106" s="13">
        <v>42686.670057870368</v>
      </c>
      <c r="F106" s="13">
        <v>42686.674525462964</v>
      </c>
      <c r="G106" s="7">
        <v>1</v>
      </c>
      <c r="H106" s="22" t="s">
        <v>197</v>
      </c>
      <c r="I106" s="13">
        <v>42686.701064814813</v>
      </c>
      <c r="J106" s="7">
        <v>0</v>
      </c>
      <c r="K106" s="109" t="str">
        <f t="shared" si="34"/>
        <v>4041/4042</v>
      </c>
      <c r="L106" s="22" t="str">
        <f>VLOOKUP(A106,'Trips&amp;Operators'!$C$1:$E$10000,3,FALSE)</f>
        <v>SHOOK</v>
      </c>
      <c r="M106" s="6">
        <f t="shared" si="35"/>
        <v>2.6539351849351078E-2</v>
      </c>
      <c r="N106" s="7">
        <f t="shared" si="36"/>
        <v>38.216666663065553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15:04:53-700',mode:absolute,to:'2016-11-12 17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6" s="52" t="str">
        <f t="shared" si="40"/>
        <v>N</v>
      </c>
      <c r="X106" s="177">
        <f t="shared" si="41"/>
        <v>1</v>
      </c>
      <c r="Y106" s="67">
        <f t="shared" si="42"/>
        <v>23.304200000000002</v>
      </c>
      <c r="Z106" s="67">
        <f t="shared" si="43"/>
        <v>1.4500000000000001E-2</v>
      </c>
      <c r="AA106" s="67">
        <f t="shared" si="44"/>
        <v>23.2897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45"/>
        <v>0194-12</v>
      </c>
      <c r="AE106" s="91" t="str">
        <f t="shared" si="46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106" s="88" t="str">
        <f t="shared" si="47"/>
        <v>"C:\Program Files (x86)\AstroGrep\AstroGrep.exe" /spath="%USERPROFILE%\AppData\Local\Temp\OnboardLogs" /stypes="app*4041*20161112*" /stext=" 23:.+((SYSTEM_STATE.+slice.+state.+changed )|(ment ac)|(system.+state.+changed )|(\[timeout)|(PRM\|1\|D)|(kpr)|(kdp)|(\|lc)|(penalty))" /e /r /s</v>
      </c>
      <c r="AG106" s="1" t="str">
        <f t="shared" si="48"/>
        <v>EC</v>
      </c>
      <c r="AH106" s="92" t="str">
        <f t="shared" si="49"/>
        <v>"%USERPROFILE%\Documents\GitHub\eaglep3\Utilities\RefineRTDCRunTimes.py" --tripid 194-12 --locoid 4041 --swversion DE.1.0.8.0 --startMP 204:233042 --initTime 2016-11-12T16:04:53 --startdatetime 2016-11-12T16:11:19 --delay 1 --endMP 204:145 --enddatetime 2016-11-12T16:49:32 --enforcementcount 0 &gt;&gt;C:\Users\stu\Documents\GitHub\eaglep3-reporting\EC\2016-11-12-refined-times.txt</v>
      </c>
      <c r="AI10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{"issue":{"subject":"","project_id":79,"tracker_id":40,"status_id":1,"priority_id":2,"assigned_to_id":23,"start_date":"2016-11-12","description":"","custom_fields":[{"id":1,"name":"Subdivision","value":"EC"},{"id":4,"name":"Milepost","value":"0.0145"},{"id":17,"name":"Train ID","value":"194-12"},{"id":16,"name":"Locomotive ID","value":"4041"},{"id":130,"name":"Impact","value":""},{"id":150,"name":"Time of Event (Mountain Time)","value":"16:49:32"},{"id":151,"name":"Denver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553</v>
      </c>
      <c r="B107" s="7">
        <v>4038</v>
      </c>
      <c r="C107" s="22" t="s">
        <v>225</v>
      </c>
      <c r="D107" s="22" t="s">
        <v>719</v>
      </c>
      <c r="E107" s="13">
        <v>42686.640046296299</v>
      </c>
      <c r="F107" s="13">
        <v>42686.646064814813</v>
      </c>
      <c r="G107" s="7">
        <v>1</v>
      </c>
      <c r="H107" s="22" t="s">
        <v>203</v>
      </c>
      <c r="I107" s="13">
        <v>42686.670868055553</v>
      </c>
      <c r="J107" s="7">
        <v>0</v>
      </c>
      <c r="K107" s="109" t="str">
        <f t="shared" si="34"/>
        <v>4037/4038</v>
      </c>
      <c r="L107" s="22" t="str">
        <f>VLOOKUP(A107,'Trips&amp;Operators'!$C$1:$E$10000,3,FALSE)</f>
        <v>BRUDER</v>
      </c>
      <c r="M107" s="6">
        <f t="shared" si="35"/>
        <v>2.4803240739856847E-2</v>
      </c>
      <c r="N107" s="7">
        <f t="shared" si="36"/>
        <v>35.716666665393859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https://search-rtdc-monitor-bjffxe2xuh6vdkpspy63sjmuny.us-east-1.es.amazonaws.com/_plugin/kibana/#/discover/Steve-Slow-Train-Analysis-(2080s-and-2083s)?_g=(refreshInterval:(display:Off,section:0,value:0),time:(from:'2016-11-12 14:21:40-700',mode:absolute,to:'2016-11-12 17:06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7" s="52" t="str">
        <f t="shared" si="40"/>
        <v>N</v>
      </c>
      <c r="X107" s="177">
        <f t="shared" si="41"/>
        <v>1</v>
      </c>
      <c r="Y107" s="67">
        <f t="shared" si="42"/>
        <v>5.9499999999999997E-2</v>
      </c>
      <c r="Z107" s="67">
        <f t="shared" si="43"/>
        <v>23.329499999999999</v>
      </c>
      <c r="AA107" s="67">
        <f t="shared" si="44"/>
        <v>23.27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45"/>
        <v>0195-12</v>
      </c>
      <c r="AE107" s="91" t="str">
        <f t="shared" si="46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07" s="88" t="str">
        <f t="shared" si="47"/>
        <v>"C:\Program Files (x86)\AstroGrep\AstroGrep.exe" /spath="%USERPROFILE%\AppData\Local\Temp\OnboardLogs" /stypes="app*4038*20161112*" /stext=" 23:.+((SYSTEM_STATE.+slice.+state.+changed )|(ment ac)|(system.+state.+changed )|(\[timeout)|(PRM\|1\|D)|(kpr)|(kdp)|(\|lc)|(penalty))" /e /r /s</v>
      </c>
      <c r="AG107" s="1" t="str">
        <f t="shared" si="48"/>
        <v>EC</v>
      </c>
      <c r="AH107" s="92" t="str">
        <f t="shared" si="49"/>
        <v>"%USERPROFILE%\Documents\GitHub\eaglep3\Utilities\RefineRTDCRunTimes.py" --tripid 195-12 --locoid 4038 --swversion DE.1.0.8.0 --startMP 204:595 --initTime 2016-11-12T15:21:40 --startdatetime 2016-11-12T15:30:20 --delay 1 --endMP 204:233295 --enddatetime 2016-11-12T16:06:03 --enforcementcount 0 &gt;&gt;C:\Users\stu\Documents\GitHub\eaglep3-reporting\EC\2016-11-12-refined-times.txt</v>
      </c>
      <c r="AI10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{"issue":{"subject":"","project_id":79,"tracker_id":40,"status_id":1,"priority_id":2,"assigned_to_id":23,"start_date":"2016-11-12","description":"","custom_fields":[{"id":1,"name":"Subdivision","value":"EC"},{"id":4,"name":"Milepost","value":"23.3295"},{"id":17,"name":"Train ID","value":"195-12"},{"id":16,"name":"Locomotive ID","value":"4038"},{"id":130,"name":"Impact","value":""},{"id":150,"name":"Time of Event (Mountain Time)","value":"16:06:03"},{"id":151,"name":"Denver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561</v>
      </c>
      <c r="B108" s="7">
        <v>4037</v>
      </c>
      <c r="C108" s="22" t="s">
        <v>225</v>
      </c>
      <c r="D108" s="22" t="s">
        <v>646</v>
      </c>
      <c r="E108" s="13">
        <v>42686.678622685184</v>
      </c>
      <c r="F108" s="13">
        <v>42686.684918981482</v>
      </c>
      <c r="G108" s="7">
        <v>1</v>
      </c>
      <c r="H108" s="22" t="s">
        <v>199</v>
      </c>
      <c r="I108" s="13">
        <v>42686.711354166669</v>
      </c>
      <c r="J108" s="7">
        <v>0</v>
      </c>
      <c r="K108" s="109" t="str">
        <f t="shared" ref="K108:K138" si="51">IF(ISEVEN(B108),(B108-1)&amp;"/"&amp;B108,B108&amp;"/"&amp;(B108+1))</f>
        <v>4037/4038</v>
      </c>
      <c r="L108" s="22" t="str">
        <f>VLOOKUP(A108,'Trips&amp;Operators'!$C$1:$E$10000,3,FALSE)</f>
        <v>BRUDER</v>
      </c>
      <c r="M108" s="6">
        <f t="shared" ref="M108:M138" si="52">I108-F108</f>
        <v>2.6435185187438037E-2</v>
      </c>
      <c r="N108" s="7">
        <f t="shared" ref="N108:N138" si="53">24*60*SUM($M108:$M108)</f>
        <v>38.066666669910774</v>
      </c>
      <c r="O108" s="7"/>
      <c r="P108" s="7"/>
      <c r="Q108" s="23"/>
      <c r="R108" s="23"/>
      <c r="S108" s="35">
        <f t="shared" ref="S108:S138" si="54">SUM(U108:U108)/IF(AG108="EC",12,1)</f>
        <v>1</v>
      </c>
      <c r="T108" s="50" t="str">
        <f t="shared" ref="T108:T138" si="55">IF(ISEVEN(LEFT(AD108,4)),"Southbound","NorthBound")</f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ref="V108:V138" si="56"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https://search-rtdc-monitor-bjffxe2xuh6vdkpspy63sjmuny.us-east-1.es.amazonaws.com/_plugin/kibana/#/discover/Steve-Slow-Train-Analysis-(2080s-and-2083s)?_g=(refreshInterval:(display:Off,section:0,value:0),time:(from:'2016-11-12 15:17:13-700',mode:absolute,to:'2016-11-12 18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8" s="52" t="str">
        <f t="shared" ref="W108:W138" si="57">IF(AA108&lt;IF(AG108="EC",23,5.65),"Y","N")</f>
        <v>N</v>
      </c>
      <c r="X108" s="177">
        <f t="shared" ref="X108:X138" si="58">VALUE(LEFT(AD108,4))-VALUE(LEFT(AD107,4))</f>
        <v>1</v>
      </c>
      <c r="Y108" s="67">
        <f t="shared" ref="Y108:Y138" si="59">RIGHT(D108,LEN(D108)-4)/10000</f>
        <v>23.296700000000001</v>
      </c>
      <c r="Z108" s="67">
        <f t="shared" ref="Z108:Z138" si="60">RIGHT(H108,LEN(H108)-4)/10000</f>
        <v>1.43E-2</v>
      </c>
      <c r="AA108" s="67">
        <f t="shared" ref="AA108:AA138" si="61">ABS(Z108-Y108)</f>
        <v>23.282400000000003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ref="AD108:AD138" si="62">IF(LEN(A108)=6,"0"&amp;A108,A108)</f>
        <v>0196-12</v>
      </c>
      <c r="AE108" s="91" t="str">
        <f t="shared" ref="AE108:AE138" si="63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08" s="88" t="str">
        <f t="shared" ref="AF108:AF138" si="64"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/stypes="app*4037*20161113*" /stext=" 00:.+((SYSTEM_STATE.+slice.+state.+changed )|(ment ac)|(system.+state.+changed )|(\[timeout)|(PRM\|1\|D)|(kpr)|(kdp)|(\|lc)|(penalty))" /e /r /s</v>
      </c>
      <c r="AG108" s="1" t="str">
        <f t="shared" ref="AG108:AG138" si="65">IFERROR(IF(VALUE(LEFT(AD108,2))&lt;=2,"EC",IF(OR(VALUE(LEFT(AD108,2))=8,VALUE(LEFT(AD108,2))=18),"NW","Other")),"Other")</f>
        <v>EC</v>
      </c>
      <c r="AH108" s="92" t="str">
        <f t="shared" si="49"/>
        <v>"%USERPROFILE%\Documents\GitHub\eaglep3\Utilities\RefineRTDCRunTimes.py" --tripid 196-12 --locoid 4037 --swversion DE.1.0.8.0 --startMP 204:232967 --initTime 2016-11-12T16:17:13 --startdatetime 2016-11-12T16:26:17 --delay 1 --endMP 204:143 --enddatetime 2016-11-12T17:04:21 --enforcementcount 0 &gt;&gt;C:\Users\stu\Documents\GitHub\eaglep3-reporting\EC\2016-11-12-refined-times.txt</v>
      </c>
      <c r="AI10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{"issue":{"subject":"","project_id":79,"tracker_id":40,"status_id":1,"priority_id":2,"assigned_to_id":23,"start_date":"2016-11-12","description":"","custom_fields":[{"id":1,"name":"Subdivision","value":"EC"},{"id":4,"name":"Milepost","value":"0.0143"},{"id":17,"name":"Train ID","value":"196-12"},{"id":16,"name":"Locomotive ID","value":"4037"},{"id":130,"name":"Impact","value":""},{"id":150,"name":"Time of Event (Mountain Time)","value":"17:04:21"},{"id":151,"name":"Denver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556</v>
      </c>
      <c r="B109" s="7">
        <v>4022</v>
      </c>
      <c r="C109" s="22" t="s">
        <v>225</v>
      </c>
      <c r="D109" s="22" t="s">
        <v>204</v>
      </c>
      <c r="E109" s="13">
        <v>42686.65079861111</v>
      </c>
      <c r="F109" s="13">
        <v>42686.656458333331</v>
      </c>
      <c r="G109" s="7">
        <v>2</v>
      </c>
      <c r="H109" s="22" t="s">
        <v>296</v>
      </c>
      <c r="I109" s="13">
        <v>42686.681435185186</v>
      </c>
      <c r="J109" s="7">
        <v>0</v>
      </c>
      <c r="K109" s="109" t="str">
        <f t="shared" si="51"/>
        <v>4021/4022</v>
      </c>
      <c r="L109" s="22" t="str">
        <f>VLOOKUP(A109,'Trips&amp;Operators'!$C$1:$E$10000,3,FALSE)</f>
        <v>CLARK</v>
      </c>
      <c r="M109" s="6">
        <f t="shared" si="52"/>
        <v>2.4976851855171844E-2</v>
      </c>
      <c r="N109" s="7">
        <f t="shared" si="53"/>
        <v>35.966666671447456</v>
      </c>
      <c r="O109" s="7"/>
      <c r="P109" s="7"/>
      <c r="Q109" s="23"/>
      <c r="R109" s="23"/>
      <c r="S109" s="35">
        <f t="shared" si="54"/>
        <v>1</v>
      </c>
      <c r="T109" s="50" t="str">
        <f t="shared" si="55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14:37:09-700',mode:absolute,to:'2016-11-12 17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9" s="52" t="str">
        <f t="shared" si="57"/>
        <v>N</v>
      </c>
      <c r="X109" s="177">
        <f t="shared" si="58"/>
        <v>1</v>
      </c>
      <c r="Y109" s="67">
        <f t="shared" si="59"/>
        <v>4.5999999999999999E-2</v>
      </c>
      <c r="Z109" s="67">
        <f t="shared" si="60"/>
        <v>23.331</v>
      </c>
      <c r="AA109" s="67">
        <f t="shared" si="61"/>
        <v>23.285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62"/>
        <v>0197-12</v>
      </c>
      <c r="AE109" s="91" t="str">
        <f t="shared" si="63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109" s="88" t="str">
        <f t="shared" si="64"/>
        <v>"C:\Program Files (x86)\AstroGrep\AstroGrep.exe" /spath="%USERPROFILE%\AppData\Local\Temp\OnboardLogs" /stypes="app*4022*20161112*" /stext=" 23:.+((SYSTEM_STATE.+slice.+state.+changed )|(ment ac)|(system.+state.+changed )|(\[timeout)|(PRM\|1\|D)|(kpr)|(kdp)|(\|lc)|(penalty))" /e /r /s</v>
      </c>
      <c r="AG109" s="1" t="str">
        <f t="shared" si="65"/>
        <v>EC</v>
      </c>
      <c r="AH109" s="92" t="str">
        <f t="shared" si="49"/>
        <v>"%USERPROFILE%\Documents\GitHub\eaglep3\Utilities\RefineRTDCRunTimes.py" --tripid 197-12 --locoid 4022 --swversion DE.1.0.8.0 --startMP 204:460 --initTime 2016-11-12T15:37:09 --startdatetime 2016-11-12T15:45:18 --delay 2 --endMP 204:233310 --enddatetime 2016-11-12T16:21:16 --enforcementcount 0 &gt;&gt;C:\Users\stu\Documents\GitHub\eaglep3-reporting\EC\2016-11-12-refined-times.txt</v>
      </c>
      <c r="AI10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{"issue":{"subject":"","project_id":79,"tracker_id":40,"status_id":1,"priority_id":2,"assigned_to_id":23,"start_date":"2016-11-12","description":"","custom_fields":[{"id":1,"name":"Subdivision","value":"EC"},{"id":4,"name":"Milepost","value":"23.331"},{"id":17,"name":"Train ID","value":"197-12"},{"id":16,"name":"Locomotive ID","value":"4022"},{"id":130,"name":"Impact","value":""},{"id":150,"name":"Time of Event (Mountain Time)","value":"16:21:16"},{"id":151,"name":"Denver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563</v>
      </c>
      <c r="B110" s="7">
        <v>4021</v>
      </c>
      <c r="C110" s="22" t="s">
        <v>225</v>
      </c>
      <c r="D110" s="22" t="s">
        <v>247</v>
      </c>
      <c r="E110" s="13">
        <v>42686.68986111111</v>
      </c>
      <c r="F110" s="13">
        <v>42686.695324074077</v>
      </c>
      <c r="G110" s="7">
        <v>1</v>
      </c>
      <c r="H110" s="22" t="s">
        <v>199</v>
      </c>
      <c r="I110" s="13">
        <v>42686.722199074073</v>
      </c>
      <c r="J110" s="7">
        <v>0</v>
      </c>
      <c r="K110" s="109" t="str">
        <f t="shared" si="51"/>
        <v>4021/4022</v>
      </c>
      <c r="L110" s="22" t="str">
        <f>VLOOKUP(A110,'Trips&amp;Operators'!$C$1:$E$10000,3,FALSE)</f>
        <v>CLARK</v>
      </c>
      <c r="M110" s="6">
        <f t="shared" si="52"/>
        <v>2.6874999995925464E-2</v>
      </c>
      <c r="N110" s="7">
        <f t="shared" si="53"/>
        <v>38.699999994132668</v>
      </c>
      <c r="O110" s="7"/>
      <c r="P110" s="7"/>
      <c r="Q110" s="23"/>
      <c r="R110" s="23"/>
      <c r="S110" s="35">
        <f t="shared" si="54"/>
        <v>1</v>
      </c>
      <c r="T110" s="50" t="str">
        <f t="shared" si="55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15:33:24-700',mode:absolute,to:'2016-11-12 18:19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0" s="52" t="str">
        <f t="shared" si="57"/>
        <v>N</v>
      </c>
      <c r="X110" s="177">
        <f t="shared" si="58"/>
        <v>1</v>
      </c>
      <c r="Y110" s="67">
        <f t="shared" si="59"/>
        <v>23.299099999999999</v>
      </c>
      <c r="Z110" s="67">
        <f t="shared" si="60"/>
        <v>1.43E-2</v>
      </c>
      <c r="AA110" s="67">
        <f t="shared" si="61"/>
        <v>23.284800000000001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62"/>
        <v>0198-12</v>
      </c>
      <c r="AE110" s="91" t="str">
        <f t="shared" si="63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10" s="88" t="str">
        <f t="shared" si="64"/>
        <v>"C:\Program Files (x86)\AstroGrep\AstroGrep.exe" /spath="%USERPROFILE%\AppData\Local\Temp\OnboardLogs" /stypes="app*4021*20161113*" /stext=" 00:.+((SYSTEM_STATE.+slice.+state.+changed )|(ment ac)|(system.+state.+changed )|(\[timeout)|(PRM\|1\|D)|(kpr)|(kdp)|(\|lc)|(penalty))" /e /r /s</v>
      </c>
      <c r="AG110" s="1" t="str">
        <f t="shared" si="65"/>
        <v>EC</v>
      </c>
      <c r="AH110" s="92" t="str">
        <f t="shared" si="49"/>
        <v>"%USERPROFILE%\Documents\GitHub\eaglep3\Utilities\RefineRTDCRunTimes.py" --tripid 198-12 --locoid 4021 --swversion DE.1.0.8.0 --startMP 204:232991 --initTime 2016-11-12T16:33:24 --startdatetime 2016-11-12T16:41:16 --delay 1 --endMP 204:143 --enddatetime 2016-11-12T17:19:58 --enforcementcount 0 &gt;&gt;C:\Users\stu\Documents\GitHub\eaglep3-reporting\EC\2016-11-12-refined-times.txt</v>
      </c>
      <c r="AI11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{"issue":{"subject":"","project_id":79,"tracker_id":40,"status_id":1,"priority_id":2,"assigned_to_id":23,"start_date":"2016-11-12","description":"","custom_fields":[{"id":1,"name":"Subdivision","value":"EC"},{"id":4,"name":"Milepost","value":"0.0143"},{"id":17,"name":"Train ID","value":"198-12"},{"id":16,"name":"Locomotive ID","value":"4021"},{"id":130,"name":"Impact","value":""},{"id":150,"name":"Time of Event (Mountain Time)","value":"17:19:58"},{"id":151,"name":"Denver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436</v>
      </c>
      <c r="B111" s="7">
        <v>4011</v>
      </c>
      <c r="C111" s="22" t="s">
        <v>225</v>
      </c>
      <c r="D111" s="22" t="s">
        <v>259</v>
      </c>
      <c r="E111" s="13">
        <v>42686.663078703707</v>
      </c>
      <c r="F111" s="13">
        <v>42686.667002314818</v>
      </c>
      <c r="G111" s="7">
        <v>5</v>
      </c>
      <c r="H111" s="22" t="s">
        <v>720</v>
      </c>
      <c r="I111" s="13">
        <v>42686.69263888889</v>
      </c>
      <c r="J111" s="7">
        <v>0</v>
      </c>
      <c r="K111" s="109" t="str">
        <f t="shared" si="51"/>
        <v>4011/4012</v>
      </c>
      <c r="L111" s="22" t="str">
        <f>VLOOKUP(A111,'Trips&amp;Operators'!$C$1:$E$10000,3,FALSE)</f>
        <v>STORY</v>
      </c>
      <c r="M111" s="6">
        <f t="shared" si="52"/>
        <v>2.5636574071540963E-2</v>
      </c>
      <c r="N111" s="7">
        <f t="shared" si="53"/>
        <v>36.916666663018987</v>
      </c>
      <c r="O111" s="7"/>
      <c r="P111" s="7"/>
      <c r="Q111" s="23"/>
      <c r="R111" s="23"/>
      <c r="S111" s="35">
        <f t="shared" si="54"/>
        <v>1</v>
      </c>
      <c r="T111" s="50" t="str">
        <f t="shared" si="55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14:54:50-700',mode:absolute,to:'2016-11-12 17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1" s="52" t="str">
        <f t="shared" si="57"/>
        <v>N</v>
      </c>
      <c r="X111" s="177">
        <f t="shared" si="58"/>
        <v>1</v>
      </c>
      <c r="Y111" s="67">
        <f t="shared" si="59"/>
        <v>4.3999999999999997E-2</v>
      </c>
      <c r="Z111" s="67">
        <f t="shared" si="60"/>
        <v>23.3261</v>
      </c>
      <c r="AA111" s="67">
        <f t="shared" si="61"/>
        <v>23.2821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62"/>
        <v>0199-12</v>
      </c>
      <c r="AE111" s="91" t="str">
        <f t="shared" si="63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11" s="88" t="str">
        <f t="shared" si="64"/>
        <v>"C:\Program Files (x86)\AstroGrep\AstroGrep.exe" /spath="%USERPROFILE%\AppData\Local\Temp\OnboardLogs" /stypes="app*4011*20161112*" /stext=" 23:.+((SYSTEM_STATE.+slice.+state.+changed )|(ment ac)|(system.+state.+changed )|(\[timeout)|(PRM\|1\|D)|(kpr)|(kdp)|(\|lc)|(penalty))" /e /r /s</v>
      </c>
      <c r="AG111" s="1" t="str">
        <f t="shared" si="65"/>
        <v>EC</v>
      </c>
      <c r="AH111" s="92" t="str">
        <f t="shared" si="49"/>
        <v>"%USERPROFILE%\Documents\GitHub\eaglep3\Utilities\RefineRTDCRunTimes.py" --tripid 199-12 --locoid 4011 --swversion DE.1.0.8.0 --startMP 204:440 --initTime 2016-11-12T15:54:50 --startdatetime 2016-11-12T16:00:29 --delay 5 --endMP 204:233261 --enddatetime 2016-11-12T16:37:24 --enforcementcount 0 &gt;&gt;C:\Users\stu\Documents\GitHub\eaglep3-reporting\EC\2016-11-12-refined-times.txt</v>
      </c>
      <c r="AI11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{"issue":{"subject":"","project_id":79,"tracker_id":40,"status_id":1,"priority_id":2,"assigned_to_id":23,"start_date":"2016-11-12","description":"","custom_fields":[{"id":1,"name":"Subdivision","value":"EC"},{"id":4,"name":"Milepost","value":"23.3261"},{"id":17,"name":"Train ID","value":"199-12"},{"id":16,"name":"Locomotive ID","value":"4011"},{"id":130,"name":"Impact","value":""},{"id":150,"name":"Time of Event (Mountain Time)","value":"16:37:24"},{"id":151,"name":"Denver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566</v>
      </c>
      <c r="B112" s="7">
        <v>4012</v>
      </c>
      <c r="C112" s="22" t="s">
        <v>225</v>
      </c>
      <c r="D112" s="22" t="s">
        <v>721</v>
      </c>
      <c r="E112" s="13">
        <v>42686.702418981484</v>
      </c>
      <c r="F112" s="13">
        <v>42686.70585648148</v>
      </c>
      <c r="G112" s="7">
        <v>1</v>
      </c>
      <c r="H112" s="22" t="s">
        <v>216</v>
      </c>
      <c r="I112" s="13">
        <v>42686.732349537036</v>
      </c>
      <c r="J112" s="7">
        <v>0</v>
      </c>
      <c r="K112" s="109" t="str">
        <f t="shared" si="51"/>
        <v>4011/4012</v>
      </c>
      <c r="L112" s="22" t="str">
        <f>VLOOKUP(A112,'Trips&amp;Operators'!$C$1:$E$10000,3,FALSE)</f>
        <v>STORY</v>
      </c>
      <c r="M112" s="6">
        <f t="shared" si="52"/>
        <v>2.6493055556784384E-2</v>
      </c>
      <c r="N112" s="7">
        <f t="shared" si="53"/>
        <v>38.150000001769513</v>
      </c>
      <c r="O112" s="7"/>
      <c r="P112" s="7"/>
      <c r="Q112" s="23"/>
      <c r="R112" s="23"/>
      <c r="S112" s="35">
        <f t="shared" si="54"/>
        <v>1</v>
      </c>
      <c r="T112" s="50" t="str">
        <f t="shared" si="55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15:51:29-700',mode:absolute,to:'2016-11-12 18:34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2" s="52" t="str">
        <f t="shared" si="57"/>
        <v>N</v>
      </c>
      <c r="X112" s="177">
        <f t="shared" si="58"/>
        <v>1</v>
      </c>
      <c r="Y112" s="67">
        <f t="shared" si="59"/>
        <v>23.2944</v>
      </c>
      <c r="Z112" s="67">
        <f t="shared" si="60"/>
        <v>1.5599999999999999E-2</v>
      </c>
      <c r="AA112" s="67">
        <f t="shared" si="61"/>
        <v>23.2788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62"/>
        <v>0200-12</v>
      </c>
      <c r="AE112" s="91" t="str">
        <f t="shared" si="63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12" s="88" t="str">
        <f t="shared" si="64"/>
        <v>"C:\Program Files (x86)\AstroGrep\AstroGrep.exe" /spath="%USERPROFILE%\AppData\Local\Temp\OnboardLogs" /stypes="app*4012*20161113*" /stext=" 00:.+((SYSTEM_STATE.+slice.+state.+changed )|(ment ac)|(system.+state.+changed )|(\[timeout)|(PRM\|1\|D)|(kpr)|(kdp)|(\|lc)|(penalty))" /e /r /s</v>
      </c>
      <c r="AG112" s="1" t="str">
        <f t="shared" si="65"/>
        <v>EC</v>
      </c>
      <c r="AH112" s="92" t="str">
        <f t="shared" si="49"/>
        <v>"%USERPROFILE%\Documents\GitHub\eaglep3\Utilities\RefineRTDCRunTimes.py" --tripid 200-12 --locoid 4012 --swversion DE.1.0.8.0 --startMP 204:232944 --initTime 2016-11-12T16:51:29 --startdatetime 2016-11-12T16:56:26 --delay 1 --endMP 204:156 --enddatetime 2016-11-12T17:34:35 --enforcementcount 0 &gt;&gt;C:\Users\stu\Documents\GitHub\eaglep3-reporting\EC\2016-11-12-refined-times.txt</v>
      </c>
      <c r="AI11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ID","value":"200-12"},{"id":16,"name":"Locomotive ID","value":"4012"},{"id":130,"name":"Impact","value":""},{"id":150,"name":"Time of Event (Mountain Time)","value":"17:34:35"},{"id":151,"name":"Denver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559</v>
      </c>
      <c r="B113" s="7">
        <v>4014</v>
      </c>
      <c r="C113" s="22" t="s">
        <v>225</v>
      </c>
      <c r="D113" s="22" t="s">
        <v>205</v>
      </c>
      <c r="E113" s="13">
        <v>42686.671817129631</v>
      </c>
      <c r="F113" s="13">
        <v>42686.677245370367</v>
      </c>
      <c r="G113" s="7">
        <v>1</v>
      </c>
      <c r="H113" s="22" t="s">
        <v>238</v>
      </c>
      <c r="I113" s="13">
        <v>42686.702187499999</v>
      </c>
      <c r="J113" s="7">
        <v>0</v>
      </c>
      <c r="K113" s="109" t="str">
        <f t="shared" si="51"/>
        <v>4013/4014</v>
      </c>
      <c r="L113" s="22" t="str">
        <f>VLOOKUP(A113,'Trips&amp;Operators'!$C$1:$E$10000,3,FALSE)</f>
        <v>STEWART</v>
      </c>
      <c r="M113" s="6">
        <f t="shared" si="52"/>
        <v>2.4942129632108845E-2</v>
      </c>
      <c r="N113" s="7">
        <f t="shared" si="53"/>
        <v>35.916666670236737</v>
      </c>
      <c r="O113" s="7"/>
      <c r="P113" s="7"/>
      <c r="Q113" s="23"/>
      <c r="R113" s="23"/>
      <c r="S113" s="35">
        <f t="shared" si="54"/>
        <v>1</v>
      </c>
      <c r="T113" s="50" t="str">
        <f t="shared" si="55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15:07:25-700',mode:absolute,to:'2016-11-12 17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3" s="52" t="str">
        <f t="shared" si="57"/>
        <v>N</v>
      </c>
      <c r="X113" s="177">
        <f t="shared" si="58"/>
        <v>1</v>
      </c>
      <c r="Y113" s="67">
        <f t="shared" si="59"/>
        <v>4.5100000000000001E-2</v>
      </c>
      <c r="Z113" s="67">
        <f t="shared" si="60"/>
        <v>23.329799999999999</v>
      </c>
      <c r="AA113" s="67">
        <f t="shared" si="61"/>
        <v>23.284699999999997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62"/>
        <v>0201-12</v>
      </c>
      <c r="AE113" s="91" t="str">
        <f t="shared" si="63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113" s="88" t="str">
        <f t="shared" si="64"/>
        <v>"C:\Program Files (x86)\AstroGrep\AstroGrep.exe" /spath="%USERPROFILE%\AppData\Local\Temp\OnboardLogs" /stypes="app*4014*20161112*" /stext=" 23:.+((SYSTEM_STATE.+slice.+state.+changed )|(ment ac)|(system.+state.+changed )|(\[timeout)|(PRM\|1\|D)|(kpr)|(kdp)|(\|lc)|(penalty))" /e /r /s</v>
      </c>
      <c r="AG113" s="1" t="str">
        <f t="shared" si="65"/>
        <v>EC</v>
      </c>
      <c r="AH113" s="92" t="str">
        <f t="shared" si="49"/>
        <v>"%USERPROFILE%\Documents\GitHub\eaglep3\Utilities\RefineRTDCRunTimes.py" --tripid 201-12 --locoid 4014 --swversion DE.1.0.8.0 --startMP 204:451 --initTime 2016-11-12T16:07:25 --startdatetime 2016-11-12T16:15:14 --delay 1 --endMP 204:233298 --enddatetime 2016-11-12T16:51:09 --enforcementcount 0 &gt;&gt;C:\Users\stu\Documents\GitHub\eaglep3-reporting\EC\2016-11-12-refined-times.txt</v>
      </c>
      <c r="AI11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{"issue":{"subject":"","project_id":79,"tracker_id":40,"status_id":1,"priority_id":2,"assigned_to_id":23,"start_date":"2016-11-12","description":"","custom_fields":[{"id":1,"name":"Subdivision","value":"EC"},{"id":4,"name":"Milepost","value":"23.3298"},{"id":17,"name":"Train ID","value":"201-12"},{"id":16,"name":"Locomotive ID","value":"4014"},{"id":130,"name":"Impact","value":""},{"id":150,"name":"Time of Event (Mountain Time)","value":"16:51:09"},{"id":151,"name":"Denver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7" t="s">
        <v>569</v>
      </c>
      <c r="B114" s="7">
        <v>4013</v>
      </c>
      <c r="C114" s="22" t="s">
        <v>225</v>
      </c>
      <c r="D114" s="22" t="s">
        <v>352</v>
      </c>
      <c r="E114" s="13">
        <v>42686.714317129627</v>
      </c>
      <c r="F114" s="13">
        <v>42686.716249999998</v>
      </c>
      <c r="G114" s="7">
        <v>1</v>
      </c>
      <c r="H114" s="22" t="s">
        <v>340</v>
      </c>
      <c r="I114" s="13">
        <v>42686.746307870373</v>
      </c>
      <c r="J114" s="7">
        <v>0</v>
      </c>
      <c r="K114" s="109" t="str">
        <f t="shared" si="51"/>
        <v>4013/4014</v>
      </c>
      <c r="L114" s="22" t="str">
        <f>VLOOKUP(A114,'Trips&amp;Operators'!$C$1:$E$10000,3,FALSE)</f>
        <v>STEWART</v>
      </c>
      <c r="M114" s="6">
        <f t="shared" si="52"/>
        <v>3.0057870375458151E-2</v>
      </c>
      <c r="N114" s="7">
        <f t="shared" si="53"/>
        <v>43.283333340659738</v>
      </c>
      <c r="O114" s="7"/>
      <c r="P114" s="7"/>
      <c r="Q114" s="23"/>
      <c r="R114" s="23"/>
      <c r="S114" s="35">
        <f t="shared" si="54"/>
        <v>1</v>
      </c>
      <c r="T114" s="50" t="str">
        <f t="shared" si="55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16:08:37-700',mode:absolute,to:'2016-11-12 18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4" s="52" t="str">
        <f t="shared" si="57"/>
        <v>N</v>
      </c>
      <c r="X114" s="177">
        <f t="shared" si="58"/>
        <v>1</v>
      </c>
      <c r="Y114" s="67">
        <f t="shared" si="59"/>
        <v>23.297599999999999</v>
      </c>
      <c r="Z114" s="67">
        <f t="shared" si="60"/>
        <v>1.54E-2</v>
      </c>
      <c r="AA114" s="67">
        <f t="shared" si="61"/>
        <v>23.2822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62"/>
        <v>0202-12</v>
      </c>
      <c r="AE114" s="91" t="str">
        <f t="shared" si="63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14" s="88" t="str">
        <f t="shared" si="64"/>
        <v>"C:\Program Files (x86)\AstroGrep\AstroGrep.exe" /spath="%USERPROFILE%\AppData\Local\Temp\OnboardLogs" /stypes="app*4013*20161113*" /stext=" 00:.+((SYSTEM_STATE.+slice.+state.+changed )|(ment ac)|(system.+state.+changed )|(\[timeout)|(PRM\|1\|D)|(kpr)|(kdp)|(\|lc)|(penalty))" /e /r /s</v>
      </c>
      <c r="AG114" s="1" t="str">
        <f t="shared" si="65"/>
        <v>EC</v>
      </c>
      <c r="AH114" s="92" t="str">
        <f t="shared" si="49"/>
        <v>"%USERPROFILE%\Documents\GitHub\eaglep3\Utilities\RefineRTDCRunTimes.py" --tripid 202-12 --locoid 4013 --swversion DE.1.0.8.0 --startMP 204:232976 --initTime 2016-11-12T17:08:37 --startdatetime 2016-11-12T17:11:24 --delay 1 --endMP 204:154 --enddatetime 2016-11-12T17:54:41 --enforcementcount 0 &gt;&gt;C:\Users\stu\Documents\GitHub\eaglep3-reporting\EC\2016-11-12-refined-times.txt</v>
      </c>
      <c r="AI11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ID","value":"202-12"},{"id":16,"name":"Locomotive ID","value":"4013"},{"id":130,"name":"Impact","value":""},{"id":150,"name":"Time of Event (Mountain Time)","value":"17:54:41"},{"id":151,"name":"Denver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91" s="21" customFormat="1" x14ac:dyDescent="0.25">
      <c r="A115" s="37" t="s">
        <v>562</v>
      </c>
      <c r="B115" s="7">
        <v>4053</v>
      </c>
      <c r="C115" s="22" t="s">
        <v>225</v>
      </c>
      <c r="D115" s="22" t="s">
        <v>293</v>
      </c>
      <c r="E115" s="13">
        <v>42686.683159722219</v>
      </c>
      <c r="F115" s="13">
        <v>42686.687754629631</v>
      </c>
      <c r="G115" s="7">
        <v>1</v>
      </c>
      <c r="H115" s="22" t="s">
        <v>722</v>
      </c>
      <c r="I115" s="13">
        <v>42686.712962962964</v>
      </c>
      <c r="J115" s="7">
        <v>0</v>
      </c>
      <c r="K115" s="109" t="str">
        <f t="shared" si="51"/>
        <v>4053/4054</v>
      </c>
      <c r="L115" s="22" t="str">
        <f>VLOOKUP(A115,'Trips&amp;Operators'!$C$1:$E$10000,3,FALSE)</f>
        <v>BARTLETT</v>
      </c>
      <c r="M115" s="6">
        <f t="shared" si="52"/>
        <v>2.5208333332557231E-2</v>
      </c>
      <c r="N115" s="7">
        <f t="shared" si="53"/>
        <v>36.299999998882413</v>
      </c>
      <c r="O115" s="7"/>
      <c r="P115" s="7"/>
      <c r="Q115" s="23"/>
      <c r="R115" s="23"/>
      <c r="S115" s="35">
        <f t="shared" si="54"/>
        <v>1</v>
      </c>
      <c r="T115" s="50" t="str">
        <f t="shared" si="55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15:23:45-700',mode:absolute,to:'2016-11-12 18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5" s="52" t="str">
        <f t="shared" si="57"/>
        <v>N</v>
      </c>
      <c r="X115" s="177">
        <f t="shared" si="58"/>
        <v>1</v>
      </c>
      <c r="Y115" s="67">
        <f t="shared" si="59"/>
        <v>4.7300000000000002E-2</v>
      </c>
      <c r="Z115" s="67">
        <f t="shared" si="60"/>
        <v>23.340499999999999</v>
      </c>
      <c r="AA115" s="67">
        <f t="shared" si="61"/>
        <v>23.293199999999999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62"/>
        <v>0203-12</v>
      </c>
      <c r="AE115" s="91" t="str">
        <f t="shared" si="63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15" s="88" t="str">
        <f t="shared" si="64"/>
        <v>"C:\Program Files (x86)\AstroGrep\AstroGrep.exe" /spath="%USERPROFILE%\AppData\Local\Temp\OnboardLogs" /stypes="app*4053*20161113*" /stext=" 00:.+((SYSTEM_STATE.+slice.+state.+changed )|(ment ac)|(system.+state.+changed )|(\[timeout)|(PRM\|1\|D)|(kpr)|(kdp)|(\|lc)|(penalty))" /e /r /s</v>
      </c>
      <c r="AG115" s="1" t="str">
        <f t="shared" si="65"/>
        <v>EC</v>
      </c>
      <c r="AH115" s="92" t="str">
        <f t="shared" si="49"/>
        <v>"%USERPROFILE%\Documents\GitHub\eaglep3\Utilities\RefineRTDCRunTimes.py" --tripid 203-12 --locoid 4053 --swversion DE.1.0.8.0 --startMP 204:473 --initTime 2016-11-12T16:23:45 --startdatetime 2016-11-12T16:30:22 --delay 1 --endMP 204:233405 --enddatetime 2016-11-12T17:06:40 --enforcementcount 0 &gt;&gt;C:\Users\stu\Documents\GitHub\eaglep3-reporting\EC\2016-11-12-refined-times.txt</v>
      </c>
      <c r="AI11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{"issue":{"subject":"","project_id":79,"tracker_id":40,"status_id":1,"priority_id":2,"assigned_to_id":23,"start_date":"2016-11-12","description":"","custom_fields":[{"id":1,"name":"Subdivision","value":"EC"},{"id":4,"name":"Milepost","value":"23.3405"},{"id":17,"name":"Train ID","value":"203-12"},{"id":16,"name":"Locomotive ID","value":"4053"},{"id":130,"name":"Impact","value":""},{"id":150,"name":"Time of Event (Mountain Time)","value":"17:06:40"},{"id":151,"name":"Denver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570</v>
      </c>
      <c r="B116" s="7">
        <v>4054</v>
      </c>
      <c r="C116" s="22" t="s">
        <v>225</v>
      </c>
      <c r="D116" s="22" t="s">
        <v>723</v>
      </c>
      <c r="E116" s="13">
        <v>42686.715196759258</v>
      </c>
      <c r="F116" s="13">
        <v>42686.726666666669</v>
      </c>
      <c r="G116" s="7">
        <v>1</v>
      </c>
      <c r="H116" s="22" t="s">
        <v>340</v>
      </c>
      <c r="I116" s="13">
        <v>42686.75309027778</v>
      </c>
      <c r="J116" s="7">
        <v>0</v>
      </c>
      <c r="K116" s="109" t="str">
        <f t="shared" si="51"/>
        <v>4053/4054</v>
      </c>
      <c r="L116" s="22" t="str">
        <f>VLOOKUP(A116,'Trips&amp;Operators'!$C$1:$E$10000,3,FALSE)</f>
        <v>BARTLETT</v>
      </c>
      <c r="M116" s="6">
        <f t="shared" si="52"/>
        <v>2.6423611110658385E-2</v>
      </c>
      <c r="N116" s="7">
        <f t="shared" si="53"/>
        <v>38.049999999348074</v>
      </c>
      <c r="O116" s="7"/>
      <c r="P116" s="7"/>
      <c r="Q116" s="23"/>
      <c r="R116" s="23"/>
      <c r="S116" s="35">
        <f t="shared" si="54"/>
        <v>1</v>
      </c>
      <c r="T116" s="50" t="str">
        <f t="shared" si="55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16:09:53-700',mode:absolute,to:'2016-11-12 19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6" s="52" t="str">
        <f t="shared" si="57"/>
        <v>N</v>
      </c>
      <c r="X116" s="177">
        <f t="shared" si="58"/>
        <v>1</v>
      </c>
      <c r="Y116" s="67">
        <f t="shared" si="59"/>
        <v>23.308</v>
      </c>
      <c r="Z116" s="67">
        <f t="shared" si="60"/>
        <v>1.54E-2</v>
      </c>
      <c r="AA116" s="67">
        <f t="shared" si="61"/>
        <v>23.2926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62"/>
        <v>0204-12</v>
      </c>
      <c r="AE116" s="91" t="str">
        <f t="shared" si="63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16" s="88" t="str">
        <f t="shared" si="64"/>
        <v>"C:\Program Files (x86)\AstroGrep\AstroGrep.exe" /spath="%USERPROFILE%\AppData\Local\Temp\OnboardLogs" /stypes="app*4054*20161113*" /stext=" 01:.+((SYSTEM_STATE.+slice.+state.+changed )|(ment ac)|(system.+state.+changed )|(\[timeout)|(PRM\|1\|D)|(kpr)|(kdp)|(\|lc)|(penalty))" /e /r /s</v>
      </c>
      <c r="AG116" s="1" t="str">
        <f t="shared" si="65"/>
        <v>EC</v>
      </c>
      <c r="AH116" s="92" t="str">
        <f t="shared" si="49"/>
        <v>"%USERPROFILE%\Documents\GitHub\eaglep3\Utilities\RefineRTDCRunTimes.py" --tripid 204-12 --locoid 4054 --swversion DE.1.0.8.0 --startMP 204:233080 --initTime 2016-11-12T17:09:53 --startdatetime 2016-11-12T17:26:24 --delay 1 --endMP 204:154 --enddatetime 2016-11-12T18:04:27 --enforcementcount 0 &gt;&gt;C:\Users\stu\Documents\GitHub\eaglep3-reporting\EC\2016-11-12-refined-times.txt</v>
      </c>
      <c r="AI11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{"issue":{"subject":"","project_id":79,"tracker_id":40,"status_id":1,"priority_id":2,"assigned_to_id":23,"start_date":"2016-11-12","description":"","custom_fields":[{"id":1,"name":"Subdivision","value":"EC"},{"id":4,"name":"Milepost","value":"0.0154"},{"id":17,"name":"Train ID","value":"204-12"},{"id":16,"name":"Locomotive ID","value":"4054"},{"id":130,"name":"Impact","value":""},{"id":150,"name":"Time of Event (Mountain Time)","value":"18:04:27"},{"id":151,"name":"Denver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565</v>
      </c>
      <c r="B117" s="7">
        <v>4025</v>
      </c>
      <c r="C117" s="22" t="s">
        <v>225</v>
      </c>
      <c r="D117" s="22" t="s">
        <v>403</v>
      </c>
      <c r="E117" s="13">
        <v>42686.694293981483</v>
      </c>
      <c r="F117" s="13">
        <v>42686.698263888888</v>
      </c>
      <c r="G117" s="7">
        <v>1</v>
      </c>
      <c r="H117" s="22" t="s">
        <v>341</v>
      </c>
      <c r="I117" s="13">
        <v>42686.723541666666</v>
      </c>
      <c r="J117" s="7">
        <v>0</v>
      </c>
      <c r="K117" s="109" t="str">
        <f t="shared" si="51"/>
        <v>4025/4026</v>
      </c>
      <c r="L117" s="22" t="str">
        <f>VLOOKUP(A117,'Trips&amp;Operators'!$C$1:$E$10000,3,FALSE)</f>
        <v>MOSES</v>
      </c>
      <c r="M117" s="6">
        <f t="shared" si="52"/>
        <v>2.527777777868323E-2</v>
      </c>
      <c r="N117" s="7">
        <f t="shared" si="53"/>
        <v>36.400000001303852</v>
      </c>
      <c r="O117" s="7"/>
      <c r="P117" s="7"/>
      <c r="Q117" s="23"/>
      <c r="R117" s="23"/>
      <c r="S117" s="35">
        <f t="shared" si="54"/>
        <v>1</v>
      </c>
      <c r="T117" s="50" t="str">
        <f t="shared" si="55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15:39:47-700',mode:absolute,to:'2016-11-12 18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7" s="52" t="str">
        <f t="shared" si="57"/>
        <v>N</v>
      </c>
      <c r="X117" s="177">
        <f t="shared" si="58"/>
        <v>1</v>
      </c>
      <c r="Y117" s="67">
        <f t="shared" si="59"/>
        <v>4.8399999999999999E-2</v>
      </c>
      <c r="Z117" s="67">
        <f t="shared" si="60"/>
        <v>23.331399999999999</v>
      </c>
      <c r="AA117" s="67">
        <f t="shared" si="61"/>
        <v>23.282999999999998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62"/>
        <v>0205-12</v>
      </c>
      <c r="AE117" s="91" t="str">
        <f t="shared" si="63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17" s="88" t="str">
        <f t="shared" si="64"/>
        <v>"C:\Program Files (x86)\AstroGrep\AstroGrep.exe" /spath="%USERPROFILE%\AppData\Local\Temp\OnboardLogs" /stypes="app*4025*20161113*" /stext=" 00:.+((SYSTEM_STATE.+slice.+state.+changed )|(ment ac)|(system.+state.+changed )|(\[timeout)|(PRM\|1\|D)|(kpr)|(kdp)|(\|lc)|(penalty))" /e /r /s</v>
      </c>
      <c r="AG117" s="1" t="str">
        <f t="shared" si="65"/>
        <v>EC</v>
      </c>
      <c r="AH117" s="92" t="str">
        <f t="shared" si="49"/>
        <v>"%USERPROFILE%\Documents\GitHub\eaglep3\Utilities\RefineRTDCRunTimes.py" --tripid 205-12 --locoid 4025 --swversion DE.1.0.8.0 --startMP 204:484 --initTime 2016-11-12T16:39:47 --startdatetime 2016-11-12T16:45:30 --delay 1 --endMP 204:233314 --enddatetime 2016-11-12T17:21:54 --enforcementcount 0 &gt;&gt;C:\Users\stu\Documents\GitHub\eaglep3-reporting\EC\2016-11-12-refined-times.txt</v>
      </c>
      <c r="AI11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{"issue":{"subject":"","project_id":79,"tracker_id":40,"status_id":1,"priority_id":2,"assigned_to_id":23,"start_date":"2016-11-12","description":"","custom_fields":[{"id":1,"name":"Subdivision","value":"EC"},{"id":4,"name":"Milepost","value":"23.3314"},{"id":17,"name":"Train ID","value":"205-12"},{"id":16,"name":"Locomotive ID","value":"4025"},{"id":130,"name":"Impact","value":""},{"id":150,"name":"Time of Event (Mountain Time)","value":"17:21:54"},{"id":151,"name":"Denver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573</v>
      </c>
      <c r="B118" s="7">
        <v>4026</v>
      </c>
      <c r="C118" s="22" t="s">
        <v>225</v>
      </c>
      <c r="D118" s="22" t="s">
        <v>247</v>
      </c>
      <c r="E118" s="13">
        <v>42686.73333333333</v>
      </c>
      <c r="F118" s="13">
        <v>42686.737060185187</v>
      </c>
      <c r="G118" s="7">
        <v>1</v>
      </c>
      <c r="H118" s="22" t="s">
        <v>216</v>
      </c>
      <c r="I118" s="13">
        <v>42686.763622685183</v>
      </c>
      <c r="J118" s="7">
        <v>0</v>
      </c>
      <c r="K118" s="109" t="str">
        <f t="shared" si="51"/>
        <v>4025/4026</v>
      </c>
      <c r="L118" s="22" t="str">
        <f>VLOOKUP(A118,'Trips&amp;Operators'!$C$1:$E$10000,3,FALSE)</f>
        <v>MOSES</v>
      </c>
      <c r="M118" s="6">
        <f t="shared" si="52"/>
        <v>2.6562499995634425E-2</v>
      </c>
      <c r="N118" s="7">
        <f t="shared" si="53"/>
        <v>38.249999993713573</v>
      </c>
      <c r="O118" s="7"/>
      <c r="P118" s="7"/>
      <c r="Q118" s="23"/>
      <c r="R118" s="23"/>
      <c r="S118" s="35">
        <f t="shared" si="54"/>
        <v>1</v>
      </c>
      <c r="T118" s="50" t="str">
        <f t="shared" si="55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16:36:00-700',mode:absolute,to:'2016-11-12 19:19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8" s="52" t="str">
        <f t="shared" si="57"/>
        <v>N</v>
      </c>
      <c r="X118" s="177">
        <f t="shared" si="58"/>
        <v>1</v>
      </c>
      <c r="Y118" s="67">
        <f t="shared" si="59"/>
        <v>23.299099999999999</v>
      </c>
      <c r="Z118" s="67">
        <f t="shared" si="60"/>
        <v>1.5599999999999999E-2</v>
      </c>
      <c r="AA118" s="67">
        <f t="shared" si="61"/>
        <v>23.2835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62"/>
        <v>0206-12</v>
      </c>
      <c r="AE118" s="91" t="str">
        <f t="shared" si="63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18" s="88" t="str">
        <f t="shared" si="64"/>
        <v>"C:\Program Files (x86)\AstroGrep\AstroGrep.exe" /spath="%USERPROFILE%\AppData\Local\Temp\OnboardLogs" /stypes="app*4026*20161113*" /stext=" 01:.+((SYSTEM_STATE.+slice.+state.+changed )|(ment ac)|(system.+state.+changed )|(\[timeout)|(PRM\|1\|D)|(kpr)|(kdp)|(\|lc)|(penalty))" /e /r /s</v>
      </c>
      <c r="AG118" s="1" t="str">
        <f t="shared" si="65"/>
        <v>EC</v>
      </c>
      <c r="AH118" s="92" t="str">
        <f t="shared" si="49"/>
        <v>"%USERPROFILE%\Documents\GitHub\eaglep3\Utilities\RefineRTDCRunTimes.py" --tripid 206-12 --locoid 4026 --swversion DE.1.0.8.0 --startMP 204:232991 --initTime 2016-11-12T17:36:00 --startdatetime 2016-11-12T17:41:22 --delay 1 --endMP 204:156 --enddatetime 2016-11-12T18:19:37 --enforcementcount 0 &gt;&gt;C:\Users\stu\Documents\GitHub\eaglep3-reporting\EC\2016-11-12-refined-times.txt</v>
      </c>
      <c r="AI11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ID","value":"206-12"},{"id":16,"name":"Locomotive ID","value":"4026"},{"id":130,"name":"Impact","value":""},{"id":150,"name":"Time of Event (Mountain Time)","value":"18:19:37"},{"id":151,"name":"Denver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567</v>
      </c>
      <c r="B119" s="7">
        <v>4042</v>
      </c>
      <c r="C119" s="22" t="s">
        <v>225</v>
      </c>
      <c r="D119" s="22" t="s">
        <v>724</v>
      </c>
      <c r="E119" s="13">
        <v>42686.713067129633</v>
      </c>
      <c r="F119" s="13">
        <v>42686.713738425926</v>
      </c>
      <c r="G119" s="7">
        <v>0</v>
      </c>
      <c r="H119" s="22" t="s">
        <v>405</v>
      </c>
      <c r="I119" s="13">
        <v>42686.741122685184</v>
      </c>
      <c r="J119" s="7">
        <v>0</v>
      </c>
      <c r="K119" s="109" t="str">
        <f t="shared" si="51"/>
        <v>4041/4042</v>
      </c>
      <c r="L119" s="22" t="str">
        <f>VLOOKUP(A119,'Trips&amp;Operators'!$C$1:$E$10000,3,FALSE)</f>
        <v>SHOOK</v>
      </c>
      <c r="M119" s="6">
        <f t="shared" si="52"/>
        <v>2.7384259257814847E-2</v>
      </c>
      <c r="N119" s="7"/>
      <c r="O119" s="7"/>
      <c r="P119" s="7">
        <f>24*60*SUM($M119:$M119)</f>
        <v>39.43333333125338</v>
      </c>
      <c r="Q119" s="23"/>
      <c r="R119" s="23" t="s">
        <v>755</v>
      </c>
      <c r="S119" s="35">
        <f>SUM(U119:U119)/IF(AG119="EC",12,1)</f>
        <v>1</v>
      </c>
      <c r="T119" s="50" t="str">
        <f t="shared" si="55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16:06:49-700',mode:absolute,to:'2016-11-12 18:47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9" s="52" t="str">
        <f t="shared" si="57"/>
        <v>Y</v>
      </c>
      <c r="X119" s="177">
        <f t="shared" si="58"/>
        <v>1</v>
      </c>
      <c r="Y119" s="67">
        <f t="shared" si="59"/>
        <v>1.2661</v>
      </c>
      <c r="Z119" s="67">
        <f t="shared" si="60"/>
        <v>23.332799999999999</v>
      </c>
      <c r="AA119" s="67">
        <f t="shared" si="61"/>
        <v>22.066699999999997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62"/>
        <v>0207-12</v>
      </c>
      <c r="AE119" s="91" t="str">
        <f t="shared" si="63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119" s="88" t="str">
        <f t="shared" si="64"/>
        <v>"C:\Program Files (x86)\AstroGrep\AstroGrep.exe" /spath="%USERPROFILE%\AppData\Local\Temp\OnboardLogs" /stypes="app*4042*20161113*" /stext=" 00:.+((SYSTEM_STATE.+slice.+state.+changed )|(ment ac)|(system.+state.+changed )|(\[timeout)|(PRM\|1\|D)|(kpr)|(kdp)|(\|lc)|(penalty))" /e /r /s</v>
      </c>
      <c r="AG119" s="1" t="str">
        <f t="shared" si="65"/>
        <v>EC</v>
      </c>
      <c r="AH119" s="92" t="str">
        <f t="shared" si="49"/>
        <v>"%USERPROFILE%\Documents\GitHub\eaglep3\Utilities\RefineRTDCRunTimes.py" --tripid 207-12 --locoid 4042 --swversion DE.1.0.8.0 --startMP 204:12661 --initTime 2016-11-12T17:06:49 --startdatetime 2016-11-12T17:07:47 --delay 0 --endMP 204:233328 --enddatetime 2016-11-12T17:47:13 --enforcementcount 0 &gt;&gt;C:\Users\stu\Documents\GitHub\eaglep3-reporting\EC\2016-11-12-refined-times.txt</v>
      </c>
      <c r="AI119" s="119" t="str">
        <f t="shared" si="50"/>
        <v>echo {"issue":{"subject":"DUS 22N at STOP, likely due to other traffic","project_id":79,"tracker_id":40,"status_id":1,"priority_id":2,"assigned_to_id":23,"start_date":"2016-11-12","description":"See title","custom_fields":[{"id":1,"name":"Subdivision","value":"EC"},{"id":4,"name":"Milepost","value":"23.3328"},{"id":17,"name":"Train ID","value":"207-12"},{"id":16,"name":"Locomotive ID","value":"4042"},{"id":130,"name":"Impact","value":"Unexpected Cut-Out or Disengaged"},{"id":150,"name":"Time of Event (Mountain Time)","value":"17:47:13"},{"id":151,"name":"Denver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119" s="53" t="s">
        <v>756</v>
      </c>
      <c r="AK119" s="53" t="s">
        <v>131</v>
      </c>
      <c r="AL119" s="53" t="s">
        <v>241</v>
      </c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578</v>
      </c>
      <c r="B120" s="7">
        <v>4041</v>
      </c>
      <c r="C120" s="22" t="s">
        <v>225</v>
      </c>
      <c r="D120" s="22" t="s">
        <v>301</v>
      </c>
      <c r="E120" s="13">
        <v>42686.744375000002</v>
      </c>
      <c r="F120" s="13">
        <v>42686.747465277775</v>
      </c>
      <c r="G120" s="7">
        <v>1</v>
      </c>
      <c r="H120" s="22" t="s">
        <v>725</v>
      </c>
      <c r="I120" s="13">
        <v>42686.774282407408</v>
      </c>
      <c r="J120" s="7">
        <v>0</v>
      </c>
      <c r="K120" s="109" t="str">
        <f t="shared" si="51"/>
        <v>4041/4042</v>
      </c>
      <c r="L120" s="22" t="str">
        <f>VLOOKUP(A120,'Trips&amp;Operators'!$C$1:$E$10000,3,FALSE)</f>
        <v>SHOOK</v>
      </c>
      <c r="M120" s="6">
        <f t="shared" si="52"/>
        <v>2.6817129633855075E-2</v>
      </c>
      <c r="N120" s="7">
        <f t="shared" si="53"/>
        <v>38.616666672751307</v>
      </c>
      <c r="O120" s="7"/>
      <c r="P120" s="7"/>
      <c r="Q120" s="23"/>
      <c r="R120" s="23"/>
      <c r="S120" s="35">
        <f t="shared" si="54"/>
        <v>1</v>
      </c>
      <c r="T120" s="50" t="str">
        <f t="shared" si="55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16:51:54-700',mode:absolute,to:'2016-11-12 19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0" s="52" t="str">
        <f t="shared" si="57"/>
        <v>N</v>
      </c>
      <c r="X120" s="177">
        <f t="shared" si="58"/>
        <v>1</v>
      </c>
      <c r="Y120" s="67">
        <f t="shared" si="59"/>
        <v>23.299600000000002</v>
      </c>
      <c r="Z120" s="67">
        <f t="shared" si="60"/>
        <v>1.66E-2</v>
      </c>
      <c r="AA120" s="67">
        <f t="shared" si="61"/>
        <v>23.283000000000001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62"/>
        <v>0208-12</v>
      </c>
      <c r="AE120" s="91" t="str">
        <f t="shared" si="63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120" s="88" t="str">
        <f t="shared" si="64"/>
        <v>"C:\Program Files (x86)\AstroGrep\AstroGrep.exe" /spath="%USERPROFILE%\AppData\Local\Temp\OnboardLogs" /stypes="app*4041*20161113*" /stext=" 01:.+((SYSTEM_STATE.+slice.+state.+changed )|(ment ac)|(system.+state.+changed )|(\[timeout)|(PRM\|1\|D)|(kpr)|(kdp)|(\|lc)|(penalty))" /e /r /s</v>
      </c>
      <c r="AG120" s="1" t="str">
        <f t="shared" si="65"/>
        <v>EC</v>
      </c>
      <c r="AH120" s="92" t="str">
        <f t="shared" si="49"/>
        <v>"%USERPROFILE%\Documents\GitHub\eaglep3\Utilities\RefineRTDCRunTimes.py" --tripid 208-12 --locoid 4041 --swversion DE.1.0.8.0 --startMP 204:232996 --initTime 2016-11-12T17:51:54 --startdatetime 2016-11-12T17:56:21 --delay 1 --endMP 204:166 --enddatetime 2016-11-12T18:34:58 --enforcementcount 0 &gt;&gt;C:\Users\stu\Documents\GitHub\eaglep3-reporting\EC\2016-11-12-refined-times.txt</v>
      </c>
      <c r="AI12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{"issue":{"subject":"","project_id":79,"tracker_id":40,"status_id":1,"priority_id":2,"assigned_to_id":23,"start_date":"2016-11-12","description":"","custom_fields":[{"id":1,"name":"Subdivision","value":"EC"},{"id":4,"name":"Milepost","value":"0.0166"},{"id":17,"name":"Train ID","value":"208-12"},{"id":16,"name":"Locomotive ID","value":"4041"},{"id":130,"name":"Impact","value":""},{"id":150,"name":"Time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568</v>
      </c>
      <c r="B121" s="7">
        <v>4038</v>
      </c>
      <c r="C121" s="22" t="s">
        <v>225</v>
      </c>
      <c r="D121" s="22" t="s">
        <v>299</v>
      </c>
      <c r="E121" s="13">
        <v>42686.713055555556</v>
      </c>
      <c r="F121" s="13">
        <v>42686.718958333331</v>
      </c>
      <c r="G121" s="7">
        <v>6</v>
      </c>
      <c r="H121" s="22" t="s">
        <v>341</v>
      </c>
      <c r="I121" s="13">
        <v>42686.743946759256</v>
      </c>
      <c r="J121" s="7">
        <v>0</v>
      </c>
      <c r="K121" s="109" t="str">
        <f t="shared" si="51"/>
        <v>4037/4038</v>
      </c>
      <c r="L121" s="22" t="str">
        <f>VLOOKUP(A121,'Trips&amp;Operators'!$C$1:$E$10000,3,FALSE)</f>
        <v>BRUDER</v>
      </c>
      <c r="M121" s="6">
        <f t="shared" si="52"/>
        <v>2.4988425924675539E-2</v>
      </c>
      <c r="N121" s="7">
        <f t="shared" si="53"/>
        <v>35.983333331532776</v>
      </c>
      <c r="O121" s="7"/>
      <c r="P121" s="7"/>
      <c r="Q121" s="23"/>
      <c r="R121" s="23"/>
      <c r="S121" s="35">
        <f t="shared" si="54"/>
        <v>1</v>
      </c>
      <c r="T121" s="50" t="str">
        <f t="shared" si="55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16:06:48-700',mode:absolute,to:'2016-11-12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1" s="52" t="str">
        <f t="shared" si="57"/>
        <v>N</v>
      </c>
      <c r="X121" s="177">
        <f t="shared" si="58"/>
        <v>1</v>
      </c>
      <c r="Y121" s="67">
        <f t="shared" si="59"/>
        <v>4.7100000000000003E-2</v>
      </c>
      <c r="Z121" s="67">
        <f t="shared" si="60"/>
        <v>23.331399999999999</v>
      </c>
      <c r="AA121" s="67">
        <f t="shared" si="61"/>
        <v>23.284299999999998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62"/>
        <v>0209-12</v>
      </c>
      <c r="AE121" s="91" t="str">
        <f t="shared" si="63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21" s="88" t="str">
        <f t="shared" si="64"/>
        <v>"C:\Program Files (x86)\AstroGrep\AstroGrep.exe" /spath="%USERPROFILE%\AppData\Local\Temp\OnboardLogs" /stypes="app*4038*20161113*" /stext=" 00:.+((SYSTEM_STATE.+slice.+state.+changed )|(ment ac)|(system.+state.+changed )|(\[timeout)|(PRM\|1\|D)|(kpr)|(kdp)|(\|lc)|(penalty))" /e /r /s</v>
      </c>
      <c r="AG121" s="1" t="str">
        <f t="shared" si="65"/>
        <v>EC</v>
      </c>
      <c r="AH121" s="92" t="str">
        <f t="shared" si="49"/>
        <v>"%USERPROFILE%\Documents\GitHub\eaglep3\Utilities\RefineRTDCRunTimes.py" --tripid 209-12 --locoid 4038 --swversion DE.1.0.8.0 --startMP 204:471 --initTime 2016-11-12T17:06:48 --startdatetime 2016-11-12T17:15:18 --delay 6 --endMP 204:233314 --enddatetime 2016-11-12T17:51:17 --enforcementcount 0 &gt;&gt;C:\Users\stu\Documents\GitHub\eaglep3-reporting\EC\2016-11-12-refined-times.txt</v>
      </c>
      <c r="AI12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{"issue":{"subject":"","project_id":79,"tracker_id":40,"status_id":1,"priority_id":2,"assigned_to_id":23,"start_date":"2016-11-12","description":"","custom_fields":[{"id":1,"name":"Subdivision","value":"EC"},{"id":4,"name":"Milepost","value":"23.3314"},{"id":17,"name":"Train ID","value":"209-12"},{"id":16,"name":"Locomotive ID","value":"4038"},{"id":130,"name":"Impact","value":""},{"id":150,"name":"Time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580</v>
      </c>
      <c r="B122" s="7">
        <v>4037</v>
      </c>
      <c r="C122" s="22" t="s">
        <v>225</v>
      </c>
      <c r="D122" s="22" t="s">
        <v>277</v>
      </c>
      <c r="E122" s="13">
        <v>42686.751168981478</v>
      </c>
      <c r="F122" s="13">
        <v>42686.757835648146</v>
      </c>
      <c r="G122" s="7">
        <v>7</v>
      </c>
      <c r="H122" s="22" t="s">
        <v>394</v>
      </c>
      <c r="I122" s="13">
        <v>42686.783587962964</v>
      </c>
      <c r="J122" s="7">
        <v>0</v>
      </c>
      <c r="K122" s="109" t="str">
        <f t="shared" si="51"/>
        <v>4037/4038</v>
      </c>
      <c r="L122" s="22" t="str">
        <f>VLOOKUP(A122,'Trips&amp;Operators'!$C$1:$E$10000,3,FALSE)</f>
        <v>BRUDER</v>
      </c>
      <c r="M122" s="6">
        <f t="shared" si="52"/>
        <v>2.5752314817509614E-2</v>
      </c>
      <c r="N122" s="7">
        <f t="shared" si="53"/>
        <v>37.083333337213844</v>
      </c>
      <c r="O122" s="7"/>
      <c r="P122" s="7"/>
      <c r="Q122" s="23"/>
      <c r="R122" s="23"/>
      <c r="S122" s="35">
        <f t="shared" si="54"/>
        <v>1</v>
      </c>
      <c r="T122" s="50" t="str">
        <f t="shared" si="55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17:01:41-700',mode:absolute,to:'2016-11-12 19:48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2" s="52" t="str">
        <f t="shared" si="57"/>
        <v>N</v>
      </c>
      <c r="X122" s="177">
        <f t="shared" si="58"/>
        <v>1</v>
      </c>
      <c r="Y122" s="67">
        <f t="shared" si="59"/>
        <v>23.298100000000002</v>
      </c>
      <c r="Z122" s="67">
        <f t="shared" si="60"/>
        <v>1.6299999999999999E-2</v>
      </c>
      <c r="AA122" s="67">
        <f t="shared" si="61"/>
        <v>23.2818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62"/>
        <v>0210-12</v>
      </c>
      <c r="AE122" s="91" t="str">
        <f t="shared" si="63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22" s="88" t="str">
        <f t="shared" si="64"/>
        <v>"C:\Program Files (x86)\AstroGrep\AstroGrep.exe" /spath="%USERPROFILE%\AppData\Local\Temp\OnboardLogs" /stypes="app*4037*20161113*" /stext=" 01:.+((SYSTEM_STATE.+slice.+state.+changed )|(ment ac)|(system.+state.+changed )|(\[timeout)|(PRM\|1\|D)|(kpr)|(kdp)|(\|lc)|(penalty))" /e /r /s</v>
      </c>
      <c r="AG122" s="1" t="str">
        <f t="shared" si="65"/>
        <v>EC</v>
      </c>
      <c r="AH122" s="92" t="str">
        <f t="shared" si="49"/>
        <v>"%USERPROFILE%\Documents\GitHub\eaglep3\Utilities\RefineRTDCRunTimes.py" --tripid 210-12 --locoid 4037 --swversion DE.1.0.8.0 --startMP 204:232981 --initTime 2016-11-12T18:01:41 --startdatetime 2016-11-12T18:11:17 --delay 7 --endMP 204:163 --enddatetime 2016-11-12T18:48:22 --enforcementcount 0 &gt;&gt;C:\Users\stu\Documents\GitHub\eaglep3-reporting\EC\2016-11-12-refined-times.txt</v>
      </c>
      <c r="AI12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{"issue":{"subject":"","project_id":79,"tracker_id":40,"status_id":1,"priority_id":2,"assigned_to_id":23,"start_date":"2016-11-12","description":"","custom_fields":[{"id":1,"name":"Subdivision","value":"EC"},{"id":4,"name":"Milepost","value":"0.0163"},{"id":17,"name":"Train ID","value":"210-12"},{"id":16,"name":"Locomotive ID","value":"4037"},{"id":130,"name":"Impact","value":""},{"id":150,"name":"Time of Event (Mountain Time)","value":"18:48:22"},{"id":151,"name":"Denver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572</v>
      </c>
      <c r="B123" s="7">
        <v>4022</v>
      </c>
      <c r="C123" s="22" t="s">
        <v>225</v>
      </c>
      <c r="D123" s="22" t="s">
        <v>345</v>
      </c>
      <c r="E123" s="13">
        <v>42686.725983796299</v>
      </c>
      <c r="F123" s="13">
        <v>42686.729456018518</v>
      </c>
      <c r="G123" s="7">
        <v>1</v>
      </c>
      <c r="H123" s="22" t="s">
        <v>203</v>
      </c>
      <c r="I123" s="13">
        <v>42686.755069444444</v>
      </c>
      <c r="J123" s="7">
        <v>0</v>
      </c>
      <c r="K123" s="109" t="str">
        <f t="shared" si="51"/>
        <v>4021/4022</v>
      </c>
      <c r="L123" s="22" t="str">
        <f>VLOOKUP(A123,'Trips&amp;Operators'!$C$1:$E$10000,3,FALSE)</f>
        <v>CLARK</v>
      </c>
      <c r="M123" s="6">
        <f t="shared" si="52"/>
        <v>2.5613425925257616E-2</v>
      </c>
      <c r="N123" s="7">
        <f t="shared" si="53"/>
        <v>36.883333332370967</v>
      </c>
      <c r="O123" s="7"/>
      <c r="P123" s="7"/>
      <c r="Q123" s="23"/>
      <c r="R123" s="23"/>
      <c r="S123" s="35">
        <f t="shared" si="54"/>
        <v>1</v>
      </c>
      <c r="T123" s="50" t="str">
        <f t="shared" si="55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16:25:25-700',mode:absolute,to:'2016-11-12 19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3" s="52" t="str">
        <f t="shared" si="57"/>
        <v>N</v>
      </c>
      <c r="X123" s="177">
        <f t="shared" si="58"/>
        <v>1</v>
      </c>
      <c r="Y123" s="67">
        <f t="shared" si="59"/>
        <v>4.6600000000000003E-2</v>
      </c>
      <c r="Z123" s="67">
        <f t="shared" si="60"/>
        <v>23.329499999999999</v>
      </c>
      <c r="AA123" s="67">
        <f t="shared" si="61"/>
        <v>23.282899999999998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62"/>
        <v>0211-12</v>
      </c>
      <c r="AE123" s="91" t="str">
        <f t="shared" si="63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123" s="88" t="str">
        <f t="shared" si="64"/>
        <v>"C:\Program Files (x86)\AstroGrep\AstroGrep.exe" /spath="%USERPROFILE%\AppData\Local\Temp\OnboardLogs" /stypes="app*4022*20161113*" /stext=" 01:.+((SYSTEM_STATE.+slice.+state.+changed )|(ment ac)|(system.+state.+changed )|(\[timeout)|(PRM\|1\|D)|(kpr)|(kdp)|(\|lc)|(penalty))" /e /r /s</v>
      </c>
      <c r="AG123" s="1" t="str">
        <f t="shared" si="65"/>
        <v>EC</v>
      </c>
      <c r="AH123" s="92" t="str">
        <f t="shared" si="49"/>
        <v>"%USERPROFILE%\Documents\GitHub\eaglep3\Utilities\RefineRTDCRunTimes.py" --tripid 211-12 --locoid 4022 --swversion DE.1.0.8.0 --startMP 204:466 --initTime 2016-11-12T17:25:25 --startdatetime 2016-11-12T17:30:25 --delay 1 --endMP 204:233295 --enddatetime 2016-11-12T18:07:18 --enforcementcount 0 &gt;&gt;C:\Users\stu\Documents\GitHub\eaglep3-reporting\EC\2016-11-12-refined-times.txt</v>
      </c>
      <c r="AI12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{"issue":{"subject":"","project_id":79,"tracker_id":40,"status_id":1,"priority_id":2,"assigned_to_id":23,"start_date":"2016-11-12","description":"","custom_fields":[{"id":1,"name":"Subdivision","value":"EC"},{"id":4,"name":"Milepost","value":"23.3295"},{"id":17,"name":"Train ID","value":"211-12"},{"id":16,"name":"Locomotive ID","value":"4022"},{"id":130,"name":"Impact","value":""},{"id":150,"name":"Time of Event (Mountain Time)","value":"18:07:18"},{"id":151,"name":"Denver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583</v>
      </c>
      <c r="B124" s="7">
        <v>4021</v>
      </c>
      <c r="C124" s="22" t="s">
        <v>225</v>
      </c>
      <c r="D124" s="22" t="s">
        <v>258</v>
      </c>
      <c r="E124" s="13">
        <v>42686.762048611112</v>
      </c>
      <c r="F124" s="13">
        <v>42686.768240740741</v>
      </c>
      <c r="G124" s="7">
        <v>1</v>
      </c>
      <c r="H124" s="22" t="s">
        <v>394</v>
      </c>
      <c r="I124" s="13">
        <v>42686.795659722222</v>
      </c>
      <c r="J124" s="7">
        <v>0</v>
      </c>
      <c r="K124" s="109" t="str">
        <f t="shared" si="51"/>
        <v>4021/4022</v>
      </c>
      <c r="L124" s="22" t="str">
        <f>VLOOKUP(A124,'Trips&amp;Operators'!$C$1:$E$10000,3,FALSE)</f>
        <v>CLARK</v>
      </c>
      <c r="M124" s="6">
        <f t="shared" si="52"/>
        <v>2.7418981480877846E-2</v>
      </c>
      <c r="N124" s="7">
        <f t="shared" si="53"/>
        <v>39.483333332464099</v>
      </c>
      <c r="O124" s="7"/>
      <c r="P124" s="7"/>
      <c r="Q124" s="23"/>
      <c r="R124" s="23"/>
      <c r="S124" s="35">
        <f t="shared" si="54"/>
        <v>1</v>
      </c>
      <c r="T124" s="50" t="str">
        <f t="shared" si="55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17:17:21-700',mode:absolute,to:'2016-11-12 20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4" s="52" t="str">
        <f t="shared" si="57"/>
        <v>N</v>
      </c>
      <c r="X124" s="177">
        <f t="shared" si="58"/>
        <v>1</v>
      </c>
      <c r="Y124" s="67">
        <f t="shared" si="59"/>
        <v>23.298999999999999</v>
      </c>
      <c r="Z124" s="67">
        <f t="shared" si="60"/>
        <v>1.6299999999999999E-2</v>
      </c>
      <c r="AA124" s="67">
        <f t="shared" si="61"/>
        <v>23.282699999999998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62"/>
        <v>0212-12</v>
      </c>
      <c r="AE124" s="91" t="str">
        <f t="shared" si="63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24" s="88" t="str">
        <f t="shared" si="64"/>
        <v>"C:\Program Files (x86)\AstroGrep\AstroGrep.exe" /spath="%USERPROFILE%\AppData\Local\Temp\OnboardLogs" /stypes="app*4021*20161113*" /stext=" 02:.+((SYSTEM_STATE.+slice.+state.+changed )|(ment ac)|(system.+state.+changed )|(\[timeout)|(PRM\|1\|D)|(kpr)|(kdp)|(\|lc)|(penalty))" /e /r /s</v>
      </c>
      <c r="AG124" s="1" t="str">
        <f t="shared" si="65"/>
        <v>EC</v>
      </c>
      <c r="AH124" s="92" t="str">
        <f t="shared" si="49"/>
        <v>"%USERPROFILE%\Documents\GitHub\eaglep3\Utilities\RefineRTDCRunTimes.py" --tripid 212-12 --locoid 4021 --swversion DE.1.0.8.0 --startMP 204:232990 --initTime 2016-11-12T18:17:21 --startdatetime 2016-11-12T18:26:16 --delay 1 --endMP 204:163 --enddatetime 2016-11-12T19:05:45 --enforcementcount 0 &gt;&gt;C:\Users\stu\Documents\GitHub\eaglep3-reporting\EC\2016-11-12-refined-times.txt</v>
      </c>
      <c r="AI12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{"issue":{"subject":"","project_id":79,"tracker_id":40,"status_id":1,"priority_id":2,"assigned_to_id":23,"start_date":"2016-11-12","description":"","custom_fields":[{"id":1,"name":"Subdivision","value":"EC"},{"id":4,"name":"Milepost","value":"0.0163"},{"id":17,"name":"Train ID","value":"212-12"},{"id":16,"name":"Locomotive ID","value":"4021"},{"id":130,"name":"Impact","value":""},{"id":150,"name":"Time of Event (Mountain Time)","value":"19:05:45"},{"id":151,"name":"Denver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574</v>
      </c>
      <c r="B125" s="7">
        <v>4011</v>
      </c>
      <c r="C125" s="22" t="s">
        <v>225</v>
      </c>
      <c r="D125" s="22" t="s">
        <v>345</v>
      </c>
      <c r="E125" s="13">
        <v>42686.734467592592</v>
      </c>
      <c r="F125" s="13">
        <v>42686.739756944444</v>
      </c>
      <c r="G125" s="7">
        <v>2</v>
      </c>
      <c r="H125" s="22" t="s">
        <v>240</v>
      </c>
      <c r="I125" s="13">
        <v>42686.764027777775</v>
      </c>
      <c r="J125" s="7">
        <v>0</v>
      </c>
      <c r="K125" s="109" t="str">
        <f t="shared" si="51"/>
        <v>4011/4012</v>
      </c>
      <c r="L125" s="22" t="str">
        <f>VLOOKUP(A125,'Trips&amp;Operators'!$C$1:$E$10000,3,FALSE)</f>
        <v>NEWELL</v>
      </c>
      <c r="M125" s="6">
        <f t="shared" si="52"/>
        <v>2.4270833331684116E-2</v>
      </c>
      <c r="N125" s="7">
        <f t="shared" si="53"/>
        <v>34.949999997625127</v>
      </c>
      <c r="O125" s="7"/>
      <c r="P125" s="7"/>
      <c r="Q125" s="23"/>
      <c r="R125" s="23"/>
      <c r="S125" s="35">
        <f t="shared" si="54"/>
        <v>1</v>
      </c>
      <c r="T125" s="50" t="str">
        <f t="shared" si="55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16:37:38-700',mode:absolute,to:'2016-11-12 19:20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5" s="52" t="str">
        <f t="shared" si="57"/>
        <v>N</v>
      </c>
      <c r="X125" s="177">
        <f t="shared" si="58"/>
        <v>1</v>
      </c>
      <c r="Y125" s="67">
        <f t="shared" si="59"/>
        <v>4.6600000000000003E-2</v>
      </c>
      <c r="Z125" s="67">
        <f t="shared" si="60"/>
        <v>23.331199999999999</v>
      </c>
      <c r="AA125" s="67">
        <f t="shared" si="61"/>
        <v>23.284599999999998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62"/>
        <v>0213-12</v>
      </c>
      <c r="AE125" s="91" t="str">
        <f t="shared" si="63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25" s="88" t="str">
        <f t="shared" si="64"/>
        <v>"C:\Program Files (x86)\AstroGrep\AstroGrep.exe" /spath="%USERPROFILE%\AppData\Local\Temp\OnboardLogs" /stypes="app*4011*20161113*" /stext=" 01:.+((SYSTEM_STATE.+slice.+state.+changed )|(ment ac)|(system.+state.+changed )|(\[timeout)|(PRM\|1\|D)|(kpr)|(kdp)|(\|lc)|(penalty))" /e /r /s</v>
      </c>
      <c r="AG125" s="1" t="str">
        <f t="shared" si="65"/>
        <v>EC</v>
      </c>
      <c r="AH125" s="92" t="str">
        <f t="shared" si="49"/>
        <v>"%USERPROFILE%\Documents\GitHub\eaglep3\Utilities\RefineRTDCRunTimes.py" --tripid 213-12 --locoid 4011 --swversion DE.1.0.8.0 --startMP 204:466 --initTime 2016-11-12T17:37:38 --startdatetime 2016-11-12T17:45:15 --delay 2 --endMP 204:233312 --enddatetime 2016-11-12T18:20:12 --enforcementcount 0 &gt;&gt;C:\Users\stu\Documents\GitHub\eaglep3-reporting\EC\2016-11-12-refined-times.txt</v>
      </c>
      <c r="AI12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{"issue":{"subject":"","project_id":79,"tracker_id":40,"status_id":1,"priority_id":2,"assigned_to_id":23,"start_date":"2016-11-12","description":"","custom_fields":[{"id":1,"name":"Subdivision","value":"EC"},{"id":4,"name":"Milepost","value":"23.3312"},{"id":17,"name":"Train ID","value":"213-12"},{"id":16,"name":"Locomotive ID","value":"4011"},{"id":130,"name":"Impact","value":""},{"id":150,"name":"Time of Event (Mountain Time)","value":"18:20:12"},{"id":151,"name":"Denver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585</v>
      </c>
      <c r="B126" s="7">
        <v>4012</v>
      </c>
      <c r="C126" s="22" t="s">
        <v>225</v>
      </c>
      <c r="D126" s="22" t="s">
        <v>393</v>
      </c>
      <c r="E126" s="13">
        <v>42686.767129629632</v>
      </c>
      <c r="F126" s="13">
        <v>42686.778715277775</v>
      </c>
      <c r="G126" s="7">
        <v>1</v>
      </c>
      <c r="H126" s="22" t="s">
        <v>216</v>
      </c>
      <c r="I126" s="13">
        <v>42686.804247685184</v>
      </c>
      <c r="J126" s="7">
        <v>0</v>
      </c>
      <c r="K126" s="109" t="str">
        <f t="shared" si="51"/>
        <v>4011/4012</v>
      </c>
      <c r="L126" s="22" t="str">
        <f>VLOOKUP(A126,'Trips&amp;Operators'!$C$1:$E$10000,3,FALSE)</f>
        <v>NEWELL</v>
      </c>
      <c r="M126" s="6">
        <f t="shared" si="52"/>
        <v>2.5532407409627922E-2</v>
      </c>
      <c r="N126" s="7">
        <f t="shared" si="53"/>
        <v>36.766666669864208</v>
      </c>
      <c r="O126" s="7"/>
      <c r="P126" s="7"/>
      <c r="Q126" s="23"/>
      <c r="R126" s="23"/>
      <c r="S126" s="35">
        <f t="shared" si="54"/>
        <v>1</v>
      </c>
      <c r="T126" s="50" t="str">
        <f t="shared" si="55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17:24:40-700',mode:absolute,to:'2016-11-12 20:18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6" s="52" t="str">
        <f t="shared" si="57"/>
        <v>N</v>
      </c>
      <c r="X126" s="177">
        <f t="shared" si="58"/>
        <v>1</v>
      </c>
      <c r="Y126" s="67">
        <f t="shared" si="59"/>
        <v>23.2987</v>
      </c>
      <c r="Z126" s="67">
        <f t="shared" si="60"/>
        <v>1.5599999999999999E-2</v>
      </c>
      <c r="AA126" s="67">
        <f t="shared" si="61"/>
        <v>23.283100000000001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62"/>
        <v>0214-12</v>
      </c>
      <c r="AE126" s="91" t="str">
        <f t="shared" si="63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26" s="88" t="str">
        <f t="shared" si="64"/>
        <v>"C:\Program Files (x86)\AstroGrep\AstroGrep.exe" /spath="%USERPROFILE%\AppData\Local\Temp\OnboardLogs" /stypes="app*4012*20161113*" /stext=" 02:.+((SYSTEM_STATE.+slice.+state.+changed )|(ment ac)|(system.+state.+changed )|(\[timeout)|(PRM\|1\|D)|(kpr)|(kdp)|(\|lc)|(penalty))" /e /r /s</v>
      </c>
      <c r="AG126" s="1" t="str">
        <f t="shared" si="65"/>
        <v>EC</v>
      </c>
      <c r="AH126" s="92" t="str">
        <f t="shared" si="49"/>
        <v>"%USERPROFILE%\Documents\GitHub\eaglep3\Utilities\RefineRTDCRunTimes.py" --tripid 214-12 --locoid 4012 --swversion DE.1.0.8.0 --startMP 204:232987 --initTime 2016-11-12T18:24:40 --startdatetime 2016-11-12T18:41:21 --delay 1 --endMP 204:156 --enddatetime 2016-11-12T19:18:07 --enforcementcount 0 &gt;&gt;C:\Users\stu\Documents\GitHub\eaglep3-reporting\EC\2016-11-12-refined-times.txt</v>
      </c>
      <c r="AI12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{"issue":{"subject":"","project_id":79,"tracker_id":40,"status_id":1,"priority_id":2,"assigned_to_id":23,"start_date":"2016-11-12","description":"","custom_fields":[{"id":1,"name":"Subdivision","value":"EC"},{"id":4,"name":"Milepost","value":"0.0156"},{"id":17,"name":"Train ID","value":"214-12"},{"id":16,"name":"Locomotive ID","value":"4012"},{"id":130,"name":"Impact","value":""},{"id":150,"name":"Time of Event (Mountain Time)","value":"19:18:07"},{"id":151,"name":"Denver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579</v>
      </c>
      <c r="B127" s="7">
        <v>4014</v>
      </c>
      <c r="C127" s="22" t="s">
        <v>225</v>
      </c>
      <c r="D127" s="22" t="s">
        <v>222</v>
      </c>
      <c r="E127" s="13">
        <v>42686.748518518521</v>
      </c>
      <c r="F127" s="13">
        <v>42686.750196759262</v>
      </c>
      <c r="G127" s="7">
        <v>1</v>
      </c>
      <c r="H127" s="22" t="s">
        <v>344</v>
      </c>
      <c r="I127" s="13">
        <v>42686.774699074071</v>
      </c>
      <c r="J127" s="7">
        <v>0</v>
      </c>
      <c r="K127" s="109" t="str">
        <f t="shared" si="51"/>
        <v>4013/4014</v>
      </c>
      <c r="L127" s="22" t="str">
        <f>VLOOKUP(A127,'Trips&amp;Operators'!$C$1:$E$10000,3,FALSE)</f>
        <v>STORY</v>
      </c>
      <c r="M127" s="6">
        <f t="shared" si="52"/>
        <v>2.4502314809069503E-2</v>
      </c>
      <c r="N127" s="7">
        <f t="shared" si="53"/>
        <v>35.283333325060084</v>
      </c>
      <c r="O127" s="7"/>
      <c r="P127" s="7"/>
      <c r="Q127" s="23"/>
      <c r="R127" s="23"/>
      <c r="S127" s="35">
        <f t="shared" si="54"/>
        <v>1</v>
      </c>
      <c r="T127" s="50" t="str">
        <f t="shared" si="55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16:57:52-700',mode:absolute,to:'2016-11-12 19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7" s="52" t="str">
        <f t="shared" si="57"/>
        <v>N</v>
      </c>
      <c r="X127" s="177">
        <f t="shared" si="58"/>
        <v>1</v>
      </c>
      <c r="Y127" s="67">
        <f t="shared" si="59"/>
        <v>4.5699999999999998E-2</v>
      </c>
      <c r="Z127" s="67">
        <f t="shared" si="60"/>
        <v>23.3291</v>
      </c>
      <c r="AA127" s="67">
        <f t="shared" si="61"/>
        <v>23.2834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62"/>
        <v>0215-12</v>
      </c>
      <c r="AE127" s="91" t="str">
        <f t="shared" si="63"/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AF127" s="88" t="str">
        <f t="shared" si="64"/>
        <v>"C:\Program Files (x86)\AstroGrep\AstroGrep.exe" /spath="%USERPROFILE%\AppData\Local\Temp\OnboardLogs" /stypes="app*4014*20161113*" /stext=" 01:.+((SYSTEM_STATE.+slice.+state.+changed )|(ment ac)|(system.+state.+changed )|(\[timeout)|(PRM\|1\|D)|(kpr)|(kdp)|(\|lc)|(penalty))" /e /r /s</v>
      </c>
      <c r="AG127" s="1" t="str">
        <f t="shared" si="65"/>
        <v>EC</v>
      </c>
      <c r="AH127" s="92" t="str">
        <f t="shared" si="49"/>
        <v>"%USERPROFILE%\Documents\GitHub\eaglep3\Utilities\RefineRTDCRunTimes.py" --tripid 215-12 --locoid 4014 --swversion DE.1.0.8.0 --startMP 204:457 --initTime 2016-11-12T17:57:52 --startdatetime 2016-11-12T18:00:17 --delay 1 --endMP 204:233291 --enddatetime 2016-11-12T18:35:34 --enforcementcount 0 &gt;&gt;C:\Users\stu\Documents\GitHub\eaglep3-reporting\EC\2016-11-12-refined-times.txt</v>
      </c>
      <c r="AI12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ID","value":"215-12"},{"id":16,"name":"Locomotive ID","value":"4014"},{"id":130,"name":"Impact","value":""},{"id":150,"name":"Time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440</v>
      </c>
      <c r="B128" s="7">
        <v>4013</v>
      </c>
      <c r="C128" s="22" t="s">
        <v>225</v>
      </c>
      <c r="D128" s="22" t="s">
        <v>649</v>
      </c>
      <c r="E128" s="13">
        <v>42686.783738425926</v>
      </c>
      <c r="F128" s="13">
        <v>42686.789456018516</v>
      </c>
      <c r="G128" s="7">
        <v>2</v>
      </c>
      <c r="H128" s="22" t="s">
        <v>726</v>
      </c>
      <c r="I128" s="13">
        <v>42686.81627314815</v>
      </c>
      <c r="J128" s="7">
        <v>0</v>
      </c>
      <c r="K128" s="109" t="str">
        <f t="shared" si="51"/>
        <v>4013/4014</v>
      </c>
      <c r="L128" s="22" t="str">
        <f>VLOOKUP(A128,'Trips&amp;Operators'!$C$1:$E$10000,3,FALSE)</f>
        <v>STORY</v>
      </c>
      <c r="M128" s="6">
        <f t="shared" si="52"/>
        <v>2.6817129633855075E-2</v>
      </c>
      <c r="N128" s="7">
        <f t="shared" si="53"/>
        <v>38.616666672751307</v>
      </c>
      <c r="O128" s="7"/>
      <c r="P128" s="7"/>
      <c r="Q128" s="23"/>
      <c r="R128" s="23"/>
      <c r="S128" s="35">
        <f t="shared" si="54"/>
        <v>1</v>
      </c>
      <c r="T128" s="50" t="str">
        <f t="shared" si="55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17:48:35-700',mode:absolute,to:'2016-11-12 20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8" s="52" t="str">
        <f t="shared" si="57"/>
        <v>N</v>
      </c>
      <c r="X128" s="177">
        <f t="shared" si="58"/>
        <v>1</v>
      </c>
      <c r="Y128" s="67">
        <f t="shared" si="59"/>
        <v>23.296900000000001</v>
      </c>
      <c r="Z128" s="67">
        <f t="shared" si="60"/>
        <v>1.26E-2</v>
      </c>
      <c r="AA128" s="67">
        <f t="shared" si="61"/>
        <v>23.284300000000002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62"/>
        <v>0216-12</v>
      </c>
      <c r="AE128" s="91" t="str">
        <f t="shared" si="63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28" s="88" t="str">
        <f t="shared" si="64"/>
        <v>"C:\Program Files (x86)\AstroGrep\AstroGrep.exe" /spath="%USERPROFILE%\AppData\Local\Temp\OnboardLogs" /stypes="app*4013*20161113*" /stext=" 02:.+((SYSTEM_STATE.+slice.+state.+changed )|(ment ac)|(system.+state.+changed )|(\[timeout)|(PRM\|1\|D)|(kpr)|(kdp)|(\|lc)|(penalty))" /e /r /s</v>
      </c>
      <c r="AG128" s="1" t="str">
        <f t="shared" si="65"/>
        <v>EC</v>
      </c>
      <c r="AH128" s="92" t="str">
        <f t="shared" si="49"/>
        <v>"%USERPROFILE%\Documents\GitHub\eaglep3\Utilities\RefineRTDCRunTimes.py" --tripid 216-12 --locoid 4013 --swversion DE.1.0.8.0 --startMP 204:232969 --initTime 2016-11-12T18:48:35 --startdatetime 2016-11-12T18:56:49 --delay 2 --endMP 204:126 --enddatetime 2016-11-12T19:35:26 --enforcementcount 0 &gt;&gt;C:\Users\stu\Documents\GitHub\eaglep3-reporting\EC\2016-11-12-refined-times.txt</v>
      </c>
      <c r="AI12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{"issue":{"subject":"","project_id":79,"tracker_id":40,"status_id":1,"priority_id":2,"assigned_to_id":23,"start_date":"2016-11-12","description":"","custom_fields":[{"id":1,"name":"Subdivision","value":"EC"},{"id":4,"name":"Milepost","value":"0.0126"},{"id":17,"name":"Train ID","value":"216-12"},{"id":16,"name":"Locomotive ID","value":"4013"},{"id":130,"name":"Impact","value":""},{"id":150,"name":"Time of Event (Mountain Time)","value":"19:35:26"},{"id":151,"name":"Denver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581</v>
      </c>
      <c r="B129" s="7">
        <v>4053</v>
      </c>
      <c r="C129" s="22" t="s">
        <v>225</v>
      </c>
      <c r="D129" s="22" t="s">
        <v>202</v>
      </c>
      <c r="E129" s="13">
        <v>42686.757627314815</v>
      </c>
      <c r="F129" s="13">
        <v>42686.760648148149</v>
      </c>
      <c r="G129" s="7">
        <v>4</v>
      </c>
      <c r="H129" s="22" t="s">
        <v>295</v>
      </c>
      <c r="I129" s="13">
        <v>42686.785416666666</v>
      </c>
      <c r="J129" s="7">
        <v>0</v>
      </c>
      <c r="K129" s="109" t="str">
        <f t="shared" si="51"/>
        <v>4053/4054</v>
      </c>
      <c r="L129" s="22" t="str">
        <f>VLOOKUP(A129,'Trips&amp;Operators'!$C$1:$E$10000,3,FALSE)</f>
        <v>CHANDLER</v>
      </c>
      <c r="M129" s="6">
        <f t="shared" si="52"/>
        <v>2.4768518516793847E-2</v>
      </c>
      <c r="N129" s="7">
        <f t="shared" si="53"/>
        <v>35.66666666418314</v>
      </c>
      <c r="O129" s="7"/>
      <c r="P129" s="7"/>
      <c r="Q129" s="23"/>
      <c r="R129" s="23"/>
      <c r="S129" s="35">
        <f t="shared" si="54"/>
        <v>1</v>
      </c>
      <c r="T129" s="50" t="str">
        <f t="shared" si="55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17:10:59-700',mode:absolute,to:'2016-11-12 19:51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9" s="52" t="str">
        <f t="shared" si="57"/>
        <v>N</v>
      </c>
      <c r="X129" s="177">
        <f t="shared" si="58"/>
        <v>1</v>
      </c>
      <c r="Y129" s="67">
        <f t="shared" si="59"/>
        <v>4.5499999999999999E-2</v>
      </c>
      <c r="Z129" s="67">
        <f t="shared" si="60"/>
        <v>23.330400000000001</v>
      </c>
      <c r="AA129" s="67">
        <f t="shared" si="61"/>
        <v>23.2849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62"/>
        <v>0217-12</v>
      </c>
      <c r="AE129" s="91" t="str">
        <f t="shared" si="63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29" s="88" t="str">
        <f t="shared" si="64"/>
        <v>"C:\Program Files (x86)\AstroGrep\AstroGrep.exe" /spath="%USERPROFILE%\AppData\Local\Temp\OnboardLogs" /stypes="app*4053*20161113*" /stext=" 01:.+((SYSTEM_STATE.+slice.+state.+changed )|(ment ac)|(system.+state.+changed )|(\[timeout)|(PRM\|1\|D)|(kpr)|(kdp)|(\|lc)|(penalty))" /e /r /s</v>
      </c>
      <c r="AG129" s="1" t="str">
        <f t="shared" si="65"/>
        <v>EC</v>
      </c>
      <c r="AH129" s="92" t="str">
        <f t="shared" si="49"/>
        <v>"%USERPROFILE%\Documents\GitHub\eaglep3\Utilities\RefineRTDCRunTimes.py" --tripid 217-12 --locoid 4053 --swversion DE.1.0.8.0 --startMP 204:455 --initTime 2016-11-12T18:10:59 --startdatetime 2016-11-12T18:15:20 --delay 4 --endMP 204:233304 --enddatetime 2016-11-12T18:51:00 --enforcementcount 0 &gt;&gt;C:\Users\stu\Documents\GitHub\eaglep3-reporting\EC\2016-11-12-refined-times.txt</v>
      </c>
      <c r="AI12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{"issue":{"subject":"","project_id":79,"tracker_id":40,"status_id":1,"priority_id":2,"assigned_to_id":23,"start_date":"2016-11-12","description":"","custom_fields":[{"id":1,"name":"Subdivision","value":"EC"},{"id":4,"name":"Milepost","value":"23.3304"},{"id":17,"name":"Train ID","value":"217-12"},{"id":16,"name":"Locomotive ID","value":"4053"},{"id":130,"name":"Impact","value":""},{"id":150,"name":"Time of Event (Mountain Time)","value":"18:51:00"},{"id":151,"name":"Denver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589</v>
      </c>
      <c r="B130" s="7">
        <v>4054</v>
      </c>
      <c r="C130" s="22" t="s">
        <v>225</v>
      </c>
      <c r="D130" s="22" t="s">
        <v>400</v>
      </c>
      <c r="E130" s="13">
        <v>42686.798020833332</v>
      </c>
      <c r="F130" s="13">
        <v>42686.799884259257</v>
      </c>
      <c r="G130" s="7">
        <v>1</v>
      </c>
      <c r="H130" s="22" t="s">
        <v>727</v>
      </c>
      <c r="I130" s="13">
        <v>42686.826423611114</v>
      </c>
      <c r="J130" s="7">
        <v>0</v>
      </c>
      <c r="K130" s="109" t="str">
        <f t="shared" si="51"/>
        <v>4053/4054</v>
      </c>
      <c r="L130" s="22" t="str">
        <f>VLOOKUP(A130,'Trips&amp;Operators'!$C$1:$E$10000,3,FALSE)</f>
        <v>CHANDLER</v>
      </c>
      <c r="M130" s="6">
        <f t="shared" si="52"/>
        <v>2.6539351856627036E-2</v>
      </c>
      <c r="N130" s="7">
        <f t="shared" si="53"/>
        <v>38.216666673542932</v>
      </c>
      <c r="O130" s="7"/>
      <c r="P130" s="7"/>
      <c r="Q130" s="23"/>
      <c r="R130" s="23"/>
      <c r="S130" s="35">
        <f t="shared" si="54"/>
        <v>1</v>
      </c>
      <c r="T130" s="50" t="str">
        <f t="shared" si="55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18:09:09-700',mode:absolute,to:'2016-11-12 20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0" s="52" t="str">
        <f t="shared" si="57"/>
        <v>N</v>
      </c>
      <c r="X130" s="177">
        <f t="shared" si="58"/>
        <v>1</v>
      </c>
      <c r="Y130" s="67">
        <f t="shared" si="59"/>
        <v>23.298300000000001</v>
      </c>
      <c r="Z130" s="67">
        <f t="shared" si="60"/>
        <v>1.09E-2</v>
      </c>
      <c r="AA130" s="67">
        <f t="shared" si="61"/>
        <v>23.287400000000002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62"/>
        <v>0218-12</v>
      </c>
      <c r="AE130" s="91" t="str">
        <f t="shared" si="63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30" s="88" t="str">
        <f t="shared" si="64"/>
        <v>"C:\Program Files (x86)\AstroGrep\AstroGrep.exe" /spath="%USERPROFILE%\AppData\Local\Temp\OnboardLogs" /stypes="app*4054*20161113*" /stext=" 02:.+((SYSTEM_STATE.+slice.+state.+changed )|(ment ac)|(system.+state.+changed )|(\[timeout)|(PRM\|1\|D)|(kpr)|(kdp)|(\|lc)|(penalty))" /e /r /s</v>
      </c>
      <c r="AG130" s="1" t="str">
        <f t="shared" si="65"/>
        <v>EC</v>
      </c>
      <c r="AH130" s="92" t="str">
        <f t="shared" si="49"/>
        <v>"%USERPROFILE%\Documents\GitHub\eaglep3\Utilities\RefineRTDCRunTimes.py" --tripid 218-12 --locoid 4054 --swversion DE.1.0.8.0 --startMP 204:232983 --initTime 2016-11-12T19:09:09 --startdatetime 2016-11-12T19:11:50 --delay 1 --endMP 204:109 --enddatetime 2016-11-12T19:50:03 --enforcementcount 0 &gt;&gt;C:\Users\stu\Documents\GitHub\eaglep3-reporting\EC\2016-11-12-refined-times.txt</v>
      </c>
      <c r="AI130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{"issue":{"subject":"","project_id":79,"tracker_id":40,"status_id":1,"priority_id":2,"assigned_to_id":23,"start_date":"2016-11-12","description":"","custom_fields":[{"id":1,"name":"Subdivision","value":"EC"},{"id":4,"name":"Milepost","value":"0.0109"},{"id":17,"name":"Train ID","value":"218-12"},{"id":16,"name":"Locomotive ID","value":"4054"},{"id":130,"name":"Impact","value":""},{"id":150,"name":"Time of Event (Mountain Time)","value":"19:50:03"},{"id":151,"name":"Denver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584</v>
      </c>
      <c r="B131" s="7">
        <v>4025</v>
      </c>
      <c r="C131" s="22" t="s">
        <v>225</v>
      </c>
      <c r="D131" s="22" t="s">
        <v>245</v>
      </c>
      <c r="E131" s="13">
        <v>42686.766400462962</v>
      </c>
      <c r="F131" s="13">
        <v>42686.77138888889</v>
      </c>
      <c r="G131" s="7">
        <v>1</v>
      </c>
      <c r="H131" s="22" t="s">
        <v>279</v>
      </c>
      <c r="I131" s="13">
        <v>42686.795173611114</v>
      </c>
      <c r="J131" s="7">
        <v>0</v>
      </c>
      <c r="K131" s="109" t="str">
        <f t="shared" si="51"/>
        <v>4025/4026</v>
      </c>
      <c r="L131" s="22" t="str">
        <f>VLOOKUP(A131,'Trips&amp;Operators'!$C$1:$E$10000,3,FALSE)</f>
        <v>STAMBAUGH</v>
      </c>
      <c r="M131" s="6">
        <f t="shared" si="52"/>
        <v>2.3784722223354038E-2</v>
      </c>
      <c r="N131" s="7">
        <f t="shared" si="53"/>
        <v>34.250000001629815</v>
      </c>
      <c r="O131" s="7"/>
      <c r="P131" s="7"/>
      <c r="Q131" s="23"/>
      <c r="R131" s="23"/>
      <c r="S131" s="35">
        <f t="shared" si="54"/>
        <v>1</v>
      </c>
      <c r="T131" s="50" t="str">
        <f t="shared" si="55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17:23:37-700',mode:absolute,to:'2016-11-12 20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1" s="52" t="str">
        <f t="shared" si="57"/>
        <v>N</v>
      </c>
      <c r="X131" s="177">
        <f t="shared" si="58"/>
        <v>1</v>
      </c>
      <c r="Y131" s="67">
        <f t="shared" si="59"/>
        <v>4.6899999999999997E-2</v>
      </c>
      <c r="Z131" s="67">
        <f t="shared" si="60"/>
        <v>23.3309</v>
      </c>
      <c r="AA131" s="67">
        <f t="shared" si="61"/>
        <v>23.283999999999999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62"/>
        <v>0219-12</v>
      </c>
      <c r="AE131" s="91" t="str">
        <f t="shared" si="63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31" s="88" t="str">
        <f t="shared" si="64"/>
        <v>"C:\Program Files (x86)\AstroGrep\AstroGrep.exe" /spath="%USERPROFILE%\AppData\Local\Temp\OnboardLogs" /stypes="app*4025*20161113*" /stext=" 02:.+((SYSTEM_STATE.+slice.+state.+changed )|(ment ac)|(system.+state.+changed )|(\[timeout)|(PRM\|1\|D)|(kpr)|(kdp)|(\|lc)|(penalty))" /e /r /s</v>
      </c>
      <c r="AG131" s="1" t="str">
        <f t="shared" si="65"/>
        <v>EC</v>
      </c>
      <c r="AH131" s="92" t="str">
        <f t="shared" si="49"/>
        <v>"%USERPROFILE%\Documents\GitHub\eaglep3\Utilities\RefineRTDCRunTimes.py" --tripid 219-12 --locoid 4025 --swversion DE.1.0.8.0 --startMP 204:469 --initTime 2016-11-12T18:23:37 --startdatetime 2016-11-12T18:30:48 --delay 1 --endMP 204:233309 --enddatetime 2016-11-12T19:05:03 --enforcementcount 0 &gt;&gt;C:\Users\stu\Documents\GitHub\eaglep3-reporting\EC\2016-11-12-refined-times.txt</v>
      </c>
      <c r="AI131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{"issue":{"subject":"","project_id":79,"tracker_id":40,"status_id":1,"priority_id":2,"assigned_to_id":23,"start_date":"2016-11-12","description":"","custom_fields":[{"id":1,"name":"Subdivision","value":"EC"},{"id":4,"name":"Milepost","value":"23.3309"},{"id":17,"name":"Train ID","value":"219-12"},{"id":16,"name":"Locomotive ID","value":"4025"},{"id":130,"name":"Impact","value":""},{"id":150,"name":"Time of Event (Mountain Time)","value":"19:05:03"},{"id":151,"name":"Denver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s="21" customFormat="1" x14ac:dyDescent="0.25">
      <c r="A132" s="37" t="s">
        <v>592</v>
      </c>
      <c r="B132" s="7">
        <v>4026</v>
      </c>
      <c r="C132" s="22" t="s">
        <v>225</v>
      </c>
      <c r="D132" s="22" t="s">
        <v>265</v>
      </c>
      <c r="E132" s="13">
        <v>42686.806585648148</v>
      </c>
      <c r="F132" s="13">
        <v>42686.81009259259</v>
      </c>
      <c r="G132" s="7">
        <v>1</v>
      </c>
      <c r="H132" s="22" t="s">
        <v>343</v>
      </c>
      <c r="I132" s="13">
        <v>42686.835543981484</v>
      </c>
      <c r="J132" s="7">
        <v>0</v>
      </c>
      <c r="K132" s="109" t="str">
        <f t="shared" si="51"/>
        <v>4025/4026</v>
      </c>
      <c r="L132" s="22" t="str">
        <f>VLOOKUP(A132,'Trips&amp;Operators'!$C$1:$E$10000,3,FALSE)</f>
        <v>STAMBAUGH</v>
      </c>
      <c r="M132" s="6">
        <f t="shared" si="52"/>
        <v>2.5451388893998228E-2</v>
      </c>
      <c r="N132" s="7">
        <f t="shared" si="53"/>
        <v>36.650000007357448</v>
      </c>
      <c r="O132" s="7"/>
      <c r="P132" s="7"/>
      <c r="Q132" s="23"/>
      <c r="R132" s="23"/>
      <c r="S132" s="35">
        <f t="shared" si="54"/>
        <v>1</v>
      </c>
      <c r="T132" s="50" t="str">
        <f t="shared" si="55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18:21:29-700',mode:absolute,to:'2016-11-12 21:03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2" s="52" t="str">
        <f t="shared" si="57"/>
        <v>N</v>
      </c>
      <c r="X132" s="177">
        <f t="shared" si="58"/>
        <v>1</v>
      </c>
      <c r="Y132" s="67">
        <f t="shared" si="59"/>
        <v>23.297799999999999</v>
      </c>
      <c r="Z132" s="67">
        <f t="shared" si="60"/>
        <v>1.38E-2</v>
      </c>
      <c r="AA132" s="67">
        <f t="shared" si="61"/>
        <v>23.283999999999999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62"/>
        <v>0220-12</v>
      </c>
      <c r="AE132" s="91" t="str">
        <f t="shared" si="63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32" s="88" t="str">
        <f t="shared" si="64"/>
        <v>"C:\Program Files (x86)\AstroGrep\AstroGrep.exe" /spath="%USERPROFILE%\AppData\Local\Temp\OnboardLogs" /stypes="app*4026*20161113*" /stext=" 03:.+((SYSTEM_STATE.+slice.+state.+changed )|(ment ac)|(system.+state.+changed )|(\[timeout)|(PRM\|1\|D)|(kpr)|(kdp)|(\|lc)|(penalty))" /e /r /s</v>
      </c>
      <c r="AG132" s="1" t="str">
        <f t="shared" si="65"/>
        <v>EC</v>
      </c>
      <c r="AH132" s="92" t="str">
        <f t="shared" si="49"/>
        <v>"%USERPROFILE%\Documents\GitHub\eaglep3\Utilities\RefineRTDCRunTimes.py" --tripid 220-12 --locoid 4026 --swversion DE.1.0.8.0 --startMP 204:232978 --initTime 2016-11-12T19:21:29 --startdatetime 2016-11-12T19:26:32 --delay 1 --endMP 204:138 --enddatetime 2016-11-12T20:03:11 --enforcementcount 0 &gt;&gt;C:\Users\stu\Documents\GitHub\eaglep3-reporting\EC\2016-11-12-refined-times.txt</v>
      </c>
      <c r="AI132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{"issue":{"subject":"","project_id":79,"tracker_id":40,"status_id":1,"priority_id":2,"assigned_to_id":23,"start_date":"2016-11-12","description":"","custom_fields":[{"id":1,"name":"Subdivision","value":"EC"},{"id":4,"name":"Milepost","value":"0.0138"},{"id":17,"name":"Train ID","value":"220-12"},{"id":16,"name":"Locomotive ID","value":"4026"},{"id":130,"name":"Impact","value":""},{"id":150,"name":"Time of Event (Mountain Time)","value":"20:03:11"},{"id":151,"name":"Denver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588</v>
      </c>
      <c r="B133" s="7">
        <v>4038</v>
      </c>
      <c r="C133" s="22" t="s">
        <v>225</v>
      </c>
      <c r="D133" s="22" t="s">
        <v>345</v>
      </c>
      <c r="E133" s="13">
        <v>42686.78570601852</v>
      </c>
      <c r="F133" s="13">
        <v>42686.79184027778</v>
      </c>
      <c r="G133" s="7">
        <v>1</v>
      </c>
      <c r="H133" s="22" t="s">
        <v>728</v>
      </c>
      <c r="I133" s="13">
        <v>42686.816307870373</v>
      </c>
      <c r="J133" s="7">
        <v>0</v>
      </c>
      <c r="K133" s="109" t="str">
        <f t="shared" si="51"/>
        <v>4037/4038</v>
      </c>
      <c r="L133" s="22" t="str">
        <f>VLOOKUP(A133,'Trips&amp;Operators'!$C$1:$E$10000,3,FALSE)</f>
        <v>LEVIN</v>
      </c>
      <c r="M133" s="6">
        <f t="shared" si="52"/>
        <v>2.4467592593282461E-2</v>
      </c>
      <c r="N133" s="7">
        <f t="shared" si="53"/>
        <v>35.233333334326744</v>
      </c>
      <c r="O133" s="7"/>
      <c r="P133" s="7"/>
      <c r="Q133" s="23"/>
      <c r="R133" s="23"/>
      <c r="S133" s="35">
        <f t="shared" si="54"/>
        <v>1</v>
      </c>
      <c r="T133" s="50" t="str">
        <f t="shared" si="55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17:51:25-700',mode:absolute,to:'2016-11-12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3" s="52" t="str">
        <f t="shared" si="57"/>
        <v>N</v>
      </c>
      <c r="X133" s="177">
        <f t="shared" si="58"/>
        <v>1</v>
      </c>
      <c r="Y133" s="67">
        <f t="shared" si="59"/>
        <v>4.6600000000000003E-2</v>
      </c>
      <c r="Z133" s="67">
        <f t="shared" si="60"/>
        <v>23.334399999999999</v>
      </c>
      <c r="AA133" s="67">
        <f t="shared" si="61"/>
        <v>23.287799999999997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62"/>
        <v>0221-12</v>
      </c>
      <c r="AE133" s="91" t="str">
        <f t="shared" si="63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33" s="88" t="str">
        <f t="shared" si="64"/>
        <v>"C:\Program Files (x86)\AstroGrep\AstroGrep.exe" /spath="%USERPROFILE%\AppData\Local\Temp\OnboardLogs" /stypes="app*4038*20161113*" /stext=" 02:.+((SYSTEM_STATE.+slice.+state.+changed )|(ment ac)|(system.+state.+changed )|(\[timeout)|(PRM\|1\|D)|(kpr)|(kdp)|(\|lc)|(penalty))" /e /r /s</v>
      </c>
      <c r="AG133" s="1" t="str">
        <f t="shared" si="65"/>
        <v>EC</v>
      </c>
      <c r="AH133" s="92" t="str">
        <f t="shared" si="49"/>
        <v>"%USERPROFILE%\Documents\GitHub\eaglep3\Utilities\RefineRTDCRunTimes.py" --tripid 221-12 --locoid 4038 --swversion DE.1.0.8.0 --startMP 204:466 --initTime 2016-11-12T18:51:25 --startdatetime 2016-11-12T19:00:15 --delay 1 --endMP 204:233344 --enddatetime 2016-11-12T19:35:29 --enforcementcount 0 &gt;&gt;C:\Users\stu\Documents\GitHub\eaglep3-reporting\EC\2016-11-12-refined-times.txt</v>
      </c>
      <c r="AI133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{"issue":{"subject":"","project_id":79,"tracker_id":40,"status_id":1,"priority_id":2,"assigned_to_id":23,"start_date":"2016-11-12","description":"","custom_fields":[{"id":1,"name":"Subdivision","value":"EC"},{"id":4,"name":"Milepost","value":"23.3344"},{"id":17,"name":"Train ID","value":"221-12"},{"id":16,"name":"Locomotive ID","value":"4038"},{"id":130,"name":"Impact","value":""},{"id":150,"name":"Time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596</v>
      </c>
      <c r="B134" s="7">
        <v>4037</v>
      </c>
      <c r="C134" s="22" t="s">
        <v>225</v>
      </c>
      <c r="D134" s="22" t="s">
        <v>399</v>
      </c>
      <c r="E134" s="13">
        <v>42686.826631944445</v>
      </c>
      <c r="F134" s="13">
        <v>42686.830729166664</v>
      </c>
      <c r="G134" s="7">
        <v>1</v>
      </c>
      <c r="H134" s="22" t="s">
        <v>254</v>
      </c>
      <c r="I134" s="13">
        <v>42686.856585648151</v>
      </c>
      <c r="J134" s="7">
        <v>0</v>
      </c>
      <c r="K134" s="109" t="str">
        <f t="shared" si="51"/>
        <v>4037/4038</v>
      </c>
      <c r="L134" s="22" t="str">
        <f>VLOOKUP(A134,'Trips&amp;Operators'!$C$1:$E$10000,3,FALSE)</f>
        <v>LEVIN</v>
      </c>
      <c r="M134" s="6">
        <f t="shared" si="52"/>
        <v>2.5856481486698613E-2</v>
      </c>
      <c r="N134" s="7">
        <f t="shared" si="53"/>
        <v>37.233333340846002</v>
      </c>
      <c r="O134" s="7"/>
      <c r="P134" s="7"/>
      <c r="Q134" s="23"/>
      <c r="R134" s="23"/>
      <c r="S134" s="35">
        <f t="shared" si="54"/>
        <v>1</v>
      </c>
      <c r="T134" s="50" t="str">
        <f t="shared" si="55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18:50:21-700',mode:absolute,to:'2016-11-12 21:33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4" s="52" t="str">
        <f t="shared" si="57"/>
        <v>N</v>
      </c>
      <c r="X134" s="177">
        <f t="shared" si="58"/>
        <v>1</v>
      </c>
      <c r="Y134" s="67">
        <f t="shared" si="59"/>
        <v>23.300999999999998</v>
      </c>
      <c r="Z134" s="67">
        <f t="shared" si="60"/>
        <v>1.3899999999999999E-2</v>
      </c>
      <c r="AA134" s="67">
        <f t="shared" si="61"/>
        <v>23.287099999999999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62"/>
        <v>0222-12</v>
      </c>
      <c r="AE134" s="91" t="str">
        <f t="shared" si="63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34" s="88" t="str">
        <f t="shared" si="64"/>
        <v>"C:\Program Files (x86)\AstroGrep\AstroGrep.exe" /spath="%USERPROFILE%\AppData\Local\Temp\OnboardLogs" /stypes="app*4037*20161113*" /stext=" 03:.+((SYSTEM_STATE.+slice.+state.+changed )|(ment ac)|(system.+state.+changed )|(\[timeout)|(PRM\|1\|D)|(kpr)|(kdp)|(\|lc)|(penalty))" /e /r /s</v>
      </c>
      <c r="AG134" s="1" t="str">
        <f t="shared" si="65"/>
        <v>EC</v>
      </c>
      <c r="AH134" s="92" t="str">
        <f t="shared" si="49"/>
        <v>"%USERPROFILE%\Documents\GitHub\eaglep3\Utilities\RefineRTDCRunTimes.py" --tripid 222-12 --locoid 4037 --swversion DE.1.0.8.0 --startMP 204:233010 --initTime 2016-11-12T19:50:21 --startdatetime 2016-11-12T19:56:15 --delay 1 --endMP 204:139 --enddatetime 2016-11-12T20:33:29 --enforcementcount 0 &gt;&gt;C:\Users\stu\Documents\GitHub\eaglep3-reporting\EC\2016-11-12-refined-times.txt</v>
      </c>
      <c r="AI134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ID","value":"222-12"},{"id":16,"name":"Locomotive ID","value":"4037"},{"id":130,"name":"Impact","value":""},{"id":150,"name":"Time of Event (Mountain Time)","value":"20:33:29"},{"id":151,"name":"Denver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593</v>
      </c>
      <c r="B135" s="7">
        <v>4011</v>
      </c>
      <c r="C135" s="22" t="s">
        <v>225</v>
      </c>
      <c r="D135" s="22" t="s">
        <v>345</v>
      </c>
      <c r="E135" s="13">
        <v>42686.807557870372</v>
      </c>
      <c r="F135" s="13">
        <v>42686.812928240739</v>
      </c>
      <c r="G135" s="7">
        <v>1</v>
      </c>
      <c r="H135" s="22" t="s">
        <v>341</v>
      </c>
      <c r="I135" s="13">
        <v>42686.836736111109</v>
      </c>
      <c r="J135" s="7">
        <v>0</v>
      </c>
      <c r="K135" s="109" t="str">
        <f t="shared" si="51"/>
        <v>4011/4012</v>
      </c>
      <c r="L135" s="22" t="str">
        <f>VLOOKUP(A135,'Trips&amp;Operators'!$C$1:$E$10000,3,FALSE)</f>
        <v>NEWELL</v>
      </c>
      <c r="M135" s="6">
        <f t="shared" si="52"/>
        <v>2.3807870369637385E-2</v>
      </c>
      <c r="N135" s="7">
        <f t="shared" si="53"/>
        <v>34.283333332277834</v>
      </c>
      <c r="O135" s="7"/>
      <c r="P135" s="7"/>
      <c r="Q135" s="23"/>
      <c r="R135" s="23"/>
      <c r="S135" s="35">
        <f t="shared" si="54"/>
        <v>1</v>
      </c>
      <c r="T135" s="50" t="str">
        <f t="shared" si="55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18:22:53-700',mode:absolute,to:'2016-11-12 21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5" s="52" t="str">
        <f t="shared" si="57"/>
        <v>N</v>
      </c>
      <c r="X135" s="177">
        <f t="shared" si="58"/>
        <v>1</v>
      </c>
      <c r="Y135" s="67">
        <f t="shared" si="59"/>
        <v>4.6600000000000003E-2</v>
      </c>
      <c r="Z135" s="67">
        <f t="shared" si="60"/>
        <v>23.331399999999999</v>
      </c>
      <c r="AA135" s="67">
        <f t="shared" si="61"/>
        <v>23.284799999999997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62"/>
        <v>0223-12</v>
      </c>
      <c r="AE135" s="91" t="str">
        <f t="shared" si="63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35" s="88" t="str">
        <f t="shared" si="64"/>
        <v>"C:\Program Files (x86)\AstroGrep\AstroGrep.exe" /spath="%USERPROFILE%\AppData\Local\Temp\OnboardLogs" /stypes="app*4011*20161113*" /stext=" 03:.+((SYSTEM_STATE.+slice.+state.+changed )|(ment ac)|(system.+state.+changed )|(\[timeout)|(PRM\|1\|D)|(kpr)|(kdp)|(\|lc)|(penalty))" /e /r /s</v>
      </c>
      <c r="AG135" s="1" t="str">
        <f t="shared" si="65"/>
        <v>EC</v>
      </c>
      <c r="AH135" s="92" t="str">
        <f t="shared" si="49"/>
        <v>"%USERPROFILE%\Documents\GitHub\eaglep3\Utilities\RefineRTDCRunTimes.py" --tripid 223-12 --locoid 4011 --swversion DE.1.0.8.0 --startMP 204:466 --initTime 2016-11-12T19:22:53 --startdatetime 2016-11-12T19:30:37 --delay 1 --endMP 204:233314 --enddatetime 2016-11-12T20:04:54 --enforcementcount 0 &gt;&gt;C:\Users\stu\Documents\GitHub\eaglep3-reporting\EC\2016-11-12-refined-times.txt</v>
      </c>
      <c r="AI135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{"issue":{"subject":"","project_id":79,"tracker_id":40,"status_id":1,"priority_id":2,"assigned_to_id":23,"start_date":"2016-11-12","description":"","custom_fields":[{"id":1,"name":"Subdivision","value":"EC"},{"id":4,"name":"Milepost","value":"23.3314"},{"id":17,"name":"Train ID","value":"223-12"},{"id":16,"name":"Locomotive ID","value":"4011"},{"id":130,"name":"Impact","value":""},{"id":150,"name":"Time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441</v>
      </c>
      <c r="B136" s="7">
        <v>4012</v>
      </c>
      <c r="C136" s="22" t="s">
        <v>225</v>
      </c>
      <c r="D136" s="22" t="s">
        <v>392</v>
      </c>
      <c r="E136" s="13">
        <v>42686.837997685187</v>
      </c>
      <c r="F136" s="13">
        <v>42686.851550925923</v>
      </c>
      <c r="G136" s="7">
        <v>0</v>
      </c>
      <c r="H136" s="22" t="s">
        <v>198</v>
      </c>
      <c r="I136" s="13">
        <v>42686.877615740741</v>
      </c>
      <c r="J136" s="7">
        <v>0</v>
      </c>
      <c r="K136" s="109" t="str">
        <f t="shared" si="51"/>
        <v>4011/4012</v>
      </c>
      <c r="L136" s="22" t="str">
        <f>VLOOKUP(A136,'Trips&amp;Operators'!$C$1:$E$10000,3,FALSE)</f>
        <v>NEWELL</v>
      </c>
      <c r="M136" s="6">
        <f t="shared" si="52"/>
        <v>2.6064814817800652E-2</v>
      </c>
      <c r="N136" s="7">
        <f t="shared" si="53"/>
        <v>37.533333337632939</v>
      </c>
      <c r="O136" s="7"/>
      <c r="P136" s="7"/>
      <c r="Q136" s="23"/>
      <c r="R136" s="23"/>
      <c r="S136" s="35">
        <f t="shared" si="54"/>
        <v>1</v>
      </c>
      <c r="T136" s="50" t="str">
        <f t="shared" si="55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19:06:43-700',mode:absolute,to:'2016-11-12 22:03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6" s="52" t="str">
        <f t="shared" si="57"/>
        <v>N</v>
      </c>
      <c r="X136" s="177">
        <f t="shared" si="58"/>
        <v>1</v>
      </c>
      <c r="Y136" s="67">
        <f t="shared" si="59"/>
        <v>23.298400000000001</v>
      </c>
      <c r="Z136" s="67">
        <f t="shared" si="60"/>
        <v>1.49E-2</v>
      </c>
      <c r="AA136" s="67">
        <f t="shared" si="61"/>
        <v>23.2835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62"/>
        <v>0224-12</v>
      </c>
      <c r="AE136" s="91" t="str">
        <f t="shared" si="63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36" s="88" t="str">
        <f t="shared" si="64"/>
        <v>"C:\Program Files (x86)\AstroGrep\AstroGrep.exe" /spath="%USERPROFILE%\AppData\Local\Temp\OnboardLogs" /stypes="app*4012*20161113*" /stext=" 04:.+((SYSTEM_STATE.+slice.+state.+changed )|(ment ac)|(system.+state.+changed )|(\[timeout)|(PRM\|1\|D)|(kpr)|(kdp)|(\|lc)|(penalty))" /e /r /s</v>
      </c>
      <c r="AG136" s="1" t="str">
        <f t="shared" si="65"/>
        <v>EC</v>
      </c>
      <c r="AH136" s="92" t="str">
        <f t="shared" si="49"/>
        <v>"%USERPROFILE%\Documents\GitHub\eaglep3\Utilities\RefineRTDCRunTimes.py" --tripid 224-12 --locoid 4012 --swversion DE.1.0.8.0 --startMP 204:232984 --initTime 2016-11-12T20:06:43 --startdatetime 2016-11-12T20:26:14 --delay 0 --endMP 204:149 --enddatetime 2016-11-12T21:03:46 --enforcementcount 0 &gt;&gt;C:\Users\stu\Documents\GitHub\eaglep3-reporting\EC\2016-11-12-refined-times.txt</v>
      </c>
      <c r="AI136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{"issue":{"subject":"","project_id":79,"tracker_id":40,"status_id":1,"priority_id":2,"assigned_to_id":23,"start_date":"2016-11-12","description":"","custom_fields":[{"id":1,"name":"Subdivision","value":"EC"},{"id":4,"name":"Milepost","value":"0.0149"},{"id":17,"name":"Train ID","value":"224-12"},{"id":16,"name":"Locomotive ID","value":"4012"},{"id":130,"name":"Impact","value":""},{"id":150,"name":"Time of Event (Mountain Time)","value":"21:03:46"},{"id":151,"name":"Denver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597</v>
      </c>
      <c r="B137" s="7">
        <v>4053</v>
      </c>
      <c r="C137" s="22" t="s">
        <v>225</v>
      </c>
      <c r="D137" s="22" t="s">
        <v>200</v>
      </c>
      <c r="E137" s="13">
        <v>42686.833171296297</v>
      </c>
      <c r="F137" s="13">
        <v>42686.834247685183</v>
      </c>
      <c r="G137" s="7">
        <v>1</v>
      </c>
      <c r="H137" s="22" t="s">
        <v>344</v>
      </c>
      <c r="I137" s="13">
        <v>42686.858981481484</v>
      </c>
      <c r="J137" s="7">
        <v>0</v>
      </c>
      <c r="K137" s="109" t="str">
        <f t="shared" si="51"/>
        <v>4053/4054</v>
      </c>
      <c r="L137" s="22" t="str">
        <f>VLOOKUP(A137,'Trips&amp;Operators'!$C$1:$E$10000,3,FALSE)</f>
        <v>CHANDLER</v>
      </c>
      <c r="M137" s="6">
        <f t="shared" si="52"/>
        <v>2.4733796301006805E-2</v>
      </c>
      <c r="N137" s="7">
        <f t="shared" si="53"/>
        <v>35.616666673449799</v>
      </c>
      <c r="O137" s="7"/>
      <c r="P137" s="7"/>
      <c r="Q137" s="23"/>
      <c r="R137" s="23"/>
      <c r="S137" s="35">
        <f t="shared" si="54"/>
        <v>1</v>
      </c>
      <c r="T137" s="50" t="str">
        <f t="shared" si="55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18:59:46-700',mode:absolute,to:'2016-11-12 21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7" s="52" t="str">
        <f t="shared" si="57"/>
        <v>N</v>
      </c>
      <c r="X137" s="177">
        <f t="shared" si="58"/>
        <v>1</v>
      </c>
      <c r="Y137" s="67">
        <f t="shared" si="59"/>
        <v>4.4699999999999997E-2</v>
      </c>
      <c r="Z137" s="67">
        <f t="shared" si="60"/>
        <v>23.3291</v>
      </c>
      <c r="AA137" s="67">
        <f t="shared" si="61"/>
        <v>23.284400000000002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62"/>
        <v>0225-12</v>
      </c>
      <c r="AE137" s="91" t="str">
        <f t="shared" si="63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37" s="88" t="str">
        <f t="shared" si="64"/>
        <v>"C:\Program Files (x86)\AstroGrep\AstroGrep.exe" /spath="%USERPROFILE%\AppData\Local\Temp\OnboardLogs" /stypes="app*4053*20161113*" /stext=" 03:.+((SYSTEM_STATE.+slice.+state.+changed )|(ment ac)|(system.+state.+changed )|(\[timeout)|(PRM\|1\|D)|(kpr)|(kdp)|(\|lc)|(penalty))" /e /r /s</v>
      </c>
      <c r="AG137" s="1" t="str">
        <f t="shared" si="65"/>
        <v>EC</v>
      </c>
      <c r="AH137" s="92" t="str">
        <f t="shared" si="49"/>
        <v>"%USERPROFILE%\Documents\GitHub\eaglep3\Utilities\RefineRTDCRunTimes.py" --tripid 225-12 --locoid 4053 --swversion DE.1.0.8.0 --startMP 204:447 --initTime 2016-11-12T19:59:46 --startdatetime 2016-11-12T20:01:19 --delay 1 --endMP 204:233291 --enddatetime 2016-11-12T20:36:56 --enforcementcount 0 &gt;&gt;C:\Users\stu\Documents\GitHub\eaglep3-reporting\EC\2016-11-12-refined-times.txt</v>
      </c>
      <c r="AI137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ID","value":"225-12"},{"id":16,"name":"Locomotive ID","value":"4053"},{"id":130,"name":"Impact","value":""},{"id":150,"name":"Time of Event (Mountain Time)","value":"20:36:56"},{"id":151,"name":"Denver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600</v>
      </c>
      <c r="B138" s="7">
        <v>4054</v>
      </c>
      <c r="C138" s="22" t="s">
        <v>225</v>
      </c>
      <c r="D138" s="22" t="s">
        <v>277</v>
      </c>
      <c r="E138" s="13">
        <v>42686.867951388886</v>
      </c>
      <c r="F138" s="13">
        <v>42686.87263888889</v>
      </c>
      <c r="G138" s="7">
        <v>1</v>
      </c>
      <c r="H138" s="22" t="s">
        <v>254</v>
      </c>
      <c r="I138" s="13">
        <v>42686.899768518517</v>
      </c>
      <c r="J138" s="7">
        <v>0</v>
      </c>
      <c r="K138" s="109" t="str">
        <f t="shared" si="51"/>
        <v>4053/4054</v>
      </c>
      <c r="L138" s="22" t="str">
        <f>VLOOKUP(A138,'Trips&amp;Operators'!$C$1:$E$10000,3,FALSE)</f>
        <v>CHANDLER</v>
      </c>
      <c r="M138" s="6">
        <f t="shared" si="52"/>
        <v>2.7129629626870155E-2</v>
      </c>
      <c r="N138" s="7">
        <f t="shared" si="53"/>
        <v>39.066666662693024</v>
      </c>
      <c r="O138" s="7"/>
      <c r="P138" s="7"/>
      <c r="Q138" s="23"/>
      <c r="R138" s="23"/>
      <c r="S138" s="35">
        <f t="shared" si="54"/>
        <v>1</v>
      </c>
      <c r="T138" s="50" t="str">
        <f t="shared" si="55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https://search-rtdc-monitor-bjffxe2xuh6vdkpspy63sjmuny.us-east-1.es.amazonaws.com/_plugin/kibana/#/discover/Steve-Slow-Train-Analysis-(2080s-and-2083s)?_g=(refreshInterval:(display:Off,section:0,value:0),time:(from:'2016-11-12 19:49:51-700',mode:absolute,to:'2016-11-12 22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8" s="52" t="str">
        <f t="shared" si="57"/>
        <v>N</v>
      </c>
      <c r="X138" s="177">
        <f t="shared" si="58"/>
        <v>1</v>
      </c>
      <c r="Y138" s="67">
        <f t="shared" si="59"/>
        <v>23.298100000000002</v>
      </c>
      <c r="Z138" s="67">
        <f t="shared" si="60"/>
        <v>1.3899999999999999E-2</v>
      </c>
      <c r="AA138" s="67">
        <f t="shared" si="61"/>
        <v>23.284200000000002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62"/>
        <v>0226-12</v>
      </c>
      <c r="AE138" s="91" t="str">
        <f t="shared" si="63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38" s="88" t="str">
        <f t="shared" si="64"/>
        <v>"C:\Program Files (x86)\AstroGrep\AstroGrep.exe" /spath="%USERPROFILE%\AppData\Local\Temp\OnboardLogs" /stypes="app*4054*20161113*" /stext=" 04:.+((SYSTEM_STATE.+slice.+state.+changed )|(ment ac)|(system.+state.+changed )|(\[timeout)|(PRM\|1\|D)|(kpr)|(kdp)|(\|lc)|(penalty))" /e /r /s</v>
      </c>
      <c r="AG138" s="1" t="str">
        <f t="shared" si="65"/>
        <v>EC</v>
      </c>
      <c r="AH138" s="92" t="str">
        <f t="shared" si="49"/>
        <v>"%USERPROFILE%\Documents\GitHub\eaglep3\Utilities\RefineRTDCRunTimes.py" --tripid 226-12 --locoid 4054 --swversion DE.1.0.8.0 --startMP 204:232981 --initTime 2016-11-12T20:49:51 --startdatetime 2016-11-12T20:56:36 --delay 1 --endMP 204:139 --enddatetime 2016-11-12T21:35:40 --enforcementcount 0 &gt;&gt;C:\Users\stu\Documents\GitHub\eaglep3-reporting\EC\2016-11-12-refined-times.txt</v>
      </c>
      <c r="AI138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{"issue":{"subject":"","project_id":79,"tracker_id":40,"status_id":1,"priority_id":2,"assigned_to_id":23,"start_date":"2016-11-12","description":"","custom_fields":[{"id":1,"name":"Subdivision","value":"EC"},{"id":4,"name":"Milepost","value":"0.0139"},{"id":17,"name":"Train ID","value":"226-12"},{"id":16,"name":"Locomotive ID","value":"4054"},{"id":130,"name":"Impact","value":""},{"id":150,"name":"Time of Event (Mountain Time)","value":"21:35:40"},{"id":151,"name":"Denver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598</v>
      </c>
      <c r="B139" s="7">
        <v>4025</v>
      </c>
      <c r="C139" s="22" t="s">
        <v>225</v>
      </c>
      <c r="D139" s="22" t="s">
        <v>202</v>
      </c>
      <c r="E139" s="13">
        <v>42686.836678240739</v>
      </c>
      <c r="F139" s="13">
        <v>42686.854641203703</v>
      </c>
      <c r="G139" s="7">
        <v>1</v>
      </c>
      <c r="H139" s="22" t="s">
        <v>344</v>
      </c>
      <c r="I139" s="13">
        <v>42686.878460648149</v>
      </c>
      <c r="J139" s="7">
        <v>0</v>
      </c>
      <c r="K139" s="109" t="str">
        <f t="shared" ref="K139:K168" si="66">IF(ISEVEN(B139),(B139-1)&amp;"/"&amp;B139,B139&amp;"/"&amp;(B139+1))</f>
        <v>4025/4026</v>
      </c>
      <c r="L139" s="22" t="str">
        <f>VLOOKUP(A139,'Trips&amp;Operators'!$C$1:$E$10000,3,FALSE)</f>
        <v>STAMBAUGH</v>
      </c>
      <c r="M139" s="6">
        <f t="shared" ref="M139:M168" si="67">I139-F139</f>
        <v>2.3819444446417037E-2</v>
      </c>
      <c r="N139" s="7">
        <f t="shared" ref="N139:N168" si="68">24*60*SUM($M139:$M139)</f>
        <v>34.300000002840534</v>
      </c>
      <c r="O139" s="7"/>
      <c r="P139" s="7"/>
      <c r="Q139" s="23"/>
      <c r="R139" s="23"/>
      <c r="S139" s="35">
        <f t="shared" ref="S139:S168" si="69">SUM(U139:U139)/IF(AG139="EC",12,1)</f>
        <v>1</v>
      </c>
      <c r="T139" s="50" t="str">
        <f t="shared" ref="T139:T168" si="70"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ref="V139:V168" si="71"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https://search-rtdc-monitor-bjffxe2xuh6vdkpspy63sjmuny.us-east-1.es.amazonaws.com/_plugin/kibana/#/discover/Steve-Slow-Train-Analysis-(2080s-and-2083s)?_g=(refreshInterval:(display:Off,section:0,value:0),time:(from:'2016-11-12 19:04:49-700',mode:absolute,to:'2016-11-12 22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9" s="52" t="str">
        <f t="shared" ref="W139:W168" si="72">IF(AA139&lt;IF(AG139="EC",23,5.65),"Y","N")</f>
        <v>N</v>
      </c>
      <c r="X139" s="177">
        <f t="shared" ref="X139:X168" si="73">VALUE(LEFT(AD139,4))-VALUE(LEFT(AD138,4))</f>
        <v>1</v>
      </c>
      <c r="Y139" s="67">
        <f t="shared" ref="Y139:Y168" si="74">RIGHT(D139,LEN(D139)-4)/10000</f>
        <v>4.5499999999999999E-2</v>
      </c>
      <c r="Z139" s="67">
        <f t="shared" ref="Z139:Z168" si="75">RIGHT(H139,LEN(H139)-4)/10000</f>
        <v>23.3291</v>
      </c>
      <c r="AA139" s="67">
        <f t="shared" ref="AA139:AA168" si="76">ABS(Z139-Y139)</f>
        <v>23.2836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ref="AD139:AD168" si="77">IF(LEN(A139)=6,"0"&amp;A139,A139)</f>
        <v>0227-12</v>
      </c>
      <c r="AE139" s="91" t="str">
        <f t="shared" ref="AE139:AE168" si="78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39" s="88" t="str">
        <f t="shared" ref="AF139:AF168" si="79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/stypes="app*4025*20161113*" /stext=" 04:.+((SYSTEM_STATE.+slice.+state.+changed )|(ment ac)|(system.+state.+changed )|(\[timeout)|(PRM\|1\|D)|(kpr)|(kdp)|(\|lc)|(penalty))" /e /r /s</v>
      </c>
      <c r="AG139" s="1" t="str">
        <f t="shared" ref="AG139:AG168" si="80">IFERROR(IF(VALUE(LEFT(AD139,2))&lt;=2,"EC",IF(OR(VALUE(LEFT(AD139,2))=8,VALUE(LEFT(AD139,2))=18),"NW","Other")),"Other")</f>
        <v>EC</v>
      </c>
      <c r="AH139" s="92" t="str">
        <f t="shared" si="49"/>
        <v>"%USERPROFILE%\Documents\GitHub\eaglep3\Utilities\RefineRTDCRunTimes.py" --tripid 227-12 --locoid 4025 --swversion DE.1.0.8.0 --startMP 204:455 --initTime 2016-11-12T20:04:49 --startdatetime 2016-11-12T20:30:41 --delay 1 --endMP 204:233291 --enddatetime 2016-11-12T21:04:59 --enforcementcount 0 &gt;&gt;C:\Users\stu\Documents\GitHub\eaglep3-reporting\EC\2016-11-12-refined-times.txt</v>
      </c>
      <c r="AI139" s="119" t="str">
        <f t="shared" si="50"/>
        <v>echo {"issue":{"subject":"","project_id":79,"tracker_id":40,"status_id":1,"priority_id":2,"assigned_to_id":23,"start_date":"2016-11-12","description":"","custom_fields":[{"id":1,"name":"Subdivision","value":"EC"},{"id":4,"name":"Milepost","value":"23.3291"},{"id":17,"name":"Train ID","value":"227-12"},{"id":16,"name":"Locomotive ID","value":"4025"},{"id":130,"name":"Impact","value":""},{"id":150,"name":"Time of Event (Mountain Time)","value":"21:04:59"},{"id":151,"name":"Denver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604</v>
      </c>
      <c r="B140" s="7">
        <v>4026</v>
      </c>
      <c r="C140" s="22" t="s">
        <v>225</v>
      </c>
      <c r="D140" s="22" t="s">
        <v>646</v>
      </c>
      <c r="E140" s="13">
        <v>42686.889965277776</v>
      </c>
      <c r="F140" s="13">
        <v>42686.893321759257</v>
      </c>
      <c r="G140" s="7">
        <v>0</v>
      </c>
      <c r="H140" s="22" t="s">
        <v>343</v>
      </c>
      <c r="I140" s="13">
        <v>42686.918773148151</v>
      </c>
      <c r="J140" s="7">
        <v>0</v>
      </c>
      <c r="K140" s="109" t="str">
        <f t="shared" si="66"/>
        <v>4025/4026</v>
      </c>
      <c r="L140" s="22" t="str">
        <f>VLOOKUP(A140,'Trips&amp;Operators'!$C$1:$E$10000,3,FALSE)</f>
        <v>STAMBAUGH</v>
      </c>
      <c r="M140" s="6">
        <f t="shared" si="67"/>
        <v>2.5451388893998228E-2</v>
      </c>
      <c r="N140" s="7">
        <f t="shared" si="68"/>
        <v>36.650000007357448</v>
      </c>
      <c r="O140" s="7"/>
      <c r="P140" s="7"/>
      <c r="Q140" s="23"/>
      <c r="R140" s="23"/>
      <c r="S140" s="35">
        <f t="shared" si="69"/>
        <v>1</v>
      </c>
      <c r="T140" s="50" t="str">
        <f t="shared" si="7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20:21:33-700',mode:absolute,to:'2016-11-12 23:03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0" s="52" t="str">
        <f t="shared" si="72"/>
        <v>N</v>
      </c>
      <c r="X140" s="177">
        <f t="shared" si="73"/>
        <v>1</v>
      </c>
      <c r="Y140" s="67">
        <f t="shared" si="74"/>
        <v>23.296700000000001</v>
      </c>
      <c r="Z140" s="67">
        <f t="shared" si="75"/>
        <v>1.38E-2</v>
      </c>
      <c r="AA140" s="67">
        <f t="shared" si="76"/>
        <v>23.282900000000001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77"/>
        <v>0228-12</v>
      </c>
      <c r="AE140" s="91" t="str">
        <f t="shared" si="78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40" s="88" t="str">
        <f t="shared" si="79"/>
        <v>"C:\Program Files (x86)\AstroGrep\AstroGrep.exe" /spath="%USERPROFILE%\AppData\Local\Temp\OnboardLogs" /stypes="app*4026*20161113*" /stext=" 05:.+((SYSTEM_STATE.+slice.+state.+changed )|(ment ac)|(system.+state.+changed )|(\[timeout)|(PRM\|1\|D)|(kpr)|(kdp)|(\|lc)|(penalty))" /e /r /s</v>
      </c>
      <c r="AG140" s="1" t="str">
        <f t="shared" si="80"/>
        <v>EC</v>
      </c>
      <c r="AH140" s="92" t="str">
        <f t="shared" ref="AH140:AH202" si="8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228-12 --locoid 4026 --swversion DE.1.0.8.0 --startMP 204:232967 --initTime 2016-11-12T21:21:33 --startdatetime 2016-11-12T21:26:23 --delay 0 --endMP 204:138 --enddatetime 2016-11-12T22:03:02 --enforcementcount 0 &gt;&gt;C:\Users\stu\Documents\GitHub\eaglep3-reporting\EC\2016-11-12-refined-times.txt</v>
      </c>
      <c r="AI140" s="119" t="str">
        <f t="shared" ref="AI140:AI202" si="8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{"issue":{"subject":"","project_id":79,"tracker_id":40,"status_id":1,"priority_id":2,"assigned_to_id":23,"start_date":"2016-11-12","description":"","custom_fields":[{"id":1,"name":"Subdivision","value":"EC"},{"id":4,"name":"Milepost","value":"0.0138"},{"id":17,"name":"Train ID","value":"228-12"},{"id":16,"name":"Locomotive ID","value":"4026"},{"id":130,"name":"Impact","value":""},{"id":150,"name":"Time of Event (Mountain Time)","value":"22:03:02"},{"id":151,"name":"Denver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601</v>
      </c>
      <c r="B141" s="7">
        <v>4038</v>
      </c>
      <c r="C141" s="22" t="s">
        <v>225</v>
      </c>
      <c r="D141" s="22" t="s">
        <v>351</v>
      </c>
      <c r="E141" s="13">
        <v>42686.868668981479</v>
      </c>
      <c r="F141" s="13">
        <v>42686.875185185185</v>
      </c>
      <c r="G141" s="7">
        <v>2</v>
      </c>
      <c r="H141" s="22" t="s">
        <v>729</v>
      </c>
      <c r="I141" s="13">
        <v>42686.899687500001</v>
      </c>
      <c r="J141" s="7">
        <v>0</v>
      </c>
      <c r="K141" s="109" t="str">
        <f t="shared" si="66"/>
        <v>4037/4038</v>
      </c>
      <c r="L141" s="22" t="str">
        <f>VLOOKUP(A141,'Trips&amp;Operators'!$C$1:$E$10000,3,FALSE)</f>
        <v>LEVIN</v>
      </c>
      <c r="M141" s="6">
        <f t="shared" si="67"/>
        <v>2.4502314816345461E-2</v>
      </c>
      <c r="N141" s="7">
        <f t="shared" si="68"/>
        <v>35.283333335537463</v>
      </c>
      <c r="O141" s="7"/>
      <c r="P141" s="7"/>
      <c r="Q141" s="23"/>
      <c r="R141" s="23"/>
      <c r="S141" s="35">
        <f t="shared" si="69"/>
        <v>1</v>
      </c>
      <c r="T141" s="50" t="str">
        <f t="shared" si="70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19:50:53-700',mode:absolute,to:'2016-11-12 22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1" s="52" t="str">
        <f t="shared" si="72"/>
        <v>N</v>
      </c>
      <c r="X141" s="177">
        <f t="shared" si="73"/>
        <v>1</v>
      </c>
      <c r="Y141" s="67">
        <f t="shared" si="74"/>
        <v>4.4900000000000002E-2</v>
      </c>
      <c r="Z141" s="67">
        <f t="shared" si="75"/>
        <v>23.335100000000001</v>
      </c>
      <c r="AA141" s="67">
        <f t="shared" si="76"/>
        <v>23.290200000000002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si="77"/>
        <v>0229-12</v>
      </c>
      <c r="AE141" s="91" t="str">
        <f t="shared" si="78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41" s="88" t="str">
        <f t="shared" si="79"/>
        <v>"C:\Program Files (x86)\AstroGrep\AstroGrep.exe" /spath="%USERPROFILE%\AppData\Local\Temp\OnboardLogs" /stypes="app*4038*20161113*" /stext=" 04:.+((SYSTEM_STATE.+slice.+state.+changed )|(ment ac)|(system.+state.+changed )|(\[timeout)|(PRM\|1\|D)|(kpr)|(kdp)|(\|lc)|(penalty))" /e /r /s</v>
      </c>
      <c r="AG141" s="1" t="str">
        <f t="shared" si="80"/>
        <v>EC</v>
      </c>
      <c r="AH141" s="92" t="str">
        <f t="shared" si="81"/>
        <v>"%USERPROFILE%\Documents\GitHub\eaglep3\Utilities\RefineRTDCRunTimes.py" --tripid 229-12 --locoid 4038 --swversion DE.1.0.8.0 --startMP 204:449 --initTime 2016-11-12T20:50:53 --startdatetime 2016-11-12T21:00:16 --delay 2 --endMP 204:233351 --enddatetime 2016-11-12T21:35:33 --enforcementcount 0 &gt;&gt;C:\Users\stu\Documents\GitHub\eaglep3-reporting\EC\2016-11-12-refined-times.txt</v>
      </c>
      <c r="AI141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{"issue":{"subject":"","project_id":79,"tracker_id":40,"status_id":1,"priority_id":2,"assigned_to_id":23,"start_date":"2016-11-12","description":"","custom_fields":[{"id":1,"name":"Subdivision","value":"EC"},{"id":4,"name":"Milepost","value":"23.3351"},{"id":17,"name":"Train ID","value":"229-12"},{"id":16,"name":"Locomotive ID","value":"4038"},{"id":130,"name":"Impact","value":""},{"id":150,"name":"Time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605</v>
      </c>
      <c r="B142" s="7">
        <v>4037</v>
      </c>
      <c r="C142" s="22" t="s">
        <v>225</v>
      </c>
      <c r="D142" s="22" t="s">
        <v>711</v>
      </c>
      <c r="E142" s="13">
        <v>42686.912048611113</v>
      </c>
      <c r="F142" s="13">
        <v>42686.914085648146</v>
      </c>
      <c r="G142" s="7">
        <v>1</v>
      </c>
      <c r="H142" s="22" t="s">
        <v>353</v>
      </c>
      <c r="I142" s="13">
        <v>42686.939560185187</v>
      </c>
      <c r="J142" s="7">
        <v>0</v>
      </c>
      <c r="K142" s="109" t="str">
        <f t="shared" si="66"/>
        <v>4037/4038</v>
      </c>
      <c r="L142" s="22" t="str">
        <f>VLOOKUP(A142,'Trips&amp;Operators'!$C$1:$E$10000,3,FALSE)</f>
        <v>LEVIN</v>
      </c>
      <c r="M142" s="6">
        <f t="shared" si="67"/>
        <v>2.5474537040281575E-2</v>
      </c>
      <c r="N142" s="7">
        <f t="shared" si="68"/>
        <v>36.683333338005468</v>
      </c>
      <c r="O142" s="7"/>
      <c r="P142" s="7"/>
      <c r="Q142" s="23"/>
      <c r="R142" s="23"/>
      <c r="S142" s="35">
        <f t="shared" si="69"/>
        <v>1</v>
      </c>
      <c r="T142" s="50" t="str">
        <f t="shared" si="7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20:53:21-700',mode:absolute,to:'2016-11-12 23:32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2" s="52" t="str">
        <f t="shared" si="72"/>
        <v>N</v>
      </c>
      <c r="X142" s="177">
        <f t="shared" si="73"/>
        <v>1</v>
      </c>
      <c r="Y142" s="67">
        <f t="shared" si="74"/>
        <v>23.302099999999999</v>
      </c>
      <c r="Z142" s="67">
        <f t="shared" si="75"/>
        <v>1.41E-2</v>
      </c>
      <c r="AA142" s="67">
        <f t="shared" si="76"/>
        <v>23.288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77"/>
        <v>0230-12</v>
      </c>
      <c r="AE142" s="91" t="str">
        <f t="shared" si="78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42" s="88" t="str">
        <f t="shared" si="79"/>
        <v>"C:\Program Files (x86)\AstroGrep\AstroGrep.exe" /spath="%USERPROFILE%\AppData\Local\Temp\OnboardLogs" /stypes="app*4037*20161113*" /stext=" 05:.+((SYSTEM_STATE.+slice.+state.+changed )|(ment ac)|(system.+state.+changed )|(\[timeout)|(PRM\|1\|D)|(kpr)|(kdp)|(\|lc)|(penalty))" /e /r /s</v>
      </c>
      <c r="AG142" s="1" t="str">
        <f t="shared" si="80"/>
        <v>EC</v>
      </c>
      <c r="AH142" s="92" t="str">
        <f t="shared" si="81"/>
        <v>"%USERPROFILE%\Documents\GitHub\eaglep3\Utilities\RefineRTDCRunTimes.py" --tripid 230-12 --locoid 4037 --swversion DE.1.0.8.0 --startMP 204:233021 --initTime 2016-11-12T21:53:21 --startdatetime 2016-11-12T21:56:17 --delay 1 --endMP 204:141 --enddatetime 2016-11-12T22:32:58 --enforcementcount 0 &gt;&gt;C:\Users\stu\Documents\GitHub\eaglep3-reporting\EC\2016-11-12-refined-times.txt</v>
      </c>
      <c r="AI142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{"issue":{"subject":"","project_id":79,"tracker_id":40,"status_id":1,"priority_id":2,"assigned_to_id":23,"start_date":"2016-11-12","description":"","custom_fields":[{"id":1,"name":"Subdivision","value":"EC"},{"id":4,"name":"Milepost","value":"0.0141"},{"id":17,"name":"Train ID","value":"230-12"},{"id":16,"name":"Locomotive ID","value":"4037"},{"id":130,"name":"Impact","value":""},{"id":150,"name":"Time of Event (Mountain Time)","value":"22:32:58"},{"id":151,"name":"Denver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x14ac:dyDescent="0.25">
      <c r="A143" s="37" t="s">
        <v>602</v>
      </c>
      <c r="B143" s="7">
        <v>4011</v>
      </c>
      <c r="C143" s="22" t="s">
        <v>225</v>
      </c>
      <c r="D143" s="22" t="s">
        <v>730</v>
      </c>
      <c r="E143" s="13">
        <v>42686.879571759258</v>
      </c>
      <c r="F143" s="13">
        <v>42686.896006944444</v>
      </c>
      <c r="G143" s="7">
        <v>1</v>
      </c>
      <c r="H143" s="22" t="s">
        <v>294</v>
      </c>
      <c r="I143" s="13">
        <v>42686.920034722221</v>
      </c>
      <c r="J143" s="7">
        <v>0</v>
      </c>
      <c r="K143" s="109" t="str">
        <f t="shared" si="66"/>
        <v>4011/4012</v>
      </c>
      <c r="L143" s="22" t="str">
        <f>VLOOKUP(A143,'Trips&amp;Operators'!$C$1:$E$10000,3,FALSE)</f>
        <v>NEWELL</v>
      </c>
      <c r="M143" s="6">
        <f t="shared" si="67"/>
        <v>2.4027777777519077E-2</v>
      </c>
      <c r="N143" s="7">
        <f t="shared" si="68"/>
        <v>34.599999999627471</v>
      </c>
      <c r="O143" s="7"/>
      <c r="P143" s="7"/>
      <c r="Q143" s="23"/>
      <c r="R143" s="23"/>
      <c r="S143" s="35">
        <f t="shared" si="69"/>
        <v>1</v>
      </c>
      <c r="T143" s="50" t="str">
        <f t="shared" si="7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20:06:35-700',mode:absolute,to:'2016-11-12 23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3" s="52" t="str">
        <f t="shared" si="72"/>
        <v>N</v>
      </c>
      <c r="X143" s="177">
        <f t="shared" si="73"/>
        <v>1</v>
      </c>
      <c r="Y143" s="67">
        <f t="shared" si="74"/>
        <v>4.82E-2</v>
      </c>
      <c r="Z143" s="67">
        <f t="shared" si="75"/>
        <v>23.330300000000001</v>
      </c>
      <c r="AA143" s="67">
        <f t="shared" si="76"/>
        <v>23.2821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77"/>
        <v>0231-12</v>
      </c>
      <c r="AE143" s="91" t="str">
        <f t="shared" si="78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43" s="88" t="str">
        <f t="shared" si="79"/>
        <v>"C:\Program Files (x86)\AstroGrep\AstroGrep.exe" /spath="%USERPROFILE%\AppData\Local\Temp\OnboardLogs" /stypes="app*4011*20161113*" /stext=" 05:.+((SYSTEM_STATE.+slice.+state.+changed )|(ment ac)|(system.+state.+changed )|(\[timeout)|(PRM\|1\|D)|(kpr)|(kdp)|(\|lc)|(penalty))" /e /r /s</v>
      </c>
      <c r="AG143" s="1" t="str">
        <f t="shared" si="80"/>
        <v>EC</v>
      </c>
      <c r="AH143" s="92" t="str">
        <f t="shared" si="81"/>
        <v>"%USERPROFILE%\Documents\GitHub\eaglep3\Utilities\RefineRTDCRunTimes.py" --tripid 231-12 --locoid 4011 --swversion DE.1.0.8.0 --startMP 204:482 --initTime 2016-11-12T21:06:35 --startdatetime 2016-11-12T21:30:15 --delay 1 --endMP 204:233303 --enddatetime 2016-11-12T22:04:51 --enforcementcount 0 &gt;&gt;C:\Users\stu\Documents\GitHub\eaglep3-reporting\EC\2016-11-12-refined-times.txt</v>
      </c>
      <c r="AI143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{"issue":{"subject":"","project_id":79,"tracker_id":40,"status_id":1,"priority_id":2,"assigned_to_id":23,"start_date":"2016-11-12","description":"","custom_fields":[{"id":1,"name":"Subdivision","value":"EC"},{"id":4,"name":"Milepost","value":"23.3303"},{"id":17,"name":"Train ID","value":"231-12"},{"id":16,"name":"Locomotive ID","value":"4011"},{"id":130,"name":"Impact","value":""},{"id":150,"name":"Time of Event (Mountain Time)","value":"22:04:51"},{"id":151,"name":"Denver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608</v>
      </c>
      <c r="B144" s="7">
        <v>4012</v>
      </c>
      <c r="C144" s="22" t="s">
        <v>225</v>
      </c>
      <c r="D144" s="22" t="s">
        <v>239</v>
      </c>
      <c r="E144" s="13">
        <v>42686.922013888892</v>
      </c>
      <c r="F144" s="13">
        <v>42686.934953703705</v>
      </c>
      <c r="G144" s="7">
        <v>1</v>
      </c>
      <c r="H144" s="22" t="s">
        <v>175</v>
      </c>
      <c r="I144" s="13">
        <v>42686.960509259261</v>
      </c>
      <c r="J144" s="7">
        <v>0</v>
      </c>
      <c r="K144" s="109" t="str">
        <f t="shared" si="66"/>
        <v>4011/4012</v>
      </c>
      <c r="L144" s="22" t="str">
        <f>VLOOKUP(A144,'Trips&amp;Operators'!$C$1:$E$10000,3,FALSE)</f>
        <v>NEWELL</v>
      </c>
      <c r="M144" s="6">
        <f t="shared" si="67"/>
        <v>2.5555555555911269E-2</v>
      </c>
      <c r="N144" s="7">
        <f t="shared" si="68"/>
        <v>36.800000000512227</v>
      </c>
      <c r="O144" s="7"/>
      <c r="P144" s="7"/>
      <c r="Q144" s="23"/>
      <c r="R144" s="23"/>
      <c r="S144" s="35">
        <f t="shared" si="69"/>
        <v>1</v>
      </c>
      <c r="T144" s="50" t="str">
        <f t="shared" si="7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21:07:42-700',mode:absolute,to:'2016-11-13 00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4" s="52" t="str">
        <f t="shared" si="72"/>
        <v>N</v>
      </c>
      <c r="X144" s="177">
        <f t="shared" si="73"/>
        <v>1</v>
      </c>
      <c r="Y144" s="67">
        <f t="shared" si="74"/>
        <v>23.298200000000001</v>
      </c>
      <c r="Z144" s="67">
        <f t="shared" si="75"/>
        <v>1.47E-2</v>
      </c>
      <c r="AA144" s="67">
        <f t="shared" si="76"/>
        <v>23.2835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77"/>
        <v>0232-12</v>
      </c>
      <c r="AE144" s="91" t="str">
        <f t="shared" si="78"/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AF144" s="88" t="str">
        <f t="shared" si="79"/>
        <v>"C:\Program Files (x86)\AstroGrep\AstroGrep.exe" /spath="%USERPROFILE%\AppData\Local\Temp\OnboardLogs" /stypes="app*4012*20161113*" /stext=" 06:.+((SYSTEM_STATE.+slice.+state.+changed )|(ment ac)|(system.+state.+changed )|(\[timeout)|(PRM\|1\|D)|(kpr)|(kdp)|(\|lc)|(penalty))" /e /r /s</v>
      </c>
      <c r="AG144" s="1" t="str">
        <f t="shared" si="80"/>
        <v>EC</v>
      </c>
      <c r="AH144" s="92" t="str">
        <f t="shared" si="81"/>
        <v>"%USERPROFILE%\Documents\GitHub\eaglep3\Utilities\RefineRTDCRunTimes.py" --tripid 232-12 --locoid 4012 --swversion DE.1.0.8.0 --startMP 204:232982 --initTime 2016-11-12T22:07:42 --startdatetime 2016-11-12T22:26:20 --delay 1 --endMP 204:147 --enddatetime 2016-11-12T23:03:08 --enforcementcount 0 &gt;&gt;C:\Users\stu\Documents\GitHub\eaglep3-reporting\EC\2016-11-12-refined-times.txt</v>
      </c>
      <c r="AI144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{"issue":{"subject":"","project_id":79,"tracker_id":40,"status_id":1,"priority_id":2,"assigned_to_id":23,"start_date":"2016-11-12","description":"","custom_fields":[{"id":1,"name":"Subdivision","value":"EC"},{"id":4,"name":"Milepost","value":"0.0147"},{"id":17,"name":"Train ID","value":"232-12"},{"id":16,"name":"Locomotive ID","value":"4012"},{"id":130,"name":"Impact","value":""},{"id":150,"name":"Time of Event (Mountain Time)","value":"23:03:08"},{"id":151,"name":"Denver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606</v>
      </c>
      <c r="B145" s="7">
        <v>4053</v>
      </c>
      <c r="C145" s="22" t="s">
        <v>225</v>
      </c>
      <c r="D145" s="22" t="s">
        <v>201</v>
      </c>
      <c r="E145" s="13">
        <v>42686.913831018515</v>
      </c>
      <c r="F145" s="13">
        <v>42686.917002314818</v>
      </c>
      <c r="G145" s="7">
        <v>1</v>
      </c>
      <c r="H145" s="22" t="s">
        <v>246</v>
      </c>
      <c r="I145" s="13">
        <v>42686.941886574074</v>
      </c>
      <c r="J145" s="7">
        <v>0</v>
      </c>
      <c r="K145" s="109" t="str">
        <f t="shared" si="66"/>
        <v>4053/4054</v>
      </c>
      <c r="L145" s="22" t="str">
        <f>VLOOKUP(A145,'Trips&amp;Operators'!$C$1:$E$10000,3,FALSE)</f>
        <v>CHANDLER</v>
      </c>
      <c r="M145" s="6">
        <f t="shared" si="67"/>
        <v>2.488425925548654E-2</v>
      </c>
      <c r="N145" s="7">
        <f t="shared" si="68"/>
        <v>35.833333327900618</v>
      </c>
      <c r="O145" s="7"/>
      <c r="P145" s="7"/>
      <c r="Q145" s="23"/>
      <c r="R145" s="23"/>
      <c r="S145" s="35">
        <f t="shared" si="69"/>
        <v>1</v>
      </c>
      <c r="T145" s="50" t="str">
        <f t="shared" si="7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20:55:55-700',mode:absolute,to:'2016-11-12 23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5" s="52" t="str">
        <f t="shared" si="72"/>
        <v>N</v>
      </c>
      <c r="X145" s="177">
        <f t="shared" si="73"/>
        <v>1</v>
      </c>
      <c r="Y145" s="67">
        <f t="shared" si="74"/>
        <v>4.53E-2</v>
      </c>
      <c r="Z145" s="67">
        <f t="shared" si="75"/>
        <v>23.3306</v>
      </c>
      <c r="AA145" s="67">
        <f t="shared" si="76"/>
        <v>23.285299999999999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77"/>
        <v>0233-12</v>
      </c>
      <c r="AE145" s="91" t="str">
        <f t="shared" si="78"/>
        <v>aws s3 cp s3://rtdc.mdm.uploadarchive.raw/RTDC4053/ "%USERPROFILE%\AppData\Local\Temp\OnboardLogs"\RTDC4053\2016-11-12 --exclude "*" --recursive --include "*20161112*" &amp; "%USERPROFILE%\Documents\GitHub\mrs-test-scripts\Headless Mode &amp; Sideloading\WalkAndUnGZ.bat" "%USERPROFILE%\AppData\Local\Temp\OnboardLogs"\RTDC4053\2016-11-12 &amp; 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</v>
      </c>
      <c r="AF145" s="88" t="str">
        <f t="shared" si="79"/>
        <v>"C:\Program Files (x86)\AstroGrep\AstroGrep.exe" /spath="%USERPROFILE%\AppData\Local\Temp\OnboardLogs" /stypes="app*4053*20161113*" /stext=" 05:.+((SYSTEM_STATE.+slice.+state.+changed )|(ment ac)|(system.+state.+changed )|(\[timeout)|(PRM\|1\|D)|(kpr)|(kdp)|(\|lc)|(penalty))" /e /r /s</v>
      </c>
      <c r="AG145" s="1" t="str">
        <f t="shared" si="80"/>
        <v>EC</v>
      </c>
      <c r="AH145" s="92" t="str">
        <f t="shared" si="81"/>
        <v>"%USERPROFILE%\Documents\GitHub\eaglep3\Utilities\RefineRTDCRunTimes.py" --tripid 233-12 --locoid 4053 --swversion DE.1.0.8.0 --startMP 204:453 --initTime 2016-11-12T21:55:55 --startdatetime 2016-11-12T22:00:29 --delay 1 --endMP 204:233306 --enddatetime 2016-11-12T22:36:19 --enforcementcount 0 &gt;&gt;C:\Users\stu\Documents\GitHub\eaglep3-reporting\EC\2016-11-12-refined-times.txt</v>
      </c>
      <c r="AI145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{"issue":{"subject":"","project_id":79,"tracker_id":40,"status_id":1,"priority_id":2,"assigned_to_id":23,"start_date":"2016-11-12","description":"","custom_fields":[{"id":1,"name":"Subdivision","value":"EC"},{"id":4,"name":"Milepost","value":"23.3306"},{"id":17,"name":"Train ID","value":"233-12"},{"id":16,"name":"Locomotive ID","value":"4053"},{"id":130,"name":"Impact","value":""},{"id":150,"name":"Time of Event (Mountain Time)","value":"22:36:19"},{"id":151,"name":"Denver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612</v>
      </c>
      <c r="B146" s="7">
        <v>4054</v>
      </c>
      <c r="C146" s="22" t="s">
        <v>225</v>
      </c>
      <c r="D146" s="22" t="s">
        <v>404</v>
      </c>
      <c r="E146" s="13">
        <v>42686.951238425929</v>
      </c>
      <c r="F146" s="13">
        <v>42686.955879629626</v>
      </c>
      <c r="G146" s="7">
        <v>1</v>
      </c>
      <c r="H146" s="22" t="s">
        <v>269</v>
      </c>
      <c r="I146" s="13">
        <v>42686.983495370368</v>
      </c>
      <c r="J146" s="7">
        <v>0</v>
      </c>
      <c r="K146" s="109" t="str">
        <f t="shared" si="66"/>
        <v>4053/4054</v>
      </c>
      <c r="L146" s="22" t="str">
        <f>VLOOKUP(A146,'Trips&amp;Operators'!$C$1:$E$10000,3,FALSE)</f>
        <v>CHANDLER</v>
      </c>
      <c r="M146" s="6">
        <f t="shared" si="67"/>
        <v>2.7615740742476191E-2</v>
      </c>
      <c r="N146" s="7">
        <f t="shared" si="68"/>
        <v>39.766666669165716</v>
      </c>
      <c r="O146" s="7"/>
      <c r="P146" s="7"/>
      <c r="Q146" s="23"/>
      <c r="R146" s="23"/>
      <c r="S146" s="35">
        <f t="shared" si="69"/>
        <v>1</v>
      </c>
      <c r="T146" s="50" t="str">
        <f t="shared" si="7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21:49:47-700',mode:absolute,to:'2016-11-13 00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6" s="52" t="str">
        <f t="shared" si="72"/>
        <v>N</v>
      </c>
      <c r="X146" s="177">
        <f t="shared" si="73"/>
        <v>1</v>
      </c>
      <c r="Y146" s="67">
        <f t="shared" si="74"/>
        <v>23.300599999999999</v>
      </c>
      <c r="Z146" s="67">
        <f t="shared" si="75"/>
        <v>1.6500000000000001E-2</v>
      </c>
      <c r="AA146" s="67">
        <f t="shared" si="76"/>
        <v>23.284099999999999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77"/>
        <v>0234-12</v>
      </c>
      <c r="AE146" s="91" t="str">
        <f t="shared" si="78"/>
        <v>aws s3 cp s3://rtdc.mdm.uploadarchive.raw/RTDC4054/ "%USERPROFILE%\AppData\Local\Temp\OnboardLogs"\RTDC4054\2016-11-12 --exclude "*" --recursive --include "*20161112*" &amp; "%USERPROFILE%\Documents\GitHub\mrs-test-scripts\Headless Mode &amp; Sideloading\WalkAndUnGZ.bat" "%USERPROFILE%\AppData\Local\Temp\OnboardLogs"\RTDC4054\2016-11-12 &amp; 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</v>
      </c>
      <c r="AF146" s="88" t="str">
        <f t="shared" si="79"/>
        <v>"C:\Program Files (x86)\AstroGrep\AstroGrep.exe" /spath="%USERPROFILE%\AppData\Local\Temp\OnboardLogs" /stypes="app*4054*20161113*" /stext=" 06:.+((SYSTEM_STATE.+slice.+state.+changed )|(ment ac)|(system.+state.+changed )|(\[timeout)|(PRM\|1\|D)|(kpr)|(kdp)|(\|lc)|(penalty))" /e /r /s</v>
      </c>
      <c r="AG146" s="1" t="str">
        <f t="shared" si="80"/>
        <v>EC</v>
      </c>
      <c r="AH146" s="92" t="str">
        <f t="shared" si="81"/>
        <v>"%USERPROFILE%\Documents\GitHub\eaglep3\Utilities\RefineRTDCRunTimes.py" --tripid 234-12 --locoid 4054 --swversion DE.1.0.8.0 --startMP 204:233006 --initTime 2016-11-12T22:49:47 --startdatetime 2016-11-12T22:56:28 --delay 1 --endMP 204:165 --enddatetime 2016-11-12T23:36:14 --enforcementcount 0 &gt;&gt;C:\Users\stu\Documents\GitHub\eaglep3-reporting\EC\2016-11-12-refined-times.txt</v>
      </c>
      <c r="AI146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{"issue":{"subject":"","project_id":79,"tracker_id":40,"status_id":1,"priority_id":2,"assigned_to_id":23,"start_date":"2016-11-12","description":"","custom_fields":[{"id":1,"name":"Subdivision","value":"EC"},{"id":4,"name":"Milepost","value":"0.0165"},{"id":17,"name":"Train ID","value":"234-12"},{"id":16,"name":"Locomotive ID","value":"4054"},{"id":130,"name":"Impact","value":""},{"id":150,"name":"Time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607</v>
      </c>
      <c r="B147" s="7">
        <v>4025</v>
      </c>
      <c r="C147" s="22" t="s">
        <v>225</v>
      </c>
      <c r="D147" s="22" t="s">
        <v>731</v>
      </c>
      <c r="E147" s="13">
        <v>42686.920162037037</v>
      </c>
      <c r="F147" s="13">
        <v>42686.937789351854</v>
      </c>
      <c r="G147" s="7">
        <v>1</v>
      </c>
      <c r="H147" s="22" t="s">
        <v>188</v>
      </c>
      <c r="I147" s="13">
        <v>42686.962002314816</v>
      </c>
      <c r="J147" s="7">
        <v>0</v>
      </c>
      <c r="K147" s="109" t="str">
        <f t="shared" si="66"/>
        <v>4025/4026</v>
      </c>
      <c r="L147" s="22" t="str">
        <f>VLOOKUP(A147,'Trips&amp;Operators'!$C$1:$E$10000,3,FALSE)</f>
        <v>STAMBAUGH</v>
      </c>
      <c r="M147" s="6">
        <f t="shared" si="67"/>
        <v>2.421296296233777E-2</v>
      </c>
      <c r="N147" s="7">
        <f t="shared" si="68"/>
        <v>34.866666665766388</v>
      </c>
      <c r="O147" s="7"/>
      <c r="P147" s="7"/>
      <c r="Q147" s="23"/>
      <c r="R147" s="23"/>
      <c r="S147" s="35">
        <f t="shared" si="69"/>
        <v>1</v>
      </c>
      <c r="T147" s="50" t="str">
        <f t="shared" si="7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21:05:02-700',mode:absolute,to:'2016-11-13 00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7" s="52" t="str">
        <f t="shared" si="72"/>
        <v>N</v>
      </c>
      <c r="X147" s="177">
        <f t="shared" si="73"/>
        <v>1</v>
      </c>
      <c r="Y147" s="67">
        <f t="shared" si="74"/>
        <v>4.9500000000000002E-2</v>
      </c>
      <c r="Z147" s="67">
        <f t="shared" si="75"/>
        <v>23.329699999999999</v>
      </c>
      <c r="AA147" s="67">
        <f t="shared" si="76"/>
        <v>23.280200000000001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77"/>
        <v>0235-12</v>
      </c>
      <c r="AE147" s="91" t="str">
        <f t="shared" si="78"/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AF147" s="88" t="str">
        <f t="shared" si="79"/>
        <v>"C:\Program Files (x86)\AstroGrep\AstroGrep.exe" /spath="%USERPROFILE%\AppData\Local\Temp\OnboardLogs" /stypes="app*4025*20161113*" /stext=" 06:.+((SYSTEM_STATE.+slice.+state.+changed )|(ment ac)|(system.+state.+changed )|(\[timeout)|(PRM\|1\|D)|(kpr)|(kdp)|(\|lc)|(penalty))" /e /r /s</v>
      </c>
      <c r="AG147" s="1" t="str">
        <f t="shared" si="80"/>
        <v>EC</v>
      </c>
      <c r="AH147" s="92" t="str">
        <f t="shared" si="81"/>
        <v>"%USERPROFILE%\Documents\GitHub\eaglep3\Utilities\RefineRTDCRunTimes.py" --tripid 235-12 --locoid 4025 --swversion DE.1.0.8.0 --startMP 204:495 --initTime 2016-11-12T22:05:02 --startdatetime 2016-11-12T22:30:25 --delay 1 --endMP 204:233297 --enddatetime 2016-11-12T23:05:17 --enforcementcount 0 &gt;&gt;C:\Users\stu\Documents\GitHub\eaglep3-reporting\EC\2016-11-12-refined-times.txt</v>
      </c>
      <c r="AI147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{"issue":{"subject":"","project_id":79,"tracker_id":40,"status_id":1,"priority_id":2,"assigned_to_id":23,"start_date":"2016-11-12","description":"","custom_fields":[{"id":1,"name":"Subdivision","value":"EC"},{"id":4,"name":"Milepost","value":"23.3297"},{"id":17,"name":"Train ID","value":"235-12"},{"id":16,"name":"Locomotive ID","value":"4025"},{"id":130,"name":"Impact","value":""},{"id":150,"name":"Time of Event (Mountain Time)","value":"23:05:17"},{"id":151,"name":"Denver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614</v>
      </c>
      <c r="B148" s="7">
        <v>4026</v>
      </c>
      <c r="C148" s="22" t="s">
        <v>225</v>
      </c>
      <c r="D148" s="22" t="s">
        <v>709</v>
      </c>
      <c r="E148" s="13">
        <v>42686.97383101852</v>
      </c>
      <c r="F148" s="13">
        <v>42686.976597222223</v>
      </c>
      <c r="G148" s="7">
        <v>0</v>
      </c>
      <c r="H148" s="22" t="s">
        <v>302</v>
      </c>
      <c r="I148" s="13">
        <v>42687.002395833333</v>
      </c>
      <c r="J148" s="7">
        <v>0</v>
      </c>
      <c r="K148" s="109" t="str">
        <f t="shared" si="66"/>
        <v>4025/4026</v>
      </c>
      <c r="L148" s="22" t="str">
        <f>VLOOKUP(A148,'Trips&amp;Operators'!$C$1:$E$10000,3,FALSE)</f>
        <v>STAMBAUGH</v>
      </c>
      <c r="M148" s="6">
        <f t="shared" si="67"/>
        <v>2.5798611110076308E-2</v>
      </c>
      <c r="N148" s="7">
        <f t="shared" si="68"/>
        <v>37.149999998509884</v>
      </c>
      <c r="O148" s="7"/>
      <c r="P148" s="7"/>
      <c r="Q148" s="23"/>
      <c r="R148" s="23"/>
      <c r="S148" s="35">
        <f t="shared" si="69"/>
        <v>1</v>
      </c>
      <c r="T148" s="50" t="str">
        <f t="shared" si="7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22:22:19-700',mode:absolute,to:'2016-11-13 01:03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8" s="52" t="str">
        <f t="shared" si="72"/>
        <v>N</v>
      </c>
      <c r="X148" s="177">
        <f t="shared" si="73"/>
        <v>1</v>
      </c>
      <c r="Y148" s="67">
        <f t="shared" si="74"/>
        <v>23.2971</v>
      </c>
      <c r="Z148" s="67">
        <f t="shared" si="75"/>
        <v>1.34E-2</v>
      </c>
      <c r="AA148" s="67">
        <f t="shared" si="76"/>
        <v>23.2837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77"/>
        <v>0236-12</v>
      </c>
      <c r="AE148" s="91" t="str">
        <f t="shared" si="78"/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AF148" s="88" t="str">
        <f t="shared" si="79"/>
        <v>"C:\Program Files (x86)\AstroGrep\AstroGrep.exe" /spath="%USERPROFILE%\AppData\Local\Temp\OnboardLogs" /stypes="app*4026*20161113*" /stext=" 07:.+((SYSTEM_STATE.+slice.+state.+changed )|(ment ac)|(system.+state.+changed )|(\[timeout)|(PRM\|1\|D)|(kpr)|(kdp)|(\|lc)|(penalty))" /e /r /s</v>
      </c>
      <c r="AG148" s="1" t="str">
        <f t="shared" si="80"/>
        <v>EC</v>
      </c>
      <c r="AH148" s="92" t="str">
        <f t="shared" si="81"/>
        <v>"%USERPROFILE%\Documents\GitHub\eaglep3\Utilities\RefineRTDCRunTimes.py" --tripid 236-12 --locoid 4026 --swversion DE.1.0.8.0 --startMP 204:232971 --initTime 2016-11-12T23:22:19 --startdatetime 2016-11-12T23:26:18 --delay 0 --endMP 204:134 --enddatetime 2016-11-13T00:03:27 --enforcementcount 0 &gt;&gt;C:\Users\stu\Documents\GitHub\eaglep3-reporting\EC\2016-11-12-refined-times.txt</v>
      </c>
      <c r="AI148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{"issue":{"subject":"","project_id":79,"tracker_id":40,"status_id":1,"priority_id":2,"assigned_to_id":23,"start_date":"2016-11-13","description":"","custom_fields":[{"id":1,"name":"Subdivision","value":"EC"},{"id":4,"name":"Milepost","value":"0.0134"},{"id":17,"name":"Train ID","value":"236-12"},{"id":16,"name":"Locomotive ID","value":"4026"},{"id":130,"name":"Impact","value":""},{"id":150,"name":"Time of Event (Mountain Time)","value":"00:03:27"},{"id":151,"name":"Denver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611</v>
      </c>
      <c r="B149" s="7">
        <v>4038</v>
      </c>
      <c r="C149" s="22" t="s">
        <v>225</v>
      </c>
      <c r="D149" s="22" t="s">
        <v>732</v>
      </c>
      <c r="E149" s="13">
        <v>42686.950555555559</v>
      </c>
      <c r="F149" s="13">
        <v>42686.958506944444</v>
      </c>
      <c r="G149" s="7">
        <v>1</v>
      </c>
      <c r="H149" s="22" t="s">
        <v>398</v>
      </c>
      <c r="I149" s="13">
        <v>42686.983078703706</v>
      </c>
      <c r="J149" s="7">
        <v>0</v>
      </c>
      <c r="K149" s="109" t="str">
        <f t="shared" si="66"/>
        <v>4037/4038</v>
      </c>
      <c r="L149" s="22" t="str">
        <f>VLOOKUP(A149,'Trips&amp;Operators'!$C$1:$E$10000,3,FALSE)</f>
        <v>LEVIN</v>
      </c>
      <c r="M149" s="6">
        <f t="shared" si="67"/>
        <v>2.457175926247146E-2</v>
      </c>
      <c r="N149" s="7">
        <f t="shared" si="68"/>
        <v>35.383333337958902</v>
      </c>
      <c r="O149" s="7"/>
      <c r="P149" s="7"/>
      <c r="Q149" s="23"/>
      <c r="R149" s="23"/>
      <c r="S149" s="35">
        <f t="shared" si="69"/>
        <v>1</v>
      </c>
      <c r="T149" s="50" t="str">
        <f t="shared" si="7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21:48:48-700',mode:absolute,to:'2016-11-13 00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9" s="52" t="str">
        <f t="shared" si="72"/>
        <v>N</v>
      </c>
      <c r="X149" s="177">
        <f t="shared" si="73"/>
        <v>1</v>
      </c>
      <c r="Y149" s="67">
        <f t="shared" si="74"/>
        <v>4.2599999999999999E-2</v>
      </c>
      <c r="Z149" s="67">
        <f t="shared" si="75"/>
        <v>23.331499999999998</v>
      </c>
      <c r="AA149" s="67">
        <f t="shared" si="76"/>
        <v>23.288899999999998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77"/>
        <v>0237-12</v>
      </c>
      <c r="AE149" s="91" t="str">
        <f t="shared" si="78"/>
        <v>aws s3 cp s3://rtdc.mdm.uploadarchive.raw/RTDC4038/ "%USERPROFILE%\AppData\Local\Temp\OnboardLogs"\RTDC4038\2016-11-12 --exclude "*" --recursive --include "*20161112*" &amp; "%USERPROFILE%\Documents\GitHub\mrs-test-scripts\Headless Mode &amp; Sideloading\WalkAndUnGZ.bat" "%USERPROFILE%\AppData\Local\Temp\OnboardLogs"\RTDC4038\2016-11-12 &amp; 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</v>
      </c>
      <c r="AF149" s="88" t="str">
        <f t="shared" si="79"/>
        <v>"C:\Program Files (x86)\AstroGrep\AstroGrep.exe" /spath="%USERPROFILE%\AppData\Local\Temp\OnboardLogs" /stypes="app*4038*20161113*" /stext=" 06:.+((SYSTEM_STATE.+slice.+state.+changed )|(ment ac)|(system.+state.+changed )|(\[timeout)|(PRM\|1\|D)|(kpr)|(kdp)|(\|lc)|(penalty))" /e /r /s</v>
      </c>
      <c r="AG149" s="1" t="str">
        <f t="shared" si="80"/>
        <v>EC</v>
      </c>
      <c r="AH149" s="92" t="str">
        <f t="shared" si="81"/>
        <v>"%USERPROFILE%\Documents\GitHub\eaglep3\Utilities\RefineRTDCRunTimes.py" --tripid 237-12 --locoid 4038 --swversion DE.1.0.8.0 --startMP 204:426 --initTime 2016-11-12T22:48:48 --startdatetime 2016-11-12T23:00:15 --delay 1 --endMP 204:233315 --enddatetime 2016-11-12T23:35:38 --enforcementcount 0 &gt;&gt;C:\Users\stu\Documents\GitHub\eaglep3-reporting\EC\2016-11-12-refined-times.txt</v>
      </c>
      <c r="AI149" s="119" t="str">
        <f t="shared" si="82"/>
        <v>echo {"issue":{"subject":"","project_id":79,"tracker_id":40,"status_id":1,"priority_id":2,"assigned_to_id":23,"start_date":"2016-11-12","description":"","custom_fields":[{"id":1,"name":"Subdivision","value":"EC"},{"id":4,"name":"Milepost","value":"23.3315"},{"id":17,"name":"Train ID","value":"237-12"},{"id":16,"name":"Locomotive ID","value":"4038"},{"id":130,"name":"Impact","value":""},{"id":150,"name":"Time of Event (Mountain Time)","value":"23:35:38"},{"id":151,"name":"Denver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615</v>
      </c>
      <c r="B150" s="7">
        <v>4037</v>
      </c>
      <c r="C150" s="22" t="s">
        <v>225</v>
      </c>
      <c r="D150" s="22" t="s">
        <v>711</v>
      </c>
      <c r="E150" s="13">
        <v>42686.996192129627</v>
      </c>
      <c r="F150" s="13">
        <v>42686.997615740744</v>
      </c>
      <c r="G150" s="7">
        <v>1</v>
      </c>
      <c r="H150" s="22" t="s">
        <v>353</v>
      </c>
      <c r="I150" s="13">
        <v>42687.023148148146</v>
      </c>
      <c r="J150" s="7">
        <v>0</v>
      </c>
      <c r="K150" s="109" t="str">
        <f t="shared" si="66"/>
        <v>4037/4038</v>
      </c>
      <c r="L150" s="22" t="str">
        <f>VLOOKUP(A150,'Trips&amp;Operators'!$C$1:$E$10000,3,FALSE)</f>
        <v>LEVIN</v>
      </c>
      <c r="M150" s="6">
        <f t="shared" si="67"/>
        <v>2.5532407402351964E-2</v>
      </c>
      <c r="N150" s="7">
        <f t="shared" si="68"/>
        <v>36.766666659386829</v>
      </c>
      <c r="O150" s="7"/>
      <c r="P150" s="7"/>
      <c r="Q150" s="23"/>
      <c r="R150" s="23"/>
      <c r="S150" s="35">
        <f t="shared" si="69"/>
        <v>1</v>
      </c>
      <c r="T150" s="50" t="str">
        <f t="shared" si="7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22:54:31-700',mode:absolute,to:'2016-11-13 01:33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0" s="52" t="str">
        <f t="shared" si="72"/>
        <v>N</v>
      </c>
      <c r="X150" s="177">
        <f t="shared" si="73"/>
        <v>1</v>
      </c>
      <c r="Y150" s="67">
        <f t="shared" si="74"/>
        <v>23.302099999999999</v>
      </c>
      <c r="Z150" s="67">
        <f t="shared" si="75"/>
        <v>1.41E-2</v>
      </c>
      <c r="AA150" s="67">
        <f t="shared" si="76"/>
        <v>23.288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77"/>
        <v>0238-12</v>
      </c>
      <c r="AE150" s="91" t="str">
        <f t="shared" si="78"/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AF150" s="88" t="str">
        <f t="shared" si="79"/>
        <v>"C:\Program Files (x86)\AstroGrep\AstroGrep.exe" /spath="%USERPROFILE%\AppData\Local\Temp\OnboardLogs" /stypes="app*4037*20161113*" /stext=" 07:.+((SYSTEM_STATE.+slice.+state.+changed )|(ment ac)|(system.+state.+changed )|(\[timeout)|(PRM\|1\|D)|(kpr)|(kdp)|(\|lc)|(penalty))" /e /r /s</v>
      </c>
      <c r="AG150" s="1" t="str">
        <f t="shared" si="80"/>
        <v>EC</v>
      </c>
      <c r="AH150" s="92" t="str">
        <f t="shared" si="81"/>
        <v>"%USERPROFILE%\Documents\GitHub\eaglep3\Utilities\RefineRTDCRunTimes.py" --tripid 238-12 --locoid 4037 --swversion DE.1.0.8.0 --startMP 204:233021 --initTime 2016-11-12T23:54:31 --startdatetime 2016-11-12T23:56:34 --delay 1 --endMP 204:141 --enddatetime 2016-11-13T00:33:20 --enforcementcount 0 &gt;&gt;C:\Users\stu\Documents\GitHub\eaglep3-reporting\EC\2016-11-12-refined-times.txt</v>
      </c>
      <c r="AI150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{"issue":{"subject":"","project_id":79,"tracker_id":40,"status_id":1,"priority_id":2,"assigned_to_id":23,"start_date":"2016-11-13","description":"","custom_fields":[{"id":1,"name":"Subdivision","value":"EC"},{"id":4,"name":"Milepost","value":"0.0141"},{"id":17,"name":"Train ID","value":"238-12"},{"id":16,"name":"Locomotive ID","value":"4037"},{"id":130,"name":"Impact","value":""},{"id":150,"name":"Time of Event (Mountain Time)","value":"00:33:20"},{"id":151,"name":"Denver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613</v>
      </c>
      <c r="B151" s="7">
        <v>4011</v>
      </c>
      <c r="C151" s="22" t="s">
        <v>225</v>
      </c>
      <c r="D151" s="22" t="s">
        <v>227</v>
      </c>
      <c r="E151" s="13">
        <v>42686.977164351854</v>
      </c>
      <c r="F151" s="13">
        <v>42686.979328703703</v>
      </c>
      <c r="G151" s="7">
        <v>1</v>
      </c>
      <c r="H151" s="22" t="s">
        <v>268</v>
      </c>
      <c r="I151" s="13">
        <v>42687.003344907411</v>
      </c>
      <c r="J151" s="7">
        <v>0</v>
      </c>
      <c r="K151" s="109" t="str">
        <f t="shared" si="66"/>
        <v>4011/4012</v>
      </c>
      <c r="L151" s="22" t="str">
        <f>VLOOKUP(A151,'Trips&amp;Operators'!$C$1:$E$10000,3,FALSE)</f>
        <v>NEWELL</v>
      </c>
      <c r="M151" s="6">
        <f t="shared" si="67"/>
        <v>2.4016203708015382E-2</v>
      </c>
      <c r="N151" s="7">
        <f t="shared" si="68"/>
        <v>34.58333333954215</v>
      </c>
      <c r="O151" s="7"/>
      <c r="P151" s="7"/>
      <c r="Q151" s="23"/>
      <c r="R151" s="23"/>
      <c r="S151" s="35">
        <f t="shared" si="69"/>
        <v>1</v>
      </c>
      <c r="T151" s="50" t="str">
        <f t="shared" si="7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22:27:07-700',mode:absolute,to:'2016-11-13 01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1" s="52" t="str">
        <f t="shared" si="72"/>
        <v>N</v>
      </c>
      <c r="X151" s="177">
        <f t="shared" si="73"/>
        <v>1</v>
      </c>
      <c r="Y151" s="67">
        <f t="shared" si="74"/>
        <v>4.58E-2</v>
      </c>
      <c r="Z151" s="67">
        <f t="shared" si="75"/>
        <v>23.3293</v>
      </c>
      <c r="AA151" s="67">
        <f t="shared" si="76"/>
        <v>23.2835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77"/>
        <v>0239-12</v>
      </c>
      <c r="AE151" s="91" t="str">
        <f t="shared" si="78"/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AF151" s="88" t="str">
        <f t="shared" si="79"/>
        <v>"C:\Program Files (x86)\AstroGrep\AstroGrep.exe" /spath="%USERPROFILE%\AppData\Local\Temp\OnboardLogs" /stypes="app*4011*20161113*" /stext=" 07:.+((SYSTEM_STATE.+slice.+state.+changed )|(ment ac)|(system.+state.+changed )|(\[timeout)|(PRM\|1\|D)|(kpr)|(kdp)|(\|lc)|(penalty))" /e /r /s</v>
      </c>
      <c r="AG151" s="1" t="str">
        <f t="shared" si="80"/>
        <v>EC</v>
      </c>
      <c r="AH151" s="92" t="str">
        <f t="shared" si="81"/>
        <v>"%USERPROFILE%\Documents\GitHub\eaglep3\Utilities\RefineRTDCRunTimes.py" --tripid 239-12 --locoid 4011 --swversion DE.1.0.8.0 --startMP 204:458 --initTime 2016-11-12T23:27:07 --startdatetime 2016-11-12T23:30:14 --delay 1 --endMP 204:233293 --enddatetime 2016-11-13T00:04:49 --enforcementcount 0 &gt;&gt;C:\Users\stu\Documents\GitHub\eaglep3-reporting\EC\2016-11-12-refined-times.txt</v>
      </c>
      <c r="AI151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{"issue":{"subject":"","project_id":79,"tracker_id":40,"status_id":1,"priority_id":2,"assigned_to_id":23,"start_date":"2016-11-13","description":"","custom_fields":[{"id":1,"name":"Subdivision","value":"EC"},{"id":4,"name":"Milepost","value":"23.3293"},{"id":17,"name":"Train ID","value":"239-12"},{"id":16,"name":"Locomotive ID","value":"4011"},{"id":130,"name":"Impact","value":""},{"id":150,"name":"Time of Event (Mountain Time)","value":"00:04:49"},{"id":151,"name":"Denver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618</v>
      </c>
      <c r="B152" s="7">
        <v>4012</v>
      </c>
      <c r="C152" s="22" t="s">
        <v>225</v>
      </c>
      <c r="D152" s="22" t="s">
        <v>349</v>
      </c>
      <c r="E152" s="13">
        <v>42687.010914351849</v>
      </c>
      <c r="F152" s="13">
        <v>42687.018217592595</v>
      </c>
      <c r="G152" s="7">
        <v>1</v>
      </c>
      <c r="H152" s="22" t="s">
        <v>397</v>
      </c>
      <c r="I152" s="13">
        <v>42687.043576388889</v>
      </c>
      <c r="J152" s="7">
        <v>0</v>
      </c>
      <c r="K152" s="109" t="str">
        <f t="shared" si="66"/>
        <v>4011/4012</v>
      </c>
      <c r="L152" s="22" t="str">
        <f>VLOOKUP(A152,'Trips&amp;Operators'!$C$1:$E$10000,3,FALSE)</f>
        <v>NEWELL</v>
      </c>
      <c r="M152" s="6">
        <f t="shared" si="67"/>
        <v>2.5358796294312924E-2</v>
      </c>
      <c r="N152" s="7">
        <f t="shared" si="68"/>
        <v>36.516666663810611</v>
      </c>
      <c r="O152" s="7"/>
      <c r="P152" s="7"/>
      <c r="Q152" s="23"/>
      <c r="R152" s="23"/>
      <c r="S152" s="35">
        <f t="shared" si="69"/>
        <v>1</v>
      </c>
      <c r="T152" s="50" t="str">
        <f t="shared" si="7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23:15:43-700',mode:absolute,to:'2016-11-13 02:02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2" s="52" t="str">
        <f t="shared" si="72"/>
        <v>N</v>
      </c>
      <c r="X152" s="177">
        <f t="shared" si="73"/>
        <v>1</v>
      </c>
      <c r="Y152" s="67">
        <f t="shared" si="74"/>
        <v>23.2988</v>
      </c>
      <c r="Z152" s="67">
        <f t="shared" si="75"/>
        <v>1.32E-2</v>
      </c>
      <c r="AA152" s="67">
        <f t="shared" si="76"/>
        <v>23.285599999999999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77"/>
        <v>0240-12</v>
      </c>
      <c r="AE152" s="91" t="str">
        <f t="shared" si="78"/>
        <v>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 &amp; aws s3 cp s3://rtdc.mdm.uploadarchive.raw/RTDC4012/ "%USERPROFILE%\AppData\Local\Temp\OnboardLogs"\RTDC4012\2016-11-14 --exclude "*" --recursive --include "*20161114*" &amp; "%USERPROFILE%\Documents\GitHub\mrs-test-scripts\Headless Mode &amp; Sideloading\WalkAndUnGZ.bat" "%USERPROFILE%\AppData\Local\Temp\OnboardLogs"\RTDC4012\2016-11-14</v>
      </c>
      <c r="AF152" s="88" t="str">
        <f t="shared" si="79"/>
        <v>"C:\Program Files (x86)\AstroGrep\AstroGrep.exe" /spath="%USERPROFILE%\AppData\Local\Temp\OnboardLogs" /stypes="app*4012*20161113*" /stext=" 08:.+((SYSTEM_STATE.+slice.+state.+changed )|(ment ac)|(system.+state.+changed )|(\[timeout)|(PRM\|1\|D)|(kpr)|(kdp)|(\|lc)|(penalty))" /e /r /s</v>
      </c>
      <c r="AG152" s="1" t="str">
        <f t="shared" si="80"/>
        <v>EC</v>
      </c>
      <c r="AH152" s="92" t="str">
        <f t="shared" si="81"/>
        <v>"%USERPROFILE%\Documents\GitHub\eaglep3\Utilities\RefineRTDCRunTimes.py" --tripid 240-12 --locoid 4012 --swversion DE.1.0.8.0 --startMP 204:232988 --initTime 2016-11-13T00:15:43 --startdatetime 2016-11-13T00:26:14 --delay 1 --endMP 204:132 --enddatetime 2016-11-13T01:02:45 --enforcementcount 0 &gt;&gt;C:\Users\stu\Documents\GitHub\eaglep3-reporting\EC\2016-11-12-refined-times.txt</v>
      </c>
      <c r="AI152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{"issue":{"subject":"","project_id":79,"tracker_id":40,"status_id":1,"priority_id":2,"assigned_to_id":23,"start_date":"2016-11-13","description":"","custom_fields":[{"id":1,"name":"Subdivision","value":"EC"},{"id":4,"name":"Milepost","value":"0.0132"},{"id":17,"name":"Train ID","value":"240-12"},{"id":16,"name":"Locomotive ID","value":"4012"},{"id":130,"name":"Impact","value":""},{"id":150,"name":"Time of Event (Mountain Time)","value":"01:02:45"},{"id":151,"name":"Denver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s="21" customFormat="1" x14ac:dyDescent="0.25">
      <c r="A153" s="37" t="s">
        <v>616</v>
      </c>
      <c r="B153" s="7">
        <v>4053</v>
      </c>
      <c r="C153" s="22" t="s">
        <v>225</v>
      </c>
      <c r="D153" s="22" t="s">
        <v>299</v>
      </c>
      <c r="E153" s="13">
        <v>42686.997291666667</v>
      </c>
      <c r="F153" s="13">
        <v>42687.000486111108</v>
      </c>
      <c r="G153" s="7">
        <v>1</v>
      </c>
      <c r="H153" s="22" t="s">
        <v>733</v>
      </c>
      <c r="I153" s="13">
        <v>42687.025706018518</v>
      </c>
      <c r="J153" s="7">
        <v>0</v>
      </c>
      <c r="K153" s="109" t="str">
        <f t="shared" si="66"/>
        <v>4053/4054</v>
      </c>
      <c r="L153" s="22" t="str">
        <f>VLOOKUP(A153,'Trips&amp;Operators'!$C$1:$E$10000,3,FALSE)</f>
        <v>CHANDLER</v>
      </c>
      <c r="M153" s="6">
        <f t="shared" si="67"/>
        <v>2.5219907409336884E-2</v>
      </c>
      <c r="N153" s="7">
        <f t="shared" si="68"/>
        <v>36.316666669445112</v>
      </c>
      <c r="O153" s="7"/>
      <c r="P153" s="7"/>
      <c r="Q153" s="23"/>
      <c r="R153" s="23"/>
      <c r="S153" s="35">
        <f t="shared" si="69"/>
        <v>1</v>
      </c>
      <c r="T153" s="50" t="str">
        <f t="shared" si="7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22:56:06-700',mode:absolute,to:'2016-11-13 01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3" s="52" t="str">
        <f t="shared" si="72"/>
        <v>N</v>
      </c>
      <c r="X153" s="177">
        <f t="shared" si="73"/>
        <v>1</v>
      </c>
      <c r="Y153" s="67">
        <f t="shared" si="74"/>
        <v>4.7100000000000003E-2</v>
      </c>
      <c r="Z153" s="67">
        <f t="shared" si="75"/>
        <v>23.326599999999999</v>
      </c>
      <c r="AA153" s="67">
        <f t="shared" si="76"/>
        <v>23.279499999999999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77"/>
        <v>0241-12</v>
      </c>
      <c r="AE153" s="91" t="str">
        <f t="shared" si="78"/>
        <v>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 &amp; 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</v>
      </c>
      <c r="AF153" s="88" t="str">
        <f t="shared" si="79"/>
        <v>"C:\Program Files (x86)\AstroGrep\AstroGrep.exe" /spath="%USERPROFILE%\AppData\Local\Temp\OnboardLogs" /stypes="app*4053*20161113*" /stext=" 07:.+((SYSTEM_STATE.+slice.+state.+changed )|(ment ac)|(system.+state.+changed )|(\[timeout)|(PRM\|1\|D)|(kpr)|(kdp)|(\|lc)|(penalty))" /e /r /s</v>
      </c>
      <c r="AG153" s="1" t="str">
        <f t="shared" si="80"/>
        <v>EC</v>
      </c>
      <c r="AH153" s="92" t="str">
        <f t="shared" si="81"/>
        <v>"%USERPROFILE%\Documents\GitHub\eaglep3\Utilities\RefineRTDCRunTimes.py" --tripid 241-12 --locoid 4053 --swversion DE.1.0.8.0 --startMP 204:471 --initTime 2016-11-12T23:56:06 --startdatetime 2016-11-13T00:00:42 --delay 1 --endMP 204:233266 --enddatetime 2016-11-13T00:37:01 --enforcementcount 0 &gt;&gt;C:\Users\stu\Documents\GitHub\eaglep3-reporting\EC\2016-11-12-refined-times.txt</v>
      </c>
      <c r="AI153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{"issue":{"subject":"","project_id":79,"tracker_id":40,"status_id":1,"priority_id":2,"assigned_to_id":23,"start_date":"2016-11-13","description":"","custom_fields":[{"id":1,"name":"Subdivision","value":"EC"},{"id":4,"name":"Milepost","value":"23.3266"},{"id":17,"name":"Train ID","value":"241-12"},{"id":16,"name":"Locomotive ID","value":"4053"},{"id":130,"name":"Impact","value":""},{"id":150,"name":"Time of Event (Mountain Time)","value":"00:37:01"},{"id":151,"name":"Denver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620</v>
      </c>
      <c r="B154" s="7">
        <v>4054</v>
      </c>
      <c r="C154" s="22" t="s">
        <v>225</v>
      </c>
      <c r="D154" s="22" t="s">
        <v>648</v>
      </c>
      <c r="E154" s="13">
        <v>42687.037766203706</v>
      </c>
      <c r="F154" s="13">
        <v>42687.039201388892</v>
      </c>
      <c r="G154" s="7">
        <v>1</v>
      </c>
      <c r="H154" s="22" t="s">
        <v>340</v>
      </c>
      <c r="I154" s="13">
        <v>42687.065925925926</v>
      </c>
      <c r="J154" s="7">
        <v>0</v>
      </c>
      <c r="K154" s="109" t="str">
        <f t="shared" si="66"/>
        <v>4053/4054</v>
      </c>
      <c r="L154" s="22" t="str">
        <f>VLOOKUP(A154,'Trips&amp;Operators'!$C$1:$E$10000,3,FALSE)</f>
        <v>CHANDLER</v>
      </c>
      <c r="M154" s="6">
        <f t="shared" si="67"/>
        <v>2.6724537034169771E-2</v>
      </c>
      <c r="N154" s="7">
        <f t="shared" si="68"/>
        <v>38.48333332920447</v>
      </c>
      <c r="O154" s="7"/>
      <c r="P154" s="7"/>
      <c r="Q154" s="23"/>
      <c r="R154" s="23"/>
      <c r="S154" s="35">
        <f t="shared" si="69"/>
        <v>1</v>
      </c>
      <c r="T154" s="50" t="str">
        <f t="shared" si="7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23:54:23-700',mode:absolute,to:'2016-11-13 02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4" s="52" t="str">
        <f t="shared" si="72"/>
        <v>N</v>
      </c>
      <c r="X154" s="177">
        <f t="shared" si="73"/>
        <v>1</v>
      </c>
      <c r="Y154" s="67">
        <f t="shared" si="74"/>
        <v>23.2972</v>
      </c>
      <c r="Z154" s="67">
        <f t="shared" si="75"/>
        <v>1.54E-2</v>
      </c>
      <c r="AA154" s="67">
        <f t="shared" si="76"/>
        <v>23.2818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77"/>
        <v>0242-12</v>
      </c>
      <c r="AE154" s="91" t="str">
        <f t="shared" si="78"/>
        <v>aws s3 cp s3://rtdc.mdm.uploadarchive.raw/RTDC4054/ "%USERPROFILE%\AppData\Local\Temp\OnboardLogs"\RTDC4054\2016-11-13 --exclude "*" --recursive --include "*20161113*" &amp; "%USERPROFILE%\Documents\GitHub\mrs-test-scripts\Headless Mode &amp; Sideloading\WalkAndUnGZ.bat" "%USERPROFILE%\AppData\Local\Temp\OnboardLogs"\RTDC4054\2016-11-13 &amp; aws s3 cp s3://rtdc.mdm.uploadarchive.raw/RTDC4054/ "%USERPROFILE%\AppData\Local\Temp\OnboardLogs"\RTDC4054\2016-11-14 --exclude "*" --recursive --include "*20161114*" &amp; "%USERPROFILE%\Documents\GitHub\mrs-test-scripts\Headless Mode &amp; Sideloading\WalkAndUnGZ.bat" "%USERPROFILE%\AppData\Local\Temp\OnboardLogs"\RTDC4054\2016-11-14</v>
      </c>
      <c r="AF154" s="88" t="str">
        <f t="shared" si="79"/>
        <v>"C:\Program Files (x86)\AstroGrep\AstroGrep.exe" /spath="%USERPROFILE%\AppData\Local\Temp\OnboardLogs" /stypes="app*4054*20161113*" /stext=" 08:.+((SYSTEM_STATE.+slice.+state.+changed )|(ment ac)|(system.+state.+changed )|(\[timeout)|(PRM\|1\|D)|(kpr)|(kdp)|(\|lc)|(penalty))" /e /r /s</v>
      </c>
      <c r="AG154" s="1" t="str">
        <f t="shared" si="80"/>
        <v>EC</v>
      </c>
      <c r="AH154" s="92" t="str">
        <f t="shared" si="81"/>
        <v>"%USERPROFILE%\Documents\GitHub\eaglep3\Utilities\RefineRTDCRunTimes.py" --tripid 242-12 --locoid 4054 --swversion DE.1.0.8.0 --startMP 204:232972 --initTime 2016-11-13T00:54:23 --startdatetime 2016-11-13T00:56:27 --delay 1 --endMP 204:154 --enddatetime 2016-11-13T01:34:56 --enforcementcount 0 &gt;&gt;C:\Users\stu\Documents\GitHub\eaglep3-reporting\EC\2016-11-12-refined-times.txt</v>
      </c>
      <c r="AI154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{"issue":{"subject":"","project_id":79,"tracker_id":40,"status_id":1,"priority_id":2,"assigned_to_id":23,"start_date":"2016-11-13","description":"","custom_fields":[{"id":1,"name":"Subdivision","value":"EC"},{"id":4,"name":"Milepost","value":"0.0154"},{"id":17,"name":"Train ID","value":"242-12"},{"id":16,"name":"Locomotive ID","value":"4054"},{"id":130,"name":"Impact","value":""},{"id":150,"name":"Time of Event (Mountain Time)","value":"01:34:56"},{"id":151,"name":"Denver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617</v>
      </c>
      <c r="B155" s="7">
        <v>4025</v>
      </c>
      <c r="C155" s="22" t="s">
        <v>225</v>
      </c>
      <c r="D155" s="22" t="s">
        <v>350</v>
      </c>
      <c r="E155" s="13">
        <v>42687.003923611112</v>
      </c>
      <c r="F155" s="13">
        <v>42687.021238425928</v>
      </c>
      <c r="G155" s="7">
        <v>1</v>
      </c>
      <c r="H155" s="22" t="s">
        <v>279</v>
      </c>
      <c r="I155" s="13">
        <v>42687.044988425929</v>
      </c>
      <c r="J155" s="7">
        <v>0</v>
      </c>
      <c r="K155" s="109" t="str">
        <f t="shared" si="66"/>
        <v>4025/4026</v>
      </c>
      <c r="L155" s="22" t="str">
        <f>VLOOKUP(A155,'Trips&amp;Operators'!$C$1:$E$10000,3,FALSE)</f>
        <v>STAMBAUGH</v>
      </c>
      <c r="M155" s="6">
        <f t="shared" si="67"/>
        <v>2.3750000000291038E-2</v>
      </c>
      <c r="N155" s="7">
        <f t="shared" si="68"/>
        <v>34.200000000419095</v>
      </c>
      <c r="O155" s="7"/>
      <c r="P155" s="7"/>
      <c r="Q155" s="23"/>
      <c r="R155" s="23"/>
      <c r="S155" s="35">
        <f t="shared" si="69"/>
        <v>1</v>
      </c>
      <c r="T155" s="50" t="str">
        <f t="shared" si="7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23:05:39-700',mode:absolute,to:'2016-11-13 02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5" s="52" t="str">
        <f t="shared" si="72"/>
        <v>N</v>
      </c>
      <c r="X155" s="177">
        <f t="shared" si="73"/>
        <v>1</v>
      </c>
      <c r="Y155" s="67">
        <f t="shared" si="74"/>
        <v>4.3099999999999999E-2</v>
      </c>
      <c r="Z155" s="67">
        <f t="shared" si="75"/>
        <v>23.3309</v>
      </c>
      <c r="AA155" s="67">
        <f t="shared" si="76"/>
        <v>23.287800000000001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77"/>
        <v>0243-12</v>
      </c>
      <c r="AE155" s="91" t="str">
        <f t="shared" si="78"/>
        <v>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 &amp; aws s3 cp s3://rtdc.mdm.uploadarchive.raw/RTDC4025/ "%USERPROFILE%\AppData\Local\Temp\OnboardLogs"\RTDC4025\2016-11-14 --exclude "*" --recursive --include "*20161114*" &amp; "%USERPROFILE%\Documents\GitHub\mrs-test-scripts\Headless Mode &amp; Sideloading\WalkAndUnGZ.bat" "%USERPROFILE%\AppData\Local\Temp\OnboardLogs"\RTDC4025\2016-11-14</v>
      </c>
      <c r="AF155" s="88" t="str">
        <f t="shared" si="79"/>
        <v>"C:\Program Files (x86)\AstroGrep\AstroGrep.exe" /spath="%USERPROFILE%\AppData\Local\Temp\OnboardLogs" /stypes="app*4025*20161113*" /stext=" 08:.+((SYSTEM_STATE.+slice.+state.+changed )|(ment ac)|(system.+state.+changed )|(\[timeout)|(PRM\|1\|D)|(kpr)|(kdp)|(\|lc)|(penalty))" /e /r /s</v>
      </c>
      <c r="AG155" s="1" t="str">
        <f t="shared" si="80"/>
        <v>EC</v>
      </c>
      <c r="AH155" s="92" t="str">
        <f t="shared" si="81"/>
        <v>"%USERPROFILE%\Documents\GitHub\eaglep3\Utilities\RefineRTDCRunTimes.py" --tripid 243-12 --locoid 4025 --swversion DE.1.0.8.0 --startMP 204:431 --initTime 2016-11-13T00:05:39 --startdatetime 2016-11-13T00:30:35 --delay 1 --endMP 204:233309 --enddatetime 2016-11-13T01:04:47 --enforcementcount 0 &gt;&gt;C:\Users\stu\Documents\GitHub\eaglep3-reporting\EC\2016-11-12-refined-times.txt</v>
      </c>
      <c r="AI155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{"issue":{"subject":"","project_id":79,"tracker_id":40,"status_id":1,"priority_id":2,"assigned_to_id":23,"start_date":"2016-11-13","description":"","custom_fields":[{"id":1,"name":"Subdivision","value":"EC"},{"id":4,"name":"Milepost","value":"23.3309"},{"id":17,"name":"Train ID","value":"243-12"},{"id":16,"name":"Locomotive ID","value":"4025"},{"id":130,"name":"Impact","value":""},{"id":150,"name":"Time of Event (Mountain Time)","value":"01:04:47"},{"id":151,"name":"Denver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622</v>
      </c>
      <c r="B156" s="7">
        <v>4026</v>
      </c>
      <c r="C156" s="22" t="s">
        <v>225</v>
      </c>
      <c r="D156" s="22" t="s">
        <v>347</v>
      </c>
      <c r="E156" s="13">
        <v>42687.054398148146</v>
      </c>
      <c r="F156" s="13">
        <v>42687.059930555559</v>
      </c>
      <c r="G156" s="7">
        <v>1</v>
      </c>
      <c r="H156" s="22" t="s">
        <v>197</v>
      </c>
      <c r="I156" s="13">
        <v>42687.084965277776</v>
      </c>
      <c r="J156" s="7">
        <v>0</v>
      </c>
      <c r="K156" s="109" t="str">
        <f t="shared" si="66"/>
        <v>4025/4026</v>
      </c>
      <c r="L156" s="22" t="str">
        <f>VLOOKUP(A156,'Trips&amp;Operators'!$C$1:$E$10000,3,FALSE)</f>
        <v>STAMBAUGH</v>
      </c>
      <c r="M156" s="6">
        <f t="shared" si="67"/>
        <v>2.5034722217242233E-2</v>
      </c>
      <c r="N156" s="7">
        <f t="shared" si="68"/>
        <v>36.049999992828816</v>
      </c>
      <c r="O156" s="7"/>
      <c r="P156" s="7"/>
      <c r="Q156" s="23"/>
      <c r="R156" s="23"/>
      <c r="S156" s="35">
        <f t="shared" si="69"/>
        <v>1</v>
      </c>
      <c r="T156" s="50" t="str">
        <f t="shared" si="7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https://search-rtdc-monitor-bjffxe2xuh6vdkpspy63sjmuny.us-east-1.es.amazonaws.com/_plugin/kibana/#/discover/Steve-Slow-Train-Analysis-(2080s-and-2083s)?_g=(refreshInterval:(display:Off,section:0,value:0),time:(from:'2016-11-13 00:18:20-700',mode:absolute,to:'2016-11-13 03:02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6" s="52" t="str">
        <f t="shared" si="72"/>
        <v>N</v>
      </c>
      <c r="X156" s="177">
        <f t="shared" si="73"/>
        <v>1</v>
      </c>
      <c r="Y156" s="67">
        <f t="shared" si="74"/>
        <v>23.297999999999998</v>
      </c>
      <c r="Z156" s="67">
        <f t="shared" si="75"/>
        <v>1.4500000000000001E-2</v>
      </c>
      <c r="AA156" s="67">
        <f t="shared" si="76"/>
        <v>23.283499999999997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77"/>
        <v>0244-12</v>
      </c>
      <c r="AE156" s="91" t="str">
        <f t="shared" si="78"/>
        <v>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 &amp; aws s3 cp s3://rtdc.mdm.uploadarchive.raw/RTDC4026/ "%USERPROFILE%\AppData\Local\Temp\OnboardLogs"\RTDC4026\2016-11-14 --exclude "*" --recursive --include "*20161114*" &amp; "%USERPROFILE%\Documents\GitHub\mrs-test-scripts\Headless Mode &amp; Sideloading\WalkAndUnGZ.bat" "%USERPROFILE%\AppData\Local\Temp\OnboardLogs"\RTDC4026\2016-11-14</v>
      </c>
      <c r="AF156" s="88" t="str">
        <f t="shared" si="79"/>
        <v>"C:\Program Files (x86)\AstroGrep\AstroGrep.exe" /spath="%USERPROFILE%\AppData\Local\Temp\OnboardLogs" /stypes="app*4026*20161113*" /stext=" 09:.+((SYSTEM_STATE.+slice.+state.+changed )|(ment ac)|(system.+state.+changed )|(\[timeout)|(PRM\|1\|D)|(kpr)|(kdp)|(\|lc)|(penalty))" /e /r /s</v>
      </c>
      <c r="AG156" s="1" t="str">
        <f t="shared" si="80"/>
        <v>EC</v>
      </c>
      <c r="AH156" s="92" t="str">
        <f t="shared" si="81"/>
        <v>"%USERPROFILE%\Documents\GitHub\eaglep3\Utilities\RefineRTDCRunTimes.py" --tripid 244-12 --locoid 4026 --swversion DE.1.0.8.0 --startMP 204:232980 --initTime 2016-11-13T01:18:20 --startdatetime 2016-11-13T01:26:18 --delay 1 --endMP 204:145 --enddatetime 2016-11-13T02:02:21 --enforcementcount 0 &gt;&gt;C:\Users\stu\Documents\GitHub\eaglep3-reporting\EC\2016-11-12-refined-times.txt</v>
      </c>
      <c r="AI156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{"issue":{"subject":"","project_id":79,"tracker_id":40,"status_id":1,"priority_id":2,"assigned_to_id":23,"start_date":"2016-11-13","description":"","custom_fields":[{"id":1,"name":"Subdivision","value":"EC"},{"id":4,"name":"Milepost","value":"0.0145"},{"id":17,"name":"Train ID","value":"244-12"},{"id":16,"name":"Locomotive ID","value":"4026"},{"id":130,"name":"Impact","value":""},{"id":150,"name":"Time of Event (Mountain Time)","value":"02:02:21"},{"id":151,"name":"Denver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619</v>
      </c>
      <c r="B157" s="7">
        <v>4038</v>
      </c>
      <c r="C157" s="22" t="s">
        <v>225</v>
      </c>
      <c r="D157" s="22" t="s">
        <v>200</v>
      </c>
      <c r="E157" s="13">
        <v>42687.037222222221</v>
      </c>
      <c r="F157" s="13">
        <v>42687.04184027778</v>
      </c>
      <c r="G157" s="7">
        <v>1</v>
      </c>
      <c r="H157" s="22" t="s">
        <v>734</v>
      </c>
      <c r="I157" s="13">
        <v>42687.066493055558</v>
      </c>
      <c r="J157" s="7">
        <v>0</v>
      </c>
      <c r="K157" s="109" t="str">
        <f t="shared" si="66"/>
        <v>4037/4038</v>
      </c>
      <c r="L157" s="22" t="str">
        <f>VLOOKUP(A157,'Trips&amp;Operators'!$C$1:$E$10000,3,FALSE)</f>
        <v>LEVIN</v>
      </c>
      <c r="M157" s="6">
        <f t="shared" si="67"/>
        <v>2.4652777778101154E-2</v>
      </c>
      <c r="N157" s="7">
        <f t="shared" si="68"/>
        <v>35.500000000465661</v>
      </c>
      <c r="O157" s="7"/>
      <c r="P157" s="7"/>
      <c r="Q157" s="23"/>
      <c r="R157" s="23"/>
      <c r="S157" s="35">
        <f t="shared" si="69"/>
        <v>1</v>
      </c>
      <c r="T157" s="50" t="str">
        <f t="shared" si="7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23:53:36-700',mode:absolute,to:'2016-11-13 02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7" s="52" t="str">
        <f t="shared" si="72"/>
        <v>N</v>
      </c>
      <c r="X157" s="177">
        <f t="shared" si="73"/>
        <v>1</v>
      </c>
      <c r="Y157" s="67">
        <f t="shared" si="74"/>
        <v>4.4699999999999997E-2</v>
      </c>
      <c r="Z157" s="67">
        <f t="shared" si="75"/>
        <v>23.336400000000001</v>
      </c>
      <c r="AA157" s="67">
        <f t="shared" si="76"/>
        <v>23.291700000000002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77"/>
        <v>0245-12</v>
      </c>
      <c r="AE157" s="91" t="str">
        <f t="shared" si="78"/>
        <v>aws s3 cp s3://rtdc.mdm.uploadarchive.raw/RTDC4038/ "%USERPROFILE%\AppData\Local\Temp\OnboardLogs"\RTDC4038\2016-11-13 --exclude "*" --recursive --include "*20161113*" &amp; "%USERPROFILE%\Documents\GitHub\mrs-test-scripts\Headless Mode &amp; Sideloading\WalkAndUnGZ.bat" "%USERPROFILE%\AppData\Local\Temp\OnboardLogs"\RTDC4038\2016-11-13 &amp; aws s3 cp s3://rtdc.mdm.uploadarchive.raw/RTDC4038/ "%USERPROFILE%\AppData\Local\Temp\OnboardLogs"\RTDC4038\2016-11-14 --exclude "*" --recursive --include "*20161114*" &amp; "%USERPROFILE%\Documents\GitHub\mrs-test-scripts\Headless Mode &amp; Sideloading\WalkAndUnGZ.bat" "%USERPROFILE%\AppData\Local\Temp\OnboardLogs"\RTDC4038\2016-11-14</v>
      </c>
      <c r="AF157" s="88" t="str">
        <f t="shared" si="79"/>
        <v>"C:\Program Files (x86)\AstroGrep\AstroGrep.exe" /spath="%USERPROFILE%\AppData\Local\Temp\OnboardLogs" /stypes="app*4038*20161113*" /stext=" 08:.+((SYSTEM_STATE.+slice.+state.+changed )|(ment ac)|(system.+state.+changed )|(\[timeout)|(PRM\|1\|D)|(kpr)|(kdp)|(\|lc)|(penalty))" /e /r /s</v>
      </c>
      <c r="AG157" s="1" t="str">
        <f t="shared" si="80"/>
        <v>EC</v>
      </c>
      <c r="AH157" s="92" t="str">
        <f t="shared" si="81"/>
        <v>"%USERPROFILE%\Documents\GitHub\eaglep3\Utilities\RefineRTDCRunTimes.py" --tripid 245-12 --locoid 4038 --swversion DE.1.0.8.0 --startMP 204:447 --initTime 2016-11-13T00:53:36 --startdatetime 2016-11-13T01:00:15 --delay 1 --endMP 204:233364 --enddatetime 2016-11-13T01:35:45 --enforcementcount 0 &gt;&gt;C:\Users\stu\Documents\GitHub\eaglep3-reporting\EC\2016-11-12-refined-times.txt</v>
      </c>
      <c r="AI157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{"issue":{"subject":"","project_id":79,"tracker_id":40,"status_id":1,"priority_id":2,"assigned_to_id":23,"start_date":"2016-11-13","description":"","custom_fields":[{"id":1,"name":"Subdivision","value":"EC"},{"id":4,"name":"Milepost","value":"23.3364"},{"id":17,"name":"Train ID","value":"245-12"},{"id":16,"name":"Locomotive ID","value":"4038"},{"id":130,"name":"Impact","value":""},{"id":150,"name":"Time of Event (Mountain Time)","value":"01:35:45"},{"id":151,"name":"Denver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735</v>
      </c>
      <c r="B158" s="7">
        <v>4037</v>
      </c>
      <c r="C158" s="22" t="s">
        <v>225</v>
      </c>
      <c r="D158" s="22" t="s">
        <v>401</v>
      </c>
      <c r="E158" s="13">
        <v>42687.074884259258</v>
      </c>
      <c r="F158" s="13">
        <v>42687.080775462964</v>
      </c>
      <c r="G158" s="7">
        <v>1</v>
      </c>
      <c r="H158" s="22" t="s">
        <v>175</v>
      </c>
      <c r="I158" s="13">
        <v>42687.106157407405</v>
      </c>
      <c r="J158" s="7">
        <v>0</v>
      </c>
      <c r="K158" s="109" t="str">
        <f t="shared" si="66"/>
        <v>4037/4038</v>
      </c>
      <c r="L158" s="22" t="e">
        <f>VLOOKUP(A158,'Trips&amp;Operators'!$C$1:$E$10000,3,FALSE)</f>
        <v>#N/A</v>
      </c>
      <c r="M158" s="6">
        <f t="shared" si="67"/>
        <v>2.5381944440596271E-2</v>
      </c>
      <c r="N158" s="7">
        <f t="shared" si="68"/>
        <v>36.549999994458631</v>
      </c>
      <c r="O158" s="7"/>
      <c r="P158" s="7"/>
      <c r="Q158" s="23"/>
      <c r="R158" s="23"/>
      <c r="S158" s="35">
        <f t="shared" si="69"/>
        <v>1</v>
      </c>
      <c r="T158" s="50" t="str">
        <f t="shared" si="7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https://search-rtdc-monitor-bjffxe2xuh6vdkpspy63sjmuny.us-east-1.es.amazonaws.com/_plugin/kibana/#/discover/Steve-Slow-Train-Analysis-(2080s-and-2083s)?_g=(refreshInterval:(display:Off,section:0,value:0),time:(from:'2016-11-13 00:47:50-700',mode:absolute,to:'2016-11-13 03:32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8" s="52" t="str">
        <f t="shared" si="72"/>
        <v>N</v>
      </c>
      <c r="X158" s="177">
        <f t="shared" si="73"/>
        <v>1</v>
      </c>
      <c r="Y158" s="67">
        <f t="shared" si="74"/>
        <v>23.3019</v>
      </c>
      <c r="Z158" s="67">
        <f t="shared" si="75"/>
        <v>1.47E-2</v>
      </c>
      <c r="AA158" s="67">
        <f t="shared" si="76"/>
        <v>23.287199999999999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77"/>
        <v>0246-12</v>
      </c>
      <c r="AE158" s="91" t="str">
        <f t="shared" si="78"/>
        <v>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 &amp; aws s3 cp s3://rtdc.mdm.uploadarchive.raw/RTDC4037/ "%USERPROFILE%\AppData\Local\Temp\OnboardLogs"\RTDC4037\2016-11-14 --exclude "*" --recursive --include "*20161114*" &amp; "%USERPROFILE%\Documents\GitHub\mrs-test-scripts\Headless Mode &amp; Sideloading\WalkAndUnGZ.bat" "%USERPROFILE%\AppData\Local\Temp\OnboardLogs"\RTDC4037\2016-11-14</v>
      </c>
      <c r="AF158" s="88" t="str">
        <f t="shared" si="79"/>
        <v>"C:\Program Files (x86)\AstroGrep\AstroGrep.exe" /spath="%USERPROFILE%\AppData\Local\Temp\OnboardLogs" /stypes="app*4037*20161113*" /stext=" 09:.+((SYSTEM_STATE.+slice.+state.+changed )|(ment ac)|(system.+state.+changed )|(\[timeout)|(PRM\|1\|D)|(kpr)|(kdp)|(\|lc)|(penalty))" /e /r /s</v>
      </c>
      <c r="AG158" s="1" t="str">
        <f t="shared" si="80"/>
        <v>EC</v>
      </c>
      <c r="AH158" s="92" t="str">
        <f t="shared" si="81"/>
        <v>"%USERPROFILE%\Documents\GitHub\eaglep3\Utilities\RefineRTDCRunTimes.py" --tripid 246-12 --locoid 4037 --swversion DE.1.0.8.0 --startMP 204:233019 --initTime 2016-11-13T01:47:50 --startdatetime 2016-11-13T01:56:19 --delay 1 --endMP 204:147 --enddatetime 2016-11-13T02:32:52 --enforcementcount 0 &gt;&gt;C:\Users\stu\Documents\GitHub\eaglep3-reporting\EC\2016-11-12-refined-times.txt</v>
      </c>
      <c r="AI158" s="119" t="str">
        <f t="shared" si="82"/>
        <v>echo {"issue":{"subject":"","project_id":79,"tracker_id":40,"status_id":1,"priority_id":2,"assigned_to_id":23,"start_date":"2016-11-13","description":"","custom_fields":[{"id":1,"name":"Subdivision","value":"EC"},{"id":4,"name":"Milepost","value":"0.0147"},{"id":17,"name":"Train ID","value":"246-12"},{"id":16,"name":"Locomotive ID","value":"4037"},{"id":130,"name":"Impact","value":""},{"id":150,"name":"Time of Event (Mountain Time)","value":"02:32:52"},{"id":151,"name":"Denver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463</v>
      </c>
      <c r="B159" s="7">
        <v>4030</v>
      </c>
      <c r="C159" s="22" t="s">
        <v>225</v>
      </c>
      <c r="D159" s="22" t="s">
        <v>415</v>
      </c>
      <c r="E159" s="13">
        <v>42686.224918981483</v>
      </c>
      <c r="F159" s="13">
        <v>42686.226319444446</v>
      </c>
      <c r="G159" s="7">
        <v>1</v>
      </c>
      <c r="H159" s="22" t="s">
        <v>663</v>
      </c>
      <c r="I159" s="13">
        <v>42686.246793981481</v>
      </c>
      <c r="J159" s="7">
        <v>0</v>
      </c>
      <c r="K159" s="109" t="str">
        <f t="shared" si="66"/>
        <v>4029/4030</v>
      </c>
      <c r="L159" s="22" t="str">
        <f>VLOOKUP(A159,'Trips&amp;Operators'!$C$1:$E$10000,3,FALSE)</f>
        <v>ISHMAEL</v>
      </c>
      <c r="M159" s="6">
        <f t="shared" si="67"/>
        <v>2.0474537035624962E-2</v>
      </c>
      <c r="N159" s="7">
        <f t="shared" si="68"/>
        <v>29.483333331299946</v>
      </c>
      <c r="O159" s="7"/>
      <c r="P159" s="7"/>
      <c r="Q159" s="23"/>
      <c r="R159" s="23" t="s">
        <v>757</v>
      </c>
      <c r="S159" s="35">
        <f t="shared" si="69"/>
        <v>1</v>
      </c>
      <c r="T159" s="50" t="str">
        <f t="shared" si="7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04:23:53-700',mode:absolute,to:'2016-11-12 06:55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9" s="52" t="str">
        <f t="shared" si="72"/>
        <v>N</v>
      </c>
      <c r="X159" s="177">
        <f t="shared" si="73"/>
        <v>1554</v>
      </c>
      <c r="Y159" s="67">
        <f t="shared" si="74"/>
        <v>5.8625999999999996</v>
      </c>
      <c r="Z159" s="67">
        <f t="shared" si="75"/>
        <v>6.8199999999999997E-2</v>
      </c>
      <c r="AA159" s="67">
        <f t="shared" si="76"/>
        <v>5.7943999999999996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77"/>
        <v>1800-12</v>
      </c>
      <c r="AE159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59" s="88" t="str">
        <f t="shared" si="79"/>
        <v>"C:\Program Files (x86)\AstroGrep\AstroGrep.exe" /spath="%USERPROFILE%\AppData\Local\Temp\OnboardLogs" /stypes="app*4030*20161112*" /stext=" 12:.+((SYSTEM_STATE.+slice.+state.+changed )|(ment ac)|(system.+state.+changed )|(\[timeout)|(PRM\|1\|D)|(kpr)|(kdp)|(\|lc)|(penalty))" /e /r /s</v>
      </c>
      <c r="AG159" s="1" t="str">
        <f t="shared" si="80"/>
        <v>NW</v>
      </c>
      <c r="AH159" s="92" t="str">
        <f t="shared" si="81"/>
        <v>"%USERPROFILE%\Documents\GitHub\eaglep3\Utilities\RefineRTDCRunTimes.py" --tripid 1800-12 --locoid 4030 --swversion DE.1.0.8.0 --startMP 300:58626 --initTime 2016-11-12T05:23:53 --startdatetime 2016-11-12T05:25:54 --delay 1 --endMP 204:682 --enddatetime 2016-11-12T05:55:23 --enforcementcount 0 &gt;&gt;C:\Users\stu\Documents\GitHub\eaglep3-reporting\EC\2016-11-12-refined-times.txt</v>
      </c>
      <c r="AI159" s="119" t="str">
        <f t="shared" si="82"/>
        <v>echo {"issue":{"subject":"Delayed coming out of Westminster","project_id":79,"tracker_id":40,"status_id":1,"priority_id":2,"assigned_to_id":23,"start_date":"2016-11-12","description":"","custom_fields":[{"id":1,"name":"Subdivision","value":"NW"},{"id":4,"name":"Milepost","value":"0.0682"},{"id":17,"name":"Train ID","value":"1800-12"},{"id":16,"name":"Locomotive ID","value":"4030"},{"id":130,"name":"Impact","value":""},{"id":150,"name":"Time of Event (Mountain Time)","value":"05:55:23"},{"id":151,"name":"Denver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470</v>
      </c>
      <c r="B160" s="7">
        <v>4029</v>
      </c>
      <c r="C160" s="22" t="s">
        <v>225</v>
      </c>
      <c r="D160" s="22" t="s">
        <v>664</v>
      </c>
      <c r="E160" s="13">
        <v>42686.258252314816</v>
      </c>
      <c r="F160" s="13">
        <v>42686.264745370368</v>
      </c>
      <c r="G160" s="7">
        <v>1</v>
      </c>
      <c r="H160" s="22" t="s">
        <v>303</v>
      </c>
      <c r="I160" s="13">
        <v>42686.273923611108</v>
      </c>
      <c r="J160" s="7">
        <v>0</v>
      </c>
      <c r="K160" s="109" t="str">
        <f t="shared" si="66"/>
        <v>4029/4030</v>
      </c>
      <c r="L160" s="22" t="str">
        <f>VLOOKUP(A160,'Trips&amp;Operators'!$C$1:$E$10000,3,FALSE)</f>
        <v>ISHMAEL</v>
      </c>
      <c r="M160" s="6">
        <f t="shared" si="67"/>
        <v>9.1782407398568466E-3</v>
      </c>
      <c r="N160" s="7">
        <f t="shared" si="68"/>
        <v>13.216666665393859</v>
      </c>
      <c r="O160" s="7"/>
      <c r="P160" s="7"/>
      <c r="Q160" s="23"/>
      <c r="R160" s="23"/>
      <c r="S160" s="35">
        <f t="shared" si="69"/>
        <v>1</v>
      </c>
      <c r="T160" s="50" t="str">
        <f t="shared" si="7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05:11:53-700',mode:absolute,to:'2016-11-12 07:34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0" s="52" t="str">
        <f t="shared" si="72"/>
        <v>N</v>
      </c>
      <c r="X160" s="177">
        <f t="shared" si="73"/>
        <v>1</v>
      </c>
      <c r="Y160" s="67">
        <f t="shared" si="74"/>
        <v>9.8500000000000004E-2</v>
      </c>
      <c r="Z160" s="67">
        <f t="shared" si="75"/>
        <v>5.8936999999999999</v>
      </c>
      <c r="AA160" s="67">
        <f t="shared" si="76"/>
        <v>5.7952000000000004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77"/>
        <v>1801-12</v>
      </c>
      <c r="AE160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0" s="88" t="str">
        <f t="shared" si="79"/>
        <v>"C:\Program Files (x86)\AstroGrep\AstroGrep.exe" /spath="%USERPROFILE%\AppData\Local\Temp\OnboardLogs" /stypes="app*4029*20161112*" /stext=" 13:.+((SYSTEM_STATE.+slice.+state.+changed )|(ment ac)|(system.+state.+changed )|(\[timeout)|(PRM\|1\|D)|(kpr)|(kdp)|(\|lc)|(penalty))" /e /r /s</v>
      </c>
      <c r="AG160" s="1" t="str">
        <f t="shared" si="80"/>
        <v>NW</v>
      </c>
      <c r="AH160" s="92" t="str">
        <f t="shared" si="81"/>
        <v>"%USERPROFILE%\Documents\GitHub\eaglep3\Utilities\RefineRTDCRunTimes.py" --tripid 1801-12 --locoid 4029 --swversion DE.1.0.8.0 --startMP 204:985 --initTime 2016-11-12T06:11:53 --startdatetime 2016-11-12T06:21:14 --delay 1 --endMP 300:58937 --enddatetime 2016-11-12T06:34:27 --enforcementcount 0 &gt;&gt;C:\Users\stu\Documents\GitHub\eaglep3-reporting\EC\2016-11-12-refined-times.txt</v>
      </c>
      <c r="AI16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{"issue":{"subject":"","project_id":79,"tracker_id":40,"status_id":1,"priority_id":2,"assigned_to_id":23,"start_date":"2016-11-12","description":"","custom_fields":[{"id":1,"name":"Subdivision","value":"NW"},{"id":4,"name":"Milepost","value":"5.8937"},{"id":17,"name":"Train ID","value":"1801-12"},{"id":16,"name":"Locomotive ID","value":"4029"},{"id":130,"name":"Impact","value":""},{"id":150,"name":"Time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474</v>
      </c>
      <c r="B161" s="7">
        <v>4030</v>
      </c>
      <c r="C161" s="22" t="s">
        <v>225</v>
      </c>
      <c r="D161" s="22" t="s">
        <v>282</v>
      </c>
      <c r="E161" s="13">
        <v>42686.274756944447</v>
      </c>
      <c r="F161" s="13">
        <v>42686.275949074072</v>
      </c>
      <c r="G161" s="7">
        <v>1</v>
      </c>
      <c r="H161" s="22" t="s">
        <v>665</v>
      </c>
      <c r="I161" s="13">
        <v>42686.288159722222</v>
      </c>
      <c r="J161" s="7">
        <v>0</v>
      </c>
      <c r="K161" s="109" t="str">
        <f t="shared" si="66"/>
        <v>4029/4030</v>
      </c>
      <c r="L161" s="22" t="str">
        <f>VLOOKUP(A161,'Trips&amp;Operators'!$C$1:$E$10000,3,FALSE)</f>
        <v>ISHMAEL</v>
      </c>
      <c r="M161" s="6">
        <f t="shared" si="67"/>
        <v>1.2210648150357883E-2</v>
      </c>
      <c r="N161" s="7">
        <f t="shared" si="68"/>
        <v>17.583333336515352</v>
      </c>
      <c r="O161" s="7"/>
      <c r="P161" s="7"/>
      <c r="Q161" s="23"/>
      <c r="R161" s="23"/>
      <c r="S161" s="35">
        <f t="shared" si="69"/>
        <v>1</v>
      </c>
      <c r="T161" s="50" t="str">
        <f t="shared" si="7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05:35:39-700',mode:absolute,to:'2016-11-12 07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1" s="52" t="str">
        <f t="shared" si="72"/>
        <v>N</v>
      </c>
      <c r="X161" s="177">
        <f t="shared" si="73"/>
        <v>1</v>
      </c>
      <c r="Y161" s="67">
        <f t="shared" si="74"/>
        <v>5.8611000000000004</v>
      </c>
      <c r="Z161" s="67">
        <f t="shared" si="75"/>
        <v>6.6400000000000001E-2</v>
      </c>
      <c r="AA161" s="67">
        <f t="shared" si="76"/>
        <v>5.7947000000000006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77"/>
        <v>1802-12</v>
      </c>
      <c r="AE161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1" s="88" t="str">
        <f t="shared" si="79"/>
        <v>"C:\Program Files (x86)\AstroGrep\AstroGrep.exe" /spath="%USERPROFILE%\AppData\Local\Temp\OnboardLogs" /stypes="app*4030*20161112*" /stext=" 13:.+((SYSTEM_STATE.+slice.+state.+changed )|(ment ac)|(system.+state.+changed )|(\[timeout)|(PRM\|1\|D)|(kpr)|(kdp)|(\|lc)|(penalty))" /e /r /s</v>
      </c>
      <c r="AG161" s="1" t="str">
        <f t="shared" si="80"/>
        <v>NW</v>
      </c>
      <c r="AH161" s="92" t="str">
        <f t="shared" si="81"/>
        <v>"%USERPROFILE%\Documents\GitHub\eaglep3\Utilities\RefineRTDCRunTimes.py" --tripid 1802-12 --locoid 4030 --swversion DE.1.0.8.0 --startMP 300:58611 --initTime 2016-11-12T06:35:39 --startdatetime 2016-11-12T06:37:22 --delay 1 --endMP 204:664 --enddatetime 2016-11-12T06:54:57 --enforcementcount 0 &gt;&gt;C:\Users\stu\Documents\GitHub\eaglep3-reporting\EC\2016-11-12-refined-times.txt</v>
      </c>
      <c r="AI161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{"issue":{"subject":"","project_id":79,"tracker_id":40,"status_id":1,"priority_id":2,"assigned_to_id":23,"start_date":"2016-11-12","description":"","custom_fields":[{"id":1,"name":"Subdivision","value":"NW"},{"id":4,"name":"Milepost","value":"0.0664"},{"id":17,"name":"Train ID","value":"1802-12"},{"id":16,"name":"Locomotive ID","value":"4030"},{"id":130,"name":"Impact","value":""},{"id":150,"name":"Time of Event (Mountain Time)","value":"06:54:57"},{"id":151,"name":"Denver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481</v>
      </c>
      <c r="B162" s="7">
        <v>4029</v>
      </c>
      <c r="C162" s="22" t="s">
        <v>225</v>
      </c>
      <c r="D162" s="22" t="s">
        <v>304</v>
      </c>
      <c r="E162" s="13">
        <v>42686.301307870373</v>
      </c>
      <c r="F162" s="13">
        <v>42686.30641203704</v>
      </c>
      <c r="G162" s="7">
        <v>1</v>
      </c>
      <c r="H162" s="22" t="s">
        <v>416</v>
      </c>
      <c r="I162" s="13">
        <v>42686.315289351849</v>
      </c>
      <c r="J162" s="7">
        <v>0</v>
      </c>
      <c r="K162" s="109" t="str">
        <f t="shared" si="66"/>
        <v>4029/4030</v>
      </c>
      <c r="L162" s="22" t="str">
        <f>VLOOKUP(A162,'Trips&amp;Operators'!$C$1:$E$10000,3,FALSE)</f>
        <v>ISHMAEL</v>
      </c>
      <c r="M162" s="6">
        <f t="shared" si="67"/>
        <v>8.8773148090695031E-3</v>
      </c>
      <c r="N162" s="7">
        <f t="shared" si="68"/>
        <v>12.783333325060084</v>
      </c>
      <c r="O162" s="7"/>
      <c r="P162" s="7"/>
      <c r="Q162" s="23"/>
      <c r="R162" s="23"/>
      <c r="S162" s="35">
        <f t="shared" si="69"/>
        <v>1</v>
      </c>
      <c r="T162" s="50" t="str">
        <f t="shared" si="7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06:13:53-700',mode:absolute,to:'2016-11-12 08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2" s="52" t="str">
        <f t="shared" si="72"/>
        <v>N</v>
      </c>
      <c r="X162" s="177">
        <f t="shared" si="73"/>
        <v>1</v>
      </c>
      <c r="Y162" s="67">
        <f t="shared" si="74"/>
        <v>9.7900000000000001E-2</v>
      </c>
      <c r="Z162" s="67">
        <f t="shared" si="75"/>
        <v>5.8945999999999996</v>
      </c>
      <c r="AA162" s="67">
        <f t="shared" si="76"/>
        <v>5.7966999999999995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77"/>
        <v>1803-12</v>
      </c>
      <c r="AE162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2" s="88" t="str">
        <f t="shared" si="79"/>
        <v>"C:\Program Files (x86)\AstroGrep\AstroGrep.exe" /spath="%USERPROFILE%\AppData\Local\Temp\OnboardLogs" /stypes="app*4029*20161112*" /stext=" 14:.+((SYSTEM_STATE.+slice.+state.+changed )|(ment ac)|(system.+state.+changed )|(\[timeout)|(PRM\|1\|D)|(kpr)|(kdp)|(\|lc)|(penalty))" /e /r /s</v>
      </c>
      <c r="AG162" s="1" t="str">
        <f t="shared" si="80"/>
        <v>NW</v>
      </c>
      <c r="AH162" s="92" t="str">
        <f t="shared" si="81"/>
        <v>"%USERPROFILE%\Documents\GitHub\eaglep3\Utilities\RefineRTDCRunTimes.py" --tripid 1803-12 --locoid 4029 --swversion DE.1.0.8.0 --startMP 204:979 --initTime 2016-11-12T07:13:53 --startdatetime 2016-11-12T07:21:14 --delay 1 --endMP 300:58946 --enddatetime 2016-11-12T07:34:01 --enforcementcount 0 &gt;&gt;C:\Users\stu\Documents\GitHub\eaglep3-reporting\EC\2016-11-12-refined-times.txt</v>
      </c>
      <c r="AI16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{"issue":{"subject":"","project_id":79,"tracker_id":40,"status_id":1,"priority_id":2,"assigned_to_id":23,"start_date":"2016-11-12","description":"","custom_fields":[{"id":1,"name":"Subdivision","value":"NW"},{"id":4,"name":"Milepost","value":"5.8946"},{"id":17,"name":"Train ID","value":"1803-12"},{"id":16,"name":"Locomotive ID","value":"4029"},{"id":130,"name":"Impact","value":""},{"id":150,"name":"Time of Event (Mountain Time)","value":"07:34:01"},{"id":151,"name":"Denver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483</v>
      </c>
      <c r="B163" s="7">
        <v>4030</v>
      </c>
      <c r="C163" s="22" t="s">
        <v>225</v>
      </c>
      <c r="D163" s="22" t="s">
        <v>283</v>
      </c>
      <c r="E163" s="13">
        <v>42686.316238425927</v>
      </c>
      <c r="F163" s="13">
        <v>42686.317384259259</v>
      </c>
      <c r="G163" s="7">
        <v>1</v>
      </c>
      <c r="H163" s="22" t="s">
        <v>666</v>
      </c>
      <c r="I163" s="13">
        <v>42686.329421296294</v>
      </c>
      <c r="J163" s="7">
        <v>0</v>
      </c>
      <c r="K163" s="109" t="str">
        <f t="shared" si="66"/>
        <v>4029/4030</v>
      </c>
      <c r="L163" s="22" t="str">
        <f>VLOOKUP(A163,'Trips&amp;Operators'!$C$1:$E$10000,3,FALSE)</f>
        <v>ISHMAEL</v>
      </c>
      <c r="M163" s="6">
        <f t="shared" si="67"/>
        <v>1.2037037035042886E-2</v>
      </c>
      <c r="N163" s="7">
        <f t="shared" si="68"/>
        <v>17.333333330461755</v>
      </c>
      <c r="O163" s="7"/>
      <c r="P163" s="7"/>
      <c r="Q163" s="23"/>
      <c r="R163" s="23"/>
      <c r="S163" s="35">
        <f t="shared" si="69"/>
        <v>1</v>
      </c>
      <c r="T163" s="50" t="str">
        <f t="shared" si="7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06:35:23-700',mode:absolute,to:'2016-11-12 08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3" s="52" t="str">
        <f t="shared" si="72"/>
        <v>N</v>
      </c>
      <c r="X163" s="177">
        <f t="shared" si="73"/>
        <v>1</v>
      </c>
      <c r="Y163" s="67">
        <f t="shared" si="74"/>
        <v>5.8628</v>
      </c>
      <c r="Z163" s="67">
        <f t="shared" si="75"/>
        <v>6.8400000000000002E-2</v>
      </c>
      <c r="AA163" s="67">
        <f t="shared" si="76"/>
        <v>5.7944000000000004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77"/>
        <v>1804-12</v>
      </c>
      <c r="AE163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3" s="88" t="str">
        <f t="shared" si="79"/>
        <v>"C:\Program Files (x86)\AstroGrep\AstroGrep.exe" /spath="%USERPROFILE%\AppData\Local\Temp\OnboardLogs" /stypes="app*4030*20161112*" /stext=" 14:.+((SYSTEM_STATE.+slice.+state.+changed )|(ment ac)|(system.+state.+changed )|(\[timeout)|(PRM\|1\|D)|(kpr)|(kdp)|(\|lc)|(penalty))" /e /r /s</v>
      </c>
      <c r="AG163" s="1" t="str">
        <f t="shared" si="80"/>
        <v>NW</v>
      </c>
      <c r="AH163" s="92" t="str">
        <f t="shared" si="81"/>
        <v>"%USERPROFILE%\Documents\GitHub\eaglep3\Utilities\RefineRTDCRunTimes.py" --tripid 1804-12 --locoid 4030 --swversion DE.1.0.8.0 --startMP 300:58628 --initTime 2016-11-12T07:35:23 --startdatetime 2016-11-12T07:37:02 --delay 1 --endMP 204:684 --enddatetime 2016-11-12T07:54:22 --enforcementcount 0 &gt;&gt;C:\Users\stu\Documents\GitHub\eaglep3-reporting\EC\2016-11-12-refined-times.txt</v>
      </c>
      <c r="AI163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{"issue":{"subject":"","project_id":79,"tracker_id":40,"status_id":1,"priority_id":2,"assigned_to_id":23,"start_date":"2016-11-12","description":"","custom_fields":[{"id":1,"name":"Subdivision","value":"NW"},{"id":4,"name":"Milepost","value":"0.0684"},{"id":17,"name":"Train ID","value":"1804-12"},{"id":16,"name":"Locomotive ID","value":"4030"},{"id":130,"name":"Impact","value":""},{"id":150,"name":"Time of Event (Mountain Time)","value":"07:54:22"},{"id":151,"name":"Denver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488</v>
      </c>
      <c r="B164" s="7">
        <v>4029</v>
      </c>
      <c r="C164" s="22" t="s">
        <v>225</v>
      </c>
      <c r="D164" s="22" t="s">
        <v>413</v>
      </c>
      <c r="E164" s="13">
        <v>42686.343807870369</v>
      </c>
      <c r="F164" s="13">
        <v>42686.348090277781</v>
      </c>
      <c r="G164" s="7">
        <v>2</v>
      </c>
      <c r="H164" s="22" t="s">
        <v>667</v>
      </c>
      <c r="I164" s="13">
        <v>42686.356921296298</v>
      </c>
      <c r="J164" s="7">
        <v>0</v>
      </c>
      <c r="K164" s="109" t="str">
        <f t="shared" si="66"/>
        <v>4029/4030</v>
      </c>
      <c r="L164" s="22" t="str">
        <f>VLOOKUP(A164,'Trips&amp;Operators'!$C$1:$E$10000,3,FALSE)</f>
        <v>ISHMAEL</v>
      </c>
      <c r="M164" s="6">
        <f t="shared" si="67"/>
        <v>8.8310185165028088E-3</v>
      </c>
      <c r="N164" s="7">
        <f t="shared" si="68"/>
        <v>12.716666663764045</v>
      </c>
      <c r="O164" s="7"/>
      <c r="P164" s="7"/>
      <c r="Q164" s="23"/>
      <c r="R164" s="23"/>
      <c r="S164" s="35">
        <f t="shared" si="69"/>
        <v>1</v>
      </c>
      <c r="T164" s="50" t="str">
        <f t="shared" si="7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07:15:05-700',mode:absolute,to:'2016-11-12 09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4" s="52" t="str">
        <f t="shared" si="72"/>
        <v>N</v>
      </c>
      <c r="X164" s="177">
        <f t="shared" si="73"/>
        <v>1</v>
      </c>
      <c r="Y164" s="67">
        <f t="shared" si="74"/>
        <v>9.8599999999999993E-2</v>
      </c>
      <c r="Z164" s="67">
        <f t="shared" si="75"/>
        <v>5.8940999999999999</v>
      </c>
      <c r="AA164" s="67">
        <f t="shared" si="76"/>
        <v>5.7954999999999997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77"/>
        <v>1805-12</v>
      </c>
      <c r="AE164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4" s="88" t="str">
        <f t="shared" si="79"/>
        <v>"C:\Program Files (x86)\AstroGrep\AstroGrep.exe" /spath="%USERPROFILE%\AppData\Local\Temp\OnboardLogs" /stypes="app*4029*20161112*" /stext=" 15:.+((SYSTEM_STATE.+slice.+state.+changed )|(ment ac)|(system.+state.+changed )|(\[timeout)|(PRM\|1\|D)|(kpr)|(kdp)|(\|lc)|(penalty))" /e /r /s</v>
      </c>
      <c r="AG164" s="1" t="str">
        <f t="shared" si="80"/>
        <v>NW</v>
      </c>
      <c r="AH164" s="92" t="str">
        <f t="shared" si="81"/>
        <v>"%USERPROFILE%\Documents\GitHub\eaglep3\Utilities\RefineRTDCRunTimes.py" --tripid 1805-12 --locoid 4029 --swversion DE.1.0.8.0 --startMP 204:986 --initTime 2016-11-12T08:15:05 --startdatetime 2016-11-12T08:21:15 --delay 2 --endMP 300:58941 --enddatetime 2016-11-12T08:33:58 --enforcementcount 0 &gt;&gt;C:\Users\stu\Documents\GitHub\eaglep3-reporting\EC\2016-11-12-refined-times.txt</v>
      </c>
      <c r="AI164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{"issue":{"subject":"","project_id":79,"tracker_id":40,"status_id":1,"priority_id":2,"assigned_to_id":23,"start_date":"2016-11-12","description":"","custom_fields":[{"id":1,"name":"Subdivision","value":"NW"},{"id":4,"name":"Milepost","value":"5.8941"},{"id":17,"name":"Train ID","value":"1805-12"},{"id":16,"name":"Locomotive ID","value":"4029"},{"id":130,"name":"Impact","value":""},{"id":150,"name":"Time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423</v>
      </c>
      <c r="B165" s="7">
        <v>4030</v>
      </c>
      <c r="C165" s="22" t="s">
        <v>225</v>
      </c>
      <c r="D165" s="22" t="s">
        <v>668</v>
      </c>
      <c r="E165" s="13">
        <v>42686.357870370368</v>
      </c>
      <c r="F165" s="13">
        <v>42686.359074074076</v>
      </c>
      <c r="G165" s="7">
        <v>1</v>
      </c>
      <c r="H165" s="22" t="s">
        <v>669</v>
      </c>
      <c r="I165" s="13">
        <v>42686.37190972222</v>
      </c>
      <c r="J165" s="7">
        <v>0</v>
      </c>
      <c r="K165" s="109" t="str">
        <f t="shared" si="66"/>
        <v>4029/4030</v>
      </c>
      <c r="L165" s="22" t="str">
        <f>VLOOKUP(A165,'Trips&amp;Operators'!$C$1:$E$10000,3,FALSE)</f>
        <v>ISHMAEL</v>
      </c>
      <c r="M165" s="6">
        <f t="shared" si="67"/>
        <v>1.2835648143664002E-2</v>
      </c>
      <c r="N165" s="7">
        <f t="shared" si="68"/>
        <v>18.483333326876163</v>
      </c>
      <c r="O165" s="7"/>
      <c r="P165" s="7"/>
      <c r="Q165" s="23"/>
      <c r="R165" s="23"/>
      <c r="S165" s="35">
        <f t="shared" si="69"/>
        <v>1</v>
      </c>
      <c r="T165" s="50" t="str">
        <f t="shared" si="7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07:35:20-700',mode:absolute,to:'2016-11-12 09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5" s="52" t="str">
        <f t="shared" si="72"/>
        <v>N</v>
      </c>
      <c r="X165" s="177">
        <f t="shared" si="73"/>
        <v>1</v>
      </c>
      <c r="Y165" s="67">
        <f t="shared" si="74"/>
        <v>5.8643000000000001</v>
      </c>
      <c r="Z165" s="67">
        <f t="shared" si="75"/>
        <v>6.6299999999999998E-2</v>
      </c>
      <c r="AA165" s="67">
        <f t="shared" si="76"/>
        <v>5.798</v>
      </c>
      <c r="AB165" s="64" t="str">
        <f>VLOOKUP(A165,Enforcements!$C$7:$K$20,8,0)</f>
        <v>Speed (6)</v>
      </c>
      <c r="AC165" s="60" t="str">
        <f>VLOOKUP(A165,Enforcements!$C$7:$E$20,3,0)</f>
        <v>PERMANENT SPEED RESTRICTION</v>
      </c>
      <c r="AD165" s="61" t="str">
        <f t="shared" si="77"/>
        <v>1806-12</v>
      </c>
      <c r="AE165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5" s="88" t="str">
        <f t="shared" si="79"/>
        <v>"C:\Program Files (x86)\AstroGrep\AstroGrep.exe" /spath="%USERPROFILE%\AppData\Local\Temp\OnboardLogs" /stypes="app*4030*20161112*" /stext=" 15:.+((SYSTEM_STATE.+slice.+state.+changed )|(ment ac)|(system.+state.+changed )|(\[timeout)|(PRM\|1\|D)|(kpr)|(kdp)|(\|lc)|(penalty))" /e /r /s</v>
      </c>
      <c r="AG165" s="1" t="str">
        <f t="shared" si="80"/>
        <v>NW</v>
      </c>
      <c r="AH165" s="92" t="str">
        <f t="shared" si="81"/>
        <v>"%USERPROFILE%\Documents\GitHub\eaglep3\Utilities\RefineRTDCRunTimes.py" --tripid 1806-12 --locoid 4030 --swversion DE.1.0.8.0 --startMP 300:58643 --initTime 2016-11-12T08:35:20 --startdatetime 2016-11-12T08:37:04 --delay 1 --endMP 204:663 --enddatetime 2016-11-12T08:55:33 --enforcementcount 0 &gt;&gt;C:\Users\stu\Documents\GitHub\eaglep3-reporting\EC\2016-11-12-refined-times.txt</v>
      </c>
      <c r="AI165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{"issue":{"subject":"","project_id":79,"tracker_id":40,"status_id":1,"priority_id":2,"assigned_to_id":23,"start_date":"2016-11-12","description":"","custom_fields":[{"id":1,"name":"Subdivision","value":"NW"},{"id":4,"name":"Milepost","value":"0.0663"},{"id":17,"name":"Train ID","value":"1806-12"},{"id":16,"name":"Locomotive ID","value":"4030"},{"id":130,"name":"Impact","value":""},{"id":150,"name":"Time of Event (Mountain Time)","value":"08:55:33"},{"id":151,"name":"Denver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424</v>
      </c>
      <c r="B166" s="7">
        <v>4029</v>
      </c>
      <c r="C166" s="22" t="s">
        <v>225</v>
      </c>
      <c r="D166" s="22" t="s">
        <v>418</v>
      </c>
      <c r="E166" s="13">
        <v>42686.383414351854</v>
      </c>
      <c r="F166" s="13">
        <v>42686.389768518522</v>
      </c>
      <c r="G166" s="7">
        <v>0</v>
      </c>
      <c r="H166" s="22" t="s">
        <v>670</v>
      </c>
      <c r="I166" s="13">
        <v>42686.39912037037</v>
      </c>
      <c r="J166" s="7">
        <v>0</v>
      </c>
      <c r="K166" s="109" t="str">
        <f t="shared" si="66"/>
        <v>4029/4030</v>
      </c>
      <c r="L166" s="22" t="str">
        <f>VLOOKUP(A166,'Trips&amp;Operators'!$C$1:$E$10000,3,FALSE)</f>
        <v>ISHMAEL</v>
      </c>
      <c r="M166" s="6">
        <f t="shared" si="67"/>
        <v>9.3518518478958867E-3</v>
      </c>
      <c r="N166" s="7">
        <f t="shared" si="68"/>
        <v>13.466666660970077</v>
      </c>
      <c r="O166" s="7"/>
      <c r="P166" s="7"/>
      <c r="Q166" s="23"/>
      <c r="R166" s="23"/>
      <c r="S166" s="35">
        <f t="shared" si="69"/>
        <v>1</v>
      </c>
      <c r="T166" s="50" t="str">
        <f t="shared" si="7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08:12:07-700',mode:absolute,to:'2016-11-12 10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6" s="52" t="str">
        <f t="shared" si="72"/>
        <v>N</v>
      </c>
      <c r="X166" s="177">
        <f t="shared" si="73"/>
        <v>1</v>
      </c>
      <c r="Y166" s="67">
        <f t="shared" si="74"/>
        <v>9.6699999999999994E-2</v>
      </c>
      <c r="Z166" s="67">
        <f t="shared" si="75"/>
        <v>5.8935000000000004</v>
      </c>
      <c r="AA166" s="67">
        <f t="shared" si="76"/>
        <v>5.7968000000000002</v>
      </c>
      <c r="AB166" s="64" t="str">
        <f>VLOOKUP(A166,Enforcements!$C$7:$K$20,8,0)</f>
        <v>Speed (6)</v>
      </c>
      <c r="AC166" s="60" t="str">
        <f>VLOOKUP(A166,Enforcements!$C$7:$E$20,3,0)</f>
        <v>PERMANENT SPEED RESTRICTION</v>
      </c>
      <c r="AD166" s="61" t="str">
        <f t="shared" si="77"/>
        <v>1807-12</v>
      </c>
      <c r="AE166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6" s="88" t="str">
        <f t="shared" si="79"/>
        <v>"C:\Program Files (x86)\AstroGrep\AstroGrep.exe" /spath="%USERPROFILE%\AppData\Local\Temp\OnboardLogs" /stypes="app*4029*20161112*" /stext=" 16:.+((SYSTEM_STATE.+slice.+state.+changed )|(ment ac)|(system.+state.+changed )|(\[timeout)|(PRM\|1\|D)|(kpr)|(kdp)|(\|lc)|(penalty))" /e /r /s</v>
      </c>
      <c r="AG166" s="1" t="str">
        <f t="shared" si="80"/>
        <v>NW</v>
      </c>
      <c r="AH166" s="92" t="str">
        <f t="shared" si="81"/>
        <v>"%USERPROFILE%\Documents\GitHub\eaglep3\Utilities\RefineRTDCRunTimes.py" --tripid 1807-12 --locoid 4029 --swversion DE.1.0.8.0 --startMP 204:967 --initTime 2016-11-12T09:12:07 --startdatetime 2016-11-12T09:21:16 --delay 0 --endMP 300:58935 --enddatetime 2016-11-12T09:34:44 --enforcementcount 0 &gt;&gt;C:\Users\stu\Documents\GitHub\eaglep3-reporting\EC\2016-11-12-refined-times.txt</v>
      </c>
      <c r="AI166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{"issue":{"subject":"","project_id":79,"tracker_id":40,"status_id":1,"priority_id":2,"assigned_to_id":23,"start_date":"2016-11-12","description":"","custom_fields":[{"id":1,"name":"Subdivision","value":"NW"},{"id":4,"name":"Milepost","value":"5.8935"},{"id":17,"name":"Train ID","value":"1807-12"},{"id":16,"name":"Locomotive ID","value":"4029"},{"id":130,"name":"Impact","value":""},{"id":150,"name":"Time of Event (Mountain Time)","value":"09:34:44"},{"id":151,"name":"Denver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500</v>
      </c>
      <c r="B167" s="7">
        <v>4030</v>
      </c>
      <c r="C167" s="22" t="s">
        <v>225</v>
      </c>
      <c r="D167" s="22" t="s">
        <v>355</v>
      </c>
      <c r="E167" s="13">
        <v>42686.400057870371</v>
      </c>
      <c r="F167" s="13">
        <v>42686.401180555556</v>
      </c>
      <c r="G167" s="7">
        <v>0</v>
      </c>
      <c r="H167" s="22" t="s">
        <v>671</v>
      </c>
      <c r="I167" s="13">
        <v>42686.412777777776</v>
      </c>
      <c r="J167" s="7">
        <v>0</v>
      </c>
      <c r="K167" s="109" t="str">
        <f t="shared" si="66"/>
        <v>4029/4030</v>
      </c>
      <c r="L167" s="22" t="str">
        <f>VLOOKUP(A167,'Trips&amp;Operators'!$C$1:$E$10000,3,FALSE)</f>
        <v>ISHMAEL</v>
      </c>
      <c r="M167" s="6">
        <f t="shared" si="67"/>
        <v>1.1597222219279502E-2</v>
      </c>
      <c r="N167" s="7">
        <f t="shared" si="68"/>
        <v>16.699999995762482</v>
      </c>
      <c r="O167" s="7"/>
      <c r="P167" s="7"/>
      <c r="Q167" s="23"/>
      <c r="R167" s="23"/>
      <c r="S167" s="35">
        <f t="shared" si="69"/>
        <v>1</v>
      </c>
      <c r="T167" s="50" t="str">
        <f t="shared" si="7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08:36:05-700',mode:absolute,to:'2016-11-12 10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7" s="52" t="str">
        <f t="shared" si="72"/>
        <v>N</v>
      </c>
      <c r="X167" s="177">
        <f t="shared" si="73"/>
        <v>1</v>
      </c>
      <c r="Y167" s="67">
        <f t="shared" si="74"/>
        <v>5.8613</v>
      </c>
      <c r="Z167" s="67">
        <f t="shared" si="75"/>
        <v>6.7500000000000004E-2</v>
      </c>
      <c r="AA167" s="67">
        <f t="shared" si="76"/>
        <v>5.7938000000000001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77"/>
        <v>1808-12</v>
      </c>
      <c r="AE167" s="91" t="str">
        <f t="shared" si="78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7" s="88" t="str">
        <f t="shared" si="79"/>
        <v>"C:\Program Files (x86)\AstroGrep\AstroGrep.exe" /spath="%USERPROFILE%\AppData\Local\Temp\OnboardLogs" /stypes="app*4030*20161112*" /stext=" 16:.+((SYSTEM_STATE.+slice.+state.+changed )|(ment ac)|(system.+state.+changed )|(\[timeout)|(PRM\|1\|D)|(kpr)|(kdp)|(\|lc)|(penalty))" /e /r /s</v>
      </c>
      <c r="AG167" s="1" t="str">
        <f t="shared" si="80"/>
        <v>NW</v>
      </c>
      <c r="AH167" s="92" t="str">
        <f t="shared" si="81"/>
        <v>"%USERPROFILE%\Documents\GitHub\eaglep3\Utilities\RefineRTDCRunTimes.py" --tripid 1808-12 --locoid 4030 --swversion DE.1.0.8.0 --startMP 300:58613 --initTime 2016-11-12T09:36:05 --startdatetime 2016-11-12T09:37:42 --delay 0 --endMP 204:675 --enddatetime 2016-11-12T09:54:24 --enforcementcount 0 &gt;&gt;C:\Users\stu\Documents\GitHub\eaglep3-reporting\EC\2016-11-12-refined-times.txt</v>
      </c>
      <c r="AI167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{"issue":{"subject":"","project_id":79,"tracker_id":40,"status_id":1,"priority_id":2,"assigned_to_id":23,"start_date":"2016-11-12","description":"","custom_fields":[{"id":1,"name":"Subdivision","value":"NW"},{"id":4,"name":"Milepost","value":"0.0675"},{"id":17,"name":"Train ID","value":"1808-12"},{"id":16,"name":"Locomotive ID","value":"4030"},{"id":130,"name":"Impact","value":""},{"id":150,"name":"Time of Event (Mountain Time)","value":"09:54:24"},{"id":151,"name":"Denver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504</v>
      </c>
      <c r="B168" s="7">
        <v>4029</v>
      </c>
      <c r="C168" s="22" t="s">
        <v>225</v>
      </c>
      <c r="D168" s="22" t="s">
        <v>672</v>
      </c>
      <c r="E168" s="13">
        <v>42686.426863425928</v>
      </c>
      <c r="F168" s="13">
        <v>42686.431423611109</v>
      </c>
      <c r="G168" s="7">
        <v>1</v>
      </c>
      <c r="H168" s="22" t="s">
        <v>414</v>
      </c>
      <c r="I168" s="13">
        <v>42686.440254629626</v>
      </c>
      <c r="J168" s="7">
        <v>0</v>
      </c>
      <c r="K168" s="109" t="str">
        <f t="shared" si="66"/>
        <v>4029/4030</v>
      </c>
      <c r="L168" s="22" t="str">
        <f>VLOOKUP(A168,'Trips&amp;Operators'!$C$1:$E$10000,3,FALSE)</f>
        <v>ISHMAEL</v>
      </c>
      <c r="M168" s="6">
        <f t="shared" si="67"/>
        <v>8.8310185165028088E-3</v>
      </c>
      <c r="N168" s="7">
        <f t="shared" si="68"/>
        <v>12.716666663764045</v>
      </c>
      <c r="O168" s="7"/>
      <c r="P168" s="7"/>
      <c r="Q168" s="23"/>
      <c r="R168" s="23"/>
      <c r="S168" s="35">
        <f t="shared" si="69"/>
        <v>1</v>
      </c>
      <c r="T168" s="50" t="str">
        <f t="shared" si="7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1"/>
        <v>https://search-rtdc-monitor-bjffxe2xuh6vdkpspy63sjmuny.us-east-1.es.amazonaws.com/_plugin/kibana/#/discover/Steve-Slow-Train-Analysis-(2080s-and-2083s)?_g=(refreshInterval:(display:Off,section:0,value:0),time:(from:'2016-11-12 09:14:41-700',mode:absolute,to:'2016-11-12 11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8" s="52" t="str">
        <f t="shared" si="72"/>
        <v>N</v>
      </c>
      <c r="X168" s="177">
        <f t="shared" si="73"/>
        <v>1</v>
      </c>
      <c r="Y168" s="67">
        <f t="shared" si="74"/>
        <v>9.7100000000000006E-2</v>
      </c>
      <c r="Z168" s="67">
        <f t="shared" si="75"/>
        <v>5.8939000000000004</v>
      </c>
      <c r="AA168" s="67">
        <f t="shared" si="76"/>
        <v>5.7968000000000002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77"/>
        <v>1809-12</v>
      </c>
      <c r="AE168" s="91" t="str">
        <f t="shared" si="78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68" s="88" t="str">
        <f t="shared" si="79"/>
        <v>"C:\Program Files (x86)\AstroGrep\AstroGrep.exe" /spath="%USERPROFILE%\AppData\Local\Temp\OnboardLogs" /stypes="app*4029*20161112*" /stext=" 17:.+((SYSTEM_STATE.+slice.+state.+changed )|(ment ac)|(system.+state.+changed )|(\[timeout)|(PRM\|1\|D)|(kpr)|(kdp)|(\|lc)|(penalty))" /e /r /s</v>
      </c>
      <c r="AG168" s="1" t="str">
        <f t="shared" si="80"/>
        <v>NW</v>
      </c>
      <c r="AH168" s="92" t="str">
        <f t="shared" si="81"/>
        <v>"%USERPROFILE%\Documents\GitHub\eaglep3\Utilities\RefineRTDCRunTimes.py" --tripid 1809-12 --locoid 4029 --swversion DE.1.0.8.0 --startMP 204:971 --initTime 2016-11-12T10:14:41 --startdatetime 2016-11-12T10:21:15 --delay 1 --endMP 300:58939 --enddatetime 2016-11-12T10:33:58 --enforcementcount 0 &gt;&gt;C:\Users\stu\Documents\GitHub\eaglep3-reporting\EC\2016-11-12-refined-times.txt</v>
      </c>
      <c r="AI168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{"issue":{"subject":"","project_id":79,"tracker_id":40,"status_id":1,"priority_id":2,"assigned_to_id":23,"start_date":"2016-11-12","description":"","custom_fields":[{"id":1,"name":"Subdivision","value":"NW"},{"id":4,"name":"Milepost","value":"5.8939"},{"id":17,"name":"Train ID","value":"1809-12"},{"id":16,"name":"Locomotive ID","value":"4029"},{"id":130,"name":"Impact","value":""},{"id":150,"name":"Time of Event (Mountain Time)","value":"10:33:58"},{"id":151,"name":"Denver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507</v>
      </c>
      <c r="B169" s="7">
        <v>4030</v>
      </c>
      <c r="C169" s="22" t="s">
        <v>225</v>
      </c>
      <c r="D169" s="22" t="s">
        <v>673</v>
      </c>
      <c r="E169" s="13">
        <v>42686.441145833334</v>
      </c>
      <c r="F169" s="13">
        <v>42686.442361111112</v>
      </c>
      <c r="G169" s="7">
        <v>1</v>
      </c>
      <c r="H169" s="22" t="s">
        <v>674</v>
      </c>
      <c r="I169" s="13">
        <v>42686.454479166663</v>
      </c>
      <c r="J169" s="7">
        <v>0</v>
      </c>
      <c r="K169" s="109" t="str">
        <f t="shared" ref="K169:K201" si="83">IF(ISEVEN(B169),(B169-1)&amp;"/"&amp;B169,B169&amp;"/"&amp;(B169+1))</f>
        <v>4029/4030</v>
      </c>
      <c r="L169" s="22" t="str">
        <f>VLOOKUP(A169,'Trips&amp;Operators'!$C$1:$E$10000,3,FALSE)</f>
        <v>ISHMAEL</v>
      </c>
      <c r="M169" s="6">
        <f t="shared" ref="M169:M201" si="84">I169-F169</f>
        <v>1.211805555067258E-2</v>
      </c>
      <c r="N169" s="7">
        <f t="shared" ref="N169:N201" si="85">24*60*SUM($M169:$M169)</f>
        <v>17.449999992968515</v>
      </c>
      <c r="O169" s="7"/>
      <c r="P169" s="7"/>
      <c r="Q169" s="23"/>
      <c r="R169" s="23"/>
      <c r="S169" s="35">
        <f t="shared" ref="S169:S201" si="86">SUM(U169:U169)/IF(AG169="EC",12,1)</f>
        <v>1</v>
      </c>
      <c r="T169" s="50" t="str">
        <f t="shared" ref="T169:T201" si="87">IF(ISEVEN(LEFT(AD169,4)),"Southbound","NorthBound")</f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ref="V169:V201" si="88"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https://search-rtdc-monitor-bjffxe2xuh6vdkpspy63sjmuny.us-east-1.es.amazonaws.com/_plugin/kibana/#/discover/Steve-Slow-Train-Analysis-(2080s-and-2083s)?_g=(refreshInterval:(display:Off,section:0,value:0),time:(from:'2016-11-12 09:35:15-700',mode:absolute,to:'2016-11-12 11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9" s="52" t="str">
        <f t="shared" ref="W169:W201" si="89">IF(AA169&lt;IF(AG169="EC",23,5.65),"Y","N")</f>
        <v>N</v>
      </c>
      <c r="X169" s="177">
        <f t="shared" ref="X169:X201" si="90">VALUE(LEFT(AD169,4))-VALUE(LEFT(AD168,4))</f>
        <v>1</v>
      </c>
      <c r="Y169" s="67">
        <f t="shared" ref="Y169:Y201" si="91">RIGHT(D169,LEN(D169)-4)/10000</f>
        <v>5.8630000000000004</v>
      </c>
      <c r="Z169" s="67">
        <f t="shared" ref="Z169:Z201" si="92">RIGHT(H169,LEN(H169)-4)/10000</f>
        <v>6.8500000000000005E-2</v>
      </c>
      <c r="AA169" s="67">
        <f t="shared" ref="AA169:AA201" si="93">ABS(Z169-Y169)</f>
        <v>5.7945000000000002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ref="AD169:AD201" si="94">IF(LEN(A169)=6,"0"&amp;A169,A169)</f>
        <v>1810-12</v>
      </c>
      <c r="AE169" s="91" t="str">
        <f t="shared" ref="AE169:AE201" si="95"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69" s="88" t="str">
        <f t="shared" ref="AF169:AF201" si="96"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/stypes="app*4030*20161112*" /stext=" 17:.+((SYSTEM_STATE.+slice.+state.+changed )|(ment ac)|(system.+state.+changed )|(\[timeout)|(PRM\|1\|D)|(kpr)|(kdp)|(\|lc)|(penalty))" /e /r /s</v>
      </c>
      <c r="AG169" s="1" t="str">
        <f t="shared" ref="AG169:AG201" si="97">IFERROR(IF(VALUE(LEFT(AD169,2))&lt;=2,"EC",IF(OR(VALUE(LEFT(AD169,2))=8,VALUE(LEFT(AD169,2))=18),"NW","Other")),"Other")</f>
        <v>NW</v>
      </c>
      <c r="AH169" s="92" t="str">
        <f t="shared" si="81"/>
        <v>"%USERPROFILE%\Documents\GitHub\eaglep3\Utilities\RefineRTDCRunTimes.py" --tripid 1810-12 --locoid 4030 --swversion DE.1.0.8.0 --startMP 300:58630 --initTime 2016-11-12T10:35:15 --startdatetime 2016-11-12T10:37:00 --delay 1 --endMP 204:685 --enddatetime 2016-11-12T10:54:27 --enforcementcount 0 &gt;&gt;C:\Users\stu\Documents\GitHub\eaglep3-reporting\EC\2016-11-12-refined-times.txt</v>
      </c>
      <c r="AI169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{"issue":{"subject":"","project_id":79,"tracker_id":40,"status_id":1,"priority_id":2,"assigned_to_id":23,"start_date":"2016-11-12","description":"","custom_fields":[{"id":1,"name":"Subdivision","value":"NW"},{"id":4,"name":"Milepost","value":"0.0685"},{"id":17,"name":"Train ID","value":"1810-12"},{"id":16,"name":"Locomotive ID","value":"4030"},{"id":130,"name":"Impact","value":""},{"id":150,"name":"Time of Event (Mountain Time)","value":"10:54:27"},{"id":151,"name":"Denver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515</v>
      </c>
      <c r="B170" s="7">
        <v>4029</v>
      </c>
      <c r="C170" s="22" t="s">
        <v>225</v>
      </c>
      <c r="D170" s="22" t="s">
        <v>675</v>
      </c>
      <c r="E170" s="13">
        <v>42686.469189814816</v>
      </c>
      <c r="F170" s="13">
        <v>42686.473090277781</v>
      </c>
      <c r="G170" s="7">
        <v>1</v>
      </c>
      <c r="H170" s="22" t="s">
        <v>676</v>
      </c>
      <c r="I170" s="13">
        <v>42686.481944444444</v>
      </c>
      <c r="J170" s="7">
        <v>0</v>
      </c>
      <c r="K170" s="109" t="str">
        <f t="shared" si="83"/>
        <v>4029/4030</v>
      </c>
      <c r="L170" s="22" t="str">
        <f>VLOOKUP(A170,'Trips&amp;Operators'!$C$1:$E$10000,3,FALSE)</f>
        <v>ISHMAEL</v>
      </c>
      <c r="M170" s="6">
        <f t="shared" si="84"/>
        <v>8.8541666627861559E-3</v>
      </c>
      <c r="N170" s="7">
        <f t="shared" si="85"/>
        <v>12.749999994412065</v>
      </c>
      <c r="O170" s="7"/>
      <c r="P170" s="7"/>
      <c r="Q170" s="23"/>
      <c r="R170" s="23"/>
      <c r="S170" s="35">
        <f t="shared" si="86"/>
        <v>1</v>
      </c>
      <c r="T170" s="50" t="str">
        <f t="shared" si="87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10:15:38-700',mode:absolute,to:'2016-11-12 12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0" s="52" t="str">
        <f t="shared" si="89"/>
        <v>N</v>
      </c>
      <c r="X170" s="177">
        <f t="shared" si="90"/>
        <v>1</v>
      </c>
      <c r="Y170" s="67">
        <f t="shared" si="91"/>
        <v>9.7799999999999998E-2</v>
      </c>
      <c r="Z170" s="67">
        <f t="shared" si="92"/>
        <v>5.8949999999999996</v>
      </c>
      <c r="AA170" s="67">
        <f t="shared" si="93"/>
        <v>5.7971999999999992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94"/>
        <v>1811-12</v>
      </c>
      <c r="AE170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0" s="88" t="str">
        <f t="shared" si="96"/>
        <v>"C:\Program Files (x86)\AstroGrep\AstroGrep.exe" /spath="%USERPROFILE%\AppData\Local\Temp\OnboardLogs" /stypes="app*4029*20161112*" /stext=" 18:.+((SYSTEM_STATE.+slice.+state.+changed )|(ment ac)|(system.+state.+changed )|(\[timeout)|(PRM\|1\|D)|(kpr)|(kdp)|(\|lc)|(penalty))" /e /r /s</v>
      </c>
      <c r="AG170" s="1" t="str">
        <f t="shared" si="97"/>
        <v>NW</v>
      </c>
      <c r="AH170" s="92" t="str">
        <f t="shared" si="81"/>
        <v>"%USERPROFILE%\Documents\GitHub\eaglep3\Utilities\RefineRTDCRunTimes.py" --tripid 1811-12 --locoid 4029 --swversion DE.1.0.8.0 --startMP 204:978 --initTime 2016-11-12T11:15:38 --startdatetime 2016-11-12T11:21:15 --delay 1 --endMP 300:58950 --enddatetime 2016-11-12T11:34:00 --enforcementcount 0 &gt;&gt;C:\Users\stu\Documents\GitHub\eaglep3-reporting\EC\2016-11-12-refined-times.txt</v>
      </c>
      <c r="AI17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{"issue":{"subject":"","project_id":79,"tracker_id":40,"status_id":1,"priority_id":2,"assigned_to_id":23,"start_date":"2016-11-12","description":"","custom_fields":[{"id":1,"name":"Subdivision","value":"NW"},{"id":4,"name":"Milepost","value":"5.895"},{"id":17,"name":"Train ID","value":"1811-12"},{"id":16,"name":"Locomotive ID","value":"4029"},{"id":130,"name":"Impact","value":""},{"id":150,"name":"Time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518</v>
      </c>
      <c r="B171" s="7">
        <v>4030</v>
      </c>
      <c r="C171" s="22" t="s">
        <v>225</v>
      </c>
      <c r="D171" s="22" t="s">
        <v>677</v>
      </c>
      <c r="E171" s="13">
        <v>42686.482766203706</v>
      </c>
      <c r="F171" s="13">
        <v>42686.483981481484</v>
      </c>
      <c r="G171" s="7">
        <v>1</v>
      </c>
      <c r="H171" s="22" t="s">
        <v>666</v>
      </c>
      <c r="I171" s="13">
        <v>42686.496527777781</v>
      </c>
      <c r="J171" s="7">
        <v>0</v>
      </c>
      <c r="K171" s="109" t="str">
        <f t="shared" si="83"/>
        <v>4029/4030</v>
      </c>
      <c r="L171" s="22" t="str">
        <f>VLOOKUP(A171,'Trips&amp;Operators'!$C$1:$E$10000,3,FALSE)</f>
        <v>ISHMAEL</v>
      </c>
      <c r="M171" s="6">
        <f t="shared" si="84"/>
        <v>1.2546296296932269E-2</v>
      </c>
      <c r="N171" s="7">
        <f t="shared" si="85"/>
        <v>18.066666667582467</v>
      </c>
      <c r="O171" s="7"/>
      <c r="P171" s="7"/>
      <c r="Q171" s="23"/>
      <c r="R171" s="23"/>
      <c r="S171" s="35">
        <f t="shared" si="86"/>
        <v>1</v>
      </c>
      <c r="T171" s="50" t="str">
        <f t="shared" si="87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10:35:11-700',mode:absolute,to:'2016-11-12 12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1" s="52" t="str">
        <f t="shared" si="89"/>
        <v>N</v>
      </c>
      <c r="X171" s="177">
        <f t="shared" si="90"/>
        <v>1</v>
      </c>
      <c r="Y171" s="67">
        <f t="shared" si="91"/>
        <v>5.8638000000000003</v>
      </c>
      <c r="Z171" s="67">
        <f t="shared" si="92"/>
        <v>6.8400000000000002E-2</v>
      </c>
      <c r="AA171" s="67">
        <f t="shared" si="93"/>
        <v>5.7954000000000008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94"/>
        <v>1812-12</v>
      </c>
      <c r="AE171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1" s="88" t="str">
        <f t="shared" si="96"/>
        <v>"C:\Program Files (x86)\AstroGrep\AstroGrep.exe" /spath="%USERPROFILE%\AppData\Local\Temp\OnboardLogs" /stypes="app*4030*20161112*" /stext=" 18:.+((SYSTEM_STATE.+slice.+state.+changed )|(ment ac)|(system.+state.+changed )|(\[timeout)|(PRM\|1\|D)|(kpr)|(kdp)|(\|lc)|(penalty))" /e /r /s</v>
      </c>
      <c r="AG171" s="1" t="str">
        <f t="shared" si="97"/>
        <v>NW</v>
      </c>
      <c r="AH171" s="92" t="str">
        <f t="shared" si="81"/>
        <v>"%USERPROFILE%\Documents\GitHub\eaglep3\Utilities\RefineRTDCRunTimes.py" --tripid 1812-12 --locoid 4030 --swversion DE.1.0.8.0 --startMP 300:58638 --initTime 2016-11-12T11:35:11 --startdatetime 2016-11-12T11:36:56 --delay 1 --endMP 204:684 --enddatetime 2016-11-12T11:55:00 --enforcementcount 0 &gt;&gt;C:\Users\stu\Documents\GitHub\eaglep3-reporting\EC\2016-11-12-refined-times.txt</v>
      </c>
      <c r="AI171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{"issue":{"subject":"","project_id":79,"tracker_id":40,"status_id":1,"priority_id":2,"assigned_to_id":23,"start_date":"2016-11-12","description":"","custom_fields":[{"id":1,"name":"Subdivision","value":"NW"},{"id":4,"name":"Milepost","value":"0.0684"},{"id":17,"name":"Train ID","value":"1812-12"},{"id":16,"name":"Locomotive ID","value":"4030"},{"id":130,"name":"Impact","value":""},{"id":150,"name":"Time of Event (Mountain Time)","value":"11:55:00"},{"id":151,"name":"Denver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525</v>
      </c>
      <c r="B172" s="7">
        <v>4029</v>
      </c>
      <c r="C172" s="22" t="s">
        <v>225</v>
      </c>
      <c r="D172" s="22" t="s">
        <v>678</v>
      </c>
      <c r="E172" s="13">
        <v>42686.511944444443</v>
      </c>
      <c r="F172" s="13">
        <v>42686.514745370368</v>
      </c>
      <c r="G172" s="7">
        <v>0</v>
      </c>
      <c r="H172" s="22" t="s">
        <v>679</v>
      </c>
      <c r="I172" s="13">
        <v>42686.523715277777</v>
      </c>
      <c r="J172" s="7">
        <v>0</v>
      </c>
      <c r="K172" s="109" t="str">
        <f t="shared" si="83"/>
        <v>4029/4030</v>
      </c>
      <c r="L172" s="22" t="str">
        <f>VLOOKUP(A172,'Trips&amp;Operators'!$C$1:$E$10000,3,FALSE)</f>
        <v>ISHMAEL</v>
      </c>
      <c r="M172" s="6">
        <f t="shared" si="84"/>
        <v>8.969907408754807E-3</v>
      </c>
      <c r="N172" s="7">
        <f t="shared" si="85"/>
        <v>12.916666668606922</v>
      </c>
      <c r="O172" s="7"/>
      <c r="P172" s="7"/>
      <c r="Q172" s="23"/>
      <c r="R172" s="23"/>
      <c r="S172" s="35">
        <f t="shared" si="86"/>
        <v>1</v>
      </c>
      <c r="T172" s="50" t="str">
        <f t="shared" si="87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11:17:12-700',mode:absolute,to:'2016-11-12 13:34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2" s="52" t="str">
        <f t="shared" si="89"/>
        <v>N</v>
      </c>
      <c r="X172" s="177">
        <f t="shared" si="90"/>
        <v>1</v>
      </c>
      <c r="Y172" s="67">
        <f t="shared" si="91"/>
        <v>9.74E-2</v>
      </c>
      <c r="Z172" s="67">
        <f t="shared" si="92"/>
        <v>5.8925999999999998</v>
      </c>
      <c r="AA172" s="67">
        <f t="shared" si="93"/>
        <v>5.7951999999999995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94"/>
        <v>1813-12</v>
      </c>
      <c r="AE172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2" s="88" t="str">
        <f t="shared" si="96"/>
        <v>"C:\Program Files (x86)\AstroGrep\AstroGrep.exe" /spath="%USERPROFILE%\AppData\Local\Temp\OnboardLogs" /stypes="app*4029*20161112*" /stext=" 19:.+((SYSTEM_STATE.+slice.+state.+changed )|(ment ac)|(system.+state.+changed )|(\[timeout)|(PRM\|1\|D)|(kpr)|(kdp)|(\|lc)|(penalty))" /e /r /s</v>
      </c>
      <c r="AG172" s="1" t="str">
        <f t="shared" si="97"/>
        <v>NW</v>
      </c>
      <c r="AH172" s="92" t="str">
        <f t="shared" si="81"/>
        <v>"%USERPROFILE%\Documents\GitHub\eaglep3\Utilities\RefineRTDCRunTimes.py" --tripid 1813-12 --locoid 4029 --swversion DE.1.0.8.0 --startMP 204:974 --initTime 2016-11-12T12:17:12 --startdatetime 2016-11-12T12:21:14 --delay 0 --endMP 300:58926 --enddatetime 2016-11-12T12:34:09 --enforcementcount 0 &gt;&gt;C:\Users\stu\Documents\GitHub\eaglep3-reporting\EC\2016-11-12-refined-times.txt</v>
      </c>
      <c r="AI17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{"issue":{"subject":"","project_id":79,"tracker_id":40,"status_id":1,"priority_id":2,"assigned_to_id":23,"start_date":"2016-11-12","description":"","custom_fields":[{"id":1,"name":"Subdivision","value":"NW"},{"id":4,"name":"Milepost","value":"5.8926"},{"id":17,"name":"Train ID","value":"1813-12"},{"id":16,"name":"Locomotive ID","value":"4029"},{"id":130,"name":"Impact","value":""},{"id":150,"name":"Time of Event (Mountain Time)","value":"12:34:09"},{"id":151,"name":"Denver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528</v>
      </c>
      <c r="B173" s="7">
        <v>4030</v>
      </c>
      <c r="C173" s="22" t="s">
        <v>225</v>
      </c>
      <c r="D173" s="22" t="s">
        <v>680</v>
      </c>
      <c r="E173" s="13">
        <v>42686.524594907409</v>
      </c>
      <c r="F173" s="13">
        <v>42686.526250000003</v>
      </c>
      <c r="G173" s="7">
        <v>2</v>
      </c>
      <c r="H173" s="22" t="s">
        <v>681</v>
      </c>
      <c r="I173" s="13">
        <v>42686.537893518522</v>
      </c>
      <c r="J173" s="7">
        <v>0</v>
      </c>
      <c r="K173" s="109" t="str">
        <f t="shared" si="83"/>
        <v>4029/4030</v>
      </c>
      <c r="L173" s="22" t="str">
        <f>VLOOKUP(A173,'Trips&amp;Operators'!$C$1:$E$10000,3,FALSE)</f>
        <v>ISHMAEL</v>
      </c>
      <c r="M173" s="6">
        <f t="shared" si="84"/>
        <v>1.1643518519122154E-2</v>
      </c>
      <c r="N173" s="7">
        <f t="shared" si="85"/>
        <v>16.766666667535901</v>
      </c>
      <c r="O173" s="7"/>
      <c r="P173" s="7"/>
      <c r="Q173" s="23"/>
      <c r="R173" s="23"/>
      <c r="S173" s="35">
        <f t="shared" si="86"/>
        <v>1</v>
      </c>
      <c r="T173" s="50" t="str">
        <f t="shared" si="87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11:35:25-700',mode:absolute,to:'2016-11-12 13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3" s="52" t="str">
        <f t="shared" si="89"/>
        <v>N</v>
      </c>
      <c r="X173" s="177">
        <f t="shared" si="90"/>
        <v>1</v>
      </c>
      <c r="Y173" s="67">
        <f t="shared" si="91"/>
        <v>5.8277999999999999</v>
      </c>
      <c r="Z173" s="67">
        <f t="shared" si="92"/>
        <v>6.9599999999999995E-2</v>
      </c>
      <c r="AA173" s="67">
        <f t="shared" si="93"/>
        <v>5.7581999999999995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94"/>
        <v>1814-12</v>
      </c>
      <c r="AE173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3" s="88" t="str">
        <f t="shared" si="96"/>
        <v>"C:\Program Files (x86)\AstroGrep\AstroGrep.exe" /spath="%USERPROFILE%\AppData\Local\Temp\OnboardLogs" /stypes="app*4030*20161112*" /stext=" 19:.+((SYSTEM_STATE.+slice.+state.+changed )|(ment ac)|(system.+state.+changed )|(\[timeout)|(PRM\|1\|D)|(kpr)|(kdp)|(\|lc)|(penalty))" /e /r /s</v>
      </c>
      <c r="AG173" s="1" t="str">
        <f t="shared" si="97"/>
        <v>NW</v>
      </c>
      <c r="AH173" s="92" t="str">
        <f t="shared" si="81"/>
        <v>"%USERPROFILE%\Documents\GitHub\eaglep3\Utilities\RefineRTDCRunTimes.py" --tripid 1814-12 --locoid 4030 --swversion DE.1.0.8.0 --startMP 300:58278 --initTime 2016-11-12T12:35:25 --startdatetime 2016-11-12T12:37:48 --delay 2 --endMP 204:696 --enddatetime 2016-11-12T12:54:34 --enforcementcount 0 &gt;&gt;C:\Users\stu\Documents\GitHub\eaglep3-reporting\EC\2016-11-12-refined-times.txt</v>
      </c>
      <c r="AI173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{"issue":{"subject":"","project_id":79,"tracker_id":40,"status_id":1,"priority_id":2,"assigned_to_id":23,"start_date":"2016-11-12","description":"","custom_fields":[{"id":1,"name":"Subdivision","value":"NW"},{"id":4,"name":"Milepost","value":"0.0696"},{"id":17,"name":"Train ID","value":"1814-12"},{"id":16,"name":"Locomotive ID","value":"4030"},{"id":130,"name":"Impact","value":""},{"id":150,"name":"Time of Event (Mountain Time)","value":"12:54:34"},{"id":151,"name":"Denver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533</v>
      </c>
      <c r="B174" s="7">
        <v>4029</v>
      </c>
      <c r="C174" s="22" t="s">
        <v>225</v>
      </c>
      <c r="D174" s="22" t="s">
        <v>682</v>
      </c>
      <c r="E174" s="13">
        <v>42686.550405092596</v>
      </c>
      <c r="F174" s="13">
        <v>42686.55641203704</v>
      </c>
      <c r="G174" s="7">
        <v>1</v>
      </c>
      <c r="H174" s="22" t="s">
        <v>416</v>
      </c>
      <c r="I174" s="13">
        <v>42686.565312500003</v>
      </c>
      <c r="J174" s="7">
        <v>0</v>
      </c>
      <c r="K174" s="109" t="str">
        <f t="shared" si="83"/>
        <v>4029/4030</v>
      </c>
      <c r="L174" s="22" t="str">
        <f>VLOOKUP(A174,'Trips&amp;Operators'!$C$1:$E$10000,3,FALSE)</f>
        <v>ISHMAEL</v>
      </c>
      <c r="M174" s="6">
        <f t="shared" si="84"/>
        <v>8.9004629626288079E-3</v>
      </c>
      <c r="N174" s="7">
        <f t="shared" si="85"/>
        <v>12.816666666185483</v>
      </c>
      <c r="O174" s="7"/>
      <c r="P174" s="7"/>
      <c r="Q174" s="23"/>
      <c r="R174" s="23"/>
      <c r="S174" s="35">
        <f t="shared" si="86"/>
        <v>1</v>
      </c>
      <c r="T174" s="50" t="str">
        <f t="shared" si="87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12:12:35-700',mode:absolute,to:'2016-11-12 14:34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4" s="52" t="str">
        <f t="shared" si="89"/>
        <v>N</v>
      </c>
      <c r="X174" s="177">
        <f t="shared" si="90"/>
        <v>1</v>
      </c>
      <c r="Y174" s="67">
        <f t="shared" si="91"/>
        <v>9.69E-2</v>
      </c>
      <c r="Z174" s="67">
        <f t="shared" si="92"/>
        <v>5.8945999999999996</v>
      </c>
      <c r="AA174" s="67">
        <f t="shared" si="93"/>
        <v>5.7976999999999999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94"/>
        <v>1815-12</v>
      </c>
      <c r="AE174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4" s="88" t="str">
        <f t="shared" si="96"/>
        <v>"C:\Program Files (x86)\AstroGrep\AstroGrep.exe" /spath="%USERPROFILE%\AppData\Local\Temp\OnboardLogs" /stypes="app*4029*20161112*" /stext=" 20:.+((SYSTEM_STATE.+slice.+state.+changed )|(ment ac)|(system.+state.+changed )|(\[timeout)|(PRM\|1\|D)|(kpr)|(kdp)|(\|lc)|(penalty))" /e /r /s</v>
      </c>
      <c r="AG174" s="1" t="str">
        <f t="shared" si="97"/>
        <v>NW</v>
      </c>
      <c r="AH174" s="92" t="str">
        <f t="shared" si="81"/>
        <v>"%USERPROFILE%\Documents\GitHub\eaglep3\Utilities\RefineRTDCRunTimes.py" --tripid 1815-12 --locoid 4029 --swversion DE.1.0.8.0 --startMP 204:969 --initTime 2016-11-12T13:12:35 --startdatetime 2016-11-12T13:21:14 --delay 1 --endMP 300:58946 --enddatetime 2016-11-12T13:34:03 --enforcementcount 0 &gt;&gt;C:\Users\stu\Documents\GitHub\eaglep3-reporting\EC\2016-11-12-refined-times.txt</v>
      </c>
      <c r="AI174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{"issue":{"subject":"","project_id":79,"tracker_id":40,"status_id":1,"priority_id":2,"assigned_to_id":23,"start_date":"2016-11-12","description":"","custom_fields":[{"id":1,"name":"Subdivision","value":"NW"},{"id":4,"name":"Milepost","value":"5.8946"},{"id":17,"name":"Train ID","value":"1815-12"},{"id":16,"name":"Locomotive ID","value":"4029"},{"id":130,"name":"Impact","value":""},{"id":150,"name":"Time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535</v>
      </c>
      <c r="B175" s="7">
        <v>4030</v>
      </c>
      <c r="C175" s="22" t="s">
        <v>225</v>
      </c>
      <c r="D175" s="22" t="s">
        <v>283</v>
      </c>
      <c r="E175" s="13">
        <v>42686.566134259258</v>
      </c>
      <c r="F175" s="13">
        <v>42686.567280092589</v>
      </c>
      <c r="G175" s="7">
        <v>0</v>
      </c>
      <c r="H175" s="22" t="s">
        <v>666</v>
      </c>
      <c r="I175" s="13">
        <v>42686.579525462963</v>
      </c>
      <c r="J175" s="7">
        <v>0</v>
      </c>
      <c r="K175" s="109" t="str">
        <f t="shared" si="83"/>
        <v>4029/4030</v>
      </c>
      <c r="L175" s="22" t="str">
        <f>VLOOKUP(A175,'Trips&amp;Operators'!$C$1:$E$10000,3,FALSE)</f>
        <v>ISHMAEL</v>
      </c>
      <c r="M175" s="6">
        <f t="shared" si="84"/>
        <v>1.2245370373420883E-2</v>
      </c>
      <c r="N175" s="7">
        <f t="shared" si="85"/>
        <v>17.633333337726071</v>
      </c>
      <c r="O175" s="7"/>
      <c r="P175" s="7"/>
      <c r="Q175" s="23"/>
      <c r="R175" s="23"/>
      <c r="S175" s="35">
        <f t="shared" si="86"/>
        <v>1</v>
      </c>
      <c r="T175" s="50" t="str">
        <f t="shared" si="87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12:35:14-700',mode:absolute,to:'2016-11-12 14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5" s="52" t="str">
        <f t="shared" si="89"/>
        <v>N</v>
      </c>
      <c r="X175" s="177">
        <f t="shared" si="90"/>
        <v>1</v>
      </c>
      <c r="Y175" s="67">
        <f t="shared" si="91"/>
        <v>5.8628</v>
      </c>
      <c r="Z175" s="67">
        <f t="shared" si="92"/>
        <v>6.8400000000000002E-2</v>
      </c>
      <c r="AA175" s="67">
        <f t="shared" si="93"/>
        <v>5.7944000000000004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94"/>
        <v>1816-12</v>
      </c>
      <c r="AE175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5" s="88" t="str">
        <f t="shared" si="96"/>
        <v>"C:\Program Files (x86)\AstroGrep\AstroGrep.exe" /spath="%USERPROFILE%\AppData\Local\Temp\OnboardLogs" /stypes="app*4030*20161112*" /stext=" 20:.+((SYSTEM_STATE.+slice.+state.+changed )|(ment ac)|(system.+state.+changed )|(\[timeout)|(PRM\|1\|D)|(kpr)|(kdp)|(\|lc)|(penalty))" /e /r /s</v>
      </c>
      <c r="AG175" s="1" t="str">
        <f t="shared" si="97"/>
        <v>NW</v>
      </c>
      <c r="AH175" s="92" t="str">
        <f t="shared" si="81"/>
        <v>"%USERPROFILE%\Documents\GitHub\eaglep3\Utilities\RefineRTDCRunTimes.py" --tripid 1816-12 --locoid 4030 --swversion DE.1.0.8.0 --startMP 300:58628 --initTime 2016-11-12T13:35:14 --startdatetime 2016-11-12T13:36:53 --delay 0 --endMP 204:684 --enddatetime 2016-11-12T13:54:31 --enforcementcount 0 &gt;&gt;C:\Users\stu\Documents\GitHub\eaglep3-reporting\EC\2016-11-12-refined-times.txt</v>
      </c>
      <c r="AI175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{"issue":{"subject":"","project_id":79,"tracker_id":40,"status_id":1,"priority_id":2,"assigned_to_id":23,"start_date":"2016-11-12","description":"","custom_fields":[{"id":1,"name":"Subdivision","value":"NW"},{"id":4,"name":"Milepost","value":"0.0684"},{"id":17,"name":"Train ID","value":"1816-12"},{"id":16,"name":"Locomotive ID","value":"4030"},{"id":130,"name":"Impact","value":""},{"id":150,"name":"Time of Event (Mountain Time)","value":"13:54:31"},{"id":151,"name":"Denver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542</v>
      </c>
      <c r="B176" s="7">
        <v>4029</v>
      </c>
      <c r="C176" s="22" t="s">
        <v>225</v>
      </c>
      <c r="D176" s="22" t="s">
        <v>683</v>
      </c>
      <c r="E176" s="13">
        <v>42686.591840277775</v>
      </c>
      <c r="F176" s="13">
        <v>42686.598240740743</v>
      </c>
      <c r="G176" s="7">
        <v>1</v>
      </c>
      <c r="H176" s="22" t="s">
        <v>684</v>
      </c>
      <c r="I176" s="13">
        <v>42686.607997685183</v>
      </c>
      <c r="J176" s="7">
        <v>0</v>
      </c>
      <c r="K176" s="109" t="str">
        <f t="shared" si="83"/>
        <v>4029/4030</v>
      </c>
      <c r="L176" s="22" t="str">
        <f>VLOOKUP(A176,'Trips&amp;Operators'!$C$1:$E$10000,3,FALSE)</f>
        <v>MAHAN</v>
      </c>
      <c r="M176" s="6">
        <f t="shared" si="84"/>
        <v>9.7569444405962713E-3</v>
      </c>
      <c r="N176" s="7">
        <f t="shared" si="85"/>
        <v>14.049999994458631</v>
      </c>
      <c r="O176" s="7"/>
      <c r="P176" s="7"/>
      <c r="Q176" s="23"/>
      <c r="R176" s="23"/>
      <c r="S176" s="35">
        <f t="shared" si="86"/>
        <v>1</v>
      </c>
      <c r="T176" s="50" t="str">
        <f t="shared" si="87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13:12:15-700',mode:absolute,to:'2016-11-12 15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6" s="52" t="str">
        <f t="shared" si="89"/>
        <v>N</v>
      </c>
      <c r="X176" s="177">
        <f t="shared" si="90"/>
        <v>1</v>
      </c>
      <c r="Y176" s="67">
        <f t="shared" si="91"/>
        <v>9.7600000000000006E-2</v>
      </c>
      <c r="Z176" s="67">
        <f t="shared" si="92"/>
        <v>5.8960999999999997</v>
      </c>
      <c r="AA176" s="67">
        <f t="shared" si="93"/>
        <v>5.7984999999999998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94"/>
        <v>1817-12</v>
      </c>
      <c r="AE176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6" s="88" t="str">
        <f t="shared" si="96"/>
        <v>"C:\Program Files (x86)\AstroGrep\AstroGrep.exe" /spath="%USERPROFILE%\AppData\Local\Temp\OnboardLogs" /stypes="app*4029*20161112*" /stext=" 21:.+((SYSTEM_STATE.+slice.+state.+changed )|(ment ac)|(system.+state.+changed )|(\[timeout)|(PRM\|1\|D)|(kpr)|(kdp)|(\|lc)|(penalty))" /e /r /s</v>
      </c>
      <c r="AG176" s="1" t="str">
        <f t="shared" si="97"/>
        <v>NW</v>
      </c>
      <c r="AH176" s="92" t="str">
        <f t="shared" si="81"/>
        <v>"%USERPROFILE%\Documents\GitHub\eaglep3\Utilities\RefineRTDCRunTimes.py" --tripid 1817-12 --locoid 4029 --swversion DE.1.0.8.0 --startMP 204:976 --initTime 2016-11-12T14:12:15 --startdatetime 2016-11-12T14:21:28 --delay 1 --endMP 300:58961 --enddatetime 2016-11-12T14:35:31 --enforcementcount 0 &gt;&gt;C:\Users\stu\Documents\GitHub\eaglep3-reporting\EC\2016-11-12-refined-times.txt</v>
      </c>
      <c r="AI176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{"issue":{"subject":"","project_id":79,"tracker_id":40,"status_id":1,"priority_id":2,"assigned_to_id":23,"start_date":"2016-11-12","description":"","custom_fields":[{"id":1,"name":"Subdivision","value":"NW"},{"id":4,"name":"Milepost","value":"5.8961"},{"id":17,"name":"Train ID","value":"1817-12"},{"id":16,"name":"Locomotive ID","value":"4029"},{"id":130,"name":"Impact","value":""},{"id":150,"name":"Time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546</v>
      </c>
      <c r="B177" s="7">
        <v>4030</v>
      </c>
      <c r="C177" s="22" t="s">
        <v>225</v>
      </c>
      <c r="D177" s="22" t="s">
        <v>685</v>
      </c>
      <c r="E177" s="13">
        <v>42686.609131944446</v>
      </c>
      <c r="F177" s="13">
        <v>42686.610613425924</v>
      </c>
      <c r="G177" s="7">
        <v>1</v>
      </c>
      <c r="H177" s="22" t="s">
        <v>342</v>
      </c>
      <c r="I177" s="13">
        <v>42686.621516203704</v>
      </c>
      <c r="J177" s="7">
        <v>0</v>
      </c>
      <c r="K177" s="109" t="str">
        <f t="shared" si="83"/>
        <v>4029/4030</v>
      </c>
      <c r="L177" s="22" t="str">
        <f>VLOOKUP(A177,'Trips&amp;Operators'!$C$1:$E$10000,3,FALSE)</f>
        <v>MAHAN</v>
      </c>
      <c r="M177" s="6">
        <f t="shared" si="84"/>
        <v>1.0902777779847383E-2</v>
      </c>
      <c r="N177" s="7">
        <f t="shared" si="85"/>
        <v>15.700000002980232</v>
      </c>
      <c r="O177" s="7"/>
      <c r="P177" s="7"/>
      <c r="Q177" s="23"/>
      <c r="R177" s="23"/>
      <c r="S177" s="35">
        <f t="shared" si="86"/>
        <v>1</v>
      </c>
      <c r="T177" s="50" t="str">
        <f t="shared" si="87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13:37:09-700',mode:absolute,to:'2016-11-12 15:54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7" s="52" t="str">
        <f t="shared" si="89"/>
        <v>N</v>
      </c>
      <c r="X177" s="177">
        <f t="shared" si="90"/>
        <v>1</v>
      </c>
      <c r="Y177" s="67">
        <f t="shared" si="91"/>
        <v>5.8648999999999996</v>
      </c>
      <c r="Z177" s="67">
        <f t="shared" si="92"/>
        <v>7.5899999999999995E-2</v>
      </c>
      <c r="AA177" s="67">
        <f t="shared" si="93"/>
        <v>5.7889999999999997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94"/>
        <v>1818-12</v>
      </c>
      <c r="AE177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7" s="88" t="str">
        <f t="shared" si="96"/>
        <v>"C:\Program Files (x86)\AstroGrep\AstroGrep.exe" /spath="%USERPROFILE%\AppData\Local\Temp\OnboardLogs" /stypes="app*4030*20161112*" /stext=" 21:.+((SYSTEM_STATE.+slice.+state.+changed )|(ment ac)|(system.+state.+changed )|(\[timeout)|(PRM\|1\|D)|(kpr)|(kdp)|(\|lc)|(penalty))" /e /r /s</v>
      </c>
      <c r="AG177" s="1" t="str">
        <f t="shared" si="97"/>
        <v>NW</v>
      </c>
      <c r="AH177" s="92" t="str">
        <f t="shared" si="81"/>
        <v>"%USERPROFILE%\Documents\GitHub\eaglep3\Utilities\RefineRTDCRunTimes.py" --tripid 1818-12 --locoid 4030 --swversion DE.1.0.8.0 --startMP 300:58649 --initTime 2016-11-12T14:37:09 --startdatetime 2016-11-12T14:39:17 --delay 1 --endMP 204:759 --enddatetime 2016-11-12T14:54:59 --enforcementcount 0 &gt;&gt;C:\Users\stu\Documents\GitHub\eaglep3-reporting\EC\2016-11-12-refined-times.txt</v>
      </c>
      <c r="AI177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{"issue":{"subject":"","project_id":79,"tracker_id":40,"status_id":1,"priority_id":2,"assigned_to_id":23,"start_date":"2016-11-12","description":"","custom_fields":[{"id":1,"name":"Subdivision","value":"NW"},{"id":4,"name":"Milepost","value":"0.0759"},{"id":17,"name":"Train ID","value":"1818-12"},{"id":16,"name":"Locomotive ID","value":"4030"},{"id":130,"name":"Impact","value":""},{"id":150,"name":"Time of Event (Mountain Time)","value":"14:54:59"},{"id":151,"name":"Denver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551</v>
      </c>
      <c r="B178" s="7">
        <v>4029</v>
      </c>
      <c r="C178" s="22" t="s">
        <v>225</v>
      </c>
      <c r="D178" s="22" t="s">
        <v>686</v>
      </c>
      <c r="E178" s="13">
        <v>42686.633946759262</v>
      </c>
      <c r="F178" s="13">
        <v>42686.640081018515</v>
      </c>
      <c r="G178" s="7">
        <v>1</v>
      </c>
      <c r="H178" s="22" t="s">
        <v>687</v>
      </c>
      <c r="I178" s="13">
        <v>42686.649953703702</v>
      </c>
      <c r="J178" s="7">
        <v>0</v>
      </c>
      <c r="K178" s="109" t="str">
        <f t="shared" si="83"/>
        <v>4029/4030</v>
      </c>
      <c r="L178" s="22" t="str">
        <f>VLOOKUP(A178,'Trips&amp;Operators'!$C$1:$E$10000,3,FALSE)</f>
        <v>MAHAN</v>
      </c>
      <c r="M178" s="6">
        <f t="shared" si="84"/>
        <v>9.8726851865649223E-3</v>
      </c>
      <c r="N178" s="7">
        <f t="shared" si="85"/>
        <v>14.216666668653488</v>
      </c>
      <c r="O178" s="7"/>
      <c r="P178" s="7"/>
      <c r="Q178" s="23"/>
      <c r="R178" s="23"/>
      <c r="S178" s="35">
        <f t="shared" si="86"/>
        <v>1</v>
      </c>
      <c r="T178" s="50" t="str">
        <f t="shared" si="87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14:12:53-700',mode:absolute,to:'2016-11-12 16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8" s="52" t="str">
        <f t="shared" si="89"/>
        <v>N</v>
      </c>
      <c r="X178" s="177">
        <f t="shared" si="90"/>
        <v>1</v>
      </c>
      <c r="Y178" s="67">
        <f t="shared" si="91"/>
        <v>0.10630000000000001</v>
      </c>
      <c r="Z178" s="67">
        <f t="shared" si="92"/>
        <v>5.8944000000000001</v>
      </c>
      <c r="AA178" s="67">
        <f t="shared" si="93"/>
        <v>5.7881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94"/>
        <v>1819-12</v>
      </c>
      <c r="AE178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78" s="88" t="str">
        <f t="shared" si="96"/>
        <v>"C:\Program Files (x86)\AstroGrep\AstroGrep.exe" /spath="%USERPROFILE%\AppData\Local\Temp\OnboardLogs" /stypes="app*4029*20161112*" /stext=" 22:.+((SYSTEM_STATE.+slice.+state.+changed )|(ment ac)|(system.+state.+changed )|(\[timeout)|(PRM\|1\|D)|(kpr)|(kdp)|(\|lc)|(penalty))" /e /r /s</v>
      </c>
      <c r="AG178" s="1" t="str">
        <f t="shared" si="97"/>
        <v>NW</v>
      </c>
      <c r="AH178" s="92" t="str">
        <f t="shared" si="81"/>
        <v>"%USERPROFILE%\Documents\GitHub\eaglep3\Utilities\RefineRTDCRunTimes.py" --tripid 1819-12 --locoid 4029 --swversion DE.1.0.8.0 --startMP 204:1063 --initTime 2016-11-12T15:12:53 --startdatetime 2016-11-12T15:21:43 --delay 1 --endMP 300:58944 --enddatetime 2016-11-12T15:35:56 --enforcementcount 0 &gt;&gt;C:\Users\stu\Documents\GitHub\eaglep3-reporting\EC\2016-11-12-refined-times.txt</v>
      </c>
      <c r="AI178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{"issue":{"subject":"","project_id":79,"tracker_id":40,"status_id":1,"priority_id":2,"assigned_to_id":23,"start_date":"2016-11-12","description":"","custom_fields":[{"id":1,"name":"Subdivision","value":"NW"},{"id":4,"name":"Milepost","value":"5.8944"},{"id":17,"name":"Train ID","value":"1819-12"},{"id":16,"name":"Locomotive ID","value":"4029"},{"id":130,"name":"Impact","value":""},{"id":150,"name":"Time of Event (Mountain Time)","value":"15:35:56"},{"id":151,"name":"Denver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555</v>
      </c>
      <c r="B179" s="7">
        <v>4030</v>
      </c>
      <c r="C179" s="22" t="s">
        <v>225</v>
      </c>
      <c r="D179" s="22" t="s">
        <v>689</v>
      </c>
      <c r="E179" s="13">
        <v>42686.650983796295</v>
      </c>
      <c r="F179" s="13">
        <v>42686.652511574073</v>
      </c>
      <c r="G179" s="7">
        <v>1</v>
      </c>
      <c r="H179" s="22" t="s">
        <v>690</v>
      </c>
      <c r="I179" s="13">
        <v>42686.663055555553</v>
      </c>
      <c r="J179" s="7">
        <v>0</v>
      </c>
      <c r="K179" s="109" t="str">
        <f t="shared" si="83"/>
        <v>4029/4030</v>
      </c>
      <c r="L179" s="22" t="str">
        <f>VLOOKUP(A179,'Trips&amp;Operators'!$C$1:$E$10000,3,FALSE)</f>
        <v>MAHAN</v>
      </c>
      <c r="M179" s="6">
        <f t="shared" si="84"/>
        <v>1.0543981479713693E-2</v>
      </c>
      <c r="N179" s="7">
        <f t="shared" si="85"/>
        <v>15.183333330787718</v>
      </c>
      <c r="O179" s="7"/>
      <c r="P179" s="7"/>
      <c r="Q179" s="23"/>
      <c r="R179" s="23"/>
      <c r="S179" s="35">
        <f t="shared" si="86"/>
        <v>1</v>
      </c>
      <c r="T179" s="50" t="str">
        <f t="shared" si="87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14:37:25-700',mode:absolute,to:'2016-11-12 16:54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9" s="52" t="str">
        <f t="shared" si="89"/>
        <v>N</v>
      </c>
      <c r="X179" s="177">
        <f t="shared" si="90"/>
        <v>1</v>
      </c>
      <c r="Y179" s="67">
        <f t="shared" si="91"/>
        <v>5.8634000000000004</v>
      </c>
      <c r="Z179" s="67">
        <f t="shared" si="92"/>
        <v>7.5499999999999998E-2</v>
      </c>
      <c r="AA179" s="67">
        <f t="shared" si="93"/>
        <v>5.7879000000000005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94"/>
        <v>1820-12</v>
      </c>
      <c r="AE179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79" s="88" t="str">
        <f t="shared" si="96"/>
        <v>"C:\Program Files (x86)\AstroGrep\AstroGrep.exe" /spath="%USERPROFILE%\AppData\Local\Temp\OnboardLogs" /stypes="app*4030*20161112*" /stext=" 22:.+((SYSTEM_STATE.+slice.+state.+changed )|(ment ac)|(system.+state.+changed )|(\[timeout)|(PRM\|1\|D)|(kpr)|(kdp)|(\|lc)|(penalty))" /e /r /s</v>
      </c>
      <c r="AG179" s="1" t="str">
        <f t="shared" si="97"/>
        <v>NW</v>
      </c>
      <c r="AH179" s="92" t="str">
        <f t="shared" si="81"/>
        <v>"%USERPROFILE%\Documents\GitHub\eaglep3\Utilities\RefineRTDCRunTimes.py" --tripid 1820-12 --locoid 4030 --swversion DE.1.0.8.0 --startMP 300:58634 --initTime 2016-11-12T15:37:25 --startdatetime 2016-11-12T15:39:37 --delay 1 --endMP 204:755 --enddatetime 2016-11-12T15:54:48 --enforcementcount 0 &gt;&gt;C:\Users\stu\Documents\GitHub\eaglep3-reporting\EC\2016-11-12-refined-times.txt</v>
      </c>
      <c r="AI179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{"issue":{"subject":"","project_id":79,"tracker_id":40,"status_id":1,"priority_id":2,"assigned_to_id":23,"start_date":"2016-11-12","description":"","custom_fields":[{"id":1,"name":"Subdivision","value":"NW"},{"id":4,"name":"Milepost","value":"0.0755"},{"id":17,"name":"Train ID","value":"1820-12"},{"id":16,"name":"Locomotive ID","value":"4030"},{"id":130,"name":"Impact","value":""},{"id":150,"name":"Time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560</v>
      </c>
      <c r="B180" s="7">
        <v>4029</v>
      </c>
      <c r="C180" s="22" t="s">
        <v>225</v>
      </c>
      <c r="D180" s="22" t="s">
        <v>691</v>
      </c>
      <c r="E180" s="13">
        <v>42686.675243055557</v>
      </c>
      <c r="F180" s="13">
        <v>42686.681481481479</v>
      </c>
      <c r="G180" s="7">
        <v>1</v>
      </c>
      <c r="H180" s="22" t="s">
        <v>692</v>
      </c>
      <c r="I180" s="13">
        <v>42686.690949074073</v>
      </c>
      <c r="J180" s="7">
        <v>0</v>
      </c>
      <c r="K180" s="109" t="str">
        <f t="shared" si="83"/>
        <v>4029/4030</v>
      </c>
      <c r="L180" s="22" t="str">
        <f>VLOOKUP(A180,'Trips&amp;Operators'!$C$1:$E$10000,3,FALSE)</f>
        <v>MAHAN</v>
      </c>
      <c r="M180" s="6">
        <f t="shared" si="84"/>
        <v>9.4675925938645378E-3</v>
      </c>
      <c r="N180" s="7">
        <f t="shared" si="85"/>
        <v>13.633333335164934</v>
      </c>
      <c r="O180" s="7"/>
      <c r="P180" s="7"/>
      <c r="Q180" s="23"/>
      <c r="R180" s="23"/>
      <c r="S180" s="35">
        <f t="shared" si="86"/>
        <v>1</v>
      </c>
      <c r="T180" s="50" t="str">
        <f t="shared" si="87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15:12:21-700',mode:absolute,to:'2016-11-12 17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0" s="52" t="str">
        <f t="shared" si="89"/>
        <v>N</v>
      </c>
      <c r="X180" s="177">
        <f t="shared" si="90"/>
        <v>1</v>
      </c>
      <c r="Y180" s="67">
        <f t="shared" si="91"/>
        <v>0.1065</v>
      </c>
      <c r="Z180" s="67">
        <f t="shared" si="92"/>
        <v>5.8968999999999996</v>
      </c>
      <c r="AA180" s="67">
        <f t="shared" si="93"/>
        <v>5.7904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94"/>
        <v>1821-12</v>
      </c>
      <c r="AE180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0" s="88" t="str">
        <f t="shared" si="96"/>
        <v>"C:\Program Files (x86)\AstroGrep\AstroGrep.exe" /spath="%USERPROFILE%\AppData\Local\Temp\OnboardLogs" /stypes="app*4029*20161112*" /stext=" 23:.+((SYSTEM_STATE.+slice.+state.+changed )|(ment ac)|(system.+state.+changed )|(\[timeout)|(PRM\|1\|D)|(kpr)|(kdp)|(\|lc)|(penalty))" /e /r /s</v>
      </c>
      <c r="AG180" s="1" t="str">
        <f t="shared" si="97"/>
        <v>NW</v>
      </c>
      <c r="AH180" s="92" t="str">
        <f t="shared" si="81"/>
        <v>"%USERPROFILE%\Documents\GitHub\eaglep3\Utilities\RefineRTDCRunTimes.py" --tripid 1821-12 --locoid 4029 --swversion DE.1.0.8.0 --startMP 204:1065 --initTime 2016-11-12T16:12:21 --startdatetime 2016-11-12T16:21:20 --delay 1 --endMP 300:58969 --enddatetime 2016-11-12T16:34:58 --enforcementcount 0 &gt;&gt;C:\Users\stu\Documents\GitHub\eaglep3-reporting\EC\2016-11-12-refined-times.txt</v>
      </c>
      <c r="AI18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{"issue":{"subject":"","project_id":79,"tracker_id":40,"status_id":1,"priority_id":2,"assigned_to_id":23,"start_date":"2016-11-12","description":"","custom_fields":[{"id":1,"name":"Subdivision","value":"NW"},{"id":4,"name":"Milepost","value":"5.8969"},{"id":17,"name":"Train ID","value":"1821-12"},{"id":16,"name":"Locomotive ID","value":"4029"},{"id":130,"name":"Impact","value":""},{"id":150,"name":"Time of Event (Mountain Time)","value":"16:34:58"},{"id":151,"name":"Denver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564</v>
      </c>
      <c r="B181" s="7">
        <v>4030</v>
      </c>
      <c r="C181" s="22" t="s">
        <v>225</v>
      </c>
      <c r="D181" s="22" t="s">
        <v>693</v>
      </c>
      <c r="E181" s="13">
        <v>42686.692164351851</v>
      </c>
      <c r="F181" s="13">
        <v>42686.693773148145</v>
      </c>
      <c r="G181" s="7">
        <v>1</v>
      </c>
      <c r="H181" s="22" t="s">
        <v>417</v>
      </c>
      <c r="I181" s="13">
        <v>42686.704780092594</v>
      </c>
      <c r="J181" s="7">
        <v>0</v>
      </c>
      <c r="K181" s="109" t="str">
        <f t="shared" si="83"/>
        <v>4029/4030</v>
      </c>
      <c r="L181" s="22" t="str">
        <f>VLOOKUP(A181,'Trips&amp;Operators'!$C$1:$E$10000,3,FALSE)</f>
        <v>MAHAN</v>
      </c>
      <c r="M181" s="6">
        <f t="shared" si="84"/>
        <v>1.1006944449036382E-2</v>
      </c>
      <c r="N181" s="7">
        <f t="shared" si="85"/>
        <v>15.85000000661239</v>
      </c>
      <c r="O181" s="7"/>
      <c r="P181" s="7"/>
      <c r="Q181" s="23"/>
      <c r="R181" s="23"/>
      <c r="S181" s="35">
        <f t="shared" si="86"/>
        <v>1</v>
      </c>
      <c r="T181" s="50" t="str">
        <f t="shared" si="87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15:36:43-700',mode:absolute,to:'2016-11-12 17:54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1" s="52" t="str">
        <f t="shared" si="89"/>
        <v>N</v>
      </c>
      <c r="X181" s="177">
        <f t="shared" si="90"/>
        <v>1</v>
      </c>
      <c r="Y181" s="67">
        <f t="shared" si="91"/>
        <v>5.8662000000000001</v>
      </c>
      <c r="Z181" s="67">
        <f t="shared" si="92"/>
        <v>7.6600000000000001E-2</v>
      </c>
      <c r="AA181" s="67">
        <f t="shared" si="93"/>
        <v>5.7896000000000001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94"/>
        <v>1822-12</v>
      </c>
      <c r="AE181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1" s="88" t="str">
        <f t="shared" si="96"/>
        <v>"C:\Program Files (x86)\AstroGrep\AstroGrep.exe" /spath="%USERPROFILE%\AppData\Local\Temp\OnboardLogs" /stypes="app*4030*20161112*" /stext=" 23:.+((SYSTEM_STATE.+slice.+state.+changed )|(ment ac)|(system.+state.+changed )|(\[timeout)|(PRM\|1\|D)|(kpr)|(kdp)|(\|lc)|(penalty))" /e /r /s</v>
      </c>
      <c r="AG181" s="1" t="str">
        <f t="shared" si="97"/>
        <v>NW</v>
      </c>
      <c r="AH181" s="92" t="str">
        <f t="shared" si="81"/>
        <v>"%USERPROFILE%\Documents\GitHub\eaglep3\Utilities\RefineRTDCRunTimes.py" --tripid 1822-12 --locoid 4030 --swversion DE.1.0.8.0 --startMP 300:58662 --initTime 2016-11-12T16:36:43 --startdatetime 2016-11-12T16:39:02 --delay 1 --endMP 204:766 --enddatetime 2016-11-12T16:54:53 --enforcementcount 0 &gt;&gt;C:\Users\stu\Documents\GitHub\eaglep3-reporting\EC\2016-11-12-refined-times.txt</v>
      </c>
      <c r="AI181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{"issue":{"subject":"","project_id":79,"tracker_id":40,"status_id":1,"priority_id":2,"assigned_to_id":23,"start_date":"2016-11-12","description":"","custom_fields":[{"id":1,"name":"Subdivision","value":"NW"},{"id":4,"name":"Milepost","value":"0.0766"},{"id":17,"name":"Train ID","value":"1822-12"},{"id":16,"name":"Locomotive ID","value":"4030"},{"id":130,"name":"Impact","value":""},{"id":150,"name":"Time of Event (Mountain Time)","value":"16:54:53"},{"id":151,"name":"Denver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437</v>
      </c>
      <c r="B182" s="7">
        <v>4029</v>
      </c>
      <c r="C182" s="22" t="s">
        <v>225</v>
      </c>
      <c r="D182" s="22" t="s">
        <v>694</v>
      </c>
      <c r="E182" s="13">
        <v>42686.720543981479</v>
      </c>
      <c r="F182" s="13">
        <v>42686.72314814815</v>
      </c>
      <c r="G182" s="7">
        <v>1</v>
      </c>
      <c r="H182" s="22" t="s">
        <v>684</v>
      </c>
      <c r="I182" s="13">
        <v>42686.733946759261</v>
      </c>
      <c r="J182" s="7">
        <v>0</v>
      </c>
      <c r="K182" s="109" t="str">
        <f t="shared" si="83"/>
        <v>4029/4030</v>
      </c>
      <c r="L182" s="22" t="str">
        <f>VLOOKUP(A182,'Trips&amp;Operators'!$C$1:$E$10000,3,FALSE)</f>
        <v>MAHAN</v>
      </c>
      <c r="M182" s="6">
        <f t="shared" si="84"/>
        <v>1.0798611110658385E-2</v>
      </c>
      <c r="N182" s="7">
        <f t="shared" si="85"/>
        <v>15.549999999348074</v>
      </c>
      <c r="O182" s="7"/>
      <c r="P182" s="7"/>
      <c r="Q182" s="23"/>
      <c r="R182" s="23"/>
      <c r="S182" s="35">
        <f t="shared" si="86"/>
        <v>1</v>
      </c>
      <c r="T182" s="50" t="str">
        <f t="shared" si="87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16:17:35-700',mode:absolute,to:'2016-11-12 18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2" s="52" t="str">
        <f t="shared" si="89"/>
        <v>N</v>
      </c>
      <c r="X182" s="177">
        <f t="shared" si="90"/>
        <v>1</v>
      </c>
      <c r="Y182" s="67">
        <f t="shared" si="91"/>
        <v>0.106</v>
      </c>
      <c r="Z182" s="67">
        <f t="shared" si="92"/>
        <v>5.8960999999999997</v>
      </c>
      <c r="AA182" s="67">
        <f t="shared" si="93"/>
        <v>5.7900999999999998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94"/>
        <v>1823-12</v>
      </c>
      <c r="AE182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2" s="88" t="str">
        <f t="shared" si="96"/>
        <v>"C:\Program Files (x86)\AstroGrep\AstroGrep.exe" /spath="%USERPROFILE%\AppData\Local\Temp\OnboardLogs" /stypes="app*4029*20161113*" /stext=" 00:.+((SYSTEM_STATE.+slice.+state.+changed )|(ment ac)|(system.+state.+changed )|(\[timeout)|(PRM\|1\|D)|(kpr)|(kdp)|(\|lc)|(penalty))" /e /r /s</v>
      </c>
      <c r="AG182" s="1" t="str">
        <f t="shared" si="97"/>
        <v>NW</v>
      </c>
      <c r="AH182" s="92" t="str">
        <f t="shared" si="81"/>
        <v>"%USERPROFILE%\Documents\GitHub\eaglep3\Utilities\RefineRTDCRunTimes.py" --tripid 1823-12 --locoid 4029 --swversion DE.1.0.8.0 --startMP 204:1060 --initTime 2016-11-12T17:17:35 --startdatetime 2016-11-12T17:21:20 --delay 1 --endMP 300:58961 --enddatetime 2016-11-12T17:36:53 --enforcementcount 0 &gt;&gt;C:\Users\stu\Documents\GitHub\eaglep3-reporting\EC\2016-11-12-refined-times.txt</v>
      </c>
      <c r="AI18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{"issue":{"subject":"","project_id":79,"tracker_id":40,"status_id":1,"priority_id":2,"assigned_to_id":23,"start_date":"2016-11-12","description":"","custom_fields":[{"id":1,"name":"Subdivision","value":"NW"},{"id":4,"name":"Milepost","value":"5.8961"},{"id":17,"name":"Train ID","value":"1823-12"},{"id":16,"name":"Locomotive ID","value":"4029"},{"id":130,"name":"Impact","value":""},{"id":150,"name":"Time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576</v>
      </c>
      <c r="B183" s="7">
        <v>4030</v>
      </c>
      <c r="C183" s="22" t="s">
        <v>225</v>
      </c>
      <c r="D183" s="22" t="s">
        <v>695</v>
      </c>
      <c r="E183" s="13">
        <v>42686.735451388886</v>
      </c>
      <c r="F183" s="13">
        <v>42686.737013888887</v>
      </c>
      <c r="G183" s="7">
        <v>1</v>
      </c>
      <c r="H183" s="22" t="s">
        <v>690</v>
      </c>
      <c r="I183" s="13">
        <v>42686.746423611112</v>
      </c>
      <c r="J183" s="7">
        <v>0</v>
      </c>
      <c r="K183" s="109" t="str">
        <f t="shared" si="83"/>
        <v>4029/4030</v>
      </c>
      <c r="L183" s="22" t="str">
        <f>VLOOKUP(A183,'Trips&amp;Operators'!$C$1:$E$10000,3,FALSE)</f>
        <v>MAHAN</v>
      </c>
      <c r="M183" s="6">
        <f t="shared" si="84"/>
        <v>9.4097222245181911E-3</v>
      </c>
      <c r="N183" s="7">
        <f t="shared" si="85"/>
        <v>13.550000003306195</v>
      </c>
      <c r="O183" s="7"/>
      <c r="P183" s="7"/>
      <c r="Q183" s="23"/>
      <c r="R183" s="23"/>
      <c r="S183" s="35">
        <f t="shared" si="86"/>
        <v>1</v>
      </c>
      <c r="T183" s="50" t="str">
        <f t="shared" si="87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16:39:03-700',mode:absolute,to:'2016-11-12 18:54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3" s="52" t="str">
        <f t="shared" si="89"/>
        <v>N</v>
      </c>
      <c r="X183" s="177">
        <f t="shared" si="90"/>
        <v>1</v>
      </c>
      <c r="Y183" s="67">
        <f t="shared" si="91"/>
        <v>5.8654999999999999</v>
      </c>
      <c r="Z183" s="67">
        <f t="shared" si="92"/>
        <v>7.5499999999999998E-2</v>
      </c>
      <c r="AA183" s="67">
        <f t="shared" si="93"/>
        <v>5.79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94"/>
        <v>1824-12</v>
      </c>
      <c r="AE183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3" s="88" t="str">
        <f t="shared" si="96"/>
        <v>"C:\Program Files (x86)\AstroGrep\AstroGrep.exe" /spath="%USERPROFILE%\AppData\Local\Temp\OnboardLogs" /stypes="app*4030*20161113*" /stext=" 00:.+((SYSTEM_STATE.+slice.+state.+changed )|(ment ac)|(system.+state.+changed )|(\[timeout)|(PRM\|1\|D)|(kpr)|(kdp)|(\|lc)|(penalty))" /e /r /s</v>
      </c>
      <c r="AG183" s="1" t="str">
        <f t="shared" si="97"/>
        <v>NW</v>
      </c>
      <c r="AH183" s="92" t="str">
        <f t="shared" si="81"/>
        <v>"%USERPROFILE%\Documents\GitHub\eaglep3\Utilities\RefineRTDCRunTimes.py" --tripid 1824-12 --locoid 4030 --swversion DE.1.0.8.0 --startMP 300:58655 --initTime 2016-11-12T17:39:03 --startdatetime 2016-11-12T17:41:18 --delay 1 --endMP 204:755 --enddatetime 2016-11-12T17:54:51 --enforcementcount 0 &gt;&gt;C:\Users\stu\Documents\GitHub\eaglep3-reporting\EC\2016-11-12-refined-times.txt</v>
      </c>
      <c r="AI183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{"issue":{"subject":"","project_id":79,"tracker_id":40,"status_id":1,"priority_id":2,"assigned_to_id":23,"start_date":"2016-11-12","description":"","custom_fields":[{"id":1,"name":"Subdivision","value":"NW"},{"id":4,"name":"Milepost","value":"0.0755"},{"id":17,"name":"Train ID","value":"1824-12"},{"id":16,"name":"Locomotive ID","value":"4030"},{"id":130,"name":"Impact","value":""},{"id":150,"name":"Time of Event (Mountain Time)","value":"17:54:51"},{"id":151,"name":"Denver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582</v>
      </c>
      <c r="B184" s="7">
        <v>4029</v>
      </c>
      <c r="C184" s="22" t="s">
        <v>225</v>
      </c>
      <c r="D184" s="22" t="s">
        <v>696</v>
      </c>
      <c r="E184" s="13">
        <v>42686.757928240739</v>
      </c>
      <c r="F184" s="13">
        <v>42686.764768518522</v>
      </c>
      <c r="G184" s="7">
        <v>2</v>
      </c>
      <c r="H184" s="22" t="s">
        <v>697</v>
      </c>
      <c r="I184" s="13">
        <v>42686.775648148148</v>
      </c>
      <c r="J184" s="7">
        <v>0</v>
      </c>
      <c r="K184" s="109" t="str">
        <f t="shared" si="83"/>
        <v>4029/4030</v>
      </c>
      <c r="L184" s="22" t="str">
        <f>VLOOKUP(A184,'Trips&amp;Operators'!$C$1:$E$10000,3,FALSE)</f>
        <v>MAHAN</v>
      </c>
      <c r="M184" s="6">
        <f t="shared" si="84"/>
        <v>1.0879629626288079E-2</v>
      </c>
      <c r="N184" s="7">
        <f t="shared" si="85"/>
        <v>15.666666661854833</v>
      </c>
      <c r="O184" s="7"/>
      <c r="P184" s="7"/>
      <c r="Q184" s="23"/>
      <c r="R184" s="23"/>
      <c r="S184" s="35">
        <f t="shared" si="86"/>
        <v>1</v>
      </c>
      <c r="T184" s="50" t="str">
        <f t="shared" si="87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17:11:25-700',mode:absolute,to:'2016-11-12 19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4" s="52" t="str">
        <f t="shared" si="89"/>
        <v>N</v>
      </c>
      <c r="X184" s="177">
        <f t="shared" si="90"/>
        <v>1</v>
      </c>
      <c r="Y184" s="67">
        <f t="shared" si="91"/>
        <v>0.1032</v>
      </c>
      <c r="Z184" s="67">
        <f t="shared" si="92"/>
        <v>5.8975999999999997</v>
      </c>
      <c r="AA184" s="67">
        <f t="shared" si="93"/>
        <v>5.7943999999999996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94"/>
        <v>1825-12</v>
      </c>
      <c r="AE184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4" s="88" t="str">
        <f t="shared" si="96"/>
        <v>"C:\Program Files (x86)\AstroGrep\AstroGrep.exe" /spath="%USERPROFILE%\AppData\Local\Temp\OnboardLogs" /stypes="app*4029*20161113*" /stext=" 01:.+((SYSTEM_STATE.+slice.+state.+changed )|(ment ac)|(system.+state.+changed )|(\[timeout)|(PRM\|1\|D)|(kpr)|(kdp)|(\|lc)|(penalty))" /e /r /s</v>
      </c>
      <c r="AG184" s="1" t="str">
        <f t="shared" si="97"/>
        <v>NW</v>
      </c>
      <c r="AH184" s="92" t="str">
        <f t="shared" si="81"/>
        <v>"%USERPROFILE%\Documents\GitHub\eaglep3\Utilities\RefineRTDCRunTimes.py" --tripid 1825-12 --locoid 4029 --swversion DE.1.0.8.0 --startMP 204:1032 --initTime 2016-11-12T18:11:25 --startdatetime 2016-11-12T18:21:16 --delay 2 --endMP 300:58976 --enddatetime 2016-11-12T18:36:56 --enforcementcount 0 &gt;&gt;C:\Users\stu\Documents\GitHub\eaglep3-reporting\EC\2016-11-12-refined-times.txt</v>
      </c>
      <c r="AI184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{"issue":{"subject":"","project_id":79,"tracker_id":40,"status_id":1,"priority_id":2,"assigned_to_id":23,"start_date":"2016-11-12","description":"","custom_fields":[{"id":1,"name":"Subdivision","value":"NW"},{"id":4,"name":"Milepost","value":"5.8976"},{"id":17,"name":"Train ID","value":"1825-12"},{"id":16,"name":"Locomotive ID","value":"4029"},{"id":130,"name":"Impact","value":""},{"id":150,"name":"Time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586</v>
      </c>
      <c r="B185" s="7">
        <v>4030</v>
      </c>
      <c r="C185" s="22" t="s">
        <v>225</v>
      </c>
      <c r="D185" s="22" t="s">
        <v>693</v>
      </c>
      <c r="E185" s="13">
        <v>42686.776701388888</v>
      </c>
      <c r="F185" s="13">
        <v>42686.778564814813</v>
      </c>
      <c r="G185" s="7">
        <v>1</v>
      </c>
      <c r="H185" s="22" t="s">
        <v>698</v>
      </c>
      <c r="I185" s="13">
        <v>42686.789675925924</v>
      </c>
      <c r="J185" s="7">
        <v>0</v>
      </c>
      <c r="K185" s="109" t="str">
        <f t="shared" si="83"/>
        <v>4029/4030</v>
      </c>
      <c r="L185" s="22" t="str">
        <f>VLOOKUP(A185,'Trips&amp;Operators'!$C$1:$E$10000,3,FALSE)</f>
        <v>MAHAN</v>
      </c>
      <c r="M185" s="6">
        <f t="shared" si="84"/>
        <v>1.1111111110949423E-2</v>
      </c>
      <c r="N185" s="7">
        <f t="shared" si="85"/>
        <v>15.999999999767169</v>
      </c>
      <c r="O185" s="7"/>
      <c r="P185" s="7"/>
      <c r="Q185" s="23"/>
      <c r="R185" s="23"/>
      <c r="S185" s="35">
        <f t="shared" si="86"/>
        <v>1</v>
      </c>
      <c r="T185" s="50" t="str">
        <f t="shared" si="87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17:38:27-700',mode:absolute,to:'2016-11-12 19:57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5" s="52" t="str">
        <f t="shared" si="89"/>
        <v>N</v>
      </c>
      <c r="X185" s="177">
        <f t="shared" si="90"/>
        <v>1</v>
      </c>
      <c r="Y185" s="67">
        <f t="shared" si="91"/>
        <v>5.8662000000000001</v>
      </c>
      <c r="Z185" s="67">
        <f t="shared" si="92"/>
        <v>7.6399999999999996E-2</v>
      </c>
      <c r="AA185" s="67">
        <f t="shared" si="93"/>
        <v>5.7898000000000005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94"/>
        <v>1826-12</v>
      </c>
      <c r="AE185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5" s="88" t="str">
        <f t="shared" si="96"/>
        <v>"C:\Program Files (x86)\AstroGrep\AstroGrep.exe" /spath="%USERPROFILE%\AppData\Local\Temp\OnboardLogs" /stypes="app*4030*20161113*" /stext=" 01:.+((SYSTEM_STATE.+slice.+state.+changed )|(ment ac)|(system.+state.+changed )|(\[timeout)|(PRM\|1\|D)|(kpr)|(kdp)|(\|lc)|(penalty))" /e /r /s</v>
      </c>
      <c r="AG185" s="1" t="str">
        <f t="shared" si="97"/>
        <v>NW</v>
      </c>
      <c r="AH185" s="92" t="str">
        <f t="shared" si="81"/>
        <v>"%USERPROFILE%\Documents\GitHub\eaglep3\Utilities\RefineRTDCRunTimes.py" --tripid 1826-12 --locoid 4030 --swversion DE.1.0.8.0 --startMP 300:58662 --initTime 2016-11-12T18:38:27 --startdatetime 2016-11-12T18:41:08 --delay 1 --endMP 204:764 --enddatetime 2016-11-12T18:57:08 --enforcementcount 0 &gt;&gt;C:\Users\stu\Documents\GitHub\eaglep3-reporting\EC\2016-11-12-refined-times.txt</v>
      </c>
      <c r="AI185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{"issue":{"subject":"","project_id":79,"tracker_id":40,"status_id":1,"priority_id":2,"assigned_to_id":23,"start_date":"2016-11-12","description":"","custom_fields":[{"id":1,"name":"Subdivision","value":"NW"},{"id":4,"name":"Milepost","value":"0.0764"},{"id":17,"name":"Train ID","value":"1826-12"},{"id":16,"name":"Locomotive ID","value":"4030"},{"id":130,"name":"Impact","value":""},{"id":150,"name":"Time of Event (Mountain Time)","value":"18:57:08"},{"id":151,"name":"Denver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591</v>
      </c>
      <c r="B186" s="7">
        <v>4029</v>
      </c>
      <c r="C186" s="22" t="s">
        <v>225</v>
      </c>
      <c r="D186" s="22" t="s">
        <v>691</v>
      </c>
      <c r="E186" s="13">
        <v>42686.804548611108</v>
      </c>
      <c r="F186" s="13">
        <v>42686.806516203702</v>
      </c>
      <c r="G186" s="7">
        <v>1</v>
      </c>
      <c r="H186" s="22" t="s">
        <v>699</v>
      </c>
      <c r="I186" s="13">
        <v>42686.816076388888</v>
      </c>
      <c r="J186" s="7">
        <v>0</v>
      </c>
      <c r="K186" s="109" t="str">
        <f t="shared" si="83"/>
        <v>4029/4030</v>
      </c>
      <c r="L186" s="22" t="str">
        <f>VLOOKUP(A186,'Trips&amp;Operators'!$C$1:$E$10000,3,FALSE)</f>
        <v>MAHAN</v>
      </c>
      <c r="M186" s="6">
        <f t="shared" si="84"/>
        <v>9.560185186273884E-3</v>
      </c>
      <c r="N186" s="7">
        <f t="shared" si="85"/>
        <v>13.766666668234393</v>
      </c>
      <c r="O186" s="7"/>
      <c r="P186" s="7"/>
      <c r="Q186" s="23"/>
      <c r="R186" s="23"/>
      <c r="S186" s="35">
        <f t="shared" si="86"/>
        <v>1</v>
      </c>
      <c r="T186" s="50" t="str">
        <f t="shared" si="87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18:18:33-700',mode:absolute,to:'2016-11-12 20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52" t="str">
        <f t="shared" si="89"/>
        <v>N</v>
      </c>
      <c r="X186" s="177">
        <f t="shared" si="90"/>
        <v>1</v>
      </c>
      <c r="Y186" s="67">
        <f t="shared" si="91"/>
        <v>0.1065</v>
      </c>
      <c r="Z186" s="67">
        <f t="shared" si="92"/>
        <v>5.8997000000000002</v>
      </c>
      <c r="AA186" s="67">
        <f t="shared" si="93"/>
        <v>5.7932000000000006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94"/>
        <v>1827-12</v>
      </c>
      <c r="AE186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6" s="88" t="str">
        <f t="shared" si="96"/>
        <v>"C:\Program Files (x86)\AstroGrep\AstroGrep.exe" /spath="%USERPROFILE%\AppData\Local\Temp\OnboardLogs" /stypes="app*4029*20161113*" /stext=" 02:.+((SYSTEM_STATE.+slice.+state.+changed )|(ment ac)|(system.+state.+changed )|(\[timeout)|(PRM\|1\|D)|(kpr)|(kdp)|(\|lc)|(penalty))" /e /r /s</v>
      </c>
      <c r="AG186" s="1" t="str">
        <f t="shared" si="97"/>
        <v>NW</v>
      </c>
      <c r="AH186" s="92" t="str">
        <f t="shared" si="81"/>
        <v>"%USERPROFILE%\Documents\GitHub\eaglep3\Utilities\RefineRTDCRunTimes.py" --tripid 1827-12 --locoid 4029 --swversion DE.1.0.8.0 --startMP 204:1065 --initTime 2016-11-12T19:18:33 --startdatetime 2016-11-12T19:21:23 --delay 1 --endMP 300:58997 --enddatetime 2016-11-12T19:35:09 --enforcementcount 0 &gt;&gt;C:\Users\stu\Documents\GitHub\eaglep3-reporting\EC\2016-11-12-refined-times.txt</v>
      </c>
      <c r="AI186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{"issue":{"subject":"","project_id":79,"tracker_id":40,"status_id":1,"priority_id":2,"assigned_to_id":23,"start_date":"2016-11-12","description":"","custom_fields":[{"id":1,"name":"Subdivision","value":"NW"},{"id":4,"name":"Milepost","value":"5.8997"},{"id":17,"name":"Train ID","value":"1827-12"},{"id":16,"name":"Locomotive ID","value":"4029"},{"id":130,"name":"Impact","value":""},{"id":150,"name":"Time of Event (Mountain Time)","value":"19:35:09"},{"id":151,"name":"Denver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594</v>
      </c>
      <c r="B187" s="7">
        <v>4030</v>
      </c>
      <c r="C187" s="22" t="s">
        <v>225</v>
      </c>
      <c r="D187" s="22" t="s">
        <v>700</v>
      </c>
      <c r="E187" s="13">
        <v>42686.817129629628</v>
      </c>
      <c r="F187" s="13">
        <v>42686.818564814814</v>
      </c>
      <c r="G187" s="7">
        <v>1</v>
      </c>
      <c r="H187" s="22" t="s">
        <v>701</v>
      </c>
      <c r="I187" s="13">
        <v>42686.830775462964</v>
      </c>
      <c r="J187" s="7">
        <v>0</v>
      </c>
      <c r="K187" s="109" t="str">
        <f t="shared" si="83"/>
        <v>4029/4030</v>
      </c>
      <c r="L187" s="22" t="str">
        <f>VLOOKUP(A187,'Trips&amp;Operators'!$C$1:$E$10000,3,FALSE)</f>
        <v>MAHAN</v>
      </c>
      <c r="M187" s="6">
        <f t="shared" si="84"/>
        <v>1.2210648150357883E-2</v>
      </c>
      <c r="N187" s="7">
        <f t="shared" si="85"/>
        <v>17.583333336515352</v>
      </c>
      <c r="O187" s="7"/>
      <c r="P187" s="7"/>
      <c r="Q187" s="23"/>
      <c r="R187" s="23"/>
      <c r="S187" s="35">
        <f t="shared" si="86"/>
        <v>1</v>
      </c>
      <c r="T187" s="50" t="str">
        <f t="shared" si="87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18:36:40-700',mode:absolute,to:'2016-11-12 20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52" t="str">
        <f t="shared" si="89"/>
        <v>N</v>
      </c>
      <c r="X187" s="177">
        <f t="shared" si="90"/>
        <v>1</v>
      </c>
      <c r="Y187" s="67">
        <f t="shared" si="91"/>
        <v>5.8681000000000001</v>
      </c>
      <c r="Z187" s="67">
        <f t="shared" si="92"/>
        <v>7.3300000000000004E-2</v>
      </c>
      <c r="AA187" s="67">
        <f t="shared" si="93"/>
        <v>5.7948000000000004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94"/>
        <v>1828-12</v>
      </c>
      <c r="AE187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7" s="88" t="str">
        <f t="shared" si="96"/>
        <v>"C:\Program Files (x86)\AstroGrep\AstroGrep.exe" /spath="%USERPROFILE%\AppData\Local\Temp\OnboardLogs" /stypes="app*4030*20161113*" /stext=" 02:.+((SYSTEM_STATE.+slice.+state.+changed )|(ment ac)|(system.+state.+changed )|(\[timeout)|(PRM\|1\|D)|(kpr)|(kdp)|(\|lc)|(penalty))" /e /r /s</v>
      </c>
      <c r="AG187" s="1" t="str">
        <f t="shared" si="97"/>
        <v>NW</v>
      </c>
      <c r="AH187" s="92" t="str">
        <f t="shared" si="81"/>
        <v>"%USERPROFILE%\Documents\GitHub\eaglep3\Utilities\RefineRTDCRunTimes.py" --tripid 1828-12 --locoid 4030 --swversion DE.1.0.8.0 --startMP 300:58681 --initTime 2016-11-12T19:36:40 --startdatetime 2016-11-12T19:38:44 --delay 1 --endMP 204:733 --enddatetime 2016-11-12T19:56:19 --enforcementcount 0 &gt;&gt;C:\Users\stu\Documents\GitHub\eaglep3-reporting\EC\2016-11-12-refined-times.txt</v>
      </c>
      <c r="AI187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{"issue":{"subject":"","project_id":79,"tracker_id":40,"status_id":1,"priority_id":2,"assigned_to_id":23,"start_date":"2016-11-12","description":"","custom_fields":[{"id":1,"name":"Subdivision","value":"NW"},{"id":4,"name":"Milepost","value":"0.0733"},{"id":17,"name":"Train ID","value":"1828-12"},{"id":16,"name":"Locomotive ID","value":"4030"},{"id":130,"name":"Impact","value":""},{"id":150,"name":"Time of Event (Mountain Time)","value":"19:56:19"},{"id":151,"name":"Denver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442</v>
      </c>
      <c r="B188" s="7">
        <v>4029</v>
      </c>
      <c r="C188" s="22" t="s">
        <v>225</v>
      </c>
      <c r="D188" s="22" t="s">
        <v>702</v>
      </c>
      <c r="E188" s="13">
        <v>42686.846006944441</v>
      </c>
      <c r="F188" s="13">
        <v>42686.848541666666</v>
      </c>
      <c r="G188" s="7">
        <v>1</v>
      </c>
      <c r="H188" s="22" t="s">
        <v>703</v>
      </c>
      <c r="I188" s="13">
        <v>42686.858078703706</v>
      </c>
      <c r="J188" s="7">
        <v>0</v>
      </c>
      <c r="K188" s="109" t="str">
        <f t="shared" si="83"/>
        <v>4029/4030</v>
      </c>
      <c r="L188" s="22" t="str">
        <f>VLOOKUP(A188,'Trips&amp;Operators'!$C$1:$E$10000,3,FALSE)</f>
        <v>MAHAN</v>
      </c>
      <c r="M188" s="6">
        <f t="shared" si="84"/>
        <v>9.5370370399905369E-3</v>
      </c>
      <c r="N188" s="7">
        <f t="shared" si="85"/>
        <v>13.733333337586373</v>
      </c>
      <c r="O188" s="7"/>
      <c r="P188" s="7"/>
      <c r="Q188" s="23"/>
      <c r="R188" s="23"/>
      <c r="S188" s="35">
        <f t="shared" si="86"/>
        <v>1</v>
      </c>
      <c r="T188" s="50" t="str">
        <f t="shared" si="87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19:18:15-700',mode:absolute,to:'2016-11-12 21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8" s="52" t="str">
        <f t="shared" si="89"/>
        <v>N</v>
      </c>
      <c r="X188" s="177">
        <f t="shared" si="90"/>
        <v>1</v>
      </c>
      <c r="Y188" s="67">
        <f t="shared" si="91"/>
        <v>0.1028</v>
      </c>
      <c r="Z188" s="67">
        <f t="shared" si="92"/>
        <v>5.8979999999999997</v>
      </c>
      <c r="AA188" s="67">
        <f t="shared" si="93"/>
        <v>5.7951999999999995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94"/>
        <v>1829-12</v>
      </c>
      <c r="AE188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88" s="88" t="str">
        <f t="shared" si="96"/>
        <v>"C:\Program Files (x86)\AstroGrep\AstroGrep.exe" /spath="%USERPROFILE%\AppData\Local\Temp\OnboardLogs" /stypes="app*4029*20161113*" /stext=" 03:.+((SYSTEM_STATE.+slice.+state.+changed )|(ment ac)|(system.+state.+changed )|(\[timeout)|(PRM\|1\|D)|(kpr)|(kdp)|(\|lc)|(penalty))" /e /r /s</v>
      </c>
      <c r="AG188" s="1" t="str">
        <f t="shared" si="97"/>
        <v>NW</v>
      </c>
      <c r="AH188" s="92" t="str">
        <f t="shared" si="81"/>
        <v>"%USERPROFILE%\Documents\GitHub\eaglep3\Utilities\RefineRTDCRunTimes.py" --tripid 1829-12 --locoid 4029 --swversion DE.1.0.8.0 --startMP 204:1028 --initTime 2016-11-12T20:18:15 --startdatetime 2016-11-12T20:21:54 --delay 1 --endMP 300:58980 --enddatetime 2016-11-12T20:35:38 --enforcementcount 0 &gt;&gt;C:\Users\stu\Documents\GitHub\eaglep3-reporting\EC\2016-11-12-refined-times.txt</v>
      </c>
      <c r="AI188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{"issue":{"subject":"","project_id":79,"tracker_id":40,"status_id":1,"priority_id":2,"assigned_to_id":23,"start_date":"2016-11-12","description":"","custom_fields":[{"id":1,"name":"Subdivision","value":"NW"},{"id":4,"name":"Milepost","value":"5.898"},{"id":17,"name":"Train ID","value":"1829-12"},{"id":16,"name":"Locomotive ID","value":"4029"},{"id":130,"name":"Impact","value":""},{"id":150,"name":"Time of Event (Mountain Time)","value":"20:35:38"},{"id":151,"name":"Denver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599</v>
      </c>
      <c r="B189" s="7">
        <v>4030</v>
      </c>
      <c r="C189" s="22" t="s">
        <v>225</v>
      </c>
      <c r="D189" s="22" t="s">
        <v>704</v>
      </c>
      <c r="E189" s="13">
        <v>42686.859861111108</v>
      </c>
      <c r="F189" s="13">
        <v>42686.861400462964</v>
      </c>
      <c r="G189" s="7">
        <v>1</v>
      </c>
      <c r="H189" s="22" t="s">
        <v>705</v>
      </c>
      <c r="I189" s="13">
        <v>42686.871493055558</v>
      </c>
      <c r="J189" s="7">
        <v>0</v>
      </c>
      <c r="K189" s="109" t="str">
        <f t="shared" si="83"/>
        <v>4029/4030</v>
      </c>
      <c r="L189" s="22" t="str">
        <f>VLOOKUP(A189,'Trips&amp;Operators'!$C$1:$E$10000,3,FALSE)</f>
        <v>MAHAN</v>
      </c>
      <c r="M189" s="6">
        <f t="shared" si="84"/>
        <v>1.0092592594446614E-2</v>
      </c>
      <c r="N189" s="7">
        <f t="shared" si="85"/>
        <v>14.533333336003125</v>
      </c>
      <c r="O189" s="7"/>
      <c r="P189" s="7"/>
      <c r="Q189" s="23"/>
      <c r="R189" s="23"/>
      <c r="S189" s="35">
        <f t="shared" si="86"/>
        <v>1</v>
      </c>
      <c r="T189" s="50" t="str">
        <f t="shared" si="87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19:38:12-700',mode:absolute,to:'2016-11-12 21:54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9" s="52" t="str">
        <f t="shared" si="89"/>
        <v>N</v>
      </c>
      <c r="X189" s="177">
        <f t="shared" si="90"/>
        <v>1</v>
      </c>
      <c r="Y189" s="67">
        <f t="shared" si="91"/>
        <v>5.8658000000000001</v>
      </c>
      <c r="Z189" s="67">
        <f t="shared" si="92"/>
        <v>7.4800000000000005E-2</v>
      </c>
      <c r="AA189" s="67">
        <f t="shared" si="93"/>
        <v>5.7910000000000004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94"/>
        <v>1830-12</v>
      </c>
      <c r="AE189" s="91" t="str">
        <f t="shared" si="95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89" s="88" t="str">
        <f t="shared" si="96"/>
        <v>"C:\Program Files (x86)\AstroGrep\AstroGrep.exe" /spath="%USERPROFILE%\AppData\Local\Temp\OnboardLogs" /stypes="app*4030*20161113*" /stext=" 03:.+((SYSTEM_STATE.+slice.+state.+changed )|(ment ac)|(system.+state.+changed )|(\[timeout)|(PRM\|1\|D)|(kpr)|(kdp)|(\|lc)|(penalty))" /e /r /s</v>
      </c>
      <c r="AG189" s="1" t="str">
        <f t="shared" si="97"/>
        <v>NW</v>
      </c>
      <c r="AH189" s="92" t="str">
        <f t="shared" si="81"/>
        <v>"%USERPROFILE%\Documents\GitHub\eaglep3\Utilities\RefineRTDCRunTimes.py" --tripid 1830-12 --locoid 4030 --swversion DE.1.0.8.0 --startMP 300:58658 --initTime 2016-11-12T20:38:12 --startdatetime 2016-11-12T20:40:25 --delay 1 --endMP 204:748 --enddatetime 2016-11-12T20:54:57 --enforcementcount 0 &gt;&gt;C:\Users\stu\Documents\GitHub\eaglep3-reporting\EC\2016-11-12-refined-times.txt</v>
      </c>
      <c r="AI189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{"issue":{"subject":"","project_id":79,"tracker_id":40,"status_id":1,"priority_id":2,"assigned_to_id":23,"start_date":"2016-11-12","description":"","custom_fields":[{"id":1,"name":"Subdivision","value":"NW"},{"id":4,"name":"Milepost","value":"0.0748"},{"id":17,"name":"Train ID","value":"1830-12"},{"id":16,"name":"Locomotive ID","value":"4030"},{"id":130,"name":"Impact","value":""},{"id":150,"name":"Time of Event (Mountain Time)","value":"20:54:57"},{"id":151,"name":"Denver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603</v>
      </c>
      <c r="B190" s="7">
        <v>4029</v>
      </c>
      <c r="C190" s="22" t="s">
        <v>225</v>
      </c>
      <c r="D190" s="22" t="s">
        <v>412</v>
      </c>
      <c r="E190" s="13">
        <v>42686.887037037035</v>
      </c>
      <c r="F190" s="13">
        <v>42686.889733796299</v>
      </c>
      <c r="G190" s="7">
        <v>1</v>
      </c>
      <c r="H190" s="22" t="s">
        <v>706</v>
      </c>
      <c r="I190" s="13">
        <v>42686.899131944447</v>
      </c>
      <c r="J190" s="7">
        <v>0</v>
      </c>
      <c r="K190" s="109" t="str">
        <f t="shared" si="83"/>
        <v>4029/4030</v>
      </c>
      <c r="L190" s="22" t="str">
        <f>VLOOKUP(A190,'Trips&amp;Operators'!$C$1:$E$10000,3,FALSE)</f>
        <v>MAHAN</v>
      </c>
      <c r="M190" s="6">
        <f t="shared" si="84"/>
        <v>9.3981481477385387E-3</v>
      </c>
      <c r="N190" s="7">
        <f t="shared" si="85"/>
        <v>13.533333332743496</v>
      </c>
      <c r="O190" s="7"/>
      <c r="P190" s="7"/>
      <c r="Q190" s="23"/>
      <c r="R190" s="23"/>
      <c r="S190" s="35">
        <f t="shared" si="86"/>
        <v>1</v>
      </c>
      <c r="T190" s="50" t="str">
        <f t="shared" si="87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20:17:20-700',mode:absolute,to:'2016-11-12 22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0" s="52" t="str">
        <f t="shared" si="89"/>
        <v>N</v>
      </c>
      <c r="X190" s="177">
        <f t="shared" si="90"/>
        <v>1</v>
      </c>
      <c r="Y190" s="67">
        <f t="shared" si="91"/>
        <v>0.1048</v>
      </c>
      <c r="Z190" s="67">
        <f t="shared" si="92"/>
        <v>5.8998999999999997</v>
      </c>
      <c r="AA190" s="67">
        <f t="shared" si="93"/>
        <v>5.7950999999999997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94"/>
        <v>1831-12</v>
      </c>
      <c r="AE190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90" s="88" t="str">
        <f t="shared" si="96"/>
        <v>"C:\Program Files (x86)\AstroGrep\AstroGrep.exe" /spath="%USERPROFILE%\AppData\Local\Temp\OnboardLogs" /stypes="app*4029*20161113*" /stext=" 04:.+((SYSTEM_STATE.+slice.+state.+changed )|(ment ac)|(system.+state.+changed )|(\[timeout)|(PRM\|1\|D)|(kpr)|(kdp)|(\|lc)|(penalty))" /e /r /s</v>
      </c>
      <c r="AG190" s="1" t="str">
        <f t="shared" si="97"/>
        <v>NW</v>
      </c>
      <c r="AH190" s="92" t="str">
        <f t="shared" si="81"/>
        <v>"%USERPROFILE%\Documents\GitHub\eaglep3\Utilities\RefineRTDCRunTimes.py" --tripid 1831-12 --locoid 4029 --swversion DE.1.0.8.0 --startMP 204:1048 --initTime 2016-11-12T21:17:20 --startdatetime 2016-11-12T21:21:13 --delay 1 --endMP 300:58999 --enddatetime 2016-11-12T21:34:45 --enforcementcount 0 &gt;&gt;C:\Users\stu\Documents\GitHub\eaglep3-reporting\EC\2016-11-12-refined-times.txt</v>
      </c>
      <c r="AI190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{"issue":{"subject":"","project_id":79,"tracker_id":40,"status_id":1,"priority_id":2,"assigned_to_id":23,"start_date":"2016-11-12","description":"","custom_fields":[{"id":1,"name":"Subdivision","value":"NW"},{"id":4,"name":"Milepost","value":"5.8999"},{"id":17,"name":"Train ID","value":"1831-12"},{"id":16,"name":"Locomotive ID","value":"4029"},{"id":130,"name":"Impact","value":""},{"id":150,"name":"Time of Event (Mountain Time)","value":"21:34:45"},{"id":151,"name":"Denver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763</v>
      </c>
      <c r="B191" s="7">
        <v>4030</v>
      </c>
      <c r="C191" s="22" t="s">
        <v>225</v>
      </c>
      <c r="D191" s="22" t="s">
        <v>412</v>
      </c>
      <c r="E191" s="13">
        <v>42686.887037037035</v>
      </c>
      <c r="F191" s="13">
        <v>42686.902083333334</v>
      </c>
      <c r="G191" s="7">
        <v>1</v>
      </c>
      <c r="H191" s="22" t="s">
        <v>706</v>
      </c>
      <c r="I191" s="13">
        <v>42686.902083333334</v>
      </c>
      <c r="J191" s="7">
        <v>0</v>
      </c>
      <c r="K191" s="109" t="str">
        <f t="shared" ref="K191" si="98">IF(ISEVEN(B191),(B191-1)&amp;"/"&amp;B191,B191&amp;"/"&amp;(B191+1))</f>
        <v>4029/4030</v>
      </c>
      <c r="L191" s="22" t="e">
        <f>VLOOKUP(A191,'Trips&amp;Operators'!$C$1:$E$10000,3,FALSE)</f>
        <v>#N/A</v>
      </c>
      <c r="M191" s="6">
        <f t="shared" ref="M191" si="99">I191-F191</f>
        <v>0</v>
      </c>
      <c r="N191" s="7"/>
      <c r="O191" s="7"/>
      <c r="P191" s="7">
        <v>1</v>
      </c>
      <c r="Q191" s="23"/>
      <c r="R191" s="23" t="s">
        <v>764</v>
      </c>
      <c r="S191" s="35">
        <f t="shared" ref="S191" si="100">SUM(U191:U191)/IF(AG191="EC",12,1)</f>
        <v>0</v>
      </c>
      <c r="T191" s="50" t="str">
        <f t="shared" ref="T191" si="101">IF(ISEVEN(LEFT(AD191,4)),"Southbound","NorthBound")</f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98" t="str">
        <f t="shared" ref="V191" si="102"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https://search-rtdc-monitor-bjffxe2xuh6vdkpspy63sjmuny.us-east-1.es.amazonaws.com/_plugin/kibana/#/discover/Steve-Slow-Train-Analysis-(2080s-and-2083s)?_g=(refreshInterval:(display:Off,section:0,value:0),time:(from:'2016-11-12 20:17:20-700',mode:absolute,to:'2016-11-12 22:39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ref="W191" si="103">IF(AA191&lt;IF(AG191="EC",23,5.65),"Y","N")</f>
        <v>N</v>
      </c>
      <c r="X191" s="177">
        <f t="shared" ref="X191:X192" si="104">VALUE(LEFT(AD191,4))-VALUE(LEFT(AD190,4))</f>
        <v>1</v>
      </c>
      <c r="Y191" s="67">
        <f t="shared" ref="Y191" si="105">RIGHT(D191,LEN(D191)-4)/10000</f>
        <v>0.1048</v>
      </c>
      <c r="Z191" s="67">
        <f t="shared" ref="Z191" si="106">RIGHT(H191,LEN(H191)-4)/10000</f>
        <v>5.8998999999999997</v>
      </c>
      <c r="AA191" s="67">
        <f t="shared" ref="AA191" si="107">ABS(Z191-Y191)</f>
        <v>5.7950999999999997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ref="AD191" si="108">IF(LEN(A191)=6,"0"&amp;A191,A191)</f>
        <v>1832-12</v>
      </c>
      <c r="AE191" s="91" t="str">
        <f t="shared" ref="AE191" si="109"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191" s="88" t="str">
        <f t="shared" ref="AF191" si="110"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/stypes="app*4030*20161113*" /stext=" 04:.+((SYSTEM_STATE.+slice.+state.+changed )|(ment ac)|(system.+state.+changed )|(\[timeout)|(PRM\|1\|D)|(kpr)|(kdp)|(\|lc)|(penalty))" /e /r /s</v>
      </c>
      <c r="AG191" s="1" t="str">
        <f t="shared" ref="AG191" si="111">IFERROR(IF(VALUE(LEFT(AD191,2))&lt;=2,"EC",IF(OR(VALUE(LEFT(AD191,2))=8,VALUE(LEFT(AD191,2))=18),"NW","Other")),"Other")</f>
        <v>NW</v>
      </c>
      <c r="AH191" s="92" t="str">
        <f t="shared" ref="AH191" si="112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1832-12 --locoid 4030 --swversion DE.1.0.8.0 --startMP 204:1048 --initTime 2016-11-12T21:17:20 --startdatetime 2016-11-12T21:39:00 --delay 1 --endMP 300:58999 --enddatetime 2016-11-12T21:39:00 --enforcementcount 0 &gt;&gt;C:\Users\stu\Documents\GitHub\eaglep3-reporting\EC\2016-11-12-refined-times.txt</v>
      </c>
      <c r="AI191" s="119" t="str">
        <f t="shared" ref="AI191" si="113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failure","project_id":79,"tracker_id":40,"status_id":1,"priority_id":2,"assigned_to_id":23,"start_date":"2016-11-12","description":"Multiple CPU faults at 2016-11-12 21:38:13 Denver time","custom_fields":[{"id":1,"name":"Subdivision","value":"NW"},{"id":4,"name":"Milepost","value":"5.8999"},{"id":17,"name":"Train ID","value":"1832-12"},{"id":16,"name":"Locomotive ID","value":"4030"},{"id":130,"name":"Impact","value":"Failed State"},{"id":150,"name":"Time of Event (Mountain Time)","value":"21:39:00"},{"id":151,"name":"Denver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1" s="53" t="s">
        <v>765</v>
      </c>
      <c r="AK191" s="53" t="s">
        <v>128</v>
      </c>
      <c r="AL191" s="53" t="s">
        <v>178</v>
      </c>
    </row>
    <row r="192" spans="1:91" s="21" customFormat="1" x14ac:dyDescent="0.25">
      <c r="A192" s="37" t="s">
        <v>609</v>
      </c>
      <c r="B192" s="7">
        <v>4029</v>
      </c>
      <c r="C192" s="22" t="s">
        <v>225</v>
      </c>
      <c r="D192" s="22" t="s">
        <v>707</v>
      </c>
      <c r="E192" s="13">
        <v>42686.925162037034</v>
      </c>
      <c r="F192" s="13">
        <v>42686.931446759256</v>
      </c>
      <c r="G192" s="7">
        <v>1</v>
      </c>
      <c r="H192" s="22" t="s">
        <v>708</v>
      </c>
      <c r="I192" s="13">
        <v>42686.940821759257</v>
      </c>
      <c r="J192" s="7">
        <v>0</v>
      </c>
      <c r="K192" s="109" t="str">
        <f t="shared" si="83"/>
        <v>4029/4030</v>
      </c>
      <c r="L192" s="22" t="str">
        <f>VLOOKUP(A192,'Trips&amp;Operators'!$C$1:$E$10000,3,FALSE)</f>
        <v>MAHAN</v>
      </c>
      <c r="M192" s="6">
        <f t="shared" si="84"/>
        <v>9.3750000014551915E-3</v>
      </c>
      <c r="N192" s="7">
        <f t="shared" si="85"/>
        <v>13.500000002095476</v>
      </c>
      <c r="O192" s="7"/>
      <c r="P192" s="7"/>
      <c r="Q192" s="23"/>
      <c r="R192" s="23"/>
      <c r="S192" s="35">
        <f t="shared" si="86"/>
        <v>1</v>
      </c>
      <c r="T192" s="50" t="str">
        <f t="shared" si="87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21:12:14-700',mode:absolute,to:'2016-11-12 23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2" s="52" t="str">
        <f t="shared" si="89"/>
        <v>N</v>
      </c>
      <c r="X192" s="177">
        <f t="shared" si="104"/>
        <v>1</v>
      </c>
      <c r="Y192" s="67">
        <f t="shared" si="91"/>
        <v>0.1076</v>
      </c>
      <c r="Z192" s="67">
        <f t="shared" si="92"/>
        <v>5.8982000000000001</v>
      </c>
      <c r="AA192" s="67">
        <f t="shared" si="93"/>
        <v>5.7906000000000004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94"/>
        <v>1833-12</v>
      </c>
      <c r="AE192" s="91" t="str">
        <f t="shared" si="95"/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AF192" s="88" t="str">
        <f t="shared" si="96"/>
        <v>"C:\Program Files (x86)\AstroGrep\AstroGrep.exe" /spath="%USERPROFILE%\AppData\Local\Temp\OnboardLogs" /stypes="app*4029*20161113*" /stext=" 05:.+((SYSTEM_STATE.+slice.+state.+changed )|(ment ac)|(system.+state.+changed )|(\[timeout)|(PRM\|1\|D)|(kpr)|(kdp)|(\|lc)|(penalty))" /e /r /s</v>
      </c>
      <c r="AG192" s="1" t="str">
        <f t="shared" si="97"/>
        <v>NW</v>
      </c>
      <c r="AH192" s="92" t="str">
        <f t="shared" si="81"/>
        <v>"%USERPROFILE%\Documents\GitHub\eaglep3\Utilities\RefineRTDCRunTimes.py" --tripid 1833-12 --locoid 4029 --swversion DE.1.0.8.0 --startMP 204:1076 --initTime 2016-11-12T22:12:14 --startdatetime 2016-11-12T22:21:17 --delay 1 --endMP 300:58982 --enddatetime 2016-11-12T22:34:47 --enforcementcount 0 &gt;&gt;C:\Users\stu\Documents\GitHub\eaglep3-reporting\EC\2016-11-12-refined-times.txt</v>
      </c>
      <c r="AI192" s="119" t="str">
        <f t="shared" si="82"/>
        <v>echo {"issue":{"subject":"","project_id":79,"tracker_id":40,"status_id":1,"priority_id":2,"assigned_to_id":23,"start_date":"2016-11-12","description":"","custom_fields":[{"id":1,"name":"Subdivision","value":"NW"},{"id":4,"name":"Milepost","value":"5.8982"},{"id":17,"name":"Train ID","value":"1833-12"},{"id":16,"name":"Locomotive ID","value":"4029"},{"id":130,"name":"Impact","value":""},{"id":150,"name":"Time of Event (Mountain Time)","value":"22:34:47"},{"id":151,"name":"Denver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7" t="s">
        <v>444</v>
      </c>
      <c r="B193" s="7">
        <v>4021</v>
      </c>
      <c r="C193" s="22" t="s">
        <v>225</v>
      </c>
      <c r="D193" s="22" t="s">
        <v>736</v>
      </c>
      <c r="E193" s="13">
        <v>42686.124467592592</v>
      </c>
      <c r="F193" s="13">
        <v>42686.127534722225</v>
      </c>
      <c r="G193" s="7">
        <v>4</v>
      </c>
      <c r="H193" s="22" t="s">
        <v>406</v>
      </c>
      <c r="I193" s="13">
        <v>42686.13244212963</v>
      </c>
      <c r="J193" s="7">
        <v>0</v>
      </c>
      <c r="K193" s="109" t="str">
        <f t="shared" si="83"/>
        <v>4021/4022</v>
      </c>
      <c r="L193" s="22" t="str">
        <f>VLOOKUP(A193,'Trips&amp;Operators'!$C$1:$E$10000,3,FALSE)</f>
        <v>SANTIZO</v>
      </c>
      <c r="M193" s="6">
        <f t="shared" si="84"/>
        <v>4.907407404971309E-3</v>
      </c>
      <c r="N193" s="7">
        <f t="shared" si="85"/>
        <v>7.066666663158685</v>
      </c>
      <c r="O193" s="7"/>
      <c r="P193" s="7"/>
      <c r="Q193" s="23"/>
      <c r="R193" s="23"/>
      <c r="S193" s="35">
        <f t="shared" si="86"/>
        <v>1</v>
      </c>
      <c r="T193" s="50" t="str">
        <f t="shared" si="87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01:59:14-700',mode:absolute,to:'2016-11-12 04:10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3" s="52" t="str">
        <f t="shared" si="89"/>
        <v>Y</v>
      </c>
      <c r="X193" s="177">
        <f t="shared" si="90"/>
        <v>-1531</v>
      </c>
      <c r="Y193" s="67">
        <f t="shared" si="91"/>
        <v>1.9417</v>
      </c>
      <c r="Z193" s="67">
        <f t="shared" si="92"/>
        <v>1.29E-2</v>
      </c>
      <c r="AA193" s="67">
        <f t="shared" si="93"/>
        <v>1.9288000000000001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94"/>
        <v>0302-12</v>
      </c>
      <c r="AE193" s="91" t="str">
        <f t="shared" si="95"/>
        <v>aws s3 cp s3://rtdc.mdm.uploadarchive.raw/RTDC4021/ "%USERPROFILE%\AppData\Local\Temp\OnboardLogs"\RTDC4021\2016-11-12 --exclude "*" --recursive --include "*20161112*" &amp; "%USERPROFILE%\Documents\GitHub\mrs-test-scripts\Headless Mode &amp; Sideloading\WalkAndUnGZ.bat" "%USERPROFILE%\AppData\Local\Temp\OnboardLogs"\RTDC4021\2016-11-12 &amp; aws s3 cp s3://rtdc.mdm.uploadarchive.raw/RTDC4021/ "%USERPROFILE%\AppData\Local\Temp\OnboardLogs"\RTDC4021\2016-11-13 --exclude "*" --recursive --include "*20161113*" &amp; "%USERPROFILE%\Documents\GitHub\mrs-test-scripts\Headless Mode &amp; Sideloading\WalkAndUnGZ.bat" "%USERPROFILE%\AppData\Local\Temp\OnboardLogs"\RTDC4021\2016-11-13</v>
      </c>
      <c r="AF193" s="88" t="str">
        <f t="shared" si="96"/>
        <v>"C:\Program Files (x86)\AstroGrep\AstroGrep.exe" /spath="%USERPROFILE%\AppData\Local\Temp\OnboardLogs" /stypes="app*4021*20161112*" /stext=" 10:.+((SYSTEM_STATE.+slice.+state.+changed )|(ment ac)|(system.+state.+changed )|(\[timeout)|(PRM\|1\|D)|(kpr)|(kdp)|(\|lc)|(penalty))" /e /r /s</v>
      </c>
      <c r="AG193" s="1" t="str">
        <f t="shared" si="97"/>
        <v>Other</v>
      </c>
      <c r="AH193" s="92" t="str">
        <f t="shared" si="81"/>
        <v>"%USERPROFILE%\Documents\GitHub\eaglep3\Utilities\RefineRTDCRunTimes.py" --tripid 302-12 --locoid 4021 --swversion DE.1.0.8.0 --startMP 300:19417 --initTime 2016-11-12T02:59:14 --startdatetime 2016-11-12T03:03:39 --delay 4 --endMP 204:129 --enddatetime 2016-11-12T03:10:43 --enforcementcount 0 &gt;&gt;C:\Users\stu\Documents\GitHub\eaglep3-reporting\EC\2016-11-12-refined-times.txt</v>
      </c>
      <c r="AI193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{"issue":{"subject":"","project_id":79,"tracker_id":40,"status_id":1,"priority_id":2,"assigned_to_id":23,"start_date":"2016-11-12","description":"","custom_fields":[{"id":1,"name":"Subdivision","value":"Other"},{"id":4,"name":"Milepost","value":"0.0129"},{"id":17,"name":"Train ID","value":"302-12"},{"id":16,"name":"Locomotive ID","value":"4021"},{"id":130,"name":"Impact","value":""},{"id":150,"name":"Time of Event (Mountain Time)","value":"03:10:43"},{"id":151,"name":"Denver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587</v>
      </c>
      <c r="B194" s="7">
        <v>4042</v>
      </c>
      <c r="C194" s="22" t="s">
        <v>225</v>
      </c>
      <c r="D194" s="22" t="s">
        <v>345</v>
      </c>
      <c r="E194" s="13">
        <v>42686.777187500003</v>
      </c>
      <c r="F194" s="13">
        <v>42686.778599537036</v>
      </c>
      <c r="G194" s="7">
        <v>0</v>
      </c>
      <c r="H194" s="22" t="s">
        <v>354</v>
      </c>
      <c r="I194" s="13">
        <v>42686.784629629627</v>
      </c>
      <c r="J194" s="7">
        <v>0</v>
      </c>
      <c r="K194" s="109" t="str">
        <f t="shared" si="83"/>
        <v>4041/4042</v>
      </c>
      <c r="L194" s="22" t="str">
        <f>VLOOKUP(A194,'Trips&amp;Operators'!$C$1:$E$10000,3,FALSE)</f>
        <v>SHOOK</v>
      </c>
      <c r="M194" s="6">
        <f t="shared" si="84"/>
        <v>6.0300925906631164E-3</v>
      </c>
      <c r="N194" s="7">
        <f t="shared" si="85"/>
        <v>8.6833333305548877</v>
      </c>
      <c r="O194" s="7"/>
      <c r="P194" s="7"/>
      <c r="Q194" s="23"/>
      <c r="R194" s="23"/>
      <c r="S194" s="35">
        <f t="shared" si="86"/>
        <v>1</v>
      </c>
      <c r="T194" s="50" t="str">
        <f t="shared" si="87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17:39:09-700',mode:absolute,to:'2016-11-12 19:49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4" s="52" t="str">
        <f t="shared" si="89"/>
        <v>Y</v>
      </c>
      <c r="X194" s="177">
        <f t="shared" si="90"/>
        <v>1</v>
      </c>
      <c r="Y194" s="67">
        <f t="shared" si="91"/>
        <v>4.6600000000000003E-2</v>
      </c>
      <c r="Z194" s="67">
        <f t="shared" si="92"/>
        <v>2.331</v>
      </c>
      <c r="AA194" s="67">
        <f t="shared" si="93"/>
        <v>2.2843999999999998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94"/>
        <v>0303-12</v>
      </c>
      <c r="AE194" s="91" t="str">
        <f t="shared" si="95"/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AF194" s="88" t="str">
        <f t="shared" si="96"/>
        <v>"C:\Program Files (x86)\AstroGrep\AstroGrep.exe" /spath="%USERPROFILE%\AppData\Local\Temp\OnboardLogs" /stypes="app*4042*20161113*" /stext=" 01:.+((SYSTEM_STATE.+slice.+state.+changed )|(ment ac)|(system.+state.+changed )|(\[timeout)|(PRM\|1\|D)|(kpr)|(kdp)|(\|lc)|(penalty))" /e /r /s</v>
      </c>
      <c r="AG194" s="1" t="str">
        <f t="shared" si="97"/>
        <v>Other</v>
      </c>
      <c r="AH194" s="92" t="str">
        <f t="shared" si="81"/>
        <v>"%USERPROFILE%\Documents\GitHub\eaglep3\Utilities\RefineRTDCRunTimes.py" --tripid 303-12 --locoid 4042 --swversion DE.1.0.8.0 --startMP 204:466 --initTime 2016-11-12T18:39:09 --startdatetime 2016-11-12T18:41:11 --delay 0 --endMP 300:23310 --enddatetime 2016-11-12T18:49:52 --enforcementcount 0 &gt;&gt;C:\Users\stu\Documents\GitHub\eaglep3-reporting\EC\2016-11-12-refined-times.txt</v>
      </c>
      <c r="AI194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{"issue":{"subject":"","project_id":79,"tracker_id":40,"status_id":1,"priority_id":2,"assigned_to_id":23,"start_date":"2016-11-12","description":"","custom_fields":[{"id":1,"name":"Subdivision","value":"Other"},{"id":4,"name":"Milepost","value":"2.331"},{"id":17,"name":"Train ID","value":"303-12"},{"id":16,"name":"Locomotive ID","value":"4042"},{"id":130,"name":"Impact","value":""},{"id":150,"name":"Time of Event (Mountain Time)","value":"18:49:52"},{"id":151,"name":"Denver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446</v>
      </c>
      <c r="B195" s="7">
        <v>4013</v>
      </c>
      <c r="C195" s="22" t="s">
        <v>225</v>
      </c>
      <c r="D195" s="22" t="s">
        <v>737</v>
      </c>
      <c r="E195" s="13">
        <v>42686.14025462963</v>
      </c>
      <c r="F195" s="13">
        <v>42686.142488425925</v>
      </c>
      <c r="G195" s="7">
        <v>2</v>
      </c>
      <c r="H195" s="22" t="s">
        <v>175</v>
      </c>
      <c r="I195" s="13">
        <v>42686.148263888892</v>
      </c>
      <c r="J195" s="7">
        <v>0</v>
      </c>
      <c r="K195" s="109" t="str">
        <f t="shared" si="83"/>
        <v>4013/4014</v>
      </c>
      <c r="L195" s="22" t="str">
        <f>VLOOKUP(A195,'Trips&amp;Operators'!$C$1:$E$10000,3,FALSE)</f>
        <v>DE LA ROSA</v>
      </c>
      <c r="M195" s="6">
        <f t="shared" si="84"/>
        <v>5.7754629669943824E-3</v>
      </c>
      <c r="N195" s="7">
        <f t="shared" si="85"/>
        <v>8.3166666724719107</v>
      </c>
      <c r="O195" s="7"/>
      <c r="P195" s="7"/>
      <c r="Q195" s="23"/>
      <c r="R195" s="23"/>
      <c r="S195" s="35">
        <f t="shared" si="86"/>
        <v>1</v>
      </c>
      <c r="T195" s="50" t="str">
        <f t="shared" si="87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02:21:58-700',mode:absolute,to:'2016-11-12 04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95" s="52" t="str">
        <f t="shared" si="89"/>
        <v>Y</v>
      </c>
      <c r="X195" s="177">
        <f t="shared" si="90"/>
        <v>1</v>
      </c>
      <c r="Y195" s="67">
        <f t="shared" si="91"/>
        <v>2.2273999999999998</v>
      </c>
      <c r="Z195" s="67">
        <f t="shared" si="92"/>
        <v>1.47E-2</v>
      </c>
      <c r="AA195" s="67">
        <f t="shared" si="93"/>
        <v>2.2126999999999999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94"/>
        <v>0304-12</v>
      </c>
      <c r="AE195" s="91" t="str">
        <f t="shared" si="95"/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AF195" s="88" t="str">
        <f t="shared" si="96"/>
        <v>"C:\Program Files (x86)\AstroGrep\AstroGrep.exe" /spath="%USERPROFILE%\AppData\Local\Temp\OnboardLogs" /stypes="app*4013*20161112*" /stext=" 10:.+((SYSTEM_STATE.+slice.+state.+changed )|(ment ac)|(system.+state.+changed )|(\[timeout)|(PRM\|1\|D)|(kpr)|(kdp)|(\|lc)|(penalty))" /e /r /s</v>
      </c>
      <c r="AG195" s="1" t="str">
        <f t="shared" si="97"/>
        <v>Other</v>
      </c>
      <c r="AH195" s="92" t="str">
        <f t="shared" si="81"/>
        <v>"%USERPROFILE%\Documents\GitHub\eaglep3\Utilities\RefineRTDCRunTimes.py" --tripid 304-12 --locoid 4013 --swversion DE.1.0.8.0 --startMP 300:22274 --initTime 2016-11-12T03:21:58 --startdatetime 2016-11-12T03:25:11 --delay 2 --endMP 204:147 --enddatetime 2016-11-12T03:33:30 --enforcementcount 0 &gt;&gt;C:\Users\stu\Documents\GitHub\eaglep3-reporting\EC\2016-11-12-refined-times.txt</v>
      </c>
      <c r="AI195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{"issue":{"subject":"","project_id":79,"tracker_id":40,"status_id":1,"priority_id":2,"assigned_to_id":23,"start_date":"2016-11-12","description":"","custom_fields":[{"id":1,"name":"Subdivision","value":"Other"},{"id":4,"name":"Milepost","value":"0.0147"},{"id":17,"name":"Train ID","value":"304-12"},{"id":16,"name":"Locomotive ID","value":"4013"},{"id":130,"name":"Impact","value":""},{"id":150,"name":"Time of Event (Mountain Time)","value":"03:33:30"},{"id":151,"name":"Denver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590</v>
      </c>
      <c r="B196" s="7">
        <v>4022</v>
      </c>
      <c r="C196" s="22" t="s">
        <v>225</v>
      </c>
      <c r="D196" s="22" t="s">
        <v>219</v>
      </c>
      <c r="E196" s="13">
        <v>42686.80097222222</v>
      </c>
      <c r="F196" s="13">
        <v>42686.807500000003</v>
      </c>
      <c r="G196" s="7">
        <v>1</v>
      </c>
      <c r="H196" s="22" t="s">
        <v>409</v>
      </c>
      <c r="I196" s="13">
        <v>42686.814074074071</v>
      </c>
      <c r="J196" s="7">
        <v>0</v>
      </c>
      <c r="K196" s="109" t="str">
        <f t="shared" si="83"/>
        <v>4021/4022</v>
      </c>
      <c r="L196" s="22" t="str">
        <f>VLOOKUP(A196,'Trips&amp;Operators'!$C$1:$E$10000,3,FALSE)</f>
        <v>CLARK</v>
      </c>
      <c r="M196" s="6">
        <f t="shared" si="84"/>
        <v>6.5740740683395416E-3</v>
      </c>
      <c r="N196" s="7">
        <f t="shared" si="85"/>
        <v>9.4666666584089398</v>
      </c>
      <c r="O196" s="7"/>
      <c r="P196" s="7"/>
      <c r="Q196" s="23"/>
      <c r="R196" s="23"/>
      <c r="S196" s="35">
        <f t="shared" si="86"/>
        <v>1</v>
      </c>
      <c r="T196" s="50" t="str">
        <f t="shared" si="87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18:13:24-700',mode:absolute,to:'2016-11-12 20:32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6" s="52" t="str">
        <f t="shared" si="89"/>
        <v>Y</v>
      </c>
      <c r="X196" s="177">
        <f t="shared" si="90"/>
        <v>1</v>
      </c>
      <c r="Y196" s="67">
        <f t="shared" si="91"/>
        <v>4.6199999999999998E-2</v>
      </c>
      <c r="Z196" s="67">
        <f t="shared" si="92"/>
        <v>2.3311999999999999</v>
      </c>
      <c r="AA196" s="67">
        <f t="shared" si="93"/>
        <v>2.2850000000000001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94"/>
        <v>0305-12</v>
      </c>
      <c r="AE196" s="91" t="str">
        <f t="shared" si="95"/>
        <v>aws s3 cp s3://rtdc.mdm.uploadarchive.raw/RTDC4022/ "%USERPROFILE%\AppData\Local\Temp\OnboardLogs"\RTDC4022\2016-11-12 --exclude "*" --recursive --include "*20161112*" &amp; "%USERPROFILE%\Documents\GitHub\mrs-test-scripts\Headless Mode &amp; Sideloading\WalkAndUnGZ.bat" "%USERPROFILE%\AppData\Local\Temp\OnboardLogs"\RTDC4022\2016-11-12 &amp; aws s3 cp s3://rtdc.mdm.uploadarchive.raw/RTDC4022/ "%USERPROFILE%\AppData\Local\Temp\OnboardLogs"\RTDC4022\2016-11-13 --exclude "*" --recursive --include "*20161113*" &amp; "%USERPROFILE%\Documents\GitHub\mrs-test-scripts\Headless Mode &amp; Sideloading\WalkAndUnGZ.bat" "%USERPROFILE%\AppData\Local\Temp\OnboardLogs"\RTDC4022\2016-11-13</v>
      </c>
      <c r="AF196" s="88" t="str">
        <f t="shared" si="96"/>
        <v>"C:\Program Files (x86)\AstroGrep\AstroGrep.exe" /spath="%USERPROFILE%\AppData\Local\Temp\OnboardLogs" /stypes="app*4022*20161113*" /stext=" 02:.+((SYSTEM_STATE.+slice.+state.+changed )|(ment ac)|(system.+state.+changed )|(\[timeout)|(PRM\|1\|D)|(kpr)|(kdp)|(\|lc)|(penalty))" /e /r /s</v>
      </c>
      <c r="AG196" s="1" t="str">
        <f t="shared" si="97"/>
        <v>Other</v>
      </c>
      <c r="AH196" s="92" t="str">
        <f t="shared" si="81"/>
        <v>"%USERPROFILE%\Documents\GitHub\eaglep3\Utilities\RefineRTDCRunTimes.py" --tripid 305-12 --locoid 4022 --swversion DE.1.0.8.0 --startMP 204:462 --initTime 2016-11-12T19:13:24 --startdatetime 2016-11-12T19:22:48 --delay 1 --endMP 300:23312 --enddatetime 2016-11-12T19:32:16 --enforcementcount 0 &gt;&gt;C:\Users\stu\Documents\GitHub\eaglep3-reporting\EC\2016-11-12-refined-times.txt</v>
      </c>
      <c r="AI196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{"issue":{"subject":"","project_id":79,"tracker_id":40,"status_id":1,"priority_id":2,"assigned_to_id":23,"start_date":"2016-11-12","description":"","custom_fields":[{"id":1,"name":"Subdivision","value":"Other"},{"id":4,"name":"Milepost","value":"2.3312"},{"id":17,"name":"Train ID","value":"305-12"},{"id":16,"name":"Locomotive ID","value":"4022"},{"id":130,"name":"Impact","value":""},{"id":150,"name":"Time of Event (Mountain Time)","value":"19:32:16"},{"id":151,"name":"Denver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419</v>
      </c>
      <c r="B197" s="7">
        <v>4015</v>
      </c>
      <c r="C197" s="22" t="s">
        <v>225</v>
      </c>
      <c r="D197" s="22" t="s">
        <v>738</v>
      </c>
      <c r="E197" s="13">
        <v>42686.163865740738</v>
      </c>
      <c r="F197" s="13">
        <v>42686.16505787037</v>
      </c>
      <c r="G197" s="7">
        <v>1</v>
      </c>
      <c r="H197" s="22" t="s">
        <v>739</v>
      </c>
      <c r="I197" s="13">
        <v>42686.171076388891</v>
      </c>
      <c r="J197" s="7">
        <v>0</v>
      </c>
      <c r="K197" s="109" t="str">
        <f t="shared" si="83"/>
        <v>4015/4016</v>
      </c>
      <c r="L197" s="22" t="str">
        <f>VLOOKUP(A197,'Trips&amp;Operators'!$C$1:$E$10000,3,FALSE)</f>
        <v>ACKERMAN</v>
      </c>
      <c r="M197" s="6">
        <f t="shared" si="84"/>
        <v>6.0185185211594217E-3</v>
      </c>
      <c r="N197" s="7">
        <f t="shared" si="85"/>
        <v>8.6666666704695672</v>
      </c>
      <c r="O197" s="7"/>
      <c r="P197" s="7"/>
      <c r="Q197" s="23"/>
      <c r="R197" s="23"/>
      <c r="S197" s="35">
        <f t="shared" si="86"/>
        <v>1</v>
      </c>
      <c r="T197" s="50" t="str">
        <f t="shared" si="87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02:55:58-700',mode:absolute,to:'2016-11-12 05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7" s="52" t="str">
        <f t="shared" si="89"/>
        <v>Y</v>
      </c>
      <c r="X197" s="177">
        <f t="shared" si="90"/>
        <v>1</v>
      </c>
      <c r="Y197" s="67">
        <f t="shared" si="91"/>
        <v>2.2336999999999998</v>
      </c>
      <c r="Z197" s="67">
        <f t="shared" si="92"/>
        <v>8.3000000000000001E-3</v>
      </c>
      <c r="AA197" s="67">
        <f t="shared" si="93"/>
        <v>2.2253999999999996</v>
      </c>
      <c r="AB197" s="64" t="str">
        <f>VLOOKUP(A197,Enforcements!$C$7:$K$20,8,0)</f>
        <v>Form based authority (4)</v>
      </c>
      <c r="AC197" s="60" t="str">
        <f>VLOOKUP(A197,Enforcements!$C$7:$E$20,3,0)</f>
        <v>TRACK WARRANT AUTHORITY</v>
      </c>
      <c r="AD197" s="61" t="str">
        <f t="shared" si="94"/>
        <v>0306-12</v>
      </c>
      <c r="AE197" s="91" t="str">
        <f t="shared" si="95"/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AF197" s="88" t="str">
        <f t="shared" si="96"/>
        <v>"C:\Program Files (x86)\AstroGrep\AstroGrep.exe" /spath="%USERPROFILE%\AppData\Local\Temp\OnboardLogs" /stypes="app*4015*20161112*" /stext=" 11:.+((SYSTEM_STATE.+slice.+state.+changed )|(ment ac)|(system.+state.+changed )|(\[timeout)|(PRM\|1\|D)|(kpr)|(kdp)|(\|lc)|(penalty))" /e /r /s</v>
      </c>
      <c r="AG197" s="1" t="str">
        <f t="shared" si="97"/>
        <v>Other</v>
      </c>
      <c r="AH197" s="92" t="str">
        <f t="shared" si="81"/>
        <v>"%USERPROFILE%\Documents\GitHub\eaglep3\Utilities\RefineRTDCRunTimes.py" --tripid 306-12 --locoid 4015 --swversion DE.1.0.8.0 --startMP 300:22337 --initTime 2016-11-12T03:55:58 --startdatetime 2016-11-12T03:57:41 --delay 1 --endMP 204:83 --enddatetime 2016-11-12T04:06:21 --enforcementcount 0 &gt;&gt;C:\Users\stu\Documents\GitHub\eaglep3-reporting\EC\2016-11-12-refined-times.txt</v>
      </c>
      <c r="AI197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{"issue":{"subject":"","project_id":79,"tracker_id":40,"status_id":1,"priority_id":2,"assigned_to_id":23,"start_date":"2016-11-12","description":"","custom_fields":[{"id":1,"name":"Subdivision","value":"Other"},{"id":4,"name":"Milepost","value":"0.0083"},{"id":17,"name":"Train ID","value":"306-12"},{"id":16,"name":"Locomotive ID","value":"4015"},{"id":130,"name":"Impact","value":""},{"id":150,"name":"Time of Event (Mountain Time)","value":"04:06:21"},{"id":151,"name":"Denver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595</v>
      </c>
      <c r="B198" s="7">
        <v>4014</v>
      </c>
      <c r="C198" s="22" t="s">
        <v>225</v>
      </c>
      <c r="D198" s="22" t="s">
        <v>740</v>
      </c>
      <c r="E198" s="13">
        <v>42686.818229166667</v>
      </c>
      <c r="F198" s="13">
        <v>25568.708333333332</v>
      </c>
      <c r="G198" s="7">
        <v>1</v>
      </c>
      <c r="H198" s="22" t="s">
        <v>741</v>
      </c>
      <c r="I198" s="13">
        <v>25568.708333333332</v>
      </c>
      <c r="J198" s="7">
        <v>0</v>
      </c>
      <c r="K198" s="109" t="str">
        <f t="shared" si="83"/>
        <v>4013/4014</v>
      </c>
      <c r="L198" s="22" t="str">
        <f>VLOOKUP(A198,'Trips&amp;Operators'!$C$1:$E$10000,3,FALSE)</f>
        <v>STORY</v>
      </c>
      <c r="M198" s="6">
        <f t="shared" si="84"/>
        <v>0</v>
      </c>
      <c r="N198" s="7">
        <f t="shared" si="85"/>
        <v>0</v>
      </c>
      <c r="O198" s="7"/>
      <c r="P198" s="7"/>
      <c r="Q198" s="23"/>
      <c r="R198" s="23"/>
      <c r="S198" s="35">
        <f t="shared" si="86"/>
        <v>1</v>
      </c>
      <c r="T198" s="50" t="str">
        <f t="shared" si="87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18:38:15-700',mode:absolute,to:'1969-12-31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98" s="52" t="str">
        <f t="shared" si="89"/>
        <v>Y</v>
      </c>
      <c r="X198" s="177">
        <f t="shared" si="90"/>
        <v>1</v>
      </c>
      <c r="Y198" s="67">
        <f t="shared" si="91"/>
        <v>4.2799999999999998E-2</v>
      </c>
      <c r="Z198" s="67">
        <f t="shared" si="92"/>
        <v>2.3300999999999998</v>
      </c>
      <c r="AA198" s="67">
        <f t="shared" si="93"/>
        <v>2.2872999999999997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94"/>
        <v>0307-12</v>
      </c>
      <c r="AE198" s="91" t="str">
        <f t="shared" si="9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198" s="88" t="str">
        <f t="shared" si="96"/>
        <v>"C:\Program Files (x86)\AstroGrep\AstroGrep.exe" /spath="%USERPROFILE%\AppData\Local\Temp\OnboardLogs" /stypes="app*4014*19700101*" /stext=" 00:.+((SYSTEM_STATE.+slice.+state.+changed )|(ment ac)|(system.+state.+changed )|(\[timeout)|(PRM\|1\|D)|(kpr)|(kdp)|(\|lc)|(penalty))" /e /r /s</v>
      </c>
      <c r="AG198" s="1" t="str">
        <f t="shared" si="97"/>
        <v>Other</v>
      </c>
      <c r="AH198" s="92" t="str">
        <f t="shared" si="81"/>
        <v>"%USERPROFILE%\Documents\GitHub\eaglep3\Utilities\RefineRTDCRunTimes.py" --tripid 307-12 --locoid 4014 --swversion DE.1.0.8.0 --startMP 204:428 --initTime 2016-11-12T19:38:15 --startdatetime 1969-12-31T17:00:00 --delay 1 --endMP 300:23301 --enddatetime 1969-12-31T17:00:00 --enforcementcount 0 &gt;&gt;C:\Users\stu\Documents\GitHub\eaglep3-reporting\EC\2016-11-12-refined-times.txt</v>
      </c>
      <c r="AI198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ID","value":"307-12"},{"id":16,"name":"Locomotive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621</v>
      </c>
      <c r="B199" s="7">
        <v>4011</v>
      </c>
      <c r="C199" s="22" t="s">
        <v>225</v>
      </c>
      <c r="D199" s="22" t="s">
        <v>276</v>
      </c>
      <c r="E199" s="13">
        <v>42687.046516203707</v>
      </c>
      <c r="F199" s="13">
        <v>25568.708333333332</v>
      </c>
      <c r="G199" s="7">
        <v>1</v>
      </c>
      <c r="H199" s="22" t="s">
        <v>409</v>
      </c>
      <c r="I199" s="13">
        <v>25568.708333333332</v>
      </c>
      <c r="J199" s="7">
        <v>0</v>
      </c>
      <c r="K199" s="109" t="str">
        <f t="shared" si="83"/>
        <v>4011/4012</v>
      </c>
      <c r="L199" s="22" t="str">
        <f>VLOOKUP(A199,'Trips&amp;Operators'!$C$1:$E$10000,3,FALSE)</f>
        <v>NEWELL</v>
      </c>
      <c r="M199" s="6">
        <f t="shared" si="84"/>
        <v>0</v>
      </c>
      <c r="N199" s="7">
        <f t="shared" si="85"/>
        <v>0</v>
      </c>
      <c r="O199" s="7"/>
      <c r="P199" s="7"/>
      <c r="Q199" s="23"/>
      <c r="R199" s="23"/>
      <c r="S199" s="35">
        <f t="shared" si="86"/>
        <v>1</v>
      </c>
      <c r="T199" s="50" t="str">
        <f t="shared" si="87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https://search-rtdc-monitor-bjffxe2xuh6vdkpspy63sjmuny.us-east-1.es.amazonaws.com/_plugin/kibana/#/discover/Steve-Slow-Train-Analysis-(2080s-and-2083s)?_g=(refreshInterval:(display:Off,section:0,value:0),time:(from:'2016-11-13 00:06:59-700',mode:absolute,to:'1969-12-31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9" s="52" t="str">
        <f t="shared" si="89"/>
        <v>Y</v>
      </c>
      <c r="X199" s="177">
        <f t="shared" si="90"/>
        <v>2</v>
      </c>
      <c r="Y199" s="67">
        <f t="shared" si="91"/>
        <v>4.3799999999999999E-2</v>
      </c>
      <c r="Z199" s="67">
        <f t="shared" si="92"/>
        <v>2.3311999999999999</v>
      </c>
      <c r="AA199" s="67">
        <f t="shared" si="93"/>
        <v>2.2873999999999999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94"/>
        <v>0309-12</v>
      </c>
      <c r="AE199" s="91" t="str">
        <f t="shared" si="9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9" s="88" t="str">
        <f t="shared" si="96"/>
        <v>"C:\Program Files (x86)\AstroGrep\AstroGrep.exe" /spath="%USERPROFILE%\AppData\Local\Temp\OnboardLogs" /stypes="app*4011*19700101*" /stext=" 00:.+((SYSTEM_STATE.+slice.+state.+changed )|(ment ac)|(system.+state.+changed )|(\[timeout)|(PRM\|1\|D)|(kpr)|(kdp)|(\|lc)|(penalty))" /e /r /s</v>
      </c>
      <c r="AG199" s="1" t="str">
        <f t="shared" si="97"/>
        <v>Other</v>
      </c>
      <c r="AH199" s="92" t="str">
        <f t="shared" si="81"/>
        <v>"%USERPROFILE%\Documents\GitHub\eaglep3\Utilities\RefineRTDCRunTimes.py" --tripid 309-12 --locoid 4011 --swversion DE.1.0.8.0 --startMP 204:438 --initTime 2016-11-13T01:06:59 --startdatetime 1969-12-31T17:00:00 --delay 1 --endMP 300:23312 --enddatetime 1969-12-31T17:00:00 --enforcementcount 0 &gt;&gt;C:\Users\stu\Documents\GitHub\eaglep3-reporting\EC\2016-11-12-refined-times.txt</v>
      </c>
      <c r="AI199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ID","value":"309-12"},{"id":16,"name":"Locomotive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453</v>
      </c>
      <c r="B200" s="7">
        <v>4041</v>
      </c>
      <c r="C200" s="22" t="s">
        <v>225</v>
      </c>
      <c r="D200" s="22" t="s">
        <v>742</v>
      </c>
      <c r="E200" s="13">
        <v>42686.178576388891</v>
      </c>
      <c r="F200" s="13">
        <v>42686.179791666669</v>
      </c>
      <c r="G200" s="7">
        <v>1</v>
      </c>
      <c r="H200" s="22" t="s">
        <v>223</v>
      </c>
      <c r="I200" s="13">
        <v>42686.185914351852</v>
      </c>
      <c r="J200" s="7">
        <v>0</v>
      </c>
      <c r="K200" s="109" t="str">
        <f t="shared" si="83"/>
        <v>4041/4042</v>
      </c>
      <c r="L200" s="22" t="str">
        <f>VLOOKUP(A200,'Trips&amp;Operators'!$C$1:$E$10000,3,FALSE)</f>
        <v>KILLION</v>
      </c>
      <c r="M200" s="6">
        <f t="shared" si="84"/>
        <v>6.1226851830724627E-3</v>
      </c>
      <c r="N200" s="7">
        <f t="shared" si="85"/>
        <v>8.8166666636243463</v>
      </c>
      <c r="O200" s="7"/>
      <c r="P200" s="7"/>
      <c r="Q200" s="23"/>
      <c r="R200" s="23"/>
      <c r="S200" s="35">
        <f t="shared" si="86"/>
        <v>1</v>
      </c>
      <c r="T200" s="50" t="str">
        <f t="shared" si="87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https://search-rtdc-monitor-bjffxe2xuh6vdkpspy63sjmuny.us-east-1.es.amazonaws.com/_plugin/kibana/#/discover/Steve-Slow-Train-Analysis-(2080s-and-2083s)?_g=(refreshInterval:(display:Off,section:0,value:0),time:(from:'2016-11-12 03:17:09-700',mode:absolute,to:'2016-11-12 05:27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0" s="52" t="str">
        <f t="shared" si="89"/>
        <v>Y</v>
      </c>
      <c r="X200" s="177">
        <f t="shared" si="90"/>
        <v>1</v>
      </c>
      <c r="Y200" s="67">
        <f t="shared" si="91"/>
        <v>2.3212999999999999</v>
      </c>
      <c r="Z200" s="67">
        <f t="shared" si="92"/>
        <v>1.61E-2</v>
      </c>
      <c r="AA200" s="67">
        <f t="shared" si="93"/>
        <v>2.3052000000000001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94"/>
        <v>0310-12</v>
      </c>
      <c r="AE200" s="91" t="str">
        <f t="shared" si="95"/>
        <v>aws s3 cp s3://rtdc.mdm.uploadarchive.raw/RTDC4041/ "%USERPROFILE%\AppData\Local\Temp\OnboardLogs"\RTDC4041\2016-11-12 --exclude "*" --recursive --include "*20161112*" &amp; "%USERPROFILE%\Documents\GitHub\mrs-test-scripts\Headless Mode &amp; Sideloading\WalkAndUnGZ.bat" "%USERPROFILE%\AppData\Local\Temp\OnboardLogs"\RTDC4041\2016-11-12 &amp; aws s3 cp s3://rtdc.mdm.uploadarchive.raw/RTDC4041/ "%USERPROFILE%\AppData\Local\Temp\OnboardLogs"\RTDC4041\2016-11-13 --exclude "*" --recursive --include "*20161113*" &amp; "%USERPROFILE%\Documents\GitHub\mrs-test-scripts\Headless Mode &amp; Sideloading\WalkAndUnGZ.bat" "%USERPROFILE%\AppData\Local\Temp\OnboardLogs"\RTDC4041\2016-11-13</v>
      </c>
      <c r="AF200" s="88" t="str">
        <f t="shared" si="96"/>
        <v>"C:\Program Files (x86)\AstroGrep\AstroGrep.exe" /spath="%USERPROFILE%\AppData\Local\Temp\OnboardLogs" /stypes="app*4041*20161112*" /stext=" 11:.+((SYSTEM_STATE.+slice.+state.+changed )|(ment ac)|(system.+state.+changed )|(\[timeout)|(PRM\|1\|D)|(kpr)|(kdp)|(\|lc)|(penalty))" /e /r /s</v>
      </c>
      <c r="AG200" s="1" t="str">
        <f t="shared" si="97"/>
        <v>Other</v>
      </c>
      <c r="AH200" s="92" t="str">
        <f t="shared" si="81"/>
        <v>"%USERPROFILE%\Documents\GitHub\eaglep3\Utilities\RefineRTDCRunTimes.py" --tripid 310-12 --locoid 4041 --swversion DE.1.0.8.0 --startMP 300:23213 --initTime 2016-11-12T04:17:09 --startdatetime 2016-11-12T04:18:54 --delay 1 --endMP 204:161 --enddatetime 2016-11-12T04:27:43 --enforcementcount 0 &gt;&gt;C:\Users\stu\Documents\GitHub\eaglep3-reporting\EC\2016-11-12-refined-times.txt</v>
      </c>
      <c r="AI200" s="119" t="str">
        <f t="shared" si="82"/>
        <v>echo {"issue":{"subject":"","project_id":79,"tracker_id":40,"status_id":1,"priority_id":2,"assigned_to_id":23,"start_date":"2016-11-12","description":"","custom_fields":[{"id":1,"name":"Subdivision","value":"Other"},{"id":4,"name":"Milepost","value":"0.0161"},{"id":17,"name":"Train ID","value":"310-12"},{"id":16,"name":"Locomotive ID","value":"4041"},{"id":130,"name":"Impact","value":""},{"id":150,"name":"Time of Event (Mountain Time)","value":"04:27:43"},{"id":151,"name":"Denver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743</v>
      </c>
      <c r="B201" s="7">
        <v>4025</v>
      </c>
      <c r="C201" s="22" t="s">
        <v>225</v>
      </c>
      <c r="D201" s="22" t="s">
        <v>205</v>
      </c>
      <c r="E201" s="13">
        <v>42687.086076388892</v>
      </c>
      <c r="F201" s="13">
        <v>25568.708333333332</v>
      </c>
      <c r="G201" s="7">
        <v>1</v>
      </c>
      <c r="H201" s="22" t="s">
        <v>744</v>
      </c>
      <c r="I201" s="13">
        <v>25568.708333333332</v>
      </c>
      <c r="J201" s="7">
        <v>0</v>
      </c>
      <c r="K201" s="109" t="str">
        <f t="shared" si="83"/>
        <v>4025/4026</v>
      </c>
      <c r="L201" s="22" t="e">
        <f>VLOOKUP(A201,'Trips&amp;Operators'!$C$1:$E$10000,3,FALSE)</f>
        <v>#N/A</v>
      </c>
      <c r="M201" s="6">
        <f t="shared" si="84"/>
        <v>0</v>
      </c>
      <c r="N201" s="7">
        <f t="shared" si="85"/>
        <v>0</v>
      </c>
      <c r="O201" s="7"/>
      <c r="P201" s="7"/>
      <c r="Q201" s="23"/>
      <c r="R201" s="23"/>
      <c r="S201" s="35">
        <f t="shared" si="86"/>
        <v>1</v>
      </c>
      <c r="T201" s="50" t="str">
        <f t="shared" si="87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88"/>
        <v>https://search-rtdc-monitor-bjffxe2xuh6vdkpspy63sjmuny.us-east-1.es.amazonaws.com/_plugin/kibana/#/discover/Steve-Slow-Train-Analysis-(2080s-and-2083s)?_g=(refreshInterval:(display:Off,section:0,value:0),time:(from:'2016-11-13 01:03:57-700',mode:absolute,to:'1969-12-31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1" s="52" t="str">
        <f t="shared" si="89"/>
        <v>Y</v>
      </c>
      <c r="X201" s="177">
        <f t="shared" si="90"/>
        <v>3</v>
      </c>
      <c r="Y201" s="67">
        <f t="shared" si="91"/>
        <v>4.5100000000000001E-2</v>
      </c>
      <c r="Z201" s="67">
        <f t="shared" si="92"/>
        <v>2.3304</v>
      </c>
      <c r="AA201" s="67">
        <f t="shared" si="93"/>
        <v>2.2852999999999999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94"/>
        <v>0313-12</v>
      </c>
      <c r="AE201" s="91" t="str">
        <f t="shared" si="9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1" s="88" t="str">
        <f t="shared" si="96"/>
        <v>"C:\Program Files (x86)\AstroGrep\AstroGrep.exe" /spath="%USERPROFILE%\AppData\Local\Temp\OnboardLogs" /stypes="app*4025*19700101*" /stext=" 00:.+((SYSTEM_STATE.+slice.+state.+changed )|(ment ac)|(system.+state.+changed )|(\[timeout)|(PRM\|1\|D)|(kpr)|(kdp)|(\|lc)|(penalty))" /e /r /s</v>
      </c>
      <c r="AG201" s="1" t="str">
        <f t="shared" si="97"/>
        <v>Other</v>
      </c>
      <c r="AH201" s="92" t="str">
        <f t="shared" si="81"/>
        <v>"%USERPROFILE%\Documents\GitHub\eaglep3\Utilities\RefineRTDCRunTimes.py" --tripid 313-12 --locoid 4025 --swversion DE.1.0.8.0 --startMP 204:451 --initTime 2016-11-13T02:03:57 --startdatetime 1969-12-31T17:00:00 --delay 1 --endMP 300:23304 --enddatetime 1969-12-31T17:00:00 --enforcementcount 0 &gt;&gt;C:\Users\stu\Documents\GitHub\eaglep3-reporting\EC\2016-11-12-refined-times.txt</v>
      </c>
      <c r="AI201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ID","value":"313-12"},{"id":16,"name":"Locomotive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411</v>
      </c>
      <c r="B202" s="7">
        <v>4003</v>
      </c>
      <c r="C202" s="22" t="s">
        <v>225</v>
      </c>
      <c r="D202" s="22" t="s">
        <v>227</v>
      </c>
      <c r="E202" s="13">
        <v>42686.10800925926</v>
      </c>
      <c r="F202" s="13">
        <v>25568.708333333332</v>
      </c>
      <c r="G202" s="7">
        <v>0</v>
      </c>
      <c r="H202" s="22" t="s">
        <v>408</v>
      </c>
      <c r="I202" s="13">
        <v>25568.708333333332</v>
      </c>
      <c r="J202" s="7">
        <v>0</v>
      </c>
      <c r="K202" s="109" t="str">
        <f t="shared" ref="K202:K208" si="114">IF(ISEVEN(B202),(B202-1)&amp;"/"&amp;B202,B202&amp;"/"&amp;(B202+1))</f>
        <v>4003/4004</v>
      </c>
      <c r="L202" s="22" t="str">
        <f>VLOOKUP(A202,'Trips&amp;Operators'!$C$1:$E$10000,3,FALSE)</f>
        <v>LEVIN</v>
      </c>
      <c r="M202" s="6">
        <f t="shared" ref="M202:M208" si="115">I202-F202</f>
        <v>0</v>
      </c>
      <c r="N202" s="7">
        <f t="shared" ref="N202:N208" si="116">24*60*SUM($M202:$M202)</f>
        <v>0</v>
      </c>
      <c r="O202" s="7"/>
      <c r="P202" s="7"/>
      <c r="Q202" s="23"/>
      <c r="R202" s="23"/>
      <c r="S202" s="35">
        <f t="shared" ref="S202:S208" si="117">SUM(U202:U202)/IF(AG202="EC",12,1)</f>
        <v>1</v>
      </c>
      <c r="T202" s="50" t="str">
        <f t="shared" ref="T202:T208" si="118">IF(ISEVEN(LEFT(AD202,4)),"Southbound","NorthBound")</f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ref="V202:V208" si="119"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https://search-rtdc-monitor-bjffxe2xuh6vdkpspy63sjmuny.us-east-1.es.amazonaws.com/_plugin/kibana/#/discover/Steve-Slow-Train-Analysis-(2080s-and-2083s)?_g=(refreshInterval:(display:Off,section:0,value:0),time:(from:'2016-11-12 01:35:32-700',mode:absolute,to:'1969-12-31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52" t="str">
        <f t="shared" ref="W202:W208" si="120">IF(AA202&lt;IF(AG202="EC",23,5.65),"Y","N")</f>
        <v>Y</v>
      </c>
      <c r="X202" s="177">
        <f t="shared" ref="X202:X208" si="121">VALUE(LEFT(AD202,4))-VALUE(LEFT(AD201,4))</f>
        <v>2</v>
      </c>
      <c r="Y202" s="67">
        <f t="shared" ref="Y202:Y208" si="122">RIGHT(D202,LEN(D202)-4)/10000</f>
        <v>4.58E-2</v>
      </c>
      <c r="Z202" s="67">
        <f t="shared" ref="Z202:Z208" si="123">RIGHT(H202,LEN(H202)-4)/10000</f>
        <v>2.3302</v>
      </c>
      <c r="AA202" s="67">
        <f t="shared" ref="AA202:AA208" si="124">ABS(Z202-Y202)</f>
        <v>2.2844000000000002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ref="AD202:AD208" si="125">IF(LEN(A202)=6,"0"&amp;A202,A202)</f>
        <v>0315-11</v>
      </c>
      <c r="AE202" s="91" t="str">
        <f t="shared" ref="AE202:AE208" si="126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2" s="88" t="str">
        <f t="shared" ref="AF202:AF208" si="127"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/stypes="app*4003*19700101*" /stext=" 00:.+((SYSTEM_STATE.+slice.+state.+changed )|(ment ac)|(system.+state.+changed )|(\[timeout)|(PRM\|1\|D)|(kpr)|(kdp)|(\|lc)|(penalty))" /e /r /s</v>
      </c>
      <c r="AG202" s="1" t="str">
        <f t="shared" ref="AG202:AG208" si="128">IFERROR(IF(VALUE(LEFT(AD202,2))&lt;=2,"EC",IF(OR(VALUE(LEFT(AD202,2))=8,VALUE(LEFT(AD202,2))=18),"NW","Other")),"Other")</f>
        <v>Other</v>
      </c>
      <c r="AH202" s="92" t="str">
        <f t="shared" si="81"/>
        <v>"%USERPROFILE%\Documents\GitHub\eaglep3\Utilities\RefineRTDCRunTimes.py" --tripid 315-11 --locoid 4003 --swversion DE.1.0.8.0 --startMP 204:458 --initTime 2016-11-12T02:35:32 --startdatetime 1969-12-31T17:00:00 --delay 0 --endMP 300:23302 --enddatetime 1969-12-31T17:00:00 --enforcementcount 0 &gt;&gt;C:\Users\stu\Documents\GitHub\eaglep3-reporting\EC\2016-11-12-refined-times.txt</v>
      </c>
      <c r="AI202" s="119" t="str">
        <f t="shared" si="8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ID","value":"315-11"},{"id":16,"name":"Locomotive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745</v>
      </c>
      <c r="B203" s="7">
        <v>4038</v>
      </c>
      <c r="C203" s="22" t="s">
        <v>225</v>
      </c>
      <c r="D203" s="22" t="s">
        <v>245</v>
      </c>
      <c r="E203" s="13">
        <v>42687.107557870368</v>
      </c>
      <c r="F203" s="13">
        <v>25568.708333333332</v>
      </c>
      <c r="G203" s="7">
        <v>1</v>
      </c>
      <c r="H203" s="22" t="s">
        <v>741</v>
      </c>
      <c r="I203" s="13">
        <v>25568.708333333332</v>
      </c>
      <c r="J203" s="7">
        <v>0</v>
      </c>
      <c r="K203" s="109" t="str">
        <f t="shared" si="114"/>
        <v>4037/4038</v>
      </c>
      <c r="L203" s="22" t="e">
        <f>VLOOKUP(A203,'Trips&amp;Operators'!$C$1:$E$10000,3,FALSE)</f>
        <v>#N/A</v>
      </c>
      <c r="M203" s="6">
        <f t="shared" si="115"/>
        <v>0</v>
      </c>
      <c r="N203" s="7">
        <f t="shared" si="116"/>
        <v>0</v>
      </c>
      <c r="O203" s="7"/>
      <c r="P203" s="7"/>
      <c r="Q203" s="23"/>
      <c r="R203" s="23"/>
      <c r="S203" s="35">
        <f t="shared" si="117"/>
        <v>1</v>
      </c>
      <c r="T203" s="50" t="str">
        <f t="shared" si="118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https://search-rtdc-monitor-bjffxe2xuh6vdkpspy63sjmuny.us-east-1.es.amazonaws.com/_plugin/kibana/#/discover/Steve-Slow-Train-Analysis-(2080s-and-2083s)?_g=(refreshInterval:(display:Off,section:0,value:0),time:(from:'2016-11-13 01:34:53-700',mode:absolute,to:'1969-12-31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3" s="52" t="str">
        <f t="shared" si="120"/>
        <v>Y</v>
      </c>
      <c r="X203" s="177">
        <f t="shared" si="121"/>
        <v>0</v>
      </c>
      <c r="Y203" s="67">
        <f t="shared" si="122"/>
        <v>4.6899999999999997E-2</v>
      </c>
      <c r="Z203" s="67">
        <f t="shared" si="123"/>
        <v>2.3300999999999998</v>
      </c>
      <c r="AA203" s="67">
        <f t="shared" si="124"/>
        <v>2.2831999999999999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125"/>
        <v>0315-12</v>
      </c>
      <c r="AE203" s="91" t="str">
        <f t="shared" si="126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3" s="88" t="str">
        <f t="shared" si="127"/>
        <v>"C:\Program Files (x86)\AstroGrep\AstroGrep.exe" /spath="%USERPROFILE%\AppData\Local\Temp\OnboardLogs" /stypes="app*4038*19700101*" /stext=" 00:.+((SYSTEM_STATE.+slice.+state.+changed )|(ment ac)|(system.+state.+changed )|(\[timeout)|(PRM\|1\|D)|(kpr)|(kdp)|(\|lc)|(penalty))" /e /r /s</v>
      </c>
      <c r="AG203" s="1" t="str">
        <f t="shared" si="128"/>
        <v>Other</v>
      </c>
      <c r="AH203" s="92" t="str">
        <f t="shared" ref="AH203:AH208" si="12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315-12 --locoid 4038 --swversion DE.1.0.8.0 --startMP 204:469 --initTime 2016-11-13T02:34:53 --startdatetime 1969-12-31T17:00:00 --delay 1 --endMP 300:23301 --enddatetime 1969-12-31T17:00:00 --enforcementcount 0 &gt;&gt;C:\Users\stu\Documents\GitHub\eaglep3-reporting\EC\2016-11-12-refined-times.txt</v>
      </c>
      <c r="AI203" s="119" t="str">
        <f t="shared" ref="AI203:AI208" si="13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ID","value":"315-12"},{"id":16,"name":"Locomotive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610</v>
      </c>
      <c r="B204" s="7">
        <v>4030</v>
      </c>
      <c r="C204" s="22" t="s">
        <v>225</v>
      </c>
      <c r="D204" s="22" t="s">
        <v>695</v>
      </c>
      <c r="E204" s="13">
        <v>42686.946296296293</v>
      </c>
      <c r="F204" s="13">
        <v>42686.949050925927</v>
      </c>
      <c r="G204" s="7">
        <v>1</v>
      </c>
      <c r="H204" s="22" t="s">
        <v>716</v>
      </c>
      <c r="I204" s="13">
        <v>42686.955266203702</v>
      </c>
      <c r="J204" s="7">
        <v>0</v>
      </c>
      <c r="K204" s="109" t="str">
        <f t="shared" si="114"/>
        <v>4029/4030</v>
      </c>
      <c r="L204" s="22" t="str">
        <f>VLOOKUP(A204,'Trips&amp;Operators'!$C$1:$E$10000,3,FALSE)</f>
        <v>MAHAN</v>
      </c>
      <c r="M204" s="6">
        <f t="shared" si="115"/>
        <v>6.2152777754818089E-3</v>
      </c>
      <c r="N204" s="7">
        <f t="shared" si="116"/>
        <v>8.9499999966938049</v>
      </c>
      <c r="O204" s="7"/>
      <c r="P204" s="7"/>
      <c r="Q204" s="23"/>
      <c r="R204" s="23"/>
      <c r="S204" s="35">
        <f t="shared" si="117"/>
        <v>0</v>
      </c>
      <c r="T204" s="50" t="str">
        <f t="shared" si="118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21:42:40-700',mode:absolute,to:'2016-11-12 23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4" s="52" t="str">
        <f t="shared" si="120"/>
        <v>Y</v>
      </c>
      <c r="X204" s="177">
        <f t="shared" si="121"/>
        <v>1587</v>
      </c>
      <c r="Y204" s="67">
        <f t="shared" si="122"/>
        <v>5.8654999999999999</v>
      </c>
      <c r="Z204" s="67">
        <f t="shared" si="123"/>
        <v>2.1120999999999999</v>
      </c>
      <c r="AA204" s="67">
        <f t="shared" si="124"/>
        <v>3.7534000000000001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125"/>
        <v>1902-12</v>
      </c>
      <c r="AE204" s="91" t="str">
        <f t="shared" si="126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204" s="88" t="str">
        <f t="shared" si="127"/>
        <v>"C:\Program Files (x86)\AstroGrep\AstroGrep.exe" /spath="%USERPROFILE%\AppData\Local\Temp\OnboardLogs" /stypes="app*4030*20161113*" /stext=" 05:.+((SYSTEM_STATE.+slice.+state.+changed )|(ment ac)|(system.+state.+changed )|(\[timeout)|(PRM\|1\|D)|(kpr)|(kdp)|(\|lc)|(penalty))" /e /r /s</v>
      </c>
      <c r="AG204" s="1" t="str">
        <f t="shared" si="128"/>
        <v>Other</v>
      </c>
      <c r="AH204" s="92" t="str">
        <f t="shared" si="129"/>
        <v>"%USERPROFILE%\Documents\GitHub\eaglep3\Utilities\RefineRTDCRunTimes.py" --tripid 1902-12 --locoid 4030 --swversion DE.1.0.8.0 --startMP 300:58655 --initTime 2016-11-12T22:42:40 --startdatetime 2016-11-12T22:46:38 --delay 1 --endMP 300:21121 --enddatetime 2016-11-12T22:55:35 --enforcementcount 0 &gt;&gt;C:\Users\stu\Documents\GitHub\eaglep3-reporting\EC\2016-11-12-refined-times.txt</v>
      </c>
      <c r="AI204" s="119" t="str">
        <f t="shared" si="130"/>
        <v>echo {"issue":{"subject":"","project_id":79,"tracker_id":40,"status_id":1,"priority_id":2,"assigned_to_id":23,"start_date":"2016-11-12","description":"","custom_fields":[{"id":1,"name":"Subdivision","value":"Other"},{"id":4,"name":"Milepost","value":"2.1121"},{"id":17,"name":"Train ID","value":"1902-12"},{"id":16,"name":"Locomotive ID","value":"4030"},{"id":130,"name":"Impact","value":""},{"id":150,"name":"Time of Event (Mountain Time)","value":"22:55:35"},{"id":151,"name":"Denver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610</v>
      </c>
      <c r="B205" s="7">
        <v>4030</v>
      </c>
      <c r="C205" s="22" t="s">
        <v>225</v>
      </c>
      <c r="D205" s="22" t="s">
        <v>717</v>
      </c>
      <c r="E205" s="13">
        <v>42686.94804398148</v>
      </c>
      <c r="F205" s="13">
        <v>42686.949050925927</v>
      </c>
      <c r="G205" s="7">
        <v>1</v>
      </c>
      <c r="H205" s="22" t="s">
        <v>716</v>
      </c>
      <c r="I205" s="13">
        <v>42686.955266203702</v>
      </c>
      <c r="J205" s="7">
        <v>0</v>
      </c>
      <c r="K205" s="109" t="str">
        <f t="shared" si="114"/>
        <v>4029/4030</v>
      </c>
      <c r="L205" s="22" t="str">
        <f>VLOOKUP(A205,'Trips&amp;Operators'!$C$1:$E$10000,3,FALSE)</f>
        <v>MAHAN</v>
      </c>
      <c r="M205" s="6">
        <f t="shared" si="115"/>
        <v>6.2152777754818089E-3</v>
      </c>
      <c r="N205" s="7">
        <f t="shared" si="116"/>
        <v>8.9499999966938049</v>
      </c>
      <c r="O205" s="7"/>
      <c r="P205" s="7"/>
      <c r="Q205" s="23"/>
      <c r="R205" s="23"/>
      <c r="S205" s="35">
        <f t="shared" si="117"/>
        <v>0</v>
      </c>
      <c r="T205" s="50" t="str">
        <f t="shared" si="118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21:45:11-700',mode:absolute,to:'2016-11-12 23:55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5" s="52" t="str">
        <f t="shared" si="120"/>
        <v>Y</v>
      </c>
      <c r="X205" s="177">
        <f t="shared" si="121"/>
        <v>0</v>
      </c>
      <c r="Y205" s="67">
        <f t="shared" si="122"/>
        <v>5.8655999999999997</v>
      </c>
      <c r="Z205" s="67">
        <f t="shared" si="123"/>
        <v>2.1120999999999999</v>
      </c>
      <c r="AA205" s="67">
        <f t="shared" si="124"/>
        <v>3.7534999999999998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si="125"/>
        <v>1902-12</v>
      </c>
      <c r="AE205" s="91" t="str">
        <f t="shared" si="126"/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AF205" s="88" t="str">
        <f t="shared" si="127"/>
        <v>"C:\Program Files (x86)\AstroGrep\AstroGrep.exe" /spath="%USERPROFILE%\AppData\Local\Temp\OnboardLogs" /stypes="app*4030*20161113*" /stext=" 05:.+((SYSTEM_STATE.+slice.+state.+changed )|(ment ac)|(system.+state.+changed )|(\[timeout)|(PRM\|1\|D)|(kpr)|(kdp)|(\|lc)|(penalty))" /e /r /s</v>
      </c>
      <c r="AG205" s="1" t="str">
        <f t="shared" si="128"/>
        <v>Other</v>
      </c>
      <c r="AH205" s="92" t="str">
        <f t="shared" si="129"/>
        <v>"%USERPROFILE%\Documents\GitHub\eaglep3\Utilities\RefineRTDCRunTimes.py" --tripid 1902-12 --locoid 4030 --swversion DE.1.0.8.0 --startMP 300:58656 --initTime 2016-11-12T22:45:11 --startdatetime 2016-11-12T22:46:38 --delay 1 --endMP 300:21121 --enddatetime 2016-11-12T22:55:35 --enforcementcount 0 &gt;&gt;C:\Users\stu\Documents\GitHub\eaglep3-reporting\EC\2016-11-12-refined-times.txt</v>
      </c>
      <c r="AI205" s="119" t="str">
        <f t="shared" si="130"/>
        <v>echo {"issue":{"subject":"","project_id":79,"tracker_id":40,"status_id":1,"priority_id":2,"assigned_to_id":23,"start_date":"2016-11-12","description":"","custom_fields":[{"id":1,"name":"Subdivision","value":"Other"},{"id":4,"name":"Milepost","value":"2.1121"},{"id":17,"name":"Train ID","value":"1902-12"},{"id":16,"name":"Locomotive ID","value":"4030"},{"id":130,"name":"Impact","value":""},{"id":150,"name":"Time of Event (Mountain Time)","value":"22:55:35"},{"id":151,"name":"Denver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623</v>
      </c>
      <c r="B206" s="7">
        <v>4053</v>
      </c>
      <c r="C206" s="22" t="s">
        <v>225</v>
      </c>
      <c r="D206" s="22" t="s">
        <v>222</v>
      </c>
      <c r="E206" s="13">
        <v>42687.070509259262</v>
      </c>
      <c r="F206" s="13">
        <v>42687.072199074071</v>
      </c>
      <c r="G206" s="7">
        <v>1</v>
      </c>
      <c r="H206" s="22" t="s">
        <v>744</v>
      </c>
      <c r="I206" s="13">
        <v>42687.0778587963</v>
      </c>
      <c r="J206" s="7">
        <v>0</v>
      </c>
      <c r="K206" s="109" t="str">
        <f t="shared" si="114"/>
        <v>4053/4054</v>
      </c>
      <c r="L206" s="22" t="str">
        <f>VLOOKUP(A206,'Trips&amp;Operators'!$C$1:$E$10000,3,FALSE)</f>
        <v>CHANDLER</v>
      </c>
      <c r="M206" s="6">
        <f t="shared" si="115"/>
        <v>5.659722228301689E-3</v>
      </c>
      <c r="N206" s="7">
        <f t="shared" si="116"/>
        <v>8.1500000087544322</v>
      </c>
      <c r="O206" s="7"/>
      <c r="P206" s="7"/>
      <c r="Q206" s="23"/>
      <c r="R206" s="23"/>
      <c r="S206" s="35">
        <f t="shared" si="117"/>
        <v>0</v>
      </c>
      <c r="T206" s="50" t="e">
        <f t="shared" si="118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https://search-rtdc-monitor-bjffxe2xuh6vdkpspy63sjmuny.us-east-1.es.amazonaws.com/_plugin/kibana/#/discover/Steve-Slow-Train-Analysis-(2080s-and-2083s)?_g=(refreshInterval:(display:Off,section:0,value:0),time:(from:'2016-11-13 00:41:32-700',mode:absolute,to:'2016-11-13 02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6" s="52" t="str">
        <f t="shared" si="120"/>
        <v>Y</v>
      </c>
      <c r="X206" s="177" t="e">
        <f t="shared" si="121"/>
        <v>#VALUE!</v>
      </c>
      <c r="Y206" s="67">
        <f t="shared" si="122"/>
        <v>4.5699999999999998E-2</v>
      </c>
      <c r="Z206" s="67">
        <f t="shared" si="123"/>
        <v>2.3304</v>
      </c>
      <c r="AA206" s="67">
        <f t="shared" si="124"/>
        <v>2.2847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125"/>
        <v>51-13</v>
      </c>
      <c r="AE206" s="91" t="str">
        <f t="shared" si="126"/>
        <v>aws s3 cp s3://rtdc.mdm.uploadarchive.raw/RTDC4053/ "%USERPROFILE%\AppData\Local\Temp\OnboardLogs"\RTDC4053\2016-11-13 --exclude "*" --recursive --include "*20161113*" &amp; "%USERPROFILE%\Documents\GitHub\mrs-test-scripts\Headless Mode &amp; Sideloading\WalkAndUnGZ.bat" "%USERPROFILE%\AppData\Local\Temp\OnboardLogs"\RTDC4053\2016-11-13 &amp; aws s3 cp s3://rtdc.mdm.uploadarchive.raw/RTDC4053/ "%USERPROFILE%\AppData\Local\Temp\OnboardLogs"\RTDC4053\2016-11-14 --exclude "*" --recursive --include "*20161114*" &amp; "%USERPROFILE%\Documents\GitHub\mrs-test-scripts\Headless Mode &amp; Sideloading\WalkAndUnGZ.bat" "%USERPROFILE%\AppData\Local\Temp\OnboardLogs"\RTDC4053\2016-11-14</v>
      </c>
      <c r="AF206" s="88" t="str">
        <f t="shared" si="127"/>
        <v>"C:\Program Files (x86)\AstroGrep\AstroGrep.exe" /spath="%USERPROFILE%\AppData\Local\Temp\OnboardLogs" /stypes="app*4053*20161113*" /stext=" 08:.+((SYSTEM_STATE.+slice.+state.+changed )|(ment ac)|(system.+state.+changed )|(\[timeout)|(PRM\|1\|D)|(kpr)|(kdp)|(\|lc)|(penalty))" /e /r /s</v>
      </c>
      <c r="AG206" s="1" t="str">
        <f t="shared" si="128"/>
        <v>Other</v>
      </c>
      <c r="AH206" s="92" t="str">
        <f t="shared" si="129"/>
        <v>"%USERPROFILE%\Documents\GitHub\eaglep3\Utilities\RefineRTDCRunTimes.py" --tripid 51-13 --locoid 4053 --swversion DE.1.0.8.0 --startMP 204:457 --initTime 2016-11-13T01:41:32 --startdatetime 2016-11-13T01:43:58 --delay 1 --endMP 300:23304 --enddatetime 2016-11-13T01:52:07 --enforcementcount 0 &gt;&gt;C:\Users\stu\Documents\GitHub\eaglep3-reporting\EC\2016-11-12-refined-times.txt</v>
      </c>
      <c r="AI206" s="119" t="str">
        <f t="shared" si="130"/>
        <v>echo {"issue":{"subject":"","project_id":79,"tracker_id":40,"status_id":1,"priority_id":2,"assigned_to_id":23,"start_date":"2016-11-13","description":"","custom_fields":[{"id":1,"name":"Subdivision","value":"Other"},{"id":4,"name":"Milepost","value":"2.3304"},{"id":17,"name":"Train ID","value":"51-13"},{"id":16,"name":"Locomotive ID","value":"4053"},{"id":130,"name":"Impact","value":""},{"id":150,"name":"Time of Event (Mountain Time)","value":"01:52:07"},{"id":151,"name":"Denver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438</v>
      </c>
      <c r="B207" s="7">
        <v>4004</v>
      </c>
      <c r="C207" s="22" t="s">
        <v>225</v>
      </c>
      <c r="D207" s="22" t="s">
        <v>746</v>
      </c>
      <c r="E207" s="13">
        <v>42686.743807870371</v>
      </c>
      <c r="F207" s="13">
        <v>42686.74523148148</v>
      </c>
      <c r="G207" s="7">
        <v>1</v>
      </c>
      <c r="H207" s="22" t="s">
        <v>747</v>
      </c>
      <c r="I207" s="13">
        <v>42686.751875000002</v>
      </c>
      <c r="J207" s="7">
        <v>0</v>
      </c>
      <c r="K207" s="109" t="str">
        <f t="shared" si="114"/>
        <v>4003/4004</v>
      </c>
      <c r="L207" s="22" t="str">
        <f>VLOOKUP(A207,'Trips&amp;Operators'!$C$1:$E$10000,3,FALSE)</f>
        <v>BRANDNER</v>
      </c>
      <c r="M207" s="6">
        <f t="shared" si="115"/>
        <v>6.6435185217414983E-3</v>
      </c>
      <c r="N207" s="7">
        <f t="shared" si="116"/>
        <v>9.5666666713077575</v>
      </c>
      <c r="O207" s="7"/>
      <c r="P207" s="7"/>
      <c r="Q207" s="23"/>
      <c r="R207" s="23"/>
      <c r="S207" s="35">
        <f t="shared" si="117"/>
        <v>0</v>
      </c>
      <c r="T207" s="50" t="e">
        <f t="shared" si="118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16:51:05-700',mode:absolute,to:'2016-11-12 19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 t="shared" si="120"/>
        <v>Y</v>
      </c>
      <c r="X207" s="177" t="e">
        <f t="shared" si="121"/>
        <v>#VALUE!</v>
      </c>
      <c r="Y207" s="67">
        <f t="shared" si="122"/>
        <v>2.2019000000000002</v>
      </c>
      <c r="Z207" s="67">
        <f t="shared" si="123"/>
        <v>8.8900000000000007E-2</v>
      </c>
      <c r="AA207" s="67">
        <f t="shared" si="124"/>
        <v>2.113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125"/>
        <v>66-12</v>
      </c>
      <c r="AE207" s="91" t="str">
        <f t="shared" si="126"/>
        <v>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 &amp; aws s3 cp s3://rtdc.mdm.uploadarchive.raw/RTDC4004/ "%USERPROFILE%\AppData\Local\Temp\OnboardLogs"\RTDC4004\2016-11-13 --exclude "*" --recursive --include "*20161113*" &amp; "%USERPROFILE%\Documents\GitHub\mrs-test-scripts\Headless Mode &amp; Sideloading\WalkAndUnGZ.bat" "%USERPROFILE%\AppData\Local\Temp\OnboardLogs"\RTDC4004\2016-11-13</v>
      </c>
      <c r="AF207" s="88" t="str">
        <f t="shared" si="127"/>
        <v>"C:\Program Files (x86)\AstroGrep\AstroGrep.exe" /spath="%USERPROFILE%\AppData\Local\Temp\OnboardLogs" /stypes="app*4004*20161113*" /stext=" 01:.+((SYSTEM_STATE.+slice.+state.+changed )|(ment ac)|(system.+state.+changed )|(\[timeout)|(PRM\|1\|D)|(kpr)|(kdp)|(\|lc)|(penalty))" /e /r /s</v>
      </c>
      <c r="AG207" s="1" t="str">
        <f t="shared" si="128"/>
        <v>Other</v>
      </c>
      <c r="AH207" s="92" t="str">
        <f t="shared" si="129"/>
        <v>"%USERPROFILE%\Documents\GitHub\eaglep3\Utilities\RefineRTDCRunTimes.py" --tripid 66-12 --locoid 4004 --swversion DE.1.0.8.0 --startMP 300:22019 --initTime 2016-11-12T17:51:05 --startdatetime 2016-11-12T17:53:08 --delay 1 --endMP 204:889 --enddatetime 2016-11-12T18:02:42 --enforcementcount 0 &gt;&gt;C:\Users\stu\Documents\GitHub\eaglep3-reporting\EC\2016-11-12-refined-times.txt</v>
      </c>
      <c r="AI207" s="119" t="str">
        <f t="shared" si="130"/>
        <v>echo {"issue":{"subject":"","project_id":79,"tracker_id":40,"status_id":1,"priority_id":2,"assigned_to_id":23,"start_date":"2016-11-12","description":"","custom_fields":[{"id":1,"name":"Subdivision","value":"Other"},{"id":4,"name":"Milepost","value":"0.0889"},{"id":17,"name":"Train ID","value":"66-12"},{"id":16,"name":"Locomotive ID","value":"4004"},{"id":130,"name":"Impact","value":""},{"id":150,"name":"Time of Event (Mountain Time)","value":"18:02:42"},{"id":151,"name":"Denver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571</v>
      </c>
      <c r="B208" s="7">
        <v>4016</v>
      </c>
      <c r="C208" s="22" t="s">
        <v>225</v>
      </c>
      <c r="D208" s="22" t="s">
        <v>748</v>
      </c>
      <c r="E208" s="13">
        <v>42686.716331018521</v>
      </c>
      <c r="F208" s="13">
        <v>25568.708333333332</v>
      </c>
      <c r="G208" s="7">
        <v>1</v>
      </c>
      <c r="H208" s="22" t="s">
        <v>410</v>
      </c>
      <c r="I208" s="13">
        <v>25568.708333333332</v>
      </c>
      <c r="J208" s="7">
        <v>0</v>
      </c>
      <c r="K208" s="109" t="str">
        <f t="shared" si="114"/>
        <v>4015/4016</v>
      </c>
      <c r="L208" s="22" t="str">
        <f>VLOOKUP(A208,'Trips&amp;Operators'!$C$1:$E$10000,3,FALSE)</f>
        <v>SWANSON</v>
      </c>
      <c r="M208" s="6">
        <f t="shared" si="115"/>
        <v>0</v>
      </c>
      <c r="N208" s="7">
        <f t="shared" si="116"/>
        <v>0</v>
      </c>
      <c r="O208" s="7"/>
      <c r="P208" s="7"/>
      <c r="Q208" s="23"/>
      <c r="R208" s="23"/>
      <c r="S208" s="35">
        <f t="shared" si="117"/>
        <v>0</v>
      </c>
      <c r="T208" s="50" t="e">
        <f t="shared" si="118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https://search-rtdc-monitor-bjffxe2xuh6vdkpspy63sjmuny.us-east-1.es.amazonaws.com/_plugin/kibana/#/discover/Steve-Slow-Train-Analysis-(2080s-and-2083s)?_g=(refreshInterval:(display:Off,section:0,value:0),time:(from:'2016-11-12 16:11:31-700',mode:absolute,to:'1969-12-31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8" s="52" t="str">
        <f t="shared" si="120"/>
        <v>Y</v>
      </c>
      <c r="X208" s="177" t="e">
        <f t="shared" si="121"/>
        <v>#VALUE!</v>
      </c>
      <c r="Y208" s="67">
        <f t="shared" si="122"/>
        <v>0.14829999999999999</v>
      </c>
      <c r="Z208" s="67">
        <f t="shared" si="123"/>
        <v>2.3308</v>
      </c>
      <c r="AA208" s="67">
        <f t="shared" si="124"/>
        <v>2.1825000000000001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125"/>
        <v>75-12</v>
      </c>
      <c r="AE208" s="91" t="str">
        <f t="shared" si="126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8" s="88" t="str">
        <f t="shared" si="127"/>
        <v>"C:\Program Files (x86)\AstroGrep\AstroGrep.exe" /spath="%USERPROFILE%\AppData\Local\Temp\OnboardLogs" /stypes="app*4016*19700101*" /stext=" 00:.+((SYSTEM_STATE.+slice.+state.+changed )|(ment ac)|(system.+state.+changed )|(\[timeout)|(PRM\|1\|D)|(kpr)|(kdp)|(\|lc)|(penalty))" /e /r /s</v>
      </c>
      <c r="AG208" s="1" t="str">
        <f t="shared" si="128"/>
        <v>Other</v>
      </c>
      <c r="AH208" s="92" t="str">
        <f t="shared" si="129"/>
        <v>"%USERPROFILE%\Documents\GitHub\eaglep3\Utilities\RefineRTDCRunTimes.py" --tripid 75-12 --locoid 4016 --swversion DE.1.0.8.0 --startMP 204:1483 --initTime 2016-11-12T17:11:31 --startdatetime 1969-12-31T17:00:00 --delay 1 --endMP 300:23308 --enddatetime 1969-12-31T17:00:00 --enforcementcount 0 &gt;&gt;C:\Users\stu\Documents\GitHub\eaglep3-reporting\EC\2016-11-12-refined-times.txt</v>
      </c>
      <c r="AI208" s="119" t="str">
        <f t="shared" si="13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ID","value":"75-12"},{"id":16,"name":"Locomotive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S209"/>
      <c r="U209"/>
      <c r="V209"/>
      <c r="W209"/>
      <c r="X209"/>
      <c r="Y209"/>
      <c r="Z209"/>
      <c r="AA209"/>
      <c r="AB209"/>
      <c r="AC209"/>
      <c r="AD209"/>
      <c r="AE209"/>
      <c r="AF209"/>
      <c r="AH209"/>
      <c r="AI209"/>
    </row>
    <row r="210" spans="1:9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S210"/>
      <c r="U210"/>
      <c r="V210"/>
      <c r="W210"/>
      <c r="X210"/>
      <c r="Y210"/>
      <c r="Z210"/>
      <c r="AA210"/>
      <c r="AB210"/>
      <c r="AC210"/>
      <c r="AD210"/>
      <c r="AE210"/>
      <c r="AF210"/>
      <c r="AH210"/>
      <c r="AI210"/>
    </row>
    <row r="211" spans="1:9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S211"/>
      <c r="U211"/>
      <c r="V211"/>
      <c r="W211"/>
      <c r="X211"/>
      <c r="Y211"/>
      <c r="Z211"/>
      <c r="AA211"/>
      <c r="AB211"/>
      <c r="AC211"/>
      <c r="AD211"/>
      <c r="AE211"/>
      <c r="AF211"/>
      <c r="AH211"/>
      <c r="AI211"/>
    </row>
    <row r="212" spans="1:91" s="21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9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</sheetData>
  <autoFilter ref="A12:AG257">
    <sortState ref="A13:AG260">
      <sortCondition ref="AG13:AG211"/>
      <sortCondition ref="AD13:AD211"/>
    </sortState>
  </autoFilter>
  <sortState ref="A13:AH200">
    <sortCondition ref="AG13:AG200"/>
    <sortCondition ref="AD13:AD200"/>
  </sortState>
  <mergeCells count="1">
    <mergeCell ref="A11:P11"/>
  </mergeCells>
  <conditionalFormatting sqref="W11:W12 W258:X1048576 W13:X208">
    <cfRule type="cellIs" dxfId="9" priority="344" operator="equal">
      <formula>"Y"</formula>
    </cfRule>
  </conditionalFormatting>
  <conditionalFormatting sqref="X258:X1048576 X13:X208">
    <cfRule type="cellIs" dxfId="8" priority="327" operator="greaterThan">
      <formula>1</formula>
    </cfRule>
  </conditionalFormatting>
  <conditionalFormatting sqref="X258:X1048576 X12:X208">
    <cfRule type="cellIs" dxfId="7" priority="324" operator="equal">
      <formula>0</formula>
    </cfRule>
  </conditionalFormatting>
  <conditionalFormatting sqref="A13:S208">
    <cfRule type="expression" dxfId="6" priority="318" stopIfTrue="1">
      <formula>$P13&gt;0</formula>
    </cfRule>
    <cfRule type="expression" dxfId="5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A13:S208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AK13:AK208</xm:sqref>
        </x14:dataValidation>
        <x14:dataValidation type="list" allowBlank="1" showInputMessage="1" showErrorMessage="1">
          <x14:formula1>
            <xm:f>'Redmine List Values'!$C$2:$C$15</xm:f>
          </x14:formula1>
          <xm:sqref>AL13:AL208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abSelected="1" topLeftCell="A2" workbookViewId="0">
      <selection activeCell="L15" sqref="L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3.5703125" style="135" bestFit="1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  <col min="30" max="30" width="4.140625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COUNTIF($O$7:$O$335,"=Y")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COUNTA($O$7:$O$335)-O2</f>
        <v>22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- 2016-11-12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158</v>
      </c>
      <c r="J6" s="137" t="s">
        <v>30</v>
      </c>
      <c r="K6" s="137" t="s">
        <v>29</v>
      </c>
      <c r="L6" s="137" t="s">
        <v>28</v>
      </c>
      <c r="M6" s="122" t="s">
        <v>159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180</v>
      </c>
      <c r="AD6" s="130" t="s">
        <v>766</v>
      </c>
    </row>
    <row r="7" spans="1:30" s="1" customFormat="1" x14ac:dyDescent="0.25">
      <c r="A7" s="36">
        <v>42686.171076388891</v>
      </c>
      <c r="B7" s="31" t="s">
        <v>272</v>
      </c>
      <c r="C7" s="31" t="s">
        <v>419</v>
      </c>
      <c r="D7" s="31" t="s">
        <v>49</v>
      </c>
      <c r="E7" s="31" t="s">
        <v>211</v>
      </c>
      <c r="F7" s="47">
        <v>0</v>
      </c>
      <c r="G7" s="47">
        <v>28</v>
      </c>
      <c r="H7" s="47">
        <v>63</v>
      </c>
      <c r="I7" s="47">
        <v>57</v>
      </c>
      <c r="J7" s="31" t="s">
        <v>212</v>
      </c>
      <c r="K7" s="47">
        <v>1</v>
      </c>
      <c r="L7" s="154" t="s">
        <v>51</v>
      </c>
      <c r="M7" s="155">
        <f t="shared" ref="M7:M30" si="0">CONVERT((I7-K7)/10000,"mi","ft")*IF(L7="Increasing Mileposts (1)",-1,1)</f>
        <v>29.568000000000001</v>
      </c>
      <c r="N7" s="156" t="str">
        <f>VLOOKUP(C7,'Trips&amp;Operators'!$C$1:$E$99999,3,FALSE)</f>
        <v>ACKERMAN</v>
      </c>
      <c r="O7" s="183" t="s">
        <v>206</v>
      </c>
      <c r="P7" s="157"/>
      <c r="Q7" s="31"/>
      <c r="R7" s="100" t="str">
        <f>VLOOKUP(C7,'Train Runs'!$A$13:$AE$10001,31,0)</f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S7" s="103" t="str">
        <f>VLOOKUP(C7,'Train Runs'!$A$13:$AE$10001,22,0)</f>
        <v>https://search-rtdc-monitor-bjffxe2xuh6vdkpspy63sjmuny.us-east-1.es.amazonaws.com/_plugin/kibana/#/discover/Steve-Slow-Train-Analysis-(2080s-and-2083s)?_g=(refreshInterval:(display:Off,section:0,value:0),time:(from:'2016-11-12 02:55:58-700',mode:absolute,to:'2016-11-12 05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" s="105" t="str">
        <f t="shared" ref="T7:T3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/stypes="*4015*201611121*" /stext=" 11:.+((SYSTEM_STATE.+slice.+state.+changed )|(ment ac)|(system.+state.+changed )|(\[timeout)|(PRM\|1\|D)|(kpr)|(kdp)|(\|lc)|(penalty))" /e /r /s</v>
      </c>
      <c r="U7" s="9" t="str">
        <f t="shared" ref="U7:U30" si="2">MID(B7,13,4)</f>
        <v>4015</v>
      </c>
      <c r="V7" s="36">
        <f t="shared" ref="V7:V30" si="3">A7-utc_offset/24</f>
        <v>42686.462743055556</v>
      </c>
      <c r="W7" s="50" t="str">
        <f t="shared" ref="W7:W30" si="4">IF(VALUE(LEFT(IF(LEN(C7)=6,"0"&amp;C7,C7),2))&lt;=2,"EC",IF(OR(VALUE(LEFT(IF(LEN(C7)=6,"0"&amp;C7,C7),2))=8,VALUE(LEFT(IF(LEN(C7)=6,"0"&amp;C7,C7),2))=18),"NW","Other"))</f>
        <v>Other</v>
      </c>
      <c r="X7" s="50" t="str">
        <f t="shared" ref="X7:X30" si="5">IF(AND(E7="TRACK WARRANT AUTHORITY",G7&lt;10),"OMIT","KEEP")</f>
        <v>KEEP</v>
      </c>
      <c r="Y7" s="119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{"issue":{"subject":"","project_id":79,"tracker_id":40,"status_id":1,"priority_id":2,"assigned_to_id":23,"start_date":"2016-11-12","description":"","custom_fields":[{"id":1,"name":"Subdivision","value":"Other"},{"id":4,"name":"Milepost","value":"0.0001"},{"id":17,"name":"Train ID","value":"306-12"},{"id":16,"name":"Locomotive ID","value":"4015"},{"id":130,"name":"Impact","value":""},{"id":150,"name":"Time of Event (Mountain Time)","value":"04:06:21"},{"id":151,"name":"Denver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"%USERPROFILE%\AppData\Local\Temp\OnboardLogs"\RTDC4015\*4015*201611121*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"%USERPROFILE%\AppData\Local\Temp\OnboardLogs"\RTDC4015\*4015*201611121* &gt;&gt; 42686-slicedisagreementcheck.txt</v>
      </c>
    </row>
    <row r="8" spans="1:30" s="1" customFormat="1" x14ac:dyDescent="0.25">
      <c r="A8" s="36">
        <v>42686.242534722223</v>
      </c>
      <c r="B8" s="31" t="s">
        <v>272</v>
      </c>
      <c r="C8" s="31" t="s">
        <v>420</v>
      </c>
      <c r="D8" s="31" t="s">
        <v>49</v>
      </c>
      <c r="E8" s="31" t="s">
        <v>211</v>
      </c>
      <c r="F8" s="47">
        <v>0</v>
      </c>
      <c r="G8" s="47">
        <v>50</v>
      </c>
      <c r="H8" s="47">
        <v>170</v>
      </c>
      <c r="I8" s="47">
        <v>116</v>
      </c>
      <c r="J8" s="31" t="s">
        <v>212</v>
      </c>
      <c r="K8" s="47">
        <v>1</v>
      </c>
      <c r="L8" s="154" t="s">
        <v>51</v>
      </c>
      <c r="M8" s="155">
        <f t="shared" si="0"/>
        <v>60.72</v>
      </c>
      <c r="N8" s="156" t="str">
        <f>VLOOKUP(C8,'Trips&amp;Operators'!$C$1:$E$99999,3,FALSE)</f>
        <v>ACKERMAN</v>
      </c>
      <c r="O8" s="183" t="s">
        <v>206</v>
      </c>
      <c r="P8" s="157" t="s">
        <v>768</v>
      </c>
      <c r="Q8" s="31"/>
      <c r="R8" s="100" t="str">
        <f>VLOOKUP(C8,'Train Runs'!$A$13:$AE$10001,31,0)</f>
        <v>aws s3 cp s3://rtdc.mdm.uploadarchive.raw/RTDC4015/ "%USERPROFILE%\AppData\Local\Temp\OnboardLogs"\RTDC4015\2016-11-12 --exclude "*" --recursive --include "*20161112*" &amp; "%USERPROFILE%\Documents\GitHub\mrs-test-scripts\Headless Mode &amp; Sideloading\WalkAndUnGZ.bat" "%USERPROFILE%\AppData\Local\Temp\OnboardLogs"\RTDC4015\2016-11-12 &amp; aws s3 cp s3://rtdc.mdm.uploadarchive.raw/RTDC4015/ "%USERPROFILE%\AppData\Local\Temp\OnboardLogs"\RTDC4015\2016-11-13 --exclude "*" --recursive --include "*20161113*" &amp; "%USERPROFILE%\Documents\GitHub\mrs-test-scripts\Headless Mode &amp; Sideloading\WalkAndUnGZ.bat" "%USERPROFILE%\AppData\Local\Temp\OnboardLogs"\RTDC4015\2016-11-13</v>
      </c>
      <c r="S8" s="103" t="str">
        <f>VLOOKUP(C8,'Train Runs'!$A$13:$AE$10001,22,0)</f>
        <v>https://search-rtdc-monitor-bjffxe2xuh6vdkpspy63sjmuny.us-east-1.es.amazonaws.com/_plugin/kibana/#/discover/Steve-Slow-Train-Analysis-(2080s-and-2083s)?_g=(refreshInterval:(display:Off,section:0,value:0),time:(from:'2016-11-12 04:00:50-700',mode:absolute,to:'2016-11-12 06:49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8" s="105" t="str">
        <f t="shared" si="1"/>
        <v>"C:\Program Files (x86)\AstroGrep\AstroGrep.exe" /spath="%USERPROFILE%\AppData\Local\Temp\OnboardLogs" /stypes="*4015*201611121*" /stext=" 12:.+((SYSTEM_STATE.+slice.+state.+changed )|(ment ac)|(system.+state.+changed )|(\[timeout)|(PRM\|1\|D)|(kpr)|(kdp)|(\|lc)|(penalty))" /e /r /s</v>
      </c>
      <c r="U8" s="9" t="str">
        <f t="shared" si="2"/>
        <v>4015</v>
      </c>
      <c r="V8" s="36">
        <f t="shared" si="3"/>
        <v>42686.534201388888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{"issue":{"subject":"Banner without enforcement","project_id":79,"tracker_id":40,"status_id":1,"priority_id":2,"assigned_to_id":23,"start_date":"2016-11-12","description":"Enforcement issued by Slice 1, but not by other 2 slices.","custom_fields":[{"id":1,"name":"Subdivision","value":"EC"},{"id":4,"name":"Milepost","value":"0.0001"},{"id":17,"name":"Train ID","value":"106-12"},{"id":16,"name":"Locomotive ID","value":"4015"},{"id":130,"name":"Impact","value":"Others"},{"id":150,"name":"Time of Event (Mountain Time)","value":"05:49:15"},{"id":151,"name":"Denver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8" s="53" t="s">
        <v>767</v>
      </c>
      <c r="AA8" s="53" t="s">
        <v>137</v>
      </c>
      <c r="AB8" s="53" t="s">
        <v>178</v>
      </c>
      <c r="AC8" s="138" t="str">
        <f t="shared" si="7"/>
        <v>grep -hSE -A100 "Enforcement Action" "%USERPROFILE%\AppData\Local\Temp\OnboardLogs"\RTDC4015\*4015*201611121*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"%USERPROFILE%\AppData\Local\Temp\OnboardLogs"\RTDC4015\*4015*201611121* &gt;&gt; 42686-slicedisagreementcheck.txt</v>
      </c>
    </row>
    <row r="9" spans="1:30" s="1" customFormat="1" x14ac:dyDescent="0.25">
      <c r="A9" s="36">
        <v>42686.34584490741</v>
      </c>
      <c r="B9" s="31" t="s">
        <v>313</v>
      </c>
      <c r="C9" s="31" t="s">
        <v>421</v>
      </c>
      <c r="D9" s="31" t="s">
        <v>49</v>
      </c>
      <c r="E9" s="31" t="s">
        <v>211</v>
      </c>
      <c r="F9" s="47">
        <v>0</v>
      </c>
      <c r="G9" s="47">
        <v>65</v>
      </c>
      <c r="H9" s="47">
        <v>229</v>
      </c>
      <c r="I9" s="47">
        <v>161</v>
      </c>
      <c r="J9" s="31" t="s">
        <v>212</v>
      </c>
      <c r="K9" s="47">
        <v>1</v>
      </c>
      <c r="L9" s="154" t="s">
        <v>51</v>
      </c>
      <c r="M9" s="155">
        <f t="shared" si="0"/>
        <v>84.48</v>
      </c>
      <c r="N9" s="156" t="str">
        <f>VLOOKUP(C9,'Trips&amp;Operators'!$C$1:$E$99999,3,FALSE)</f>
        <v>GEBRETEKLE</v>
      </c>
      <c r="O9" s="183" t="s">
        <v>206</v>
      </c>
      <c r="P9" s="157"/>
      <c r="Q9" s="31"/>
      <c r="R9" s="100" t="str">
        <f>VLOOKUP(C9,'Train Runs'!$A$13:$AE$10001,31,0)</f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S9" s="103" t="str">
        <f>VLOOKUP(C9,'Train Runs'!$A$13:$AE$10001,22,0)</f>
        <v>https://search-rtdc-monitor-bjffxe2xuh6vdkpspy63sjmuny.us-east-1.es.amazonaws.com/_plugin/kibana/#/discover/Steve-Slow-Train-Analysis-(2080s-and-2083s)?_g=(refreshInterval:(display:Off,section:0,value:0),time:(from:'2016-11-12 06:35:45-700',mode:absolute,to:'2016-11-12 09:18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9" s="105" t="str">
        <f t="shared" si="1"/>
        <v>"C:\Program Files (x86)\AstroGrep\AstroGrep.exe" /spath="%USERPROFILE%\AppData\Local\Temp\OnboardLogs" /stypes="*4037*201611121*" /stext=" 15:.+((SYSTEM_STATE.+slice.+state.+changed )|(ment ac)|(system.+state.+changed )|(\[timeout)|(PRM\|1\|D)|(kpr)|(kdp)|(\|lc)|(penalty))" /e /r /s</v>
      </c>
      <c r="U9" s="9" t="str">
        <f t="shared" si="2"/>
        <v>4037</v>
      </c>
      <c r="V9" s="36">
        <f t="shared" si="3"/>
        <v>42686.637511574074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ID","value":"126-12"},{"id":16,"name":"Locomotive ID","value":"4037"},{"id":130,"name":"Impact","value":""},{"id":150,"name":"Time of Event (Mountain Time)","value":"08:18:01"},{"id":151,"name":"Denver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"%USERPROFILE%\AppData\Local\Temp\OnboardLogs"\RTDC4037\*4037*201611121*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"%USERPROFILE%\AppData\Local\Temp\OnboardLogs"\RTDC4037\*4037*201611121* &gt;&gt; 42686-slicedisagreementcheck.txt</v>
      </c>
    </row>
    <row r="10" spans="1:30" s="1" customFormat="1" x14ac:dyDescent="0.25">
      <c r="A10" s="36">
        <v>42686.362881944442</v>
      </c>
      <c r="B10" s="31" t="s">
        <v>251</v>
      </c>
      <c r="C10" s="31" t="s">
        <v>422</v>
      </c>
      <c r="D10" s="31" t="s">
        <v>98</v>
      </c>
      <c r="E10" s="31" t="s">
        <v>154</v>
      </c>
      <c r="F10" s="47">
        <v>190</v>
      </c>
      <c r="G10" s="47">
        <v>248</v>
      </c>
      <c r="H10" s="47">
        <v>27141</v>
      </c>
      <c r="I10" s="47">
        <v>26522</v>
      </c>
      <c r="J10" s="31" t="s">
        <v>153</v>
      </c>
      <c r="K10" s="47">
        <v>27350</v>
      </c>
      <c r="L10" s="154" t="s">
        <v>51</v>
      </c>
      <c r="M10" s="155">
        <f t="shared" si="0"/>
        <v>-437.18400000000003</v>
      </c>
      <c r="N10" s="156" t="str">
        <f>VLOOKUP(C10,'Trips&amp;Operators'!$C$1:$E$99999,3,FALSE)</f>
        <v>STRICKLAND</v>
      </c>
      <c r="O10" s="183" t="s">
        <v>206</v>
      </c>
      <c r="P10" s="157" t="s">
        <v>758</v>
      </c>
      <c r="Q10" s="31"/>
      <c r="R10" s="100" t="str">
        <f>VLOOKUP(C10,'Train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10" s="103" t="str">
        <f>VLOOKUP(C10,'Train Runs'!$A$13:$AE$10001,22,0)</f>
        <v>https://search-rtdc-monitor-bjffxe2xuh6vdkpspy63sjmuny.us-east-1.es.amazonaws.com/_plugin/kibana/#/discover/Steve-Slow-Train-Analysis-(2080s-and-2083s)?_g=(refreshInterval:(display:Off,section:0,value:0),time:(from:'2016-11-12 07:04:53-700',mode:absolute,to:'2016-11-12 09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0" s="105" t="str">
        <f t="shared" si="1"/>
        <v>"C:\Program Files (x86)\AstroGrep\AstroGrep.exe" /spath="%USERPROFILE%\AppData\Local\Temp\OnboardLogs" /stypes="*4012*201611121*" /stext=" 15:.+((SYSTEM_STATE.+slice.+state.+changed )|(ment ac)|(system.+state.+changed )|(\[timeout)|(PRM\|1\|D)|(kpr)|(kdp)|(\|lc)|(penalty))" /e /r /s</v>
      </c>
      <c r="U10" s="9" t="str">
        <f t="shared" si="2"/>
        <v>4012</v>
      </c>
      <c r="V10" s="36">
        <f t="shared" si="3"/>
        <v>42686.654548611106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arrival","project_id":79,"tracker_id":40,"status_id":1,"priority_id":2,"assigned_to_id":23,"start_date":"2016-11-12","description":"","custom_fields":[{"id":1,"name":"Subdivision","value":"EC"},{"id":4,"name":"Milepost","value":"2.735"},{"id":17,"name":"Train ID","value":"130-12"},{"id":16,"name":"Locomotive ID","value":"4012"},{"id":130,"name":"Impact","value":""},{"id":150,"name":"Time of Event (Mountain Time)","value":"08:42:33"},{"id":151,"name":"Denver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"%USERPROFILE%\AppData\Local\Temp\OnboardLogs"\RTDC4012\*4012*201611121*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"%USERPROFILE%\AppData\Local\Temp\OnboardLogs"\RTDC4012\*4012*201611121* &gt;&gt; 42686-slicedisagreementcheck.txt</v>
      </c>
    </row>
    <row r="11" spans="1:30" s="1" customFormat="1" x14ac:dyDescent="0.25">
      <c r="A11" s="36">
        <v>42686.36383101852</v>
      </c>
      <c r="B11" s="31" t="s">
        <v>218</v>
      </c>
      <c r="C11" s="31" t="s">
        <v>423</v>
      </c>
      <c r="D11" s="31" t="s">
        <v>98</v>
      </c>
      <c r="E11" s="31" t="s">
        <v>207</v>
      </c>
      <c r="F11" s="47">
        <v>150</v>
      </c>
      <c r="G11" s="47">
        <v>211</v>
      </c>
      <c r="H11" s="47">
        <v>56955</v>
      </c>
      <c r="I11" s="47">
        <v>56564</v>
      </c>
      <c r="J11" s="31" t="s">
        <v>208</v>
      </c>
      <c r="K11" s="47">
        <v>59050</v>
      </c>
      <c r="L11" s="154" t="s">
        <v>51</v>
      </c>
      <c r="M11" s="155">
        <f t="shared" si="0"/>
        <v>-1312.6079999999999</v>
      </c>
      <c r="N11" s="156" t="str">
        <f>VLOOKUP(C11,'Trips&amp;Operators'!$C$1:$E$99999,3,FALSE)</f>
        <v>ISHMAEL</v>
      </c>
      <c r="O11" s="183" t="s">
        <v>206</v>
      </c>
      <c r="P11" s="157"/>
      <c r="Q11" s="31"/>
      <c r="R11" s="100" t="str">
        <f>VLOOKUP(C11,'Train Runs'!$A$13:$AE$10001,31,0)</f>
        <v>aws s3 cp s3://rtdc.mdm.uploadarchive.raw/RTDC4030/ "%USERPROFILE%\AppData\Local\Temp\OnboardLogs"\RTDC4030\2016-11-12 --exclude "*" --recursive --include "*20161112*" &amp; "%USERPROFILE%\Documents\GitHub\mrs-test-scripts\Headless Mode &amp; Sideloading\WalkAndUnGZ.bat" "%USERPROFILE%\AppData\Local\Temp\OnboardLogs"\RTDC4030\2016-11-12 &amp; aws s3 cp s3://rtdc.mdm.uploadarchive.raw/RTDC4030/ "%USERPROFILE%\AppData\Local\Temp\OnboardLogs"\RTDC4030\2016-11-13 --exclude "*" --recursive --include "*20161113*" &amp; "%USERPROFILE%\Documents\GitHub\mrs-test-scripts\Headless Mode &amp; Sideloading\WalkAndUnGZ.bat" "%USERPROFILE%\AppData\Local\Temp\OnboardLogs"\RTDC4030\2016-11-13</v>
      </c>
      <c r="S11" s="103" t="str">
        <f>VLOOKUP(C11,'Train Runs'!$A$13:$AE$10001,22,0)</f>
        <v>https://search-rtdc-monitor-bjffxe2xuh6vdkpspy63sjmuny.us-east-1.es.amazonaws.com/_plugin/kibana/#/discover/Steve-Slow-Train-Analysis-(2080s-and-2083s)?_g=(refreshInterval:(display:Off,section:0,value:0),time:(from:'2016-11-12 07:35:20-700',mode:absolute,to:'2016-11-12 09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1" s="105" t="str">
        <f t="shared" si="1"/>
        <v>"C:\Program Files (x86)\AstroGrep\AstroGrep.exe" /spath="%USERPROFILE%\AppData\Local\Temp\OnboardLogs" /stypes="*4030*201611121*" /stext=" 15:.+((SYSTEM_STATE.+slice.+state.+changed )|(ment ac)|(system.+state.+changed )|(\[timeout)|(PRM\|1\|D)|(kpr)|(kdp)|(\|lc)|(penalty))" /e /r /s</v>
      </c>
      <c r="U11" s="9" t="str">
        <f t="shared" si="2"/>
        <v>4030</v>
      </c>
      <c r="V11" s="36">
        <f t="shared" si="3"/>
        <v>42686.655497685184</v>
      </c>
      <c r="W11" s="50" t="str">
        <f t="shared" si="4"/>
        <v>NW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{"issue":{"subject":"","project_id":79,"tracker_id":40,"status_id":1,"priority_id":2,"assigned_to_id":23,"start_date":"2016-11-12","description":"","custom_fields":[{"id":1,"name":"Subdivision","value":"NW"},{"id":4,"name":"Milepost","value":"5.905"},{"id":17,"name":"Train ID","value":"1806-12"},{"id":16,"name":"Locomotive ID","value":"4030"},{"id":130,"name":"Impact","value":""},{"id":150,"name":"Time of Event (Mountain Time)","value":"08:43:55"},{"id":151,"name":"Denver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"%USERPROFILE%\AppData\Local\Temp\OnboardLogs"\RTDC4030\*4030*201611121*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"%USERPROFILE%\AppData\Local\Temp\OnboardLogs"\RTDC4030\*4030*201611121* &gt;&gt; 42686-slicedisagreementcheck.txt</v>
      </c>
    </row>
    <row r="12" spans="1:30" s="1" customFormat="1" x14ac:dyDescent="0.25">
      <c r="A12" s="36">
        <v>42686.395254629628</v>
      </c>
      <c r="B12" s="31" t="s">
        <v>217</v>
      </c>
      <c r="C12" s="31" t="s">
        <v>424</v>
      </c>
      <c r="D12" s="31" t="s">
        <v>49</v>
      </c>
      <c r="E12" s="31" t="s">
        <v>207</v>
      </c>
      <c r="F12" s="47">
        <v>300</v>
      </c>
      <c r="G12" s="47">
        <v>359</v>
      </c>
      <c r="H12" s="47">
        <v>39429</v>
      </c>
      <c r="I12" s="47">
        <v>40165</v>
      </c>
      <c r="J12" s="31" t="s">
        <v>208</v>
      </c>
      <c r="K12" s="47">
        <v>39716</v>
      </c>
      <c r="L12" s="154" t="s">
        <v>50</v>
      </c>
      <c r="M12" s="155">
        <f t="shared" si="0"/>
        <v>-237.072</v>
      </c>
      <c r="N12" s="156" t="str">
        <f>VLOOKUP(C12,'Trips&amp;Operators'!$C$1:$E$99999,3,FALSE)</f>
        <v>ISHMAEL</v>
      </c>
      <c r="O12" s="183" t="s">
        <v>206</v>
      </c>
      <c r="P12" s="157"/>
      <c r="Q12" s="31"/>
      <c r="R12" s="100" t="str">
        <f>VLOOKUP(C12,'Train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12" s="103" t="str">
        <f>VLOOKUP(C12,'Train Runs'!$A$13:$AE$10001,22,0)</f>
        <v>https://search-rtdc-monitor-bjffxe2xuh6vdkpspy63sjmuny.us-east-1.es.amazonaws.com/_plugin/kibana/#/discover/Steve-Slow-Train-Analysis-(2080s-and-2083s)?_g=(refreshInterval:(display:Off,section:0,value:0),time:(from:'2016-11-12 08:12:07-700',mode:absolute,to:'2016-11-12 10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2" s="105" t="str">
        <f t="shared" si="1"/>
        <v>"C:\Program Files (x86)\AstroGrep\AstroGrep.exe" /spath="%USERPROFILE%\AppData\Local\Temp\OnboardLogs" /stypes="*4029*201611121*" /stext=" 16:.+((SYSTEM_STATE.+slice.+state.+changed )|(ment ac)|(system.+state.+changed )|(\[timeout)|(PRM\|1\|D)|(kpr)|(kdp)|(\|lc)|(penalty))" /e /r /s</v>
      </c>
      <c r="U12" s="9" t="str">
        <f t="shared" si="2"/>
        <v>4029</v>
      </c>
      <c r="V12" s="36">
        <f t="shared" si="3"/>
        <v>42686.686921296292</v>
      </c>
      <c r="W12" s="50" t="str">
        <f t="shared" si="4"/>
        <v>NW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{"issue":{"subject":"","project_id":79,"tracker_id":40,"status_id":1,"priority_id":2,"assigned_to_id":23,"start_date":"2016-11-12","description":"","custom_fields":[{"id":1,"name":"Subdivision","value":"NW"},{"id":4,"name":"Milepost","value":"3.9716"},{"id":17,"name":"Train ID","value":"1807-12"},{"id":16,"name":"Locomotive ID","value":"4029"},{"id":130,"name":"Impact","value":""},{"id":150,"name":"Time of Event (Mountain Time)","value":"09:29:10"},{"id":151,"name":"Denver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"%USERPROFILE%\AppData\Local\Temp\OnboardLogs"\RTDC4029\*4029*201611121*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"%USERPROFILE%\AppData\Local\Temp\OnboardLogs"\RTDC4029\*4029*201611121* &gt;&gt; 42686-slicedisagreementcheck.txt</v>
      </c>
    </row>
    <row r="13" spans="1:30" s="1" customFormat="1" x14ac:dyDescent="0.25">
      <c r="A13" s="36">
        <v>42686.430254629631</v>
      </c>
      <c r="B13" s="31" t="s">
        <v>249</v>
      </c>
      <c r="C13" s="31" t="s">
        <v>425</v>
      </c>
      <c r="D13" s="31" t="s">
        <v>49</v>
      </c>
      <c r="E13" s="31" t="s">
        <v>207</v>
      </c>
      <c r="F13" s="47">
        <v>150</v>
      </c>
      <c r="G13" s="47">
        <v>289</v>
      </c>
      <c r="H13" s="47">
        <v>228751</v>
      </c>
      <c r="I13" s="47">
        <v>229465</v>
      </c>
      <c r="J13" s="31" t="s">
        <v>208</v>
      </c>
      <c r="K13" s="47">
        <v>230436</v>
      </c>
      <c r="L13" s="154" t="s">
        <v>50</v>
      </c>
      <c r="M13" s="155">
        <f t="shared" si="0"/>
        <v>512.68799999999999</v>
      </c>
      <c r="N13" s="156" t="str">
        <f>VLOOKUP(C13,'Trips&amp;Operators'!$C$1:$E$99999,3,FALSE)</f>
        <v>DAVIS</v>
      </c>
      <c r="O13" s="183" t="s">
        <v>206</v>
      </c>
      <c r="P13" s="157"/>
      <c r="Q13" s="31"/>
      <c r="R13" s="100" t="str">
        <f>VLOOKUP(C13,'Train Runs'!$A$13:$AE$10001,31,0)</f>
        <v>aws s3 cp s3://rtdc.mdm.uploadarchive.raw/RTDC4025/ "%USERPROFILE%\AppData\Local\Temp\OnboardLogs"\RTDC4025\2016-11-12 --exclude "*" --recursive --include "*20161112*" &amp; "%USERPROFILE%\Documents\GitHub\mrs-test-scripts\Headless Mode &amp; Sideloading\WalkAndUnGZ.bat" "%USERPROFILE%\AppData\Local\Temp\OnboardLogs"\RTDC4025\2016-11-12 &amp; aws s3 cp s3://rtdc.mdm.uploadarchive.raw/RTDC4025/ "%USERPROFILE%\AppData\Local\Temp\OnboardLogs"\RTDC4025\2016-11-13 --exclude "*" --recursive --include "*20161113*" &amp; "%USERPROFILE%\Documents\GitHub\mrs-test-scripts\Headless Mode &amp; Sideloading\WalkAndUnGZ.bat" "%USERPROFILE%\AppData\Local\Temp\OnboardLogs"\RTDC4025\2016-11-13</v>
      </c>
      <c r="S13" s="103" t="str">
        <f>VLOOKUP(C13,'Train Runs'!$A$13:$AE$10001,22,0)</f>
        <v>https://search-rtdc-monitor-bjffxe2xuh6vdkpspy63sjmuny.us-east-1.es.amazonaws.com/_plugin/kibana/#/discover/Steve-Slow-Train-Analysis-(2080s-and-2083s)?_g=(refreshInterval:(display:Off,section:0,value:0),time:(from:'2016-11-12 08:38:57-700',mode:absolute,to:'2016-11-12 11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3" s="105" t="str">
        <f t="shared" si="1"/>
        <v>"C:\Program Files (x86)\AstroGrep\AstroGrep.exe" /spath="%USERPROFILE%\AppData\Local\Temp\OnboardLogs" /stypes="*4025*201611121*" /stext=" 17:.+((SYSTEM_STATE.+slice.+state.+changed )|(ment ac)|(system.+state.+changed )|(\[timeout)|(PRM\|1\|D)|(kpr)|(kdp)|(\|lc)|(penalty))" /e /r /s</v>
      </c>
      <c r="U13" s="9" t="str">
        <f t="shared" si="2"/>
        <v>4025</v>
      </c>
      <c r="V13" s="36">
        <f t="shared" si="3"/>
        <v>42686.721921296295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{"issue":{"subject":"","project_id":79,"tracker_id":40,"status_id":1,"priority_id":2,"assigned_to_id":23,"start_date":"2016-11-12","description":"","custom_fields":[{"id":1,"name":"Subdivision","value":"EC"},{"id":4,"name":"Milepost","value":"23.0436"},{"id":17,"name":"Train ID","value":"149-12"},{"id":16,"name":"Locomotive ID","value":"4025"},{"id":130,"name":"Impact","value":""},{"id":150,"name":"Time of Event (Mountain Time)","value":"10:19:34"},{"id":151,"name":"Denver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"%USERPROFILE%\AppData\Local\Temp\OnboardLogs"\RTDC4025\*4025*201611121*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"%USERPROFILE%\AppData\Local\Temp\OnboardLogs"\RTDC4025\*4025*201611121* &gt;&gt; 42686-slicedisagreementcheck.txt</v>
      </c>
    </row>
    <row r="14" spans="1:30" s="1" customFormat="1" x14ac:dyDescent="0.25">
      <c r="A14" s="36">
        <v>42686.436377314814</v>
      </c>
      <c r="B14" s="31" t="s">
        <v>251</v>
      </c>
      <c r="C14" s="31" t="s">
        <v>426</v>
      </c>
      <c r="D14" s="31" t="s">
        <v>98</v>
      </c>
      <c r="E14" s="31" t="s">
        <v>154</v>
      </c>
      <c r="F14" s="47">
        <v>190</v>
      </c>
      <c r="G14" s="47">
        <v>244</v>
      </c>
      <c r="H14" s="47">
        <v>27162</v>
      </c>
      <c r="I14" s="47">
        <v>26512</v>
      </c>
      <c r="J14" s="31" t="s">
        <v>153</v>
      </c>
      <c r="K14" s="47">
        <v>27350</v>
      </c>
      <c r="L14" s="154" t="s">
        <v>51</v>
      </c>
      <c r="M14" s="155">
        <f t="shared" si="0"/>
        <v>-442.464</v>
      </c>
      <c r="N14" s="156" t="str">
        <f>VLOOKUP(C14,'Trips&amp;Operators'!$C$1:$E$99999,3,FALSE)</f>
        <v>STRICKLAND</v>
      </c>
      <c r="O14" s="183" t="s">
        <v>206</v>
      </c>
      <c r="P14" s="157" t="s">
        <v>758</v>
      </c>
      <c r="Q14" s="31"/>
      <c r="R14" s="100" t="str">
        <f>VLOOKUP(C14,'Train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14" s="103" t="str">
        <f>VLOOKUP(C14,'Train Runs'!$A$13:$AE$10001,22,0)</f>
        <v>https://search-rtdc-monitor-bjffxe2xuh6vdkpspy63sjmuny.us-east-1.es.amazonaws.com/_plugin/kibana/#/discover/Steve-Slow-Train-Analysis-(2080s-and-2083s)?_g=(refreshInterval:(display:Off,section:0,value:0),time:(from:'2016-11-12 08:49:48-700',mode:absolute,to:'2016-11-12 11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4" s="105" t="str">
        <f t="shared" si="1"/>
        <v>"C:\Program Files (x86)\AstroGrep\AstroGrep.exe" /spath="%USERPROFILE%\AppData\Local\Temp\OnboardLogs" /stypes="*4012*201611121*" /stext=" 17:.+((SYSTEM_STATE.+slice.+state.+changed )|(ment ac)|(system.+state.+changed )|(\[timeout)|(PRM\|1\|D)|(kpr)|(kdp)|(\|lc)|(penalty))" /e /r /s</v>
      </c>
      <c r="U14" s="9" t="str">
        <f t="shared" si="2"/>
        <v>4012</v>
      </c>
      <c r="V14" s="36">
        <f t="shared" si="3"/>
        <v>42686.728043981479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{"issue":{"subject":"Early arrival","project_id":79,"tracker_id":40,"status_id":1,"priority_id":2,"assigned_to_id":23,"start_date":"2016-11-12","description":"","custom_fields":[{"id":1,"name":"Subdivision","value":"EC"},{"id":4,"name":"Milepost","value":"2.735"},{"id":17,"name":"Train ID","value":"144-12"},{"id":16,"name":"Locomotive ID","value":"4012"},{"id":130,"name":"Impact","value":""},{"id":150,"name":"Time of Event (Mountain Time)","value":"10:28:23"},{"id":151,"name":"Denver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"%USERPROFILE%\AppData\Local\Temp\OnboardLogs"\RTDC4012\*4012*201611121*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"%USERPROFILE%\AppData\Local\Temp\OnboardLogs"\RTDC4012\*4012*201611121* &gt;&gt; 42686-slicedisagreementcheck.txt</v>
      </c>
    </row>
    <row r="15" spans="1:30" s="1" customFormat="1" x14ac:dyDescent="0.25">
      <c r="A15" s="36">
        <v>42686.472500000003</v>
      </c>
      <c r="B15" s="31" t="s">
        <v>221</v>
      </c>
      <c r="C15" s="31" t="s">
        <v>427</v>
      </c>
      <c r="D15" s="31" t="s">
        <v>49</v>
      </c>
      <c r="E15" s="31" t="s">
        <v>207</v>
      </c>
      <c r="F15" s="47">
        <v>150</v>
      </c>
      <c r="G15" s="47">
        <v>278</v>
      </c>
      <c r="H15" s="47">
        <v>229410</v>
      </c>
      <c r="I15" s="47">
        <v>229820</v>
      </c>
      <c r="J15" s="31" t="s">
        <v>208</v>
      </c>
      <c r="K15" s="47">
        <v>230436</v>
      </c>
      <c r="L15" s="154" t="s">
        <v>50</v>
      </c>
      <c r="M15" s="155">
        <f t="shared" si="0"/>
        <v>325.24799999999999</v>
      </c>
      <c r="N15" s="156" t="str">
        <f>VLOOKUP(C15,'Trips&amp;Operators'!$C$1:$E$99999,3,FALSE)</f>
        <v>STRICKLAND</v>
      </c>
      <c r="O15" s="183" t="s">
        <v>206</v>
      </c>
      <c r="P15" s="157"/>
      <c r="Q15" s="31"/>
      <c r="R15" s="100" t="str">
        <f>VLOOKUP(C15,'Train Runs'!$A$13:$AE$10001,31,0)</f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S15" s="103" t="str">
        <f>VLOOKUP(C15,'Train Runs'!$A$13:$AE$10001,22,0)</f>
        <v>https://search-rtdc-monitor-bjffxe2xuh6vdkpspy63sjmuny.us-east-1.es.amazonaws.com/_plugin/kibana/#/discover/Steve-Slow-Train-Analysis-(2080s-and-2083s)?_g=(refreshInterval:(display:Off,section:0,value:0),time:(from:'2016-11-12 09:38:58-700',mode:absolute,to:'2016-11-12 12:23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5" s="105" t="str">
        <f t="shared" si="1"/>
        <v>"C:\Program Files (x86)\AstroGrep\AstroGrep.exe" /spath="%USERPROFILE%\AppData\Local\Temp\OnboardLogs" /stypes="*4011*201611121*" /stext=" 18:.+((SYSTEM_STATE.+slice.+state.+changed )|(ment ac)|(system.+state.+changed )|(\[timeout)|(PRM\|1\|D)|(kpr)|(kdp)|(\|lc)|(penalty))" /e /r /s</v>
      </c>
      <c r="U15" s="9" t="str">
        <f t="shared" si="2"/>
        <v>4011</v>
      </c>
      <c r="V15" s="36">
        <f t="shared" si="3"/>
        <v>42686.764166666668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{"issue":{"subject":"","project_id":79,"tracker_id":40,"status_id":1,"priority_id":2,"assigned_to_id":23,"start_date":"2016-11-12","description":"","custom_fields":[{"id":1,"name":"Subdivision","value":"EC"},{"id":4,"name":"Milepost","value":"23.0436"},{"id":17,"name":"Train ID","value":"157-12"},{"id":16,"name":"Locomotive ID","value":"4011"},{"id":130,"name":"Impact","value":""},{"id":150,"name":"Time of Event (Mountain Time)","value":"11:20:24"},{"id":151,"name":"Denver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"%USERPROFILE%\AppData\Local\Temp\OnboardLogs"\RTDC4011\*4011*201611121*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"%USERPROFILE%\AppData\Local\Temp\OnboardLogs"\RTDC4011\*4011*201611121* &gt;&gt; 42686-slicedisagreementcheck.txt</v>
      </c>
    </row>
    <row r="16" spans="1:30" s="1" customFormat="1" x14ac:dyDescent="0.25">
      <c r="A16" s="36">
        <v>42686.504884259259</v>
      </c>
      <c r="B16" s="31" t="s">
        <v>243</v>
      </c>
      <c r="C16" s="31" t="s">
        <v>428</v>
      </c>
      <c r="D16" s="31" t="s">
        <v>49</v>
      </c>
      <c r="E16" s="31" t="s">
        <v>288</v>
      </c>
      <c r="F16" s="47">
        <v>0</v>
      </c>
      <c r="G16" s="47">
        <v>556</v>
      </c>
      <c r="H16" s="47">
        <v>122209</v>
      </c>
      <c r="I16" s="47">
        <v>124722</v>
      </c>
      <c r="J16" s="31" t="s">
        <v>271</v>
      </c>
      <c r="K16" s="47">
        <v>126678</v>
      </c>
      <c r="L16" s="154" t="s">
        <v>50</v>
      </c>
      <c r="M16" s="155">
        <f t="shared" si="0"/>
        <v>1032.768</v>
      </c>
      <c r="N16" s="156" t="str">
        <f>VLOOKUP(C16,'Trips&amp;Operators'!$C$1:$E$99999,3,FALSE)</f>
        <v>SHOOK</v>
      </c>
      <c r="O16" s="183" t="s">
        <v>236</v>
      </c>
      <c r="P16" s="157" t="s">
        <v>761</v>
      </c>
      <c r="Q16" s="31"/>
      <c r="R16" s="100" t="str">
        <f>VLOOKUP(C16,'Train Runs'!$A$13:$AE$10001,31,0)</f>
        <v>aws s3 cp s3://rtdc.mdm.uploadarchive.raw/RTDC4042/ "%USERPROFILE%\AppData\Local\Temp\OnboardLogs"\RTDC4042\2016-11-12 --exclude "*" --recursive --include "*20161112*" &amp; "%USERPROFILE%\Documents\GitHub\mrs-test-scripts\Headless Mode &amp; Sideloading\WalkAndUnGZ.bat" "%USERPROFILE%\AppData\Local\Temp\OnboardLogs"\RTDC4042\2016-11-12 &amp; aws s3 cp s3://rtdc.mdm.uploadarchive.raw/RTDC4042/ "%USERPROFILE%\AppData\Local\Temp\OnboardLogs"\RTDC4042\2016-11-13 --exclude "*" --recursive --include "*20161113*" &amp; "%USERPROFILE%\Documents\GitHub\mrs-test-scripts\Headless Mode &amp; Sideloading\WalkAndUnGZ.bat" "%USERPROFILE%\AppData\Local\Temp\OnboardLogs"\RTDC4042\2016-11-13</v>
      </c>
      <c r="S16" s="103" t="str">
        <f>VLOOKUP(C16,'Train Runs'!$A$13:$AE$10001,22,0)</f>
        <v>https://search-rtdc-monitor-bjffxe2xuh6vdkpspy63sjmuny.us-east-1.es.amazonaws.com/_plugin/kibana/#/discover/Steve-Slow-Train-Analysis-(2080s-and-2083s)?_g=(refreshInterval:(display:Off,section:0,value:0),time:(from:'2016-11-12 10:37:32-700',mode:absolute,to:'2016-11-12 13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6" s="105" t="str">
        <f t="shared" si="1"/>
        <v>"C:\Program Files (x86)\AstroGrep\AstroGrep.exe" /spath="%USERPROFILE%\AppData\Local\Temp\OnboardLogs" /stypes="*4042*201611121*" /stext=" 19:.+((SYSTEM_STATE.+slice.+state.+changed )|(ment ac)|(system.+state.+changed )|(\[timeout)|(PRM\|1\|D)|(kpr)|(kdp)|(\|lc)|(penalty))" /e /r /s</v>
      </c>
      <c r="U16" s="9" t="str">
        <f t="shared" si="2"/>
        <v>4042</v>
      </c>
      <c r="V16" s="36">
        <f t="shared" si="3"/>
        <v>42686.796550925923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-11-12","description":"http://stevetu21.github.io/eaglep3/load_kml.html?kml=http://rtdc.gmaps-snips.s3.amazonaws.com/eec0c886-dfa8-4982-9418-c2c5151535c1.kml","custom_fields":[{"id":1,"name":"Subdivision","value":"EC"},{"id":4,"name":"Milepost","value":"12.6678"},{"id":17,"name":"Train ID","value":"165-12"},{"id":16,"name":"Locomotive ID","value":"4042"},{"id":130,"name":"Impact","value":"Enforcement"},{"id":150,"name":"Time of Event (Mountain Time)","value":"12:07:02"},{"id":151,"name":"Denver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760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"%USERPROFILE%\AppData\Local\Temp\OnboardLogs"\RTDC4042\*4042*201611121*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"%USERPROFILE%\AppData\Local\Temp\OnboardLogs"\RTDC4042\*4042*201611121* &gt;&gt; 42686-slicedisagreementcheck.txt</v>
      </c>
    </row>
    <row r="17" spans="1:30" s="1" customFormat="1" x14ac:dyDescent="0.25">
      <c r="A17" s="36">
        <v>42686.536111111112</v>
      </c>
      <c r="B17" s="31" t="s">
        <v>429</v>
      </c>
      <c r="C17" s="31" t="s">
        <v>430</v>
      </c>
      <c r="D17" s="31" t="s">
        <v>98</v>
      </c>
      <c r="E17" s="31" t="s">
        <v>154</v>
      </c>
      <c r="F17" s="47">
        <v>0</v>
      </c>
      <c r="G17" s="47">
        <v>209</v>
      </c>
      <c r="H17" s="47">
        <v>27060</v>
      </c>
      <c r="I17" s="47">
        <v>27354</v>
      </c>
      <c r="J17" s="31" t="s">
        <v>153</v>
      </c>
      <c r="K17" s="47">
        <v>27053</v>
      </c>
      <c r="L17" s="154" t="s">
        <v>50</v>
      </c>
      <c r="M17" s="155">
        <f t="shared" si="0"/>
        <v>-158.928</v>
      </c>
      <c r="N17" s="156" t="str">
        <f>VLOOKUP(C17,'Trips&amp;Operators'!$C$1:$E$99999,3,FALSE)</f>
        <v>STEWART</v>
      </c>
      <c r="O17" s="183" t="s">
        <v>206</v>
      </c>
      <c r="P17" s="157" t="s">
        <v>758</v>
      </c>
      <c r="Q17" s="31"/>
      <c r="R17" s="100" t="str">
        <f>VLOOKUP(C17,'Train Runs'!$A$13:$AE$10001,31,0)</f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S17" s="103" t="str">
        <f>VLOOKUP(C17,'Train Runs'!$A$13:$AE$10001,22,0)</f>
        <v>https://search-rtdc-monitor-bjffxe2xuh6vdkpspy63sjmuny.us-east-1.es.amazonaws.com/_plugin/kibana/#/discover/Steve-Slow-Train-Analysis-(2080s-and-2083s)?_g=(refreshInterval:(display:Off,section:0,value:0),time:(from:'2016-11-12 11:39:06-700',mode:absolute,to:'2016-11-12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7" s="105" t="str">
        <f t="shared" si="1"/>
        <v>"C:\Program Files (x86)\AstroGrep\AstroGrep.exe" /spath="%USERPROFILE%\AppData\Local\Temp\OnboardLogs" /stypes="*4014*201611121*" /stext=" 19:.+((SYSTEM_STATE.+slice.+state.+changed )|(ment ac)|(system.+state.+changed )|(\[timeout)|(PRM\|1\|D)|(kpr)|(kdp)|(\|lc)|(penalty))" /e /r /s</v>
      </c>
      <c r="U17" s="9" t="str">
        <f t="shared" si="2"/>
        <v>4014</v>
      </c>
      <c r="V17" s="36">
        <f t="shared" si="3"/>
        <v>42686.827777777777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{"issue":{"subject":"Early arrival","project_id":79,"tracker_id":40,"status_id":1,"priority_id":2,"assigned_to_id":23,"start_date":"2016-11-12","description":"","custom_fields":[{"id":1,"name":"Subdivision","value":"EC"},{"id":4,"name":"Milepost","value":"2.7053"},{"id":17,"name":"Train ID","value":"173-12"},{"id":16,"name":"Locomotive ID","value":"4014"},{"id":130,"name":"Impact","value":""},{"id":150,"name":"Time of Event (Mountain Time)","value":"12:52:00"},{"id":151,"name":"Denver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"%USERPROFILE%\AppData\Local\Temp\OnboardLogs"\RTDC4014\*4014*201611121*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"%USERPROFILE%\AppData\Local\Temp\OnboardLogs"\RTDC4014\*4014*201611121* &gt;&gt; 42686-slicedisagreementcheck.txt</v>
      </c>
    </row>
    <row r="18" spans="1:30" s="1" customFormat="1" x14ac:dyDescent="0.25">
      <c r="A18" s="36">
        <v>42686.537893518522</v>
      </c>
      <c r="B18" s="31" t="s">
        <v>429</v>
      </c>
      <c r="C18" s="31" t="s">
        <v>430</v>
      </c>
      <c r="D18" s="31" t="s">
        <v>98</v>
      </c>
      <c r="E18" s="31" t="s">
        <v>154</v>
      </c>
      <c r="F18" s="47">
        <v>350</v>
      </c>
      <c r="G18" s="47">
        <v>402</v>
      </c>
      <c r="H18" s="47">
        <v>33179</v>
      </c>
      <c r="I18" s="47">
        <v>34107</v>
      </c>
      <c r="J18" s="31" t="s">
        <v>153</v>
      </c>
      <c r="K18" s="47">
        <v>33137</v>
      </c>
      <c r="L18" s="154" t="s">
        <v>50</v>
      </c>
      <c r="M18" s="155">
        <f t="shared" si="0"/>
        <v>-512.16</v>
      </c>
      <c r="N18" s="156" t="str">
        <f>VLOOKUP(C18,'Trips&amp;Operators'!$C$1:$E$99999,3,FALSE)</f>
        <v>STEWART</v>
      </c>
      <c r="O18" s="183" t="s">
        <v>206</v>
      </c>
      <c r="P18" s="157" t="s">
        <v>758</v>
      </c>
      <c r="Q18" s="31"/>
      <c r="R18" s="100" t="str">
        <f>VLOOKUP(C18,'Train Runs'!$A$13:$AE$10001,31,0)</f>
        <v>aws s3 cp s3://rtdc.mdm.uploadarchive.raw/RTDC4014/ "%USERPROFILE%\AppData\Local\Temp\OnboardLogs"\RTDC4014\2016-11-12 --exclude "*" --recursive --include "*20161112*" &amp; "%USERPROFILE%\Documents\GitHub\mrs-test-scripts\Headless Mode &amp; Sideloading\WalkAndUnGZ.bat" "%USERPROFILE%\AppData\Local\Temp\OnboardLogs"\RTDC4014\2016-11-12 &amp; aws s3 cp s3://rtdc.mdm.uploadarchive.raw/RTDC4014/ "%USERPROFILE%\AppData\Local\Temp\OnboardLogs"\RTDC4014\2016-11-13 --exclude "*" --recursive --include "*20161113*" &amp; "%USERPROFILE%\Documents\GitHub\mrs-test-scripts\Headless Mode &amp; Sideloading\WalkAndUnGZ.bat" "%USERPROFILE%\AppData\Local\Temp\OnboardLogs"\RTDC4014\2016-11-13</v>
      </c>
      <c r="S18" s="103" t="str">
        <f>VLOOKUP(C18,'Train Runs'!$A$13:$AE$10001,22,0)</f>
        <v>https://search-rtdc-monitor-bjffxe2xuh6vdkpspy63sjmuny.us-east-1.es.amazonaws.com/_plugin/kibana/#/discover/Steve-Slow-Train-Analysis-(2080s-and-2083s)?_g=(refreshInterval:(display:Off,section:0,value:0),time:(from:'2016-11-12 11:39:06-700',mode:absolute,to:'2016-11-12 14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8" s="105" t="str">
        <f t="shared" si="1"/>
        <v>"C:\Program Files (x86)\AstroGrep\AstroGrep.exe" /spath="%USERPROFILE%\AppData\Local\Temp\OnboardLogs" /stypes="*4014*201611121*" /stext=" 19:.+((SYSTEM_STATE.+slice.+state.+changed )|(ment ac)|(system.+state.+changed )|(\[timeout)|(PRM\|1\|D)|(kpr)|(kdp)|(\|lc)|(penalty))" /e /r /s</v>
      </c>
      <c r="U18" s="9" t="str">
        <f t="shared" si="2"/>
        <v>4014</v>
      </c>
      <c r="V18" s="36">
        <f t="shared" si="3"/>
        <v>42686.829560185186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{"issue":{"subject":"Early arrival","project_id":79,"tracker_id":40,"status_id":1,"priority_id":2,"assigned_to_id":23,"start_date":"2016-11-12","description":"","custom_fields":[{"id":1,"name":"Subdivision","value":"EC"},{"id":4,"name":"Milepost","value":"3.3137"},{"id":17,"name":"Train ID","value":"173-12"},{"id":16,"name":"Locomotive ID","value":"4014"},{"id":130,"name":"Impact","value":""},{"id":150,"name":"Time of Event (Mountain Time)","value":"12:54:34"},{"id":151,"name":"Denver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"%USERPROFILE%\AppData\Local\Temp\OnboardLogs"\RTDC4014\*4014*201611121*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"%USERPROFILE%\AppData\Local\Temp\OnboardLogs"\RTDC4014\*4014*201611121* &gt;&gt; 42686-slicedisagreementcheck.txt</v>
      </c>
    </row>
    <row r="19" spans="1:30" s="1" customFormat="1" x14ac:dyDescent="0.25">
      <c r="A19" s="36">
        <v>42686.544699074075</v>
      </c>
      <c r="B19" s="31" t="s">
        <v>285</v>
      </c>
      <c r="C19" s="31" t="s">
        <v>431</v>
      </c>
      <c r="D19" s="31" t="s">
        <v>49</v>
      </c>
      <c r="E19" s="31" t="s">
        <v>211</v>
      </c>
      <c r="F19" s="47">
        <v>0</v>
      </c>
      <c r="G19" s="47">
        <v>46</v>
      </c>
      <c r="H19" s="47">
        <v>152</v>
      </c>
      <c r="I19" s="47">
        <v>114</v>
      </c>
      <c r="J19" s="31" t="s">
        <v>212</v>
      </c>
      <c r="K19" s="47">
        <v>1</v>
      </c>
      <c r="L19" s="154" t="s">
        <v>51</v>
      </c>
      <c r="M19" s="155">
        <f t="shared" si="0"/>
        <v>59.664000000000001</v>
      </c>
      <c r="N19" s="156" t="str">
        <f>VLOOKUP(C19,'Trips&amp;Operators'!$C$1:$E$99999,3,FALSE)</f>
        <v>MOSES</v>
      </c>
      <c r="O19" s="183" t="s">
        <v>206</v>
      </c>
      <c r="P19" s="157"/>
      <c r="Q19" s="31"/>
      <c r="R19" s="100" t="str">
        <f>VLOOKUP(C19,'Train Runs'!$A$13:$AE$10001,31,0)</f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S19" s="103" t="str">
        <f>VLOOKUP(C19,'Train Runs'!$A$13:$AE$10001,22,0)</f>
        <v>https://search-rtdc-monitor-bjffxe2xuh6vdkpspy63sjmuny.us-east-1.es.amazonaws.com/_plugin/kibana/#/discover/Steve-Slow-Train-Analysis-(2080s-and-2083s)?_g=(refreshInterval:(display:Off,section:0,value:0),time:(from:'2016-11-12 11:20:09-700',mode:absolute,to:'2016-11-12 14:04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9" s="105" t="str">
        <f t="shared" si="1"/>
        <v>"C:\Program Files (x86)\AstroGrep\AstroGrep.exe" /spath="%USERPROFILE%\AppData\Local\Temp\OnboardLogs" /stypes="*4026*201611122*" /stext=" 20:.+((SYSTEM_STATE.+slice.+state.+changed )|(ment ac)|(system.+state.+changed )|(\[timeout)|(PRM\|1\|D)|(kpr)|(kdp)|(\|lc)|(penalty))" /e /r /s</v>
      </c>
      <c r="U19" s="9" t="str">
        <f t="shared" si="2"/>
        <v>4026</v>
      </c>
      <c r="V19" s="36">
        <f t="shared" si="3"/>
        <v>42686.836365740739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ID","value":"164-12"},{"id":16,"name":"Locomotive ID","value":"4026"},{"id":130,"name":"Impact","value":""},{"id":150,"name":"Time of Event (Mountain Time)","value":"13:04:22"},{"id":151,"name":"Denver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"%USERPROFILE%\AppData\Local\Temp\OnboardLogs"\RTDC4026\*4026*201611122*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"%USERPROFILE%\AppData\Local\Temp\OnboardLogs"\RTDC4026\*4026*201611122* &gt;&gt; 42686-slicedisagreementcheck.txt</v>
      </c>
    </row>
    <row r="20" spans="1:30" s="1" customFormat="1" x14ac:dyDescent="0.25">
      <c r="A20" s="36">
        <v>42686.585752314815</v>
      </c>
      <c r="B20" s="31" t="s">
        <v>251</v>
      </c>
      <c r="C20" s="31" t="s">
        <v>432</v>
      </c>
      <c r="D20" s="31" t="s">
        <v>49</v>
      </c>
      <c r="E20" s="31" t="s">
        <v>211</v>
      </c>
      <c r="F20" s="47">
        <v>0</v>
      </c>
      <c r="G20" s="47">
        <v>85</v>
      </c>
      <c r="H20" s="47">
        <v>278</v>
      </c>
      <c r="I20" s="47">
        <v>198</v>
      </c>
      <c r="J20" s="31" t="s">
        <v>212</v>
      </c>
      <c r="K20" s="47">
        <v>1</v>
      </c>
      <c r="L20" s="154" t="s">
        <v>51</v>
      </c>
      <c r="M20" s="155">
        <f t="shared" si="0"/>
        <v>104.01600000000001</v>
      </c>
      <c r="N20" s="156" t="str">
        <f>VLOOKUP(C20,'Trips&amp;Operators'!$C$1:$E$99999,3,FALSE)</f>
        <v>STORY</v>
      </c>
      <c r="O20" s="183" t="s">
        <v>206</v>
      </c>
      <c r="P20" s="157"/>
      <c r="Q20" s="31"/>
      <c r="R20" s="100" t="str">
        <f>VLOOKUP(C20,'Train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20" s="103" t="str">
        <f>VLOOKUP(C20,'Train Runs'!$A$13:$AE$10001,22,0)</f>
        <v>https://search-rtdc-monitor-bjffxe2xuh6vdkpspy63sjmuny.us-east-1.es.amazonaws.com/_plugin/kibana/#/discover/Steve-Slow-Train-Analysis-(2080s-and-2083s)?_g=(refreshInterval:(display:Off,section:0,value:0),time:(from:'2016-11-12 12:19:15-700',mode:absolute,to:'2016-11-12 15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5" t="str">
        <f t="shared" si="1"/>
        <v>"C:\Program Files (x86)\AstroGrep\AstroGrep.exe" /spath="%USERPROFILE%\AppData\Local\Temp\OnboardLogs" /stypes="*4012*201611122*" /stext=" 21:.+((SYSTEM_STATE.+slice.+state.+changed )|(ment ac)|(system.+state.+changed )|(\[timeout)|(PRM\|1\|D)|(kpr)|(kdp)|(\|lc)|(penalty))" /e /r /s</v>
      </c>
      <c r="U20" s="9" t="str">
        <f t="shared" si="2"/>
        <v>4012</v>
      </c>
      <c r="V20" s="36">
        <f t="shared" si="3"/>
        <v>42686.877418981479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ID","value":"172-12"},{"id":16,"name":"Locomotive ID","value":"4012"},{"id":130,"name":"Impact","value":""},{"id":150,"name":"Time of Event (Mountain Time)","value":"14:03:29"},{"id":151,"name":"Denver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"%USERPROFILE%\AppData\Local\Temp\OnboardLogs"\RTDC4012\*4012*201611122*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"%USERPROFILE%\AppData\Local\Temp\OnboardLogs"\RTDC4012\*4012*201611122* &gt;&gt; 42686-slicedisagreementcheck.txt</v>
      </c>
    </row>
    <row r="21" spans="1:30" x14ac:dyDescent="0.25">
      <c r="A21" s="36">
        <v>42686.617650462962</v>
      </c>
      <c r="B21" s="31" t="s">
        <v>285</v>
      </c>
      <c r="C21" s="31" t="s">
        <v>433</v>
      </c>
      <c r="D21" s="31" t="s">
        <v>49</v>
      </c>
      <c r="E21" s="31" t="s">
        <v>211</v>
      </c>
      <c r="F21" s="47">
        <v>0</v>
      </c>
      <c r="G21" s="47">
        <v>53</v>
      </c>
      <c r="H21" s="47">
        <v>194</v>
      </c>
      <c r="I21" s="47">
        <v>145</v>
      </c>
      <c r="J21" s="31" t="s">
        <v>212</v>
      </c>
      <c r="K21" s="47">
        <v>1</v>
      </c>
      <c r="L21" s="154" t="s">
        <v>51</v>
      </c>
      <c r="M21" s="155">
        <f t="shared" si="0"/>
        <v>76.031999999999996</v>
      </c>
      <c r="N21" s="156" t="str">
        <f>VLOOKUP(C21,'Trips&amp;Operators'!$C$1:$E$99999,3,FALSE)</f>
        <v>MOSES</v>
      </c>
      <c r="O21" s="183" t="s">
        <v>206</v>
      </c>
      <c r="P21" s="157"/>
      <c r="Q21" s="31"/>
      <c r="R21" s="100" t="str">
        <f>VLOOKUP(C21,'Train Runs'!$A$13:$AE$10001,31,0)</f>
        <v>aws s3 cp s3://rtdc.mdm.uploadarchive.raw/RTDC4026/ "%USERPROFILE%\AppData\Local\Temp\OnboardLogs"\RTDC4026\2016-11-12 --exclude "*" --recursive --include "*20161112*" &amp; "%USERPROFILE%\Documents\GitHub\mrs-test-scripts\Headless Mode &amp; Sideloading\WalkAndUnGZ.bat" "%USERPROFILE%\AppData\Local\Temp\OnboardLogs"\RTDC4026\2016-11-12 &amp; aws s3 cp s3://rtdc.mdm.uploadarchive.raw/RTDC4026/ "%USERPROFILE%\AppData\Local\Temp\OnboardLogs"\RTDC4026\2016-11-13 --exclude "*" --recursive --include "*20161113*" &amp; "%USERPROFILE%\Documents\GitHub\mrs-test-scripts\Headless Mode &amp; Sideloading\WalkAndUnGZ.bat" "%USERPROFILE%\AppData\Local\Temp\OnboardLogs"\RTDC4026\2016-11-13</v>
      </c>
      <c r="S21" s="103" t="str">
        <f>VLOOKUP(C21,'Train Runs'!$A$13:$AE$10001,22,0)</f>
        <v>https://search-rtdc-monitor-bjffxe2xuh6vdkpspy63sjmuny.us-east-1.es.amazonaws.com/_plugin/kibana/#/discover/Steve-Slow-Train-Analysis-(2080s-and-2083s)?_g=(refreshInterval:(display:Off,section:0,value:0),time:(from:'2016-11-12 13:03:15-700',mode:absolute,to:'2016-11-12 15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1" s="105" t="str">
        <f t="shared" si="1"/>
        <v>"C:\Program Files (x86)\AstroGrep\AstroGrep.exe" /spath="%USERPROFILE%\AppData\Local\Temp\OnboardLogs" /stypes="*4026*201611122*" /stext=" 21:.+((SYSTEM_STATE.+slice.+state.+changed )|(ment ac)|(system.+state.+changed )|(\[timeout)|(PRM\|1\|D)|(kpr)|(kdp)|(\|lc)|(penalty))" /e /r /s</v>
      </c>
      <c r="U21" s="9" t="str">
        <f t="shared" si="2"/>
        <v>4026</v>
      </c>
      <c r="V21" s="36">
        <f t="shared" si="3"/>
        <v>42686.909317129626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ID","value":"178-12"},{"id":16,"name":"Locomotive ID","value":"4026"},{"id":130,"name":"Impact","value":""},{"id":150,"name":"Time of Event (Mountain Time)","value":"14:49:25"},{"id":151,"name":"Denver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"%USERPROFILE%\AppData\Local\Temp\OnboardLogs"\RTDC4026\*4026*201611122*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"%USERPROFILE%\AppData\Local\Temp\OnboardLogs"\RTDC4026\*4026*201611122* &gt;&gt; 42686-slicedisagreementcheck.txt</v>
      </c>
    </row>
    <row r="22" spans="1:30" x14ac:dyDescent="0.25">
      <c r="A22" s="36">
        <v>42686.637395833335</v>
      </c>
      <c r="B22" s="31" t="s">
        <v>313</v>
      </c>
      <c r="C22" s="31" t="s">
        <v>434</v>
      </c>
      <c r="D22" s="31" t="s">
        <v>49</v>
      </c>
      <c r="E22" s="31" t="s">
        <v>211</v>
      </c>
      <c r="F22" s="47">
        <v>0</v>
      </c>
      <c r="G22" s="47">
        <v>86</v>
      </c>
      <c r="H22" s="47">
        <v>349</v>
      </c>
      <c r="I22" s="47">
        <v>240</v>
      </c>
      <c r="J22" s="31" t="s">
        <v>212</v>
      </c>
      <c r="K22" s="47">
        <v>1</v>
      </c>
      <c r="L22" s="154" t="s">
        <v>51</v>
      </c>
      <c r="M22" s="155">
        <f t="shared" si="0"/>
        <v>126.19199999999999</v>
      </c>
      <c r="N22" s="156" t="str">
        <f>VLOOKUP(C22,'Trips&amp;Operators'!$C$1:$E$99999,3,FALSE)</f>
        <v>BRUDER</v>
      </c>
      <c r="O22" s="183" t="s">
        <v>206</v>
      </c>
      <c r="P22" s="157"/>
      <c r="Q22" s="31"/>
      <c r="R22" s="100" t="str">
        <f>VLOOKUP(C22,'Train Runs'!$A$13:$AE$10001,31,0)</f>
        <v>aws s3 cp s3://rtdc.mdm.uploadarchive.raw/RTDC4037/ "%USERPROFILE%\AppData\Local\Temp\OnboardLogs"\RTDC4037\2016-11-12 --exclude "*" --recursive --include "*20161112*" &amp; "%USERPROFILE%\Documents\GitHub\mrs-test-scripts\Headless Mode &amp; Sideloading\WalkAndUnGZ.bat" "%USERPROFILE%\AppData\Local\Temp\OnboardLogs"\RTDC4037\2016-11-12 &amp; aws s3 cp s3://rtdc.mdm.uploadarchive.raw/RTDC4037/ "%USERPROFILE%\AppData\Local\Temp\OnboardLogs"\RTDC4037\2016-11-13 --exclude "*" --recursive --include "*20161113*" &amp; "%USERPROFILE%\Documents\GitHub\mrs-test-scripts\Headless Mode &amp; Sideloading\WalkAndUnGZ.bat" "%USERPROFILE%\AppData\Local\Temp\OnboardLogs"\RTDC4037\2016-11-13</v>
      </c>
      <c r="S22" s="103" t="str">
        <f>VLOOKUP(C22,'Train Runs'!$A$13:$AE$10001,22,0)</f>
        <v>https://search-rtdc-monitor-bjffxe2xuh6vdkpspy63sjmuny.us-east-1.es.amazonaws.com/_plugin/kibana/#/discover/Steve-Slow-Train-Analysis-(2080s-and-2083s)?_g=(refreshInterval:(display:Off,section:0,value:0),time:(from:'2016-11-12 13:30:51-700',mode:absolute,to:'2016-11-12 16:17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2" s="105" t="str">
        <f t="shared" si="1"/>
        <v>"C:\Program Files (x86)\AstroGrep\AstroGrep.exe" /spath="%USERPROFILE%\AppData\Local\Temp\OnboardLogs" /stypes="*4037*201611122*" /stext=" 22:.+((SYSTEM_STATE.+slice.+state.+changed )|(ment ac)|(system.+state.+changed )|(\[timeout)|(PRM\|1\|D)|(kpr)|(kdp)|(\|lc)|(penalty))" /e /r /s</v>
      </c>
      <c r="U22" s="9" t="str">
        <f t="shared" si="2"/>
        <v>4037</v>
      </c>
      <c r="V22" s="36">
        <f t="shared" si="3"/>
        <v>42686.929062499999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ID","value":"182-12"},{"id":16,"name":"Locomotive ID","value":"4037"},{"id":130,"name":"Impact","value":""},{"id":150,"name":"Time of Event (Mountain Time)","value":"15:17:51"},{"id":151,"name":"Denver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"%USERPROFILE%\AppData\Local\Temp\OnboardLogs"\RTDC4037\*4037*201611122*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"%USERPROFILE%\AppData\Local\Temp\OnboardLogs"\RTDC4037\*4037*201611122* &gt;&gt; 42686-slicedisagreementcheck.txt</v>
      </c>
    </row>
    <row r="23" spans="1:30" x14ac:dyDescent="0.25">
      <c r="A23" s="36">
        <v>42686.641608796293</v>
      </c>
      <c r="B23" s="31" t="s">
        <v>251</v>
      </c>
      <c r="C23" s="31" t="s">
        <v>435</v>
      </c>
      <c r="D23" s="31" t="s">
        <v>49</v>
      </c>
      <c r="E23" s="31" t="s">
        <v>209</v>
      </c>
      <c r="F23" s="47">
        <v>0</v>
      </c>
      <c r="G23" s="47">
        <v>395</v>
      </c>
      <c r="H23" s="47">
        <v>129191</v>
      </c>
      <c r="I23" s="47">
        <v>128281</v>
      </c>
      <c r="J23" s="31" t="s">
        <v>210</v>
      </c>
      <c r="K23" s="47">
        <v>127587</v>
      </c>
      <c r="L23" s="154" t="s">
        <v>51</v>
      </c>
      <c r="M23" s="155">
        <f t="shared" si="0"/>
        <v>366.43200000000002</v>
      </c>
      <c r="N23" s="156" t="str">
        <f>VLOOKUP(C23,'Trips&amp;Operators'!$C$1:$E$99999,3,FALSE)</f>
        <v>HILLS</v>
      </c>
      <c r="O23" s="183" t="s">
        <v>206</v>
      </c>
      <c r="P23" s="157" t="s">
        <v>759</v>
      </c>
      <c r="Q23" s="31"/>
      <c r="R23" s="100" t="str">
        <f>VLOOKUP(C23,'Train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23" s="103" t="str">
        <f>VLOOKUP(C23,'Train Runs'!$A$13:$AE$10001,22,0)</f>
        <v>https://search-rtdc-monitor-bjffxe2xuh6vdkpspy63sjmuny.us-east-1.es.amazonaws.com/_plugin/kibana/#/discover/Steve-Slow-Train-Analysis-(2080s-and-2083s)?_g=(refreshInterval:(display:Off,section:0,value:0),time:(from:'2016-11-12 13:53:14-700',mode:absolute,to:'2016-11-12 16:50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3" s="105" t="str">
        <f t="shared" si="1"/>
        <v>"C:\Program Files (x86)\AstroGrep\AstroGrep.exe" /spath="%USERPROFILE%\AppData\Local\Temp\OnboardLogs" /stypes="*4012*201611122*" /stext=" 22:.+((SYSTEM_STATE.+slice.+state.+changed )|(ment ac)|(system.+state.+changed )|(\[timeout)|(PRM\|1\|D)|(kpr)|(kdp)|(\|lc)|(penalty))" /e /r /s</v>
      </c>
      <c r="U23" s="9" t="str">
        <f t="shared" si="2"/>
        <v>4012</v>
      </c>
      <c r="V23" s="36">
        <f t="shared" si="3"/>
        <v>42686.933275462958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{"issue":{"subject":"40th 4S STOP","project_id":79,"tracker_id":40,"status_id":1,"priority_id":2,"assigned_to_id":23,"start_date":"2016-11-12","description":"","custom_fields":[{"id":1,"name":"Subdivision","value":"EC"},{"id":4,"name":"Milepost","value":"12.7587"},{"id":17,"name":"Train ID","value":"186-12"},{"id":16,"name":"Locomotive ID","value":"4012"},{"id":130,"name":"Impact","value":""},{"id":150,"name":"Time of Event (Mountain Time)","value":"15:23:55"},{"id":151,"name":"Denver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"%USERPROFILE%\AppData\Local\Temp\OnboardLogs"\RTDC4012\*4012*201611122*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"%USERPROFILE%\AppData\Local\Temp\OnboardLogs"\RTDC4012\*4012*201611122* &gt;&gt; 42686-slicedisagreementcheck.txt</v>
      </c>
    </row>
    <row r="24" spans="1:30" ht="15" customHeight="1" x14ac:dyDescent="0.25">
      <c r="A24" s="36">
        <v>42686.671689814815</v>
      </c>
      <c r="B24" s="31" t="s">
        <v>221</v>
      </c>
      <c r="C24" s="31" t="s">
        <v>436</v>
      </c>
      <c r="D24" s="31" t="s">
        <v>49</v>
      </c>
      <c r="E24" s="31" t="s">
        <v>154</v>
      </c>
      <c r="F24" s="47">
        <v>0</v>
      </c>
      <c r="G24" s="47">
        <v>210</v>
      </c>
      <c r="H24" s="47">
        <v>26945</v>
      </c>
      <c r="I24" s="47">
        <v>27190</v>
      </c>
      <c r="J24" s="31" t="s">
        <v>153</v>
      </c>
      <c r="K24" s="47">
        <v>27053</v>
      </c>
      <c r="L24" s="154" t="s">
        <v>50</v>
      </c>
      <c r="M24" s="155">
        <f t="shared" si="0"/>
        <v>-72.335999999999999</v>
      </c>
      <c r="N24" s="156" t="str">
        <f>VLOOKUP(C24,'Trips&amp;Operators'!$C$1:$E$99999,3,FALSE)</f>
        <v>STORY</v>
      </c>
      <c r="O24" s="183" t="s">
        <v>206</v>
      </c>
      <c r="P24" s="157" t="s">
        <v>758</v>
      </c>
      <c r="Q24" s="31"/>
      <c r="R24" s="100" t="str">
        <f>VLOOKUP(C24,'Train Runs'!$A$13:$AE$10001,31,0)</f>
        <v>aws s3 cp s3://rtdc.mdm.uploadarchive.raw/RTDC4011/ "%USERPROFILE%\AppData\Local\Temp\OnboardLogs"\RTDC4011\2016-11-12 --exclude "*" --recursive --include "*20161112*" &amp; "%USERPROFILE%\Documents\GitHub\mrs-test-scripts\Headless Mode &amp; Sideloading\WalkAndUnGZ.bat" "%USERPROFILE%\AppData\Local\Temp\OnboardLogs"\RTDC4011\2016-11-12 &amp; aws s3 cp s3://rtdc.mdm.uploadarchive.raw/RTDC4011/ "%USERPROFILE%\AppData\Local\Temp\OnboardLogs"\RTDC4011\2016-11-13 --exclude "*" --recursive --include "*20161113*" &amp; "%USERPROFILE%\Documents\GitHub\mrs-test-scripts\Headless Mode &amp; Sideloading\WalkAndUnGZ.bat" "%USERPROFILE%\AppData\Local\Temp\OnboardLogs"\RTDC4011\2016-11-13</v>
      </c>
      <c r="S24" s="103" t="str">
        <f>VLOOKUP(C24,'Train Runs'!$A$13:$AE$10001,22,0)</f>
        <v>https://search-rtdc-monitor-bjffxe2xuh6vdkpspy63sjmuny.us-east-1.es.amazonaws.com/_plugin/kibana/#/discover/Steve-Slow-Train-Analysis-(2080s-and-2083s)?_g=(refreshInterval:(display:Off,section:0,value:0),time:(from:'2016-11-12 14:54:50-700',mode:absolute,to:'2016-11-12 17:37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4" s="105" t="str">
        <f t="shared" si="1"/>
        <v>"C:\Program Files (x86)\AstroGrep\AstroGrep.exe" /spath="%USERPROFILE%\AppData\Local\Temp\OnboardLogs" /stypes="*4011*201611122*" /stext=" 23:.+((SYSTEM_STATE.+slice.+state.+changed )|(ment ac)|(system.+state.+changed )|(\[timeout)|(PRM\|1\|D)|(kpr)|(kdp)|(\|lc)|(penalty))" /e /r /s</v>
      </c>
      <c r="U24" s="9" t="str">
        <f t="shared" si="2"/>
        <v>4011</v>
      </c>
      <c r="V24" s="36">
        <f t="shared" si="3"/>
        <v>42686.963356481479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{"issue":{"subject":"Early arrival","project_id":79,"tracker_id":40,"status_id":1,"priority_id":2,"assigned_to_id":23,"start_date":"2016-11-12","description":"","custom_fields":[{"id":1,"name":"Subdivision","value":"EC"},{"id":4,"name":"Milepost","value":"2.7053"},{"id":17,"name":"Train ID","value":"199-12"},{"id":16,"name":"Locomotive ID","value":"4011"},{"id":130,"name":"Impact","value":""},{"id":150,"name":"Time of Event (Mountain Time)","value":"16:07:14"},{"id":151,"name":"Denver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"%USERPROFILE%\AppData\Local\Temp\OnboardLogs"\RTDC4011\*4011*201611122*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"%USERPROFILE%\AppData\Local\Temp\OnboardLogs"\RTDC4011\*4011*201611122* &gt;&gt; 42686-slicedisagreementcheck.txt</v>
      </c>
    </row>
    <row r="25" spans="1:30" x14ac:dyDescent="0.25">
      <c r="A25" s="36">
        <v>42686.728391203702</v>
      </c>
      <c r="B25" s="31" t="s">
        <v>217</v>
      </c>
      <c r="C25" s="31" t="s">
        <v>437</v>
      </c>
      <c r="D25" s="31" t="s">
        <v>49</v>
      </c>
      <c r="E25" s="31" t="s">
        <v>209</v>
      </c>
      <c r="F25" s="47">
        <v>0</v>
      </c>
      <c r="G25" s="47">
        <v>500</v>
      </c>
      <c r="H25" s="47">
        <v>32694</v>
      </c>
      <c r="I25" s="47">
        <v>34356</v>
      </c>
      <c r="J25" s="31" t="s">
        <v>210</v>
      </c>
      <c r="K25" s="47">
        <v>33236</v>
      </c>
      <c r="L25" s="154" t="s">
        <v>50</v>
      </c>
      <c r="M25" s="155">
        <f t="shared" si="0"/>
        <v>-591.36</v>
      </c>
      <c r="N25" s="156" t="str">
        <f>VLOOKUP(C25,'Trips&amp;Operators'!$C$1:$E$99999,3,FALSE)</f>
        <v>MAHAN</v>
      </c>
      <c r="O25" s="183" t="s">
        <v>236</v>
      </c>
      <c r="P25" s="157" t="s">
        <v>761</v>
      </c>
      <c r="Q25" s="31"/>
      <c r="R25" s="100" t="str">
        <f>VLOOKUP(C25,'Train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25" s="103" t="str">
        <f>VLOOKUP(C25,'Train Runs'!$A$13:$AE$10001,22,0)</f>
        <v>https://search-rtdc-monitor-bjffxe2xuh6vdkpspy63sjmuny.us-east-1.es.amazonaws.com/_plugin/kibana/#/discover/Steve-Slow-Train-Analysis-(2080s-and-2083s)?_g=(refreshInterval:(display:Off,section:0,value:0),time:(from:'2016-11-12 16:17:35-700',mode:absolute,to:'2016-11-12 18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5" s="105" t="str">
        <f t="shared" si="1"/>
        <v>"C:\Program Files (x86)\AstroGrep\AstroGrep.exe" /spath="%USERPROFILE%\AppData\Local\Temp\OnboardLogs" /stypes="*4029*201611130*" /stext=" 00:.+((SYSTEM_STATE.+slice.+state.+changed )|(ment ac)|(system.+state.+changed )|(\[timeout)|(PRM\|1\|D)|(kpr)|(kdp)|(\|lc)|(penalty))" /e /r /s</v>
      </c>
      <c r="U25" s="9" t="str">
        <f t="shared" si="2"/>
        <v>4029</v>
      </c>
      <c r="V25" s="36">
        <f t="shared" si="3"/>
        <v>42687.020057870366</v>
      </c>
      <c r="W25" s="50" t="str">
        <f t="shared" si="4"/>
        <v>NW</v>
      </c>
      <c r="X25" s="50" t="str">
        <f t="shared" si="5"/>
        <v>KEEP</v>
      </c>
      <c r="Y25" s="119" t="str">
        <f t="shared" si="6"/>
        <v>echo {"issue":{"subject":"Wi-MAX data drop","project_id":79,"tracker_id":40,"status_id":1,"priority_id":2,"assigned_to_id":23,"start_date":"2016-11-12","description":"http://stevetu21.github.io/eaglep3/load_kml.html?kml=http://rtdc.gmaps-snips.s3.amazonaws.com/e03ef75c-ed73-478e-97c1-5a5b141d3608.kml","custom_fields":[{"id":1,"name":"Subdivision","value":"NW"},{"id":4,"name":"Milepost","value":"3.3236"},{"id":17,"name":"Train ID","value":"1823-12"},{"id":16,"name":"Locomotive ID","value":"4029"},{"id":130,"name":"Impact","value":"Enforcement"},{"id":150,"name":"Time of Event (Mountain Time)","value":"17:28:53"},{"id":151,"name":"Denver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184" t="s">
        <v>762</v>
      </c>
      <c r="AA25" s="53" t="s">
        <v>125</v>
      </c>
      <c r="AB25" s="53" t="s">
        <v>138</v>
      </c>
      <c r="AC25" s="138" t="str">
        <f t="shared" si="7"/>
        <v>grep -hSE -A100 "Enforcement Action" "%USERPROFILE%\AppData\Local\Temp\OnboardLogs"\RTDC4029\*4029*201611130*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"%USERPROFILE%\AppData\Local\Temp\OnboardLogs"\RTDC4029\*4029*201611130* &gt;&gt; 42686-slicedisagreementcheck.txt</v>
      </c>
    </row>
    <row r="26" spans="1:30" x14ac:dyDescent="0.25">
      <c r="A26" s="36">
        <v>42686.733935185184</v>
      </c>
      <c r="B26" s="31" t="s">
        <v>217</v>
      </c>
      <c r="C26" s="31" t="s">
        <v>437</v>
      </c>
      <c r="D26" s="31" t="s">
        <v>49</v>
      </c>
      <c r="E26" s="31" t="s">
        <v>211</v>
      </c>
      <c r="F26" s="47">
        <v>0</v>
      </c>
      <c r="G26" s="47">
        <v>55</v>
      </c>
      <c r="H26" s="47">
        <v>58909</v>
      </c>
      <c r="I26" s="47">
        <v>58975</v>
      </c>
      <c r="J26" s="31" t="s">
        <v>212</v>
      </c>
      <c r="K26" s="47">
        <v>59048</v>
      </c>
      <c r="L26" s="154" t="s">
        <v>50</v>
      </c>
      <c r="M26" s="155">
        <f t="shared" si="0"/>
        <v>38.543999999999997</v>
      </c>
      <c r="N26" s="156" t="str">
        <f>VLOOKUP(C26,'Trips&amp;Operators'!$C$1:$E$99999,3,FALSE)</f>
        <v>MAHAN</v>
      </c>
      <c r="O26" s="183" t="s">
        <v>206</v>
      </c>
      <c r="P26" s="157"/>
      <c r="Q26" s="31"/>
      <c r="R26" s="100" t="str">
        <f>VLOOKUP(C26,'Train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26" s="103" t="str">
        <f>VLOOKUP(C26,'Train Runs'!$A$13:$AE$10001,22,0)</f>
        <v>https://search-rtdc-monitor-bjffxe2xuh6vdkpspy63sjmuny.us-east-1.es.amazonaws.com/_plugin/kibana/#/discover/Steve-Slow-Train-Analysis-(2080s-and-2083s)?_g=(refreshInterval:(display:Off,section:0,value:0),time:(from:'2016-11-12 16:17:35-700',mode:absolute,to:'2016-11-12 18:36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6" s="105" t="str">
        <f t="shared" si="1"/>
        <v>"C:\Program Files (x86)\AstroGrep\AstroGrep.exe" /spath="%USERPROFILE%\AppData\Local\Temp\OnboardLogs" /stypes="*4029*201611130*" /stext=" 00:.+((SYSTEM_STATE.+slice.+state.+changed )|(ment ac)|(system.+state.+changed )|(\[timeout)|(PRM\|1\|D)|(kpr)|(kdp)|(\|lc)|(penalty))" /e /r /s</v>
      </c>
      <c r="U26" s="9" t="str">
        <f t="shared" si="2"/>
        <v>4029</v>
      </c>
      <c r="V26" s="36">
        <f t="shared" si="3"/>
        <v>42687.025601851848</v>
      </c>
      <c r="W26" s="50" t="str">
        <f t="shared" si="4"/>
        <v>NW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{"issue":{"subject":"","project_id":79,"tracker_id":40,"status_id":1,"priority_id":2,"assigned_to_id":23,"start_date":"2016-11-12","description":"","custom_fields":[{"id":1,"name":"Subdivision","value":"NW"},{"id":4,"name":"Milepost","value":"5.9048"},{"id":17,"name":"Train ID","value":"1823-12"},{"id":16,"name":"Locomotive ID","value":"4029"},{"id":130,"name":"Impact","value":""},{"id":150,"name":"Time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"%USERPROFILE%\AppData\Local\Temp\OnboardLogs"\RTDC4029\*4029*201611130*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"%USERPROFILE%\AppData\Local\Temp\OnboardLogs"\RTDC4029\*4029*201611130* &gt;&gt; 42686-slicedisagreementcheck.txt</v>
      </c>
    </row>
    <row r="27" spans="1:30" x14ac:dyDescent="0.25">
      <c r="A27" s="36">
        <v>42686.751875000002</v>
      </c>
      <c r="B27" s="31" t="s">
        <v>237</v>
      </c>
      <c r="C27" s="31" t="s">
        <v>438</v>
      </c>
      <c r="D27" s="31" t="s">
        <v>49</v>
      </c>
      <c r="E27" s="31" t="s">
        <v>211</v>
      </c>
      <c r="F27" s="47">
        <v>0</v>
      </c>
      <c r="G27" s="47">
        <v>17</v>
      </c>
      <c r="H27" s="47">
        <v>880</v>
      </c>
      <c r="I27" s="47">
        <v>859</v>
      </c>
      <c r="J27" s="31" t="s">
        <v>212</v>
      </c>
      <c r="K27" s="47">
        <v>826</v>
      </c>
      <c r="L27" s="154" t="s">
        <v>51</v>
      </c>
      <c r="M27" s="155">
        <f t="shared" si="0"/>
        <v>17.423999999999999</v>
      </c>
      <c r="N27" s="156" t="str">
        <f>VLOOKUP(C27,'Trips&amp;Operators'!$C$1:$E$99999,3,FALSE)</f>
        <v>BRANDNER</v>
      </c>
      <c r="O27" s="183" t="s">
        <v>206</v>
      </c>
      <c r="P27" s="157"/>
      <c r="Q27" s="31"/>
      <c r="R27" s="100" t="str">
        <f>VLOOKUP(C27,'Train Runs'!$A$13:$AE$10001,31,0)</f>
        <v>aws s3 cp s3://rtdc.mdm.uploadarchive.raw/RTDC4004/ "%USERPROFILE%\AppData\Local\Temp\OnboardLogs"\RTDC4004\2016-11-12 --exclude "*" --recursive --include "*20161112*" &amp; "%USERPROFILE%\Documents\GitHub\mrs-test-scripts\Headless Mode &amp; Sideloading\WalkAndUnGZ.bat" "%USERPROFILE%\AppData\Local\Temp\OnboardLogs"\RTDC4004\2016-11-12 &amp; aws s3 cp s3://rtdc.mdm.uploadarchive.raw/RTDC4004/ "%USERPROFILE%\AppData\Local\Temp\OnboardLogs"\RTDC4004\2016-11-13 --exclude "*" --recursive --include "*20161113*" &amp; "%USERPROFILE%\Documents\GitHub\mrs-test-scripts\Headless Mode &amp; Sideloading\WalkAndUnGZ.bat" "%USERPROFILE%\AppData\Local\Temp\OnboardLogs"\RTDC4004\2016-11-13</v>
      </c>
      <c r="S27" s="103" t="str">
        <f>VLOOKUP(C27,'Train Runs'!$A$13:$AE$10001,22,0)</f>
        <v>https://search-rtdc-monitor-bjffxe2xuh6vdkpspy63sjmuny.us-east-1.es.amazonaws.com/_plugin/kibana/#/discover/Steve-Slow-Train-Analysis-(2080s-and-2083s)?_g=(refreshInterval:(display:Off,section:0,value:0),time:(from:'2016-11-12 16:51:05-700',mode:absolute,to:'2016-11-12 19:02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7" s="105" t="str">
        <f t="shared" si="1"/>
        <v>"C:\Program Files (x86)\AstroGrep\AstroGrep.exe" /spath="%USERPROFILE%\AppData\Local\Temp\OnboardLogs" /stypes="*4004*201611130*" /stext=" 01:.+((SYSTEM_STATE.+slice.+state.+changed )|(ment ac)|(system.+state.+changed )|(\[timeout)|(PRM\|1\|D)|(kpr)|(kdp)|(\|lc)|(penalty))" /e /r /s</v>
      </c>
      <c r="U27" s="9" t="str">
        <f t="shared" si="2"/>
        <v>4004</v>
      </c>
      <c r="V27" s="36">
        <f t="shared" si="3"/>
        <v>42687.043541666666</v>
      </c>
      <c r="W27" s="50" t="str">
        <f t="shared" si="4"/>
        <v>Other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{"issue":{"subject":"","project_id":79,"tracker_id":40,"status_id":1,"priority_id":2,"assigned_to_id":23,"start_date":"2016-11-12","description":"","custom_fields":[{"id":1,"name":"Subdivision","value":"Other"},{"id":4,"name":"Milepost","value":"0.0826"},{"id":17,"name":"Train ID","value":"66-12"},{"id":16,"name":"Locomotive ID","value":"4004"},{"id":130,"name":"Impact","value":""},{"id":150,"name":"Time of Event (Mountain Time)","value":"18:02:42"},{"id":151,"name":"Denver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"%USERPROFILE%\AppData\Local\Temp\OnboardLogs"\RTDC4004\*4004*201611130*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"%USERPROFILE%\AppData\Local\Temp\OnboardLogs"\RTDC4004\*4004*201611130* &gt;&gt; 42686-slicedisagreementcheck.txt</v>
      </c>
    </row>
    <row r="28" spans="1:30" x14ac:dyDescent="0.25">
      <c r="A28" s="36">
        <v>42686.816284722219</v>
      </c>
      <c r="B28" s="31" t="s">
        <v>439</v>
      </c>
      <c r="C28" s="31" t="s">
        <v>440</v>
      </c>
      <c r="D28" s="31" t="s">
        <v>49</v>
      </c>
      <c r="E28" s="31" t="s">
        <v>211</v>
      </c>
      <c r="F28" s="47">
        <v>0</v>
      </c>
      <c r="G28" s="47">
        <v>50</v>
      </c>
      <c r="H28" s="47">
        <v>149</v>
      </c>
      <c r="I28" s="47">
        <v>97</v>
      </c>
      <c r="J28" s="31" t="s">
        <v>212</v>
      </c>
      <c r="K28" s="47">
        <v>1</v>
      </c>
      <c r="L28" s="154" t="s">
        <v>51</v>
      </c>
      <c r="M28" s="155">
        <f t="shared" si="0"/>
        <v>50.688000000000002</v>
      </c>
      <c r="N28" s="156" t="str">
        <f>VLOOKUP(C28,'Trips&amp;Operators'!$C$1:$E$99999,3,FALSE)</f>
        <v>STORY</v>
      </c>
      <c r="O28" s="183" t="s">
        <v>206</v>
      </c>
      <c r="P28" s="157"/>
      <c r="Q28" s="31"/>
      <c r="R28" s="100" t="str">
        <f>VLOOKUP(C28,'Train Runs'!$A$13:$AE$10001,31,0)</f>
        <v>aws s3 cp s3://rtdc.mdm.uploadarchive.raw/RTDC4013/ "%USERPROFILE%\AppData\Local\Temp\OnboardLogs"\RTDC4013\2016-11-12 --exclude "*" --recursive --include "*20161112*" &amp; "%USERPROFILE%\Documents\GitHub\mrs-test-scripts\Headless Mode &amp; Sideloading\WalkAndUnGZ.bat" "%USERPROFILE%\AppData\Local\Temp\OnboardLogs"\RTDC4013\2016-11-12 &amp; aws s3 cp s3://rtdc.mdm.uploadarchive.raw/RTDC4013/ "%USERPROFILE%\AppData\Local\Temp\OnboardLogs"\RTDC4013\2016-11-13 --exclude "*" --recursive --include "*20161113*" &amp; "%USERPROFILE%\Documents\GitHub\mrs-test-scripts\Headless Mode &amp; Sideloading\WalkAndUnGZ.bat" "%USERPROFILE%\AppData\Local\Temp\OnboardLogs"\RTDC4013\2016-11-13</v>
      </c>
      <c r="S28" s="103" t="str">
        <f>VLOOKUP(C28,'Train Runs'!$A$13:$AE$10001,22,0)</f>
        <v>https://search-rtdc-monitor-bjffxe2xuh6vdkpspy63sjmuny.us-east-1.es.amazonaws.com/_plugin/kibana/#/discover/Steve-Slow-Train-Analysis-(2080s-and-2083s)?_g=(refreshInterval:(display:Off,section:0,value:0),time:(from:'2016-11-12 17:48:35-700',mode:absolute,to:'2016-11-12 20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8" s="105" t="str">
        <f t="shared" si="1"/>
        <v>"C:\Program Files (x86)\AstroGrep\AstroGrep.exe" /spath="%USERPROFILE%\AppData\Local\Temp\OnboardLogs" /stypes="*4013*201611130*" /stext=" 02:.+((SYSTEM_STATE.+slice.+state.+changed )|(ment ac)|(system.+state.+changed )|(\[timeout)|(PRM\|1\|D)|(kpr)|(kdp)|(\|lc)|(penalty))" /e /r /s</v>
      </c>
      <c r="U28" s="9" t="str">
        <f t="shared" si="2"/>
        <v>4013</v>
      </c>
      <c r="V28" s="36">
        <f t="shared" si="3"/>
        <v>42687.107951388884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{"issue":{"subject":"","project_id":79,"tracker_id":40,"status_id":1,"priority_id":2,"assigned_to_id":23,"start_date":"2016-11-12","description":"","custom_fields":[{"id":1,"name":"Subdivision","value":"EC"},{"id":4,"name":"Milepost","value":"0.0001"},{"id":17,"name":"Train ID","value":"216-12"},{"id":16,"name":"Locomotive ID","value":"4013"},{"id":130,"name":"Impact","value":""},{"id":150,"name":"Time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"%USERPROFILE%\AppData\Local\Temp\OnboardLogs"\RTDC4013\*4013*201611130*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"%USERPROFILE%\AppData\Local\Temp\OnboardLogs"\RTDC4013\*4013*201611130* &gt;&gt; 42686-slicedisagreementcheck.txt</v>
      </c>
    </row>
    <row r="29" spans="1:30" x14ac:dyDescent="0.25">
      <c r="A29" s="36">
        <v>42686.85328703704</v>
      </c>
      <c r="B29" s="31" t="s">
        <v>251</v>
      </c>
      <c r="C29" s="31" t="s">
        <v>441</v>
      </c>
      <c r="D29" s="31" t="s">
        <v>98</v>
      </c>
      <c r="E29" s="31" t="s">
        <v>207</v>
      </c>
      <c r="F29" s="47">
        <v>550</v>
      </c>
      <c r="G29" s="47">
        <v>601</v>
      </c>
      <c r="H29" s="47">
        <v>222270</v>
      </c>
      <c r="I29" s="47">
        <v>220062</v>
      </c>
      <c r="J29" s="31" t="s">
        <v>208</v>
      </c>
      <c r="K29" s="47">
        <v>224578</v>
      </c>
      <c r="L29" s="154" t="s">
        <v>51</v>
      </c>
      <c r="M29" s="155">
        <f t="shared" si="0"/>
        <v>-2384.4479999999999</v>
      </c>
      <c r="N29" s="156" t="str">
        <f>VLOOKUP(C29,'Trips&amp;Operators'!$C$1:$E$99999,3,FALSE)</f>
        <v>NEWELL</v>
      </c>
      <c r="O29" s="183" t="s">
        <v>206</v>
      </c>
      <c r="P29" s="157"/>
      <c r="Q29" s="31"/>
      <c r="R29" s="100" t="str">
        <f>VLOOKUP(C29,'Train Runs'!$A$13:$AE$10001,31,0)</f>
        <v>aws s3 cp s3://rtdc.mdm.uploadarchive.raw/RTDC4012/ "%USERPROFILE%\AppData\Local\Temp\OnboardLogs"\RTDC4012\2016-11-12 --exclude "*" --recursive --include "*20161112*" &amp; "%USERPROFILE%\Documents\GitHub\mrs-test-scripts\Headless Mode &amp; Sideloading\WalkAndUnGZ.bat" "%USERPROFILE%\AppData\Local\Temp\OnboardLogs"\RTDC4012\2016-11-12 &amp; aws s3 cp s3://rtdc.mdm.uploadarchive.raw/RTDC4012/ "%USERPROFILE%\AppData\Local\Temp\OnboardLogs"\RTDC4012\2016-11-13 --exclude "*" --recursive --include "*20161113*" &amp; "%USERPROFILE%\Documents\GitHub\mrs-test-scripts\Headless Mode &amp; Sideloading\WalkAndUnGZ.bat" "%USERPROFILE%\AppData\Local\Temp\OnboardLogs"\RTDC4012\2016-11-13</v>
      </c>
      <c r="S29" s="103" t="str">
        <f>VLOOKUP(C29,'Train Runs'!$A$13:$AE$10001,22,0)</f>
        <v>https://search-rtdc-monitor-bjffxe2xuh6vdkpspy63sjmuny.us-east-1.es.amazonaws.com/_plugin/kibana/#/discover/Steve-Slow-Train-Analysis-(2080s-and-2083s)?_g=(refreshInterval:(display:Off,section:0,value:0),time:(from:'2016-11-12 19:06:43-700',mode:absolute,to:'2016-11-12 22:03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 t="shared" si="1"/>
        <v>"C:\Program Files (x86)\AstroGrep\AstroGrep.exe" /spath="%USERPROFILE%\AppData\Local\Temp\OnboardLogs" /stypes="*4012*201611130*" /stext=" 03:.+((SYSTEM_STATE.+slice.+state.+changed )|(ment ac)|(system.+state.+changed )|(\[timeout)|(PRM\|1\|D)|(kpr)|(kdp)|(\|lc)|(penalty))" /e /r /s</v>
      </c>
      <c r="U29" s="9" t="str">
        <f t="shared" si="2"/>
        <v>4012</v>
      </c>
      <c r="V29" s="36">
        <f t="shared" si="3"/>
        <v>42687.144953703704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{"issue":{"subject":"","project_id":79,"tracker_id":40,"status_id":1,"priority_id":2,"assigned_to_id":23,"start_date":"2016-11-12","description":"","custom_fields":[{"id":1,"name":"Subdivision","value":"EC"},{"id":4,"name":"Milepost","value":"22.4578"},{"id":17,"name":"Train ID","value":"224-12"},{"id":16,"name":"Locomotive ID","value":"4012"},{"id":130,"name":"Impact","value":""},{"id":150,"name":"Time of Event (Mountain Time)","value":"20:28:44"},{"id":151,"name":"Denver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"%USERPROFILE%\AppData\Local\Temp\OnboardLogs"\RTDC4012\*4012*201611130*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"%USERPROFILE%\AppData\Local\Temp\OnboardLogs"\RTDC4012\*4012*201611130* &gt;&gt; 42686-slicedisagreementcheck.txt</v>
      </c>
    </row>
    <row r="30" spans="1:30" ht="15" customHeight="1" x14ac:dyDescent="0.25">
      <c r="A30" s="36">
        <v>42686.858067129629</v>
      </c>
      <c r="B30" s="31" t="s">
        <v>217</v>
      </c>
      <c r="C30" s="31" t="s">
        <v>442</v>
      </c>
      <c r="D30" s="31" t="s">
        <v>49</v>
      </c>
      <c r="E30" s="31" t="s">
        <v>211</v>
      </c>
      <c r="F30" s="47">
        <v>0</v>
      </c>
      <c r="G30" s="47">
        <v>106</v>
      </c>
      <c r="H30" s="47">
        <v>58626</v>
      </c>
      <c r="I30" s="47">
        <v>58743</v>
      </c>
      <c r="J30" s="31" t="s">
        <v>212</v>
      </c>
      <c r="K30" s="47">
        <v>59048</v>
      </c>
      <c r="L30" s="154" t="s">
        <v>50</v>
      </c>
      <c r="M30" s="155">
        <f t="shared" si="0"/>
        <v>161.04</v>
      </c>
      <c r="N30" s="156" t="str">
        <f>VLOOKUP(C30,'Trips&amp;Operators'!$C$1:$E$99999,3,FALSE)</f>
        <v>MAHAN</v>
      </c>
      <c r="O30" s="183" t="s">
        <v>206</v>
      </c>
      <c r="P30" s="157"/>
      <c r="Q30" s="31"/>
      <c r="R30" s="100" t="str">
        <f>VLOOKUP(C30,'Train Runs'!$A$13:$AE$10001,31,0)</f>
        <v>aws s3 cp s3://rtdc.mdm.uploadarchive.raw/RTDC4029/ "%USERPROFILE%\AppData\Local\Temp\OnboardLogs"\RTDC4029\2016-11-12 --exclude "*" --recursive --include "*20161112*" &amp; "%USERPROFILE%\Documents\GitHub\mrs-test-scripts\Headless Mode &amp; Sideloading\WalkAndUnGZ.bat" "%USERPROFILE%\AppData\Local\Temp\OnboardLogs"\RTDC4029\2016-11-12 &amp; aws s3 cp s3://rtdc.mdm.uploadarchive.raw/RTDC4029/ "%USERPROFILE%\AppData\Local\Temp\OnboardLogs"\RTDC4029\2016-11-13 --exclude "*" --recursive --include "*20161113*" &amp; "%USERPROFILE%\Documents\GitHub\mrs-test-scripts\Headless Mode &amp; Sideloading\WalkAndUnGZ.bat" "%USERPROFILE%\AppData\Local\Temp\OnboardLogs"\RTDC4029\2016-11-13</v>
      </c>
      <c r="S30" s="103" t="str">
        <f>VLOOKUP(C30,'Train Runs'!$A$13:$AE$10001,22,0)</f>
        <v>https://search-rtdc-monitor-bjffxe2xuh6vdkpspy63sjmuny.us-east-1.es.amazonaws.com/_plugin/kibana/#/discover/Steve-Slow-Train-Analysis-(2080s-and-2083s)?_g=(refreshInterval:(display:Off,section:0,value:0),time:(from:'2016-11-12 19:18:15-700',mode:absolute,to:'2016-11-12 21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0" s="105" t="str">
        <f t="shared" si="1"/>
        <v>"C:\Program Files (x86)\AstroGrep\AstroGrep.exe" /spath="%USERPROFILE%\AppData\Local\Temp\OnboardLogs" /stypes="*4029*201611130*" /stext=" 03:.+((SYSTEM_STATE.+slice.+state.+changed )|(ment ac)|(system.+state.+changed )|(\[timeout)|(PRM\|1\|D)|(kpr)|(kdp)|(\|lc)|(penalty))" /e /r /s</v>
      </c>
      <c r="U30" s="9" t="str">
        <f t="shared" si="2"/>
        <v>4029</v>
      </c>
      <c r="V30" s="36">
        <f t="shared" si="3"/>
        <v>42687.149733796294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{"issue":{"subject":"","project_id":79,"tracker_id":40,"status_id":1,"priority_id":2,"assigned_to_id":23,"start_date":"2016-11-12","description":"","custom_fields":[{"id":1,"name":"Subdivision","value":"NW"},{"id":4,"name":"Milepost","value":"5.9048"},{"id":17,"name":"Train ID","value":"1829-12"},{"id":16,"name":"Locomotive ID","value":"4029"},{"id":130,"name":"Impact","value":""},{"id":150,"name":"Time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"%USERPROFILE%\AppData\Local\Temp\OnboardLogs"\RTDC4029\*4029*201611130*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"%USERPROFILE%\AppData\Local\Temp\OnboardLogs"\RTDC4029\*4029*201611130* &gt;&gt; 42686-slicedisagreementcheck.txt</v>
      </c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D31" s="1"/>
    </row>
    <row r="32" spans="1:30" ht="15" customHeight="1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D32" s="1"/>
    </row>
    <row r="33" spans="1:30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D33" s="1"/>
    </row>
    <row r="34" spans="1:30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D34" s="1"/>
    </row>
    <row r="35" spans="1:30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D35" s="1"/>
    </row>
    <row r="36" spans="1:30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D36" s="1"/>
    </row>
    <row r="37" spans="1:30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D37" s="1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D38" s="1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D39" s="1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D40" s="1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D41" s="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D42" s="1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D43" s="1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43">
    <sortState ref="A7:AC43">
      <sortCondition ref="V6:V4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 O7:O30">
    <cfRule type="cellIs" dxfId="2" priority="36" operator="equal">
      <formula>"Y"</formula>
    </cfRule>
  </conditionalFormatting>
  <conditionalFormatting sqref="O2:O3">
    <cfRule type="cellIs" dxfId="1" priority="27" operator="equal">
      <formula>"Y"</formula>
    </cfRule>
  </conditionalFormatting>
  <conditionalFormatting sqref="A7:P30">
    <cfRule type="expression" dxfId="0" priority="20">
      <formula>$O7="Y"</formula>
    </cfRule>
  </conditionalFormatting>
  <hyperlinks>
    <hyperlink ref="Z16" r:id="rId1"/>
    <hyperlink ref="Z25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2016-11-12</v>
      </c>
      <c r="C1" s="186"/>
      <c r="D1" s="186"/>
      <c r="E1" s="186"/>
      <c r="F1" s="186"/>
    </row>
    <row r="2" spans="1:11" s="24" customFormat="1" ht="45" x14ac:dyDescent="0.25">
      <c r="A2" s="178" t="s">
        <v>155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9"/>
      <c r="B3" s="47" t="str">
        <f>A3&amp;"-"&amp;IF(DAY(Variables!$A$2)&lt;10,0,"")&amp;DAY(Variables!$A$2)</f>
        <v>-12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1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3" s="31" t="e">
        <f>VLOOKUP(B3,'Train Runs'!$A$13:$A$99998,1,FALSE)</f>
        <v>#N/A</v>
      </c>
      <c r="K3" s="31" t="e">
        <f t="shared" ref="K3:K11" si="1">IF(VLOOKUP(A3,$K$46:$K$69,1,FALSE),"Cancelled")</f>
        <v>#N/A</v>
      </c>
    </row>
    <row r="4" spans="1:11" s="21" customFormat="1" x14ac:dyDescent="0.25">
      <c r="A4" s="179"/>
      <c r="B4" s="47" t="str">
        <f>A4&amp;"-"&amp;IF(DAY(Variables!$A$2)&lt;10,0,"")&amp;DAY(Variables!$A$2)</f>
        <v>-12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4" s="31" t="e">
        <f>VLOOKUP(B4,'Train Runs'!$A$13:$A$99998,1,FALSE)</f>
        <v>#N/A</v>
      </c>
      <c r="K4" s="31" t="e">
        <f t="shared" ref="K4" si="3">IF(VLOOKUP(A4,$K$46:$K$69,1,FALSE),"Cancelled")</f>
        <v>#N/A</v>
      </c>
    </row>
    <row r="5" spans="1:11" x14ac:dyDescent="0.25">
      <c r="A5" s="179"/>
      <c r="B5" s="47" t="str">
        <f>A5&amp;"-"&amp;IF(DAY(Variables!$A$2)&lt;10,0,"")&amp;DAY(Variables!$A$2)</f>
        <v>-12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5" s="31" t="e">
        <f>VLOOKUP(B5,'Train Runs'!$A$13:$A$99998,1,FALSE)</f>
        <v>#N/A</v>
      </c>
      <c r="K5" s="31" t="e">
        <f t="shared" si="1"/>
        <v>#N/A</v>
      </c>
    </row>
    <row r="6" spans="1:11" x14ac:dyDescent="0.25">
      <c r="A6" s="179"/>
      <c r="B6" s="47" t="str">
        <f>A6&amp;"-"&amp;IF(DAY(Variables!$A$2)&lt;10,0,"")&amp;DAY(Variables!$A$2)</f>
        <v>-12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6" s="31" t="e">
        <f>VLOOKUP(B6,'Train Runs'!$A$13:$A$99998,1,FALSE)</f>
        <v>#N/A</v>
      </c>
      <c r="K6" s="31" t="e">
        <f t="shared" si="1"/>
        <v>#N/A</v>
      </c>
    </row>
    <row r="7" spans="1:11" x14ac:dyDescent="0.25">
      <c r="A7" s="179"/>
      <c r="B7" s="47" t="str">
        <f>A7&amp;"-"&amp;IF(DAY(Variables!$A$2)&lt;10,0,"")&amp;DAY(Variables!$A$2)</f>
        <v>-12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7" s="31" t="e">
        <f>VLOOKUP(B7,'Train Runs'!$A$13:$A$99998,1,FALSE)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-12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8" s="31" t="e">
        <f>VLOOKUP(B8,'Train Runs'!$A$13:$A$99998,1,FALSE)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-12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9" s="31" t="e">
        <f>VLOOKUP(B9,'Train Runs'!$A$13:$A$99998,1,FALSE)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-12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0" s="31" t="e">
        <f>VLOOKUP(B10,'Train Runs'!$A$13:$A$99998,1,FALSE)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-12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1" s="31" t="e">
        <f>VLOOKUP(B11,'Train Runs'!$A$13:$A$99998,1,FALSE)</f>
        <v>#N/A</v>
      </c>
      <c r="K11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181</v>
      </c>
      <c r="B1" s="21" t="s">
        <v>182</v>
      </c>
      <c r="C1" s="21" t="s">
        <v>0</v>
      </c>
      <c r="D1" s="21" t="s">
        <v>183</v>
      </c>
      <c r="E1" s="21" t="s">
        <v>184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42685.993368055555</v>
      </c>
      <c r="B2" s="21" t="s">
        <v>237</v>
      </c>
      <c r="C2" s="21" t="s">
        <v>380</v>
      </c>
      <c r="D2" s="21">
        <v>1300000</v>
      </c>
      <c r="E2" s="21" t="s">
        <v>113</v>
      </c>
      <c r="F2" s="21" t="str">
        <f t="shared" ref="F2:F65" si="0">B2</f>
        <v>rtdc.l.rtdc.4004:itc</v>
      </c>
      <c r="G2" s="8">
        <f t="shared" ref="G2:G65" si="1">A2</f>
        <v>42685.993368055555</v>
      </c>
    </row>
    <row r="3" spans="1:7" x14ac:dyDescent="0.25">
      <c r="A3" s="8">
        <v>42685.997523148151</v>
      </c>
      <c r="B3" s="21" t="s">
        <v>226</v>
      </c>
      <c r="C3" s="21" t="s">
        <v>381</v>
      </c>
      <c r="D3" s="21">
        <v>1800000</v>
      </c>
      <c r="E3" s="21" t="s">
        <v>363</v>
      </c>
      <c r="F3" s="21" t="str">
        <f t="shared" si="0"/>
        <v>rtdc.l.rtdc.4040:itc</v>
      </c>
      <c r="G3" s="8">
        <f t="shared" si="1"/>
        <v>42685.997523148151</v>
      </c>
    </row>
    <row r="4" spans="1:7" x14ac:dyDescent="0.25">
      <c r="A4" s="8">
        <v>42686.003379629627</v>
      </c>
      <c r="B4" s="21" t="s">
        <v>187</v>
      </c>
      <c r="C4" s="21" t="s">
        <v>382</v>
      </c>
      <c r="D4" s="21">
        <v>2000000</v>
      </c>
      <c r="E4" s="21" t="s">
        <v>244</v>
      </c>
      <c r="F4" s="21" t="str">
        <f t="shared" si="0"/>
        <v>rtdc.l.rtdc.4009:itc</v>
      </c>
      <c r="G4" s="8">
        <f t="shared" si="1"/>
        <v>42686.003379629627</v>
      </c>
    </row>
    <row r="5" spans="1:7" x14ac:dyDescent="0.25">
      <c r="A5" s="8">
        <v>42686.013796296298</v>
      </c>
      <c r="B5" s="21" t="s">
        <v>235</v>
      </c>
      <c r="C5" s="21" t="s">
        <v>383</v>
      </c>
      <c r="D5" s="21">
        <v>1230000</v>
      </c>
      <c r="E5" s="21" t="s">
        <v>264</v>
      </c>
      <c r="F5" s="21" t="str">
        <f t="shared" si="0"/>
        <v>rtdc.l.rtdc.4032:itc</v>
      </c>
      <c r="G5" s="8">
        <f t="shared" si="1"/>
        <v>42686.013796296298</v>
      </c>
    </row>
    <row r="6" spans="1:7" x14ac:dyDescent="0.25">
      <c r="A6" s="8">
        <v>42686.033252314817</v>
      </c>
      <c r="B6" s="21" t="s">
        <v>234</v>
      </c>
      <c r="C6" s="21" t="s">
        <v>384</v>
      </c>
      <c r="D6" s="21">
        <v>1800000</v>
      </c>
      <c r="E6" s="21" t="s">
        <v>363</v>
      </c>
      <c r="F6" s="21" t="str">
        <f t="shared" si="0"/>
        <v>rtdc.l.rtdc.4039:itc</v>
      </c>
      <c r="G6" s="8">
        <f t="shared" si="1"/>
        <v>42686.033252314817</v>
      </c>
    </row>
    <row r="7" spans="1:7" x14ac:dyDescent="0.25">
      <c r="A7" s="8">
        <v>42686.037164351852</v>
      </c>
      <c r="B7" s="21" t="s">
        <v>231</v>
      </c>
      <c r="C7" s="21" t="s">
        <v>385</v>
      </c>
      <c r="D7" s="21">
        <v>1300000</v>
      </c>
      <c r="E7" s="21" t="s">
        <v>113</v>
      </c>
      <c r="F7" s="21" t="str">
        <f t="shared" si="0"/>
        <v>rtdc.l.rtdc.4003:itc</v>
      </c>
      <c r="G7" s="8">
        <f t="shared" si="1"/>
        <v>42686.037164351852</v>
      </c>
    </row>
    <row r="8" spans="1:7" x14ac:dyDescent="0.25">
      <c r="A8" s="8">
        <v>42686.045624999999</v>
      </c>
      <c r="B8" s="21" t="s">
        <v>248</v>
      </c>
      <c r="C8" s="21" t="s">
        <v>386</v>
      </c>
      <c r="D8" s="21">
        <v>1230000</v>
      </c>
      <c r="E8" s="21" t="s">
        <v>264</v>
      </c>
      <c r="F8" s="21" t="str">
        <f t="shared" si="0"/>
        <v>rtdc.l.rtdc.4031:itc</v>
      </c>
      <c r="G8" s="8">
        <f t="shared" si="1"/>
        <v>42686.045624999999</v>
      </c>
    </row>
    <row r="9" spans="1:7" ht="15.75" thickBot="1" x14ac:dyDescent="0.3">
      <c r="A9" s="25">
        <v>42686.052118055559</v>
      </c>
      <c r="B9" s="21" t="s">
        <v>286</v>
      </c>
      <c r="C9" s="21" t="s">
        <v>387</v>
      </c>
      <c r="D9" s="21">
        <v>2000000</v>
      </c>
      <c r="E9" s="21" t="s">
        <v>244</v>
      </c>
      <c r="F9" s="21" t="str">
        <f t="shared" si="0"/>
        <v>rtdc.l.rtdc.4010:itc</v>
      </c>
      <c r="G9" s="8">
        <f t="shared" si="1"/>
        <v>42686.052118055559</v>
      </c>
    </row>
    <row r="10" spans="1:7" x14ac:dyDescent="0.25">
      <c r="A10" s="8">
        <v>42686.068854166668</v>
      </c>
      <c r="B10" s="21" t="s">
        <v>226</v>
      </c>
      <c r="C10" s="21" t="s">
        <v>388</v>
      </c>
      <c r="D10" s="21">
        <v>1800000</v>
      </c>
      <c r="E10" s="21" t="s">
        <v>363</v>
      </c>
      <c r="F10" s="21" t="str">
        <f t="shared" si="0"/>
        <v>rtdc.l.rtdc.4040:itc</v>
      </c>
      <c r="G10" s="8">
        <f t="shared" si="1"/>
        <v>42686.068854166668</v>
      </c>
    </row>
    <row r="11" spans="1:7" x14ac:dyDescent="0.25">
      <c r="A11" s="8">
        <v>42686.077430555553</v>
      </c>
      <c r="B11" s="21" t="s">
        <v>237</v>
      </c>
      <c r="C11" s="21" t="s">
        <v>407</v>
      </c>
      <c r="D11" s="21">
        <v>1300000</v>
      </c>
      <c r="E11" s="21" t="s">
        <v>113</v>
      </c>
      <c r="F11" s="21" t="str">
        <f t="shared" si="0"/>
        <v>rtdc.l.rtdc.4004:itc</v>
      </c>
      <c r="G11" s="8">
        <f t="shared" si="1"/>
        <v>42686.077430555553</v>
      </c>
    </row>
    <row r="12" spans="1:7" x14ac:dyDescent="0.25">
      <c r="A12" s="8">
        <v>42686.087557870371</v>
      </c>
      <c r="B12" s="21" t="s">
        <v>187</v>
      </c>
      <c r="C12" s="21" t="s">
        <v>443</v>
      </c>
      <c r="D12" s="21">
        <v>2000000</v>
      </c>
      <c r="E12" s="21" t="s">
        <v>244</v>
      </c>
      <c r="F12" s="21" t="str">
        <f t="shared" si="0"/>
        <v>rtdc.l.rtdc.4009:itc</v>
      </c>
      <c r="G12" s="8">
        <f t="shared" si="1"/>
        <v>42686.087557870371</v>
      </c>
    </row>
    <row r="13" spans="1:7" x14ac:dyDescent="0.25">
      <c r="A13" s="8">
        <v>42686.108263888891</v>
      </c>
      <c r="B13" s="21" t="s">
        <v>231</v>
      </c>
      <c r="C13" s="21" t="s">
        <v>411</v>
      </c>
      <c r="D13" s="21">
        <v>1300000</v>
      </c>
      <c r="E13" s="21" t="s">
        <v>113</v>
      </c>
      <c r="F13" s="21" t="str">
        <f t="shared" si="0"/>
        <v>rtdc.l.rtdc.4003:itc</v>
      </c>
      <c r="G13" s="8">
        <f t="shared" si="1"/>
        <v>42686.108263888891</v>
      </c>
    </row>
    <row r="14" spans="1:7" x14ac:dyDescent="0.25">
      <c r="A14" s="8">
        <v>42686.125810185185</v>
      </c>
      <c r="B14" s="21" t="s">
        <v>289</v>
      </c>
      <c r="C14" s="21" t="s">
        <v>444</v>
      </c>
      <c r="D14" s="21">
        <v>1360000</v>
      </c>
      <c r="E14" s="21" t="s">
        <v>359</v>
      </c>
      <c r="F14" s="21" t="str">
        <f t="shared" si="0"/>
        <v>rtdc.l.rtdc.4021:itc</v>
      </c>
      <c r="G14" s="8">
        <f t="shared" si="1"/>
        <v>42686.125810185185</v>
      </c>
    </row>
    <row r="15" spans="1:7" x14ac:dyDescent="0.25">
      <c r="A15" s="8">
        <v>42686.134699074071</v>
      </c>
      <c r="B15" s="21" t="s">
        <v>307</v>
      </c>
      <c r="C15" s="21" t="s">
        <v>445</v>
      </c>
      <c r="D15" s="21">
        <v>1360000</v>
      </c>
      <c r="E15" s="21" t="s">
        <v>359</v>
      </c>
      <c r="F15" s="21" t="str">
        <f t="shared" si="0"/>
        <v>rtdc.l.rtdc.4038:itc</v>
      </c>
      <c r="G15" s="8">
        <f t="shared" si="1"/>
        <v>42686.134699074071</v>
      </c>
    </row>
    <row r="16" spans="1:7" x14ac:dyDescent="0.25">
      <c r="A16" s="8">
        <v>42686.140821759262</v>
      </c>
      <c r="B16" s="21" t="s">
        <v>439</v>
      </c>
      <c r="C16" s="21" t="s">
        <v>446</v>
      </c>
      <c r="D16" s="21">
        <v>1780000</v>
      </c>
      <c r="E16" s="21" t="s">
        <v>447</v>
      </c>
      <c r="F16" s="21" t="str">
        <f t="shared" si="0"/>
        <v>rtdc.l.rtdc.4013:itc</v>
      </c>
      <c r="G16" s="8">
        <f t="shared" si="1"/>
        <v>42686.140821759262</v>
      </c>
    </row>
    <row r="17" spans="1:7" x14ac:dyDescent="0.25">
      <c r="A17" s="8">
        <v>42686.151504629626</v>
      </c>
      <c r="B17" s="21" t="s">
        <v>221</v>
      </c>
      <c r="C17" s="21" t="s">
        <v>448</v>
      </c>
      <c r="D17" s="21">
        <v>1780000</v>
      </c>
      <c r="E17" s="21" t="s">
        <v>447</v>
      </c>
      <c r="F17" s="21" t="str">
        <f t="shared" si="0"/>
        <v>rtdc.l.rtdc.4011:itc</v>
      </c>
      <c r="G17" s="8">
        <f t="shared" si="1"/>
        <v>42686.151504629626</v>
      </c>
    </row>
    <row r="18" spans="1:7" x14ac:dyDescent="0.25">
      <c r="A18" s="8">
        <v>42686.162928240738</v>
      </c>
      <c r="B18" s="21" t="s">
        <v>272</v>
      </c>
      <c r="C18" s="21" t="s">
        <v>419</v>
      </c>
      <c r="D18" s="21">
        <v>1260000</v>
      </c>
      <c r="E18" s="21" t="s">
        <v>449</v>
      </c>
      <c r="F18" s="21" t="str">
        <f t="shared" si="0"/>
        <v>rtdc.l.rtdc.4015:itc</v>
      </c>
      <c r="G18" s="8">
        <f t="shared" si="1"/>
        <v>42686.162928240738</v>
      </c>
    </row>
    <row r="19" spans="1:7" x14ac:dyDescent="0.25">
      <c r="A19" s="8">
        <v>42686.163622685184</v>
      </c>
      <c r="B19" s="21" t="s">
        <v>289</v>
      </c>
      <c r="C19" s="21" t="s">
        <v>450</v>
      </c>
      <c r="D19" s="21">
        <v>1360000</v>
      </c>
      <c r="E19" s="21" t="s">
        <v>359</v>
      </c>
      <c r="F19" s="21" t="str">
        <f t="shared" si="0"/>
        <v>rtdc.l.rtdc.4021:itc</v>
      </c>
      <c r="G19" s="8">
        <f t="shared" si="1"/>
        <v>42686.163622685184</v>
      </c>
    </row>
    <row r="20" spans="1:7" x14ac:dyDescent="0.25">
      <c r="A20" s="8">
        <v>42686.164293981485</v>
      </c>
      <c r="B20" s="21" t="s">
        <v>272</v>
      </c>
      <c r="C20" s="21" t="s">
        <v>419</v>
      </c>
      <c r="D20" s="21">
        <v>1260000</v>
      </c>
      <c r="E20" s="21" t="s">
        <v>449</v>
      </c>
      <c r="F20" s="21" t="str">
        <f t="shared" si="0"/>
        <v>rtdc.l.rtdc.4015:itc</v>
      </c>
      <c r="G20" s="8">
        <f t="shared" si="1"/>
        <v>42686.164293981485</v>
      </c>
    </row>
    <row r="21" spans="1:7" x14ac:dyDescent="0.25">
      <c r="A21" s="8">
        <v>42686.172175925924</v>
      </c>
      <c r="B21" s="21" t="s">
        <v>285</v>
      </c>
      <c r="C21" s="21" t="s">
        <v>451</v>
      </c>
      <c r="D21" s="21">
        <v>1990000</v>
      </c>
      <c r="E21" s="21" t="s">
        <v>357</v>
      </c>
      <c r="F21" s="21" t="str">
        <f t="shared" si="0"/>
        <v>rtdc.l.rtdc.4026:itc</v>
      </c>
      <c r="G21" s="8">
        <f t="shared" si="1"/>
        <v>42686.172175925924</v>
      </c>
    </row>
    <row r="22" spans="1:7" x14ac:dyDescent="0.25">
      <c r="A22" s="27">
        <v>42686.173564814817</v>
      </c>
      <c r="B22" s="21" t="s">
        <v>285</v>
      </c>
      <c r="C22" s="21" t="s">
        <v>451</v>
      </c>
      <c r="D22" s="21">
        <v>1990000</v>
      </c>
      <c r="E22" s="21" t="s">
        <v>357</v>
      </c>
      <c r="F22" s="21" t="str">
        <f t="shared" si="0"/>
        <v>rtdc.l.rtdc.4026:itc</v>
      </c>
      <c r="G22" s="8">
        <f t="shared" si="1"/>
        <v>42686.173564814817</v>
      </c>
    </row>
    <row r="23" spans="1:7" x14ac:dyDescent="0.25">
      <c r="A23" s="8">
        <v>42686.174837962964</v>
      </c>
      <c r="B23" s="21" t="s">
        <v>285</v>
      </c>
      <c r="C23" s="21" t="s">
        <v>451</v>
      </c>
      <c r="D23" s="21">
        <v>1990000</v>
      </c>
      <c r="E23" s="21" t="s">
        <v>357</v>
      </c>
      <c r="F23" s="21" t="str">
        <f t="shared" si="0"/>
        <v>rtdc.l.rtdc.4026:itc</v>
      </c>
      <c r="G23" s="8">
        <f t="shared" si="1"/>
        <v>42686.174837962964</v>
      </c>
    </row>
    <row r="24" spans="1:7" x14ac:dyDescent="0.25">
      <c r="A24" s="8">
        <v>42686.174907407411</v>
      </c>
      <c r="B24" s="21" t="s">
        <v>306</v>
      </c>
      <c r="C24" s="21" t="s">
        <v>452</v>
      </c>
      <c r="D24" s="21">
        <v>1260000</v>
      </c>
      <c r="E24" s="21" t="s">
        <v>449</v>
      </c>
      <c r="F24" s="21" t="str">
        <f t="shared" si="0"/>
        <v>rtdc.l.rtdc.4053:itc</v>
      </c>
      <c r="G24" s="8">
        <f t="shared" si="1"/>
        <v>42686.174907407411</v>
      </c>
    </row>
    <row r="25" spans="1:7" x14ac:dyDescent="0.25">
      <c r="A25" s="8">
        <v>42686.179050925923</v>
      </c>
      <c r="B25" s="21" t="s">
        <v>242</v>
      </c>
      <c r="C25" s="21" t="s">
        <v>453</v>
      </c>
      <c r="D25" s="21">
        <v>2030000</v>
      </c>
      <c r="E25" s="21" t="s">
        <v>454</v>
      </c>
      <c r="F25" s="21" t="str">
        <f t="shared" si="0"/>
        <v>rtdc.l.rtdc.4041:itc</v>
      </c>
      <c r="G25" s="8">
        <f t="shared" si="1"/>
        <v>42686.179050925923</v>
      </c>
    </row>
    <row r="26" spans="1:7" x14ac:dyDescent="0.25">
      <c r="A26" s="8">
        <v>42686.183807870373</v>
      </c>
      <c r="B26" s="21" t="s">
        <v>249</v>
      </c>
      <c r="C26" s="21" t="s">
        <v>455</v>
      </c>
      <c r="D26" s="21">
        <v>1990000</v>
      </c>
      <c r="E26" s="21" t="s">
        <v>357</v>
      </c>
      <c r="F26" s="21" t="str">
        <f t="shared" si="0"/>
        <v>rtdc.l.rtdc.4025:itc</v>
      </c>
      <c r="G26" s="8">
        <f t="shared" si="1"/>
        <v>42686.183807870373</v>
      </c>
    </row>
    <row r="27" spans="1:7" x14ac:dyDescent="0.25">
      <c r="A27" s="8">
        <v>42686.186319444445</v>
      </c>
      <c r="B27" s="21" t="s">
        <v>249</v>
      </c>
      <c r="C27" s="21" t="s">
        <v>455</v>
      </c>
      <c r="D27" s="21">
        <v>1990000</v>
      </c>
      <c r="E27" s="21" t="s">
        <v>357</v>
      </c>
      <c r="F27" s="21" t="str">
        <f t="shared" si="0"/>
        <v>rtdc.l.rtdc.4025:itc</v>
      </c>
      <c r="G27" s="8">
        <f t="shared" si="1"/>
        <v>42686.186319444445</v>
      </c>
    </row>
    <row r="28" spans="1:7" x14ac:dyDescent="0.25">
      <c r="A28" s="8">
        <v>42686.187824074077</v>
      </c>
      <c r="B28" s="21" t="s">
        <v>243</v>
      </c>
      <c r="C28" s="21" t="s">
        <v>456</v>
      </c>
      <c r="D28" s="21">
        <v>2030000</v>
      </c>
      <c r="E28" s="21" t="s">
        <v>454</v>
      </c>
      <c r="F28" s="21" t="str">
        <f t="shared" si="0"/>
        <v>rtdc.l.rtdc.4042:itc</v>
      </c>
      <c r="G28" s="8">
        <f t="shared" si="1"/>
        <v>42686.187824074077</v>
      </c>
    </row>
    <row r="29" spans="1:7" x14ac:dyDescent="0.25">
      <c r="A29" s="8">
        <v>42686.191458333335</v>
      </c>
      <c r="B29" s="21" t="s">
        <v>439</v>
      </c>
      <c r="C29" s="21" t="s">
        <v>457</v>
      </c>
      <c r="D29" s="21">
        <v>1780000</v>
      </c>
      <c r="E29" s="21" t="s">
        <v>447</v>
      </c>
      <c r="F29" s="21" t="str">
        <f t="shared" si="0"/>
        <v>rtdc.l.rtdc.4013:itc</v>
      </c>
      <c r="G29" s="8">
        <f t="shared" si="1"/>
        <v>42686.191458333335</v>
      </c>
    </row>
    <row r="30" spans="1:7" x14ac:dyDescent="0.25">
      <c r="A30" s="8">
        <v>42686.203287037039</v>
      </c>
      <c r="B30" s="21" t="s">
        <v>287</v>
      </c>
      <c r="C30" s="21" t="s">
        <v>458</v>
      </c>
      <c r="D30" s="21">
        <v>1360000</v>
      </c>
      <c r="E30" s="21" t="s">
        <v>359</v>
      </c>
      <c r="F30" s="21" t="str">
        <f t="shared" si="0"/>
        <v>rtdc.l.rtdc.4022:itc</v>
      </c>
      <c r="G30" s="8">
        <f t="shared" si="1"/>
        <v>42686.203287037039</v>
      </c>
    </row>
    <row r="31" spans="1:7" x14ac:dyDescent="0.25">
      <c r="A31" s="8">
        <v>42686.203344907408</v>
      </c>
      <c r="B31" s="21" t="s">
        <v>307</v>
      </c>
      <c r="C31" s="21" t="s">
        <v>459</v>
      </c>
      <c r="D31" s="21">
        <v>1100000</v>
      </c>
      <c r="E31" s="21" t="s">
        <v>314</v>
      </c>
      <c r="F31" s="21" t="str">
        <f t="shared" si="0"/>
        <v>rtdc.l.rtdc.4038:itc</v>
      </c>
      <c r="G31" s="8">
        <f t="shared" si="1"/>
        <v>42686.203344907408</v>
      </c>
    </row>
    <row r="32" spans="1:7" x14ac:dyDescent="0.25">
      <c r="A32" s="8">
        <v>42686.209594907406</v>
      </c>
      <c r="B32" s="21" t="s">
        <v>272</v>
      </c>
      <c r="C32" s="21" t="s">
        <v>420</v>
      </c>
      <c r="D32" s="21">
        <v>1260000</v>
      </c>
      <c r="E32" s="21" t="s">
        <v>449</v>
      </c>
      <c r="F32" s="21" t="str">
        <f t="shared" si="0"/>
        <v>rtdc.l.rtdc.4015:itc</v>
      </c>
      <c r="G32" s="8">
        <f t="shared" si="1"/>
        <v>42686.209594907406</v>
      </c>
    </row>
    <row r="33" spans="1:7" x14ac:dyDescent="0.25">
      <c r="A33" s="8">
        <v>42686.216990740744</v>
      </c>
      <c r="B33" s="21" t="s">
        <v>217</v>
      </c>
      <c r="C33" s="21" t="s">
        <v>460</v>
      </c>
      <c r="D33" s="21">
        <v>2100000</v>
      </c>
      <c r="E33" s="21" t="s">
        <v>312</v>
      </c>
      <c r="F33" s="21" t="str">
        <f t="shared" si="0"/>
        <v>rtdc.l.rtdc.4029:itc</v>
      </c>
      <c r="G33" s="8">
        <f t="shared" si="1"/>
        <v>42686.216990740744</v>
      </c>
    </row>
    <row r="34" spans="1:7" x14ac:dyDescent="0.25">
      <c r="A34" s="8">
        <v>42686.217592592591</v>
      </c>
      <c r="B34" s="21" t="s">
        <v>217</v>
      </c>
      <c r="C34" s="21" t="s">
        <v>460</v>
      </c>
      <c r="D34" s="21">
        <v>2100000</v>
      </c>
      <c r="E34" s="21" t="s">
        <v>312</v>
      </c>
      <c r="F34" s="21" t="str">
        <f t="shared" si="0"/>
        <v>rtdc.l.rtdc.4029:itc</v>
      </c>
      <c r="G34" s="8">
        <f t="shared" si="1"/>
        <v>42686.217592592591</v>
      </c>
    </row>
    <row r="35" spans="1:7" x14ac:dyDescent="0.25">
      <c r="A35" s="8">
        <v>42686.222500000003</v>
      </c>
      <c r="B35" s="21" t="s">
        <v>285</v>
      </c>
      <c r="C35" s="21" t="s">
        <v>461</v>
      </c>
      <c r="D35" s="21">
        <v>1990000</v>
      </c>
      <c r="E35" s="21" t="s">
        <v>357</v>
      </c>
      <c r="F35" s="21" t="str">
        <f t="shared" si="0"/>
        <v>rtdc.l.rtdc.4026:itc</v>
      </c>
      <c r="G35" s="8">
        <f t="shared" si="1"/>
        <v>42686.222500000003</v>
      </c>
    </row>
    <row r="36" spans="1:7" x14ac:dyDescent="0.25">
      <c r="A36" s="8">
        <v>42686.224074074074</v>
      </c>
      <c r="B36" s="21" t="s">
        <v>221</v>
      </c>
      <c r="C36" s="21" t="s">
        <v>462</v>
      </c>
      <c r="D36" s="21">
        <v>1760000</v>
      </c>
      <c r="E36" s="21" t="s">
        <v>358</v>
      </c>
      <c r="F36" s="21" t="str">
        <f t="shared" si="0"/>
        <v>rtdc.l.rtdc.4011:itc</v>
      </c>
      <c r="G36" s="8">
        <f t="shared" si="1"/>
        <v>42686.224074074074</v>
      </c>
    </row>
    <row r="37" spans="1:7" x14ac:dyDescent="0.25">
      <c r="A37" s="8">
        <v>42686.225439814814</v>
      </c>
      <c r="B37" s="21" t="s">
        <v>218</v>
      </c>
      <c r="C37" s="21" t="s">
        <v>463</v>
      </c>
      <c r="D37" s="21">
        <v>2100000</v>
      </c>
      <c r="E37" s="21" t="s">
        <v>312</v>
      </c>
      <c r="F37" s="21" t="str">
        <f t="shared" si="0"/>
        <v>rtdc.l.rtdc.4030:itc</v>
      </c>
      <c r="G37" s="8">
        <f t="shared" si="1"/>
        <v>42686.225439814814</v>
      </c>
    </row>
    <row r="38" spans="1:7" x14ac:dyDescent="0.25">
      <c r="A38" s="8">
        <v>42686.230949074074</v>
      </c>
      <c r="B38" s="21" t="s">
        <v>429</v>
      </c>
      <c r="C38" s="21" t="s">
        <v>464</v>
      </c>
      <c r="D38" s="21">
        <v>1780000</v>
      </c>
      <c r="E38" s="21" t="s">
        <v>447</v>
      </c>
      <c r="F38" s="21" t="str">
        <f t="shared" si="0"/>
        <v>rtdc.l.rtdc.4014:itc</v>
      </c>
      <c r="G38" s="8">
        <f t="shared" si="1"/>
        <v>42686.230949074074</v>
      </c>
    </row>
    <row r="39" spans="1:7" x14ac:dyDescent="0.25">
      <c r="A39" s="8">
        <v>42686.231192129628</v>
      </c>
      <c r="B39" s="21" t="s">
        <v>242</v>
      </c>
      <c r="C39" s="21" t="s">
        <v>465</v>
      </c>
      <c r="D39" s="21">
        <v>2030000</v>
      </c>
      <c r="E39" s="21" t="s">
        <v>454</v>
      </c>
      <c r="F39" s="21" t="str">
        <f t="shared" si="0"/>
        <v>rtdc.l.rtdc.4041:itc</v>
      </c>
      <c r="G39" s="8">
        <f t="shared" si="1"/>
        <v>42686.231192129628</v>
      </c>
    </row>
    <row r="40" spans="1:7" x14ac:dyDescent="0.25">
      <c r="A40" s="8">
        <v>42686.239791666667</v>
      </c>
      <c r="B40" s="26" t="s">
        <v>221</v>
      </c>
      <c r="C40" s="21" t="s">
        <v>462</v>
      </c>
      <c r="D40" s="21">
        <v>1760000</v>
      </c>
      <c r="E40" s="21" t="s">
        <v>358</v>
      </c>
      <c r="F40" s="21" t="str">
        <f t="shared" si="0"/>
        <v>rtdc.l.rtdc.4011:itc</v>
      </c>
      <c r="G40" s="8">
        <f t="shared" si="1"/>
        <v>42686.239791666667</v>
      </c>
    </row>
    <row r="41" spans="1:7" x14ac:dyDescent="0.25">
      <c r="A41" s="8">
        <v>42686.243750000001</v>
      </c>
      <c r="B41" s="21" t="s">
        <v>313</v>
      </c>
      <c r="C41" s="21" t="s">
        <v>466</v>
      </c>
      <c r="D41" s="21">
        <v>1100000</v>
      </c>
      <c r="E41" s="21" t="s">
        <v>314</v>
      </c>
      <c r="F41" s="21" t="str">
        <f t="shared" si="0"/>
        <v>rtdc.l.rtdc.4037:itc</v>
      </c>
      <c r="G41" s="8">
        <f t="shared" si="1"/>
        <v>42686.243750000001</v>
      </c>
    </row>
    <row r="42" spans="1:7" x14ac:dyDescent="0.25">
      <c r="A42" s="8">
        <v>42686.246203703704</v>
      </c>
      <c r="B42" s="21" t="s">
        <v>289</v>
      </c>
      <c r="C42" s="21" t="s">
        <v>467</v>
      </c>
      <c r="D42" s="21">
        <v>1360000</v>
      </c>
      <c r="E42" s="21" t="s">
        <v>359</v>
      </c>
      <c r="F42" s="21" t="str">
        <f t="shared" si="0"/>
        <v>rtdc.l.rtdc.4021:itc</v>
      </c>
      <c r="G42" s="8">
        <f t="shared" si="1"/>
        <v>42686.246203703704</v>
      </c>
    </row>
    <row r="43" spans="1:7" x14ac:dyDescent="0.25">
      <c r="A43" s="8">
        <v>42686.246493055558</v>
      </c>
      <c r="B43" s="21" t="s">
        <v>306</v>
      </c>
      <c r="C43" s="21" t="s">
        <v>468</v>
      </c>
      <c r="D43" s="21">
        <v>1260000</v>
      </c>
      <c r="E43" s="21" t="s">
        <v>449</v>
      </c>
      <c r="F43" s="21" t="str">
        <f t="shared" si="0"/>
        <v>rtdc.l.rtdc.4053:itc</v>
      </c>
      <c r="G43" s="8">
        <f t="shared" si="1"/>
        <v>42686.246493055558</v>
      </c>
    </row>
    <row r="44" spans="1:7" x14ac:dyDescent="0.25">
      <c r="A44" s="8">
        <v>42686.257361111115</v>
      </c>
      <c r="B44" s="21" t="s">
        <v>249</v>
      </c>
      <c r="C44" s="21" t="s">
        <v>469</v>
      </c>
      <c r="D44" s="21">
        <v>1990000</v>
      </c>
      <c r="E44" s="21" t="s">
        <v>357</v>
      </c>
      <c r="F44" s="21" t="str">
        <f t="shared" si="0"/>
        <v>rtdc.l.rtdc.4025:itc</v>
      </c>
      <c r="G44" s="8">
        <f t="shared" si="1"/>
        <v>42686.257361111115</v>
      </c>
    </row>
    <row r="45" spans="1:7" x14ac:dyDescent="0.25">
      <c r="A45" s="8">
        <v>42686.258611111109</v>
      </c>
      <c r="B45" s="21" t="s">
        <v>217</v>
      </c>
      <c r="C45" s="21" t="s">
        <v>470</v>
      </c>
      <c r="D45" s="21">
        <v>2100000</v>
      </c>
      <c r="E45" s="21" t="s">
        <v>312</v>
      </c>
      <c r="F45" s="21" t="str">
        <f t="shared" si="0"/>
        <v>rtdc.l.rtdc.4029:itc</v>
      </c>
      <c r="G45" s="8">
        <f t="shared" si="1"/>
        <v>42686.258611111109</v>
      </c>
    </row>
    <row r="46" spans="1:7" x14ac:dyDescent="0.25">
      <c r="A46" s="8">
        <v>42686.264537037037</v>
      </c>
      <c r="B46" s="21" t="s">
        <v>251</v>
      </c>
      <c r="C46" s="21" t="s">
        <v>471</v>
      </c>
      <c r="D46" s="21">
        <v>1760000</v>
      </c>
      <c r="E46" s="21" t="s">
        <v>358</v>
      </c>
      <c r="F46" s="21" t="str">
        <f t="shared" si="0"/>
        <v>rtdc.l.rtdc.4012:itc</v>
      </c>
      <c r="G46" s="8">
        <f t="shared" si="1"/>
        <v>42686.264537037037</v>
      </c>
    </row>
    <row r="47" spans="1:7" x14ac:dyDescent="0.25">
      <c r="A47" s="8">
        <v>42686.264664351853</v>
      </c>
      <c r="B47" s="21" t="s">
        <v>243</v>
      </c>
      <c r="C47" s="21" t="s">
        <v>472</v>
      </c>
      <c r="D47" s="21">
        <v>2030000</v>
      </c>
      <c r="E47" s="21" t="s">
        <v>454</v>
      </c>
      <c r="F47" s="21" t="str">
        <f t="shared" si="0"/>
        <v>rtdc.l.rtdc.4042:itc</v>
      </c>
      <c r="G47" s="8">
        <f t="shared" si="1"/>
        <v>42686.264664351853</v>
      </c>
    </row>
    <row r="48" spans="1:7" x14ac:dyDescent="0.25">
      <c r="A48" s="8">
        <v>42686.274918981479</v>
      </c>
      <c r="B48" s="21" t="s">
        <v>439</v>
      </c>
      <c r="C48" s="21" t="s">
        <v>473</v>
      </c>
      <c r="D48" s="21">
        <v>1780000</v>
      </c>
      <c r="E48" s="21" t="s">
        <v>447</v>
      </c>
      <c r="F48" s="21" t="str">
        <f t="shared" si="0"/>
        <v>rtdc.l.rtdc.4013:itc</v>
      </c>
      <c r="G48" s="8">
        <f t="shared" si="1"/>
        <v>42686.274918981479</v>
      </c>
    </row>
    <row r="49" spans="1:7" x14ac:dyDescent="0.25">
      <c r="A49" s="8">
        <v>42686.275081018517</v>
      </c>
      <c r="B49" s="21" t="s">
        <v>218</v>
      </c>
      <c r="C49" s="21" t="s">
        <v>474</v>
      </c>
      <c r="D49" s="21">
        <v>2100000</v>
      </c>
      <c r="E49" s="21" t="s">
        <v>312</v>
      </c>
      <c r="F49" s="21" t="str">
        <f t="shared" si="0"/>
        <v>rtdc.l.rtdc.4030:itc</v>
      </c>
      <c r="G49" s="8">
        <f t="shared" si="1"/>
        <v>42686.275081018517</v>
      </c>
    </row>
    <row r="50" spans="1:7" x14ac:dyDescent="0.25">
      <c r="A50" s="8">
        <v>42686.275231481479</v>
      </c>
      <c r="B50" s="21" t="s">
        <v>307</v>
      </c>
      <c r="C50" s="21" t="s">
        <v>475</v>
      </c>
      <c r="D50" s="21">
        <v>1100000</v>
      </c>
      <c r="E50" s="21" t="s">
        <v>314</v>
      </c>
      <c r="F50" s="21" t="str">
        <f t="shared" si="0"/>
        <v>rtdc.l.rtdc.4038:itc</v>
      </c>
      <c r="G50" s="8">
        <f t="shared" si="1"/>
        <v>42686.275231481479</v>
      </c>
    </row>
    <row r="51" spans="1:7" x14ac:dyDescent="0.25">
      <c r="A51" s="8">
        <v>42686.28402777778</v>
      </c>
      <c r="B51" s="21" t="s">
        <v>305</v>
      </c>
      <c r="C51" s="21" t="s">
        <v>476</v>
      </c>
      <c r="D51" s="21">
        <v>1260000</v>
      </c>
      <c r="E51" s="21" t="s">
        <v>449</v>
      </c>
      <c r="F51" s="21" t="str">
        <f t="shared" si="0"/>
        <v>rtdc.l.rtdc.4054:itc</v>
      </c>
      <c r="G51" s="8">
        <f t="shared" si="1"/>
        <v>42686.28402777778</v>
      </c>
    </row>
    <row r="52" spans="1:7" x14ac:dyDescent="0.25">
      <c r="A52" s="8">
        <v>42686.286736111113</v>
      </c>
      <c r="B52" s="21" t="s">
        <v>287</v>
      </c>
      <c r="C52" s="21" t="s">
        <v>477</v>
      </c>
      <c r="D52" s="21">
        <v>1360000</v>
      </c>
      <c r="E52" s="21" t="s">
        <v>359</v>
      </c>
      <c r="F52" s="21" t="str">
        <f t="shared" si="0"/>
        <v>rtdc.l.rtdc.4022:itc</v>
      </c>
      <c r="G52" s="8">
        <f t="shared" si="1"/>
        <v>42686.286736111113</v>
      </c>
    </row>
    <row r="53" spans="1:7" x14ac:dyDescent="0.25">
      <c r="A53" s="8">
        <v>42686.297615740739</v>
      </c>
      <c r="B53" s="21" t="s">
        <v>221</v>
      </c>
      <c r="C53" s="21" t="s">
        <v>478</v>
      </c>
      <c r="D53" s="21">
        <v>1760000</v>
      </c>
      <c r="E53" s="21" t="s">
        <v>358</v>
      </c>
      <c r="F53" s="21" t="str">
        <f t="shared" si="0"/>
        <v>rtdc.l.rtdc.4011:itc</v>
      </c>
      <c r="G53" s="8">
        <f t="shared" si="1"/>
        <v>42686.297615740739</v>
      </c>
    </row>
    <row r="54" spans="1:7" x14ac:dyDescent="0.25">
      <c r="A54" s="8">
        <v>42686.298472222225</v>
      </c>
      <c r="B54" s="21" t="s">
        <v>285</v>
      </c>
      <c r="C54" s="21" t="s">
        <v>479</v>
      </c>
      <c r="D54" s="21">
        <v>1990000</v>
      </c>
      <c r="E54" s="21" t="s">
        <v>357</v>
      </c>
      <c r="F54" s="21" t="str">
        <f t="shared" si="0"/>
        <v>rtdc.l.rtdc.4026:itc</v>
      </c>
      <c r="G54" s="8">
        <f t="shared" si="1"/>
        <v>42686.298472222225</v>
      </c>
    </row>
    <row r="55" spans="1:7" x14ac:dyDescent="0.25">
      <c r="A55" s="8">
        <v>42686.301574074074</v>
      </c>
      <c r="B55" s="21" t="s">
        <v>242</v>
      </c>
      <c r="C55" s="21" t="s">
        <v>480</v>
      </c>
      <c r="D55" s="21">
        <v>2030000</v>
      </c>
      <c r="E55" s="21" t="s">
        <v>454</v>
      </c>
      <c r="F55" s="21" t="str">
        <f t="shared" si="0"/>
        <v>rtdc.l.rtdc.4041:itc</v>
      </c>
      <c r="G55" s="8">
        <f t="shared" si="1"/>
        <v>42686.301574074074</v>
      </c>
    </row>
    <row r="56" spans="1:7" x14ac:dyDescent="0.25">
      <c r="A56" s="8">
        <v>42686.301620370374</v>
      </c>
      <c r="B56" s="21" t="s">
        <v>217</v>
      </c>
      <c r="C56" s="21" t="s">
        <v>481</v>
      </c>
      <c r="D56" s="21">
        <v>2100000</v>
      </c>
      <c r="E56" s="21" t="s">
        <v>312</v>
      </c>
      <c r="F56" s="21" t="str">
        <f t="shared" si="0"/>
        <v>rtdc.l.rtdc.4029:itc</v>
      </c>
      <c r="G56" s="8">
        <f t="shared" si="1"/>
        <v>42686.301620370374</v>
      </c>
    </row>
    <row r="57" spans="1:7" x14ac:dyDescent="0.25">
      <c r="A57" s="8">
        <v>42686.307916666665</v>
      </c>
      <c r="B57" s="21" t="s">
        <v>429</v>
      </c>
      <c r="C57" s="21" t="s">
        <v>482</v>
      </c>
      <c r="D57" s="21">
        <v>1780000</v>
      </c>
      <c r="E57" s="21" t="s">
        <v>447</v>
      </c>
      <c r="F57" s="21" t="str">
        <f t="shared" si="0"/>
        <v>rtdc.l.rtdc.4014:itc</v>
      </c>
      <c r="G57" s="8">
        <f t="shared" si="1"/>
        <v>42686.307916666665</v>
      </c>
    </row>
    <row r="58" spans="1:7" x14ac:dyDescent="0.25">
      <c r="A58" s="8">
        <v>42686.316550925927</v>
      </c>
      <c r="B58" s="21" t="s">
        <v>218</v>
      </c>
      <c r="C58" s="21" t="s">
        <v>483</v>
      </c>
      <c r="D58" s="21">
        <v>2100000</v>
      </c>
      <c r="E58" s="21" t="s">
        <v>312</v>
      </c>
      <c r="F58" s="21" t="str">
        <f t="shared" si="0"/>
        <v>rtdc.l.rtdc.4030:itc</v>
      </c>
      <c r="G58" s="8">
        <f t="shared" si="1"/>
        <v>42686.316550925927</v>
      </c>
    </row>
    <row r="59" spans="1:7" x14ac:dyDescent="0.25">
      <c r="A59" s="8">
        <v>42686.316840277781</v>
      </c>
      <c r="B59" s="21" t="s">
        <v>313</v>
      </c>
      <c r="C59" s="21" t="s">
        <v>421</v>
      </c>
      <c r="D59" s="21">
        <v>1100000</v>
      </c>
      <c r="E59" s="21" t="s">
        <v>314</v>
      </c>
      <c r="F59" s="21" t="str">
        <f t="shared" si="0"/>
        <v>rtdc.l.rtdc.4037:itc</v>
      </c>
      <c r="G59" s="8">
        <f t="shared" si="1"/>
        <v>42686.316840277781</v>
      </c>
    </row>
    <row r="60" spans="1:7" x14ac:dyDescent="0.25">
      <c r="A60" s="8">
        <v>42686.317523148151</v>
      </c>
      <c r="B60" s="21" t="s">
        <v>306</v>
      </c>
      <c r="C60" s="21" t="s">
        <v>484</v>
      </c>
      <c r="D60" s="21">
        <v>1260000</v>
      </c>
      <c r="E60" s="21" t="s">
        <v>449</v>
      </c>
      <c r="F60" s="21" t="str">
        <f t="shared" si="0"/>
        <v>rtdc.l.rtdc.4053:itc</v>
      </c>
      <c r="G60" s="8">
        <f t="shared" si="1"/>
        <v>42686.317523148151</v>
      </c>
    </row>
    <row r="61" spans="1:7" x14ac:dyDescent="0.25">
      <c r="A61" s="8">
        <v>42686.317997685182</v>
      </c>
      <c r="B61" s="21" t="s">
        <v>289</v>
      </c>
      <c r="C61" s="21" t="s">
        <v>485</v>
      </c>
      <c r="D61" s="21">
        <v>1360000</v>
      </c>
      <c r="E61" s="21" t="s">
        <v>359</v>
      </c>
      <c r="F61" s="21" t="str">
        <f t="shared" si="0"/>
        <v>rtdc.l.rtdc.4021:itc</v>
      </c>
      <c r="G61" s="8">
        <f t="shared" si="1"/>
        <v>42686.317997685182</v>
      </c>
    </row>
    <row r="62" spans="1:7" x14ac:dyDescent="0.25">
      <c r="A62" s="8">
        <v>42686.328148148146</v>
      </c>
      <c r="B62" s="21" t="s">
        <v>249</v>
      </c>
      <c r="C62" s="21" t="s">
        <v>486</v>
      </c>
      <c r="D62" s="21">
        <v>1990000</v>
      </c>
      <c r="E62" s="21" t="s">
        <v>357</v>
      </c>
      <c r="F62" s="21" t="str">
        <f t="shared" si="0"/>
        <v>rtdc.l.rtdc.4025:itc</v>
      </c>
      <c r="G62" s="8">
        <f t="shared" si="1"/>
        <v>42686.328148148146</v>
      </c>
    </row>
    <row r="63" spans="1:7" x14ac:dyDescent="0.25">
      <c r="A63" s="8">
        <v>42686.337106481478</v>
      </c>
      <c r="B63" s="21" t="s">
        <v>251</v>
      </c>
      <c r="C63" s="21" t="s">
        <v>422</v>
      </c>
      <c r="D63" s="21">
        <v>1760000</v>
      </c>
      <c r="E63" s="21" t="s">
        <v>358</v>
      </c>
      <c r="F63" s="21" t="str">
        <f t="shared" si="0"/>
        <v>rtdc.l.rtdc.4012:itc</v>
      </c>
      <c r="G63" s="8">
        <f t="shared" si="1"/>
        <v>42686.337106481478</v>
      </c>
    </row>
    <row r="64" spans="1:7" x14ac:dyDescent="0.25">
      <c r="A64" s="27">
        <v>42686.34002314815</v>
      </c>
      <c r="B64" s="21" t="s">
        <v>243</v>
      </c>
      <c r="C64" s="21" t="s">
        <v>487</v>
      </c>
      <c r="D64" s="21">
        <v>2030000</v>
      </c>
      <c r="E64" s="21" t="s">
        <v>454</v>
      </c>
      <c r="F64" s="21" t="str">
        <f t="shared" si="0"/>
        <v>rtdc.l.rtdc.4042:itc</v>
      </c>
      <c r="G64" s="8">
        <f t="shared" si="1"/>
        <v>42686.34002314815</v>
      </c>
    </row>
    <row r="65" spans="1:7" x14ac:dyDescent="0.25">
      <c r="A65" s="8">
        <v>42686.344108796293</v>
      </c>
      <c r="B65" s="21" t="s">
        <v>217</v>
      </c>
      <c r="C65" s="21" t="s">
        <v>488</v>
      </c>
      <c r="D65" s="21">
        <v>2100000</v>
      </c>
      <c r="E65" s="21" t="s">
        <v>312</v>
      </c>
      <c r="F65" s="21" t="str">
        <f t="shared" si="0"/>
        <v>rtdc.l.rtdc.4029:itc</v>
      </c>
      <c r="G65" s="8">
        <f t="shared" si="1"/>
        <v>42686.344108796293</v>
      </c>
    </row>
    <row r="66" spans="1:7" x14ac:dyDescent="0.25">
      <c r="A66" s="8">
        <v>42686.345810185187</v>
      </c>
      <c r="B66" s="21" t="s">
        <v>439</v>
      </c>
      <c r="C66" s="21" t="s">
        <v>489</v>
      </c>
      <c r="D66" s="21">
        <v>1780000</v>
      </c>
      <c r="E66" s="21" t="s">
        <v>447</v>
      </c>
      <c r="F66" s="21" t="str">
        <f t="shared" ref="F66:F129" si="2">B66</f>
        <v>rtdc.l.rtdc.4013:itc</v>
      </c>
      <c r="G66" s="8">
        <f t="shared" ref="G66:G129" si="3">A66</f>
        <v>42686.345810185187</v>
      </c>
    </row>
    <row r="67" spans="1:7" x14ac:dyDescent="0.25">
      <c r="A67" s="8">
        <v>42686.349247685182</v>
      </c>
      <c r="B67" s="21" t="s">
        <v>307</v>
      </c>
      <c r="C67" s="21" t="s">
        <v>490</v>
      </c>
      <c r="D67" s="21">
        <v>1100000</v>
      </c>
      <c r="E67" s="21" t="s">
        <v>314</v>
      </c>
      <c r="F67" s="21" t="str">
        <f t="shared" si="2"/>
        <v>rtdc.l.rtdc.4038:itc</v>
      </c>
      <c r="G67" s="8">
        <f t="shared" si="3"/>
        <v>42686.349247685182</v>
      </c>
    </row>
    <row r="68" spans="1:7" x14ac:dyDescent="0.25">
      <c r="A68" s="8">
        <v>42686.355162037034</v>
      </c>
      <c r="B68" s="21" t="s">
        <v>305</v>
      </c>
      <c r="C68" s="21" t="s">
        <v>491</v>
      </c>
      <c r="D68" s="21">
        <v>1260000</v>
      </c>
      <c r="E68" s="21" t="s">
        <v>449</v>
      </c>
      <c r="F68" s="21" t="str">
        <f t="shared" si="2"/>
        <v>rtdc.l.rtdc.4054:itc</v>
      </c>
      <c r="G68" s="8">
        <f t="shared" si="3"/>
        <v>42686.355162037034</v>
      </c>
    </row>
    <row r="69" spans="1:7" x14ac:dyDescent="0.25">
      <c r="A69" s="8">
        <v>42686.357453703706</v>
      </c>
      <c r="B69" s="21" t="s">
        <v>287</v>
      </c>
      <c r="C69" s="21" t="s">
        <v>492</v>
      </c>
      <c r="D69" s="21">
        <v>1360000</v>
      </c>
      <c r="E69" s="21" t="s">
        <v>359</v>
      </c>
      <c r="F69" s="21" t="str">
        <f t="shared" si="2"/>
        <v>rtdc.l.rtdc.4022:itc</v>
      </c>
      <c r="G69" s="8">
        <f t="shared" si="3"/>
        <v>42686.357453703706</v>
      </c>
    </row>
    <row r="70" spans="1:7" x14ac:dyDescent="0.25">
      <c r="A70" s="8">
        <v>42686.358252314814</v>
      </c>
      <c r="B70" s="21" t="s">
        <v>218</v>
      </c>
      <c r="C70" s="21" t="s">
        <v>423</v>
      </c>
      <c r="D70" s="21">
        <v>2100000</v>
      </c>
      <c r="E70" s="21" t="s">
        <v>312</v>
      </c>
      <c r="F70" s="21" t="str">
        <f t="shared" si="2"/>
        <v>rtdc.l.rtdc.4030:itc</v>
      </c>
      <c r="G70" s="8">
        <f t="shared" si="3"/>
        <v>42686.358252314814</v>
      </c>
    </row>
    <row r="71" spans="1:7" x14ac:dyDescent="0.25">
      <c r="A71" s="8">
        <v>42686.37027777778</v>
      </c>
      <c r="B71" s="21" t="s">
        <v>285</v>
      </c>
      <c r="C71" s="21" t="s">
        <v>493</v>
      </c>
      <c r="D71" s="21">
        <v>1990000</v>
      </c>
      <c r="E71" s="21" t="s">
        <v>357</v>
      </c>
      <c r="F71" s="21" t="str">
        <f t="shared" si="2"/>
        <v>rtdc.l.rtdc.4026:itc</v>
      </c>
      <c r="G71" s="8">
        <f t="shared" si="3"/>
        <v>42686.37027777778</v>
      </c>
    </row>
    <row r="72" spans="1:7" x14ac:dyDescent="0.25">
      <c r="A72" s="8">
        <v>42686.370659722219</v>
      </c>
      <c r="B72" s="21" t="s">
        <v>221</v>
      </c>
      <c r="C72" s="21" t="s">
        <v>494</v>
      </c>
      <c r="D72" s="21">
        <v>1760000</v>
      </c>
      <c r="E72" s="21" t="s">
        <v>358</v>
      </c>
      <c r="F72" s="21" t="str">
        <f t="shared" si="2"/>
        <v>rtdc.l.rtdc.4011:itc</v>
      </c>
      <c r="G72" s="8">
        <f t="shared" si="3"/>
        <v>42686.370659722219</v>
      </c>
    </row>
    <row r="73" spans="1:7" x14ac:dyDescent="0.25">
      <c r="A73" s="8">
        <v>42686.374930555554</v>
      </c>
      <c r="B73" s="21" t="s">
        <v>242</v>
      </c>
      <c r="C73" s="21" t="s">
        <v>495</v>
      </c>
      <c r="D73" s="21">
        <v>2030000</v>
      </c>
      <c r="E73" s="21" t="s">
        <v>454</v>
      </c>
      <c r="F73" s="21" t="str">
        <f t="shared" si="2"/>
        <v>rtdc.l.rtdc.4041:itc</v>
      </c>
      <c r="G73" s="8">
        <f t="shared" si="3"/>
        <v>42686.374930555554</v>
      </c>
    </row>
    <row r="74" spans="1:7" x14ac:dyDescent="0.25">
      <c r="A74" s="8">
        <v>42686.382210648146</v>
      </c>
      <c r="B74" s="21" t="s">
        <v>429</v>
      </c>
      <c r="C74" s="21" t="s">
        <v>496</v>
      </c>
      <c r="D74" s="21">
        <v>1780000</v>
      </c>
      <c r="E74" s="21" t="s">
        <v>447</v>
      </c>
      <c r="F74" s="21" t="str">
        <f t="shared" si="2"/>
        <v>rtdc.l.rtdc.4014:itc</v>
      </c>
      <c r="G74" s="8">
        <f t="shared" si="3"/>
        <v>42686.382210648146</v>
      </c>
    </row>
    <row r="75" spans="1:7" x14ac:dyDescent="0.25">
      <c r="A75" s="8">
        <v>42686.383703703701</v>
      </c>
      <c r="B75" s="21" t="s">
        <v>217</v>
      </c>
      <c r="C75" s="21" t="s">
        <v>424</v>
      </c>
      <c r="D75" s="21">
        <v>2100000</v>
      </c>
      <c r="E75" s="21" t="s">
        <v>312</v>
      </c>
      <c r="F75" s="21" t="str">
        <f t="shared" si="2"/>
        <v>rtdc.l.rtdc.4029:itc</v>
      </c>
      <c r="G75" s="8">
        <f t="shared" si="3"/>
        <v>42686.383703703701</v>
      </c>
    </row>
    <row r="76" spans="1:7" x14ac:dyDescent="0.25">
      <c r="A76" s="8">
        <v>42686.389861111114</v>
      </c>
      <c r="B76" s="21" t="s">
        <v>306</v>
      </c>
      <c r="C76" s="21" t="s">
        <v>497</v>
      </c>
      <c r="D76" s="21">
        <v>1260000</v>
      </c>
      <c r="E76" s="21" t="s">
        <v>449</v>
      </c>
      <c r="F76" s="21" t="str">
        <f t="shared" si="2"/>
        <v>rtdc.l.rtdc.4053:itc</v>
      </c>
      <c r="G76" s="8">
        <f t="shared" si="3"/>
        <v>42686.389861111114</v>
      </c>
    </row>
    <row r="77" spans="1:7" x14ac:dyDescent="0.25">
      <c r="A77" s="8">
        <v>42686.390393518515</v>
      </c>
      <c r="B77" s="21" t="s">
        <v>313</v>
      </c>
      <c r="C77" s="21" t="s">
        <v>498</v>
      </c>
      <c r="D77" s="21">
        <v>1100000</v>
      </c>
      <c r="E77" s="21" t="s">
        <v>314</v>
      </c>
      <c r="F77" s="21" t="str">
        <f t="shared" si="2"/>
        <v>rtdc.l.rtdc.4037:itc</v>
      </c>
      <c r="G77" s="8">
        <f t="shared" si="3"/>
        <v>42686.390393518515</v>
      </c>
    </row>
    <row r="78" spans="1:7" x14ac:dyDescent="0.25">
      <c r="A78" s="8">
        <v>42686.390763888892</v>
      </c>
      <c r="B78" s="21" t="s">
        <v>289</v>
      </c>
      <c r="C78" s="21" t="s">
        <v>499</v>
      </c>
      <c r="D78" s="21">
        <v>1360000</v>
      </c>
      <c r="E78" s="21" t="s">
        <v>359</v>
      </c>
      <c r="F78" s="21" t="str">
        <f t="shared" si="2"/>
        <v>rtdc.l.rtdc.4021:itc</v>
      </c>
      <c r="G78" s="8">
        <f t="shared" si="3"/>
        <v>42686.390763888892</v>
      </c>
    </row>
    <row r="79" spans="1:7" x14ac:dyDescent="0.25">
      <c r="A79" s="8">
        <v>42686.400370370371</v>
      </c>
      <c r="B79" s="21" t="s">
        <v>218</v>
      </c>
      <c r="C79" s="21" t="s">
        <v>500</v>
      </c>
      <c r="D79" s="21">
        <v>2100000</v>
      </c>
      <c r="E79" s="21" t="s">
        <v>312</v>
      </c>
      <c r="F79" s="21" t="str">
        <f t="shared" si="2"/>
        <v>rtdc.l.rtdc.4030:itc</v>
      </c>
      <c r="G79" s="8">
        <f t="shared" si="3"/>
        <v>42686.400370370371</v>
      </c>
    </row>
    <row r="80" spans="1:7" x14ac:dyDescent="0.25">
      <c r="A80" s="8">
        <v>42686.402349537035</v>
      </c>
      <c r="B80" s="21" t="s">
        <v>249</v>
      </c>
      <c r="C80" s="21" t="s">
        <v>425</v>
      </c>
      <c r="D80" s="21">
        <v>1990000</v>
      </c>
      <c r="E80" s="21" t="s">
        <v>357</v>
      </c>
      <c r="F80" s="21" t="str">
        <f t="shared" si="2"/>
        <v>rtdc.l.rtdc.4025:itc</v>
      </c>
      <c r="G80" s="8">
        <f t="shared" si="3"/>
        <v>42686.402349537035</v>
      </c>
    </row>
    <row r="81" spans="1:7" x14ac:dyDescent="0.25">
      <c r="A81" s="8">
        <v>42686.40996527778</v>
      </c>
      <c r="B81" s="21" t="s">
        <v>251</v>
      </c>
      <c r="C81" s="21" t="s">
        <v>426</v>
      </c>
      <c r="D81" s="21">
        <v>1760000</v>
      </c>
      <c r="E81" s="21" t="s">
        <v>358</v>
      </c>
      <c r="F81" s="21" t="str">
        <f t="shared" si="2"/>
        <v>rtdc.l.rtdc.4012:itc</v>
      </c>
      <c r="G81" s="8">
        <f t="shared" si="3"/>
        <v>42686.40996527778</v>
      </c>
    </row>
    <row r="82" spans="1:7" x14ac:dyDescent="0.25">
      <c r="A82" s="8">
        <v>42686.410520833335</v>
      </c>
      <c r="B82" s="21" t="s">
        <v>243</v>
      </c>
      <c r="C82" s="21" t="s">
        <v>501</v>
      </c>
      <c r="D82" s="21">
        <v>2030000</v>
      </c>
      <c r="E82" s="21" t="s">
        <v>454</v>
      </c>
      <c r="F82" s="21" t="str">
        <f t="shared" si="2"/>
        <v>rtdc.l.rtdc.4042:itc</v>
      </c>
      <c r="G82" s="8">
        <f t="shared" si="3"/>
        <v>42686.410520833335</v>
      </c>
    </row>
    <row r="83" spans="1:7" x14ac:dyDescent="0.25">
      <c r="A83" s="8">
        <v>42686.42082175926</v>
      </c>
      <c r="B83" s="21" t="s">
        <v>439</v>
      </c>
      <c r="C83" s="21" t="s">
        <v>502</v>
      </c>
      <c r="D83" s="21">
        <v>1780000</v>
      </c>
      <c r="E83" s="21" t="s">
        <v>447</v>
      </c>
      <c r="F83" s="21" t="str">
        <f t="shared" si="2"/>
        <v>rtdc.l.rtdc.4013:itc</v>
      </c>
      <c r="G83" s="8">
        <f t="shared" si="3"/>
        <v>42686.42082175926</v>
      </c>
    </row>
    <row r="84" spans="1:7" x14ac:dyDescent="0.25">
      <c r="A84" s="8">
        <v>42686.421863425923</v>
      </c>
      <c r="B84" s="21" t="s">
        <v>307</v>
      </c>
      <c r="C84" s="21" t="s">
        <v>503</v>
      </c>
      <c r="D84" s="21">
        <v>1100000</v>
      </c>
      <c r="E84" s="21" t="s">
        <v>314</v>
      </c>
      <c r="F84" s="21" t="str">
        <f t="shared" si="2"/>
        <v>rtdc.l.rtdc.4038:itc</v>
      </c>
      <c r="G84" s="8">
        <f t="shared" si="3"/>
        <v>42686.421863425923</v>
      </c>
    </row>
    <row r="85" spans="1:7" x14ac:dyDescent="0.25">
      <c r="A85" s="8">
        <v>42686.427199074074</v>
      </c>
      <c r="B85" s="21" t="s">
        <v>217</v>
      </c>
      <c r="C85" s="21" t="s">
        <v>504</v>
      </c>
      <c r="D85" s="21">
        <v>2100000</v>
      </c>
      <c r="E85" s="21" t="s">
        <v>312</v>
      </c>
      <c r="F85" s="21" t="str">
        <f t="shared" si="2"/>
        <v>rtdc.l.rtdc.4029:itc</v>
      </c>
      <c r="G85" s="8">
        <f t="shared" si="3"/>
        <v>42686.427199074074</v>
      </c>
    </row>
    <row r="86" spans="1:7" x14ac:dyDescent="0.25">
      <c r="A86" s="8">
        <v>42686.4296412037</v>
      </c>
      <c r="B86" s="21" t="s">
        <v>305</v>
      </c>
      <c r="C86" s="21" t="s">
        <v>505</v>
      </c>
      <c r="D86" s="21">
        <v>1260000</v>
      </c>
      <c r="E86" s="21" t="s">
        <v>449</v>
      </c>
      <c r="F86" s="21" t="str">
        <f t="shared" si="2"/>
        <v>rtdc.l.rtdc.4054:itc</v>
      </c>
      <c r="G86" s="8">
        <f t="shared" si="3"/>
        <v>42686.4296412037</v>
      </c>
    </row>
    <row r="87" spans="1:7" x14ac:dyDescent="0.25">
      <c r="A87" s="8">
        <v>42686.432175925926</v>
      </c>
      <c r="B87" s="21" t="s">
        <v>287</v>
      </c>
      <c r="C87" s="21" t="s">
        <v>506</v>
      </c>
      <c r="D87" s="21">
        <v>930000</v>
      </c>
      <c r="E87" s="21" t="s">
        <v>360</v>
      </c>
      <c r="F87" s="21" t="str">
        <f t="shared" si="2"/>
        <v>rtdc.l.rtdc.4022:itc</v>
      </c>
      <c r="G87" s="8">
        <f t="shared" si="3"/>
        <v>42686.432175925926</v>
      </c>
    </row>
    <row r="88" spans="1:7" x14ac:dyDescent="0.25">
      <c r="A88" s="8">
        <v>42686.441504629627</v>
      </c>
      <c r="B88" s="21" t="s">
        <v>218</v>
      </c>
      <c r="C88" s="21" t="s">
        <v>507</v>
      </c>
      <c r="D88" s="21">
        <v>2100000</v>
      </c>
      <c r="E88" s="21" t="s">
        <v>312</v>
      </c>
      <c r="F88" s="21" t="str">
        <f t="shared" si="2"/>
        <v>rtdc.l.rtdc.4030:itc</v>
      </c>
      <c r="G88" s="8">
        <f t="shared" si="3"/>
        <v>42686.441504629627</v>
      </c>
    </row>
    <row r="89" spans="1:7" x14ac:dyDescent="0.25">
      <c r="A89" s="8">
        <v>42686.442152777781</v>
      </c>
      <c r="B89" s="21" t="s">
        <v>285</v>
      </c>
      <c r="C89" s="21" t="s">
        <v>508</v>
      </c>
      <c r="D89" s="21">
        <v>1990000</v>
      </c>
      <c r="E89" s="21" t="s">
        <v>357</v>
      </c>
      <c r="F89" s="21" t="str">
        <f t="shared" si="2"/>
        <v>rtdc.l.rtdc.4026:itc</v>
      </c>
      <c r="G89" s="8">
        <f t="shared" si="3"/>
        <v>42686.442152777781</v>
      </c>
    </row>
    <row r="90" spans="1:7" x14ac:dyDescent="0.25">
      <c r="A90" s="8">
        <v>42686.443865740737</v>
      </c>
      <c r="B90" s="21" t="s">
        <v>242</v>
      </c>
      <c r="C90" s="21" t="s">
        <v>509</v>
      </c>
      <c r="D90" s="21">
        <v>2030000</v>
      </c>
      <c r="E90" s="21" t="s">
        <v>454</v>
      </c>
      <c r="F90" s="21" t="str">
        <f t="shared" si="2"/>
        <v>rtdc.l.rtdc.4041:itc</v>
      </c>
      <c r="G90" s="8">
        <f t="shared" si="3"/>
        <v>42686.443865740737</v>
      </c>
    </row>
    <row r="91" spans="1:7" x14ac:dyDescent="0.25">
      <c r="A91" s="8">
        <v>42686.444293981483</v>
      </c>
      <c r="B91" s="21" t="s">
        <v>221</v>
      </c>
      <c r="C91" s="21" t="s">
        <v>427</v>
      </c>
      <c r="D91" s="21">
        <v>1760000</v>
      </c>
      <c r="E91" s="21" t="s">
        <v>358</v>
      </c>
      <c r="F91" s="21" t="str">
        <f t="shared" si="2"/>
        <v>rtdc.l.rtdc.4011:itc</v>
      </c>
      <c r="G91" s="8">
        <f t="shared" si="3"/>
        <v>42686.444293981483</v>
      </c>
    </row>
    <row r="92" spans="1:7" x14ac:dyDescent="0.25">
      <c r="A92" s="8">
        <v>42686.452986111108</v>
      </c>
      <c r="B92" s="21" t="s">
        <v>429</v>
      </c>
      <c r="C92" s="21" t="s">
        <v>510</v>
      </c>
      <c r="D92" s="21">
        <v>880000</v>
      </c>
      <c r="E92" s="21" t="s">
        <v>511</v>
      </c>
      <c r="F92" s="21" t="str">
        <f t="shared" si="2"/>
        <v>rtdc.l.rtdc.4014:itc</v>
      </c>
      <c r="G92" s="8">
        <f t="shared" si="3"/>
        <v>42686.452986111108</v>
      </c>
    </row>
    <row r="93" spans="1:7" x14ac:dyDescent="0.25">
      <c r="A93" s="8">
        <v>42686.462222222224</v>
      </c>
      <c r="B93" s="21" t="s">
        <v>313</v>
      </c>
      <c r="C93" s="21" t="s">
        <v>512</v>
      </c>
      <c r="D93" s="21">
        <v>1100000</v>
      </c>
      <c r="E93" s="21" t="s">
        <v>314</v>
      </c>
      <c r="F93" s="21" t="str">
        <f t="shared" si="2"/>
        <v>rtdc.l.rtdc.4037:itc</v>
      </c>
      <c r="G93" s="8">
        <f t="shared" si="3"/>
        <v>42686.462222222224</v>
      </c>
    </row>
    <row r="94" spans="1:7" x14ac:dyDescent="0.25">
      <c r="A94" s="8">
        <v>42686.464398148149</v>
      </c>
      <c r="B94" s="21" t="s">
        <v>306</v>
      </c>
      <c r="C94" s="21" t="s">
        <v>513</v>
      </c>
      <c r="D94" s="21">
        <v>1280000</v>
      </c>
      <c r="E94" s="21" t="s">
        <v>514</v>
      </c>
      <c r="F94" s="21" t="str">
        <f t="shared" si="2"/>
        <v>rtdc.l.rtdc.4053:itc</v>
      </c>
      <c r="G94" s="8">
        <f t="shared" si="3"/>
        <v>42686.464398148149</v>
      </c>
    </row>
    <row r="95" spans="1:7" x14ac:dyDescent="0.25">
      <c r="A95" s="8">
        <v>42686.469502314816</v>
      </c>
      <c r="B95" s="21" t="s">
        <v>217</v>
      </c>
      <c r="C95" s="21" t="s">
        <v>515</v>
      </c>
      <c r="D95" s="21">
        <v>2100000</v>
      </c>
      <c r="E95" s="21" t="s">
        <v>312</v>
      </c>
      <c r="F95" s="21" t="str">
        <f t="shared" si="2"/>
        <v>rtdc.l.rtdc.4029:itc</v>
      </c>
      <c r="G95" s="8">
        <f t="shared" si="3"/>
        <v>42686.469502314816</v>
      </c>
    </row>
    <row r="96" spans="1:7" x14ac:dyDescent="0.25">
      <c r="A96" s="8">
        <v>42686.471932870372</v>
      </c>
      <c r="B96" s="21" t="s">
        <v>289</v>
      </c>
      <c r="C96" s="21" t="s">
        <v>516</v>
      </c>
      <c r="D96" s="21">
        <v>930000</v>
      </c>
      <c r="E96" s="21" t="s">
        <v>360</v>
      </c>
      <c r="F96" s="21" t="str">
        <f t="shared" si="2"/>
        <v>rtdc.l.rtdc.4021:itc</v>
      </c>
      <c r="G96" s="8">
        <f t="shared" si="3"/>
        <v>42686.471932870372</v>
      </c>
    </row>
    <row r="97" spans="1:7" x14ac:dyDescent="0.25">
      <c r="A97" s="8">
        <v>42686.477986111109</v>
      </c>
      <c r="B97" s="21" t="s">
        <v>249</v>
      </c>
      <c r="C97" s="21" t="s">
        <v>517</v>
      </c>
      <c r="D97" s="21">
        <v>2040000</v>
      </c>
      <c r="E97" s="21" t="s">
        <v>290</v>
      </c>
      <c r="F97" s="21" t="str">
        <f t="shared" si="2"/>
        <v>rtdc.l.rtdc.4025:itc</v>
      </c>
      <c r="G97" s="8">
        <f t="shared" si="3"/>
        <v>42686.477986111109</v>
      </c>
    </row>
    <row r="98" spans="1:7" x14ac:dyDescent="0.25">
      <c r="A98" s="8">
        <v>42686.483067129629</v>
      </c>
      <c r="B98" s="21" t="s">
        <v>218</v>
      </c>
      <c r="C98" s="21" t="s">
        <v>518</v>
      </c>
      <c r="D98" s="21">
        <v>2100000</v>
      </c>
      <c r="E98" s="21" t="s">
        <v>312</v>
      </c>
      <c r="F98" s="21" t="str">
        <f t="shared" si="2"/>
        <v>rtdc.l.rtdc.4030:itc</v>
      </c>
      <c r="G98" s="8">
        <f t="shared" si="3"/>
        <v>42686.483067129629</v>
      </c>
    </row>
    <row r="99" spans="1:7" x14ac:dyDescent="0.25">
      <c r="A99" s="8">
        <v>42686.484236111108</v>
      </c>
      <c r="B99" s="21" t="s">
        <v>251</v>
      </c>
      <c r="C99" s="21" t="s">
        <v>519</v>
      </c>
      <c r="D99" s="21">
        <v>1760000</v>
      </c>
      <c r="E99" s="21" t="s">
        <v>358</v>
      </c>
      <c r="F99" s="21" t="str">
        <f t="shared" si="2"/>
        <v>rtdc.l.rtdc.4012:itc</v>
      </c>
      <c r="G99" s="8">
        <f t="shared" si="3"/>
        <v>42686.484236111108</v>
      </c>
    </row>
    <row r="100" spans="1:7" x14ac:dyDescent="0.25">
      <c r="A100" s="8">
        <v>42686.485023148147</v>
      </c>
      <c r="B100" s="21" t="s">
        <v>243</v>
      </c>
      <c r="C100" s="21" t="s">
        <v>428</v>
      </c>
      <c r="D100" s="21">
        <v>2020000</v>
      </c>
      <c r="E100" s="21" t="s">
        <v>316</v>
      </c>
      <c r="F100" s="21" t="str">
        <f t="shared" si="2"/>
        <v>rtdc.l.rtdc.4042:itc</v>
      </c>
      <c r="G100" s="8">
        <f t="shared" si="3"/>
        <v>42686.485023148147</v>
      </c>
    </row>
    <row r="101" spans="1:7" x14ac:dyDescent="0.25">
      <c r="A101" s="8">
        <v>42686.494131944448</v>
      </c>
      <c r="B101" s="21" t="s">
        <v>439</v>
      </c>
      <c r="C101" s="21" t="s">
        <v>520</v>
      </c>
      <c r="D101" s="21">
        <v>880000</v>
      </c>
      <c r="E101" s="21" t="s">
        <v>511</v>
      </c>
      <c r="F101" s="21" t="str">
        <f t="shared" si="2"/>
        <v>rtdc.l.rtdc.4013:itc</v>
      </c>
      <c r="G101" s="8">
        <f t="shared" si="3"/>
        <v>42686.494131944448</v>
      </c>
    </row>
    <row r="102" spans="1:7" x14ac:dyDescent="0.25">
      <c r="A102" s="8">
        <v>42686.497233796297</v>
      </c>
      <c r="B102" s="21" t="s">
        <v>307</v>
      </c>
      <c r="C102" s="21" t="s">
        <v>521</v>
      </c>
      <c r="D102" s="21">
        <v>1770000</v>
      </c>
      <c r="E102" s="21" t="s">
        <v>522</v>
      </c>
      <c r="F102" s="21" t="str">
        <f t="shared" si="2"/>
        <v>rtdc.l.rtdc.4038:itc</v>
      </c>
      <c r="G102" s="8">
        <f t="shared" si="3"/>
        <v>42686.497233796297</v>
      </c>
    </row>
    <row r="103" spans="1:7" x14ac:dyDescent="0.25">
      <c r="A103" s="8">
        <v>42686.497418981482</v>
      </c>
      <c r="B103" s="21" t="s">
        <v>305</v>
      </c>
      <c r="C103" s="21" t="s">
        <v>523</v>
      </c>
      <c r="D103" s="21">
        <v>1280000</v>
      </c>
      <c r="E103" s="21" t="s">
        <v>514</v>
      </c>
      <c r="F103" s="21" t="str">
        <f t="shared" si="2"/>
        <v>rtdc.l.rtdc.4054:itc</v>
      </c>
      <c r="G103" s="8">
        <f t="shared" si="3"/>
        <v>42686.497418981482</v>
      </c>
    </row>
    <row r="104" spans="1:7" x14ac:dyDescent="0.25">
      <c r="A104" s="8">
        <v>42686.506840277776</v>
      </c>
      <c r="B104" s="21" t="s">
        <v>287</v>
      </c>
      <c r="C104" s="21" t="s">
        <v>524</v>
      </c>
      <c r="D104" s="21">
        <v>930000</v>
      </c>
      <c r="E104" s="21" t="s">
        <v>360</v>
      </c>
      <c r="F104" s="21" t="str">
        <f t="shared" si="2"/>
        <v>rtdc.l.rtdc.4022:itc</v>
      </c>
      <c r="G104" s="8">
        <f t="shared" si="3"/>
        <v>42686.506840277776</v>
      </c>
    </row>
    <row r="105" spans="1:7" x14ac:dyDescent="0.25">
      <c r="A105" s="8">
        <v>42686.512280092589</v>
      </c>
      <c r="B105" s="21" t="s">
        <v>217</v>
      </c>
      <c r="C105" s="21" t="s">
        <v>525</v>
      </c>
      <c r="D105" s="21">
        <v>2100000</v>
      </c>
      <c r="E105" s="21" t="s">
        <v>312</v>
      </c>
      <c r="F105" s="21" t="str">
        <f t="shared" si="2"/>
        <v>rtdc.l.rtdc.4029:itc</v>
      </c>
      <c r="G105" s="8">
        <f t="shared" si="3"/>
        <v>42686.512280092589</v>
      </c>
    </row>
    <row r="106" spans="1:7" x14ac:dyDescent="0.25">
      <c r="A106" s="8">
        <v>42686.51494212963</v>
      </c>
      <c r="B106" s="21" t="s">
        <v>285</v>
      </c>
      <c r="C106" s="21" t="s">
        <v>431</v>
      </c>
      <c r="D106" s="21">
        <v>2040000</v>
      </c>
      <c r="E106" s="21" t="s">
        <v>290</v>
      </c>
      <c r="F106" s="21" t="str">
        <f t="shared" si="2"/>
        <v>rtdc.l.rtdc.4026:itc</v>
      </c>
      <c r="G106" s="8">
        <f t="shared" si="3"/>
        <v>42686.51494212963</v>
      </c>
    </row>
    <row r="107" spans="1:7" x14ac:dyDescent="0.25">
      <c r="A107" s="8">
        <v>42686.517488425925</v>
      </c>
      <c r="B107" s="21" t="s">
        <v>221</v>
      </c>
      <c r="C107" s="21" t="s">
        <v>526</v>
      </c>
      <c r="D107" s="21">
        <v>1740000</v>
      </c>
      <c r="E107" s="21" t="s">
        <v>317</v>
      </c>
      <c r="F107" s="21" t="str">
        <f t="shared" si="2"/>
        <v>rtdc.l.rtdc.4011:itc</v>
      </c>
      <c r="G107" s="8">
        <f t="shared" si="3"/>
        <v>42686.517488425925</v>
      </c>
    </row>
    <row r="108" spans="1:7" x14ac:dyDescent="0.25">
      <c r="A108" s="8">
        <v>42686.524756944447</v>
      </c>
      <c r="B108" s="21" t="s">
        <v>242</v>
      </c>
      <c r="C108" s="21" t="s">
        <v>527</v>
      </c>
      <c r="D108" s="21">
        <v>2020000</v>
      </c>
      <c r="E108" s="21" t="s">
        <v>316</v>
      </c>
      <c r="F108" s="21" t="str">
        <f t="shared" si="2"/>
        <v>rtdc.l.rtdc.4041:itc</v>
      </c>
      <c r="G108" s="8">
        <f t="shared" si="3"/>
        <v>42686.524756944447</v>
      </c>
    </row>
    <row r="109" spans="1:7" x14ac:dyDescent="0.25">
      <c r="A109" s="8">
        <v>42686.525000000001</v>
      </c>
      <c r="B109" s="21" t="s">
        <v>218</v>
      </c>
      <c r="C109" s="21" t="s">
        <v>528</v>
      </c>
      <c r="D109" s="21">
        <v>2100000</v>
      </c>
      <c r="E109" s="21" t="s">
        <v>312</v>
      </c>
      <c r="F109" s="21" t="str">
        <f t="shared" si="2"/>
        <v>rtdc.l.rtdc.4030:itc</v>
      </c>
      <c r="G109" s="8">
        <f t="shared" si="3"/>
        <v>42686.525000000001</v>
      </c>
    </row>
    <row r="110" spans="1:7" x14ac:dyDescent="0.25">
      <c r="A110" s="8">
        <v>42686.527824074074</v>
      </c>
      <c r="B110" s="21" t="s">
        <v>429</v>
      </c>
      <c r="C110" s="21" t="s">
        <v>430</v>
      </c>
      <c r="D110" s="21">
        <v>880000</v>
      </c>
      <c r="E110" s="21" t="s">
        <v>511</v>
      </c>
      <c r="F110" s="21" t="str">
        <f t="shared" si="2"/>
        <v>rtdc.l.rtdc.4014:itc</v>
      </c>
      <c r="G110" s="8">
        <f t="shared" si="3"/>
        <v>42686.527824074074</v>
      </c>
    </row>
    <row r="111" spans="1:7" x14ac:dyDescent="0.25">
      <c r="A111" s="8">
        <v>42686.533715277779</v>
      </c>
      <c r="B111" s="21" t="s">
        <v>313</v>
      </c>
      <c r="C111" s="21" t="s">
        <v>529</v>
      </c>
      <c r="D111" s="21">
        <v>1770000</v>
      </c>
      <c r="E111" s="21" t="s">
        <v>522</v>
      </c>
      <c r="F111" s="21" t="str">
        <f t="shared" si="2"/>
        <v>rtdc.l.rtdc.4037:itc</v>
      </c>
      <c r="G111" s="8">
        <f t="shared" si="3"/>
        <v>42686.533715277779</v>
      </c>
    </row>
    <row r="112" spans="1:7" x14ac:dyDescent="0.25">
      <c r="A112" s="8">
        <v>42686.536678240744</v>
      </c>
      <c r="B112" s="21" t="s">
        <v>306</v>
      </c>
      <c r="C112" s="21" t="s">
        <v>530</v>
      </c>
      <c r="D112" s="21">
        <v>1280000</v>
      </c>
      <c r="E112" s="21" t="s">
        <v>514</v>
      </c>
      <c r="F112" s="21" t="str">
        <f t="shared" si="2"/>
        <v>rtdc.l.rtdc.4053:itc</v>
      </c>
      <c r="G112" s="8">
        <f t="shared" si="3"/>
        <v>42686.536678240744</v>
      </c>
    </row>
    <row r="113" spans="1:7" x14ac:dyDescent="0.25">
      <c r="A113" s="8">
        <v>42686.545046296298</v>
      </c>
      <c r="B113" s="21" t="s">
        <v>289</v>
      </c>
      <c r="C113" s="21" t="s">
        <v>531</v>
      </c>
      <c r="D113" s="21">
        <v>930000</v>
      </c>
      <c r="E113" s="21" t="s">
        <v>360</v>
      </c>
      <c r="F113" s="21" t="str">
        <f t="shared" si="2"/>
        <v>rtdc.l.rtdc.4021:itc</v>
      </c>
      <c r="G113" s="8">
        <f t="shared" si="3"/>
        <v>42686.545046296298</v>
      </c>
    </row>
    <row r="114" spans="1:7" x14ac:dyDescent="0.25">
      <c r="A114" s="8">
        <v>42686.550543981481</v>
      </c>
      <c r="B114" s="21" t="s">
        <v>249</v>
      </c>
      <c r="C114" s="21" t="s">
        <v>532</v>
      </c>
      <c r="D114" s="21">
        <v>2040000</v>
      </c>
      <c r="E114" s="21" t="s">
        <v>290</v>
      </c>
      <c r="F114" s="21" t="str">
        <f t="shared" si="2"/>
        <v>rtdc.l.rtdc.4025:itc</v>
      </c>
      <c r="G114" s="8">
        <f t="shared" si="3"/>
        <v>42686.550543981481</v>
      </c>
    </row>
    <row r="115" spans="1:7" x14ac:dyDescent="0.25">
      <c r="A115" s="8">
        <v>42686.550706018519</v>
      </c>
      <c r="B115" s="21" t="s">
        <v>217</v>
      </c>
      <c r="C115" s="21" t="s">
        <v>533</v>
      </c>
      <c r="D115" s="21">
        <v>2100000</v>
      </c>
      <c r="E115" s="21" t="s">
        <v>312</v>
      </c>
      <c r="F115" s="21" t="str">
        <f t="shared" si="2"/>
        <v>rtdc.l.rtdc.4029:itc</v>
      </c>
      <c r="G115" s="8">
        <f t="shared" si="3"/>
        <v>42686.550706018519</v>
      </c>
    </row>
    <row r="116" spans="1:7" x14ac:dyDescent="0.25">
      <c r="A116" s="8">
        <v>42686.555474537039</v>
      </c>
      <c r="B116" s="21" t="s">
        <v>251</v>
      </c>
      <c r="C116" s="21" t="s">
        <v>432</v>
      </c>
      <c r="D116" s="21">
        <v>1740000</v>
      </c>
      <c r="E116" s="21" t="s">
        <v>317</v>
      </c>
      <c r="F116" s="21" t="str">
        <f t="shared" si="2"/>
        <v>rtdc.l.rtdc.4012:itc</v>
      </c>
      <c r="G116" s="8">
        <f t="shared" si="3"/>
        <v>42686.555474537039</v>
      </c>
    </row>
    <row r="117" spans="1:7" x14ac:dyDescent="0.25">
      <c r="A117" s="8">
        <v>42686.558854166666</v>
      </c>
      <c r="B117" s="21" t="s">
        <v>243</v>
      </c>
      <c r="C117" s="21" t="s">
        <v>534</v>
      </c>
      <c r="D117" s="21">
        <v>2020000</v>
      </c>
      <c r="E117" s="21" t="s">
        <v>316</v>
      </c>
      <c r="F117" s="21" t="str">
        <f t="shared" si="2"/>
        <v>rtdc.l.rtdc.4042:itc</v>
      </c>
      <c r="G117" s="8">
        <f t="shared" si="3"/>
        <v>42686.558854166666</v>
      </c>
    </row>
    <row r="118" spans="1:7" x14ac:dyDescent="0.25">
      <c r="A118" s="8">
        <v>42686.566458333335</v>
      </c>
      <c r="B118" s="21" t="s">
        <v>218</v>
      </c>
      <c r="C118" s="21" t="s">
        <v>535</v>
      </c>
      <c r="D118" s="21">
        <v>2100000</v>
      </c>
      <c r="E118" s="21" t="s">
        <v>312</v>
      </c>
      <c r="F118" s="21" t="str">
        <f t="shared" si="2"/>
        <v>rtdc.l.rtdc.4030:itc</v>
      </c>
      <c r="G118" s="8">
        <f t="shared" si="3"/>
        <v>42686.566458333335</v>
      </c>
    </row>
    <row r="119" spans="1:7" x14ac:dyDescent="0.25">
      <c r="A119" s="8">
        <v>42686.566689814812</v>
      </c>
      <c r="B119" s="21" t="s">
        <v>307</v>
      </c>
      <c r="C119" s="21" t="s">
        <v>536</v>
      </c>
      <c r="D119" s="21">
        <v>1770000</v>
      </c>
      <c r="E119" s="21" t="s">
        <v>522</v>
      </c>
      <c r="F119" s="21" t="str">
        <f t="shared" si="2"/>
        <v>rtdc.l.rtdc.4038:itc</v>
      </c>
      <c r="G119" s="8">
        <f t="shared" si="3"/>
        <v>42686.566689814812</v>
      </c>
    </row>
    <row r="120" spans="1:7" x14ac:dyDescent="0.25">
      <c r="A120" s="8">
        <v>42686.567314814813</v>
      </c>
      <c r="B120" s="21" t="s">
        <v>439</v>
      </c>
      <c r="C120" s="21" t="s">
        <v>537</v>
      </c>
      <c r="D120" s="21">
        <v>880000</v>
      </c>
      <c r="E120" s="21" t="s">
        <v>511</v>
      </c>
      <c r="F120" s="21" t="str">
        <f t="shared" si="2"/>
        <v>rtdc.l.rtdc.4013:itc</v>
      </c>
      <c r="G120" s="8">
        <f t="shared" si="3"/>
        <v>42686.567314814813</v>
      </c>
    </row>
    <row r="121" spans="1:7" x14ac:dyDescent="0.25">
      <c r="A121" s="8">
        <v>42686.569004629629</v>
      </c>
      <c r="B121" s="21" t="s">
        <v>305</v>
      </c>
      <c r="C121" s="21" t="s">
        <v>538</v>
      </c>
      <c r="D121" s="21">
        <v>1280000</v>
      </c>
      <c r="E121" s="21" t="s">
        <v>514</v>
      </c>
      <c r="F121" s="21" t="str">
        <f t="shared" si="2"/>
        <v>rtdc.l.rtdc.4054:itc</v>
      </c>
      <c r="G121" s="8">
        <f t="shared" si="3"/>
        <v>42686.569004629629</v>
      </c>
    </row>
    <row r="122" spans="1:7" x14ac:dyDescent="0.25">
      <c r="A122" s="8">
        <v>42686.580775462964</v>
      </c>
      <c r="B122" s="26" t="s">
        <v>287</v>
      </c>
      <c r="C122" s="21" t="s">
        <v>539</v>
      </c>
      <c r="D122" s="21">
        <v>2110000</v>
      </c>
      <c r="E122" s="21" t="s">
        <v>540</v>
      </c>
      <c r="F122" s="21" t="str">
        <f t="shared" si="2"/>
        <v>rtdc.l.rtdc.4022:itc</v>
      </c>
      <c r="G122" s="8">
        <f t="shared" si="3"/>
        <v>42686.580775462964</v>
      </c>
    </row>
    <row r="123" spans="1:7" x14ac:dyDescent="0.25">
      <c r="A123" s="8">
        <v>42686.586111111108</v>
      </c>
      <c r="B123" s="21" t="s">
        <v>285</v>
      </c>
      <c r="C123" s="21" t="s">
        <v>433</v>
      </c>
      <c r="D123" s="21">
        <v>2040000</v>
      </c>
      <c r="E123" s="21" t="s">
        <v>290</v>
      </c>
      <c r="F123" s="21" t="str">
        <f t="shared" si="2"/>
        <v>rtdc.l.rtdc.4026:itc</v>
      </c>
      <c r="G123" s="8">
        <f t="shared" si="3"/>
        <v>42686.586111111108</v>
      </c>
    </row>
    <row r="124" spans="1:7" x14ac:dyDescent="0.25">
      <c r="A124" s="8">
        <v>42686.589398148149</v>
      </c>
      <c r="B124" s="21" t="s">
        <v>221</v>
      </c>
      <c r="C124" s="21" t="s">
        <v>541</v>
      </c>
      <c r="D124" s="21">
        <v>2220000</v>
      </c>
      <c r="E124" s="21" t="s">
        <v>315</v>
      </c>
      <c r="F124" s="21" t="str">
        <f t="shared" si="2"/>
        <v>rtdc.l.rtdc.4011:itc</v>
      </c>
      <c r="G124" s="8">
        <f t="shared" si="3"/>
        <v>42686.589398148149</v>
      </c>
    </row>
    <row r="125" spans="1:7" x14ac:dyDescent="0.25">
      <c r="A125" s="8">
        <v>42686.592430555553</v>
      </c>
      <c r="B125" s="21" t="s">
        <v>217</v>
      </c>
      <c r="C125" s="21" t="s">
        <v>542</v>
      </c>
      <c r="D125" s="21">
        <v>2280000</v>
      </c>
      <c r="E125" s="21" t="s">
        <v>543</v>
      </c>
      <c r="F125" s="21" t="str">
        <f t="shared" si="2"/>
        <v>rtdc.l.rtdc.4029:itc</v>
      </c>
      <c r="G125" s="8">
        <f t="shared" si="3"/>
        <v>42686.592430555553</v>
      </c>
    </row>
    <row r="126" spans="1:7" x14ac:dyDescent="0.25">
      <c r="A126" s="8">
        <v>42686.596712962964</v>
      </c>
      <c r="B126" s="21" t="s">
        <v>242</v>
      </c>
      <c r="C126" s="21" t="s">
        <v>544</v>
      </c>
      <c r="D126" s="21">
        <v>2020000</v>
      </c>
      <c r="E126" s="21" t="s">
        <v>316</v>
      </c>
      <c r="F126" s="21" t="str">
        <f t="shared" si="2"/>
        <v>rtdc.l.rtdc.4041:itc</v>
      </c>
      <c r="G126" s="8">
        <f t="shared" si="3"/>
        <v>42686.596712962964</v>
      </c>
    </row>
    <row r="127" spans="1:7" x14ac:dyDescent="0.25">
      <c r="A127" s="8">
        <v>42686.600937499999</v>
      </c>
      <c r="B127" s="21" t="s">
        <v>429</v>
      </c>
      <c r="C127" s="21" t="s">
        <v>545</v>
      </c>
      <c r="D127" s="21">
        <v>880000</v>
      </c>
      <c r="E127" s="21" t="s">
        <v>511</v>
      </c>
      <c r="F127" s="21" t="str">
        <f t="shared" si="2"/>
        <v>rtdc.l.rtdc.4014:itc</v>
      </c>
      <c r="G127" s="8">
        <f t="shared" si="3"/>
        <v>42686.600937499999</v>
      </c>
    </row>
    <row r="128" spans="1:7" x14ac:dyDescent="0.25">
      <c r="A128" s="8">
        <v>42686.605324074073</v>
      </c>
      <c r="B128" s="21" t="s">
        <v>313</v>
      </c>
      <c r="C128" s="21" t="s">
        <v>434</v>
      </c>
      <c r="D128" s="21">
        <v>1770000</v>
      </c>
      <c r="E128" s="21" t="s">
        <v>522</v>
      </c>
      <c r="F128" s="21" t="str">
        <f t="shared" si="2"/>
        <v>rtdc.l.rtdc.4037:itc</v>
      </c>
      <c r="G128" s="8">
        <f t="shared" si="3"/>
        <v>42686.605324074073</v>
      </c>
    </row>
    <row r="129" spans="1:7" x14ac:dyDescent="0.25">
      <c r="A129" s="8">
        <v>42686.609791666669</v>
      </c>
      <c r="B129" s="21" t="s">
        <v>218</v>
      </c>
      <c r="C129" s="21" t="s">
        <v>546</v>
      </c>
      <c r="D129" s="21">
        <v>2280000</v>
      </c>
      <c r="E129" s="21" t="s">
        <v>543</v>
      </c>
      <c r="F129" s="21" t="str">
        <f t="shared" si="2"/>
        <v>rtdc.l.rtdc.4030:itc</v>
      </c>
      <c r="G129" s="8">
        <f t="shared" si="3"/>
        <v>42686.609791666669</v>
      </c>
    </row>
    <row r="130" spans="1:7" x14ac:dyDescent="0.25">
      <c r="A130" s="8">
        <v>42686.609988425924</v>
      </c>
      <c r="B130" s="21" t="s">
        <v>306</v>
      </c>
      <c r="C130" s="21" t="s">
        <v>547</v>
      </c>
      <c r="D130" s="21">
        <v>1280000</v>
      </c>
      <c r="E130" s="21" t="s">
        <v>514</v>
      </c>
      <c r="F130" s="21" t="str">
        <f t="shared" ref="F130:F193" si="4">B130</f>
        <v>rtdc.l.rtdc.4053:itc</v>
      </c>
      <c r="G130" s="8">
        <f t="shared" ref="G130:G193" si="5">A130</f>
        <v>42686.609988425924</v>
      </c>
    </row>
    <row r="131" spans="1:7" x14ac:dyDescent="0.25">
      <c r="A131" s="8">
        <v>42686.619641203702</v>
      </c>
      <c r="B131" s="21" t="s">
        <v>289</v>
      </c>
      <c r="C131" s="21" t="s">
        <v>548</v>
      </c>
      <c r="D131" s="21">
        <v>2110000</v>
      </c>
      <c r="E131" s="21" t="s">
        <v>540</v>
      </c>
      <c r="F131" s="21" t="str">
        <f t="shared" si="4"/>
        <v>rtdc.l.rtdc.4021:itc</v>
      </c>
      <c r="G131" s="8">
        <f t="shared" si="5"/>
        <v>42686.619641203702</v>
      </c>
    </row>
    <row r="132" spans="1:7" x14ac:dyDescent="0.25">
      <c r="A132" s="8">
        <v>42686.620752314811</v>
      </c>
      <c r="B132" s="21" t="s">
        <v>251</v>
      </c>
      <c r="C132" s="21" t="s">
        <v>435</v>
      </c>
      <c r="D132" s="21">
        <v>2220000</v>
      </c>
      <c r="E132" s="21" t="s">
        <v>315</v>
      </c>
      <c r="F132" s="21" t="str">
        <f t="shared" si="4"/>
        <v>rtdc.l.rtdc.4012:itc</v>
      </c>
      <c r="G132" s="8">
        <f t="shared" si="5"/>
        <v>42686.620752314811</v>
      </c>
    </row>
    <row r="133" spans="1:7" x14ac:dyDescent="0.25">
      <c r="A133" s="8">
        <v>42686.622662037036</v>
      </c>
      <c r="B133" s="21" t="s">
        <v>249</v>
      </c>
      <c r="C133" s="21" t="s">
        <v>549</v>
      </c>
      <c r="D133" s="21">
        <v>2040000</v>
      </c>
      <c r="E133" s="21" t="s">
        <v>290</v>
      </c>
      <c r="F133" s="21" t="str">
        <f t="shared" si="4"/>
        <v>rtdc.l.rtdc.4025:itc</v>
      </c>
      <c r="G133" s="8">
        <f t="shared" si="5"/>
        <v>42686.622662037036</v>
      </c>
    </row>
    <row r="134" spans="1:7" x14ac:dyDescent="0.25">
      <c r="A134" s="8">
        <v>42686.632141203707</v>
      </c>
      <c r="B134" s="21" t="s">
        <v>243</v>
      </c>
      <c r="C134" s="21" t="s">
        <v>550</v>
      </c>
      <c r="D134" s="21">
        <v>2020000</v>
      </c>
      <c r="E134" s="21" t="s">
        <v>316</v>
      </c>
      <c r="F134" s="21" t="str">
        <f t="shared" si="4"/>
        <v>rtdc.l.rtdc.4042:itc</v>
      </c>
      <c r="G134" s="8">
        <f t="shared" si="5"/>
        <v>42686.632141203707</v>
      </c>
    </row>
    <row r="135" spans="1:7" x14ac:dyDescent="0.25">
      <c r="A135" s="8">
        <v>42686.634363425925</v>
      </c>
      <c r="B135" s="21" t="s">
        <v>217</v>
      </c>
      <c r="C135" s="21" t="s">
        <v>551</v>
      </c>
      <c r="D135" s="21">
        <v>2280000</v>
      </c>
      <c r="E135" s="21" t="s">
        <v>543</v>
      </c>
      <c r="F135" s="21" t="str">
        <f t="shared" si="4"/>
        <v>rtdc.l.rtdc.4029:itc</v>
      </c>
      <c r="G135" s="8">
        <f t="shared" si="5"/>
        <v>42686.634363425925</v>
      </c>
    </row>
    <row r="136" spans="1:7" x14ac:dyDescent="0.25">
      <c r="A136" s="8">
        <v>42686.640231481484</v>
      </c>
      <c r="B136" s="21" t="s">
        <v>439</v>
      </c>
      <c r="C136" s="21" t="s">
        <v>552</v>
      </c>
      <c r="D136" s="21">
        <v>880000</v>
      </c>
      <c r="E136" s="21" t="s">
        <v>511</v>
      </c>
      <c r="F136" s="21" t="str">
        <f t="shared" si="4"/>
        <v>rtdc.l.rtdc.4013:itc</v>
      </c>
      <c r="G136" s="8">
        <f t="shared" si="5"/>
        <v>42686.640231481484</v>
      </c>
    </row>
    <row r="137" spans="1:7" x14ac:dyDescent="0.25">
      <c r="A137" s="8">
        <v>42686.640381944446</v>
      </c>
      <c r="B137" s="21" t="s">
        <v>307</v>
      </c>
      <c r="C137" s="21" t="s">
        <v>553</v>
      </c>
      <c r="D137" s="21">
        <v>1770000</v>
      </c>
      <c r="E137" s="21" t="s">
        <v>522</v>
      </c>
      <c r="F137" s="21" t="str">
        <f t="shared" si="4"/>
        <v>rtdc.l.rtdc.4038:itc</v>
      </c>
      <c r="G137" s="8">
        <f t="shared" si="5"/>
        <v>42686.640381944446</v>
      </c>
    </row>
    <row r="138" spans="1:7" x14ac:dyDescent="0.25">
      <c r="A138" s="8">
        <v>42686.642453703702</v>
      </c>
      <c r="B138" s="21" t="s">
        <v>305</v>
      </c>
      <c r="C138" s="21" t="s">
        <v>554</v>
      </c>
      <c r="D138" s="21">
        <v>1280000</v>
      </c>
      <c r="E138" s="21" t="s">
        <v>514</v>
      </c>
      <c r="F138" s="21" t="str">
        <f t="shared" si="4"/>
        <v>rtdc.l.rtdc.4054:itc</v>
      </c>
      <c r="G138" s="8">
        <f t="shared" si="5"/>
        <v>42686.642453703702</v>
      </c>
    </row>
    <row r="139" spans="1:7" x14ac:dyDescent="0.25">
      <c r="A139" s="8">
        <v>42686.651388888888</v>
      </c>
      <c r="B139" s="21" t="s">
        <v>218</v>
      </c>
      <c r="C139" s="21" t="s">
        <v>555</v>
      </c>
      <c r="D139" s="21">
        <v>2280000</v>
      </c>
      <c r="E139" s="21" t="s">
        <v>543</v>
      </c>
      <c r="F139" s="21" t="str">
        <f t="shared" si="4"/>
        <v>rtdc.l.rtdc.4030:itc</v>
      </c>
      <c r="G139" s="8">
        <f t="shared" si="5"/>
        <v>42686.651388888888</v>
      </c>
    </row>
    <row r="140" spans="1:7" x14ac:dyDescent="0.25">
      <c r="A140" s="8">
        <v>42686.652222222219</v>
      </c>
      <c r="B140" s="21" t="s">
        <v>287</v>
      </c>
      <c r="C140" s="21" t="s">
        <v>556</v>
      </c>
      <c r="D140" s="21">
        <v>930000</v>
      </c>
      <c r="E140" s="21" t="s">
        <v>360</v>
      </c>
      <c r="F140" s="21" t="str">
        <f t="shared" si="4"/>
        <v>rtdc.l.rtdc.4022:itc</v>
      </c>
      <c r="G140" s="8">
        <f t="shared" si="5"/>
        <v>42686.652222222219</v>
      </c>
    </row>
    <row r="141" spans="1:7" x14ac:dyDescent="0.25">
      <c r="A141" s="8">
        <v>42686.658807870372</v>
      </c>
      <c r="B141" s="21" t="s">
        <v>285</v>
      </c>
      <c r="C141" s="21" t="s">
        <v>557</v>
      </c>
      <c r="D141" s="21">
        <v>2040000</v>
      </c>
      <c r="E141" s="21" t="s">
        <v>290</v>
      </c>
      <c r="F141" s="21" t="str">
        <f t="shared" si="4"/>
        <v>rtdc.l.rtdc.4026:itc</v>
      </c>
      <c r="G141" s="8">
        <f t="shared" si="5"/>
        <v>42686.658807870372</v>
      </c>
    </row>
    <row r="142" spans="1:7" x14ac:dyDescent="0.25">
      <c r="A142" s="8">
        <v>42686.663726851853</v>
      </c>
      <c r="B142" s="21" t="s">
        <v>221</v>
      </c>
      <c r="C142" s="21" t="s">
        <v>436</v>
      </c>
      <c r="D142" s="21">
        <v>1740000</v>
      </c>
      <c r="E142" s="21" t="s">
        <v>317</v>
      </c>
      <c r="F142" s="21" t="str">
        <f t="shared" si="4"/>
        <v>rtdc.l.rtdc.4011:itc</v>
      </c>
      <c r="G142" s="8">
        <f t="shared" si="5"/>
        <v>42686.663726851853</v>
      </c>
    </row>
    <row r="143" spans="1:7" x14ac:dyDescent="0.25">
      <c r="A143" s="8">
        <v>42686.67082175926</v>
      </c>
      <c r="B143" s="21" t="s">
        <v>242</v>
      </c>
      <c r="C143" s="21" t="s">
        <v>558</v>
      </c>
      <c r="D143" s="21">
        <v>2020000</v>
      </c>
      <c r="E143" s="21" t="s">
        <v>316</v>
      </c>
      <c r="F143" s="21" t="str">
        <f t="shared" si="4"/>
        <v>rtdc.l.rtdc.4041:itc</v>
      </c>
      <c r="G143" s="8">
        <f t="shared" si="5"/>
        <v>42686.67082175926</v>
      </c>
    </row>
    <row r="144" spans="1:7" x14ac:dyDescent="0.25">
      <c r="A144" s="8">
        <v>42686.672500000001</v>
      </c>
      <c r="B144" s="21" t="s">
        <v>429</v>
      </c>
      <c r="C144" s="21" t="s">
        <v>559</v>
      </c>
      <c r="D144" s="21">
        <v>880000</v>
      </c>
      <c r="E144" s="21" t="s">
        <v>511</v>
      </c>
      <c r="F144" s="21" t="str">
        <f t="shared" si="4"/>
        <v>rtdc.l.rtdc.4014:itc</v>
      </c>
      <c r="G144" s="8">
        <f t="shared" si="5"/>
        <v>42686.672500000001</v>
      </c>
    </row>
    <row r="145" spans="1:7" x14ac:dyDescent="0.25">
      <c r="A145" s="8">
        <v>42686.675821759258</v>
      </c>
      <c r="B145" s="21" t="s">
        <v>217</v>
      </c>
      <c r="C145" s="21" t="s">
        <v>560</v>
      </c>
      <c r="D145" s="21">
        <v>2280000</v>
      </c>
      <c r="E145" s="21" t="s">
        <v>543</v>
      </c>
      <c r="F145" s="21" t="str">
        <f t="shared" si="4"/>
        <v>rtdc.l.rtdc.4029:itc</v>
      </c>
      <c r="G145" s="8">
        <f t="shared" si="5"/>
        <v>42686.675821759258</v>
      </c>
    </row>
    <row r="146" spans="1:7" x14ac:dyDescent="0.25">
      <c r="A146" s="8">
        <v>42686.67900462963</v>
      </c>
      <c r="B146" s="21" t="s">
        <v>313</v>
      </c>
      <c r="C146" s="21" t="s">
        <v>561</v>
      </c>
      <c r="D146" s="21">
        <v>1770000</v>
      </c>
      <c r="E146" s="21" t="s">
        <v>522</v>
      </c>
      <c r="F146" s="21" t="str">
        <f t="shared" si="4"/>
        <v>rtdc.l.rtdc.4037:itc</v>
      </c>
      <c r="G146" s="8">
        <f t="shared" si="5"/>
        <v>42686.67900462963</v>
      </c>
    </row>
    <row r="147" spans="1:7" x14ac:dyDescent="0.25">
      <c r="A147" s="8">
        <v>42686.683715277781</v>
      </c>
      <c r="B147" s="21" t="s">
        <v>306</v>
      </c>
      <c r="C147" s="21" t="s">
        <v>562</v>
      </c>
      <c r="D147" s="21">
        <v>1280000</v>
      </c>
      <c r="E147" s="21" t="s">
        <v>514</v>
      </c>
      <c r="F147" s="21" t="str">
        <f t="shared" si="4"/>
        <v>rtdc.l.rtdc.4053:itc</v>
      </c>
      <c r="G147" s="8">
        <f t="shared" si="5"/>
        <v>42686.683715277781</v>
      </c>
    </row>
    <row r="148" spans="1:7" x14ac:dyDescent="0.25">
      <c r="A148" s="8">
        <v>42686.690428240741</v>
      </c>
      <c r="B148" s="21" t="s">
        <v>289</v>
      </c>
      <c r="C148" s="21" t="s">
        <v>563</v>
      </c>
      <c r="D148" s="21">
        <v>930000</v>
      </c>
      <c r="E148" s="21" t="s">
        <v>360</v>
      </c>
      <c r="F148" s="21" t="str">
        <f t="shared" si="4"/>
        <v>rtdc.l.rtdc.4021:itc</v>
      </c>
      <c r="G148" s="8">
        <f t="shared" si="5"/>
        <v>42686.690428240741</v>
      </c>
    </row>
    <row r="149" spans="1:7" x14ac:dyDescent="0.25">
      <c r="A149" s="8">
        <v>42686.69259259259</v>
      </c>
      <c r="B149" s="21" t="s">
        <v>218</v>
      </c>
      <c r="C149" s="21" t="s">
        <v>564</v>
      </c>
      <c r="D149" s="21">
        <v>2280000</v>
      </c>
      <c r="E149" s="21" t="s">
        <v>543</v>
      </c>
      <c r="F149" s="21" t="str">
        <f t="shared" si="4"/>
        <v>rtdc.l.rtdc.4030:itc</v>
      </c>
      <c r="G149" s="8">
        <f t="shared" si="5"/>
        <v>42686.69259259259</v>
      </c>
    </row>
    <row r="150" spans="1:7" x14ac:dyDescent="0.25">
      <c r="A150" s="8">
        <v>42686.694803240738</v>
      </c>
      <c r="B150" s="21" t="s">
        <v>249</v>
      </c>
      <c r="C150" s="21" t="s">
        <v>565</v>
      </c>
      <c r="D150" s="21">
        <v>2040000</v>
      </c>
      <c r="E150" s="21" t="s">
        <v>290</v>
      </c>
      <c r="F150" s="21" t="str">
        <f t="shared" si="4"/>
        <v>rtdc.l.rtdc.4025:itc</v>
      </c>
      <c r="G150" s="8">
        <f t="shared" si="5"/>
        <v>42686.694803240738</v>
      </c>
    </row>
    <row r="151" spans="1:7" x14ac:dyDescent="0.25">
      <c r="A151" s="8">
        <v>42686.702893518515</v>
      </c>
      <c r="B151" s="21" t="s">
        <v>251</v>
      </c>
      <c r="C151" s="21" t="s">
        <v>566</v>
      </c>
      <c r="D151" s="21">
        <v>1740000</v>
      </c>
      <c r="E151" s="21" t="s">
        <v>317</v>
      </c>
      <c r="F151" s="21" t="str">
        <f t="shared" si="4"/>
        <v>rtdc.l.rtdc.4012:itc</v>
      </c>
      <c r="G151" s="8">
        <f t="shared" si="5"/>
        <v>42686.702893518515</v>
      </c>
    </row>
    <row r="152" spans="1:7" x14ac:dyDescent="0.25">
      <c r="A152" s="8">
        <v>42686.705023148148</v>
      </c>
      <c r="B152" s="21" t="s">
        <v>243</v>
      </c>
      <c r="C152" s="21" t="s">
        <v>567</v>
      </c>
      <c r="D152" s="21">
        <v>2020000</v>
      </c>
      <c r="E152" s="21" t="s">
        <v>316</v>
      </c>
      <c r="F152" s="21" t="str">
        <f t="shared" si="4"/>
        <v>rtdc.l.rtdc.4042:itc</v>
      </c>
      <c r="G152" s="8">
        <f t="shared" si="5"/>
        <v>42686.705023148148</v>
      </c>
    </row>
    <row r="153" spans="1:7" x14ac:dyDescent="0.25">
      <c r="A153" s="8">
        <v>42686.71334490741</v>
      </c>
      <c r="B153" s="21" t="s">
        <v>243</v>
      </c>
      <c r="C153" s="21" t="s">
        <v>567</v>
      </c>
      <c r="D153" s="21">
        <v>2020000</v>
      </c>
      <c r="E153" s="21" t="s">
        <v>316</v>
      </c>
      <c r="F153" s="21" t="str">
        <f t="shared" si="4"/>
        <v>rtdc.l.rtdc.4042:itc</v>
      </c>
      <c r="G153" s="8">
        <f t="shared" si="5"/>
        <v>42686.71334490741</v>
      </c>
    </row>
    <row r="154" spans="1:7" x14ac:dyDescent="0.25">
      <c r="A154" s="8">
        <v>42686.713449074072</v>
      </c>
      <c r="B154" s="21" t="s">
        <v>307</v>
      </c>
      <c r="C154" s="21" t="s">
        <v>568</v>
      </c>
      <c r="D154" s="21">
        <v>1770000</v>
      </c>
      <c r="E154" s="21" t="s">
        <v>522</v>
      </c>
      <c r="F154" s="21" t="str">
        <f t="shared" si="4"/>
        <v>rtdc.l.rtdc.4038:itc</v>
      </c>
      <c r="G154" s="8">
        <f t="shared" si="5"/>
        <v>42686.713449074072</v>
      </c>
    </row>
    <row r="155" spans="1:7" x14ac:dyDescent="0.25">
      <c r="A155" s="8">
        <v>42686.714930555558</v>
      </c>
      <c r="B155" s="21" t="s">
        <v>439</v>
      </c>
      <c r="C155" s="21" t="s">
        <v>569</v>
      </c>
      <c r="D155" s="21">
        <v>880000</v>
      </c>
      <c r="E155" s="21" t="s">
        <v>511</v>
      </c>
      <c r="F155" s="21" t="str">
        <f t="shared" si="4"/>
        <v>rtdc.l.rtdc.4013:itc</v>
      </c>
      <c r="G155" s="8">
        <f t="shared" si="5"/>
        <v>42686.714930555558</v>
      </c>
    </row>
    <row r="156" spans="1:7" x14ac:dyDescent="0.25">
      <c r="A156" s="8">
        <v>42686.715636574074</v>
      </c>
      <c r="B156" s="21" t="s">
        <v>305</v>
      </c>
      <c r="C156" s="21" t="s">
        <v>570</v>
      </c>
      <c r="D156" s="21">
        <v>1280000</v>
      </c>
      <c r="E156" s="21" t="s">
        <v>514</v>
      </c>
      <c r="F156" s="21" t="str">
        <f t="shared" si="4"/>
        <v>rtdc.l.rtdc.4054:itc</v>
      </c>
      <c r="G156" s="8">
        <f t="shared" si="5"/>
        <v>42686.715636574074</v>
      </c>
    </row>
    <row r="157" spans="1:7" x14ac:dyDescent="0.25">
      <c r="A157" s="8">
        <v>42686.71597222222</v>
      </c>
      <c r="B157" s="21" t="s">
        <v>270</v>
      </c>
      <c r="C157" s="21" t="s">
        <v>571</v>
      </c>
      <c r="D157" s="21">
        <v>2150000</v>
      </c>
      <c r="E157" s="21" t="s">
        <v>361</v>
      </c>
      <c r="F157" s="21" t="str">
        <f t="shared" si="4"/>
        <v>rtdc.l.rtdc.4016:itc</v>
      </c>
      <c r="G157" s="8">
        <f t="shared" si="5"/>
        <v>42686.71597222222</v>
      </c>
    </row>
    <row r="158" spans="1:7" x14ac:dyDescent="0.25">
      <c r="A158" s="8">
        <v>42686.716666666667</v>
      </c>
      <c r="B158" s="21" t="s">
        <v>270</v>
      </c>
      <c r="C158" s="21" t="s">
        <v>571</v>
      </c>
      <c r="D158" s="21">
        <v>2150000</v>
      </c>
      <c r="E158" s="21" t="s">
        <v>361</v>
      </c>
      <c r="F158" s="21" t="str">
        <f t="shared" si="4"/>
        <v>rtdc.l.rtdc.4016:itc</v>
      </c>
      <c r="G158" s="8">
        <f t="shared" si="5"/>
        <v>42686.716666666667</v>
      </c>
    </row>
    <row r="159" spans="1:7" x14ac:dyDescent="0.25">
      <c r="A159" s="8">
        <v>42686.720960648148</v>
      </c>
      <c r="B159" s="21" t="s">
        <v>217</v>
      </c>
      <c r="C159" s="21" t="s">
        <v>437</v>
      </c>
      <c r="D159" s="21">
        <v>2280000</v>
      </c>
      <c r="E159" s="21" t="s">
        <v>543</v>
      </c>
      <c r="F159" s="21" t="str">
        <f t="shared" si="4"/>
        <v>rtdc.l.rtdc.4029:itc</v>
      </c>
      <c r="G159" s="8">
        <f t="shared" si="5"/>
        <v>42686.720960648148</v>
      </c>
    </row>
    <row r="160" spans="1:7" x14ac:dyDescent="0.25">
      <c r="A160" s="8">
        <v>42686.726342592592</v>
      </c>
      <c r="B160" s="21" t="s">
        <v>287</v>
      </c>
      <c r="C160" s="21" t="s">
        <v>572</v>
      </c>
      <c r="D160" s="21">
        <v>930000</v>
      </c>
      <c r="E160" s="21" t="s">
        <v>360</v>
      </c>
      <c r="F160" s="21" t="str">
        <f t="shared" si="4"/>
        <v>rtdc.l.rtdc.4022:itc</v>
      </c>
      <c r="G160" s="8">
        <f t="shared" si="5"/>
        <v>42686.726342592592</v>
      </c>
    </row>
    <row r="161" spans="1:7" x14ac:dyDescent="0.25">
      <c r="A161" s="8">
        <v>42686.734074074076</v>
      </c>
      <c r="B161" s="21" t="s">
        <v>285</v>
      </c>
      <c r="C161" s="21" t="s">
        <v>573</v>
      </c>
      <c r="D161" s="21">
        <v>2040000</v>
      </c>
      <c r="E161" s="21" t="s">
        <v>290</v>
      </c>
      <c r="F161" s="21" t="str">
        <f t="shared" si="4"/>
        <v>rtdc.l.rtdc.4026:itc</v>
      </c>
      <c r="G161" s="8">
        <f t="shared" si="5"/>
        <v>42686.734074074076</v>
      </c>
    </row>
    <row r="162" spans="1:7" x14ac:dyDescent="0.25">
      <c r="A162" s="8">
        <v>42686.735347222224</v>
      </c>
      <c r="B162" s="21" t="s">
        <v>221</v>
      </c>
      <c r="C162" s="21" t="s">
        <v>574</v>
      </c>
      <c r="D162" s="21">
        <v>1810000</v>
      </c>
      <c r="E162" s="21" t="s">
        <v>575</v>
      </c>
      <c r="F162" s="21" t="str">
        <f t="shared" si="4"/>
        <v>rtdc.l.rtdc.4011:itc</v>
      </c>
      <c r="G162" s="8">
        <f t="shared" si="5"/>
        <v>42686.735347222224</v>
      </c>
    </row>
    <row r="163" spans="1:7" x14ac:dyDescent="0.25">
      <c r="A163" s="8">
        <v>42686.735925925925</v>
      </c>
      <c r="B163" s="21" t="s">
        <v>218</v>
      </c>
      <c r="C163" s="21" t="s">
        <v>576</v>
      </c>
      <c r="D163" s="21">
        <v>2280000</v>
      </c>
      <c r="E163" s="21" t="s">
        <v>543</v>
      </c>
      <c r="F163" s="21" t="str">
        <f t="shared" si="4"/>
        <v>rtdc.l.rtdc.4030:itc</v>
      </c>
      <c r="G163" s="8">
        <f t="shared" si="5"/>
        <v>42686.735925925925</v>
      </c>
    </row>
    <row r="164" spans="1:7" x14ac:dyDescent="0.25">
      <c r="A164" s="8">
        <v>42686.744398148148</v>
      </c>
      <c r="B164" s="21" t="s">
        <v>237</v>
      </c>
      <c r="C164" s="21" t="s">
        <v>438</v>
      </c>
      <c r="D164" s="21">
        <v>2360000</v>
      </c>
      <c r="E164" s="21" t="s">
        <v>577</v>
      </c>
      <c r="F164" s="21" t="str">
        <f t="shared" si="4"/>
        <v>rtdc.l.rtdc.4004:itc</v>
      </c>
      <c r="G164" s="8">
        <f t="shared" si="5"/>
        <v>42686.744398148148</v>
      </c>
    </row>
    <row r="165" spans="1:7" x14ac:dyDescent="0.25">
      <c r="A165" s="8">
        <v>42686.744745370372</v>
      </c>
      <c r="B165" s="21" t="s">
        <v>242</v>
      </c>
      <c r="C165" s="21" t="s">
        <v>578</v>
      </c>
      <c r="D165" s="21">
        <v>2020000</v>
      </c>
      <c r="E165" s="21" t="s">
        <v>316</v>
      </c>
      <c r="F165" s="21" t="str">
        <f t="shared" si="4"/>
        <v>rtdc.l.rtdc.4041:itc</v>
      </c>
      <c r="G165" s="8">
        <f t="shared" si="5"/>
        <v>42686.744745370372</v>
      </c>
    </row>
    <row r="166" spans="1:7" x14ac:dyDescent="0.25">
      <c r="A166" s="8">
        <v>42686.749259259261</v>
      </c>
      <c r="B166" s="21" t="s">
        <v>429</v>
      </c>
      <c r="C166" s="21" t="s">
        <v>579</v>
      </c>
      <c r="D166" s="21">
        <v>1740000</v>
      </c>
      <c r="E166" s="21" t="s">
        <v>317</v>
      </c>
      <c r="F166" s="21" t="str">
        <f t="shared" si="4"/>
        <v>rtdc.l.rtdc.4014:itc</v>
      </c>
      <c r="G166" s="8">
        <f t="shared" si="5"/>
        <v>42686.749259259261</v>
      </c>
    </row>
    <row r="167" spans="1:7" x14ac:dyDescent="0.25">
      <c r="A167" s="8">
        <v>42686.752476851849</v>
      </c>
      <c r="B167" s="21" t="s">
        <v>313</v>
      </c>
      <c r="C167" s="21" t="s">
        <v>580</v>
      </c>
      <c r="D167" s="21">
        <v>1770000</v>
      </c>
      <c r="E167" s="21" t="s">
        <v>522</v>
      </c>
      <c r="F167" s="21" t="str">
        <f t="shared" si="4"/>
        <v>rtdc.l.rtdc.4037:itc</v>
      </c>
      <c r="G167" s="8">
        <f t="shared" si="5"/>
        <v>42686.752476851849</v>
      </c>
    </row>
    <row r="168" spans="1:7" x14ac:dyDescent="0.25">
      <c r="A168" s="8">
        <v>42686.758206018516</v>
      </c>
      <c r="B168" s="21" t="s">
        <v>306</v>
      </c>
      <c r="C168" s="21" t="s">
        <v>581</v>
      </c>
      <c r="D168" s="21">
        <v>1800000</v>
      </c>
      <c r="E168" s="21" t="s">
        <v>363</v>
      </c>
      <c r="F168" s="21" t="str">
        <f t="shared" si="4"/>
        <v>rtdc.l.rtdc.4053:itc</v>
      </c>
      <c r="G168" s="8">
        <f t="shared" si="5"/>
        <v>42686.758206018516</v>
      </c>
    </row>
    <row r="169" spans="1:7" x14ac:dyDescent="0.25">
      <c r="A169" s="8">
        <v>42686.758726851855</v>
      </c>
      <c r="B169" s="21" t="s">
        <v>217</v>
      </c>
      <c r="C169" s="21" t="s">
        <v>582</v>
      </c>
      <c r="D169" s="21">
        <v>2280000</v>
      </c>
      <c r="E169" s="21" t="s">
        <v>543</v>
      </c>
      <c r="F169" s="21" t="str">
        <f t="shared" si="4"/>
        <v>rtdc.l.rtdc.4029:itc</v>
      </c>
      <c r="G169" s="8">
        <f t="shared" si="5"/>
        <v>42686.758726851855</v>
      </c>
    </row>
    <row r="170" spans="1:7" x14ac:dyDescent="0.25">
      <c r="A170" s="8">
        <v>42686.762407407405</v>
      </c>
      <c r="B170" s="21" t="s">
        <v>289</v>
      </c>
      <c r="C170" s="21" t="s">
        <v>583</v>
      </c>
      <c r="D170" s="21">
        <v>930000</v>
      </c>
      <c r="E170" s="21" t="s">
        <v>360</v>
      </c>
      <c r="F170" s="21" t="str">
        <f t="shared" si="4"/>
        <v>rtdc.l.rtdc.4021:itc</v>
      </c>
      <c r="G170" s="8">
        <f t="shared" si="5"/>
        <v>42686.762407407405</v>
      </c>
    </row>
    <row r="171" spans="1:7" x14ac:dyDescent="0.25">
      <c r="A171" s="8">
        <v>42686.766944444447</v>
      </c>
      <c r="B171" s="21" t="s">
        <v>249</v>
      </c>
      <c r="C171" s="21" t="s">
        <v>584</v>
      </c>
      <c r="D171" s="21">
        <v>2000000</v>
      </c>
      <c r="E171" s="21" t="s">
        <v>244</v>
      </c>
      <c r="F171" s="21" t="str">
        <f t="shared" si="4"/>
        <v>rtdc.l.rtdc.4025:itc</v>
      </c>
      <c r="G171" s="8">
        <f t="shared" si="5"/>
        <v>42686.766944444447</v>
      </c>
    </row>
    <row r="172" spans="1:7" x14ac:dyDescent="0.25">
      <c r="A172" s="8">
        <v>42686.76761574074</v>
      </c>
      <c r="B172" s="21" t="s">
        <v>251</v>
      </c>
      <c r="C172" s="21" t="s">
        <v>585</v>
      </c>
      <c r="D172" s="21">
        <v>1810000</v>
      </c>
      <c r="E172" s="21" t="s">
        <v>575</v>
      </c>
      <c r="F172" s="21" t="str">
        <f t="shared" si="4"/>
        <v>rtdc.l.rtdc.4012:itc</v>
      </c>
      <c r="G172" s="8">
        <f t="shared" si="5"/>
        <v>42686.76761574074</v>
      </c>
    </row>
    <row r="173" spans="1:7" x14ac:dyDescent="0.25">
      <c r="A173" s="8">
        <v>42686.77721064815</v>
      </c>
      <c r="B173" s="21" t="s">
        <v>218</v>
      </c>
      <c r="C173" s="21" t="s">
        <v>586</v>
      </c>
      <c r="D173" s="21">
        <v>2280000</v>
      </c>
      <c r="E173" s="21" t="s">
        <v>543</v>
      </c>
      <c r="F173" s="21" t="str">
        <f t="shared" si="4"/>
        <v>rtdc.l.rtdc.4030:itc</v>
      </c>
      <c r="G173" s="8">
        <f t="shared" si="5"/>
        <v>42686.77721064815</v>
      </c>
    </row>
    <row r="174" spans="1:7" x14ac:dyDescent="0.25">
      <c r="A174" s="8">
        <v>42686.777488425927</v>
      </c>
      <c r="B174" s="21" t="s">
        <v>243</v>
      </c>
      <c r="C174" s="21" t="s">
        <v>587</v>
      </c>
      <c r="D174" s="21">
        <v>2020000</v>
      </c>
      <c r="E174" s="21" t="s">
        <v>316</v>
      </c>
      <c r="F174" s="21" t="str">
        <f t="shared" si="4"/>
        <v>rtdc.l.rtdc.4042:itc</v>
      </c>
      <c r="G174" s="8">
        <f t="shared" si="5"/>
        <v>42686.777488425927</v>
      </c>
    </row>
    <row r="175" spans="1:7" x14ac:dyDescent="0.25">
      <c r="A175" s="8">
        <v>42686.784328703703</v>
      </c>
      <c r="B175" s="21" t="s">
        <v>439</v>
      </c>
      <c r="C175" s="21" t="s">
        <v>440</v>
      </c>
      <c r="D175" s="21">
        <v>1740000</v>
      </c>
      <c r="E175" s="21" t="s">
        <v>317</v>
      </c>
      <c r="F175" s="21" t="str">
        <f t="shared" si="4"/>
        <v>rtdc.l.rtdc.4013:itc</v>
      </c>
      <c r="G175" s="8">
        <f t="shared" si="5"/>
        <v>42686.784328703703</v>
      </c>
    </row>
    <row r="176" spans="1:7" x14ac:dyDescent="0.25">
      <c r="A176" s="8">
        <v>42686.786400462966</v>
      </c>
      <c r="B176" s="21" t="s">
        <v>307</v>
      </c>
      <c r="C176" s="21" t="s">
        <v>588</v>
      </c>
      <c r="D176" s="21">
        <v>1300000</v>
      </c>
      <c r="E176" s="21" t="s">
        <v>113</v>
      </c>
      <c r="F176" s="21" t="str">
        <f t="shared" si="4"/>
        <v>rtdc.l.rtdc.4038:itc</v>
      </c>
      <c r="G176" s="8">
        <f t="shared" si="5"/>
        <v>42686.786400462966</v>
      </c>
    </row>
    <row r="177" spans="1:7" x14ac:dyDescent="0.25">
      <c r="A177" s="8">
        <v>42686.798460648148</v>
      </c>
      <c r="B177" s="21" t="s">
        <v>305</v>
      </c>
      <c r="C177" s="21" t="s">
        <v>589</v>
      </c>
      <c r="D177" s="21">
        <v>1800000</v>
      </c>
      <c r="E177" s="21" t="s">
        <v>363</v>
      </c>
      <c r="F177" s="21" t="str">
        <f t="shared" si="4"/>
        <v>rtdc.l.rtdc.4054:itc</v>
      </c>
      <c r="G177" s="8">
        <f t="shared" si="5"/>
        <v>42686.798460648148</v>
      </c>
    </row>
    <row r="178" spans="1:7" x14ac:dyDescent="0.25">
      <c r="A178" s="8">
        <v>42686.801365740743</v>
      </c>
      <c r="B178" s="21" t="s">
        <v>287</v>
      </c>
      <c r="C178" s="21" t="s">
        <v>590</v>
      </c>
      <c r="D178" s="21">
        <v>930000</v>
      </c>
      <c r="E178" s="21" t="s">
        <v>360</v>
      </c>
      <c r="F178" s="21" t="str">
        <f t="shared" si="4"/>
        <v>rtdc.l.rtdc.4022:itc</v>
      </c>
      <c r="G178" s="8">
        <f t="shared" si="5"/>
        <v>42686.801365740743</v>
      </c>
    </row>
    <row r="179" spans="1:7" x14ac:dyDescent="0.25">
      <c r="A179" s="8">
        <v>42686.805081018516</v>
      </c>
      <c r="B179" s="21" t="s">
        <v>217</v>
      </c>
      <c r="C179" s="21" t="s">
        <v>591</v>
      </c>
      <c r="D179" s="21">
        <v>2280000</v>
      </c>
      <c r="E179" s="21" t="s">
        <v>543</v>
      </c>
      <c r="F179" s="21" t="str">
        <f t="shared" si="4"/>
        <v>rtdc.l.rtdc.4029:itc</v>
      </c>
      <c r="G179" s="8">
        <f t="shared" si="5"/>
        <v>42686.805081018516</v>
      </c>
    </row>
    <row r="180" spans="1:7" x14ac:dyDescent="0.25">
      <c r="A180" s="8">
        <v>42686.807291666664</v>
      </c>
      <c r="B180" s="21" t="s">
        <v>285</v>
      </c>
      <c r="C180" s="21" t="s">
        <v>592</v>
      </c>
      <c r="D180" s="21">
        <v>2000000</v>
      </c>
      <c r="E180" s="21" t="s">
        <v>244</v>
      </c>
      <c r="F180" s="21" t="str">
        <f t="shared" si="4"/>
        <v>rtdc.l.rtdc.4026:itc</v>
      </c>
      <c r="G180" s="8">
        <f t="shared" si="5"/>
        <v>42686.807291666664</v>
      </c>
    </row>
    <row r="181" spans="1:7" x14ac:dyDescent="0.25">
      <c r="A181" s="8">
        <v>42686.807905092595</v>
      </c>
      <c r="B181" s="21" t="s">
        <v>221</v>
      </c>
      <c r="C181" s="21" t="s">
        <v>593</v>
      </c>
      <c r="D181" s="21">
        <v>1810000</v>
      </c>
      <c r="E181" s="21" t="s">
        <v>575</v>
      </c>
      <c r="F181" s="21" t="str">
        <f t="shared" si="4"/>
        <v>rtdc.l.rtdc.4011:itc</v>
      </c>
      <c r="G181" s="8">
        <f t="shared" si="5"/>
        <v>42686.807905092595</v>
      </c>
    </row>
    <row r="182" spans="1:7" x14ac:dyDescent="0.25">
      <c r="A182" s="8">
        <v>42686.817523148151</v>
      </c>
      <c r="B182" s="21" t="s">
        <v>218</v>
      </c>
      <c r="C182" s="21" t="s">
        <v>594</v>
      </c>
      <c r="D182" s="21">
        <v>2280000</v>
      </c>
      <c r="E182" s="21" t="s">
        <v>543</v>
      </c>
      <c r="F182" s="21" t="str">
        <f t="shared" si="4"/>
        <v>rtdc.l.rtdc.4030:itc</v>
      </c>
      <c r="G182" s="8">
        <f t="shared" si="5"/>
        <v>42686.817523148151</v>
      </c>
    </row>
    <row r="183" spans="1:7" x14ac:dyDescent="0.25">
      <c r="A183" s="8">
        <v>42686.818831018521</v>
      </c>
      <c r="B183" s="21" t="s">
        <v>429</v>
      </c>
      <c r="C183" s="21" t="s">
        <v>595</v>
      </c>
      <c r="D183" s="21">
        <v>1740000</v>
      </c>
      <c r="E183" s="21" t="s">
        <v>317</v>
      </c>
      <c r="F183" s="21" t="str">
        <f t="shared" si="4"/>
        <v>rtdc.l.rtdc.4014:itc</v>
      </c>
      <c r="G183" s="8">
        <f t="shared" si="5"/>
        <v>42686.818831018521</v>
      </c>
    </row>
    <row r="184" spans="1:7" x14ac:dyDescent="0.25">
      <c r="A184" s="8">
        <v>42686.827384259261</v>
      </c>
      <c r="B184" s="21" t="s">
        <v>313</v>
      </c>
      <c r="C184" s="21" t="s">
        <v>596</v>
      </c>
      <c r="D184" s="21">
        <v>1300000</v>
      </c>
      <c r="E184" s="21" t="s">
        <v>113</v>
      </c>
      <c r="F184" s="21" t="str">
        <f t="shared" si="4"/>
        <v>rtdc.l.rtdc.4037:itc</v>
      </c>
      <c r="G184" s="8">
        <f t="shared" si="5"/>
        <v>42686.827384259261</v>
      </c>
    </row>
    <row r="185" spans="1:7" x14ac:dyDescent="0.25">
      <c r="A185" s="8">
        <v>42686.833506944444</v>
      </c>
      <c r="B185" s="21" t="s">
        <v>306</v>
      </c>
      <c r="C185" s="21" t="s">
        <v>597</v>
      </c>
      <c r="D185" s="21">
        <v>1800000</v>
      </c>
      <c r="E185" s="21" t="s">
        <v>363</v>
      </c>
      <c r="F185" s="21" t="str">
        <f t="shared" si="4"/>
        <v>rtdc.l.rtdc.4053:itc</v>
      </c>
      <c r="G185" s="8">
        <f t="shared" si="5"/>
        <v>42686.833506944444</v>
      </c>
    </row>
    <row r="186" spans="1:7" x14ac:dyDescent="0.25">
      <c r="A186" s="8">
        <v>42686.837094907409</v>
      </c>
      <c r="B186" s="21" t="s">
        <v>249</v>
      </c>
      <c r="C186" s="21" t="s">
        <v>598</v>
      </c>
      <c r="D186" s="21">
        <v>2000000</v>
      </c>
      <c r="E186" s="21" t="s">
        <v>244</v>
      </c>
      <c r="F186" s="21" t="str">
        <f t="shared" si="4"/>
        <v>rtdc.l.rtdc.4025:itc</v>
      </c>
      <c r="G186" s="8">
        <f t="shared" si="5"/>
        <v>42686.837094907409</v>
      </c>
    </row>
    <row r="187" spans="1:7" x14ac:dyDescent="0.25">
      <c r="A187" s="8">
        <v>42686.838263888887</v>
      </c>
      <c r="B187" s="21" t="s">
        <v>251</v>
      </c>
      <c r="C187" s="21" t="s">
        <v>441</v>
      </c>
      <c r="D187" s="21">
        <v>1810000</v>
      </c>
      <c r="E187" s="21" t="s">
        <v>575</v>
      </c>
      <c r="F187" s="21" t="str">
        <f t="shared" si="4"/>
        <v>rtdc.l.rtdc.4012:itc</v>
      </c>
      <c r="G187" s="8">
        <f t="shared" si="5"/>
        <v>42686.838263888887</v>
      </c>
    </row>
    <row r="188" spans="1:7" x14ac:dyDescent="0.25">
      <c r="A188" s="8">
        <v>42686.846365740741</v>
      </c>
      <c r="B188" s="21" t="s">
        <v>217</v>
      </c>
      <c r="C188" s="21" t="s">
        <v>442</v>
      </c>
      <c r="D188" s="21">
        <v>2280000</v>
      </c>
      <c r="E188" s="21" t="s">
        <v>543</v>
      </c>
      <c r="F188" s="21" t="str">
        <f t="shared" si="4"/>
        <v>rtdc.l.rtdc.4029:itc</v>
      </c>
      <c r="G188" s="8">
        <f t="shared" si="5"/>
        <v>42686.846365740741</v>
      </c>
    </row>
    <row r="189" spans="1:7" x14ac:dyDescent="0.25">
      <c r="A189" s="8">
        <v>42686.860254629632</v>
      </c>
      <c r="B189" s="21" t="s">
        <v>218</v>
      </c>
      <c r="C189" s="21" t="s">
        <v>599</v>
      </c>
      <c r="D189" s="21">
        <v>2280000</v>
      </c>
      <c r="E189" s="21" t="s">
        <v>543</v>
      </c>
      <c r="F189" s="21" t="str">
        <f t="shared" si="4"/>
        <v>rtdc.l.rtdc.4030:itc</v>
      </c>
      <c r="G189" s="8">
        <f t="shared" si="5"/>
        <v>42686.860254629632</v>
      </c>
    </row>
    <row r="190" spans="1:7" x14ac:dyDescent="0.25">
      <c r="A190" s="8">
        <v>42686.868275462963</v>
      </c>
      <c r="B190" s="21" t="s">
        <v>305</v>
      </c>
      <c r="C190" s="21" t="s">
        <v>600</v>
      </c>
      <c r="D190" s="21">
        <v>1800000</v>
      </c>
      <c r="E190" s="21" t="s">
        <v>363</v>
      </c>
      <c r="F190" s="21" t="str">
        <f t="shared" si="4"/>
        <v>rtdc.l.rtdc.4054:itc</v>
      </c>
      <c r="G190" s="8">
        <f t="shared" si="5"/>
        <v>42686.868275462963</v>
      </c>
    </row>
    <row r="191" spans="1:7" x14ac:dyDescent="0.25">
      <c r="A191" s="8">
        <v>42686.870011574072</v>
      </c>
      <c r="B191" s="21" t="s">
        <v>307</v>
      </c>
      <c r="C191" s="21" t="s">
        <v>601</v>
      </c>
      <c r="D191" s="21">
        <v>1300000</v>
      </c>
      <c r="E191" s="21" t="s">
        <v>113</v>
      </c>
      <c r="F191" s="21" t="str">
        <f t="shared" si="4"/>
        <v>rtdc.l.rtdc.4038:itc</v>
      </c>
      <c r="G191" s="8">
        <f t="shared" si="5"/>
        <v>42686.870011574072</v>
      </c>
    </row>
    <row r="192" spans="1:7" x14ac:dyDescent="0.25">
      <c r="A192" s="8">
        <v>42686.879861111112</v>
      </c>
      <c r="B192" s="21" t="s">
        <v>221</v>
      </c>
      <c r="C192" s="21" t="s">
        <v>602</v>
      </c>
      <c r="D192" s="21">
        <v>1810000</v>
      </c>
      <c r="E192" s="21" t="s">
        <v>575</v>
      </c>
      <c r="F192" s="21" t="str">
        <f t="shared" si="4"/>
        <v>rtdc.l.rtdc.4011:itc</v>
      </c>
      <c r="G192" s="8">
        <f t="shared" si="5"/>
        <v>42686.879861111112</v>
      </c>
    </row>
    <row r="193" spans="1:7" x14ac:dyDescent="0.25">
      <c r="A193" s="8">
        <v>42686.887488425928</v>
      </c>
      <c r="B193" s="21" t="s">
        <v>217</v>
      </c>
      <c r="C193" s="21" t="s">
        <v>603</v>
      </c>
      <c r="D193" s="21">
        <v>2280000</v>
      </c>
      <c r="E193" s="21" t="s">
        <v>543</v>
      </c>
      <c r="F193" s="21" t="str">
        <f t="shared" si="4"/>
        <v>rtdc.l.rtdc.4029:itc</v>
      </c>
      <c r="G193" s="8">
        <f t="shared" si="5"/>
        <v>42686.887488425928</v>
      </c>
    </row>
    <row r="194" spans="1:7" x14ac:dyDescent="0.25">
      <c r="A194" s="8">
        <v>42686.890289351853</v>
      </c>
      <c r="B194" s="21" t="s">
        <v>285</v>
      </c>
      <c r="C194" s="21" t="s">
        <v>604</v>
      </c>
      <c r="D194" s="21">
        <v>2000000</v>
      </c>
      <c r="E194" s="21" t="s">
        <v>244</v>
      </c>
      <c r="F194" s="21" t="str">
        <f t="shared" ref="F194:F235" si="6">B194</f>
        <v>rtdc.l.rtdc.4026:itc</v>
      </c>
      <c r="G194" s="8">
        <f t="shared" ref="G194:G235" si="7">A194</f>
        <v>42686.890289351853</v>
      </c>
    </row>
    <row r="195" spans="1:7" x14ac:dyDescent="0.25">
      <c r="A195" s="8">
        <v>42686.912442129629</v>
      </c>
      <c r="B195" s="21" t="s">
        <v>313</v>
      </c>
      <c r="C195" s="21" t="s">
        <v>605</v>
      </c>
      <c r="D195" s="21">
        <v>1300000</v>
      </c>
      <c r="E195" s="21" t="s">
        <v>113</v>
      </c>
      <c r="F195" s="21" t="str">
        <f t="shared" si="6"/>
        <v>rtdc.l.rtdc.4037:itc</v>
      </c>
      <c r="G195" s="8">
        <f t="shared" si="7"/>
        <v>42686.912442129629</v>
      </c>
    </row>
    <row r="196" spans="1:7" x14ac:dyDescent="0.25">
      <c r="A196" s="8">
        <v>42686.914155092592</v>
      </c>
      <c r="B196" s="21" t="s">
        <v>306</v>
      </c>
      <c r="C196" s="21" t="s">
        <v>606</v>
      </c>
      <c r="D196" s="21">
        <v>1800000</v>
      </c>
      <c r="E196" s="21" t="s">
        <v>363</v>
      </c>
      <c r="F196" s="21" t="str">
        <f t="shared" si="6"/>
        <v>rtdc.l.rtdc.4053:itc</v>
      </c>
      <c r="G196" s="8">
        <f t="shared" si="7"/>
        <v>42686.914155092592</v>
      </c>
    </row>
    <row r="197" spans="1:7" x14ac:dyDescent="0.25">
      <c r="A197" s="8">
        <v>42686.920590277776</v>
      </c>
      <c r="B197" s="21" t="s">
        <v>249</v>
      </c>
      <c r="C197" s="21" t="s">
        <v>607</v>
      </c>
      <c r="D197" s="21">
        <v>2000000</v>
      </c>
      <c r="E197" s="21" t="s">
        <v>244</v>
      </c>
      <c r="F197" s="21" t="str">
        <f t="shared" si="6"/>
        <v>rtdc.l.rtdc.4025:itc</v>
      </c>
      <c r="G197" s="8">
        <f t="shared" si="7"/>
        <v>42686.920590277776</v>
      </c>
    </row>
    <row r="198" spans="1:7" x14ac:dyDescent="0.25">
      <c r="A198" s="8">
        <v>42686.922407407408</v>
      </c>
      <c r="B198" s="21" t="s">
        <v>251</v>
      </c>
      <c r="C198" s="21" t="s">
        <v>608</v>
      </c>
      <c r="D198" s="21">
        <v>1810000</v>
      </c>
      <c r="E198" s="21" t="s">
        <v>575</v>
      </c>
      <c r="F198" s="21" t="str">
        <f t="shared" si="6"/>
        <v>rtdc.l.rtdc.4012:itc</v>
      </c>
      <c r="G198" s="8">
        <f t="shared" si="7"/>
        <v>42686.922407407408</v>
      </c>
    </row>
    <row r="199" spans="1:7" x14ac:dyDescent="0.25">
      <c r="A199" s="8">
        <v>42686.925740740742</v>
      </c>
      <c r="B199" s="21" t="s">
        <v>217</v>
      </c>
      <c r="C199" s="21" t="s">
        <v>609</v>
      </c>
      <c r="D199" s="21">
        <v>2280000</v>
      </c>
      <c r="E199" s="21" t="s">
        <v>543</v>
      </c>
      <c r="F199" s="21" t="str">
        <f t="shared" si="6"/>
        <v>rtdc.l.rtdc.4029:itc</v>
      </c>
      <c r="G199" s="8">
        <f t="shared" si="7"/>
        <v>42686.925740740742</v>
      </c>
    </row>
    <row r="200" spans="1:7" x14ac:dyDescent="0.25">
      <c r="A200" s="8">
        <v>42686.94295138889</v>
      </c>
      <c r="B200" s="21" t="s">
        <v>218</v>
      </c>
      <c r="C200" s="21" t="s">
        <v>610</v>
      </c>
      <c r="D200" s="21">
        <v>2280000</v>
      </c>
      <c r="E200" s="21" t="s">
        <v>543</v>
      </c>
      <c r="F200" s="21" t="str">
        <f t="shared" si="6"/>
        <v>rtdc.l.rtdc.4030:itc</v>
      </c>
      <c r="G200" s="8">
        <f t="shared" si="7"/>
        <v>42686.94295138889</v>
      </c>
    </row>
    <row r="201" spans="1:7" x14ac:dyDescent="0.25">
      <c r="A201" s="8">
        <v>42686.946747685186</v>
      </c>
      <c r="B201" s="21" t="s">
        <v>218</v>
      </c>
      <c r="C201" s="21" t="s">
        <v>610</v>
      </c>
      <c r="D201" s="21">
        <v>2280000</v>
      </c>
      <c r="E201" s="21" t="s">
        <v>543</v>
      </c>
      <c r="F201" s="21" t="str">
        <f t="shared" si="6"/>
        <v>rtdc.l.rtdc.4030:itc</v>
      </c>
      <c r="G201" s="8">
        <f t="shared" si="7"/>
        <v>42686.946747685186</v>
      </c>
    </row>
    <row r="202" spans="1:7" x14ac:dyDescent="0.25">
      <c r="A202" s="27">
        <v>42686.948425925926</v>
      </c>
      <c r="B202" s="21" t="s">
        <v>218</v>
      </c>
      <c r="C202" s="21" t="s">
        <v>610</v>
      </c>
      <c r="D202" s="21">
        <v>2280000</v>
      </c>
      <c r="E202" s="21" t="s">
        <v>543</v>
      </c>
      <c r="F202" s="21" t="str">
        <f t="shared" si="6"/>
        <v>rtdc.l.rtdc.4030:itc</v>
      </c>
      <c r="G202" s="8">
        <f t="shared" si="7"/>
        <v>42686.948425925926</v>
      </c>
    </row>
    <row r="203" spans="1:7" x14ac:dyDescent="0.25">
      <c r="A203" s="8">
        <v>42686.951168981483</v>
      </c>
      <c r="B203" s="21" t="s">
        <v>307</v>
      </c>
      <c r="C203" s="21" t="s">
        <v>611</v>
      </c>
      <c r="D203" s="21">
        <v>1300000</v>
      </c>
      <c r="E203" s="21" t="s">
        <v>113</v>
      </c>
      <c r="F203" s="21" t="str">
        <f t="shared" si="6"/>
        <v>rtdc.l.rtdc.4038:itc</v>
      </c>
      <c r="G203" s="8">
        <f t="shared" si="7"/>
        <v>42686.951168981483</v>
      </c>
    </row>
    <row r="204" spans="1:7" x14ac:dyDescent="0.25">
      <c r="A204" s="8">
        <v>42686.951539351852</v>
      </c>
      <c r="B204" s="21" t="s">
        <v>305</v>
      </c>
      <c r="C204" s="21" t="s">
        <v>612</v>
      </c>
      <c r="D204" s="21">
        <v>1800000</v>
      </c>
      <c r="E204" s="21" t="s">
        <v>363</v>
      </c>
      <c r="F204" s="21" t="str">
        <f t="shared" si="6"/>
        <v>rtdc.l.rtdc.4054:itc</v>
      </c>
      <c r="G204" s="8">
        <f t="shared" si="7"/>
        <v>42686.951539351852</v>
      </c>
    </row>
    <row r="205" spans="1:7" x14ac:dyDescent="0.25">
      <c r="A205" s="8">
        <v>42686.963217592594</v>
      </c>
      <c r="B205" s="21" t="s">
        <v>221</v>
      </c>
      <c r="C205" s="21" t="s">
        <v>613</v>
      </c>
      <c r="D205" s="21">
        <v>1810000</v>
      </c>
      <c r="E205" s="21" t="s">
        <v>575</v>
      </c>
      <c r="F205" s="21" t="str">
        <f t="shared" si="6"/>
        <v>rtdc.l.rtdc.4011:itc</v>
      </c>
      <c r="G205" s="8">
        <f t="shared" si="7"/>
        <v>42686.963217592594</v>
      </c>
    </row>
    <row r="206" spans="1:7" x14ac:dyDescent="0.25">
      <c r="A206" s="8">
        <v>42686.974097222221</v>
      </c>
      <c r="B206" s="21" t="s">
        <v>285</v>
      </c>
      <c r="C206" s="21" t="s">
        <v>614</v>
      </c>
      <c r="D206" s="21">
        <v>2000000</v>
      </c>
      <c r="E206" s="21" t="s">
        <v>244</v>
      </c>
      <c r="F206" s="21" t="str">
        <f t="shared" si="6"/>
        <v>rtdc.l.rtdc.4026:itc</v>
      </c>
      <c r="G206" s="8">
        <f t="shared" si="7"/>
        <v>42686.974097222221</v>
      </c>
    </row>
    <row r="207" spans="1:7" x14ac:dyDescent="0.25">
      <c r="A207" s="8">
        <v>42686.977546296293</v>
      </c>
      <c r="B207" s="21" t="s">
        <v>221</v>
      </c>
      <c r="C207" s="21" t="s">
        <v>613</v>
      </c>
      <c r="D207" s="21">
        <v>1810000</v>
      </c>
      <c r="E207" s="21" t="s">
        <v>575</v>
      </c>
      <c r="F207" s="21" t="str">
        <f t="shared" si="6"/>
        <v>rtdc.l.rtdc.4011:itc</v>
      </c>
      <c r="G207" s="8">
        <f t="shared" si="7"/>
        <v>42686.977546296293</v>
      </c>
    </row>
    <row r="208" spans="1:7" x14ac:dyDescent="0.25">
      <c r="A208" s="8">
        <v>42686.996539351851</v>
      </c>
      <c r="B208" s="21" t="s">
        <v>313</v>
      </c>
      <c r="C208" s="21" t="s">
        <v>615</v>
      </c>
      <c r="D208" s="21">
        <v>1300000</v>
      </c>
      <c r="E208" s="21" t="s">
        <v>113</v>
      </c>
      <c r="F208" s="21" t="str">
        <f t="shared" si="6"/>
        <v>rtdc.l.rtdc.4037:itc</v>
      </c>
      <c r="G208" s="8">
        <f t="shared" si="7"/>
        <v>42686.996539351851</v>
      </c>
    </row>
    <row r="209" spans="1:7" x14ac:dyDescent="0.25">
      <c r="A209" s="8">
        <v>42686.997766203705</v>
      </c>
      <c r="B209" s="21" t="s">
        <v>306</v>
      </c>
      <c r="C209" s="21" t="s">
        <v>616</v>
      </c>
      <c r="D209" s="21">
        <v>1800000</v>
      </c>
      <c r="E209" s="21" t="s">
        <v>363</v>
      </c>
      <c r="F209" s="21" t="str">
        <f t="shared" si="6"/>
        <v>rtdc.l.rtdc.4053:itc</v>
      </c>
      <c r="G209" s="8">
        <f t="shared" si="7"/>
        <v>42686.997766203705</v>
      </c>
    </row>
    <row r="210" spans="1:7" x14ac:dyDescent="0.25">
      <c r="A210" s="8">
        <v>42687.00439814815</v>
      </c>
      <c r="B210" s="21" t="s">
        <v>249</v>
      </c>
      <c r="C210" s="21" t="s">
        <v>617</v>
      </c>
      <c r="D210" s="21">
        <v>2000000</v>
      </c>
      <c r="E210" s="21" t="s">
        <v>244</v>
      </c>
      <c r="F210" s="21" t="str">
        <f t="shared" si="6"/>
        <v>rtdc.l.rtdc.4025:itc</v>
      </c>
      <c r="G210" s="8">
        <f t="shared" si="7"/>
        <v>42687.00439814815</v>
      </c>
    </row>
    <row r="211" spans="1:7" x14ac:dyDescent="0.25">
      <c r="A211" s="8">
        <v>42687.011261574073</v>
      </c>
      <c r="B211" s="21" t="s">
        <v>251</v>
      </c>
      <c r="C211" s="21" t="s">
        <v>618</v>
      </c>
      <c r="D211" s="21">
        <v>1810000</v>
      </c>
      <c r="E211" s="21" t="s">
        <v>575</v>
      </c>
      <c r="F211" s="21" t="str">
        <f t="shared" si="6"/>
        <v>rtdc.l.rtdc.4012:itc</v>
      </c>
      <c r="G211" s="8">
        <f t="shared" si="7"/>
        <v>42687.011261574073</v>
      </c>
    </row>
    <row r="212" spans="1:7" x14ac:dyDescent="0.25">
      <c r="A212" s="8">
        <v>42687.037754629629</v>
      </c>
      <c r="B212" s="21" t="s">
        <v>307</v>
      </c>
      <c r="C212" s="21" t="s">
        <v>619</v>
      </c>
      <c r="D212" s="21">
        <v>1300000</v>
      </c>
      <c r="E212" s="21" t="s">
        <v>113</v>
      </c>
      <c r="F212" s="21" t="str">
        <f t="shared" si="6"/>
        <v>rtdc.l.rtdc.4038:itc</v>
      </c>
      <c r="G212" s="8">
        <f t="shared" si="7"/>
        <v>42687.037754629629</v>
      </c>
    </row>
    <row r="213" spans="1:7" x14ac:dyDescent="0.25">
      <c r="A213" s="8">
        <v>42687.038055555553</v>
      </c>
      <c r="B213" s="21" t="s">
        <v>305</v>
      </c>
      <c r="C213" s="21" t="s">
        <v>620</v>
      </c>
      <c r="D213" s="21">
        <v>1800000</v>
      </c>
      <c r="E213" s="21" t="s">
        <v>363</v>
      </c>
      <c r="F213" s="21" t="str">
        <f t="shared" si="6"/>
        <v>rtdc.l.rtdc.4054:itc</v>
      </c>
      <c r="G213" s="8">
        <f t="shared" si="7"/>
        <v>42687.038055555553</v>
      </c>
    </row>
    <row r="214" spans="1:7" x14ac:dyDescent="0.25">
      <c r="A214" s="8">
        <v>42687.0469212963</v>
      </c>
      <c r="B214" s="21" t="s">
        <v>221</v>
      </c>
      <c r="C214" s="21" t="s">
        <v>621</v>
      </c>
      <c r="D214" s="21">
        <v>1810000</v>
      </c>
      <c r="E214" s="21" t="s">
        <v>575</v>
      </c>
      <c r="F214" s="21" t="str">
        <f t="shared" si="6"/>
        <v>rtdc.l.rtdc.4011:itc</v>
      </c>
      <c r="G214" s="8">
        <f t="shared" si="7"/>
        <v>42687.0469212963</v>
      </c>
    </row>
    <row r="215" spans="1:7" x14ac:dyDescent="0.25">
      <c r="A215" s="8">
        <v>42687.054699074077</v>
      </c>
      <c r="B215" s="21" t="s">
        <v>285</v>
      </c>
      <c r="C215" s="21" t="s">
        <v>622</v>
      </c>
      <c r="D215" s="21">
        <v>2000000</v>
      </c>
      <c r="E215" s="21" t="s">
        <v>244</v>
      </c>
      <c r="F215" s="21" t="str">
        <f t="shared" si="6"/>
        <v>rtdc.l.rtdc.4026:itc</v>
      </c>
      <c r="G215" s="8">
        <f t="shared" si="7"/>
        <v>42687.054699074077</v>
      </c>
    </row>
    <row r="216" spans="1:7" x14ac:dyDescent="0.25">
      <c r="A216" s="8">
        <v>42687.0700462963</v>
      </c>
      <c r="B216" s="21" t="s">
        <v>306</v>
      </c>
      <c r="C216" s="21" t="s">
        <v>623</v>
      </c>
      <c r="D216" s="21">
        <v>1800000</v>
      </c>
      <c r="E216" s="21" t="s">
        <v>363</v>
      </c>
      <c r="F216" s="21" t="str">
        <f t="shared" si="6"/>
        <v>rtdc.l.rtdc.4053:itc</v>
      </c>
      <c r="G216" s="8">
        <f t="shared" si="7"/>
        <v>42687.0700462963</v>
      </c>
    </row>
    <row r="217" spans="1:7" x14ac:dyDescent="0.25">
      <c r="A217" s="8">
        <v>42687.070844907408</v>
      </c>
      <c r="B217" s="21" t="s">
        <v>306</v>
      </c>
      <c r="C217" s="21" t="s">
        <v>623</v>
      </c>
      <c r="D217" s="21">
        <v>1800000</v>
      </c>
      <c r="E217" s="21" t="s">
        <v>363</v>
      </c>
      <c r="F217" s="21" t="str">
        <f t="shared" si="6"/>
        <v>rtdc.l.rtdc.4053:itc</v>
      </c>
      <c r="G217" s="8">
        <f t="shared" si="7"/>
        <v>42687.070844907408</v>
      </c>
    </row>
    <row r="218" spans="1:7" x14ac:dyDescent="0.25">
      <c r="A218" s="8">
        <v>42685.858946759261</v>
      </c>
      <c r="B218" s="21" t="s">
        <v>242</v>
      </c>
      <c r="C218" s="21" t="s">
        <v>364</v>
      </c>
      <c r="D218" s="21">
        <v>2600000</v>
      </c>
      <c r="E218" s="21" t="s">
        <v>318</v>
      </c>
      <c r="F218" s="21" t="str">
        <f t="shared" si="6"/>
        <v>rtdc.l.rtdc.4041:itc</v>
      </c>
      <c r="G218" s="8">
        <f t="shared" si="7"/>
        <v>42685.858946759261</v>
      </c>
    </row>
    <row r="219" spans="1:7" x14ac:dyDescent="0.25">
      <c r="A219" s="8">
        <v>42685.870671296296</v>
      </c>
      <c r="B219" s="21" t="s">
        <v>234</v>
      </c>
      <c r="C219" s="21" t="s">
        <v>365</v>
      </c>
      <c r="D219" s="21">
        <v>1800000</v>
      </c>
      <c r="E219" s="21" t="s">
        <v>363</v>
      </c>
      <c r="F219" s="21" t="str">
        <f t="shared" si="6"/>
        <v>rtdc.l.rtdc.4039:itc</v>
      </c>
      <c r="G219" s="8">
        <f t="shared" si="7"/>
        <v>42685.870671296296</v>
      </c>
    </row>
    <row r="220" spans="1:7" x14ac:dyDescent="0.25">
      <c r="A220" s="8">
        <v>42685.872384259259</v>
      </c>
      <c r="B220" s="21" t="s">
        <v>231</v>
      </c>
      <c r="C220" s="21" t="s">
        <v>366</v>
      </c>
      <c r="D220" s="21">
        <v>1300000</v>
      </c>
      <c r="E220" s="21" t="s">
        <v>113</v>
      </c>
      <c r="F220" s="21" t="str">
        <f t="shared" si="6"/>
        <v>rtdc.l.rtdc.4003:itc</v>
      </c>
      <c r="G220" s="8">
        <f t="shared" si="7"/>
        <v>42685.872384259259</v>
      </c>
    </row>
    <row r="221" spans="1:7" x14ac:dyDescent="0.25">
      <c r="A221" s="8">
        <v>42685.875856481478</v>
      </c>
      <c r="B221" s="21" t="s">
        <v>243</v>
      </c>
      <c r="C221" s="21" t="s">
        <v>367</v>
      </c>
      <c r="D221" s="21">
        <v>2630000</v>
      </c>
      <c r="E221" s="21" t="s">
        <v>362</v>
      </c>
      <c r="F221" s="21" t="str">
        <f t="shared" si="6"/>
        <v>rtdc.l.rtdc.4042:itc</v>
      </c>
      <c r="G221" s="8">
        <f t="shared" si="7"/>
        <v>42685.875856481478</v>
      </c>
    </row>
    <row r="222" spans="1:7" x14ac:dyDescent="0.25">
      <c r="A222" s="8">
        <v>42685.883368055554</v>
      </c>
      <c r="B222" s="21" t="s">
        <v>248</v>
      </c>
      <c r="C222" s="21" t="s">
        <v>368</v>
      </c>
      <c r="D222" s="21">
        <v>1230000</v>
      </c>
      <c r="E222" s="21" t="s">
        <v>264</v>
      </c>
      <c r="F222" s="21" t="str">
        <f t="shared" si="6"/>
        <v>rtdc.l.rtdc.4031:itc</v>
      </c>
      <c r="G222" s="8">
        <f t="shared" si="7"/>
        <v>42685.883368055554</v>
      </c>
    </row>
    <row r="223" spans="1:7" x14ac:dyDescent="0.25">
      <c r="A223" s="8">
        <v>42685.890914351854</v>
      </c>
      <c r="B223" s="21" t="s">
        <v>286</v>
      </c>
      <c r="C223" s="21" t="s">
        <v>356</v>
      </c>
      <c r="D223" s="21">
        <v>2000000</v>
      </c>
      <c r="E223" s="21" t="s">
        <v>244</v>
      </c>
      <c r="F223" s="21" t="str">
        <f t="shared" si="6"/>
        <v>rtdc.l.rtdc.4010:itc</v>
      </c>
      <c r="G223" s="8">
        <f t="shared" si="7"/>
        <v>42685.890914351854</v>
      </c>
    </row>
    <row r="224" spans="1:7" x14ac:dyDescent="0.25">
      <c r="A224" s="8">
        <v>42685.901296296295</v>
      </c>
      <c r="B224" t="s">
        <v>242</v>
      </c>
      <c r="C224" t="s">
        <v>369</v>
      </c>
      <c r="D224">
        <v>2630000</v>
      </c>
      <c r="E224" t="s">
        <v>362</v>
      </c>
      <c r="F224" s="21" t="str">
        <f t="shared" si="6"/>
        <v>rtdc.l.rtdc.4041:itc</v>
      </c>
      <c r="G224" s="8">
        <f t="shared" si="7"/>
        <v>42685.901296296295</v>
      </c>
    </row>
    <row r="225" spans="1:7" x14ac:dyDescent="0.25">
      <c r="A225" s="8">
        <v>42685.909247685187</v>
      </c>
      <c r="B225" t="s">
        <v>237</v>
      </c>
      <c r="C225" t="s">
        <v>370</v>
      </c>
      <c r="D225">
        <v>1300000</v>
      </c>
      <c r="E225" t="s">
        <v>113</v>
      </c>
      <c r="F225" s="21" t="str">
        <f t="shared" si="6"/>
        <v>rtdc.l.rtdc.4004:itc</v>
      </c>
      <c r="G225" s="8">
        <f t="shared" si="7"/>
        <v>42685.909247685187</v>
      </c>
    </row>
    <row r="226" spans="1:7" x14ac:dyDescent="0.25">
      <c r="A226" s="8">
        <v>42685.915625000001</v>
      </c>
      <c r="B226" t="s">
        <v>243</v>
      </c>
      <c r="C226" t="s">
        <v>371</v>
      </c>
      <c r="D226">
        <v>2630000</v>
      </c>
      <c r="E226" t="s">
        <v>362</v>
      </c>
      <c r="F226" s="21" t="str">
        <f t="shared" si="6"/>
        <v>rtdc.l.rtdc.4042:itc</v>
      </c>
      <c r="G226" s="8">
        <f t="shared" si="7"/>
        <v>42685.915625000001</v>
      </c>
    </row>
    <row r="227" spans="1:7" x14ac:dyDescent="0.25">
      <c r="A227" s="8">
        <v>42685.916562500002</v>
      </c>
      <c r="B227" t="s">
        <v>226</v>
      </c>
      <c r="C227" t="s">
        <v>372</v>
      </c>
      <c r="D227">
        <v>1800000</v>
      </c>
      <c r="E227" t="s">
        <v>363</v>
      </c>
      <c r="F227" s="21" t="str">
        <f t="shared" si="6"/>
        <v>rtdc.l.rtdc.4040:itc</v>
      </c>
      <c r="G227" s="8">
        <f t="shared" si="7"/>
        <v>42685.916562500002</v>
      </c>
    </row>
    <row r="228" spans="1:7" x14ac:dyDescent="0.25">
      <c r="A228" s="8">
        <v>42685.92732638889</v>
      </c>
      <c r="B228" t="s">
        <v>187</v>
      </c>
      <c r="C228" t="s">
        <v>373</v>
      </c>
      <c r="D228">
        <v>2000000</v>
      </c>
      <c r="E228" t="s">
        <v>244</v>
      </c>
      <c r="F228" s="21" t="str">
        <f t="shared" si="6"/>
        <v>rtdc.l.rtdc.4009:itc</v>
      </c>
      <c r="G228" s="8">
        <f t="shared" si="7"/>
        <v>42685.92732638889</v>
      </c>
    </row>
    <row r="229" spans="1:7" x14ac:dyDescent="0.25">
      <c r="A229" s="8">
        <v>42685.930254629631</v>
      </c>
      <c r="B229" t="s">
        <v>235</v>
      </c>
      <c r="C229" t="s">
        <v>374</v>
      </c>
      <c r="D229">
        <v>1230000</v>
      </c>
      <c r="E229" t="s">
        <v>264</v>
      </c>
      <c r="F229" s="21" t="str">
        <f t="shared" si="6"/>
        <v>rtdc.l.rtdc.4032:itc</v>
      </c>
      <c r="G229" s="8">
        <f t="shared" si="7"/>
        <v>42685.930254629631</v>
      </c>
    </row>
    <row r="230" spans="1:7" x14ac:dyDescent="0.25">
      <c r="A230" s="8">
        <v>42685.942291666666</v>
      </c>
      <c r="B230" t="s">
        <v>242</v>
      </c>
      <c r="C230" t="s">
        <v>375</v>
      </c>
      <c r="D230">
        <v>2630000</v>
      </c>
      <c r="E230" t="s">
        <v>362</v>
      </c>
      <c r="F230" s="21" t="str">
        <f t="shared" si="6"/>
        <v>rtdc.l.rtdc.4041:itc</v>
      </c>
      <c r="G230" s="8">
        <f t="shared" si="7"/>
        <v>42685.942291666666</v>
      </c>
    </row>
    <row r="231" spans="1:7" x14ac:dyDescent="0.25">
      <c r="A231" s="8">
        <v>42685.954340277778</v>
      </c>
      <c r="B231" t="s">
        <v>231</v>
      </c>
      <c r="C231" t="s">
        <v>376</v>
      </c>
      <c r="D231">
        <v>1300000</v>
      </c>
      <c r="E231" t="s">
        <v>113</v>
      </c>
      <c r="F231" s="21" t="str">
        <f t="shared" si="6"/>
        <v>rtdc.l.rtdc.4003:itc</v>
      </c>
      <c r="G231" s="8">
        <f t="shared" si="7"/>
        <v>42685.954340277778</v>
      </c>
    </row>
    <row r="232" spans="1:7" x14ac:dyDescent="0.25">
      <c r="A232" s="8">
        <v>42685.954467592594</v>
      </c>
      <c r="B232" t="s">
        <v>234</v>
      </c>
      <c r="C232" t="s">
        <v>377</v>
      </c>
      <c r="D232">
        <v>1800000</v>
      </c>
      <c r="E232" t="s">
        <v>363</v>
      </c>
      <c r="F232" s="21" t="str">
        <f t="shared" si="6"/>
        <v>rtdc.l.rtdc.4039:itc</v>
      </c>
      <c r="G232" s="8">
        <f t="shared" si="7"/>
        <v>42685.954467592594</v>
      </c>
    </row>
    <row r="233" spans="1:7" x14ac:dyDescent="0.25">
      <c r="A233" s="8">
        <v>42685.962743055556</v>
      </c>
      <c r="B233" t="s">
        <v>248</v>
      </c>
      <c r="C233" t="s">
        <v>378</v>
      </c>
      <c r="D233">
        <v>1230000</v>
      </c>
      <c r="E233" t="s">
        <v>264</v>
      </c>
      <c r="F233" s="21" t="str">
        <f t="shared" si="6"/>
        <v>rtdc.l.rtdc.4031:itc</v>
      </c>
      <c r="G233" s="8">
        <f t="shared" si="7"/>
        <v>42685.962743055556</v>
      </c>
    </row>
    <row r="234" spans="1:7" x14ac:dyDescent="0.25">
      <c r="A234" s="8">
        <v>42685.972893518519</v>
      </c>
      <c r="B234" t="s">
        <v>286</v>
      </c>
      <c r="C234" t="s">
        <v>379</v>
      </c>
      <c r="D234">
        <v>2000000</v>
      </c>
      <c r="E234" t="s">
        <v>244</v>
      </c>
      <c r="F234" s="21" t="str">
        <f t="shared" si="6"/>
        <v>rtdc.l.rtdc.4010:itc</v>
      </c>
      <c r="G234" s="8">
        <f t="shared" si="7"/>
        <v>42685.972893518519</v>
      </c>
    </row>
    <row r="235" spans="1:7" x14ac:dyDescent="0.25">
      <c r="A235" s="8">
        <v>42685.993368055555</v>
      </c>
      <c r="B235" t="s">
        <v>237</v>
      </c>
      <c r="C235" t="s">
        <v>380</v>
      </c>
      <c r="D235">
        <v>1300000</v>
      </c>
      <c r="E235" t="s">
        <v>113</v>
      </c>
      <c r="F235" s="21" t="str">
        <f t="shared" si="6"/>
        <v>rtdc.l.rtdc.4004:itc</v>
      </c>
      <c r="G235" s="8">
        <f t="shared" si="7"/>
        <v>42685.993368055555</v>
      </c>
    </row>
    <row r="236" spans="1:7" x14ac:dyDescent="0.25">
      <c r="A236" s="8">
        <v>42685.997523148151</v>
      </c>
      <c r="B236" t="s">
        <v>226</v>
      </c>
      <c r="C236" t="s">
        <v>381</v>
      </c>
      <c r="D236">
        <v>1800000</v>
      </c>
      <c r="E236" t="s">
        <v>363</v>
      </c>
      <c r="F236" s="21" t="str">
        <f t="shared" ref="F236:F265" si="8">B236</f>
        <v>rtdc.l.rtdc.4040:itc</v>
      </c>
      <c r="G236" s="8">
        <f t="shared" ref="G236:G265" si="9">A236</f>
        <v>42685.997523148151</v>
      </c>
    </row>
    <row r="237" spans="1:7" x14ac:dyDescent="0.25">
      <c r="A237" s="8">
        <v>42686.003379629627</v>
      </c>
      <c r="B237" t="s">
        <v>187</v>
      </c>
      <c r="C237" t="s">
        <v>382</v>
      </c>
      <c r="D237">
        <v>2000000</v>
      </c>
      <c r="E237" t="s">
        <v>244</v>
      </c>
      <c r="F237" s="21" t="str">
        <f t="shared" si="8"/>
        <v>rtdc.l.rtdc.4009:itc</v>
      </c>
      <c r="G237" s="8">
        <f t="shared" si="9"/>
        <v>42686.003379629627</v>
      </c>
    </row>
    <row r="238" spans="1:7" x14ac:dyDescent="0.25">
      <c r="A238" s="8">
        <v>42686.013796296298</v>
      </c>
      <c r="B238" t="s">
        <v>235</v>
      </c>
      <c r="C238" t="s">
        <v>383</v>
      </c>
      <c r="D238">
        <v>1230000</v>
      </c>
      <c r="E238" t="s">
        <v>264</v>
      </c>
      <c r="F238" s="21" t="str">
        <f t="shared" si="8"/>
        <v>rtdc.l.rtdc.4032:itc</v>
      </c>
      <c r="G238" s="8">
        <f t="shared" si="9"/>
        <v>42686.013796296298</v>
      </c>
    </row>
    <row r="239" spans="1:7" x14ac:dyDescent="0.25">
      <c r="A239" s="8">
        <v>42686.033252314817</v>
      </c>
      <c r="B239" t="s">
        <v>234</v>
      </c>
      <c r="C239" t="s">
        <v>384</v>
      </c>
      <c r="D239">
        <v>1800000</v>
      </c>
      <c r="E239" t="s">
        <v>363</v>
      </c>
      <c r="F239" s="21" t="str">
        <f t="shared" si="8"/>
        <v>rtdc.l.rtdc.4039:itc</v>
      </c>
      <c r="G239" s="8">
        <f t="shared" si="9"/>
        <v>42686.033252314817</v>
      </c>
    </row>
    <row r="240" spans="1:7" x14ac:dyDescent="0.25">
      <c r="A240" s="8">
        <v>42686.037164351852</v>
      </c>
      <c r="B240" t="s">
        <v>231</v>
      </c>
      <c r="C240" t="s">
        <v>385</v>
      </c>
      <c r="D240">
        <v>1300000</v>
      </c>
      <c r="E240" t="s">
        <v>113</v>
      </c>
      <c r="F240" s="21" t="str">
        <f t="shared" si="8"/>
        <v>rtdc.l.rtdc.4003:itc</v>
      </c>
      <c r="G240" s="8">
        <f t="shared" si="9"/>
        <v>42686.037164351852</v>
      </c>
    </row>
    <row r="241" spans="1:7" x14ac:dyDescent="0.25">
      <c r="A241" s="8">
        <v>42686.045624999999</v>
      </c>
      <c r="B241" t="s">
        <v>248</v>
      </c>
      <c r="C241" t="s">
        <v>386</v>
      </c>
      <c r="D241">
        <v>1230000</v>
      </c>
      <c r="E241" t="s">
        <v>264</v>
      </c>
      <c r="F241" s="21" t="str">
        <f t="shared" si="8"/>
        <v>rtdc.l.rtdc.4031:itc</v>
      </c>
      <c r="G241" s="8">
        <f t="shared" si="9"/>
        <v>42686.045624999999</v>
      </c>
    </row>
    <row r="242" spans="1:7" x14ac:dyDescent="0.25">
      <c r="A242" s="8">
        <v>42686.052118055559</v>
      </c>
      <c r="B242" t="s">
        <v>286</v>
      </c>
      <c r="C242" t="s">
        <v>387</v>
      </c>
      <c r="D242">
        <v>2000000</v>
      </c>
      <c r="E242" t="s">
        <v>244</v>
      </c>
      <c r="F242" s="21" t="str">
        <f t="shared" si="8"/>
        <v>rtdc.l.rtdc.4010:itc</v>
      </c>
      <c r="G242" s="8">
        <f t="shared" si="9"/>
        <v>42686.052118055559</v>
      </c>
    </row>
    <row r="243" spans="1:7" x14ac:dyDescent="0.25">
      <c r="A243" s="8">
        <v>42686.068854166668</v>
      </c>
      <c r="B243" t="s">
        <v>226</v>
      </c>
      <c r="C243" t="s">
        <v>388</v>
      </c>
      <c r="D243">
        <v>1800000</v>
      </c>
      <c r="E243" t="s">
        <v>363</v>
      </c>
      <c r="F243" s="21" t="str">
        <f t="shared" si="8"/>
        <v>rtdc.l.rtdc.4040:itc</v>
      </c>
      <c r="G243" s="8">
        <f t="shared" si="9"/>
        <v>42686.068854166668</v>
      </c>
    </row>
    <row r="244" spans="1:7" x14ac:dyDescent="0.25">
      <c r="A244" s="8">
        <v>42684.868055555555</v>
      </c>
      <c r="B244" t="s">
        <v>287</v>
      </c>
      <c r="C244" t="s">
        <v>319</v>
      </c>
      <c r="D244">
        <v>2550000</v>
      </c>
      <c r="E244" t="s">
        <v>262</v>
      </c>
      <c r="F244" s="21" t="str">
        <f t="shared" si="8"/>
        <v>rtdc.l.rtdc.4022:itc</v>
      </c>
      <c r="G244" s="8">
        <f t="shared" si="9"/>
        <v>42684.868055555555</v>
      </c>
    </row>
    <row r="245" spans="1:7" x14ac:dyDescent="0.25">
      <c r="A245" s="8">
        <v>42684.870162037034</v>
      </c>
      <c r="B245" t="s">
        <v>313</v>
      </c>
      <c r="C245" t="s">
        <v>320</v>
      </c>
      <c r="D245">
        <v>1300000</v>
      </c>
      <c r="E245" t="s">
        <v>113</v>
      </c>
      <c r="F245" s="21" t="str">
        <f t="shared" si="8"/>
        <v>rtdc.l.rtdc.4037:itc</v>
      </c>
      <c r="G245" s="8">
        <f t="shared" si="9"/>
        <v>42684.870162037034</v>
      </c>
    </row>
    <row r="246" spans="1:7" x14ac:dyDescent="0.25">
      <c r="A246" s="8">
        <v>42684.880972222221</v>
      </c>
      <c r="B246" t="s">
        <v>189</v>
      </c>
      <c r="C246" t="s">
        <v>308</v>
      </c>
      <c r="D246">
        <v>2610000</v>
      </c>
      <c r="E246" t="s">
        <v>263</v>
      </c>
      <c r="F246" s="21" t="str">
        <f t="shared" si="8"/>
        <v>rtdc.l.rtdc.4044:itc</v>
      </c>
      <c r="G246" s="8">
        <f t="shared" si="9"/>
        <v>42684.880972222221</v>
      </c>
    </row>
    <row r="247" spans="1:7" x14ac:dyDescent="0.25">
      <c r="A247" s="8">
        <v>42684.88553240741</v>
      </c>
      <c r="B247" t="s">
        <v>261</v>
      </c>
      <c r="C247" t="s">
        <v>321</v>
      </c>
      <c r="D247">
        <v>2420000</v>
      </c>
      <c r="E247" t="s">
        <v>291</v>
      </c>
      <c r="F247" s="21" t="str">
        <f t="shared" si="8"/>
        <v>rtdc.l.rtdc.4002:itc</v>
      </c>
      <c r="G247" s="8">
        <f t="shared" si="9"/>
        <v>42684.88553240741</v>
      </c>
    </row>
    <row r="248" spans="1:7" x14ac:dyDescent="0.25">
      <c r="A248" s="8">
        <v>42684.889027777775</v>
      </c>
      <c r="B248" t="s">
        <v>251</v>
      </c>
      <c r="C248" t="s">
        <v>322</v>
      </c>
      <c r="D248">
        <v>2000000</v>
      </c>
      <c r="E248" t="s">
        <v>244</v>
      </c>
      <c r="F248" s="21" t="str">
        <f t="shared" si="8"/>
        <v>rtdc.l.rtdc.4012:itc</v>
      </c>
      <c r="G248" s="8">
        <f t="shared" si="9"/>
        <v>42684.889027777775</v>
      </c>
    </row>
    <row r="249" spans="1:7" x14ac:dyDescent="0.25">
      <c r="A249" s="8">
        <v>42684.900092592594</v>
      </c>
      <c r="B249" t="s">
        <v>273</v>
      </c>
      <c r="C249" t="s">
        <v>323</v>
      </c>
      <c r="D249">
        <v>2610000</v>
      </c>
      <c r="E249" t="s">
        <v>263</v>
      </c>
      <c r="F249" s="21" t="str">
        <f t="shared" si="8"/>
        <v>rtdc.l.rtdc.4043:itc</v>
      </c>
      <c r="G249" s="8">
        <f t="shared" si="9"/>
        <v>42684.900092592594</v>
      </c>
    </row>
    <row r="250" spans="1:7" x14ac:dyDescent="0.25">
      <c r="A250" s="8">
        <v>42684.910300925927</v>
      </c>
      <c r="B250" t="s">
        <v>289</v>
      </c>
      <c r="C250" t="s">
        <v>324</v>
      </c>
      <c r="D250">
        <v>2550000</v>
      </c>
      <c r="E250" t="s">
        <v>262</v>
      </c>
      <c r="F250" s="21" t="str">
        <f t="shared" si="8"/>
        <v>rtdc.l.rtdc.4021:itc</v>
      </c>
      <c r="G250" s="8">
        <f t="shared" si="9"/>
        <v>42684.910300925927</v>
      </c>
    </row>
    <row r="251" spans="1:7" x14ac:dyDescent="0.25">
      <c r="A251" s="8">
        <v>42684.913923611108</v>
      </c>
      <c r="B251" t="s">
        <v>307</v>
      </c>
      <c r="C251" t="s">
        <v>325</v>
      </c>
      <c r="D251">
        <v>1300000</v>
      </c>
      <c r="E251" t="s">
        <v>113</v>
      </c>
      <c r="F251" s="21" t="str">
        <f t="shared" si="8"/>
        <v>rtdc.l.rtdc.4038:itc</v>
      </c>
      <c r="G251" s="8">
        <f t="shared" si="9"/>
        <v>42684.913923611108</v>
      </c>
    </row>
    <row r="252" spans="1:7" x14ac:dyDescent="0.25">
      <c r="A252" s="8">
        <v>42684.914409722223</v>
      </c>
      <c r="B252" t="s">
        <v>189</v>
      </c>
      <c r="C252" t="s">
        <v>326</v>
      </c>
      <c r="D252">
        <v>2610000</v>
      </c>
      <c r="E252" t="s">
        <v>263</v>
      </c>
      <c r="F252" s="21" t="str">
        <f t="shared" si="8"/>
        <v>rtdc.l.rtdc.4044:itc</v>
      </c>
      <c r="G252" s="8">
        <f t="shared" si="9"/>
        <v>42684.914409722223</v>
      </c>
    </row>
    <row r="253" spans="1:7" x14ac:dyDescent="0.25">
      <c r="A253" s="8">
        <v>42684.923715277779</v>
      </c>
      <c r="B253" t="s">
        <v>260</v>
      </c>
      <c r="C253" t="s">
        <v>309</v>
      </c>
      <c r="D253">
        <v>2420000</v>
      </c>
      <c r="E253" t="s">
        <v>291</v>
      </c>
      <c r="F253" s="21" t="str">
        <f t="shared" si="8"/>
        <v>rtdc.l.rtdc.4001:itc</v>
      </c>
      <c r="G253" s="8">
        <f t="shared" si="9"/>
        <v>42684.923715277779</v>
      </c>
    </row>
    <row r="254" spans="1:7" x14ac:dyDescent="0.25">
      <c r="A254" s="8">
        <v>42684.93509259259</v>
      </c>
      <c r="B254" t="s">
        <v>221</v>
      </c>
      <c r="C254" t="s">
        <v>327</v>
      </c>
      <c r="D254">
        <v>2000000</v>
      </c>
      <c r="E254" t="s">
        <v>244</v>
      </c>
      <c r="F254" s="21" t="str">
        <f t="shared" si="8"/>
        <v>rtdc.l.rtdc.4011:itc</v>
      </c>
      <c r="G254" s="8">
        <f t="shared" si="9"/>
        <v>42684.93509259259</v>
      </c>
    </row>
    <row r="255" spans="1:7" x14ac:dyDescent="0.25">
      <c r="A255" s="8">
        <v>42684.941574074073</v>
      </c>
      <c r="B255" t="s">
        <v>273</v>
      </c>
      <c r="C255" t="s">
        <v>328</v>
      </c>
      <c r="D255">
        <v>2610000</v>
      </c>
      <c r="E255" t="s">
        <v>263</v>
      </c>
      <c r="F255" s="21" t="str">
        <f t="shared" si="8"/>
        <v>rtdc.l.rtdc.4043:itc</v>
      </c>
      <c r="G255" s="8">
        <f t="shared" si="9"/>
        <v>42684.941574074073</v>
      </c>
    </row>
    <row r="256" spans="1:7" x14ac:dyDescent="0.25">
      <c r="A256" s="8">
        <v>42684.949386574073</v>
      </c>
      <c r="B256" t="s">
        <v>313</v>
      </c>
      <c r="C256" t="s">
        <v>329</v>
      </c>
      <c r="D256">
        <v>1300000</v>
      </c>
      <c r="E256" t="s">
        <v>113</v>
      </c>
      <c r="F256" s="21" t="str">
        <f t="shared" si="8"/>
        <v>rtdc.l.rtdc.4037:itc</v>
      </c>
      <c r="G256" s="8">
        <f t="shared" si="9"/>
        <v>42684.949386574073</v>
      </c>
    </row>
    <row r="257" spans="1:7" x14ac:dyDescent="0.25">
      <c r="A257" s="8">
        <v>42684.951053240744</v>
      </c>
      <c r="B257" t="s">
        <v>287</v>
      </c>
      <c r="C257" t="s">
        <v>330</v>
      </c>
      <c r="D257">
        <v>2550000</v>
      </c>
      <c r="E257" t="s">
        <v>262</v>
      </c>
      <c r="F257" s="21" t="str">
        <f t="shared" si="8"/>
        <v>rtdc.l.rtdc.4022:itc</v>
      </c>
      <c r="G257" s="8">
        <f t="shared" si="9"/>
        <v>42684.951053240744</v>
      </c>
    </row>
    <row r="258" spans="1:7" x14ac:dyDescent="0.25">
      <c r="A258" s="8">
        <v>42684.967488425929</v>
      </c>
      <c r="B258" t="s">
        <v>261</v>
      </c>
      <c r="C258" t="s">
        <v>311</v>
      </c>
      <c r="D258">
        <v>2420000</v>
      </c>
      <c r="E258" t="s">
        <v>291</v>
      </c>
      <c r="F258" s="21" t="str">
        <f t="shared" si="8"/>
        <v>rtdc.l.rtdc.4002:itc</v>
      </c>
      <c r="G258" s="8">
        <f t="shared" si="9"/>
        <v>42684.967488425929</v>
      </c>
    </row>
    <row r="259" spans="1:7" x14ac:dyDescent="0.25">
      <c r="A259" s="8">
        <v>42684.972418981481</v>
      </c>
      <c r="B259" t="s">
        <v>251</v>
      </c>
      <c r="C259" t="s">
        <v>310</v>
      </c>
      <c r="D259">
        <v>2000000</v>
      </c>
      <c r="E259" t="s">
        <v>244</v>
      </c>
      <c r="F259" s="21" t="str">
        <f t="shared" si="8"/>
        <v>rtdc.l.rtdc.4012:itc</v>
      </c>
      <c r="G259" s="8">
        <f t="shared" si="9"/>
        <v>42684.972418981481</v>
      </c>
    </row>
    <row r="260" spans="1:7" x14ac:dyDescent="0.25">
      <c r="A260" s="8">
        <v>42684.992002314815</v>
      </c>
      <c r="B260" t="s">
        <v>289</v>
      </c>
      <c r="C260" t="s">
        <v>331</v>
      </c>
      <c r="D260">
        <v>2550000</v>
      </c>
      <c r="E260" t="s">
        <v>262</v>
      </c>
      <c r="F260" s="21" t="str">
        <f t="shared" si="8"/>
        <v>rtdc.l.rtdc.4021:itc</v>
      </c>
      <c r="G260" s="8">
        <f t="shared" si="9"/>
        <v>42684.992002314815</v>
      </c>
    </row>
    <row r="261" spans="1:7" x14ac:dyDescent="0.25">
      <c r="A261" s="8">
        <v>42684.995717592596</v>
      </c>
      <c r="B261" t="s">
        <v>307</v>
      </c>
      <c r="C261" t="s">
        <v>332</v>
      </c>
      <c r="D261">
        <v>1300000</v>
      </c>
      <c r="E261" t="s">
        <v>113</v>
      </c>
      <c r="F261" s="21" t="str">
        <f t="shared" si="8"/>
        <v>rtdc.l.rtdc.4038:itc</v>
      </c>
      <c r="G261" s="8">
        <f t="shared" si="9"/>
        <v>42684.995717592596</v>
      </c>
    </row>
    <row r="262" spans="1:7" x14ac:dyDescent="0.25">
      <c r="A262" s="8">
        <v>42685.011921296296</v>
      </c>
      <c r="B262" t="s">
        <v>260</v>
      </c>
      <c r="C262" t="s">
        <v>333</v>
      </c>
      <c r="D262">
        <v>2420000</v>
      </c>
      <c r="E262" t="s">
        <v>291</v>
      </c>
      <c r="F262" s="21" t="str">
        <f t="shared" si="8"/>
        <v>rtdc.l.rtdc.4001:itc</v>
      </c>
      <c r="G262" s="8">
        <f t="shared" si="9"/>
        <v>42685.011921296296</v>
      </c>
    </row>
    <row r="263" spans="1:7" x14ac:dyDescent="0.25">
      <c r="A263" s="8">
        <v>42685.016226851854</v>
      </c>
      <c r="B263" t="s">
        <v>221</v>
      </c>
      <c r="C263" t="s">
        <v>334</v>
      </c>
      <c r="D263">
        <v>2000000</v>
      </c>
      <c r="E263" t="s">
        <v>244</v>
      </c>
      <c r="F263" s="21" t="str">
        <f t="shared" si="8"/>
        <v>rtdc.l.rtdc.4011:itc</v>
      </c>
      <c r="G263" s="8">
        <f t="shared" si="9"/>
        <v>42685.016226851854</v>
      </c>
    </row>
    <row r="264" spans="1:7" x14ac:dyDescent="0.25">
      <c r="A264" s="8">
        <v>42685.029282407406</v>
      </c>
      <c r="B264" t="s">
        <v>287</v>
      </c>
      <c r="C264" t="s">
        <v>335</v>
      </c>
      <c r="D264">
        <v>2550000</v>
      </c>
      <c r="E264" t="s">
        <v>262</v>
      </c>
      <c r="F264" s="21" t="str">
        <f t="shared" si="8"/>
        <v>rtdc.l.rtdc.4022:itc</v>
      </c>
      <c r="G264" s="8">
        <f t="shared" si="9"/>
        <v>42685.029282407406</v>
      </c>
    </row>
    <row r="265" spans="1:7" x14ac:dyDescent="0.25">
      <c r="A265" s="8">
        <v>42685.039282407408</v>
      </c>
      <c r="B265" t="s">
        <v>313</v>
      </c>
      <c r="C265" t="s">
        <v>336</v>
      </c>
      <c r="D265">
        <v>1300000</v>
      </c>
      <c r="E265" t="s">
        <v>113</v>
      </c>
      <c r="F265" s="21" t="str">
        <f t="shared" si="8"/>
        <v>rtdc.l.rtdc.4037:itc</v>
      </c>
      <c r="G265" s="8">
        <f t="shared" si="9"/>
        <v>42685.039282407408</v>
      </c>
    </row>
    <row r="266" spans="1:7" x14ac:dyDescent="0.25">
      <c r="A266" s="8">
        <v>42685.049375000002</v>
      </c>
      <c r="B266" t="s">
        <v>261</v>
      </c>
      <c r="C266" t="s">
        <v>337</v>
      </c>
      <c r="D266">
        <v>2420000</v>
      </c>
      <c r="E266" t="s">
        <v>291</v>
      </c>
      <c r="F266" s="21" t="str">
        <f t="shared" ref="F266:F281" si="10">B266</f>
        <v>rtdc.l.rtdc.4002:itc</v>
      </c>
      <c r="G266" s="8">
        <f t="shared" ref="G266:G281" si="11">A266</f>
        <v>42685.049375000002</v>
      </c>
    </row>
    <row r="267" spans="1:7" x14ac:dyDescent="0.25">
      <c r="A267" s="8">
        <v>42685.056481481479</v>
      </c>
      <c r="B267" t="s">
        <v>251</v>
      </c>
      <c r="C267" t="s">
        <v>338</v>
      </c>
      <c r="D267">
        <v>2000000</v>
      </c>
      <c r="E267" t="s">
        <v>244</v>
      </c>
      <c r="F267" s="21" t="str">
        <f t="shared" si="10"/>
        <v>rtdc.l.rtdc.4012:itc</v>
      </c>
      <c r="G267" s="8">
        <f t="shared" si="11"/>
        <v>42685.056481481479</v>
      </c>
    </row>
    <row r="268" spans="1:7" x14ac:dyDescent="0.25">
      <c r="A268" s="8">
        <v>42685.071712962963</v>
      </c>
      <c r="B268" t="s">
        <v>307</v>
      </c>
      <c r="C268" t="s">
        <v>339</v>
      </c>
      <c r="D268">
        <v>1300000</v>
      </c>
      <c r="E268" t="s">
        <v>113</v>
      </c>
      <c r="F268" s="21" t="str">
        <f t="shared" si="10"/>
        <v>rtdc.l.rtdc.4038:itc</v>
      </c>
      <c r="G268" s="8">
        <f t="shared" si="11"/>
        <v>42685.071712962963</v>
      </c>
    </row>
    <row r="269" spans="1:7" x14ac:dyDescent="0.25">
      <c r="A269" s="8">
        <v>42650.082824074074</v>
      </c>
      <c r="B269" t="s">
        <v>156</v>
      </c>
      <c r="C269" t="s">
        <v>190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187</v>
      </c>
      <c r="C270" t="s">
        <v>191</v>
      </c>
      <c r="D270">
        <v>1480000</v>
      </c>
      <c r="E270" t="s">
        <v>185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190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190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190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7" s="134" customFormat="1" x14ac:dyDescent="0.25">
      <c r="A1" s="164" t="s">
        <v>167</v>
      </c>
      <c r="B1" s="164" t="s">
        <v>170</v>
      </c>
      <c r="C1" s="164" t="s">
        <v>163</v>
      </c>
      <c r="D1" s="159" t="s">
        <v>177</v>
      </c>
      <c r="E1" s="164" t="s">
        <v>164</v>
      </c>
      <c r="F1" s="164" t="s">
        <v>162</v>
      </c>
      <c r="G1" s="164" t="s">
        <v>160</v>
      </c>
      <c r="H1" s="164" t="s">
        <v>173</v>
      </c>
      <c r="I1" s="164" t="s">
        <v>174</v>
      </c>
      <c r="J1" s="164" t="s">
        <v>168</v>
      </c>
      <c r="K1" s="164" t="s">
        <v>166</v>
      </c>
      <c r="L1" s="164" t="s">
        <v>161</v>
      </c>
      <c r="M1" s="164" t="s">
        <v>171</v>
      </c>
      <c r="N1" s="164" t="s">
        <v>165</v>
      </c>
      <c r="O1" s="164" t="s">
        <v>172</v>
      </c>
      <c r="P1" s="164" t="s">
        <v>169</v>
      </c>
      <c r="Q1"/>
    </row>
    <row r="2" spans="1:17" x14ac:dyDescent="0.25">
      <c r="A2" s="165">
        <v>42.38</v>
      </c>
      <c r="B2" s="165">
        <v>0.26</v>
      </c>
      <c r="C2" s="165">
        <v>28.95</v>
      </c>
      <c r="D2" s="8">
        <v>42686</v>
      </c>
      <c r="E2" s="165">
        <v>0.59</v>
      </c>
      <c r="F2" s="165" t="s">
        <v>228</v>
      </c>
      <c r="G2" s="165">
        <v>244.4</v>
      </c>
      <c r="H2" s="165">
        <v>0</v>
      </c>
      <c r="I2" s="165">
        <v>0</v>
      </c>
      <c r="J2" s="165">
        <v>1024.51</v>
      </c>
      <c r="K2" s="165" t="s">
        <v>229</v>
      </c>
      <c r="L2" s="165">
        <v>42.38</v>
      </c>
      <c r="M2" s="165">
        <v>1478934000</v>
      </c>
      <c r="N2" s="165">
        <v>8.94</v>
      </c>
      <c r="O2" s="165">
        <v>211</v>
      </c>
      <c r="P2" s="165">
        <v>2.59</v>
      </c>
      <c r="Q2"/>
    </row>
    <row r="3" spans="1:17" x14ac:dyDescent="0.25">
      <c r="A3" s="165">
        <v>40.270000000000003</v>
      </c>
      <c r="B3" s="165">
        <v>0.15</v>
      </c>
      <c r="C3" s="165">
        <v>27.19</v>
      </c>
      <c r="D3" s="8">
        <v>42686.041666666664</v>
      </c>
      <c r="E3" s="165">
        <v>0.59</v>
      </c>
      <c r="F3" s="165" t="s">
        <v>232</v>
      </c>
      <c r="G3" s="165">
        <v>244.68</v>
      </c>
      <c r="H3" s="165">
        <v>0</v>
      </c>
      <c r="I3" s="165">
        <v>0</v>
      </c>
      <c r="J3" s="165">
        <v>1024.43</v>
      </c>
      <c r="K3" s="165" t="s">
        <v>233</v>
      </c>
      <c r="L3" s="165">
        <v>40.270000000000003</v>
      </c>
      <c r="M3" s="165">
        <v>1478937600</v>
      </c>
      <c r="N3" s="165">
        <v>8.86</v>
      </c>
      <c r="O3" s="165">
        <v>213</v>
      </c>
      <c r="P3" s="165">
        <v>2.35</v>
      </c>
      <c r="Q3"/>
    </row>
    <row r="4" spans="1:17" x14ac:dyDescent="0.25">
      <c r="A4" s="165">
        <v>39.32</v>
      </c>
      <c r="B4" s="165">
        <v>0.1</v>
      </c>
      <c r="C4" s="165">
        <v>26.97</v>
      </c>
      <c r="D4" s="8">
        <v>42686.083333333336</v>
      </c>
      <c r="E4" s="165">
        <v>0.61</v>
      </c>
      <c r="F4" s="165" t="s">
        <v>232</v>
      </c>
      <c r="G4" s="165">
        <v>244.96</v>
      </c>
      <c r="H4" s="165">
        <v>0</v>
      </c>
      <c r="I4" s="165">
        <v>0</v>
      </c>
      <c r="J4" s="165">
        <v>1024.3399999999999</v>
      </c>
      <c r="K4" s="165" t="s">
        <v>233</v>
      </c>
      <c r="L4" s="165">
        <v>39.32</v>
      </c>
      <c r="M4" s="165">
        <v>1478941200</v>
      </c>
      <c r="N4" s="165">
        <v>8.44</v>
      </c>
      <c r="O4" s="165">
        <v>209</v>
      </c>
      <c r="P4" s="165">
        <v>2.36</v>
      </c>
      <c r="Q4"/>
    </row>
    <row r="5" spans="1:17" x14ac:dyDescent="0.25">
      <c r="A5" s="165">
        <v>37.1</v>
      </c>
      <c r="B5" s="165">
        <v>0.12</v>
      </c>
      <c r="C5" s="165">
        <v>25.04</v>
      </c>
      <c r="D5" s="8">
        <v>42686.125</v>
      </c>
      <c r="E5" s="165">
        <v>0.61</v>
      </c>
      <c r="F5" s="165" t="s">
        <v>232</v>
      </c>
      <c r="G5" s="165">
        <v>245.39</v>
      </c>
      <c r="H5" s="165">
        <v>0</v>
      </c>
      <c r="I5" s="165">
        <v>0</v>
      </c>
      <c r="J5" s="165">
        <v>1024.4000000000001</v>
      </c>
      <c r="K5" s="165" t="s">
        <v>233</v>
      </c>
      <c r="L5" s="165">
        <v>37.1</v>
      </c>
      <c r="M5" s="165">
        <v>1478944800</v>
      </c>
      <c r="N5" s="165">
        <v>8.17</v>
      </c>
      <c r="O5" s="165">
        <v>214</v>
      </c>
      <c r="P5" s="165">
        <v>3</v>
      </c>
      <c r="Q5"/>
    </row>
    <row r="6" spans="1:17" x14ac:dyDescent="0.25">
      <c r="A6" s="165">
        <v>35.729999999999997</v>
      </c>
      <c r="B6" s="165">
        <v>0.19</v>
      </c>
      <c r="C6" s="165">
        <v>23.84</v>
      </c>
      <c r="D6" s="8">
        <v>42686.166666666664</v>
      </c>
      <c r="E6" s="165">
        <v>0.62</v>
      </c>
      <c r="F6" s="165" t="s">
        <v>232</v>
      </c>
      <c r="G6" s="165">
        <v>245.88</v>
      </c>
      <c r="H6" s="165">
        <v>0</v>
      </c>
      <c r="I6" s="165">
        <v>0</v>
      </c>
      <c r="J6" s="165">
        <v>1024.5</v>
      </c>
      <c r="K6" s="165" t="s">
        <v>233</v>
      </c>
      <c r="L6" s="165">
        <v>35.729999999999997</v>
      </c>
      <c r="M6" s="165">
        <v>1478948400</v>
      </c>
      <c r="N6" s="165">
        <v>8.48</v>
      </c>
      <c r="O6" s="165">
        <v>229</v>
      </c>
      <c r="P6" s="165">
        <v>2.77</v>
      </c>
      <c r="Q6"/>
    </row>
    <row r="7" spans="1:17" x14ac:dyDescent="0.25">
      <c r="A7" s="165">
        <v>35.6</v>
      </c>
      <c r="B7" s="165">
        <v>0.25</v>
      </c>
      <c r="C7" s="165">
        <v>23.79</v>
      </c>
      <c r="D7" s="8">
        <v>42686.208333333336</v>
      </c>
      <c r="E7" s="165">
        <v>0.62</v>
      </c>
      <c r="F7" s="165" t="s">
        <v>228</v>
      </c>
      <c r="G7" s="165">
        <v>246.41</v>
      </c>
      <c r="H7" s="165">
        <v>0</v>
      </c>
      <c r="I7" s="165">
        <v>0</v>
      </c>
      <c r="J7" s="165">
        <v>1024.49</v>
      </c>
      <c r="K7" s="165" t="s">
        <v>229</v>
      </c>
      <c r="L7" s="165">
        <v>35.6</v>
      </c>
      <c r="M7" s="165">
        <v>1478952000</v>
      </c>
      <c r="N7" s="165">
        <v>8.9600000000000009</v>
      </c>
      <c r="O7" s="165">
        <v>226</v>
      </c>
      <c r="P7" s="165">
        <v>2.88</v>
      </c>
      <c r="Q7"/>
    </row>
    <row r="8" spans="1:17" x14ac:dyDescent="0.25">
      <c r="A8" s="165">
        <v>35.53</v>
      </c>
      <c r="B8" s="165">
        <v>0.34</v>
      </c>
      <c r="C8" s="165">
        <v>23.8</v>
      </c>
      <c r="D8" s="8">
        <v>42686.25</v>
      </c>
      <c r="E8" s="165">
        <v>0.62</v>
      </c>
      <c r="F8" s="165" t="s">
        <v>228</v>
      </c>
      <c r="G8" s="165">
        <v>246.96</v>
      </c>
      <c r="H8" s="165">
        <v>0</v>
      </c>
      <c r="I8" s="165">
        <v>0</v>
      </c>
      <c r="J8" s="165">
        <v>1024.4100000000001</v>
      </c>
      <c r="K8" s="165" t="s">
        <v>229</v>
      </c>
      <c r="L8" s="165">
        <v>35.53</v>
      </c>
      <c r="M8" s="165">
        <v>1478955600</v>
      </c>
      <c r="N8" s="165">
        <v>8.16</v>
      </c>
      <c r="O8" s="165">
        <v>227</v>
      </c>
      <c r="P8" s="165">
        <v>2.87</v>
      </c>
      <c r="Q8"/>
    </row>
    <row r="9" spans="1:17" x14ac:dyDescent="0.25">
      <c r="A9" s="165">
        <v>33.19</v>
      </c>
      <c r="B9" s="165">
        <v>0.39</v>
      </c>
      <c r="C9" s="165">
        <v>23.5</v>
      </c>
      <c r="D9" s="8">
        <v>42686.291666666664</v>
      </c>
      <c r="E9" s="165">
        <v>0.61</v>
      </c>
      <c r="F9" s="165" t="s">
        <v>389</v>
      </c>
      <c r="G9" s="165">
        <v>247.56</v>
      </c>
      <c r="H9" s="165">
        <v>0</v>
      </c>
      <c r="I9" s="165">
        <v>0</v>
      </c>
      <c r="J9" s="165">
        <v>1024.1300000000001</v>
      </c>
      <c r="K9" s="165" t="s">
        <v>229</v>
      </c>
      <c r="L9" s="165">
        <v>35.5</v>
      </c>
      <c r="M9" s="165">
        <v>1478959200</v>
      </c>
      <c r="N9" s="165">
        <v>7.64</v>
      </c>
      <c r="O9" s="165">
        <v>231</v>
      </c>
      <c r="P9" s="165">
        <v>3.06</v>
      </c>
      <c r="Q9"/>
    </row>
    <row r="10" spans="1:17" x14ac:dyDescent="0.25">
      <c r="A10" s="165">
        <v>39.46</v>
      </c>
      <c r="B10" s="165">
        <v>0.39</v>
      </c>
      <c r="C10" s="165">
        <v>25.92</v>
      </c>
      <c r="D10" s="8">
        <v>42686.333333333336</v>
      </c>
      <c r="E10" s="165">
        <v>0.57999999999999996</v>
      </c>
      <c r="F10" s="165" t="s">
        <v>389</v>
      </c>
      <c r="G10" s="165">
        <v>248.2</v>
      </c>
      <c r="H10" s="165">
        <v>0</v>
      </c>
      <c r="I10" s="165">
        <v>0</v>
      </c>
      <c r="J10" s="165">
        <v>1023.34</v>
      </c>
      <c r="K10" s="165" t="s">
        <v>229</v>
      </c>
      <c r="L10" s="165">
        <v>39.46</v>
      </c>
      <c r="M10" s="165">
        <v>1478962800</v>
      </c>
      <c r="N10" s="165">
        <v>7.48</v>
      </c>
      <c r="O10" s="165">
        <v>231</v>
      </c>
      <c r="P10" s="165">
        <v>2.27</v>
      </c>
      <c r="Q10"/>
    </row>
    <row r="11" spans="1:17" x14ac:dyDescent="0.25">
      <c r="A11" s="165">
        <v>47.9</v>
      </c>
      <c r="B11" s="165">
        <v>0.4</v>
      </c>
      <c r="C11" s="165">
        <v>30.21</v>
      </c>
      <c r="D11" s="8">
        <v>42686.375</v>
      </c>
      <c r="E11" s="165">
        <v>0.5</v>
      </c>
      <c r="F11" s="165" t="s">
        <v>389</v>
      </c>
      <c r="G11" s="165">
        <v>248.95</v>
      </c>
      <c r="H11" s="165">
        <v>0</v>
      </c>
      <c r="I11" s="165">
        <v>0</v>
      </c>
      <c r="J11" s="165">
        <v>1021.82</v>
      </c>
      <c r="K11" s="165" t="s">
        <v>229</v>
      </c>
      <c r="L11" s="165">
        <v>47.9</v>
      </c>
      <c r="M11" s="165">
        <v>1478966400</v>
      </c>
      <c r="N11" s="165">
        <v>6.87</v>
      </c>
      <c r="O11" s="165">
        <v>225</v>
      </c>
      <c r="P11" s="165">
        <v>2.37</v>
      </c>
      <c r="Q11"/>
    </row>
    <row r="12" spans="1:17" x14ac:dyDescent="0.25">
      <c r="A12" s="165">
        <v>55.86</v>
      </c>
      <c r="B12" s="165">
        <v>0.39</v>
      </c>
      <c r="C12" s="165">
        <v>30.72</v>
      </c>
      <c r="D12" s="8">
        <v>42686.416666666664</v>
      </c>
      <c r="E12" s="165">
        <v>0.38</v>
      </c>
      <c r="F12" s="165" t="s">
        <v>389</v>
      </c>
      <c r="G12" s="165">
        <v>249.75</v>
      </c>
      <c r="H12" s="165">
        <v>0</v>
      </c>
      <c r="I12" s="165">
        <v>0</v>
      </c>
      <c r="J12" s="165">
        <v>1019.94</v>
      </c>
      <c r="K12" s="165" t="s">
        <v>229</v>
      </c>
      <c r="L12" s="165">
        <v>55.86</v>
      </c>
      <c r="M12" s="165">
        <v>1478970000</v>
      </c>
      <c r="N12" s="165">
        <v>6.9</v>
      </c>
      <c r="O12" s="165">
        <v>228</v>
      </c>
      <c r="P12" s="165">
        <v>1.54</v>
      </c>
      <c r="Q12"/>
    </row>
    <row r="13" spans="1:17" x14ac:dyDescent="0.25">
      <c r="A13" s="165">
        <v>62.03</v>
      </c>
      <c r="B13" s="165">
        <v>0.38</v>
      </c>
      <c r="C13" s="165">
        <v>31.26</v>
      </c>
      <c r="D13" s="8">
        <v>42686.458333333336</v>
      </c>
      <c r="E13" s="165">
        <v>0.31</v>
      </c>
      <c r="F13" s="165" t="s">
        <v>389</v>
      </c>
      <c r="G13" s="165">
        <v>250.39</v>
      </c>
      <c r="H13" s="165">
        <v>0</v>
      </c>
      <c r="I13" s="165">
        <v>0</v>
      </c>
      <c r="J13" s="165">
        <v>1018.53</v>
      </c>
      <c r="K13" s="165" t="s">
        <v>229</v>
      </c>
      <c r="L13" s="165">
        <v>62.03</v>
      </c>
      <c r="M13" s="165">
        <v>1478973600</v>
      </c>
      <c r="N13" s="165">
        <v>6.96</v>
      </c>
      <c r="O13" s="165">
        <v>207</v>
      </c>
      <c r="P13" s="165">
        <v>1.04</v>
      </c>
      <c r="Q13"/>
    </row>
    <row r="14" spans="1:17" x14ac:dyDescent="0.25">
      <c r="A14" s="165">
        <v>66.19</v>
      </c>
      <c r="B14" s="165">
        <v>0.37</v>
      </c>
      <c r="C14" s="165">
        <v>30.45</v>
      </c>
      <c r="D14" s="8">
        <v>42686.5</v>
      </c>
      <c r="E14" s="165">
        <v>0.26</v>
      </c>
      <c r="F14" s="165" t="s">
        <v>389</v>
      </c>
      <c r="G14" s="165">
        <v>250.81</v>
      </c>
      <c r="H14" s="165">
        <v>0</v>
      </c>
      <c r="I14" s="165">
        <v>0</v>
      </c>
      <c r="J14" s="165">
        <v>1017.45</v>
      </c>
      <c r="K14" s="165" t="s">
        <v>229</v>
      </c>
      <c r="L14" s="165">
        <v>66.19</v>
      </c>
      <c r="M14" s="165">
        <v>1478977200</v>
      </c>
      <c r="N14" s="165">
        <v>7.03</v>
      </c>
      <c r="O14" s="165">
        <v>57</v>
      </c>
      <c r="P14" s="165">
        <v>0.53</v>
      </c>
      <c r="Q14"/>
    </row>
    <row r="15" spans="1:17" x14ac:dyDescent="0.25">
      <c r="A15" s="165">
        <v>67.16</v>
      </c>
      <c r="B15" s="165">
        <v>0.28999999999999998</v>
      </c>
      <c r="C15" s="165">
        <v>29.39</v>
      </c>
      <c r="D15" s="8">
        <v>42686.541666666664</v>
      </c>
      <c r="E15" s="165">
        <v>0.24</v>
      </c>
      <c r="F15" s="165" t="s">
        <v>389</v>
      </c>
      <c r="G15" s="165">
        <v>251.06</v>
      </c>
      <c r="H15" s="165">
        <v>0</v>
      </c>
      <c r="I15" s="165">
        <v>0</v>
      </c>
      <c r="J15" s="165">
        <v>1016.51</v>
      </c>
      <c r="K15" s="165" t="s">
        <v>229</v>
      </c>
      <c r="L15" s="165">
        <v>67.16</v>
      </c>
      <c r="M15" s="165">
        <v>1478980800</v>
      </c>
      <c r="N15" s="165">
        <v>7.08</v>
      </c>
      <c r="O15" s="165">
        <v>57</v>
      </c>
      <c r="P15" s="165">
        <v>2.1800000000000002</v>
      </c>
      <c r="Q15"/>
    </row>
    <row r="16" spans="1:17" x14ac:dyDescent="0.25">
      <c r="A16" s="165">
        <v>67.400000000000006</v>
      </c>
      <c r="B16" s="165">
        <v>0.13</v>
      </c>
      <c r="C16" s="165">
        <v>27.48</v>
      </c>
      <c r="D16" s="8">
        <v>42686.583333333336</v>
      </c>
      <c r="E16" s="165">
        <v>0.22</v>
      </c>
      <c r="F16" s="165" t="s">
        <v>250</v>
      </c>
      <c r="G16" s="165">
        <v>251.19</v>
      </c>
      <c r="H16" s="165">
        <v>0</v>
      </c>
      <c r="I16" s="165">
        <v>0</v>
      </c>
      <c r="J16" s="165">
        <v>1015.84</v>
      </c>
      <c r="K16" s="165" t="s">
        <v>233</v>
      </c>
      <c r="L16" s="165">
        <v>67.400000000000006</v>
      </c>
      <c r="M16" s="165">
        <v>1478984400</v>
      </c>
      <c r="N16" s="165">
        <v>8.15</v>
      </c>
      <c r="O16" s="165">
        <v>51</v>
      </c>
      <c r="P16" s="165">
        <v>2.97</v>
      </c>
      <c r="Q16"/>
    </row>
    <row r="17" spans="1:17" x14ac:dyDescent="0.25">
      <c r="A17" s="165">
        <v>66.56</v>
      </c>
      <c r="B17" s="165">
        <v>0.13</v>
      </c>
      <c r="C17" s="165">
        <v>27.69</v>
      </c>
      <c r="D17" s="8">
        <v>42686.625</v>
      </c>
      <c r="E17" s="165">
        <v>0.23</v>
      </c>
      <c r="F17" s="165" t="s">
        <v>250</v>
      </c>
      <c r="G17" s="165">
        <v>251.03</v>
      </c>
      <c r="H17" s="165">
        <v>0</v>
      </c>
      <c r="I17" s="165">
        <v>0</v>
      </c>
      <c r="J17" s="165">
        <v>1015.47</v>
      </c>
      <c r="K17" s="165" t="s">
        <v>233</v>
      </c>
      <c r="L17" s="165">
        <v>66.56</v>
      </c>
      <c r="M17" s="165">
        <v>1478988000</v>
      </c>
      <c r="N17" s="165">
        <v>8.24</v>
      </c>
      <c r="O17" s="165">
        <v>56</v>
      </c>
      <c r="P17" s="165">
        <v>2.77</v>
      </c>
      <c r="Q17"/>
    </row>
    <row r="18" spans="1:17" x14ac:dyDescent="0.25">
      <c r="A18" s="165">
        <v>62.64</v>
      </c>
      <c r="B18" s="165">
        <v>0.13</v>
      </c>
      <c r="C18" s="165">
        <v>27.43</v>
      </c>
      <c r="D18" s="8">
        <v>42686.666666666664</v>
      </c>
      <c r="E18" s="165">
        <v>0.26</v>
      </c>
      <c r="F18" s="165" t="s">
        <v>250</v>
      </c>
      <c r="G18" s="165">
        <v>250.74</v>
      </c>
      <c r="H18" s="165">
        <v>0</v>
      </c>
      <c r="I18" s="165">
        <v>0</v>
      </c>
      <c r="J18" s="165">
        <v>1015.39</v>
      </c>
      <c r="K18" s="165" t="s">
        <v>233</v>
      </c>
      <c r="L18" s="165">
        <v>62.64</v>
      </c>
      <c r="M18" s="165">
        <v>1478991600</v>
      </c>
      <c r="N18" s="165">
        <v>8.4</v>
      </c>
      <c r="O18" s="165">
        <v>65</v>
      </c>
      <c r="P18" s="165">
        <v>1.9</v>
      </c>
      <c r="Q18"/>
    </row>
    <row r="19" spans="1:17" x14ac:dyDescent="0.25">
      <c r="A19" s="165">
        <v>57.82</v>
      </c>
      <c r="B19" s="165">
        <v>0.09</v>
      </c>
      <c r="C19" s="165">
        <v>26.77</v>
      </c>
      <c r="D19" s="8">
        <v>42686.708333333336</v>
      </c>
      <c r="E19" s="165">
        <v>0.3</v>
      </c>
      <c r="F19" s="165" t="s">
        <v>232</v>
      </c>
      <c r="G19" s="165">
        <v>250.79</v>
      </c>
      <c r="H19" s="165">
        <v>0</v>
      </c>
      <c r="I19" s="165">
        <v>0</v>
      </c>
      <c r="J19" s="165">
        <v>1015.5</v>
      </c>
      <c r="K19" s="165" t="s">
        <v>233</v>
      </c>
      <c r="L19" s="165">
        <v>57.82</v>
      </c>
      <c r="M19" s="165">
        <v>1478995200</v>
      </c>
      <c r="N19" s="165">
        <v>8.61</v>
      </c>
      <c r="O19" s="165">
        <v>112</v>
      </c>
      <c r="P19" s="165">
        <v>1.67</v>
      </c>
      <c r="Q19"/>
    </row>
    <row r="20" spans="1:17" x14ac:dyDescent="0.25">
      <c r="A20" s="165">
        <v>54.88</v>
      </c>
      <c r="B20" s="165">
        <v>0.03</v>
      </c>
      <c r="C20" s="165">
        <v>26.72</v>
      </c>
      <c r="D20" s="8">
        <v>42686.75</v>
      </c>
      <c r="E20" s="165">
        <v>0.34</v>
      </c>
      <c r="F20" s="165" t="s">
        <v>232</v>
      </c>
      <c r="G20" s="165">
        <v>251.49</v>
      </c>
      <c r="H20" s="165">
        <v>0</v>
      </c>
      <c r="I20" s="165">
        <v>0</v>
      </c>
      <c r="J20" s="165">
        <v>1015.58</v>
      </c>
      <c r="K20" s="165" t="s">
        <v>233</v>
      </c>
      <c r="L20" s="165">
        <v>54.88</v>
      </c>
      <c r="M20" s="165">
        <v>1478998800</v>
      </c>
      <c r="N20" s="165">
        <v>8.93</v>
      </c>
      <c r="O20" s="165">
        <v>197</v>
      </c>
      <c r="P20" s="165">
        <v>1.1499999999999999</v>
      </c>
      <c r="Q20"/>
    </row>
    <row r="21" spans="1:17" x14ac:dyDescent="0.25">
      <c r="A21" s="165">
        <v>51.75</v>
      </c>
      <c r="B21" s="165">
        <v>0.03</v>
      </c>
      <c r="C21" s="165">
        <v>26.57</v>
      </c>
      <c r="D21" s="8">
        <v>42686.791666666664</v>
      </c>
      <c r="E21" s="165">
        <v>0.37</v>
      </c>
      <c r="F21" s="165" t="s">
        <v>232</v>
      </c>
      <c r="G21" s="165">
        <v>252.52</v>
      </c>
      <c r="H21" s="165">
        <v>0</v>
      </c>
      <c r="I21" s="165">
        <v>0</v>
      </c>
      <c r="J21" s="165">
        <v>1016.09</v>
      </c>
      <c r="K21" s="165" t="s">
        <v>233</v>
      </c>
      <c r="L21" s="165">
        <v>51.75</v>
      </c>
      <c r="M21" s="165">
        <v>1479002400</v>
      </c>
      <c r="N21" s="165">
        <v>9.31</v>
      </c>
      <c r="O21" s="165">
        <v>212</v>
      </c>
      <c r="P21" s="165">
        <v>3.14</v>
      </c>
      <c r="Q21"/>
    </row>
    <row r="22" spans="1:17" x14ac:dyDescent="0.25">
      <c r="A22" s="165">
        <v>49.21</v>
      </c>
      <c r="B22" s="165">
        <v>0</v>
      </c>
      <c r="C22" s="165">
        <v>26.54</v>
      </c>
      <c r="D22" s="8">
        <v>42686.833333333336</v>
      </c>
      <c r="E22" s="165">
        <v>0.4</v>
      </c>
      <c r="F22" s="165" t="s">
        <v>232</v>
      </c>
      <c r="G22" s="165">
        <v>253.48</v>
      </c>
      <c r="H22" s="165">
        <v>0</v>
      </c>
      <c r="I22" s="165">
        <v>0</v>
      </c>
      <c r="J22" s="165">
        <v>1016.68</v>
      </c>
      <c r="K22" s="165" t="s">
        <v>233</v>
      </c>
      <c r="L22" s="165">
        <v>49.98</v>
      </c>
      <c r="M22" s="165">
        <v>1479006000</v>
      </c>
      <c r="N22" s="165">
        <v>9.41</v>
      </c>
      <c r="O22" s="165">
        <v>228</v>
      </c>
      <c r="P22" s="165">
        <v>3.53</v>
      </c>
      <c r="Q22"/>
    </row>
    <row r="23" spans="1:17" x14ac:dyDescent="0.25">
      <c r="A23" s="165">
        <v>46.19</v>
      </c>
      <c r="B23" s="165">
        <v>0</v>
      </c>
      <c r="C23" s="165">
        <v>25.93</v>
      </c>
      <c r="D23" s="8">
        <v>42686.875</v>
      </c>
      <c r="E23" s="165">
        <v>0.43</v>
      </c>
      <c r="F23" s="165" t="s">
        <v>232</v>
      </c>
      <c r="G23" s="165">
        <v>254.29</v>
      </c>
      <c r="H23" s="165">
        <v>0</v>
      </c>
      <c r="I23" s="165">
        <v>0</v>
      </c>
      <c r="J23" s="165">
        <v>1017.16</v>
      </c>
      <c r="K23" s="165" t="s">
        <v>233</v>
      </c>
      <c r="L23" s="165">
        <v>47.39</v>
      </c>
      <c r="M23" s="165">
        <v>1479009600</v>
      </c>
      <c r="N23" s="165">
        <v>9.09</v>
      </c>
      <c r="O23" s="165">
        <v>240</v>
      </c>
      <c r="P23" s="165">
        <v>3.59</v>
      </c>
      <c r="Q23"/>
    </row>
    <row r="24" spans="1:17" x14ac:dyDescent="0.25">
      <c r="A24" s="165">
        <v>44.15</v>
      </c>
      <c r="B24" s="165">
        <v>0</v>
      </c>
      <c r="C24" s="165">
        <v>25.74</v>
      </c>
      <c r="D24" s="8">
        <v>42686.916666666664</v>
      </c>
      <c r="E24" s="165">
        <v>0.45</v>
      </c>
      <c r="F24" s="165" t="s">
        <v>232</v>
      </c>
      <c r="G24" s="165">
        <v>255.02</v>
      </c>
      <c r="H24" s="165">
        <v>0</v>
      </c>
      <c r="I24" s="165">
        <v>0</v>
      </c>
      <c r="J24" s="165">
        <v>1017.61</v>
      </c>
      <c r="K24" s="165" t="s">
        <v>233</v>
      </c>
      <c r="L24" s="165">
        <v>45.67</v>
      </c>
      <c r="M24" s="165">
        <v>1479013200</v>
      </c>
      <c r="N24" s="165">
        <v>9.11</v>
      </c>
      <c r="O24" s="165">
        <v>228</v>
      </c>
      <c r="P24" s="165">
        <v>3.66</v>
      </c>
      <c r="Q24"/>
    </row>
    <row r="25" spans="1:17" x14ac:dyDescent="0.25">
      <c r="A25" s="165">
        <v>44.31</v>
      </c>
      <c r="B25" s="165">
        <v>0</v>
      </c>
      <c r="C25" s="165">
        <v>25.66</v>
      </c>
      <c r="D25" s="8">
        <v>42686.958333333336</v>
      </c>
      <c r="E25" s="165">
        <v>0.48</v>
      </c>
      <c r="F25" s="165" t="s">
        <v>232</v>
      </c>
      <c r="G25" s="165">
        <v>255.48</v>
      </c>
      <c r="H25" s="165">
        <v>0</v>
      </c>
      <c r="I25" s="165">
        <v>0</v>
      </c>
      <c r="J25" s="165">
        <v>1018.02</v>
      </c>
      <c r="K25" s="165" t="s">
        <v>233</v>
      </c>
      <c r="L25" s="165">
        <v>44.31</v>
      </c>
      <c r="M25" s="165">
        <v>1479016800</v>
      </c>
      <c r="N25" s="165">
        <v>9.3000000000000007</v>
      </c>
      <c r="O25" s="165">
        <v>239</v>
      </c>
      <c r="P25" s="165">
        <v>2.97</v>
      </c>
      <c r="Q25"/>
    </row>
    <row r="26" spans="1:17" x14ac:dyDescent="0.25">
      <c r="A26" s="165">
        <v>41.53</v>
      </c>
      <c r="B26" s="165">
        <v>0</v>
      </c>
      <c r="C26" s="165">
        <v>24.78</v>
      </c>
      <c r="D26" s="8">
        <v>42687</v>
      </c>
      <c r="E26" s="165">
        <v>0.48</v>
      </c>
      <c r="F26" s="165" t="s">
        <v>232</v>
      </c>
      <c r="G26" s="165">
        <v>255.35</v>
      </c>
      <c r="H26" s="165">
        <v>0</v>
      </c>
      <c r="I26" s="165">
        <v>0</v>
      </c>
      <c r="J26" s="165">
        <v>1018.31</v>
      </c>
      <c r="K26" s="165" t="s">
        <v>233</v>
      </c>
      <c r="L26" s="165">
        <v>43</v>
      </c>
      <c r="M26" s="165">
        <v>1479020400</v>
      </c>
      <c r="N26" s="165">
        <v>9.42</v>
      </c>
      <c r="O26" s="165">
        <v>245</v>
      </c>
      <c r="P26" s="165">
        <v>3.21</v>
      </c>
      <c r="Q26"/>
    </row>
    <row r="27" spans="1:17" x14ac:dyDescent="0.25">
      <c r="A27" s="165">
        <v>41.3</v>
      </c>
      <c r="B27" s="165">
        <v>0</v>
      </c>
      <c r="C27" s="165">
        <v>24.84</v>
      </c>
      <c r="D27" s="8">
        <v>42687.041666666664</v>
      </c>
      <c r="E27" s="165">
        <v>0.49</v>
      </c>
      <c r="F27" s="165" t="s">
        <v>232</v>
      </c>
      <c r="G27" s="165">
        <v>255.22</v>
      </c>
      <c r="H27" s="165">
        <v>0</v>
      </c>
      <c r="I27" s="165">
        <v>0</v>
      </c>
      <c r="J27" s="165">
        <v>1018.56</v>
      </c>
      <c r="K27" s="165" t="s">
        <v>233</v>
      </c>
      <c r="L27" s="165">
        <v>42.78</v>
      </c>
      <c r="M27" s="165">
        <v>1479024000</v>
      </c>
      <c r="N27" s="165">
        <v>9.36</v>
      </c>
      <c r="O27" s="165">
        <v>241</v>
      </c>
      <c r="P27" s="165">
        <v>3.2</v>
      </c>
      <c r="Q27"/>
    </row>
    <row r="28" spans="1:17" x14ac:dyDescent="0.25">
      <c r="A28" s="165">
        <v>39.68</v>
      </c>
      <c r="B28" s="165">
        <v>0</v>
      </c>
      <c r="C28" s="165">
        <v>24.93</v>
      </c>
      <c r="D28" s="8">
        <v>42687.083333333336</v>
      </c>
      <c r="E28" s="165">
        <v>0.5</v>
      </c>
      <c r="F28" s="165" t="s">
        <v>232</v>
      </c>
      <c r="G28" s="165">
        <v>255.09</v>
      </c>
      <c r="H28" s="165">
        <v>0</v>
      </c>
      <c r="I28" s="165">
        <v>0</v>
      </c>
      <c r="J28" s="165">
        <v>1018.79</v>
      </c>
      <c r="K28" s="165" t="s">
        <v>233</v>
      </c>
      <c r="L28" s="165">
        <v>42</v>
      </c>
      <c r="M28" s="165">
        <v>1479027600</v>
      </c>
      <c r="N28" s="165">
        <v>8.48</v>
      </c>
      <c r="O28" s="165">
        <v>241</v>
      </c>
      <c r="P28" s="165">
        <v>3.94</v>
      </c>
      <c r="Q28"/>
    </row>
    <row r="29" spans="1:17" x14ac:dyDescent="0.25">
      <c r="A29" s="165">
        <v>38.89</v>
      </c>
      <c r="B29" s="165">
        <v>0.05</v>
      </c>
      <c r="C29" s="165">
        <v>24.62</v>
      </c>
      <c r="D29" s="8">
        <v>42687.125</v>
      </c>
      <c r="E29" s="165">
        <v>0.5</v>
      </c>
      <c r="F29" s="165" t="s">
        <v>232</v>
      </c>
      <c r="G29" s="165">
        <v>254.69</v>
      </c>
      <c r="H29" s="165">
        <v>0</v>
      </c>
      <c r="I29" s="165">
        <v>0</v>
      </c>
      <c r="J29" s="165">
        <v>1019.27</v>
      </c>
      <c r="K29" s="165" t="s">
        <v>233</v>
      </c>
      <c r="L29" s="165">
        <v>41.7</v>
      </c>
      <c r="M29" s="165">
        <v>1479031200</v>
      </c>
      <c r="N29" s="165">
        <v>9.06</v>
      </c>
      <c r="O29" s="165">
        <v>245</v>
      </c>
      <c r="P29" s="165">
        <v>4.46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3" t="s">
        <v>213</v>
      </c>
    </row>
    <row r="33" spans="1:1" x14ac:dyDescent="0.25">
      <c r="A33" s="133" t="s"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42686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215</v>
      </c>
      <c r="J17" s="33"/>
      <c r="K17" s="34"/>
      <c r="L17" s="34"/>
    </row>
    <row r="18" spans="3:13" x14ac:dyDescent="0.25">
      <c r="C18" t="s">
        <v>749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750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751</v>
      </c>
      <c r="J20" t="s">
        <v>87</v>
      </c>
      <c r="M20" s="68" t="s">
        <v>284</v>
      </c>
    </row>
    <row r="21" spans="3:13" x14ac:dyDescent="0.25">
      <c r="C21" t="s">
        <v>752</v>
      </c>
      <c r="J21" s="21" t="s">
        <v>90</v>
      </c>
      <c r="K21" s="21" t="s">
        <v>91</v>
      </c>
      <c r="M21" s="68" t="s">
        <v>186</v>
      </c>
    </row>
    <row r="22" spans="3:13" x14ac:dyDescent="0.25">
      <c r="C22" t="s">
        <v>753</v>
      </c>
      <c r="J22" s="21" t="s">
        <v>92</v>
      </c>
      <c r="K22" s="21" t="s">
        <v>93</v>
      </c>
      <c r="M22" s="68" t="s">
        <v>111</v>
      </c>
    </row>
    <row r="23" spans="3:13" x14ac:dyDescent="0.25">
      <c r="J23" s="29" t="s">
        <v>95</v>
      </c>
      <c r="K23" s="21"/>
      <c r="M23" s="69">
        <v>-7</v>
      </c>
    </row>
    <row r="24" spans="3:13" x14ac:dyDescent="0.25">
      <c r="J24" s="21" t="s">
        <v>108</v>
      </c>
      <c r="K24" s="21"/>
      <c r="M24" s="68" t="s">
        <v>110</v>
      </c>
    </row>
    <row r="25" spans="3:13" x14ac:dyDescent="0.25"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C:\Users\stu\Documents\GitHub\eaglep3-reporting\EC\2016-11-12-refined-times.txt</v>
      </c>
    </row>
    <row r="27" spans="3:13" x14ac:dyDescent="0.25">
      <c r="J27" t="s">
        <v>193</v>
      </c>
      <c r="M27" s="68" t="str">
        <f>"C:\Users\stu\Documents\GitHub\eaglep3-reporting\EC\"&amp;TEXT(A2,"YYYY-MM-DD")&amp;"-Enforcements.txt"</f>
        <v>C:\Users\stu\Documents\GitHub\eaglep3-reporting\EC\2016-11-12-Enforcements.txt</v>
      </c>
    </row>
    <row r="28" spans="3:13" x14ac:dyDescent="0.25">
      <c r="J28" t="s">
        <v>194</v>
      </c>
      <c r="M28" s="106" t="str">
        <f>"C:\Users\stu\Documents\GitHub\eaglep3-reporting\EC\"&amp;TEXT(A2,"YYYY-MM-DD")&amp;"-Runs-Refined.txt"</f>
        <v>C:\Users\stu\Documents\GitHub\eaglep3-reporting\EC\2016-11-12-Runs-Refined.txt</v>
      </c>
    </row>
    <row r="29" spans="3:13" x14ac:dyDescent="0.25">
      <c r="J29" t="s">
        <v>195</v>
      </c>
      <c r="M29" s="106" t="str">
        <f>"C:\Users\stu\Documents\GitHub\eaglep3-reporting\EC\"&amp;TEXT(A2,"YYYY-MM-DD")&amp;"-Trips.txt"</f>
        <v>C:\Users\stu\Documents\GitHub\eaglep3-reporting\EC\2016-11-12-Trips.txt</v>
      </c>
    </row>
    <row r="30" spans="3:13" x14ac:dyDescent="0.25">
      <c r="J30" t="s">
        <v>196</v>
      </c>
      <c r="M30" s="106" t="str">
        <f>"C:\Users\stu\Documents\GitHub\eaglep3-reporting\EC\"&amp;TEXT(A2,"YYYY-MM-DD")&amp;"-Weather.txt"</f>
        <v>C:\Users\stu\Documents\GitHub\eaglep3-reporting\EC\2016-11-12-Weather.txt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178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179</v>
      </c>
    </row>
    <row r="15" spans="1:11" x14ac:dyDescent="0.25">
      <c r="C15" s="116" t="s">
        <v>241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2016-12-19T19:34:34Z</dcterms:modified>
</cp:coreProperties>
</file>